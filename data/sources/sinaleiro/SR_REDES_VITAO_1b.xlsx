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OneDrive\Área de Trabalho\SINALEIRO REDES\"/>
    </mc:Choice>
  </mc:AlternateContent>
  <xr:revisionPtr revIDLastSave="0" documentId="8_{86EA9872-2396-403E-BBBB-2675AF9E9E6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AINEL" sheetId="1" r:id="rId1"/>
    <sheet name="PARAMETROS" sheetId="2" r:id="rId2"/>
    <sheet name="SINALEIRO" sheetId="3" r:id="rId3"/>
    <sheet name="PLANO_ACAO" sheetId="4" r:id="rId4"/>
    <sheet name="CADENCIA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4" l="1"/>
  <c r="B12" i="4"/>
  <c r="C11" i="4"/>
  <c r="B11" i="4"/>
  <c r="D10" i="4"/>
  <c r="C10" i="4"/>
  <c r="B10" i="4"/>
  <c r="C9" i="4"/>
  <c r="B9" i="4"/>
  <c r="C8" i="4"/>
  <c r="B8" i="4"/>
  <c r="C7" i="4"/>
  <c r="B7" i="4"/>
  <c r="C6" i="4"/>
  <c r="B6" i="4"/>
  <c r="C5" i="4"/>
  <c r="B5" i="4"/>
  <c r="S14" i="3"/>
  <c r="J14" i="3"/>
  <c r="C5" i="1" s="1"/>
  <c r="I14" i="3"/>
  <c r="H14" i="3"/>
  <c r="G14" i="3"/>
  <c r="F14" i="3"/>
  <c r="E14" i="3"/>
  <c r="D14" i="3"/>
  <c r="C14" i="3"/>
  <c r="Q14" i="3" s="1"/>
  <c r="G5" i="1" s="1"/>
  <c r="Q12" i="3"/>
  <c r="L12" i="3"/>
  <c r="P12" i="3" s="1"/>
  <c r="K12" i="3"/>
  <c r="Q11" i="3"/>
  <c r="L11" i="3"/>
  <c r="P11" i="3" s="1"/>
  <c r="K11" i="3"/>
  <c r="Q10" i="3"/>
  <c r="M10" i="3"/>
  <c r="O10" i="3" s="1"/>
  <c r="L10" i="3"/>
  <c r="P10" i="3" s="1"/>
  <c r="K10" i="3"/>
  <c r="Q9" i="3"/>
  <c r="F19" i="1" s="1"/>
  <c r="P9" i="3"/>
  <c r="T9" i="3" s="1"/>
  <c r="O9" i="3"/>
  <c r="D19" i="1" s="1"/>
  <c r="N9" i="3"/>
  <c r="E9" i="4" s="1"/>
  <c r="M9" i="3"/>
  <c r="D9" i="4" s="1"/>
  <c r="L9" i="3"/>
  <c r="K9" i="3"/>
  <c r="Q8" i="3"/>
  <c r="F18" i="1" s="1"/>
  <c r="P8" i="3"/>
  <c r="F8" i="4" s="1"/>
  <c r="L8" i="3"/>
  <c r="M8" i="3" s="1"/>
  <c r="K8" i="3"/>
  <c r="Q7" i="3"/>
  <c r="F17" i="1" s="1"/>
  <c r="P7" i="3"/>
  <c r="E17" i="1" s="1"/>
  <c r="O7" i="3"/>
  <c r="R7" i="3" s="1"/>
  <c r="M7" i="3"/>
  <c r="D7" i="4" s="1"/>
  <c r="L7" i="3"/>
  <c r="K7" i="3"/>
  <c r="Q6" i="3"/>
  <c r="P6" i="3"/>
  <c r="T6" i="3" s="1"/>
  <c r="L6" i="3"/>
  <c r="M6" i="3" s="1"/>
  <c r="K6" i="3"/>
  <c r="Q5" i="3"/>
  <c r="L5" i="3"/>
  <c r="P5" i="3" s="1"/>
  <c r="K5" i="3"/>
  <c r="B26" i="2"/>
  <c r="B25" i="2"/>
  <c r="B24" i="2"/>
  <c r="B23" i="2"/>
  <c r="B22" i="2"/>
  <c r="F22" i="1"/>
  <c r="A22" i="1"/>
  <c r="F21" i="1"/>
  <c r="A21" i="1"/>
  <c r="F20" i="1"/>
  <c r="B20" i="1"/>
  <c r="A20" i="1"/>
  <c r="B19" i="1"/>
  <c r="A19" i="1"/>
  <c r="A18" i="1"/>
  <c r="B17" i="1"/>
  <c r="A17" i="1"/>
  <c r="F16" i="1"/>
  <c r="E16" i="1"/>
  <c r="A16" i="1"/>
  <c r="F15" i="1"/>
  <c r="A15" i="1"/>
  <c r="B5" i="1"/>
  <c r="A5" i="1"/>
  <c r="O6" i="3" l="1"/>
  <c r="N6" i="3"/>
  <c r="B16" i="1"/>
  <c r="D6" i="4"/>
  <c r="A9" i="4"/>
  <c r="G19" i="1"/>
  <c r="T12" i="3"/>
  <c r="F12" i="4"/>
  <c r="E22" i="1"/>
  <c r="A6" i="4"/>
  <c r="G16" i="1"/>
  <c r="T11" i="3"/>
  <c r="E21" i="1"/>
  <c r="F11" i="4"/>
  <c r="O8" i="3"/>
  <c r="N8" i="3"/>
  <c r="B18" i="1"/>
  <c r="D8" i="4"/>
  <c r="T5" i="3"/>
  <c r="E15" i="1"/>
  <c r="P14" i="3"/>
  <c r="E5" i="1" s="1"/>
  <c r="F5" i="4"/>
  <c r="T10" i="3"/>
  <c r="E20" i="1"/>
  <c r="F10" i="4"/>
  <c r="R10" i="3"/>
  <c r="D20" i="1"/>
  <c r="N10" i="3"/>
  <c r="M11" i="3"/>
  <c r="K14" i="3"/>
  <c r="C19" i="1"/>
  <c r="E19" i="1"/>
  <c r="T8" i="3"/>
  <c r="R9" i="3"/>
  <c r="F9" i="4"/>
  <c r="F7" i="4"/>
  <c r="M12" i="3"/>
  <c r="L14" i="3"/>
  <c r="G18" i="3"/>
  <c r="F6" i="4"/>
  <c r="M5" i="3"/>
  <c r="T7" i="3"/>
  <c r="D17" i="1"/>
  <c r="E18" i="1"/>
  <c r="N7" i="3"/>
  <c r="G17" i="1" l="1"/>
  <c r="A7" i="4"/>
  <c r="C18" i="1"/>
  <c r="E8" i="4"/>
  <c r="G20" i="1"/>
  <c r="A10" i="4"/>
  <c r="G22" i="1"/>
  <c r="A12" i="4"/>
  <c r="E10" i="4"/>
  <c r="C20" i="1"/>
  <c r="G21" i="1"/>
  <c r="A11" i="4"/>
  <c r="G20" i="3"/>
  <c r="G19" i="3"/>
  <c r="R8" i="3"/>
  <c r="D18" i="1"/>
  <c r="M14" i="3"/>
  <c r="D5" i="1"/>
  <c r="E7" i="4"/>
  <c r="C17" i="1"/>
  <c r="B22" i="1"/>
  <c r="N12" i="3"/>
  <c r="D12" i="4"/>
  <c r="O12" i="3"/>
  <c r="B21" i="1"/>
  <c r="D11" i="4"/>
  <c r="O11" i="3"/>
  <c r="N11" i="3"/>
  <c r="A5" i="4"/>
  <c r="G15" i="1"/>
  <c r="E6" i="4"/>
  <c r="C16" i="1"/>
  <c r="O5" i="3"/>
  <c r="B15" i="1"/>
  <c r="D5" i="4"/>
  <c r="N5" i="3"/>
  <c r="A8" i="4"/>
  <c r="G18" i="1"/>
  <c r="D16" i="1"/>
  <c r="R6" i="3"/>
  <c r="R12" i="3" l="1"/>
  <c r="D22" i="1"/>
  <c r="C21" i="1"/>
  <c r="E11" i="4"/>
  <c r="C22" i="1"/>
  <c r="E12" i="4"/>
  <c r="B18" i="3"/>
  <c r="C10" i="1"/>
  <c r="A10" i="1"/>
  <c r="C15" i="1"/>
  <c r="G10" i="1"/>
  <c r="B20" i="3"/>
  <c r="E10" i="1"/>
  <c r="E5" i="4"/>
  <c r="B19" i="3"/>
  <c r="B17" i="3"/>
  <c r="D21" i="1"/>
  <c r="R11" i="3"/>
  <c r="F8" i="5"/>
  <c r="F7" i="5"/>
  <c r="R5" i="3"/>
  <c r="F6" i="5"/>
  <c r="F5" i="5"/>
  <c r="F4" i="5"/>
  <c r="D15" i="1"/>
  <c r="F5" i="1"/>
  <c r="N14" i="3"/>
  <c r="F6" i="1" s="1"/>
</calcChain>
</file>

<file path=xl/sharedStrings.xml><?xml version="1.0" encoding="utf-8"?>
<sst xmlns="http://schemas.openxmlformats.org/spreadsheetml/2006/main" count="180" uniqueCount="141">
  <si>
    <t>🚦 PAINEL SINALEIRO — VITAO ALIMENTOS</t>
  </si>
  <si>
    <t>Dashboard dinâmico — todos os valores são fórmulas que atualizam da aba SINALEIRO</t>
  </si>
  <si>
    <t>TOTAL LOJAS</t>
  </si>
  <si>
    <t>COM VENDA</t>
  </si>
  <si>
    <t>FAT. REAL</t>
  </si>
  <si>
    <t>FAT. POTENCIAL</t>
  </si>
  <si>
    <t>GAP TOTAL</t>
  </si>
  <si>
    <t>SINALEIRO GERAL</t>
  </si>
  <si>
    <t>PENETRAÇÃO</t>
  </si>
  <si>
    <t>DISTRIBUIÇÃO POR COR</t>
  </si>
  <si>
    <t>🟣 ROXO</t>
  </si>
  <si>
    <t>🔴 VERMELHO</t>
  </si>
  <si>
    <t>🟡 AMARELO</t>
  </si>
  <si>
    <t>🟢 VERDE</t>
  </si>
  <si>
    <t>Prospecção Ativa</t>
  </si>
  <si>
    <t>Plano Intensivo</t>
  </si>
  <si>
    <t>Ajuste de Mix</t>
  </si>
  <si>
    <t>JBP + Sell Out</t>
  </si>
  <si>
    <t>RANKING POR SINALEIRO</t>
  </si>
  <si>
    <t>REDE</t>
  </si>
  <si>
    <t>SINALEIRO</t>
  </si>
  <si>
    <t>COR</t>
  </si>
  <si>
    <t>MATURIDADE</t>
  </si>
  <si>
    <t>GAP</t>
  </si>
  <si>
    <t>PRIORIDADE</t>
  </si>
  <si>
    <t>⚙️ PARÂMETROS DO SINALEIRO — VITAO ALIMENTOS</t>
  </si>
  <si>
    <t>Altere os valores em AZUL para recalcular automaticamente todo o sinaleiro</t>
  </si>
  <si>
    <t>BENCHMARK DE CÁLCULO</t>
  </si>
  <si>
    <t>PARÂMETRO</t>
  </si>
  <si>
    <t>VALOR</t>
  </si>
  <si>
    <t>UNIDADE</t>
  </si>
  <si>
    <t>DESCRIÇÃO</t>
  </si>
  <si>
    <t>Ticket Benchmark Mensal</t>
  </si>
  <si>
    <t>R$/mês/loja</t>
  </si>
  <si>
    <t>Ticket médio mensal esperado por loja ativa</t>
  </si>
  <si>
    <t>Meses no Período</t>
  </si>
  <si>
    <t>meses</t>
  </si>
  <si>
    <t>Mar/25 a Jan/26 = 11 meses de dados</t>
  </si>
  <si>
    <t>Taxa Captura Prospects</t>
  </si>
  <si>
    <t>%</t>
  </si>
  <si>
    <t>% de prospects que estimamos positivar em 6 meses</t>
  </si>
  <si>
    <t>Meta Sinaleiro Geral (6 meses)</t>
  </si>
  <si>
    <t>Meta de sinaleiro geral em 6 meses</t>
  </si>
  <si>
    <t>FAIXAS DO SINALEIRO</t>
  </si>
  <si>
    <t>FAIXA MÍNIMA</t>
  </si>
  <si>
    <t>FAIXA MÁXIMA</t>
  </si>
  <si>
    <t>AÇÃO RECOMENDADA</t>
  </si>
  <si>
    <t>Prospecção ativa</t>
  </si>
  <si>
    <t>PROSPECÇÃO</t>
  </si>
  <si>
    <t>Plano intensivo de ativação</t>
  </si>
  <si>
    <t>ATIVAÇÃO / POSITIVAÇÃO</t>
  </si>
  <si>
    <t>Ajuste de mix + promoções</t>
  </si>
  <si>
    <t>SELL OUT</t>
  </si>
  <si>
    <t>JBP + Sell Out avançado</t>
  </si>
  <si>
    <t>JBP</t>
  </si>
  <si>
    <t>REFERÊNCIAS NOMEADAS</t>
  </si>
  <si>
    <t>NOME</t>
  </si>
  <si>
    <t>REFERÊNCIA</t>
  </si>
  <si>
    <t>BENCHMARK_MENSAL</t>
  </si>
  <si>
    <t>R$ 525/mês por loja</t>
  </si>
  <si>
    <t>MESES_PERIODO</t>
  </si>
  <si>
    <t>11 meses de dados</t>
  </si>
  <si>
    <t>FAIXA_ROXO_MAX</t>
  </si>
  <si>
    <t>&lt; 1%</t>
  </si>
  <si>
    <t>FAIXA_VERM_MAX</t>
  </si>
  <si>
    <t>&lt; 40%</t>
  </si>
  <si>
    <t>FAIXA_AMAR_MAX</t>
  </si>
  <si>
    <t>&lt; 60%</t>
  </si>
  <si>
    <t>🚦 SINALEIRO DE PENETRAÇÃO — REDES E FRANQUIAS VITAO</t>
  </si>
  <si>
    <t>Dados reais + fórmulas dinâmicas | Todas as células de cálculo atualizam automaticamente</t>
  </si>
  <si>
    <t>CONSULTOR</t>
  </si>
  <si>
    <t>ATIVOS</t>
  </si>
  <si>
    <t>INAT.REC</t>
  </si>
  <si>
    <t>INAT.ANT</t>
  </si>
  <si>
    <t>PROSPECT</t>
  </si>
  <si>
    <t>CLIENTES C/ VENDA</t>
  </si>
  <si>
    <t>Nº PEDIDOS</t>
  </si>
  <si>
    <t>FAT. REAL (R$)</t>
  </si>
  <si>
    <t>TICKET MÉDIO</t>
  </si>
  <si>
    <t>SINALEIRO %</t>
  </si>
  <si>
    <t>GAP (R$)</t>
  </si>
  <si>
    <t>PENETRAÇÃO %</t>
  </si>
  <si>
    <t>AÇÃO</t>
  </si>
  <si>
    <t>ECOM ACESSOS</t>
  </si>
  <si>
    <t>FIT LAND</t>
  </si>
  <si>
    <t>JULIO</t>
  </si>
  <si>
    <t>DIVINA TERRA</t>
  </si>
  <si>
    <t>DAIANE</t>
  </si>
  <si>
    <t>VIDA LEVE</t>
  </si>
  <si>
    <t>CIA DA SAUDE</t>
  </si>
  <si>
    <t>MUNDO VERDE</t>
  </si>
  <si>
    <t>BIOMUNDO</t>
  </si>
  <si>
    <t>TUDO EM GRAOS</t>
  </si>
  <si>
    <t>MANU</t>
  </si>
  <si>
    <t>ARMAZEM FITSTORE</t>
  </si>
  <si>
    <t>TOTAL GERAL</t>
  </si>
  <si>
    <t>📊 CONTADORES POR COR</t>
  </si>
  <si>
    <t>🎯 SIMULADOR: E SE?</t>
  </si>
  <si>
    <t>redes</t>
  </si>
  <si>
    <t>Se benchmark subir para:</t>
  </si>
  <si>
    <t>Novo potencial total:</t>
  </si>
  <si>
    <t>Novo sinaleiro geral:</t>
  </si>
  <si>
    <t>Novo GAP:</t>
  </si>
  <si>
    <t>🎯 PLANO DE AÇÃO POR REDE — PRIORIZADO PELO GAP</t>
  </si>
  <si>
    <t>Dados puxam da aba SINALEIRO automaticamente</t>
  </si>
  <si>
    <t>#</t>
  </si>
  <si>
    <t>META 6M (%)</t>
  </si>
  <si>
    <t>AÇÕES PRIORITÁRIAS</t>
  </si>
  <si>
    <t>Reativar 37 inativos + ativar TOP 10 prospects SC + aumentar frequência compradores</t>
  </si>
  <si>
    <t>Consolidar 14 compradores (ticket R$2.151) + reativar 9 inativos + prospectar RS/SC</t>
  </si>
  <si>
    <t>Reativar 18 lojas carteira + prospectar SP/RS + cross-sell curva A</t>
  </si>
  <si>
    <t>URGENTE: 0 ativos + 93 inativos = reativar 4 recentes + TOP 5 compradores</t>
  </si>
  <si>
    <t>199 lojas penetração mínima — identificar barreira central + piloto RJ/SP</t>
  </si>
  <si>
    <t>167 lojas 5 compradores — investigar central compras + converter 30 acessos ecom</t>
  </si>
  <si>
    <t>25 lojas menor rede — positivar 10+ lojas (RS território MANU)</t>
  </si>
  <si>
    <t>114 lojas ZERO vendas — mapear rede + 5 lojas-piloto + mix entrada</t>
  </si>
  <si>
    <t>📅 CADÊNCIA DE CONTATO POR ETAPA DE MATURIDADE</t>
  </si>
  <si>
    <t>FREQUÊNCIA</t>
  </si>
  <si>
    <t>CANAL</t>
  </si>
  <si>
    <t>RESPONSÁVEL</t>
  </si>
  <si>
    <t>META</t>
  </si>
  <si>
    <t>REDES NA ETAPA</t>
  </si>
  <si>
    <t>1x/semana</t>
  </si>
  <si>
    <t>WhatsApp + Ligação</t>
  </si>
  <si>
    <t>Consultor</t>
  </si>
  <si>
    <t>Agendar apresentação</t>
  </si>
  <si>
    <t>ATIVAÇÃO</t>
  </si>
  <si>
    <t>2x/semana</t>
  </si>
  <si>
    <t>Ligação + Visita</t>
  </si>
  <si>
    <t>Consultor + Gerente</t>
  </si>
  <si>
    <t>Primeiro pedido</t>
  </si>
  <si>
    <t>POSITIVAÇÃO</t>
  </si>
  <si>
    <t>WhatsApp + Oferta</t>
  </si>
  <si>
    <t>Recompra mensal</t>
  </si>
  <si>
    <t>Quinzenal</t>
  </si>
  <si>
    <t>Reunião + Relatório</t>
  </si>
  <si>
    <t>Giro + Mix</t>
  </si>
  <si>
    <t>Mensal</t>
  </si>
  <si>
    <t>Reunião estratégica + BI</t>
  </si>
  <si>
    <t>Gerente</t>
  </si>
  <si>
    <t>JBP trimestral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</si>
</sst>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family val="2"/>
      <charset val="1"/>
    </font>
    <font>
      <b/>
      <sz val="18"/>
      <color rgb="FF1B5E20"/>
      <name val="Arial"/>
      <charset val="1"/>
    </font>
    <font>
      <i/>
      <sz val="10"/>
      <color rgb="FF757575"/>
      <name val="Arial"/>
      <charset val="1"/>
    </font>
    <font>
      <b/>
      <sz val="9"/>
      <color rgb="FF1B5E20"/>
      <name val="Arial"/>
      <charset val="1"/>
    </font>
    <font>
      <b/>
      <sz val="16"/>
      <color rgb="FF1B5E20"/>
      <name val="Arial"/>
      <charset val="1"/>
    </font>
    <font>
      <b/>
      <sz val="12"/>
      <name val="Arial"/>
      <charset val="1"/>
    </font>
    <font>
      <b/>
      <sz val="12"/>
      <color rgb="FF2E7D32"/>
      <name val="Arial"/>
      <charset val="1"/>
    </font>
    <font>
      <b/>
      <sz val="10"/>
      <name val="Arial"/>
      <charset val="1"/>
    </font>
    <font>
      <b/>
      <sz val="28"/>
      <color rgb="FF1B5E20"/>
      <name val="Arial"/>
      <charset val="1"/>
    </font>
    <font>
      <sz val="9"/>
      <color rgb="FF757575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424242"/>
      <name val="Arial"/>
      <charset val="1"/>
    </font>
    <font>
      <b/>
      <sz val="10"/>
      <color rgb="FF0000FF"/>
      <name val="Arial"/>
      <charset val="1"/>
    </font>
    <font>
      <i/>
      <sz val="9"/>
      <color rgb="FF757575"/>
      <name val="Arial"/>
      <charset val="1"/>
    </font>
    <font>
      <b/>
      <sz val="10"/>
      <color rgb="FF424242"/>
      <name val="Arial"/>
      <charset val="1"/>
    </font>
    <font>
      <b/>
      <sz val="12"/>
      <color rgb="FF000000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b/>
      <sz val="14"/>
      <name val="Arial"/>
      <charset val="1"/>
    </font>
    <font>
      <b/>
      <sz val="11"/>
      <name val="Arial"/>
      <charset val="1"/>
    </font>
    <font>
      <b/>
      <sz val="14"/>
      <color rgb="FF2E7D32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A5D6A7"/>
        <bgColor rgb="FFC8E6C9"/>
      </patternFill>
    </fill>
    <fill>
      <patternFill patternType="solid">
        <fgColor rgb="FFFFFFFF"/>
        <bgColor rgb="FFFFFDE7"/>
      </patternFill>
    </fill>
    <fill>
      <patternFill patternType="solid">
        <fgColor rgb="FFF3E5F5"/>
        <bgColor rgb="FFFFEBEE"/>
      </patternFill>
    </fill>
    <fill>
      <patternFill patternType="solid">
        <fgColor rgb="FFFFEBEE"/>
        <bgColor rgb="FFFFF3E0"/>
      </patternFill>
    </fill>
    <fill>
      <patternFill patternType="solid">
        <fgColor rgb="FFFFF8E1"/>
        <bgColor rgb="FFFFF3E0"/>
      </patternFill>
    </fill>
    <fill>
      <patternFill patternType="solid">
        <fgColor rgb="FFC8E6C9"/>
        <bgColor rgb="FFE0E0E0"/>
      </patternFill>
    </fill>
    <fill>
      <patternFill patternType="solid">
        <fgColor rgb="FF388E3C"/>
        <bgColor rgb="FF2E7D32"/>
      </patternFill>
    </fill>
    <fill>
      <patternFill patternType="solid">
        <fgColor rgb="FFE8F5E9"/>
        <bgColor rgb="FFFFF3E0"/>
      </patternFill>
    </fill>
    <fill>
      <patternFill patternType="solid">
        <fgColor rgb="FFFFFDE7"/>
        <bgColor rgb="FFFFF8E1"/>
      </patternFill>
    </fill>
    <fill>
      <patternFill patternType="solid">
        <fgColor rgb="FF1B5E20"/>
        <bgColor rgb="FF2E7D32"/>
      </patternFill>
    </fill>
    <fill>
      <patternFill patternType="solid">
        <fgColor rgb="FFFFF3E0"/>
        <bgColor rgb="FFFFF8E1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4" fillId="0" borderId="0" xfId="0" applyFont="1"/>
    <xf numFmtId="0" fontId="4" fillId="0" borderId="0" xfId="0" applyFont="1"/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0" borderId="0" xfId="0" applyFont="1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164" fontId="11" fillId="9" borderId="1" xfId="0" applyNumberFormat="1" applyFont="1" applyFill="1" applyBorder="1" applyAlignment="1">
      <alignment horizontal="center" vertical="center" wrapText="1"/>
    </xf>
    <xf numFmtId="3" fontId="11" fillId="9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9" fontId="13" fillId="10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9" fontId="12" fillId="0" borderId="1" xfId="0" applyNumberFormat="1" applyFont="1" applyBorder="1"/>
    <xf numFmtId="0" fontId="14" fillId="0" borderId="0" xfId="0" applyFont="1"/>
    <xf numFmtId="0" fontId="15" fillId="0" borderId="1" xfId="0" applyFont="1" applyBorder="1" applyAlignment="1">
      <alignment horizontal="left" vertical="center" wrapText="1"/>
    </xf>
    <xf numFmtId="4" fontId="13" fillId="10" borderId="1" xfId="0" applyNumberFormat="1" applyFont="1" applyFill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7" fillId="11" borderId="1" xfId="0" applyFont="1" applyFill="1" applyBorder="1"/>
    <xf numFmtId="0" fontId="10" fillId="11" borderId="1" xfId="0" applyFont="1" applyFill="1" applyBorder="1" applyAlignment="1">
      <alignment horizontal="center" vertical="center" wrapText="1"/>
    </xf>
    <xf numFmtId="3" fontId="10" fillId="11" borderId="1" xfId="0" applyNumberFormat="1" applyFont="1" applyFill="1" applyBorder="1" applyAlignment="1">
      <alignment horizontal="center" vertical="center" wrapText="1"/>
    </xf>
    <xf numFmtId="4" fontId="10" fillId="11" borderId="1" xfId="0" applyNumberFormat="1" applyFont="1" applyFill="1" applyBorder="1" applyAlignment="1">
      <alignment horizontal="center" vertical="center" wrapText="1"/>
    </xf>
    <xf numFmtId="164" fontId="18" fillId="11" borderId="1" xfId="0" applyNumberFormat="1" applyFont="1" applyFill="1" applyBorder="1" applyAlignment="1">
      <alignment horizontal="center" vertical="center" wrapText="1"/>
    </xf>
    <xf numFmtId="164" fontId="10" fillId="11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/>
    <xf numFmtId="0" fontId="19" fillId="4" borderId="1" xfId="0" applyFont="1" applyFill="1" applyBorder="1" applyAlignment="1">
      <alignment horizontal="center" vertical="center" wrapText="1"/>
    </xf>
    <xf numFmtId="0" fontId="12" fillId="0" borderId="0" xfId="0" applyFont="1"/>
    <xf numFmtId="3" fontId="13" fillId="10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/>
    <xf numFmtId="0" fontId="19" fillId="5" borderId="1" xfId="0" applyFont="1" applyFill="1" applyBorder="1" applyAlignment="1">
      <alignment horizontal="center" vertical="center" wrapText="1"/>
    </xf>
    <xf numFmtId="3" fontId="11" fillId="0" borderId="1" xfId="0" applyNumberFormat="1" applyFont="1" applyBorder="1"/>
    <xf numFmtId="0" fontId="7" fillId="6" borderId="1" xfId="0" applyFont="1" applyFill="1" applyBorder="1"/>
    <xf numFmtId="0" fontId="19" fillId="6" borderId="1" xfId="0" applyFont="1" applyFill="1" applyBorder="1" applyAlignment="1">
      <alignment horizontal="center" vertical="center" wrapText="1"/>
    </xf>
    <xf numFmtId="164" fontId="19" fillId="0" borderId="1" xfId="0" applyNumberFormat="1" applyFont="1" applyBorder="1"/>
    <xf numFmtId="0" fontId="7" fillId="7" borderId="1" xfId="0" applyFont="1" applyFill="1" applyBorder="1"/>
    <xf numFmtId="0" fontId="19" fillId="7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164" fontId="20" fillId="0" borderId="1" xfId="0" applyNumberFormat="1" applyFont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2" fillId="3" borderId="1" xfId="0" applyFont="1" applyFill="1" applyBorder="1"/>
    <xf numFmtId="0" fontId="21" fillId="3" borderId="1" xfId="0" applyFont="1" applyFill="1" applyBorder="1" applyAlignment="1">
      <alignment horizontal="center" vertical="center" wrapText="1"/>
    </xf>
    <xf numFmtId="0" fontId="7" fillId="12" borderId="1" xfId="0" applyFont="1" applyFill="1" applyBorder="1"/>
    <xf numFmtId="0" fontId="7" fillId="9" borderId="1" xfId="0" applyFont="1" applyFill="1" applyBorder="1"/>
  </cellXfs>
  <cellStyles count="1">
    <cellStyle name="Normal" xfId="0" builtinId="0"/>
  </cellStyles>
  <dxfs count="13">
    <dxf>
      <fill>
        <patternFill>
          <bgColor rgb="FFFFEBEE"/>
        </patternFill>
      </fill>
    </dxf>
    <dxf>
      <fill>
        <patternFill>
          <bgColor rgb="FFF3E5F5"/>
        </patternFill>
      </fill>
    </dxf>
    <dxf>
      <font>
        <b/>
        <sz val="12"/>
        <color rgb="FF1B5E20"/>
      </font>
      <fill>
        <patternFill>
          <bgColor rgb="FFC8E6C9"/>
        </patternFill>
      </fill>
    </dxf>
    <dxf>
      <fill>
        <patternFill>
          <bgColor rgb="FFFFEBEE"/>
        </patternFill>
      </fill>
    </dxf>
    <dxf>
      <fill>
        <patternFill>
          <bgColor rgb="FFC8E6C9"/>
        </patternFill>
      </fill>
    </dxf>
    <dxf>
      <font>
        <b/>
        <color rgb="FFD32F2F"/>
      </font>
      <fill>
        <patternFill>
          <bgColor rgb="FFFFEBEE"/>
        </patternFill>
      </fill>
    </dxf>
    <dxf>
      <font>
        <b/>
        <color rgb="FF7B1FA2"/>
      </font>
      <fill>
        <patternFill>
          <bgColor rgb="FFF3E5F5"/>
        </patternFill>
      </fill>
    </dxf>
    <dxf>
      <font>
        <b/>
        <color rgb="FFD32F2F"/>
      </font>
      <fill>
        <patternFill>
          <bgColor rgb="FFFFEBEE"/>
        </patternFill>
      </fill>
    </dxf>
    <dxf>
      <font>
        <b/>
        <color rgb="FFE65100"/>
      </font>
      <fill>
        <patternFill>
          <bgColor rgb="FFFFF8E1"/>
        </patternFill>
      </fill>
    </dxf>
    <dxf>
      <font>
        <b/>
        <color rgb="FF1B5E20"/>
      </font>
      <fill>
        <patternFill>
          <bgColor rgb="FFC8E6C9"/>
        </patternFill>
      </fill>
    </dxf>
    <dxf>
      <fill>
        <patternFill>
          <bgColor rgb="FFFFEBEE"/>
        </patternFill>
      </fill>
    </dxf>
    <dxf>
      <fill>
        <patternFill>
          <bgColor rgb="FFF3E5F5"/>
        </patternFill>
      </fill>
    </dxf>
    <dxf>
      <fill>
        <patternFill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7B1FA2"/>
      <rgbColor rgb="FF008080"/>
      <rgbColor rgb="FFA5D6A7"/>
      <rgbColor rgb="FF757575"/>
      <rgbColor rgb="FF9999FF"/>
      <rgbColor rgb="FF993366"/>
      <rgbColor rgb="FFFFF8E1"/>
      <rgbColor rgb="FFE8F5E9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DE7"/>
      <rgbColor rgb="FFC8E6C9"/>
      <rgbColor rgb="FFFFF3E0"/>
      <rgbColor rgb="FFFFEBEE"/>
      <rgbColor rgb="FFFF99CC"/>
      <rgbColor rgb="FFCC99FF"/>
      <rgbColor rgb="FFF3E5F5"/>
      <rgbColor rgb="FF3366FF"/>
      <rgbColor rgb="FF4CAF50"/>
      <rgbColor rgb="FF99CC00"/>
      <rgbColor rgb="FFFFCC00"/>
      <rgbColor rgb="FFFF9900"/>
      <rgbColor rgb="FFE65100"/>
      <rgbColor rgb="FF666699"/>
      <rgbColor rgb="FF66BB6A"/>
      <rgbColor rgb="FF003366"/>
      <rgbColor rgb="FF388E3C"/>
      <rgbColor rgb="FF003300"/>
      <rgbColor rgb="FF1B5E20"/>
      <rgbColor rgb="FFD32F2F"/>
      <rgbColor rgb="FF993366"/>
      <rgbColor rgb="FF333399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5E20"/>
    <pageSetUpPr fitToPage="1"/>
  </sheetPr>
  <dimension ref="A1:H22"/>
  <sheetViews>
    <sheetView tabSelected="1" zoomScaleNormal="100" workbookViewId="0">
      <selection activeCell="A9" sqref="A9:B9"/>
    </sheetView>
  </sheetViews>
  <sheetFormatPr defaultColWidth="8.6640625" defaultRowHeight="14.4" x14ac:dyDescent="0.3"/>
  <cols>
    <col min="1" max="1" width="20" customWidth="1"/>
    <col min="2" max="2" width="14" customWidth="1"/>
    <col min="3" max="5" width="16" customWidth="1"/>
    <col min="6" max="8" width="14" customWidth="1"/>
  </cols>
  <sheetData>
    <row r="1" spans="1:8" ht="22.8" x14ac:dyDescent="0.4">
      <c r="A1" s="11" t="s">
        <v>0</v>
      </c>
      <c r="B1" s="11"/>
      <c r="C1" s="11"/>
      <c r="D1" s="11"/>
      <c r="E1" s="11"/>
      <c r="F1" s="11"/>
      <c r="G1" s="11"/>
    </row>
    <row r="2" spans="1:8" x14ac:dyDescent="0.3">
      <c r="A2" s="10" t="s">
        <v>1</v>
      </c>
      <c r="B2" s="10"/>
      <c r="C2" s="10"/>
      <c r="D2" s="10"/>
      <c r="E2" s="10"/>
      <c r="F2" s="10"/>
      <c r="G2" s="10"/>
    </row>
    <row r="4" spans="1:8" ht="24" x14ac:dyDescent="0.3">
      <c r="A4" s="12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</row>
    <row r="5" spans="1:8" ht="21" x14ac:dyDescent="0.3">
      <c r="A5" s="13">
        <f>SINALEIRO!C14</f>
        <v>923</v>
      </c>
      <c r="B5" s="13">
        <f>SINALEIRO!H14</f>
        <v>102</v>
      </c>
      <c r="C5" s="13">
        <f>SINALEIRO!J14</f>
        <v>330798.81</v>
      </c>
      <c r="D5" s="13">
        <f>SINALEIRO!L14</f>
        <v>5330325</v>
      </c>
      <c r="E5" s="13">
        <f>SINALEIRO!P14</f>
        <v>4999526.1899999995</v>
      </c>
      <c r="F5" s="14">
        <f>SINALEIRO!M14</f>
        <v>6.2059782471050075E-2</v>
      </c>
      <c r="G5" s="14">
        <f>SINALEIRO!Q14</f>
        <v>0.1105092091007584</v>
      </c>
    </row>
    <row r="6" spans="1:8" ht="31.2" x14ac:dyDescent="0.3">
      <c r="F6" s="15" t="str">
        <f>SINALEIRO!N14</f>
        <v>🔴 VERMELHO</v>
      </c>
    </row>
    <row r="8" spans="1:8" ht="15.6" x14ac:dyDescent="0.3">
      <c r="A8" s="9" t="s">
        <v>9</v>
      </c>
      <c r="B8" s="9"/>
      <c r="C8" s="9"/>
      <c r="D8" s="9"/>
    </row>
    <row r="9" spans="1:8" ht="15" customHeight="1" x14ac:dyDescent="0.3">
      <c r="A9" s="8" t="s">
        <v>10</v>
      </c>
      <c r="B9" s="8"/>
      <c r="C9" s="7" t="s">
        <v>11</v>
      </c>
      <c r="D9" s="7"/>
      <c r="E9" s="6" t="s">
        <v>12</v>
      </c>
      <c r="F9" s="6"/>
      <c r="G9" s="5" t="s">
        <v>13</v>
      </c>
      <c r="H9" s="5"/>
    </row>
    <row r="10" spans="1:8" ht="35.4" x14ac:dyDescent="0.3">
      <c r="A10" s="4">
        <f>COUNTIF(SINALEIRO!N5:N12,"*ROXO*")</f>
        <v>1</v>
      </c>
      <c r="B10" s="4"/>
      <c r="C10" s="4">
        <f>COUNTIF(SINALEIRO!N5:N12,"*VERMELHO*")</f>
        <v>7</v>
      </c>
      <c r="D10" s="4"/>
      <c r="E10" s="4">
        <f>COUNTIF(SINALEIRO!N5:N12,"*AMARELO*")</f>
        <v>0</v>
      </c>
      <c r="F10" s="4"/>
      <c r="G10" s="4">
        <f>COUNTIF(SINALEIRO!N5:N12,"*VERDE*")</f>
        <v>0</v>
      </c>
      <c r="H10" s="4"/>
    </row>
    <row r="11" spans="1:8" ht="15" customHeight="1" x14ac:dyDescent="0.3">
      <c r="A11" s="3" t="s">
        <v>14</v>
      </c>
      <c r="B11" s="3"/>
      <c r="C11" s="3" t="s">
        <v>15</v>
      </c>
      <c r="D11" s="3"/>
      <c r="E11" s="3" t="s">
        <v>16</v>
      </c>
      <c r="F11" s="3"/>
      <c r="G11" s="3" t="s">
        <v>17</v>
      </c>
      <c r="H11" s="3"/>
    </row>
    <row r="13" spans="1:8" ht="15.6" x14ac:dyDescent="0.3">
      <c r="A13" s="9" t="s">
        <v>18</v>
      </c>
      <c r="B13" s="9"/>
      <c r="C13" s="9"/>
      <c r="D13" s="9"/>
      <c r="E13" s="9"/>
      <c r="F13" s="9"/>
      <c r="G13" s="9"/>
    </row>
    <row r="14" spans="1:8" x14ac:dyDescent="0.3">
      <c r="A14" s="16" t="s">
        <v>19</v>
      </c>
      <c r="B14" s="16" t="s">
        <v>20</v>
      </c>
      <c r="C14" s="16" t="s">
        <v>21</v>
      </c>
      <c r="D14" s="16" t="s">
        <v>22</v>
      </c>
      <c r="E14" s="16" t="s">
        <v>23</v>
      </c>
      <c r="F14" s="16" t="s">
        <v>8</v>
      </c>
      <c r="G14" s="16" t="s">
        <v>24</v>
      </c>
    </row>
    <row r="15" spans="1:8" ht="15.6" x14ac:dyDescent="0.3">
      <c r="A15" s="17" t="str">
        <f>SINALEIRO!A5</f>
        <v>FIT LAND</v>
      </c>
      <c r="B15" s="18">
        <f>SINALEIRO!M5</f>
        <v>0.32554567829174569</v>
      </c>
      <c r="C15" s="17" t="str">
        <f>SINALEIRO!N5</f>
        <v>🔴 VERMELHO</v>
      </c>
      <c r="D15" s="17" t="str">
        <f>SINALEIRO!O5</f>
        <v>POSITIVAÇÃO</v>
      </c>
      <c r="E15" s="19">
        <f>SINALEIRO!P5</f>
        <v>346652.66000000003</v>
      </c>
      <c r="F15" s="18">
        <f>SINALEIRO!Q5</f>
        <v>0.48314606741573035</v>
      </c>
      <c r="G15" s="20">
        <f>SINALEIRO!T5</f>
        <v>7</v>
      </c>
    </row>
    <row r="16" spans="1:8" ht="15.6" x14ac:dyDescent="0.3">
      <c r="A16" s="21" t="str">
        <f>SINALEIRO!A6</f>
        <v>DIVINA TERRA</v>
      </c>
      <c r="B16" s="22">
        <f>SINALEIRO!M6</f>
        <v>0.10955182072829131</v>
      </c>
      <c r="C16" s="21" t="str">
        <f>SINALEIRO!N6</f>
        <v>🔴 VERMELHO</v>
      </c>
      <c r="D16" s="21" t="str">
        <f>SINALEIRO!O6</f>
        <v>POSITIVAÇÃO</v>
      </c>
      <c r="E16" s="23">
        <f>SINALEIRO!P6</f>
        <v>437098.75</v>
      </c>
      <c r="F16" s="22">
        <f>SINALEIRO!Q6</f>
        <v>0.16470588235294117</v>
      </c>
      <c r="G16" s="24">
        <f>SINALEIRO!T6</f>
        <v>5</v>
      </c>
    </row>
    <row r="17" spans="1:7" ht="15.6" x14ac:dyDescent="0.3">
      <c r="A17" s="17" t="str">
        <f>SINALEIRO!A7</f>
        <v>VIDA LEVE</v>
      </c>
      <c r="B17" s="18">
        <f>SINALEIRO!M7</f>
        <v>8.7769205280316384E-2</v>
      </c>
      <c r="C17" s="17" t="str">
        <f>SINALEIRO!N7</f>
        <v>🔴 VERMELHO</v>
      </c>
      <c r="D17" s="17" t="str">
        <f>SINALEIRO!O7</f>
        <v>ATIVAÇÃO</v>
      </c>
      <c r="E17" s="19">
        <f>SINALEIRO!P7</f>
        <v>426718.76</v>
      </c>
      <c r="F17" s="18">
        <f>SINALEIRO!Q7</f>
        <v>0.20987654320987653</v>
      </c>
      <c r="G17" s="20">
        <f>SINALEIRO!T7</f>
        <v>6</v>
      </c>
    </row>
    <row r="18" spans="1:7" ht="15.6" x14ac:dyDescent="0.3">
      <c r="A18" s="21" t="str">
        <f>SINALEIRO!A8</f>
        <v>CIA DA SAUDE</v>
      </c>
      <c r="B18" s="22">
        <f>SINALEIRO!M8</f>
        <v>2.8003643799962816E-2</v>
      </c>
      <c r="C18" s="21" t="str">
        <f>SINALEIRO!N8</f>
        <v>🔴 VERMELHO</v>
      </c>
      <c r="D18" s="21" t="str">
        <f>SINALEIRO!O8</f>
        <v>ATIVAÇÃO</v>
      </c>
      <c r="E18" s="23">
        <f>SINALEIRO!P8</f>
        <v>914964.47</v>
      </c>
      <c r="F18" s="22">
        <f>SINALEIRO!Q8</f>
        <v>0.11042944785276074</v>
      </c>
      <c r="G18" s="24">
        <f>SINALEIRO!T8</f>
        <v>3</v>
      </c>
    </row>
    <row r="19" spans="1:7" ht="15.6" x14ac:dyDescent="0.3">
      <c r="A19" s="17" t="str">
        <f>SINALEIRO!A9</f>
        <v>MUNDO VERDE</v>
      </c>
      <c r="B19" s="18">
        <f>SINALEIRO!M9</f>
        <v>1.5153855859383496E-2</v>
      </c>
      <c r="C19" s="17" t="str">
        <f>SINALEIRO!N9</f>
        <v>🔴 VERMELHO</v>
      </c>
      <c r="D19" s="17" t="str">
        <f>SINALEIRO!O9</f>
        <v>ATIVAÇÃO</v>
      </c>
      <c r="E19" s="19">
        <f>SINALEIRO!P9</f>
        <v>1131809.81</v>
      </c>
      <c r="F19" s="18">
        <f>SINALEIRO!Q9</f>
        <v>2.0100502512562814E-2</v>
      </c>
      <c r="G19" s="20">
        <f>SINALEIRO!T9</f>
        <v>1</v>
      </c>
    </row>
    <row r="20" spans="1:7" ht="15.6" x14ac:dyDescent="0.3">
      <c r="A20" s="21" t="str">
        <f>SINALEIRO!A10</f>
        <v>BIOMUNDO</v>
      </c>
      <c r="B20" s="22">
        <f>SINALEIRO!M10</f>
        <v>1.5615273349405085E-2</v>
      </c>
      <c r="C20" s="21" t="str">
        <f>SINALEIRO!N10</f>
        <v>🔴 VERMELHO</v>
      </c>
      <c r="D20" s="21" t="str">
        <f>SINALEIRO!O10</f>
        <v>ATIVAÇÃO</v>
      </c>
      <c r="E20" s="23">
        <f>SINALEIRO!P10</f>
        <v>949365.24</v>
      </c>
      <c r="F20" s="22">
        <f>SINALEIRO!Q10</f>
        <v>2.9940119760479042E-2</v>
      </c>
      <c r="G20" s="24">
        <f>SINALEIRO!T10</f>
        <v>2</v>
      </c>
    </row>
    <row r="21" spans="1:7" ht="15.6" x14ac:dyDescent="0.3">
      <c r="A21" s="17" t="str">
        <f>SINALEIRO!A11</f>
        <v>TUDO EM GRAOS</v>
      </c>
      <c r="B21" s="18">
        <f>SINALEIRO!M11</f>
        <v>6.7937662337662338E-2</v>
      </c>
      <c r="C21" s="17" t="str">
        <f>SINALEIRO!N11</f>
        <v>🔴 VERMELHO</v>
      </c>
      <c r="D21" s="17" t="str">
        <f>SINALEIRO!O11</f>
        <v>ATIVAÇÃO</v>
      </c>
      <c r="E21" s="19">
        <f>SINALEIRO!P11</f>
        <v>134566.5</v>
      </c>
      <c r="F21" s="18">
        <f>SINALEIRO!Q11</f>
        <v>0.04</v>
      </c>
      <c r="G21" s="20">
        <f>SINALEIRO!T11</f>
        <v>8</v>
      </c>
    </row>
    <row r="22" spans="1:7" ht="15.6" x14ac:dyDescent="0.3">
      <c r="A22" s="21" t="str">
        <f>SINALEIRO!A12</f>
        <v>ARMAZEM FITSTORE</v>
      </c>
      <c r="B22" s="22">
        <f>SINALEIRO!M12</f>
        <v>0</v>
      </c>
      <c r="C22" s="21" t="str">
        <f>SINALEIRO!N12</f>
        <v>🟣 ROXO</v>
      </c>
      <c r="D22" s="21" t="str">
        <f>SINALEIRO!O12</f>
        <v>PROSPECÇÃO</v>
      </c>
      <c r="E22" s="23">
        <f>SINALEIRO!P12</f>
        <v>658350</v>
      </c>
      <c r="F22" s="22">
        <f>SINALEIRO!Q12</f>
        <v>0</v>
      </c>
      <c r="G22" s="24">
        <f>SINALEIRO!T12</f>
        <v>4</v>
      </c>
    </row>
  </sheetData>
  <mergeCells count="16">
    <mergeCell ref="A13:G13"/>
    <mergeCell ref="A10:B10"/>
    <mergeCell ref="C10:D10"/>
    <mergeCell ref="E10:F10"/>
    <mergeCell ref="G10:H10"/>
    <mergeCell ref="A11:B11"/>
    <mergeCell ref="C11:D11"/>
    <mergeCell ref="E11:F11"/>
    <mergeCell ref="G11:H11"/>
    <mergeCell ref="A1:G1"/>
    <mergeCell ref="A2:G2"/>
    <mergeCell ref="A8:D8"/>
    <mergeCell ref="A9:B9"/>
    <mergeCell ref="C9:D9"/>
    <mergeCell ref="E9:F9"/>
    <mergeCell ref="G9:H9"/>
  </mergeCells>
  <conditionalFormatting sqref="B15:B22">
    <cfRule type="cellIs" dxfId="12" priority="2" operator="greaterThanOrEqual">
      <formula>0.6</formula>
    </cfRule>
    <cfRule type="cellIs" dxfId="11" priority="3" operator="lessThan">
      <formula>0.01</formula>
    </cfRule>
    <cfRule type="cellIs" dxfId="10" priority="4" operator="between">
      <formula>0.01</formula>
      <formula>0.3999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8E3C"/>
    <pageSetUpPr fitToPage="1"/>
  </sheetPr>
  <dimension ref="A1:F26"/>
  <sheetViews>
    <sheetView zoomScaleNormal="100" workbookViewId="0">
      <selection sqref="A1:F1"/>
    </sheetView>
  </sheetViews>
  <sheetFormatPr defaultColWidth="8.6640625" defaultRowHeight="14.4" x14ac:dyDescent="0.3"/>
  <cols>
    <col min="1" max="1" width="35" customWidth="1"/>
    <col min="2" max="3" width="18" customWidth="1"/>
    <col min="4" max="4" width="40" customWidth="1"/>
    <col min="5" max="5" width="25" customWidth="1"/>
    <col min="6" max="6" width="20" customWidth="1"/>
  </cols>
  <sheetData>
    <row r="1" spans="1:6" ht="21" x14ac:dyDescent="0.4">
      <c r="A1" s="2" t="s">
        <v>25</v>
      </c>
      <c r="B1" s="2"/>
      <c r="C1" s="2"/>
      <c r="D1" s="2"/>
      <c r="E1" s="2"/>
      <c r="F1" s="2"/>
    </row>
    <row r="2" spans="1:6" x14ac:dyDescent="0.3">
      <c r="A2" s="10" t="s">
        <v>26</v>
      </c>
      <c r="B2" s="10"/>
      <c r="C2" s="10"/>
      <c r="D2" s="10"/>
      <c r="E2" s="10"/>
      <c r="F2" s="10"/>
    </row>
    <row r="4" spans="1:6" ht="15.6" x14ac:dyDescent="0.3">
      <c r="A4" s="9" t="s">
        <v>27</v>
      </c>
      <c r="B4" s="9"/>
      <c r="C4" s="9"/>
    </row>
    <row r="5" spans="1:6" x14ac:dyDescent="0.3">
      <c r="A5" s="25" t="s">
        <v>28</v>
      </c>
      <c r="B5" s="16" t="s">
        <v>29</v>
      </c>
      <c r="C5" s="16" t="s">
        <v>30</v>
      </c>
      <c r="D5" s="25" t="s">
        <v>31</v>
      </c>
    </row>
    <row r="6" spans="1:6" x14ac:dyDescent="0.3">
      <c r="A6" s="26" t="s">
        <v>32</v>
      </c>
      <c r="B6" s="27">
        <v>525</v>
      </c>
      <c r="C6" s="28" t="s">
        <v>33</v>
      </c>
      <c r="D6" s="26" t="s">
        <v>34</v>
      </c>
    </row>
    <row r="7" spans="1:6" x14ac:dyDescent="0.3">
      <c r="A7" s="26" t="s">
        <v>35</v>
      </c>
      <c r="B7" s="27">
        <v>11</v>
      </c>
      <c r="C7" s="28" t="s">
        <v>36</v>
      </c>
      <c r="D7" s="26" t="s">
        <v>37</v>
      </c>
    </row>
    <row r="8" spans="1:6" ht="26.4" x14ac:dyDescent="0.3">
      <c r="A8" s="26" t="s">
        <v>38</v>
      </c>
      <c r="B8" s="29">
        <v>0.3</v>
      </c>
      <c r="C8" s="28" t="s">
        <v>39</v>
      </c>
      <c r="D8" s="26" t="s">
        <v>40</v>
      </c>
    </row>
    <row r="9" spans="1:6" x14ac:dyDescent="0.3">
      <c r="A9" s="26" t="s">
        <v>41</v>
      </c>
      <c r="B9" s="29">
        <v>0.15</v>
      </c>
      <c r="C9" s="28" t="s">
        <v>39</v>
      </c>
      <c r="D9" s="26" t="s">
        <v>42</v>
      </c>
    </row>
    <row r="12" spans="1:6" ht="15.6" x14ac:dyDescent="0.3">
      <c r="A12" s="9" t="s">
        <v>43</v>
      </c>
      <c r="B12" s="9"/>
      <c r="C12" s="9"/>
      <c r="D12" s="9"/>
      <c r="E12" s="9"/>
    </row>
    <row r="13" spans="1:6" x14ac:dyDescent="0.3">
      <c r="A13" s="16" t="s">
        <v>21</v>
      </c>
      <c r="B13" s="16" t="s">
        <v>44</v>
      </c>
      <c r="C13" s="16" t="s">
        <v>45</v>
      </c>
      <c r="D13" s="16" t="s">
        <v>46</v>
      </c>
      <c r="E13" s="16" t="s">
        <v>22</v>
      </c>
    </row>
    <row r="14" spans="1:6" x14ac:dyDescent="0.3">
      <c r="A14" s="30" t="s">
        <v>10</v>
      </c>
      <c r="B14" s="29">
        <v>0</v>
      </c>
      <c r="C14" s="29">
        <v>0.01</v>
      </c>
      <c r="D14" s="31" t="s">
        <v>47</v>
      </c>
      <c r="E14" s="31" t="s">
        <v>48</v>
      </c>
    </row>
    <row r="15" spans="1:6" x14ac:dyDescent="0.3">
      <c r="A15" s="32" t="s">
        <v>11</v>
      </c>
      <c r="B15" s="29">
        <v>0.01</v>
      </c>
      <c r="C15" s="29">
        <v>0.4</v>
      </c>
      <c r="D15" s="31" t="s">
        <v>49</v>
      </c>
      <c r="E15" s="31" t="s">
        <v>50</v>
      </c>
    </row>
    <row r="16" spans="1:6" x14ac:dyDescent="0.3">
      <c r="A16" s="33" t="s">
        <v>12</v>
      </c>
      <c r="B16" s="29">
        <v>0.4</v>
      </c>
      <c r="C16" s="29">
        <v>0.6</v>
      </c>
      <c r="D16" s="31" t="s">
        <v>51</v>
      </c>
      <c r="E16" s="31" t="s">
        <v>52</v>
      </c>
    </row>
    <row r="17" spans="1:5" x14ac:dyDescent="0.3">
      <c r="A17" s="34" t="s">
        <v>13</v>
      </c>
      <c r="B17" s="29">
        <v>0.6</v>
      </c>
      <c r="C17" s="29">
        <v>1</v>
      </c>
      <c r="D17" s="31" t="s">
        <v>53</v>
      </c>
      <c r="E17" s="31" t="s">
        <v>54</v>
      </c>
    </row>
    <row r="20" spans="1:5" ht="15.6" x14ac:dyDescent="0.3">
      <c r="A20" s="9" t="s">
        <v>55</v>
      </c>
      <c r="B20" s="9"/>
      <c r="C20" s="9"/>
      <c r="D20" s="9"/>
    </row>
    <row r="21" spans="1:5" x14ac:dyDescent="0.3">
      <c r="A21" s="35" t="s">
        <v>56</v>
      </c>
      <c r="B21" s="35" t="s">
        <v>57</v>
      </c>
      <c r="C21" s="35" t="s">
        <v>31</v>
      </c>
    </row>
    <row r="22" spans="1:5" x14ac:dyDescent="0.3">
      <c r="A22" s="36" t="s">
        <v>58</v>
      </c>
      <c r="B22" s="36">
        <f>PARAMETROS!B6</f>
        <v>525</v>
      </c>
      <c r="C22" s="36" t="s">
        <v>59</v>
      </c>
    </row>
    <row r="23" spans="1:5" x14ac:dyDescent="0.3">
      <c r="A23" s="36" t="s">
        <v>60</v>
      </c>
      <c r="B23" s="36">
        <f>PARAMETROS!B7</f>
        <v>11</v>
      </c>
      <c r="C23" s="36" t="s">
        <v>61</v>
      </c>
    </row>
    <row r="24" spans="1:5" x14ac:dyDescent="0.3">
      <c r="A24" s="36" t="s">
        <v>62</v>
      </c>
      <c r="B24" s="37">
        <f>PARAMETROS!C14</f>
        <v>0.01</v>
      </c>
      <c r="C24" s="36" t="s">
        <v>63</v>
      </c>
    </row>
    <row r="25" spans="1:5" x14ac:dyDescent="0.3">
      <c r="A25" s="36" t="s">
        <v>64</v>
      </c>
      <c r="B25" s="37">
        <f>PARAMETROS!C15</f>
        <v>0.4</v>
      </c>
      <c r="C25" s="36" t="s">
        <v>65</v>
      </c>
    </row>
    <row r="26" spans="1:5" x14ac:dyDescent="0.3">
      <c r="A26" s="36" t="s">
        <v>66</v>
      </c>
      <c r="B26" s="37">
        <f>PARAMETROS!C16</f>
        <v>0.6</v>
      </c>
      <c r="C26" s="36" t="s">
        <v>67</v>
      </c>
    </row>
  </sheetData>
  <mergeCells count="5">
    <mergeCell ref="A1:F1"/>
    <mergeCell ref="A2:F2"/>
    <mergeCell ref="A4:C4"/>
    <mergeCell ref="A12:E12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  <pageSetUpPr fitToPage="1"/>
  </sheetPr>
  <dimension ref="A1:T20"/>
  <sheetViews>
    <sheetView zoomScaleNormal="100" workbookViewId="0">
      <pane ySplit="4" topLeftCell="A5" activePane="bottomLeft" state="frozen"/>
      <selection pane="bottomLeft" sqref="A1:T1"/>
    </sheetView>
  </sheetViews>
  <sheetFormatPr defaultColWidth="8.6640625" defaultRowHeight="14.4" x14ac:dyDescent="0.3"/>
  <cols>
    <col min="1" max="1" width="22" customWidth="1"/>
    <col min="2" max="3" width="12" customWidth="1"/>
    <col min="4" max="6" width="10" customWidth="1"/>
    <col min="7" max="7" width="12" customWidth="1"/>
    <col min="8" max="8" width="14" customWidth="1"/>
    <col min="9" max="9" width="10" customWidth="1"/>
    <col min="10" max="10" width="16" customWidth="1"/>
    <col min="11" max="11" width="13" customWidth="1"/>
    <col min="12" max="12" width="16" customWidth="1"/>
    <col min="13" max="13" width="13" customWidth="1"/>
    <col min="14" max="14" width="14" customWidth="1"/>
    <col min="15" max="16" width="16" customWidth="1"/>
    <col min="17" max="17" width="13" customWidth="1"/>
    <col min="18" max="18" width="38" customWidth="1"/>
    <col min="19" max="20" width="12" customWidth="1"/>
  </cols>
  <sheetData>
    <row r="1" spans="1:20" ht="21" x14ac:dyDescent="0.4">
      <c r="A1" s="2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1" t="s">
        <v>69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4" spans="1:20" ht="26.4" x14ac:dyDescent="0.3">
      <c r="A4" s="16" t="s">
        <v>19</v>
      </c>
      <c r="B4" s="16" t="s">
        <v>70</v>
      </c>
      <c r="C4" s="16" t="s">
        <v>2</v>
      </c>
      <c r="D4" s="16" t="s">
        <v>71</v>
      </c>
      <c r="E4" s="16" t="s">
        <v>72</v>
      </c>
      <c r="F4" s="16" t="s">
        <v>73</v>
      </c>
      <c r="G4" s="16" t="s">
        <v>74</v>
      </c>
      <c r="H4" s="16" t="s">
        <v>75</v>
      </c>
      <c r="I4" s="16" t="s">
        <v>76</v>
      </c>
      <c r="J4" s="16" t="s">
        <v>77</v>
      </c>
      <c r="K4" s="16" t="s">
        <v>78</v>
      </c>
      <c r="L4" s="16" t="s">
        <v>5</v>
      </c>
      <c r="M4" s="16" t="s">
        <v>79</v>
      </c>
      <c r="N4" s="16" t="s">
        <v>21</v>
      </c>
      <c r="O4" s="16" t="s">
        <v>22</v>
      </c>
      <c r="P4" s="16" t="s">
        <v>80</v>
      </c>
      <c r="Q4" s="16" t="s">
        <v>81</v>
      </c>
      <c r="R4" s="16" t="s">
        <v>82</v>
      </c>
      <c r="S4" s="16" t="s">
        <v>83</v>
      </c>
      <c r="T4" s="16" t="s">
        <v>24</v>
      </c>
    </row>
    <row r="5" spans="1:20" ht="26.4" x14ac:dyDescent="0.3">
      <c r="A5" s="39" t="s">
        <v>84</v>
      </c>
      <c r="B5" s="39" t="s">
        <v>85</v>
      </c>
      <c r="C5" s="27">
        <v>89</v>
      </c>
      <c r="D5" s="27">
        <v>9</v>
      </c>
      <c r="E5" s="27">
        <v>5</v>
      </c>
      <c r="F5" s="27">
        <v>32</v>
      </c>
      <c r="G5" s="27">
        <v>43</v>
      </c>
      <c r="H5" s="27">
        <v>43</v>
      </c>
      <c r="I5" s="27">
        <v>127</v>
      </c>
      <c r="J5" s="40">
        <v>167322.34</v>
      </c>
      <c r="K5" s="41">
        <f t="shared" ref="K5:K12" si="0">IF(I5=0,0,J5/I5)</f>
        <v>1317.4987401574804</v>
      </c>
      <c r="L5" s="23">
        <f>C5*PARAMETROS!B6*PARAMETROS!B7</f>
        <v>513975</v>
      </c>
      <c r="M5" s="42">
        <f t="shared" ref="M5:M12" si="1">IF(L5=0,0,J5/L5)</f>
        <v>0.32554567829174569</v>
      </c>
      <c r="N5" s="43" t="str">
        <f>IF(M5&gt;=PARAMETROS!B17,"🟢 VERDE",IF(M5&gt;=PARAMETROS!B16,"🟡 AMARELO",IF(M5&gt;=PARAMETROS!B15,"🔴 VERMELHO","🟣 ROXO")))</f>
        <v>🔴 VERMELHO</v>
      </c>
      <c r="O5" s="21" t="str">
        <f>IF(M5&gt;=PARAMETROS!B17,"JBP",IF(M5&gt;=PARAMETROS!B16,"SELL OUT",IF(M5&gt;=0.1,"POSITIVAÇÃO",IF(J5&gt;0,"ATIVAÇÃO","PROSPECÇÃO"))))</f>
        <v>POSITIVAÇÃO</v>
      </c>
      <c r="P5" s="23">
        <f t="shared" ref="P5:P12" si="2">L5-J5</f>
        <v>346652.66000000003</v>
      </c>
      <c r="Q5" s="22">
        <f t="shared" ref="Q5:Q12" si="3">IF(C5=0,0,H5/C5)</f>
        <v>0.48314606741573035</v>
      </c>
      <c r="R5" s="44" t="str">
        <f t="shared" ref="R5:R12" si="4">IF(O5="JBP","JBP + BI completo + Plano Negócio",IF(O5="SELL OUT","Ajuste mix + Giro + Promoções",IF(O5="POSITIVAÇÃO","Aumentar frequência + Expandir base",IF(O5="ATIVAÇÃO","Reativar inativos + Prospectar","Mapear decisores + Apresentação institucional"))))</f>
        <v>Aumentar frequência + Expandir base</v>
      </c>
      <c r="S5" s="27">
        <v>47</v>
      </c>
      <c r="T5" s="24">
        <f t="shared" ref="T5:T12" si="5">RANK(P5,P$5:P$12,0)</f>
        <v>7</v>
      </c>
    </row>
    <row r="6" spans="1:20" ht="26.4" x14ac:dyDescent="0.3">
      <c r="A6" s="39" t="s">
        <v>86</v>
      </c>
      <c r="B6" s="39" t="s">
        <v>87</v>
      </c>
      <c r="C6" s="27">
        <v>85</v>
      </c>
      <c r="D6" s="27">
        <v>5</v>
      </c>
      <c r="E6" s="27">
        <v>0</v>
      </c>
      <c r="F6" s="27">
        <v>9</v>
      </c>
      <c r="G6" s="27">
        <v>71</v>
      </c>
      <c r="H6" s="27">
        <v>14</v>
      </c>
      <c r="I6" s="27">
        <v>25</v>
      </c>
      <c r="J6" s="40">
        <v>53776.25</v>
      </c>
      <c r="K6" s="41">
        <f t="shared" si="0"/>
        <v>2151.0500000000002</v>
      </c>
      <c r="L6" s="23">
        <f>C6*PARAMETROS!B6*PARAMETROS!B7</f>
        <v>490875</v>
      </c>
      <c r="M6" s="42">
        <f t="shared" si="1"/>
        <v>0.10955182072829131</v>
      </c>
      <c r="N6" s="43" t="str">
        <f>IF(M6&gt;=PARAMETROS!B17,"🟢 VERDE",IF(M6&gt;=PARAMETROS!B16,"🟡 AMARELO",IF(M6&gt;=PARAMETROS!B15,"🔴 VERMELHO","🟣 ROXO")))</f>
        <v>🔴 VERMELHO</v>
      </c>
      <c r="O6" s="21" t="str">
        <f>IF(M6&gt;=PARAMETROS!B17,"JBP",IF(M6&gt;=PARAMETROS!B16,"SELL OUT",IF(M6&gt;=0.1,"POSITIVAÇÃO",IF(J6&gt;0,"ATIVAÇÃO","PROSPECÇÃO"))))</f>
        <v>POSITIVAÇÃO</v>
      </c>
      <c r="P6" s="23">
        <f t="shared" si="2"/>
        <v>437098.75</v>
      </c>
      <c r="Q6" s="22">
        <f t="shared" si="3"/>
        <v>0.16470588235294117</v>
      </c>
      <c r="R6" s="44" t="str">
        <f t="shared" si="4"/>
        <v>Aumentar frequência + Expandir base</v>
      </c>
      <c r="S6" s="27">
        <v>27</v>
      </c>
      <c r="T6" s="24">
        <f t="shared" si="5"/>
        <v>5</v>
      </c>
    </row>
    <row r="7" spans="1:20" ht="26.4" x14ac:dyDescent="0.3">
      <c r="A7" s="39" t="s">
        <v>88</v>
      </c>
      <c r="B7" s="39" t="s">
        <v>87</v>
      </c>
      <c r="C7" s="27">
        <v>81</v>
      </c>
      <c r="D7" s="27">
        <v>8</v>
      </c>
      <c r="E7" s="27">
        <v>0</v>
      </c>
      <c r="F7" s="27">
        <v>10</v>
      </c>
      <c r="G7" s="27">
        <v>63</v>
      </c>
      <c r="H7" s="27">
        <v>17</v>
      </c>
      <c r="I7" s="27">
        <v>31</v>
      </c>
      <c r="J7" s="40">
        <v>41056.239999999998</v>
      </c>
      <c r="K7" s="41">
        <f t="shared" si="0"/>
        <v>1324.3948387096773</v>
      </c>
      <c r="L7" s="23">
        <f>C7*PARAMETROS!B6*PARAMETROS!B7</f>
        <v>467775</v>
      </c>
      <c r="M7" s="42">
        <f t="shared" si="1"/>
        <v>8.7769205280316384E-2</v>
      </c>
      <c r="N7" s="43" t="str">
        <f>IF(M7&gt;=PARAMETROS!B17,"🟢 VERDE",IF(M7&gt;=PARAMETROS!B16,"🟡 AMARELO",IF(M7&gt;=PARAMETROS!B15,"🔴 VERMELHO","🟣 ROXO")))</f>
        <v>🔴 VERMELHO</v>
      </c>
      <c r="O7" s="21" t="str">
        <f>IF(M7&gt;=PARAMETROS!B17,"JBP",IF(M7&gt;=PARAMETROS!B16,"SELL OUT",IF(M7&gt;=0.1,"POSITIVAÇÃO",IF(J7&gt;0,"ATIVAÇÃO","PROSPECÇÃO"))))</f>
        <v>ATIVAÇÃO</v>
      </c>
      <c r="P7" s="23">
        <f t="shared" si="2"/>
        <v>426718.76</v>
      </c>
      <c r="Q7" s="22">
        <f t="shared" si="3"/>
        <v>0.20987654320987653</v>
      </c>
      <c r="R7" s="44" t="str">
        <f t="shared" si="4"/>
        <v>Reativar inativos + Prospectar</v>
      </c>
      <c r="S7" s="27">
        <v>13</v>
      </c>
      <c r="T7" s="24">
        <f t="shared" si="5"/>
        <v>6</v>
      </c>
    </row>
    <row r="8" spans="1:20" ht="26.4" x14ac:dyDescent="0.3">
      <c r="A8" s="39" t="s">
        <v>89</v>
      </c>
      <c r="B8" s="39" t="s">
        <v>85</v>
      </c>
      <c r="C8" s="27">
        <v>163</v>
      </c>
      <c r="D8" s="27">
        <v>0</v>
      </c>
      <c r="E8" s="27">
        <v>4</v>
      </c>
      <c r="F8" s="27">
        <v>93</v>
      </c>
      <c r="G8" s="27">
        <v>66</v>
      </c>
      <c r="H8" s="27">
        <v>18</v>
      </c>
      <c r="I8" s="27">
        <v>24</v>
      </c>
      <c r="J8" s="40">
        <v>26360.53</v>
      </c>
      <c r="K8" s="41">
        <f t="shared" si="0"/>
        <v>1098.3554166666665</v>
      </c>
      <c r="L8" s="23">
        <f>C8*PARAMETROS!B6*PARAMETROS!B7</f>
        <v>941325</v>
      </c>
      <c r="M8" s="42">
        <f t="shared" si="1"/>
        <v>2.8003643799962816E-2</v>
      </c>
      <c r="N8" s="43" t="str">
        <f>IF(M8&gt;=PARAMETROS!B17,"🟢 VERDE",IF(M8&gt;=PARAMETROS!B16,"🟡 AMARELO",IF(M8&gt;=PARAMETROS!B15,"🔴 VERMELHO","🟣 ROXO")))</f>
        <v>🔴 VERMELHO</v>
      </c>
      <c r="O8" s="21" t="str">
        <f>IF(M8&gt;=PARAMETROS!B17,"JBP",IF(M8&gt;=PARAMETROS!B16,"SELL OUT",IF(M8&gt;=0.1,"POSITIVAÇÃO",IF(J8&gt;0,"ATIVAÇÃO","PROSPECÇÃO"))))</f>
        <v>ATIVAÇÃO</v>
      </c>
      <c r="P8" s="23">
        <f t="shared" si="2"/>
        <v>914964.47</v>
      </c>
      <c r="Q8" s="22">
        <f t="shared" si="3"/>
        <v>0.11042944785276074</v>
      </c>
      <c r="R8" s="44" t="str">
        <f t="shared" si="4"/>
        <v>Reativar inativos + Prospectar</v>
      </c>
      <c r="S8" s="27">
        <v>70</v>
      </c>
      <c r="T8" s="24">
        <f t="shared" si="5"/>
        <v>3</v>
      </c>
    </row>
    <row r="9" spans="1:20" ht="26.4" x14ac:dyDescent="0.3">
      <c r="A9" s="39" t="s">
        <v>90</v>
      </c>
      <c r="B9" s="39" t="s">
        <v>87</v>
      </c>
      <c r="C9" s="27">
        <v>199</v>
      </c>
      <c r="D9" s="27">
        <v>1</v>
      </c>
      <c r="E9" s="27">
        <v>0</v>
      </c>
      <c r="F9" s="27">
        <v>3</v>
      </c>
      <c r="G9" s="27">
        <v>195</v>
      </c>
      <c r="H9" s="27">
        <v>4</v>
      </c>
      <c r="I9" s="27">
        <v>10</v>
      </c>
      <c r="J9" s="40">
        <v>17415.189999999999</v>
      </c>
      <c r="K9" s="41">
        <f t="shared" si="0"/>
        <v>1741.5189999999998</v>
      </c>
      <c r="L9" s="23">
        <f>C9*PARAMETROS!B6*PARAMETROS!B7</f>
        <v>1149225</v>
      </c>
      <c r="M9" s="42">
        <f t="shared" si="1"/>
        <v>1.5153855859383496E-2</v>
      </c>
      <c r="N9" s="43" t="str">
        <f>IF(M9&gt;=PARAMETROS!B17,"🟢 VERDE",IF(M9&gt;=PARAMETROS!B16,"🟡 AMARELO",IF(M9&gt;=PARAMETROS!B15,"🔴 VERMELHO","🟣 ROXO")))</f>
        <v>🔴 VERMELHO</v>
      </c>
      <c r="O9" s="21" t="str">
        <f>IF(M9&gt;=PARAMETROS!B17,"JBP",IF(M9&gt;=PARAMETROS!B16,"SELL OUT",IF(M9&gt;=0.1,"POSITIVAÇÃO",IF(J9&gt;0,"ATIVAÇÃO","PROSPECÇÃO"))))</f>
        <v>ATIVAÇÃO</v>
      </c>
      <c r="P9" s="23">
        <f t="shared" si="2"/>
        <v>1131809.81</v>
      </c>
      <c r="Q9" s="22">
        <f t="shared" si="3"/>
        <v>2.0100502512562814E-2</v>
      </c>
      <c r="R9" s="44" t="str">
        <f t="shared" si="4"/>
        <v>Reativar inativos + Prospectar</v>
      </c>
      <c r="S9" s="27">
        <v>16</v>
      </c>
      <c r="T9" s="24">
        <f t="shared" si="5"/>
        <v>1</v>
      </c>
    </row>
    <row r="10" spans="1:20" ht="26.4" x14ac:dyDescent="0.3">
      <c r="A10" s="39" t="s">
        <v>91</v>
      </c>
      <c r="B10" s="39" t="s">
        <v>87</v>
      </c>
      <c r="C10" s="27">
        <v>167</v>
      </c>
      <c r="D10" s="27">
        <v>0</v>
      </c>
      <c r="E10" s="27">
        <v>0</v>
      </c>
      <c r="F10" s="27">
        <v>4</v>
      </c>
      <c r="G10" s="27">
        <v>163</v>
      </c>
      <c r="H10" s="27">
        <v>5</v>
      </c>
      <c r="I10" s="27">
        <v>13</v>
      </c>
      <c r="J10" s="40">
        <v>15059.76</v>
      </c>
      <c r="K10" s="41">
        <f t="shared" si="0"/>
        <v>1158.4430769230769</v>
      </c>
      <c r="L10" s="23">
        <f>C10*PARAMETROS!B6*PARAMETROS!B7</f>
        <v>964425</v>
      </c>
      <c r="M10" s="42">
        <f t="shared" si="1"/>
        <v>1.5615273349405085E-2</v>
      </c>
      <c r="N10" s="43" t="str">
        <f>IF(M10&gt;=PARAMETROS!B17,"🟢 VERDE",IF(M10&gt;=PARAMETROS!B16,"🟡 AMARELO",IF(M10&gt;=PARAMETROS!B15,"🔴 VERMELHO","🟣 ROXO")))</f>
        <v>🔴 VERMELHO</v>
      </c>
      <c r="O10" s="21" t="str">
        <f>IF(M10&gt;=PARAMETROS!B17,"JBP",IF(M10&gt;=PARAMETROS!B16,"SELL OUT",IF(M10&gt;=0.1,"POSITIVAÇÃO",IF(J10&gt;0,"ATIVAÇÃO","PROSPECÇÃO"))))</f>
        <v>ATIVAÇÃO</v>
      </c>
      <c r="P10" s="23">
        <f t="shared" si="2"/>
        <v>949365.24</v>
      </c>
      <c r="Q10" s="22">
        <f t="shared" si="3"/>
        <v>2.9940119760479042E-2</v>
      </c>
      <c r="R10" s="44" t="str">
        <f t="shared" si="4"/>
        <v>Reativar inativos + Prospectar</v>
      </c>
      <c r="S10" s="27">
        <v>30</v>
      </c>
      <c r="T10" s="24">
        <f t="shared" si="5"/>
        <v>2</v>
      </c>
    </row>
    <row r="11" spans="1:20" ht="26.4" x14ac:dyDescent="0.3">
      <c r="A11" s="39" t="s">
        <v>92</v>
      </c>
      <c r="B11" s="39" t="s">
        <v>93</v>
      </c>
      <c r="C11" s="27">
        <v>25</v>
      </c>
      <c r="D11" s="27">
        <v>1</v>
      </c>
      <c r="E11" s="27">
        <v>0</v>
      </c>
      <c r="F11" s="27">
        <v>0</v>
      </c>
      <c r="G11" s="27">
        <v>24</v>
      </c>
      <c r="H11" s="27">
        <v>1</v>
      </c>
      <c r="I11" s="27">
        <v>6</v>
      </c>
      <c r="J11" s="40">
        <v>9808.5</v>
      </c>
      <c r="K11" s="41">
        <f t="shared" si="0"/>
        <v>1634.75</v>
      </c>
      <c r="L11" s="23">
        <f>C11*PARAMETROS!B6*PARAMETROS!B7</f>
        <v>144375</v>
      </c>
      <c r="M11" s="42">
        <f t="shared" si="1"/>
        <v>6.7937662337662338E-2</v>
      </c>
      <c r="N11" s="43" t="str">
        <f>IF(M11&gt;=PARAMETROS!B17,"🟢 VERDE",IF(M11&gt;=PARAMETROS!B16,"🟡 AMARELO",IF(M11&gt;=PARAMETROS!B15,"🔴 VERMELHO","🟣 ROXO")))</f>
        <v>🔴 VERMELHO</v>
      </c>
      <c r="O11" s="21" t="str">
        <f>IF(M11&gt;=PARAMETROS!B17,"JBP",IF(M11&gt;=PARAMETROS!B16,"SELL OUT",IF(M11&gt;=0.1,"POSITIVAÇÃO",IF(J11&gt;0,"ATIVAÇÃO","PROSPECÇÃO"))))</f>
        <v>ATIVAÇÃO</v>
      </c>
      <c r="P11" s="23">
        <f t="shared" si="2"/>
        <v>134566.5</v>
      </c>
      <c r="Q11" s="22">
        <f t="shared" si="3"/>
        <v>0.04</v>
      </c>
      <c r="R11" s="44" t="str">
        <f t="shared" si="4"/>
        <v>Reativar inativos + Prospectar</v>
      </c>
      <c r="S11" s="27">
        <v>1</v>
      </c>
      <c r="T11" s="24">
        <f t="shared" si="5"/>
        <v>8</v>
      </c>
    </row>
    <row r="12" spans="1:20" ht="26.4" x14ac:dyDescent="0.3">
      <c r="A12" s="39" t="s">
        <v>94</v>
      </c>
      <c r="B12" s="39" t="s">
        <v>87</v>
      </c>
      <c r="C12" s="27">
        <v>114</v>
      </c>
      <c r="D12" s="27">
        <v>0</v>
      </c>
      <c r="E12" s="27">
        <v>0</v>
      </c>
      <c r="F12" s="27">
        <v>0</v>
      </c>
      <c r="G12" s="27">
        <v>114</v>
      </c>
      <c r="H12" s="27">
        <v>0</v>
      </c>
      <c r="I12" s="27">
        <v>0</v>
      </c>
      <c r="J12" s="40">
        <v>0</v>
      </c>
      <c r="K12" s="41">
        <f t="shared" si="0"/>
        <v>0</v>
      </c>
      <c r="L12" s="23">
        <f>C12*PARAMETROS!B6*PARAMETROS!B7</f>
        <v>658350</v>
      </c>
      <c r="M12" s="42">
        <f t="shared" si="1"/>
        <v>0</v>
      </c>
      <c r="N12" s="43" t="str">
        <f>IF(M12&gt;=PARAMETROS!B17,"🟢 VERDE",IF(M12&gt;=PARAMETROS!B16,"🟡 AMARELO",IF(M12&gt;=PARAMETROS!B15,"🔴 VERMELHO","🟣 ROXO")))</f>
        <v>🟣 ROXO</v>
      </c>
      <c r="O12" s="21" t="str">
        <f>IF(M12&gt;=PARAMETROS!B17,"JBP",IF(M12&gt;=PARAMETROS!B16,"SELL OUT",IF(M12&gt;=0.1,"POSITIVAÇÃO",IF(J12&gt;0,"ATIVAÇÃO","PROSPECÇÃO"))))</f>
        <v>PROSPECÇÃO</v>
      </c>
      <c r="P12" s="23">
        <f t="shared" si="2"/>
        <v>658350</v>
      </c>
      <c r="Q12" s="22">
        <f t="shared" si="3"/>
        <v>0</v>
      </c>
      <c r="R12" s="44" t="str">
        <f t="shared" si="4"/>
        <v>Mapear decisores + Apresentação institucional</v>
      </c>
      <c r="S12" s="27">
        <v>0</v>
      </c>
      <c r="T12" s="24">
        <f t="shared" si="5"/>
        <v>4</v>
      </c>
    </row>
    <row r="14" spans="1:20" ht="26.4" x14ac:dyDescent="0.3">
      <c r="A14" s="45" t="s">
        <v>95</v>
      </c>
      <c r="B14" s="46"/>
      <c r="C14" s="47">
        <f t="shared" ref="C14:J14" si="6">SUM(C5:C12)</f>
        <v>923</v>
      </c>
      <c r="D14" s="47">
        <f t="shared" si="6"/>
        <v>24</v>
      </c>
      <c r="E14" s="47">
        <f t="shared" si="6"/>
        <v>9</v>
      </c>
      <c r="F14" s="47">
        <f t="shared" si="6"/>
        <v>151</v>
      </c>
      <c r="G14" s="47">
        <f t="shared" si="6"/>
        <v>739</v>
      </c>
      <c r="H14" s="47">
        <f t="shared" si="6"/>
        <v>102</v>
      </c>
      <c r="I14" s="47">
        <f t="shared" si="6"/>
        <v>236</v>
      </c>
      <c r="J14" s="48">
        <f t="shared" si="6"/>
        <v>330798.81</v>
      </c>
      <c r="K14" s="48">
        <f>IF(I14=0,0,J14/I14)</f>
        <v>1401.689872881356</v>
      </c>
      <c r="L14" s="47">
        <f>SUM(L5:L12)</f>
        <v>5330325</v>
      </c>
      <c r="M14" s="49">
        <f>IF(L14=0,0,J14/L14)</f>
        <v>6.2059782471050075E-2</v>
      </c>
      <c r="N14" s="46" t="str">
        <f>IF(M14&gt;=PARAMETROS!B17,"🟢 VERDE",IF(M14&gt;=PARAMETROS!B16,"🟡 AMARELO",IF(M14&gt;=PARAMETROS!B15,"🔴 VERMELHO","🟣 ROXO")))</f>
        <v>🔴 VERMELHO</v>
      </c>
      <c r="O14" s="46"/>
      <c r="P14" s="47">
        <f>SUM(P5:P12)</f>
        <v>4999526.1899999995</v>
      </c>
      <c r="Q14" s="50">
        <f>IF(C14=0,0,H14/C14)</f>
        <v>0.1105092091007584</v>
      </c>
      <c r="R14" s="46"/>
      <c r="S14" s="47">
        <f>SUM(S5:S12)</f>
        <v>204</v>
      </c>
      <c r="T14" s="46"/>
    </row>
    <row r="16" spans="1:20" ht="15.6" x14ac:dyDescent="0.3">
      <c r="A16" s="9" t="s">
        <v>96</v>
      </c>
      <c r="B16" s="9"/>
      <c r="C16" s="9"/>
      <c r="D16" s="9"/>
      <c r="F16" s="9" t="s">
        <v>97</v>
      </c>
      <c r="G16" s="9"/>
      <c r="H16" s="9"/>
      <c r="I16" s="9"/>
      <c r="J16" s="9"/>
    </row>
    <row r="17" spans="1:7" ht="17.399999999999999" x14ac:dyDescent="0.3">
      <c r="A17" s="51" t="s">
        <v>10</v>
      </c>
      <c r="B17" s="52">
        <f>COUNTIF(N5:N12,"*ROXO*")</f>
        <v>1</v>
      </c>
      <c r="C17" s="36" t="s">
        <v>98</v>
      </c>
      <c r="F17" s="53" t="s">
        <v>99</v>
      </c>
      <c r="G17" s="54">
        <v>700</v>
      </c>
    </row>
    <row r="18" spans="1:7" ht="17.399999999999999" x14ac:dyDescent="0.3">
      <c r="A18" s="55" t="s">
        <v>11</v>
      </c>
      <c r="B18" s="56">
        <f>COUNTIF(N5:N12,"*VERMELHO*")</f>
        <v>7</v>
      </c>
      <c r="C18" s="36" t="s">
        <v>98</v>
      </c>
      <c r="F18" s="53" t="s">
        <v>100</v>
      </c>
      <c r="G18" s="57">
        <f>C14*G17*PARAMETROS!B7</f>
        <v>7107100</v>
      </c>
    </row>
    <row r="19" spans="1:7" ht="17.399999999999999" x14ac:dyDescent="0.3">
      <c r="A19" s="58" t="s">
        <v>12</v>
      </c>
      <c r="B19" s="59">
        <f>COUNTIF(N5:N12,"*AMARELO*")</f>
        <v>0</v>
      </c>
      <c r="C19" s="36" t="s">
        <v>98</v>
      </c>
      <c r="F19" s="53" t="s">
        <v>101</v>
      </c>
      <c r="G19" s="60">
        <f>IF(G18=0,0,J14/G18)</f>
        <v>4.6544836853287558E-2</v>
      </c>
    </row>
    <row r="20" spans="1:7" ht="17.399999999999999" x14ac:dyDescent="0.3">
      <c r="A20" s="61" t="s">
        <v>13</v>
      </c>
      <c r="B20" s="62">
        <f>COUNTIF(N5:N12,"*VERDE*")</f>
        <v>0</v>
      </c>
      <c r="C20" s="36" t="s">
        <v>98</v>
      </c>
      <c r="F20" s="53" t="s">
        <v>102</v>
      </c>
      <c r="G20" s="57">
        <f>G18-J14</f>
        <v>6776301.1900000004</v>
      </c>
    </row>
  </sheetData>
  <mergeCells count="4">
    <mergeCell ref="A1:T1"/>
    <mergeCell ref="A2:T2"/>
    <mergeCell ref="A16:D16"/>
    <mergeCell ref="F16:J16"/>
  </mergeCells>
  <conditionalFormatting sqref="M5:M12">
    <cfRule type="cellIs" dxfId="9" priority="2" operator="greaterThanOrEqual">
      <formula>0.6</formula>
    </cfRule>
    <cfRule type="cellIs" dxfId="8" priority="3" operator="between">
      <formula>0.4</formula>
      <formula>0.5999</formula>
    </cfRule>
    <cfRule type="cellIs" dxfId="7" priority="4" operator="between">
      <formula>0.01</formula>
      <formula>0.3999</formula>
    </cfRule>
    <cfRule type="cellIs" dxfId="6" priority="5" operator="lessThan">
      <formula>0.01</formula>
    </cfRule>
  </conditionalFormatting>
  <conditionalFormatting sqref="P5:P12">
    <cfRule type="cellIs" dxfId="5" priority="6" operator="greaterThan">
      <formula>400000</formula>
    </cfRule>
  </conditionalFormatting>
  <conditionalFormatting sqref="Q5:Q12">
    <cfRule type="cellIs" dxfId="4" priority="7" operator="greaterThanOrEqual">
      <formula>0.3</formula>
    </cfRule>
    <cfRule type="cellIs" dxfId="3" priority="8" operator="lessThan">
      <formula>0.1</formula>
    </cfRule>
  </conditionalFormatting>
  <conditionalFormatting sqref="T5:T12">
    <cfRule type="cellIs" dxfId="2" priority="9" operator="lessThanOrEqual">
      <formula>3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CAF50"/>
    <pageSetUpPr fitToPage="1"/>
  </sheetPr>
  <dimension ref="A1:H12"/>
  <sheetViews>
    <sheetView zoomScaleNormal="100" workbookViewId="0">
      <pane ySplit="4" topLeftCell="A5" activePane="bottomLeft" state="frozen"/>
      <selection pane="bottomLeft" sqref="A1:H1"/>
    </sheetView>
  </sheetViews>
  <sheetFormatPr defaultColWidth="8.6640625" defaultRowHeight="14.4" x14ac:dyDescent="0.3"/>
  <cols>
    <col min="1" max="1" width="6" customWidth="1"/>
    <col min="2" max="2" width="22" customWidth="1"/>
    <col min="3" max="4" width="12" customWidth="1"/>
    <col min="5" max="6" width="16" customWidth="1"/>
    <col min="7" max="7" width="12" customWidth="1"/>
    <col min="8" max="8" width="70" customWidth="1"/>
  </cols>
  <sheetData>
    <row r="1" spans="1:8" ht="21" x14ac:dyDescent="0.4">
      <c r="A1" s="2" t="s">
        <v>103</v>
      </c>
      <c r="B1" s="2"/>
      <c r="C1" s="2"/>
      <c r="D1" s="2"/>
      <c r="E1" s="2"/>
      <c r="F1" s="2"/>
      <c r="G1" s="2"/>
      <c r="H1" s="2"/>
    </row>
    <row r="2" spans="1:8" x14ac:dyDescent="0.3">
      <c r="A2" s="38" t="s">
        <v>104</v>
      </c>
    </row>
    <row r="4" spans="1:8" ht="26.4" x14ac:dyDescent="0.3">
      <c r="A4" s="16" t="s">
        <v>105</v>
      </c>
      <c r="B4" s="16" t="s">
        <v>19</v>
      </c>
      <c r="C4" s="16" t="s">
        <v>70</v>
      </c>
      <c r="D4" s="16" t="s">
        <v>20</v>
      </c>
      <c r="E4" s="16" t="s">
        <v>21</v>
      </c>
      <c r="F4" s="16" t="s">
        <v>23</v>
      </c>
      <c r="G4" s="16" t="s">
        <v>106</v>
      </c>
      <c r="H4" s="16" t="s">
        <v>107</v>
      </c>
    </row>
    <row r="5" spans="1:8" ht="26.4" x14ac:dyDescent="0.3">
      <c r="A5" s="24">
        <f>SINALEIRO!T5</f>
        <v>7</v>
      </c>
      <c r="B5" s="63" t="str">
        <f>SINALEIRO!A5</f>
        <v>FIT LAND</v>
      </c>
      <c r="C5" s="28" t="str">
        <f>SINALEIRO!B5</f>
        <v>JULIO</v>
      </c>
      <c r="D5" s="64">
        <f>SINALEIRO!M5</f>
        <v>0.32554567829174569</v>
      </c>
      <c r="E5" s="43" t="str">
        <f>SINALEIRO!N5</f>
        <v>🔴 VERMELHO</v>
      </c>
      <c r="F5" s="23">
        <f>SINALEIRO!P5</f>
        <v>346652.66000000003</v>
      </c>
      <c r="G5" s="29">
        <v>0.1</v>
      </c>
      <c r="H5" s="65" t="s">
        <v>108</v>
      </c>
    </row>
    <row r="6" spans="1:8" ht="26.4" x14ac:dyDescent="0.3">
      <c r="A6" s="24">
        <f>SINALEIRO!T6</f>
        <v>5</v>
      </c>
      <c r="B6" s="63" t="str">
        <f>SINALEIRO!A6</f>
        <v>DIVINA TERRA</v>
      </c>
      <c r="C6" s="28" t="str">
        <f>SINALEIRO!B6</f>
        <v>DAIANE</v>
      </c>
      <c r="D6" s="64">
        <f>SINALEIRO!M6</f>
        <v>0.10955182072829131</v>
      </c>
      <c r="E6" s="43" t="str">
        <f>SINALEIRO!N6</f>
        <v>🔴 VERMELHO</v>
      </c>
      <c r="F6" s="23">
        <f>SINALEIRO!P6</f>
        <v>437098.75</v>
      </c>
      <c r="G6" s="29">
        <v>0.05</v>
      </c>
      <c r="H6" s="65" t="s">
        <v>109</v>
      </c>
    </row>
    <row r="7" spans="1:8" ht="15.6" x14ac:dyDescent="0.3">
      <c r="A7" s="24">
        <f>SINALEIRO!T7</f>
        <v>6</v>
      </c>
      <c r="B7" s="63" t="str">
        <f>SINALEIRO!A7</f>
        <v>VIDA LEVE</v>
      </c>
      <c r="C7" s="28" t="str">
        <f>SINALEIRO!B7</f>
        <v>DAIANE</v>
      </c>
      <c r="D7" s="64">
        <f>SINALEIRO!M7</f>
        <v>8.7769205280316384E-2</v>
      </c>
      <c r="E7" s="43" t="str">
        <f>SINALEIRO!N7</f>
        <v>🔴 VERMELHO</v>
      </c>
      <c r="F7" s="23">
        <f>SINALEIRO!P7</f>
        <v>426718.76</v>
      </c>
      <c r="G7" s="29">
        <v>0.03</v>
      </c>
      <c r="H7" s="65" t="s">
        <v>110</v>
      </c>
    </row>
    <row r="8" spans="1:8" ht="15.6" x14ac:dyDescent="0.3">
      <c r="A8" s="24">
        <f>SINALEIRO!T8</f>
        <v>3</v>
      </c>
      <c r="B8" s="63" t="str">
        <f>SINALEIRO!A8</f>
        <v>CIA DA SAUDE</v>
      </c>
      <c r="C8" s="28" t="str">
        <f>SINALEIRO!B8</f>
        <v>JULIO</v>
      </c>
      <c r="D8" s="64">
        <f>SINALEIRO!M8</f>
        <v>2.8003643799962816E-2</v>
      </c>
      <c r="E8" s="43" t="str">
        <f>SINALEIRO!N8</f>
        <v>🔴 VERMELHO</v>
      </c>
      <c r="F8" s="23">
        <f>SINALEIRO!P8</f>
        <v>914964.47</v>
      </c>
      <c r="G8" s="29">
        <v>0.03</v>
      </c>
      <c r="H8" s="65" t="s">
        <v>111</v>
      </c>
    </row>
    <row r="9" spans="1:8" ht="15.6" x14ac:dyDescent="0.3">
      <c r="A9" s="24">
        <f>SINALEIRO!T9</f>
        <v>1</v>
      </c>
      <c r="B9" s="63" t="str">
        <f>SINALEIRO!A9</f>
        <v>MUNDO VERDE</v>
      </c>
      <c r="C9" s="28" t="str">
        <f>SINALEIRO!B9</f>
        <v>DAIANE</v>
      </c>
      <c r="D9" s="64">
        <f>SINALEIRO!M9</f>
        <v>1.5153855859383496E-2</v>
      </c>
      <c r="E9" s="43" t="str">
        <f>SINALEIRO!N9</f>
        <v>🔴 VERMELHO</v>
      </c>
      <c r="F9" s="23">
        <f>SINALEIRO!P9</f>
        <v>1131809.81</v>
      </c>
      <c r="G9" s="29">
        <v>0.02</v>
      </c>
      <c r="H9" s="65" t="s">
        <v>112</v>
      </c>
    </row>
    <row r="10" spans="1:8" ht="26.4" x14ac:dyDescent="0.3">
      <c r="A10" s="24">
        <f>SINALEIRO!T10</f>
        <v>2</v>
      </c>
      <c r="B10" s="63" t="str">
        <f>SINALEIRO!A10</f>
        <v>BIOMUNDO</v>
      </c>
      <c r="C10" s="28" t="str">
        <f>SINALEIRO!B10</f>
        <v>DAIANE</v>
      </c>
      <c r="D10" s="64">
        <f>SINALEIRO!M10</f>
        <v>1.5615273349405085E-2</v>
      </c>
      <c r="E10" s="43" t="str">
        <f>SINALEIRO!N10</f>
        <v>🔴 VERMELHO</v>
      </c>
      <c r="F10" s="23">
        <f>SINALEIRO!P10</f>
        <v>949365.24</v>
      </c>
      <c r="G10" s="29">
        <v>0.02</v>
      </c>
      <c r="H10" s="65" t="s">
        <v>113</v>
      </c>
    </row>
    <row r="11" spans="1:8" ht="15.6" x14ac:dyDescent="0.3">
      <c r="A11" s="24">
        <f>SINALEIRO!T11</f>
        <v>8</v>
      </c>
      <c r="B11" s="63" t="str">
        <f>SINALEIRO!A11</f>
        <v>TUDO EM GRAOS</v>
      </c>
      <c r="C11" s="28" t="str">
        <f>SINALEIRO!B11</f>
        <v>MANU</v>
      </c>
      <c r="D11" s="64">
        <f>SINALEIRO!M11</f>
        <v>6.7937662337662338E-2</v>
      </c>
      <c r="E11" s="43" t="str">
        <f>SINALEIRO!N11</f>
        <v>🔴 VERMELHO</v>
      </c>
      <c r="F11" s="23">
        <f>SINALEIRO!P11</f>
        <v>134566.5</v>
      </c>
      <c r="G11" s="29">
        <v>0.1</v>
      </c>
      <c r="H11" s="65" t="s">
        <v>114</v>
      </c>
    </row>
    <row r="12" spans="1:8" ht="15.6" x14ac:dyDescent="0.3">
      <c r="A12" s="24">
        <f>SINALEIRO!T12</f>
        <v>4</v>
      </c>
      <c r="B12" s="63" t="str">
        <f>SINALEIRO!A12</f>
        <v>ARMAZEM FITSTORE</v>
      </c>
      <c r="C12" s="28" t="str">
        <f>SINALEIRO!B12</f>
        <v>DAIANE</v>
      </c>
      <c r="D12" s="64">
        <f>SINALEIRO!M12</f>
        <v>0</v>
      </c>
      <c r="E12" s="43" t="str">
        <f>SINALEIRO!N12</f>
        <v>🟣 ROXO</v>
      </c>
      <c r="F12" s="23">
        <f>SINALEIRO!P12</f>
        <v>658350</v>
      </c>
      <c r="G12" s="29">
        <v>0.01</v>
      </c>
      <c r="H12" s="65" t="s">
        <v>115</v>
      </c>
    </row>
  </sheetData>
  <mergeCells count="1">
    <mergeCell ref="A1:H1"/>
  </mergeCells>
  <conditionalFormatting sqref="D5:D12">
    <cfRule type="cellIs" dxfId="1" priority="2" operator="lessThan">
      <formula>0.01</formula>
    </cfRule>
    <cfRule type="cellIs" dxfId="0" priority="3" operator="between">
      <formula>0.01</formula>
      <formula>0.3999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6BB6A"/>
    <pageSetUpPr fitToPage="1"/>
  </sheetPr>
  <dimension ref="A1:F8"/>
  <sheetViews>
    <sheetView zoomScaleNormal="100" workbookViewId="0">
      <selection sqref="A1:F1"/>
    </sheetView>
  </sheetViews>
  <sheetFormatPr defaultColWidth="8.6640625" defaultRowHeight="14.4" x14ac:dyDescent="0.3"/>
  <cols>
    <col min="1" max="1" width="18" customWidth="1"/>
    <col min="2" max="2" width="16" customWidth="1"/>
    <col min="3" max="3" width="25" customWidth="1"/>
    <col min="4" max="5" width="22" customWidth="1"/>
    <col min="6" max="6" width="18" customWidth="1"/>
  </cols>
  <sheetData>
    <row r="1" spans="1:6" ht="21" x14ac:dyDescent="0.4">
      <c r="A1" s="2" t="s">
        <v>116</v>
      </c>
      <c r="B1" s="2"/>
      <c r="C1" s="2"/>
      <c r="D1" s="2"/>
      <c r="E1" s="2"/>
      <c r="F1" s="2"/>
    </row>
    <row r="3" spans="1:6" x14ac:dyDescent="0.3">
      <c r="A3" s="16" t="s">
        <v>22</v>
      </c>
      <c r="B3" s="16" t="s">
        <v>117</v>
      </c>
      <c r="C3" s="16" t="s">
        <v>118</v>
      </c>
      <c r="D3" s="16" t="s">
        <v>119</v>
      </c>
      <c r="E3" s="16" t="s">
        <v>120</v>
      </c>
      <c r="F3" s="16" t="s">
        <v>121</v>
      </c>
    </row>
    <row r="4" spans="1:6" ht="17.399999999999999" x14ac:dyDescent="0.3">
      <c r="A4" s="51" t="s">
        <v>48</v>
      </c>
      <c r="B4" s="66" t="s">
        <v>122</v>
      </c>
      <c r="C4" s="66" t="s">
        <v>123</v>
      </c>
      <c r="D4" s="66" t="s">
        <v>124</v>
      </c>
      <c r="E4" s="66" t="s">
        <v>125</v>
      </c>
      <c r="F4" s="67">
        <f>COUNTIF(SINALEIRO!O5:O12,"PROSPECÇÃO")</f>
        <v>1</v>
      </c>
    </row>
    <row r="5" spans="1:6" ht="17.399999999999999" x14ac:dyDescent="0.3">
      <c r="A5" s="68" t="s">
        <v>126</v>
      </c>
      <c r="B5" s="66" t="s">
        <v>127</v>
      </c>
      <c r="C5" s="66" t="s">
        <v>128</v>
      </c>
      <c r="D5" s="66" t="s">
        <v>129</v>
      </c>
      <c r="E5" s="66" t="s">
        <v>130</v>
      </c>
      <c r="F5" s="67">
        <f>COUNTIF(SINALEIRO!O5:O12,"ATIVAÇÃO")</f>
        <v>5</v>
      </c>
    </row>
    <row r="6" spans="1:6" ht="17.399999999999999" x14ac:dyDescent="0.3">
      <c r="A6" s="55" t="s">
        <v>131</v>
      </c>
      <c r="B6" s="66" t="s">
        <v>122</v>
      </c>
      <c r="C6" s="66" t="s">
        <v>132</v>
      </c>
      <c r="D6" s="66" t="s">
        <v>124</v>
      </c>
      <c r="E6" s="66" t="s">
        <v>133</v>
      </c>
      <c r="F6" s="67">
        <f>COUNTIF(SINALEIRO!O5:O12,"POSITIVAÇÃO")</f>
        <v>2</v>
      </c>
    </row>
    <row r="7" spans="1:6" ht="17.399999999999999" x14ac:dyDescent="0.3">
      <c r="A7" s="58" t="s">
        <v>52</v>
      </c>
      <c r="B7" s="66" t="s">
        <v>134</v>
      </c>
      <c r="C7" s="66" t="s">
        <v>135</v>
      </c>
      <c r="D7" s="66" t="s">
        <v>129</v>
      </c>
      <c r="E7" s="66" t="s">
        <v>136</v>
      </c>
      <c r="F7" s="67">
        <f>COUNTIF(SINALEIRO!O5:O12,"SELL OUT")</f>
        <v>0</v>
      </c>
    </row>
    <row r="8" spans="1:6" ht="17.399999999999999" x14ac:dyDescent="0.3">
      <c r="A8" s="69" t="s">
        <v>54</v>
      </c>
      <c r="B8" s="66" t="s">
        <v>137</v>
      </c>
      <c r="C8" s="66" t="s">
        <v>138</v>
      </c>
      <c r="D8" s="66" t="s">
        <v>139</v>
      </c>
      <c r="E8" s="66" t="s">
        <v>140</v>
      </c>
      <c r="F8" s="67">
        <f>COUNTIF(SINALEIRO!O5:O12,"JBP")</f>
        <v>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PAINEL</vt:lpstr>
      <vt:lpstr>PARAMETROS</vt:lpstr>
      <vt:lpstr>SINALEIRO</vt:lpstr>
      <vt:lpstr>PLANO_ACAO</vt:lpstr>
      <vt:lpstr>CADENCIA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Leandro Garcia</cp:lastModifiedBy>
  <cp:revision>0</cp:revision>
  <dcterms:created xsi:type="dcterms:W3CDTF">2026-02-05T18:34:38Z</dcterms:created>
  <dcterms:modified xsi:type="dcterms:W3CDTF">2026-02-06T13:55:34Z</dcterms:modified>
  <dc:language>en-US</dc:language>
</cp:coreProperties>
</file>