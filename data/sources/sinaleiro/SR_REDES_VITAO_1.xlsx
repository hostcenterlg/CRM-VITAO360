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ARAMETROS" sheetId="2" state="visible" r:id="rId4"/>
    <sheet name="SINALEIRO" sheetId="3" state="visible" r:id="rId5"/>
    <sheet name="PLANO_ACAO" sheetId="4" state="visible" r:id="rId6"/>
    <sheet name="CADENC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<sst xmlns="http://schemas.openxmlformats.org/spreadsheetml/2006/main" count="180" uniqueCount="141">
  <si>
    <t xml:space="preserve">🚦 PAINEL SINALEIRO — VITAO ALIMENTOS</t>
  </si>
  <si>
    <t xml:space="preserve">Dashboard dinâmico — todos os valores são fórmulas que atualizam da aba SINALEIRO</t>
  </si>
  <si>
    <t xml:space="preserve">TOTAL LOJAS</t>
  </si>
  <si>
    <t xml:space="preserve">COM VENDA</t>
  </si>
  <si>
    <t xml:space="preserve">FAT. REAL</t>
  </si>
  <si>
    <t xml:space="preserve">FAT. POTENCIAL</t>
  </si>
  <si>
    <t xml:space="preserve">GAP TOTAL</t>
  </si>
  <si>
    <t xml:space="preserve">SINALEIRO GERAL</t>
  </si>
  <si>
    <t xml:space="preserve">PENETRAÇÃO</t>
  </si>
  <si>
    <t xml:space="preserve">DISTRIBUIÇÃO POR COR</t>
  </si>
  <si>
    <t xml:space="preserve">🟣 ROXO</t>
  </si>
  <si>
    <t xml:space="preserve">🔴 VERMELHO</t>
  </si>
  <si>
    <t xml:space="preserve">🟡 AMARELO</t>
  </si>
  <si>
    <t xml:space="preserve">🟢 VERDE</t>
  </si>
  <si>
    <t xml:space="preserve">Prospecção Ativa</t>
  </si>
  <si>
    <t xml:space="preserve">Plano Intensivo</t>
  </si>
  <si>
    <t xml:space="preserve">Ajuste de Mix</t>
  </si>
  <si>
    <t xml:space="preserve">JBP + Sell Out</t>
  </si>
  <si>
    <t xml:space="preserve">RANKING POR SINALEIRO</t>
  </si>
  <si>
    <t xml:space="preserve">REDE</t>
  </si>
  <si>
    <t xml:space="preserve">SINALEIRO</t>
  </si>
  <si>
    <t xml:space="preserve">COR</t>
  </si>
  <si>
    <t xml:space="preserve">MATURIDADE</t>
  </si>
  <si>
    <t xml:space="preserve">GAP</t>
  </si>
  <si>
    <t xml:space="preserve">PRIORIDADE</t>
  </si>
  <si>
    <t xml:space="preserve">⚙️ PARÂMETROS DO SINALEIRO — VITAO ALIMENTOS</t>
  </si>
  <si>
    <t xml:space="preserve">Altere os valores em AZUL para recalcular automaticamente todo o sinaleiro</t>
  </si>
  <si>
    <t xml:space="preserve">BENCHMARK DE CÁLCULO</t>
  </si>
  <si>
    <t xml:space="preserve">PARÂMETRO</t>
  </si>
  <si>
    <t xml:space="preserve">VALOR</t>
  </si>
  <si>
    <t xml:space="preserve">UNIDADE</t>
  </si>
  <si>
    <t xml:space="preserve">DESCRIÇÃO</t>
  </si>
  <si>
    <t xml:space="preserve">Ticket Benchmark Mensal</t>
  </si>
  <si>
    <t xml:space="preserve">R$/mês/loja</t>
  </si>
  <si>
    <t xml:space="preserve">Ticket médio mensal esperado por loja ativa</t>
  </si>
  <si>
    <t xml:space="preserve">Meses no Período</t>
  </si>
  <si>
    <t xml:space="preserve">meses</t>
  </si>
  <si>
    <t xml:space="preserve">Mar/25 a Jan/26 = 11 meses de dados</t>
  </si>
  <si>
    <t xml:space="preserve">Taxa Captura Prospects</t>
  </si>
  <si>
    <t xml:space="preserve">%</t>
  </si>
  <si>
    <t xml:space="preserve">% de prospects que estimamos positivar em 6 meses</t>
  </si>
  <si>
    <t xml:space="preserve">Meta Sinaleiro Geral (6 meses)</t>
  </si>
  <si>
    <t xml:space="preserve">Meta de sinaleiro geral em 6 meses</t>
  </si>
  <si>
    <t xml:space="preserve">FAIXAS DO SINALEIRO</t>
  </si>
  <si>
    <t xml:space="preserve">FAIXA MÍNIMA</t>
  </si>
  <si>
    <t xml:space="preserve">FAIXA MÁXIMA</t>
  </si>
  <si>
    <t xml:space="preserve">AÇÃO RECOMENDADA</t>
  </si>
  <si>
    <t xml:space="preserve">Prospecção ativa</t>
  </si>
  <si>
    <t xml:space="preserve">PROSPECÇÃO</t>
  </si>
  <si>
    <t xml:space="preserve">Plano intensivo de ativação</t>
  </si>
  <si>
    <t xml:space="preserve">ATIVAÇÃO / POSITIVAÇÃO</t>
  </si>
  <si>
    <t xml:space="preserve">Ajuste de mix + promoções</t>
  </si>
  <si>
    <t xml:space="preserve">SELL OUT</t>
  </si>
  <si>
    <t xml:space="preserve">JBP + Sell Out avançado</t>
  </si>
  <si>
    <t xml:space="preserve">JBP</t>
  </si>
  <si>
    <t xml:space="preserve">REFERÊNCIAS NOMEADAS</t>
  </si>
  <si>
    <t xml:space="preserve">NOME</t>
  </si>
  <si>
    <t xml:space="preserve">REFERÊNCIA</t>
  </si>
  <si>
    <t xml:space="preserve">BENCHMARK_MENSAL</t>
  </si>
  <si>
    <t xml:space="preserve">R$ 525/mês por loja</t>
  </si>
  <si>
    <t xml:space="preserve">MESES_PERIODO</t>
  </si>
  <si>
    <t xml:space="preserve">11 meses de dados</t>
  </si>
  <si>
    <t xml:space="preserve">FAIXA_ROXO_MAX</t>
  </si>
  <si>
    <t xml:space="preserve">&lt; 1%</t>
  </si>
  <si>
    <t xml:space="preserve">FAIXA_VERM_MAX</t>
  </si>
  <si>
    <t xml:space="preserve">&lt; 40%</t>
  </si>
  <si>
    <t xml:space="preserve">FAIXA_AMAR_MAX</t>
  </si>
  <si>
    <t xml:space="preserve">&lt; 60%</t>
  </si>
  <si>
    <t xml:space="preserve">🚦 SINALEIRO DE PENETRAÇÃO — REDES E FRANQUIAS VITAO</t>
  </si>
  <si>
    <t xml:space="preserve">Dados reais + fórmulas dinâmicas | Todas as células de cálculo atualizam automaticamente</t>
  </si>
  <si>
    <t xml:space="preserve">CONSULTOR</t>
  </si>
  <si>
    <t xml:space="preserve">ATIVOS</t>
  </si>
  <si>
    <t xml:space="preserve">INAT.REC</t>
  </si>
  <si>
    <t xml:space="preserve">INAT.ANT</t>
  </si>
  <si>
    <t xml:space="preserve">PROSPECT</t>
  </si>
  <si>
    <t xml:space="preserve">CLIENTES C/ VENDA</t>
  </si>
  <si>
    <t xml:space="preserve">Nº PEDIDOS</t>
  </si>
  <si>
    <t xml:space="preserve">FAT. REAL (R$)</t>
  </si>
  <si>
    <t xml:space="preserve">TICKET MÉDIO</t>
  </si>
  <si>
    <t xml:space="preserve">SINALEIRO %</t>
  </si>
  <si>
    <t xml:space="preserve">GAP (R$)</t>
  </si>
  <si>
    <t xml:space="preserve">PENETRAÇÃO %</t>
  </si>
  <si>
    <t xml:space="preserve">AÇÃO</t>
  </si>
  <si>
    <t xml:space="preserve">ECOM ACESSOS</t>
  </si>
  <si>
    <t xml:space="preserve">FIT LAND</t>
  </si>
  <si>
    <t xml:space="preserve">JULIO</t>
  </si>
  <si>
    <t xml:space="preserve">DIVINA TERRA</t>
  </si>
  <si>
    <t xml:space="preserve">DAIANE</t>
  </si>
  <si>
    <t xml:space="preserve">VIDA LEVE</t>
  </si>
  <si>
    <t xml:space="preserve">CIA DA SAUDE</t>
  </si>
  <si>
    <t xml:space="preserve">MUNDO VERDE</t>
  </si>
  <si>
    <t xml:space="preserve">BIOMUNDO</t>
  </si>
  <si>
    <t xml:space="preserve">TUDO EM GRAOS</t>
  </si>
  <si>
    <t xml:space="preserve">MANU</t>
  </si>
  <si>
    <t xml:space="preserve">ARMAZEM FITSTORE</t>
  </si>
  <si>
    <t xml:space="preserve">TOTAL GERAL</t>
  </si>
  <si>
    <t xml:space="preserve">📊 CONTADORES POR COR</t>
  </si>
  <si>
    <t xml:space="preserve">🎯 SIMULADOR: E SE?</t>
  </si>
  <si>
    <t xml:space="preserve">redes</t>
  </si>
  <si>
    <t xml:space="preserve">Se benchmark subir para:</t>
  </si>
  <si>
    <t xml:space="preserve">Novo potencial total:</t>
  </si>
  <si>
    <t xml:space="preserve">Novo sinaleiro geral:</t>
  </si>
  <si>
    <t xml:space="preserve">Novo GAP:</t>
  </si>
  <si>
    <t xml:space="preserve">🎯 PLANO DE AÇÃO POR REDE — PRIORIZADO PELO GAP</t>
  </si>
  <si>
    <t xml:space="preserve">Dados puxam da aba SINALEIRO automaticamente</t>
  </si>
  <si>
    <t xml:space="preserve">#</t>
  </si>
  <si>
    <t xml:space="preserve">META 6M (%)</t>
  </si>
  <si>
    <t xml:space="preserve">AÇÕES PRIORITÁRIAS</t>
  </si>
  <si>
    <t xml:space="preserve">Reativar 37 inativos + ativar TOP 10 prospects SC + aumentar frequência compradores</t>
  </si>
  <si>
    <t xml:space="preserve">Consolidar 14 compradores (ticket R$2.151) + reativar 9 inativos + prospectar RS/SC</t>
  </si>
  <si>
    <t xml:space="preserve">Reativar 18 lojas carteira + prospectar SP/RS + cross-sell curva A</t>
  </si>
  <si>
    <t xml:space="preserve">URGENTE: 0 ativos + 93 inativos = reativar 4 recentes + TOP 5 compradores</t>
  </si>
  <si>
    <t xml:space="preserve">199 lojas penetração mínima — identificar barreira central + piloto RJ/SP</t>
  </si>
  <si>
    <t xml:space="preserve">167 lojas 5 compradores — investigar central compras + converter 30 acessos ecom</t>
  </si>
  <si>
    <t xml:space="preserve">25 lojas menor rede — positivar 10+ lojas (RS território MANU)</t>
  </si>
  <si>
    <t xml:space="preserve">114 lojas ZERO vendas — mapear rede + 5 lojas-piloto + mix entrada</t>
  </si>
  <si>
    <t xml:space="preserve">📅 CADÊNCIA DE CONTATO POR ETAPA DE MATURIDADE</t>
  </si>
  <si>
    <t xml:space="preserve">FREQUÊNCIA</t>
  </si>
  <si>
    <t xml:space="preserve">CANAL</t>
  </si>
  <si>
    <t xml:space="preserve">RESPONSÁVEL</t>
  </si>
  <si>
    <t xml:space="preserve">META</t>
  </si>
  <si>
    <t xml:space="preserve">REDES NA ETAPA</t>
  </si>
  <si>
    <t xml:space="preserve">1x/semana</t>
  </si>
  <si>
    <t xml:space="preserve">WhatsApp + Ligação</t>
  </si>
  <si>
    <t xml:space="preserve">Consultor</t>
  </si>
  <si>
    <t xml:space="preserve">Agendar apresentação</t>
  </si>
  <si>
    <t xml:space="preserve">ATIVAÇÃO</t>
  </si>
  <si>
    <t xml:space="preserve">2x/semana</t>
  </si>
  <si>
    <t xml:space="preserve">Ligação + Visita</t>
  </si>
  <si>
    <t xml:space="preserve">Consultor + Gerente</t>
  </si>
  <si>
    <t xml:space="preserve">Primeiro pedido</t>
  </si>
  <si>
    <t xml:space="preserve">POSITIVAÇÃO</t>
  </si>
  <si>
    <t xml:space="preserve">WhatsApp + Oferta</t>
  </si>
  <si>
    <t xml:space="preserve">Recompra mensal</t>
  </si>
  <si>
    <t xml:space="preserve">Quinzenal</t>
  </si>
  <si>
    <t xml:space="preserve">Reunião + Relatório</t>
  </si>
  <si>
    <t xml:space="preserve">Giro + Mix</t>
  </si>
  <si>
    <t xml:space="preserve">Mensal</t>
  </si>
  <si>
    <t xml:space="preserve">Reunião estratégica + BI</t>
  </si>
  <si>
    <t xml:space="preserve">Gerente</t>
  </si>
  <si>
    <t xml:space="preserve">JBP trimestral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</si>
</sst>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General"/>
    <numFmt numFmtId="168" formatCode="0%"/>
    <numFmt numFmtId="169" formatCode="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5E20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6"/>
      <color rgb="FF1B5E2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8"/>
      <color rgb="FF1B5E20"/>
      <name val="Arial"/>
      <family val="0"/>
      <charset val="1"/>
    </font>
    <font>
      <sz val="9"/>
      <color rgb="FF7575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2424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42424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E7D3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A5D6A7"/>
        <bgColor rgb="FFC8E6C9"/>
      </patternFill>
    </fill>
    <fill>
      <patternFill patternType="solid">
        <fgColor rgb="FFFFFFFF"/>
        <bgColor rgb="FFFFFDE7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C8E6C9"/>
        <bgColor rgb="FFE0E0E0"/>
      </patternFill>
    </fill>
    <fill>
      <patternFill patternType="solid">
        <fgColor rgb="FF388E3C"/>
        <bgColor rgb="FF2E7D32"/>
      </patternFill>
    </fill>
    <fill>
      <patternFill patternType="solid">
        <fgColor rgb="FFE8F5E9"/>
        <bgColor rgb="FFFFF3E0"/>
      </patternFill>
    </fill>
    <fill>
      <patternFill patternType="solid">
        <fgColor rgb="FFFFFDE7"/>
        <bgColor rgb="FFFFF8E1"/>
      </patternFill>
    </fill>
    <fill>
      <patternFill patternType="solid">
        <fgColor rgb="FF1B5E20"/>
        <bgColor rgb="FF2E7D32"/>
      </patternFill>
    </fill>
    <fill>
      <patternFill patternType="solid">
        <fgColor rgb="FFFFF3E0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8E6C9"/>
        </patternFill>
      </fill>
    </dxf>
    <dxf>
      <fill>
        <patternFill>
          <bgColor rgb="FFF3E5F5"/>
        </patternFill>
      </fill>
    </dxf>
    <dxf>
      <fill>
        <patternFill>
          <bgColor rgb="FFFFEBEE"/>
        </patternFill>
      </fill>
    </dxf>
    <dxf>
      <font>
        <b val="1"/>
        <color rgb="FF1B5E20"/>
      </font>
      <fill>
        <patternFill>
          <bgColor rgb="FFC8E6C9"/>
        </patternFill>
      </fill>
    </dxf>
    <dxf>
      <font>
        <b val="1"/>
        <color rgb="FFE65100"/>
      </font>
      <fill>
        <patternFill>
          <bgColor rgb="FFFFF8E1"/>
        </patternFill>
      </fill>
    </dxf>
    <dxf>
      <font>
        <b val="1"/>
        <color rgb="FFD32F2F"/>
      </font>
      <fill>
        <patternFill>
          <bgColor rgb="FFFFEBEE"/>
        </patternFill>
      </fill>
    </dxf>
    <dxf>
      <font>
        <b val="1"/>
        <color rgb="FF7B1FA2"/>
      </font>
      <fill>
        <patternFill>
          <bgColor rgb="FFF3E5F5"/>
        </patternFill>
      </fill>
    </dxf>
    <dxf>
      <font>
        <b val="1"/>
        <color rgb="FF1B5E20"/>
        <sz val="12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7B1FA2"/>
      <rgbColor rgb="FF008080"/>
      <rgbColor rgb="FFA5D6A7"/>
      <rgbColor rgb="FF757575"/>
      <rgbColor rgb="FF9999FF"/>
      <rgbColor rgb="FF993366"/>
      <rgbColor rgb="FFFFF8E1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E7"/>
      <rgbColor rgb="FFC8E6C9"/>
      <rgbColor rgb="FFFFF3E0"/>
      <rgbColor rgb="FFFFEBEE"/>
      <rgbColor rgb="FFFF99CC"/>
      <rgbColor rgb="FFCC99FF"/>
      <rgbColor rgb="FFF3E5F5"/>
      <rgbColor rgb="FF3366FF"/>
      <rgbColor rgb="FF4CAF50"/>
      <rgbColor rgb="FF99CC00"/>
      <rgbColor rgb="FFFFCC00"/>
      <rgbColor rgb="FFFF9900"/>
      <rgbColor rgb="FFE65100"/>
      <rgbColor rgb="FF666699"/>
      <rgbColor rgb="FF66BB6A"/>
      <rgbColor rgb="FF003366"/>
      <rgbColor rgb="FF388E3C"/>
      <rgbColor rgb="FF003300"/>
      <rgbColor rgb="FF1B5E20"/>
      <rgbColor rgb="FFD32F2F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8" min="6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9.7" hidden="false" customHeight="false" outlineLevel="0" collapsed="false">
      <c r="A5" s="4" t="n">
        <f aca="false">SINALEIRO!C14</f>
        <v>923</v>
      </c>
      <c r="B5" s="4" t="n">
        <f aca="false">SINALEIRO!H14</f>
        <v>102</v>
      </c>
      <c r="C5" s="4" t="n">
        <f aca="false">SINALEIRO!J14</f>
        <v>330798.81</v>
      </c>
      <c r="D5" s="4" t="n">
        <f aca="false">SINALEIRO!L14</f>
        <v>5330325</v>
      </c>
      <c r="E5" s="4" t="n">
        <f aca="false">SINALEIRO!P14</f>
        <v>4999526.19</v>
      </c>
      <c r="F5" s="5" t="n">
        <f aca="false">SINALEIRO!M14</f>
        <v>0.0620597824710501</v>
      </c>
      <c r="G5" s="5" t="n">
        <f aca="false">SINALEIRO!Q14</f>
        <v>0.110509209100758</v>
      </c>
    </row>
    <row r="6" customFormat="false" ht="26.85" hidden="false" customHeight="false" outlineLevel="0" collapsed="false">
      <c r="F6" s="6" t="str">
        <f aca="false">SINALEIRO!N14</f>
        <v>🔴 VERMELHO</v>
      </c>
    </row>
    <row r="8" customFormat="false" ht="15" hidden="false" customHeight="false" outlineLevel="0" collapsed="false">
      <c r="A8" s="7" t="s">
        <v>9</v>
      </c>
      <c r="B8" s="7"/>
      <c r="C8" s="7"/>
      <c r="D8" s="7"/>
    </row>
    <row r="9" customFormat="false" ht="15" hidden="false" customHeight="true" outlineLevel="0" collapsed="false">
      <c r="A9" s="8" t="s">
        <v>10</v>
      </c>
      <c r="B9" s="8"/>
      <c r="C9" s="9" t="s">
        <v>11</v>
      </c>
      <c r="D9" s="9"/>
      <c r="E9" s="10" t="s">
        <v>12</v>
      </c>
      <c r="F9" s="10"/>
      <c r="G9" s="11" t="s">
        <v>13</v>
      </c>
      <c r="H9" s="11"/>
    </row>
    <row r="10" customFormat="false" ht="33.85" hidden="false" customHeight="false" outlineLevel="0" collapsed="false">
      <c r="A10" s="12" t="n">
        <f aca="false">COUNTIF(SINALEIRO!N5:N12,"*ROXO*")</f>
        <v>1</v>
      </c>
      <c r="B10" s="12"/>
      <c r="C10" s="12" t="n">
        <f aca="false">COUNTIF(SINALEIRO!N5:N12,"*VERMELHO*")</f>
        <v>7</v>
      </c>
      <c r="D10" s="12"/>
      <c r="E10" s="12" t="n">
        <f aca="false">COUNTIF(SINALEIRO!N5:N12,"*AMARELO*")</f>
        <v>0</v>
      </c>
      <c r="F10" s="12"/>
      <c r="G10" s="12" t="n">
        <f aca="false">COUNTIF(SINALEIRO!N5:N12,"*VERDE*")</f>
        <v>0</v>
      </c>
      <c r="H10" s="12"/>
    </row>
    <row r="11" customFormat="false" ht="15" hidden="false" customHeight="true" outlineLevel="0" collapsed="false">
      <c r="A11" s="13" t="s">
        <v>14</v>
      </c>
      <c r="B11" s="13"/>
      <c r="C11" s="13" t="s">
        <v>15</v>
      </c>
      <c r="D11" s="13"/>
      <c r="E11" s="13" t="s">
        <v>16</v>
      </c>
      <c r="F11" s="13"/>
      <c r="G11" s="13" t="s">
        <v>17</v>
      </c>
      <c r="H11" s="13"/>
    </row>
    <row r="13" customFormat="false" ht="15" hidden="false" customHeight="false" outlineLevel="0" collapsed="false">
      <c r="A13" s="7" t="s">
        <v>18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14" t="s">
        <v>19</v>
      </c>
      <c r="B14" s="14" t="s">
        <v>20</v>
      </c>
      <c r="C14" s="14" t="s">
        <v>21</v>
      </c>
      <c r="D14" s="14" t="s">
        <v>22</v>
      </c>
      <c r="E14" s="14" t="s">
        <v>23</v>
      </c>
      <c r="F14" s="14" t="s">
        <v>8</v>
      </c>
      <c r="G14" s="14" t="s">
        <v>24</v>
      </c>
    </row>
    <row r="15" customFormat="false" ht="15" hidden="false" customHeight="false" outlineLevel="0" collapsed="false">
      <c r="A15" s="15" t="str">
        <f aca="false">SINALEIRO!A5</f>
        <v>FIT LAND</v>
      </c>
      <c r="B15" s="16" t="n">
        <f aca="false">SINALEIRO!M5</f>
        <v>0.325545678291746</v>
      </c>
      <c r="C15" s="15" t="str">
        <f aca="false">SINALEIRO!N5</f>
        <v>🔴 VERMELHO</v>
      </c>
      <c r="D15" s="15" t="str">
        <f aca="false">SINALEIRO!O5</f>
        <v>POSITIVAÇÃO</v>
      </c>
      <c r="E15" s="17" t="n">
        <f aca="false">SINALEIRO!P5</f>
        <v>346652.66</v>
      </c>
      <c r="F15" s="16" t="n">
        <f aca="false">SINALEIRO!Q5</f>
        <v>0.48314606741573</v>
      </c>
      <c r="G15" s="18" t="n">
        <f aca="false">SINALEIRO!T5</f>
        <v>7</v>
      </c>
    </row>
    <row r="16" customFormat="false" ht="15" hidden="false" customHeight="false" outlineLevel="0" collapsed="false">
      <c r="A16" s="19" t="str">
        <f aca="false">SINALEIRO!A6</f>
        <v>DIVINA TERRA</v>
      </c>
      <c r="B16" s="20" t="n">
        <f aca="false">SINALEIRO!M6</f>
        <v>0.109551820728291</v>
      </c>
      <c r="C16" s="19" t="str">
        <f aca="false">SINALEIRO!N6</f>
        <v>🔴 VERMELHO</v>
      </c>
      <c r="D16" s="19" t="str">
        <f aca="false">SINALEIRO!O6</f>
        <v>POSITIVAÇÃO</v>
      </c>
      <c r="E16" s="21" t="n">
        <f aca="false">SINALEIRO!P6</f>
        <v>437098.75</v>
      </c>
      <c r="F16" s="20" t="n">
        <f aca="false">SINALEIRO!Q6</f>
        <v>0.164705882352941</v>
      </c>
      <c r="G16" s="22" t="n">
        <f aca="false">SINALEIRO!T6</f>
        <v>5</v>
      </c>
    </row>
    <row r="17" customFormat="false" ht="15" hidden="false" customHeight="false" outlineLevel="0" collapsed="false">
      <c r="A17" s="15" t="str">
        <f aca="false">SINALEIRO!A7</f>
        <v>VIDA LEVE</v>
      </c>
      <c r="B17" s="16" t="n">
        <f aca="false">SINALEIRO!M7</f>
        <v>0.0877692052803164</v>
      </c>
      <c r="C17" s="15" t="str">
        <f aca="false">SINALEIRO!N7</f>
        <v>🔴 VERMELHO</v>
      </c>
      <c r="D17" s="15" t="str">
        <f aca="false">SINALEIRO!O7</f>
        <v>ATIVAÇÃO</v>
      </c>
      <c r="E17" s="17" t="n">
        <f aca="false">SINALEIRO!P7</f>
        <v>426718.76</v>
      </c>
      <c r="F17" s="16" t="n">
        <f aca="false">SINALEIRO!Q7</f>
        <v>0.209876543209877</v>
      </c>
      <c r="G17" s="18" t="n">
        <f aca="false">SINALEIRO!T7</f>
        <v>6</v>
      </c>
    </row>
    <row r="18" customFormat="false" ht="15" hidden="false" customHeight="false" outlineLevel="0" collapsed="false">
      <c r="A18" s="19" t="str">
        <f aca="false">SINALEIRO!A8</f>
        <v>CIA DA SAUDE</v>
      </c>
      <c r="B18" s="20" t="n">
        <f aca="false">SINALEIRO!M8</f>
        <v>0.0280036437999628</v>
      </c>
      <c r="C18" s="19" t="str">
        <f aca="false">SINALEIRO!N8</f>
        <v>🔴 VERMELHO</v>
      </c>
      <c r="D18" s="19" t="str">
        <f aca="false">SINALEIRO!O8</f>
        <v>ATIVAÇÃO</v>
      </c>
      <c r="E18" s="21" t="n">
        <f aca="false">SINALEIRO!P8</f>
        <v>914964.47</v>
      </c>
      <c r="F18" s="20" t="n">
        <f aca="false">SINALEIRO!Q8</f>
        <v>0.110429447852761</v>
      </c>
      <c r="G18" s="22" t="n">
        <f aca="false">SINALEIRO!T8</f>
        <v>3</v>
      </c>
    </row>
    <row r="19" customFormat="false" ht="15" hidden="false" customHeight="false" outlineLevel="0" collapsed="false">
      <c r="A19" s="15" t="str">
        <f aca="false">SINALEIRO!A9</f>
        <v>MUNDO VERDE</v>
      </c>
      <c r="B19" s="16" t="n">
        <f aca="false">SINALEIRO!M9</f>
        <v>0.0151538558593835</v>
      </c>
      <c r="C19" s="15" t="str">
        <f aca="false">SINALEIRO!N9</f>
        <v>🔴 VERMELHO</v>
      </c>
      <c r="D19" s="15" t="str">
        <f aca="false">SINALEIRO!O9</f>
        <v>ATIVAÇÃO</v>
      </c>
      <c r="E19" s="17" t="n">
        <f aca="false">SINALEIRO!P9</f>
        <v>1131809.81</v>
      </c>
      <c r="F19" s="16" t="n">
        <f aca="false">SINALEIRO!Q9</f>
        <v>0.0201005025125628</v>
      </c>
      <c r="G19" s="18" t="n">
        <f aca="false">SINALEIRO!T9</f>
        <v>1</v>
      </c>
    </row>
    <row r="20" customFormat="false" ht="15" hidden="false" customHeight="false" outlineLevel="0" collapsed="false">
      <c r="A20" s="19" t="str">
        <f aca="false">SINALEIRO!A10</f>
        <v>BIOMUNDO</v>
      </c>
      <c r="B20" s="20" t="n">
        <f aca="false">SINALEIRO!M10</f>
        <v>0.0156152733494051</v>
      </c>
      <c r="C20" s="19" t="str">
        <f aca="false">SINALEIRO!N10</f>
        <v>🔴 VERMELHO</v>
      </c>
      <c r="D20" s="19" t="str">
        <f aca="false">SINALEIRO!O10</f>
        <v>ATIVAÇÃO</v>
      </c>
      <c r="E20" s="21" t="n">
        <f aca="false">SINALEIRO!P10</f>
        <v>949365.24</v>
      </c>
      <c r="F20" s="20" t="n">
        <f aca="false">SINALEIRO!Q10</f>
        <v>0.029940119760479</v>
      </c>
      <c r="G20" s="22" t="n">
        <f aca="false">SINALEIRO!T10</f>
        <v>2</v>
      </c>
    </row>
    <row r="21" customFormat="false" ht="15" hidden="false" customHeight="false" outlineLevel="0" collapsed="false">
      <c r="A21" s="15" t="str">
        <f aca="false">SINALEIRO!A11</f>
        <v>TUDO EM GRAOS</v>
      </c>
      <c r="B21" s="16" t="n">
        <f aca="false">SINALEIRO!M11</f>
        <v>0.0679376623376623</v>
      </c>
      <c r="C21" s="15" t="str">
        <f aca="false">SINALEIRO!N11</f>
        <v>🔴 VERMELHO</v>
      </c>
      <c r="D21" s="15" t="str">
        <f aca="false">SINALEIRO!O11</f>
        <v>ATIVAÇÃO</v>
      </c>
      <c r="E21" s="17" t="n">
        <f aca="false">SINALEIRO!P11</f>
        <v>134566.5</v>
      </c>
      <c r="F21" s="16" t="n">
        <f aca="false">SINALEIRO!Q11</f>
        <v>0.04</v>
      </c>
      <c r="G21" s="18" t="n">
        <f aca="false">SINALEIRO!T11</f>
        <v>8</v>
      </c>
    </row>
    <row r="22" customFormat="false" ht="15" hidden="false" customHeight="false" outlineLevel="0" collapsed="false">
      <c r="A22" s="19" t="str">
        <f aca="false">SINALEIRO!A12</f>
        <v>ARMAZEM FITSTORE</v>
      </c>
      <c r="B22" s="20" t="n">
        <f aca="false">SINALEIRO!M12</f>
        <v>0</v>
      </c>
      <c r="C22" s="19" t="str">
        <f aca="false">SINALEIRO!N12</f>
        <v>🟣 ROXO</v>
      </c>
      <c r="D22" s="19" t="str">
        <f aca="false">SINALEIRO!O12</f>
        <v>PROSPECÇÃO</v>
      </c>
      <c r="E22" s="21" t="n">
        <f aca="false">SINALEIRO!P12</f>
        <v>658350</v>
      </c>
      <c r="F22" s="20" t="n">
        <f aca="false">SINALEIRO!Q12</f>
        <v>0</v>
      </c>
      <c r="G22" s="22" t="n">
        <f aca="false">SINALEIRO!T12</f>
        <v>4</v>
      </c>
    </row>
  </sheetData>
  <mergeCells count="16">
    <mergeCell ref="A1:G1"/>
    <mergeCell ref="A2:G2"/>
    <mergeCell ref="A8:D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3:G13"/>
  </mergeCells>
  <conditionalFormatting sqref="B15:B22">
    <cfRule type="cellIs" priority="2" operator="greaterThanOrEqual" aboveAverage="0" equalAverage="0" bottom="0" percent="0" rank="0" text="" dxfId="0">
      <formula>0.6</formula>
    </cfRule>
    <cfRule type="cellIs" priority="3" operator="lessThan" aboveAverage="0" equalAverage="0" bottom="0" percent="0" rank="0" text="" dxfId="1">
      <formula>0.01</formula>
    </cfRule>
    <cfRule type="cellIs" priority="4" operator="between" aboveAverage="0" equalAverage="0" bottom="0" percent="0" rank="0" text="" dxfId="2">
      <formula>0.01</formula>
      <formula>0.3999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40"/>
    <col collapsed="false" customWidth="true" hidden="false" outlineLevel="0" max="5" min="5" style="0" width="25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23" t="s">
        <v>25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27</v>
      </c>
      <c r="B4" s="7"/>
      <c r="C4" s="7"/>
    </row>
    <row r="5" customFormat="false" ht="15" hidden="false" customHeight="false" outlineLevel="0" collapsed="false">
      <c r="A5" s="24" t="s">
        <v>28</v>
      </c>
      <c r="B5" s="14" t="s">
        <v>29</v>
      </c>
      <c r="C5" s="14" t="s">
        <v>30</v>
      </c>
      <c r="D5" s="24" t="s">
        <v>31</v>
      </c>
    </row>
    <row r="6" customFormat="false" ht="15" hidden="false" customHeight="false" outlineLevel="0" collapsed="false">
      <c r="A6" s="25" t="s">
        <v>32</v>
      </c>
      <c r="B6" s="26" t="n">
        <v>525</v>
      </c>
      <c r="C6" s="27" t="s">
        <v>33</v>
      </c>
      <c r="D6" s="25" t="s">
        <v>34</v>
      </c>
    </row>
    <row r="7" customFormat="false" ht="15" hidden="false" customHeight="false" outlineLevel="0" collapsed="false">
      <c r="A7" s="25" t="s">
        <v>35</v>
      </c>
      <c r="B7" s="26" t="n">
        <v>11</v>
      </c>
      <c r="C7" s="27" t="s">
        <v>36</v>
      </c>
      <c r="D7" s="25" t="s">
        <v>37</v>
      </c>
    </row>
    <row r="8" customFormat="false" ht="23.85" hidden="false" customHeight="false" outlineLevel="0" collapsed="false">
      <c r="A8" s="25" t="s">
        <v>38</v>
      </c>
      <c r="B8" s="28" t="n">
        <v>0.3</v>
      </c>
      <c r="C8" s="27" t="s">
        <v>39</v>
      </c>
      <c r="D8" s="25" t="s">
        <v>40</v>
      </c>
    </row>
    <row r="9" customFormat="false" ht="15" hidden="false" customHeight="false" outlineLevel="0" collapsed="false">
      <c r="A9" s="25" t="s">
        <v>41</v>
      </c>
      <c r="B9" s="28" t="n">
        <v>0.15</v>
      </c>
      <c r="C9" s="27" t="s">
        <v>39</v>
      </c>
      <c r="D9" s="25" t="s">
        <v>42</v>
      </c>
    </row>
    <row r="12" customFormat="false" ht="15" hidden="false" customHeight="false" outlineLevel="0" collapsed="false">
      <c r="A12" s="7" t="s">
        <v>43</v>
      </c>
      <c r="B12" s="7"/>
      <c r="C12" s="7"/>
      <c r="D12" s="7"/>
      <c r="E12" s="7"/>
    </row>
    <row r="13" customFormat="false" ht="15" hidden="false" customHeight="false" outlineLevel="0" collapsed="false">
      <c r="A13" s="14" t="s">
        <v>21</v>
      </c>
      <c r="B13" s="14" t="s">
        <v>44</v>
      </c>
      <c r="C13" s="14" t="s">
        <v>45</v>
      </c>
      <c r="D13" s="14" t="s">
        <v>46</v>
      </c>
      <c r="E13" s="14" t="s">
        <v>22</v>
      </c>
    </row>
    <row r="14" customFormat="false" ht="15" hidden="false" customHeight="false" outlineLevel="0" collapsed="false">
      <c r="A14" s="29" t="s">
        <v>10</v>
      </c>
      <c r="B14" s="28" t="n">
        <v>0</v>
      </c>
      <c r="C14" s="28" t="n">
        <v>0.01</v>
      </c>
      <c r="D14" s="30" t="s">
        <v>47</v>
      </c>
      <c r="E14" s="30" t="s">
        <v>48</v>
      </c>
    </row>
    <row r="15" customFormat="false" ht="15" hidden="false" customHeight="false" outlineLevel="0" collapsed="false">
      <c r="A15" s="31" t="s">
        <v>11</v>
      </c>
      <c r="B15" s="28" t="n">
        <v>0.01</v>
      </c>
      <c r="C15" s="28" t="n">
        <v>0.4</v>
      </c>
      <c r="D15" s="30" t="s">
        <v>49</v>
      </c>
      <c r="E15" s="30" t="s">
        <v>50</v>
      </c>
    </row>
    <row r="16" customFormat="false" ht="15" hidden="false" customHeight="false" outlineLevel="0" collapsed="false">
      <c r="A16" s="32" t="s">
        <v>12</v>
      </c>
      <c r="B16" s="28" t="n">
        <v>0.4</v>
      </c>
      <c r="C16" s="28" t="n">
        <v>0.6</v>
      </c>
      <c r="D16" s="30" t="s">
        <v>51</v>
      </c>
      <c r="E16" s="30" t="s">
        <v>52</v>
      </c>
    </row>
    <row r="17" customFormat="false" ht="15" hidden="false" customHeight="false" outlineLevel="0" collapsed="false">
      <c r="A17" s="33" t="s">
        <v>13</v>
      </c>
      <c r="B17" s="28" t="n">
        <v>0.6</v>
      </c>
      <c r="C17" s="28" t="n">
        <v>1</v>
      </c>
      <c r="D17" s="30" t="s">
        <v>53</v>
      </c>
      <c r="E17" s="30" t="s">
        <v>54</v>
      </c>
    </row>
    <row r="20" customFormat="false" ht="15" hidden="false" customHeight="false" outlineLevel="0" collapsed="false">
      <c r="A20" s="7" t="s">
        <v>55</v>
      </c>
      <c r="B20" s="7"/>
      <c r="C20" s="7"/>
      <c r="D20" s="7"/>
    </row>
    <row r="21" customFormat="false" ht="15" hidden="false" customHeight="false" outlineLevel="0" collapsed="false">
      <c r="A21" s="34" t="s">
        <v>56</v>
      </c>
      <c r="B21" s="34" t="s">
        <v>57</v>
      </c>
      <c r="C21" s="34" t="s">
        <v>31</v>
      </c>
    </row>
    <row r="22" customFormat="false" ht="15" hidden="false" customHeight="false" outlineLevel="0" collapsed="false">
      <c r="A22" s="35" t="s">
        <v>58</v>
      </c>
      <c r="B22" s="35" t="n">
        <f aca="false">PARAMETROS!B6</f>
        <v>525</v>
      </c>
      <c r="C22" s="35" t="s">
        <v>59</v>
      </c>
    </row>
    <row r="23" customFormat="false" ht="15" hidden="false" customHeight="false" outlineLevel="0" collapsed="false">
      <c r="A23" s="35" t="s">
        <v>60</v>
      </c>
      <c r="B23" s="35" t="n">
        <f aca="false">PARAMETROS!B7</f>
        <v>11</v>
      </c>
      <c r="C23" s="35" t="s">
        <v>61</v>
      </c>
    </row>
    <row r="24" customFormat="false" ht="15" hidden="false" customHeight="false" outlineLevel="0" collapsed="false">
      <c r="A24" s="35" t="s">
        <v>62</v>
      </c>
      <c r="B24" s="36" t="n">
        <f aca="false">PARAMETROS!C14</f>
        <v>0.01</v>
      </c>
      <c r="C24" s="35" t="s">
        <v>63</v>
      </c>
    </row>
    <row r="25" customFormat="false" ht="15" hidden="false" customHeight="false" outlineLevel="0" collapsed="false">
      <c r="A25" s="35" t="s">
        <v>64</v>
      </c>
      <c r="B25" s="36" t="n">
        <f aca="false">PARAMETROS!C15</f>
        <v>0.4</v>
      </c>
      <c r="C25" s="35" t="s">
        <v>65</v>
      </c>
    </row>
    <row r="26" customFormat="false" ht="15" hidden="false" customHeight="false" outlineLevel="0" collapsed="false">
      <c r="A26" s="35" t="s">
        <v>66</v>
      </c>
      <c r="B26" s="36" t="n">
        <f aca="false">PARAMETROS!C16</f>
        <v>0.6</v>
      </c>
      <c r="C26" s="35" t="s">
        <v>67</v>
      </c>
    </row>
  </sheetData>
  <mergeCells count="5">
    <mergeCell ref="A1:F1"/>
    <mergeCell ref="A2:F2"/>
    <mergeCell ref="A4:C4"/>
    <mergeCell ref="A12:E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38"/>
    <col collapsed="false" customWidth="true" hidden="false" outlineLevel="0" max="20" min="19" style="0" width="12"/>
  </cols>
  <sheetData>
    <row r="1" customFormat="false" ht="19.7" hidden="false" customHeight="false" outlineLevel="0" collapsed="false">
      <c r="A1" s="23" t="s">
        <v>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customFormat="false" ht="15" hidden="false" customHeight="false" outlineLevel="0" collapsed="false">
      <c r="A2" s="37" t="s">
        <v>69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4" customFormat="false" ht="23.85" hidden="false" customHeight="false" outlineLevel="0" collapsed="false">
      <c r="A4" s="14" t="s">
        <v>19</v>
      </c>
      <c r="B4" s="14" t="s">
        <v>70</v>
      </c>
      <c r="C4" s="14" t="s">
        <v>2</v>
      </c>
      <c r="D4" s="14" t="s">
        <v>71</v>
      </c>
      <c r="E4" s="14" t="s">
        <v>72</v>
      </c>
      <c r="F4" s="14" t="s">
        <v>73</v>
      </c>
      <c r="G4" s="14" t="s">
        <v>74</v>
      </c>
      <c r="H4" s="14" t="s">
        <v>75</v>
      </c>
      <c r="I4" s="14" t="s">
        <v>76</v>
      </c>
      <c r="J4" s="14" t="s">
        <v>77</v>
      </c>
      <c r="K4" s="14" t="s">
        <v>78</v>
      </c>
      <c r="L4" s="14" t="s">
        <v>5</v>
      </c>
      <c r="M4" s="14" t="s">
        <v>79</v>
      </c>
      <c r="N4" s="14" t="s">
        <v>21</v>
      </c>
      <c r="O4" s="14" t="s">
        <v>22</v>
      </c>
      <c r="P4" s="14" t="s">
        <v>80</v>
      </c>
      <c r="Q4" s="14" t="s">
        <v>81</v>
      </c>
      <c r="R4" s="14" t="s">
        <v>82</v>
      </c>
      <c r="S4" s="14" t="s">
        <v>83</v>
      </c>
      <c r="T4" s="14" t="s">
        <v>24</v>
      </c>
    </row>
    <row r="5" customFormat="false" ht="15" hidden="false" customHeight="false" outlineLevel="0" collapsed="false">
      <c r="A5" s="38" t="s">
        <v>84</v>
      </c>
      <c r="B5" s="38" t="s">
        <v>85</v>
      </c>
      <c r="C5" s="26" t="n">
        <v>89</v>
      </c>
      <c r="D5" s="26" t="n">
        <v>9</v>
      </c>
      <c r="E5" s="26" t="n">
        <v>5</v>
      </c>
      <c r="F5" s="26" t="n">
        <v>32</v>
      </c>
      <c r="G5" s="26" t="n">
        <v>43</v>
      </c>
      <c r="H5" s="26" t="n">
        <v>43</v>
      </c>
      <c r="I5" s="26" t="n">
        <v>127</v>
      </c>
      <c r="J5" s="39" t="n">
        <v>167322.34</v>
      </c>
      <c r="K5" s="40" t="n">
        <f aca="false">IF(I5=0,0,J5/I5)</f>
        <v>1317.49874015748</v>
      </c>
      <c r="L5" s="21" t="n">
        <f aca="false">C5*PARAMETROS!B6*PARAMETROS!B7</f>
        <v>513975</v>
      </c>
      <c r="M5" s="41" t="n">
        <f aca="false">IF(L5=0,0,J5/L5)</f>
        <v>0.325545678291746</v>
      </c>
      <c r="N5" s="42" t="str">
        <f aca="false">IF(M5&gt;=PARAMETROS!B17,"🟢 VERDE",IF(M5&gt;=PARAMETROS!B16,"🟡 AMARELO",IF(M5&gt;=PARAMETROS!B15,"🔴 VERMELHO","🟣 ROXO")))</f>
        <v>🔴 VERMELHO</v>
      </c>
      <c r="O5" s="19" t="str">
        <f aca="false">IF(M5&gt;=PARAMETROS!B17,"JBP",IF(M5&gt;=PARAMETROS!B16,"SELL OUT",IF(M5&gt;=0.1,"POSITIVAÇÃO",IF(J5&gt;0,"ATIVAÇÃO","PROSPECÇÃO"))))</f>
        <v>POSITIVAÇÃO</v>
      </c>
      <c r="P5" s="21" t="n">
        <f aca="false">L5-J5</f>
        <v>346652.66</v>
      </c>
      <c r="Q5" s="20" t="n">
        <f aca="false">IF(C5=0,0,H5/C5)</f>
        <v>0.48314606741573</v>
      </c>
      <c r="R5" s="43" t="str">
        <f aca="false">IF(O5="JBP","JBP + BI completo + Plano Negócio",IF(O5="SELL OUT","Ajuste mix + Giro + Promoções",IF(O5="POSITIVAÇÃO","Aumentar frequência + Expandir base",IF(O5="ATIVAÇÃO","Reativar inativos + Prospectar","Mapear decisores + Apresentação institucional"))))</f>
        <v>Aumentar frequência + Expandir base</v>
      </c>
      <c r="S5" s="26" t="n">
        <v>47</v>
      </c>
      <c r="T5" s="22" t="n">
        <f aca="false">RANK(P5,P$5:P$12,0)</f>
        <v>7</v>
      </c>
    </row>
    <row r="6" customFormat="false" ht="15" hidden="false" customHeight="false" outlineLevel="0" collapsed="false">
      <c r="A6" s="38" t="s">
        <v>86</v>
      </c>
      <c r="B6" s="38" t="s">
        <v>87</v>
      </c>
      <c r="C6" s="26" t="n">
        <v>85</v>
      </c>
      <c r="D6" s="26" t="n">
        <v>5</v>
      </c>
      <c r="E6" s="26" t="n">
        <v>0</v>
      </c>
      <c r="F6" s="26" t="n">
        <v>9</v>
      </c>
      <c r="G6" s="26" t="n">
        <v>71</v>
      </c>
      <c r="H6" s="26" t="n">
        <v>14</v>
      </c>
      <c r="I6" s="26" t="n">
        <v>25</v>
      </c>
      <c r="J6" s="39" t="n">
        <v>53776.25</v>
      </c>
      <c r="K6" s="40" t="n">
        <f aca="false">IF(I6=0,0,J6/I6)</f>
        <v>2151.05</v>
      </c>
      <c r="L6" s="21" t="n">
        <f aca="false">C6*PARAMETROS!B6*PARAMETROS!B7</f>
        <v>490875</v>
      </c>
      <c r="M6" s="41" t="n">
        <f aca="false">IF(L6=0,0,J6/L6)</f>
        <v>0.109551820728291</v>
      </c>
      <c r="N6" s="42" t="str">
        <f aca="false">IF(M6&gt;=PARAMETROS!B17,"🟢 VERDE",IF(M6&gt;=PARAMETROS!B16,"🟡 AMARELO",IF(M6&gt;=PARAMETROS!B15,"🔴 VERMELHO","🟣 ROXO")))</f>
        <v>🔴 VERMELHO</v>
      </c>
      <c r="O6" s="19" t="str">
        <f aca="false">IF(M6&gt;=PARAMETROS!B17,"JBP",IF(M6&gt;=PARAMETROS!B16,"SELL OUT",IF(M6&gt;=0.1,"POSITIVAÇÃO",IF(J6&gt;0,"ATIVAÇÃO","PROSPECÇÃO"))))</f>
        <v>POSITIVAÇÃO</v>
      </c>
      <c r="P6" s="21" t="n">
        <f aca="false">L6-J6</f>
        <v>437098.75</v>
      </c>
      <c r="Q6" s="20" t="n">
        <f aca="false">IF(C6=0,0,H6/C6)</f>
        <v>0.164705882352941</v>
      </c>
      <c r="R6" s="43" t="str">
        <f aca="false">IF(O6="JBP","JBP + BI completo + Plano Negócio",IF(O6="SELL OUT","Ajuste mix + Giro + Promoções",IF(O6="POSITIVAÇÃO","Aumentar frequência + Expandir base",IF(O6="ATIVAÇÃO","Reativar inativos + Prospectar","Mapear decisores + Apresentação institucional"))))</f>
        <v>Aumentar frequência + Expandir base</v>
      </c>
      <c r="S6" s="26" t="n">
        <v>27</v>
      </c>
      <c r="T6" s="22" t="n">
        <f aca="false">RANK(P6,P$5:P$12,0)</f>
        <v>5</v>
      </c>
    </row>
    <row r="7" customFormat="false" ht="15" hidden="false" customHeight="false" outlineLevel="0" collapsed="false">
      <c r="A7" s="38" t="s">
        <v>88</v>
      </c>
      <c r="B7" s="38" t="s">
        <v>87</v>
      </c>
      <c r="C7" s="26" t="n">
        <v>81</v>
      </c>
      <c r="D7" s="26" t="n">
        <v>8</v>
      </c>
      <c r="E7" s="26" t="n">
        <v>0</v>
      </c>
      <c r="F7" s="26" t="n">
        <v>10</v>
      </c>
      <c r="G7" s="26" t="n">
        <v>63</v>
      </c>
      <c r="H7" s="26" t="n">
        <v>17</v>
      </c>
      <c r="I7" s="26" t="n">
        <v>31</v>
      </c>
      <c r="J7" s="39" t="n">
        <v>41056.24</v>
      </c>
      <c r="K7" s="40" t="n">
        <f aca="false">IF(I7=0,0,J7/I7)</f>
        <v>1324.39483870968</v>
      </c>
      <c r="L7" s="21" t="n">
        <f aca="false">C7*PARAMETROS!B6*PARAMETROS!B7</f>
        <v>467775</v>
      </c>
      <c r="M7" s="41" t="n">
        <f aca="false">IF(L7=0,0,J7/L7)</f>
        <v>0.0877692052803164</v>
      </c>
      <c r="N7" s="42" t="str">
        <f aca="false">IF(M7&gt;=PARAMETROS!B17,"🟢 VERDE",IF(M7&gt;=PARAMETROS!B16,"🟡 AMARELO",IF(M7&gt;=PARAMETROS!B15,"🔴 VERMELHO","🟣 ROXO")))</f>
        <v>🔴 VERMELHO</v>
      </c>
      <c r="O7" s="19" t="str">
        <f aca="false">IF(M7&gt;=PARAMETROS!B17,"JBP",IF(M7&gt;=PARAMETROS!B16,"SELL OUT",IF(M7&gt;=0.1,"POSITIVAÇÃO",IF(J7&gt;0,"ATIVAÇÃO","PROSPECÇÃO"))))</f>
        <v>ATIVAÇÃO</v>
      </c>
      <c r="P7" s="21" t="n">
        <f aca="false">L7-J7</f>
        <v>426718.76</v>
      </c>
      <c r="Q7" s="20" t="n">
        <f aca="false">IF(C7=0,0,H7/C7)</f>
        <v>0.209876543209877</v>
      </c>
      <c r="R7" s="43" t="str">
        <f aca="false">IF(O7="JBP","JBP + BI completo + Plano Negócio",IF(O7="SELL OUT","Ajuste mix + Giro + Promoções",IF(O7="POSITIVAÇÃO","Aumentar frequência + Expandir base",IF(O7="ATIVAÇÃO","Reativar inativos + Prospectar","Mapear decisores + Apresentação institucional"))))</f>
        <v>Reativar inativos + Prospectar</v>
      </c>
      <c r="S7" s="26" t="n">
        <v>13</v>
      </c>
      <c r="T7" s="22" t="n">
        <f aca="false">RANK(P7,P$5:P$12,0)</f>
        <v>6</v>
      </c>
    </row>
    <row r="8" customFormat="false" ht="15" hidden="false" customHeight="false" outlineLevel="0" collapsed="false">
      <c r="A8" s="38" t="s">
        <v>89</v>
      </c>
      <c r="B8" s="38" t="s">
        <v>85</v>
      </c>
      <c r="C8" s="26" t="n">
        <v>163</v>
      </c>
      <c r="D8" s="26" t="n">
        <v>0</v>
      </c>
      <c r="E8" s="26" t="n">
        <v>4</v>
      </c>
      <c r="F8" s="26" t="n">
        <v>93</v>
      </c>
      <c r="G8" s="26" t="n">
        <v>66</v>
      </c>
      <c r="H8" s="26" t="n">
        <v>18</v>
      </c>
      <c r="I8" s="26" t="n">
        <v>24</v>
      </c>
      <c r="J8" s="39" t="n">
        <v>26360.53</v>
      </c>
      <c r="K8" s="40" t="n">
        <f aca="false">IF(I8=0,0,J8/I8)</f>
        <v>1098.35541666667</v>
      </c>
      <c r="L8" s="21" t="n">
        <f aca="false">C8*PARAMETROS!B6*PARAMETROS!B7</f>
        <v>941325</v>
      </c>
      <c r="M8" s="41" t="n">
        <f aca="false">IF(L8=0,0,J8/L8)</f>
        <v>0.0280036437999628</v>
      </c>
      <c r="N8" s="42" t="str">
        <f aca="false">IF(M8&gt;=PARAMETROS!B17,"🟢 VERDE",IF(M8&gt;=PARAMETROS!B16,"🟡 AMARELO",IF(M8&gt;=PARAMETROS!B15,"🔴 VERMELHO","🟣 ROXO")))</f>
        <v>🔴 VERMELHO</v>
      </c>
      <c r="O8" s="19" t="str">
        <f aca="false">IF(M8&gt;=PARAMETROS!B17,"JBP",IF(M8&gt;=PARAMETROS!B16,"SELL OUT",IF(M8&gt;=0.1,"POSITIVAÇÃO",IF(J8&gt;0,"ATIVAÇÃO","PROSPECÇÃO"))))</f>
        <v>ATIVAÇÃO</v>
      </c>
      <c r="P8" s="21" t="n">
        <f aca="false">L8-J8</f>
        <v>914964.47</v>
      </c>
      <c r="Q8" s="20" t="n">
        <f aca="false">IF(C8=0,0,H8/C8)</f>
        <v>0.110429447852761</v>
      </c>
      <c r="R8" s="43" t="str">
        <f aca="false">IF(O8="JBP","JBP + BI completo + Plano Negócio",IF(O8="SELL OUT","Ajuste mix + Giro + Promoções",IF(O8="POSITIVAÇÃO","Aumentar frequência + Expandir base",IF(O8="ATIVAÇÃO","Reativar inativos + Prospectar","Mapear decisores + Apresentação institucional"))))</f>
        <v>Reativar inativos + Prospectar</v>
      </c>
      <c r="S8" s="26" t="n">
        <v>70</v>
      </c>
      <c r="T8" s="22" t="n">
        <f aca="false">RANK(P8,P$5:P$12,0)</f>
        <v>3</v>
      </c>
    </row>
    <row r="9" customFormat="false" ht="15" hidden="false" customHeight="false" outlineLevel="0" collapsed="false">
      <c r="A9" s="38" t="s">
        <v>90</v>
      </c>
      <c r="B9" s="38" t="s">
        <v>87</v>
      </c>
      <c r="C9" s="26" t="n">
        <v>199</v>
      </c>
      <c r="D9" s="26" t="n">
        <v>1</v>
      </c>
      <c r="E9" s="26" t="n">
        <v>0</v>
      </c>
      <c r="F9" s="26" t="n">
        <v>3</v>
      </c>
      <c r="G9" s="26" t="n">
        <v>195</v>
      </c>
      <c r="H9" s="26" t="n">
        <v>4</v>
      </c>
      <c r="I9" s="26" t="n">
        <v>10</v>
      </c>
      <c r="J9" s="39" t="n">
        <v>17415.19</v>
      </c>
      <c r="K9" s="40" t="n">
        <f aca="false">IF(I9=0,0,J9/I9)</f>
        <v>1741.519</v>
      </c>
      <c r="L9" s="21" t="n">
        <f aca="false">C9*PARAMETROS!B6*PARAMETROS!B7</f>
        <v>1149225</v>
      </c>
      <c r="M9" s="41" t="n">
        <f aca="false">IF(L9=0,0,J9/L9)</f>
        <v>0.0151538558593835</v>
      </c>
      <c r="N9" s="42" t="str">
        <f aca="false">IF(M9&gt;=PARAMETROS!B17,"🟢 VERDE",IF(M9&gt;=PARAMETROS!B16,"🟡 AMARELO",IF(M9&gt;=PARAMETROS!B15,"🔴 VERMELHO","🟣 ROXO")))</f>
        <v>🔴 VERMELHO</v>
      </c>
      <c r="O9" s="19" t="str">
        <f aca="false">IF(M9&gt;=PARAMETROS!B17,"JBP",IF(M9&gt;=PARAMETROS!B16,"SELL OUT",IF(M9&gt;=0.1,"POSITIVAÇÃO",IF(J9&gt;0,"ATIVAÇÃO","PROSPECÇÃO"))))</f>
        <v>ATIVAÇÃO</v>
      </c>
      <c r="P9" s="21" t="n">
        <f aca="false">L9-J9</f>
        <v>1131809.81</v>
      </c>
      <c r="Q9" s="20" t="n">
        <f aca="false">IF(C9=0,0,H9/C9)</f>
        <v>0.0201005025125628</v>
      </c>
      <c r="R9" s="43" t="str">
        <f aca="false">IF(O9="JBP","JBP + BI completo + Plano Negócio",IF(O9="SELL OUT","Ajuste mix + Giro + Promoções",IF(O9="POSITIVAÇÃO","Aumentar frequência + Expandir base",IF(O9="ATIVAÇÃO","Reativar inativos + Prospectar","Mapear decisores + Apresentação institucional"))))</f>
        <v>Reativar inativos + Prospectar</v>
      </c>
      <c r="S9" s="26" t="n">
        <v>16</v>
      </c>
      <c r="T9" s="22" t="n">
        <f aca="false">RANK(P9,P$5:P$12,0)</f>
        <v>1</v>
      </c>
    </row>
    <row r="10" customFormat="false" ht="15" hidden="false" customHeight="false" outlineLevel="0" collapsed="false">
      <c r="A10" s="38" t="s">
        <v>91</v>
      </c>
      <c r="B10" s="38" t="s">
        <v>87</v>
      </c>
      <c r="C10" s="26" t="n">
        <v>167</v>
      </c>
      <c r="D10" s="26" t="n">
        <v>0</v>
      </c>
      <c r="E10" s="26" t="n">
        <v>0</v>
      </c>
      <c r="F10" s="26" t="n">
        <v>4</v>
      </c>
      <c r="G10" s="26" t="n">
        <v>163</v>
      </c>
      <c r="H10" s="26" t="n">
        <v>5</v>
      </c>
      <c r="I10" s="26" t="n">
        <v>13</v>
      </c>
      <c r="J10" s="39" t="n">
        <v>15059.76</v>
      </c>
      <c r="K10" s="40" t="n">
        <f aca="false">IF(I10=0,0,J10/I10)</f>
        <v>1158.44307692308</v>
      </c>
      <c r="L10" s="21" t="n">
        <f aca="false">C10*PARAMETROS!B6*PARAMETROS!B7</f>
        <v>964425</v>
      </c>
      <c r="M10" s="41" t="n">
        <f aca="false">IF(L10=0,0,J10/L10)</f>
        <v>0.0156152733494051</v>
      </c>
      <c r="N10" s="42" t="str">
        <f aca="false">IF(M10&gt;=PARAMETROS!B17,"🟢 VERDE",IF(M10&gt;=PARAMETROS!B16,"🟡 AMARELO",IF(M10&gt;=PARAMETROS!B15,"🔴 VERMELHO","🟣 ROXO")))</f>
        <v>🔴 VERMELHO</v>
      </c>
      <c r="O10" s="19" t="str">
        <f aca="false">IF(M10&gt;=PARAMETROS!B17,"JBP",IF(M10&gt;=PARAMETROS!B16,"SELL OUT",IF(M10&gt;=0.1,"POSITIVAÇÃO",IF(J10&gt;0,"ATIVAÇÃO","PROSPECÇÃO"))))</f>
        <v>ATIVAÇÃO</v>
      </c>
      <c r="P10" s="21" t="n">
        <f aca="false">L10-J10</f>
        <v>949365.24</v>
      </c>
      <c r="Q10" s="20" t="n">
        <f aca="false">IF(C10=0,0,H10/C10)</f>
        <v>0.029940119760479</v>
      </c>
      <c r="R10" s="43" t="str">
        <f aca="false">IF(O10="JBP","JBP + BI completo + Plano Negócio",IF(O10="SELL OUT","Ajuste mix + Giro + Promoções",IF(O10="POSITIVAÇÃO","Aumentar frequência + Expandir base",IF(O10="ATIVAÇÃO","Reativar inativos + Prospectar","Mapear decisores + Apresentação institucional"))))</f>
        <v>Reativar inativos + Prospectar</v>
      </c>
      <c r="S10" s="26" t="n">
        <v>30</v>
      </c>
      <c r="T10" s="22" t="n">
        <f aca="false">RANK(P10,P$5:P$12,0)</f>
        <v>2</v>
      </c>
    </row>
    <row r="11" customFormat="false" ht="15" hidden="false" customHeight="false" outlineLevel="0" collapsed="false">
      <c r="A11" s="38" t="s">
        <v>92</v>
      </c>
      <c r="B11" s="38" t="s">
        <v>93</v>
      </c>
      <c r="C11" s="26" t="n">
        <v>25</v>
      </c>
      <c r="D11" s="26" t="n">
        <v>1</v>
      </c>
      <c r="E11" s="26" t="n">
        <v>0</v>
      </c>
      <c r="F11" s="26" t="n">
        <v>0</v>
      </c>
      <c r="G11" s="26" t="n">
        <v>24</v>
      </c>
      <c r="H11" s="26" t="n">
        <v>1</v>
      </c>
      <c r="I11" s="26" t="n">
        <v>6</v>
      </c>
      <c r="J11" s="39" t="n">
        <v>9808.5</v>
      </c>
      <c r="K11" s="40" t="n">
        <f aca="false">IF(I11=0,0,J11/I11)</f>
        <v>1634.75</v>
      </c>
      <c r="L11" s="21" t="n">
        <f aca="false">C11*PARAMETROS!B6*PARAMETROS!B7</f>
        <v>144375</v>
      </c>
      <c r="M11" s="41" t="n">
        <f aca="false">IF(L11=0,0,J11/L11)</f>
        <v>0.0679376623376623</v>
      </c>
      <c r="N11" s="42" t="str">
        <f aca="false">IF(M11&gt;=PARAMETROS!B17,"🟢 VERDE",IF(M11&gt;=PARAMETROS!B16,"🟡 AMARELO",IF(M11&gt;=PARAMETROS!B15,"🔴 VERMELHO","🟣 ROXO")))</f>
        <v>🔴 VERMELHO</v>
      </c>
      <c r="O11" s="19" t="str">
        <f aca="false">IF(M11&gt;=PARAMETROS!B17,"JBP",IF(M11&gt;=PARAMETROS!B16,"SELL OUT",IF(M11&gt;=0.1,"POSITIVAÇÃO",IF(J11&gt;0,"ATIVAÇÃO","PROSPECÇÃO"))))</f>
        <v>ATIVAÇÃO</v>
      </c>
      <c r="P11" s="21" t="n">
        <f aca="false">L11-J11</f>
        <v>134566.5</v>
      </c>
      <c r="Q11" s="20" t="n">
        <f aca="false">IF(C11=0,0,H11/C11)</f>
        <v>0.04</v>
      </c>
      <c r="R11" s="43" t="str">
        <f aca="false">IF(O11="JBP","JBP + BI completo + Plano Negócio",IF(O11="SELL OUT","Ajuste mix + Giro + Promoções",IF(O11="POSITIVAÇÃO","Aumentar frequência + Expandir base",IF(O11="ATIVAÇÃO","Reativar inativos + Prospectar","Mapear decisores + Apresentação institucional"))))</f>
        <v>Reativar inativos + Prospectar</v>
      </c>
      <c r="S11" s="26" t="n">
        <v>1</v>
      </c>
      <c r="T11" s="22" t="n">
        <f aca="false">RANK(P11,P$5:P$12,0)</f>
        <v>8</v>
      </c>
    </row>
    <row r="12" customFormat="false" ht="15" hidden="false" customHeight="false" outlineLevel="0" collapsed="false">
      <c r="A12" s="38" t="s">
        <v>94</v>
      </c>
      <c r="B12" s="38" t="s">
        <v>87</v>
      </c>
      <c r="C12" s="26" t="n">
        <v>114</v>
      </c>
      <c r="D12" s="26" t="n">
        <v>0</v>
      </c>
      <c r="E12" s="26" t="n">
        <v>0</v>
      </c>
      <c r="F12" s="26" t="n">
        <v>0</v>
      </c>
      <c r="G12" s="26" t="n">
        <v>114</v>
      </c>
      <c r="H12" s="26" t="n">
        <v>0</v>
      </c>
      <c r="I12" s="26" t="n">
        <v>0</v>
      </c>
      <c r="J12" s="39" t="n">
        <v>0</v>
      </c>
      <c r="K12" s="40" t="n">
        <f aca="false">IF(I12=0,0,J12/I12)</f>
        <v>0</v>
      </c>
      <c r="L12" s="21" t="n">
        <f aca="false">C12*PARAMETROS!B6*PARAMETROS!B7</f>
        <v>658350</v>
      </c>
      <c r="M12" s="41" t="n">
        <f aca="false">IF(L12=0,0,J12/L12)</f>
        <v>0</v>
      </c>
      <c r="N12" s="42" t="str">
        <f aca="false">IF(M12&gt;=PARAMETROS!B17,"🟢 VERDE",IF(M12&gt;=PARAMETROS!B16,"🟡 AMARELO",IF(M12&gt;=PARAMETROS!B15,"🔴 VERMELHO","🟣 ROXO")))</f>
        <v>🟣 ROXO</v>
      </c>
      <c r="O12" s="19" t="str">
        <f aca="false">IF(M12&gt;=PARAMETROS!B17,"JBP",IF(M12&gt;=PARAMETROS!B16,"SELL OUT",IF(M12&gt;=0.1,"POSITIVAÇÃO",IF(J12&gt;0,"ATIVAÇÃO","PROSPECÇÃO"))))</f>
        <v>PROSPECÇÃO</v>
      </c>
      <c r="P12" s="21" t="n">
        <f aca="false">L12-J12</f>
        <v>658350</v>
      </c>
      <c r="Q12" s="20" t="n">
        <f aca="false">IF(C12=0,0,H12/C12)</f>
        <v>0</v>
      </c>
      <c r="R12" s="43" t="str">
        <f aca="false">IF(O12="JBP","JBP + BI completo + Plano Negócio",IF(O12="SELL OUT","Ajuste mix + Giro + Promoções",IF(O12="POSITIVAÇÃO","Aumentar frequência + Expandir base",IF(O12="ATIVAÇÃO","Reativar inativos + Prospectar","Mapear decisores + Apresentação institucional"))))</f>
        <v>Mapear decisores + Apresentação institucional</v>
      </c>
      <c r="S12" s="26" t="n">
        <v>0</v>
      </c>
      <c r="T12" s="22" t="n">
        <f aca="false">RANK(P12,P$5:P$12,0)</f>
        <v>4</v>
      </c>
    </row>
    <row r="14" customFormat="false" ht="17.35" hidden="false" customHeight="false" outlineLevel="0" collapsed="false">
      <c r="A14" s="44" t="s">
        <v>95</v>
      </c>
      <c r="B14" s="45"/>
      <c r="C14" s="46" t="n">
        <f aca="false">SUM(C5:C12)</f>
        <v>923</v>
      </c>
      <c r="D14" s="46" t="n">
        <f aca="false">SUM(D5:D12)</f>
        <v>24</v>
      </c>
      <c r="E14" s="46" t="n">
        <f aca="false">SUM(E5:E12)</f>
        <v>9</v>
      </c>
      <c r="F14" s="46" t="n">
        <f aca="false">SUM(F5:F12)</f>
        <v>151</v>
      </c>
      <c r="G14" s="46" t="n">
        <f aca="false">SUM(G5:G12)</f>
        <v>739</v>
      </c>
      <c r="H14" s="46" t="n">
        <f aca="false">SUM(H5:H12)</f>
        <v>102</v>
      </c>
      <c r="I14" s="46" t="n">
        <f aca="false">SUM(I5:I12)</f>
        <v>236</v>
      </c>
      <c r="J14" s="47" t="n">
        <f aca="false">SUM(J5:J12)</f>
        <v>330798.81</v>
      </c>
      <c r="K14" s="47" t="n">
        <f aca="false">IF(I14=0,0,J14/I14)</f>
        <v>1401.68987288136</v>
      </c>
      <c r="L14" s="46" t="n">
        <f aca="false">SUM(L5:L12)</f>
        <v>5330325</v>
      </c>
      <c r="M14" s="48" t="n">
        <f aca="false">IF(L14=0,0,J14/L14)</f>
        <v>0.0620597824710501</v>
      </c>
      <c r="N14" s="45" t="str">
        <f aca="false">IF(M14&gt;=PARAMETROS!B17,"🟢 VERDE",IF(M14&gt;=PARAMETROS!B16,"🟡 AMARELO",IF(M14&gt;=PARAMETROS!B15,"🔴 VERMELHO","🟣 ROXO")))</f>
        <v>🔴 VERMELHO</v>
      </c>
      <c r="O14" s="45"/>
      <c r="P14" s="46" t="n">
        <f aca="false">SUM(P5:P12)</f>
        <v>4999526.19</v>
      </c>
      <c r="Q14" s="49" t="n">
        <f aca="false">IF(C14=0,0,H14/C14)</f>
        <v>0.110509209100758</v>
      </c>
      <c r="R14" s="45"/>
      <c r="S14" s="46" t="n">
        <f aca="false">SUM(S5:S12)</f>
        <v>204</v>
      </c>
      <c r="T14" s="45"/>
    </row>
    <row r="16" customFormat="false" ht="15" hidden="false" customHeight="false" outlineLevel="0" collapsed="false">
      <c r="A16" s="7" t="s">
        <v>96</v>
      </c>
      <c r="B16" s="7"/>
      <c r="C16" s="7"/>
      <c r="D16" s="7"/>
      <c r="F16" s="7" t="s">
        <v>97</v>
      </c>
      <c r="G16" s="7"/>
      <c r="H16" s="7"/>
      <c r="I16" s="7"/>
      <c r="J16" s="7"/>
    </row>
    <row r="17" customFormat="false" ht="17.35" hidden="false" customHeight="false" outlineLevel="0" collapsed="false">
      <c r="A17" s="50" t="s">
        <v>10</v>
      </c>
      <c r="B17" s="51" t="n">
        <f aca="false">COUNTIF(N5:N12,"*ROXO*")</f>
        <v>1</v>
      </c>
      <c r="C17" s="35" t="s">
        <v>98</v>
      </c>
      <c r="F17" s="52" t="s">
        <v>99</v>
      </c>
      <c r="G17" s="53" t="n">
        <v>700</v>
      </c>
    </row>
    <row r="18" customFormat="false" ht="17.35" hidden="false" customHeight="false" outlineLevel="0" collapsed="false">
      <c r="A18" s="54" t="s">
        <v>11</v>
      </c>
      <c r="B18" s="55" t="n">
        <f aca="false">COUNTIF(N5:N12,"*VERMELHO*")</f>
        <v>7</v>
      </c>
      <c r="C18" s="35" t="s">
        <v>98</v>
      </c>
      <c r="F18" s="52" t="s">
        <v>100</v>
      </c>
      <c r="G18" s="56" t="n">
        <f aca="false">C14*G17*PARAMETROS!B7</f>
        <v>7107100</v>
      </c>
    </row>
    <row r="19" customFormat="false" ht="17.35" hidden="false" customHeight="false" outlineLevel="0" collapsed="false">
      <c r="A19" s="57" t="s">
        <v>12</v>
      </c>
      <c r="B19" s="58" t="n">
        <f aca="false">COUNTIF(N5:N12,"*AMARELO*")</f>
        <v>0</v>
      </c>
      <c r="C19" s="35" t="s">
        <v>98</v>
      </c>
      <c r="F19" s="52" t="s">
        <v>101</v>
      </c>
      <c r="G19" s="59" t="n">
        <f aca="false">IF(G18=0,0,J14/G18)</f>
        <v>0.0465448368532876</v>
      </c>
    </row>
    <row r="20" customFormat="false" ht="17.35" hidden="false" customHeight="false" outlineLevel="0" collapsed="false">
      <c r="A20" s="60" t="s">
        <v>13</v>
      </c>
      <c r="B20" s="61" t="n">
        <f aca="false">COUNTIF(N5:N12,"*VERDE*")</f>
        <v>0</v>
      </c>
      <c r="C20" s="35" t="s">
        <v>98</v>
      </c>
      <c r="F20" s="52" t="s">
        <v>102</v>
      </c>
      <c r="G20" s="56" t="n">
        <f aca="false">G18-J14</f>
        <v>6776301.19</v>
      </c>
    </row>
  </sheetData>
  <mergeCells count="4">
    <mergeCell ref="A1:T1"/>
    <mergeCell ref="A2:T2"/>
    <mergeCell ref="A16:D16"/>
    <mergeCell ref="F16:J16"/>
  </mergeCells>
  <conditionalFormatting sqref="M5:M12">
    <cfRule type="cellIs" priority="2" operator="greaterThanOrEqual" aboveAverage="0" equalAverage="0" bottom="0" percent="0" rank="0" text="" dxfId="3">
      <formula>0.6</formula>
    </cfRule>
    <cfRule type="cellIs" priority="3" operator="between" aboveAverage="0" equalAverage="0" bottom="0" percent="0" rank="0" text="" dxfId="4">
      <formula>0.4</formula>
      <formula>0.5999</formula>
    </cfRule>
    <cfRule type="cellIs" priority="4" operator="between" aboveAverage="0" equalAverage="0" bottom="0" percent="0" rank="0" text="" dxfId="5">
      <formula>0.01</formula>
      <formula>0.3999</formula>
    </cfRule>
    <cfRule type="cellIs" priority="5" operator="lessThan" aboveAverage="0" equalAverage="0" bottom="0" percent="0" rank="0" text="" dxfId="6">
      <formula>0.01</formula>
    </cfRule>
  </conditionalFormatting>
  <conditionalFormatting sqref="P5:P12">
    <cfRule type="cellIs" priority="6" operator="greaterThan" aboveAverage="0" equalAverage="0" bottom="0" percent="0" rank="0" text="" dxfId="5">
      <formula>400000</formula>
    </cfRule>
  </conditionalFormatting>
  <conditionalFormatting sqref="Q5:Q12">
    <cfRule type="cellIs" priority="7" operator="greaterThanOrEqual" aboveAverage="0" equalAverage="0" bottom="0" percent="0" rank="0" text="" dxfId="0">
      <formula>0.3</formula>
    </cfRule>
    <cfRule type="cellIs" priority="8" operator="lessThan" aboveAverage="0" equalAverage="0" bottom="0" percent="0" rank="0" text="" dxfId="2">
      <formula>0.1</formula>
    </cfRule>
  </conditionalFormatting>
  <conditionalFormatting sqref="T5:T12">
    <cfRule type="cellIs" priority="9" operator="lessThanOrEqual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9.7" hidden="false" customHeight="false" outlineLevel="0" collapsed="false">
      <c r="A1" s="23" t="s">
        <v>103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62" t="s">
        <v>104</v>
      </c>
    </row>
    <row r="4" customFormat="false" ht="15" hidden="false" customHeight="false" outlineLevel="0" collapsed="false">
      <c r="A4" s="14" t="s">
        <v>105</v>
      </c>
      <c r="B4" s="14" t="s">
        <v>19</v>
      </c>
      <c r="C4" s="14" t="s">
        <v>70</v>
      </c>
      <c r="D4" s="14" t="s">
        <v>20</v>
      </c>
      <c r="E4" s="14" t="s">
        <v>21</v>
      </c>
      <c r="F4" s="14" t="s">
        <v>23</v>
      </c>
      <c r="G4" s="14" t="s">
        <v>106</v>
      </c>
      <c r="H4" s="14" t="s">
        <v>107</v>
      </c>
    </row>
    <row r="5" customFormat="false" ht="23.85" hidden="false" customHeight="false" outlineLevel="0" collapsed="false">
      <c r="A5" s="22" t="n">
        <f aca="false">SINALEIRO!T5</f>
        <v>7</v>
      </c>
      <c r="B5" s="63" t="str">
        <f aca="false">SINALEIRO!A5</f>
        <v>FIT LAND</v>
      </c>
      <c r="C5" s="27" t="str">
        <f aca="false">SINALEIRO!B5</f>
        <v>JULIO</v>
      </c>
      <c r="D5" s="64" t="n">
        <f aca="false">SINALEIRO!M5</f>
        <v>0.325545678291746</v>
      </c>
      <c r="E5" s="42" t="str">
        <f aca="false">SINALEIRO!N5</f>
        <v>🔴 VERMELHO</v>
      </c>
      <c r="F5" s="21" t="n">
        <f aca="false">SINALEIRO!P5</f>
        <v>346652.66</v>
      </c>
      <c r="G5" s="28" t="n">
        <v>0.1</v>
      </c>
      <c r="H5" s="65" t="s">
        <v>108</v>
      </c>
    </row>
    <row r="6" customFormat="false" ht="15" hidden="false" customHeight="false" outlineLevel="0" collapsed="false">
      <c r="A6" s="22" t="n">
        <f aca="false">SINALEIRO!T6</f>
        <v>5</v>
      </c>
      <c r="B6" s="63" t="str">
        <f aca="false">SINALEIRO!A6</f>
        <v>DIVINA TERRA</v>
      </c>
      <c r="C6" s="27" t="str">
        <f aca="false">SINALEIRO!B6</f>
        <v>DAIANE</v>
      </c>
      <c r="D6" s="64" t="n">
        <f aca="false">SINALEIRO!M6</f>
        <v>0.109551820728291</v>
      </c>
      <c r="E6" s="42" t="str">
        <f aca="false">SINALEIRO!N6</f>
        <v>🔴 VERMELHO</v>
      </c>
      <c r="F6" s="21" t="n">
        <f aca="false">SINALEIRO!P6</f>
        <v>437098.75</v>
      </c>
      <c r="G6" s="28" t="n">
        <v>0.05</v>
      </c>
      <c r="H6" s="65" t="s">
        <v>109</v>
      </c>
    </row>
    <row r="7" customFormat="false" ht="15" hidden="false" customHeight="false" outlineLevel="0" collapsed="false">
      <c r="A7" s="22" t="n">
        <f aca="false">SINALEIRO!T7</f>
        <v>6</v>
      </c>
      <c r="B7" s="63" t="str">
        <f aca="false">SINALEIRO!A7</f>
        <v>VIDA LEVE</v>
      </c>
      <c r="C7" s="27" t="str">
        <f aca="false">SINALEIRO!B7</f>
        <v>DAIANE</v>
      </c>
      <c r="D7" s="64" t="n">
        <f aca="false">SINALEIRO!M7</f>
        <v>0.0877692052803164</v>
      </c>
      <c r="E7" s="42" t="str">
        <f aca="false">SINALEIRO!N7</f>
        <v>🔴 VERMELHO</v>
      </c>
      <c r="F7" s="21" t="n">
        <f aca="false">SINALEIRO!P7</f>
        <v>426718.76</v>
      </c>
      <c r="G7" s="28" t="n">
        <v>0.03</v>
      </c>
      <c r="H7" s="65" t="s">
        <v>110</v>
      </c>
    </row>
    <row r="8" customFormat="false" ht="15" hidden="false" customHeight="false" outlineLevel="0" collapsed="false">
      <c r="A8" s="22" t="n">
        <f aca="false">SINALEIRO!T8</f>
        <v>3</v>
      </c>
      <c r="B8" s="63" t="str">
        <f aca="false">SINALEIRO!A8</f>
        <v>CIA DA SAUDE</v>
      </c>
      <c r="C8" s="27" t="str">
        <f aca="false">SINALEIRO!B8</f>
        <v>JULIO</v>
      </c>
      <c r="D8" s="64" t="n">
        <f aca="false">SINALEIRO!M8</f>
        <v>0.0280036437999628</v>
      </c>
      <c r="E8" s="42" t="str">
        <f aca="false">SINALEIRO!N8</f>
        <v>🔴 VERMELHO</v>
      </c>
      <c r="F8" s="21" t="n">
        <f aca="false">SINALEIRO!P8</f>
        <v>914964.47</v>
      </c>
      <c r="G8" s="28" t="n">
        <v>0.03</v>
      </c>
      <c r="H8" s="65" t="s">
        <v>111</v>
      </c>
    </row>
    <row r="9" customFormat="false" ht="15" hidden="false" customHeight="false" outlineLevel="0" collapsed="false">
      <c r="A9" s="22" t="n">
        <f aca="false">SINALEIRO!T9</f>
        <v>1</v>
      </c>
      <c r="B9" s="63" t="str">
        <f aca="false">SINALEIRO!A9</f>
        <v>MUNDO VERDE</v>
      </c>
      <c r="C9" s="27" t="str">
        <f aca="false">SINALEIRO!B9</f>
        <v>DAIANE</v>
      </c>
      <c r="D9" s="64" t="n">
        <f aca="false">SINALEIRO!M9</f>
        <v>0.0151538558593835</v>
      </c>
      <c r="E9" s="42" t="str">
        <f aca="false">SINALEIRO!N9</f>
        <v>🔴 VERMELHO</v>
      </c>
      <c r="F9" s="21" t="n">
        <f aca="false">SINALEIRO!P9</f>
        <v>1131809.81</v>
      </c>
      <c r="G9" s="28" t="n">
        <v>0.02</v>
      </c>
      <c r="H9" s="65" t="s">
        <v>112</v>
      </c>
    </row>
    <row r="10" customFormat="false" ht="15" hidden="false" customHeight="false" outlineLevel="0" collapsed="false">
      <c r="A10" s="22" t="n">
        <f aca="false">SINALEIRO!T10</f>
        <v>2</v>
      </c>
      <c r="B10" s="63" t="str">
        <f aca="false">SINALEIRO!A10</f>
        <v>BIOMUNDO</v>
      </c>
      <c r="C10" s="27" t="str">
        <f aca="false">SINALEIRO!B10</f>
        <v>DAIANE</v>
      </c>
      <c r="D10" s="64" t="n">
        <f aca="false">SINALEIRO!M10</f>
        <v>0.0156152733494051</v>
      </c>
      <c r="E10" s="42" t="str">
        <f aca="false">SINALEIRO!N10</f>
        <v>🔴 VERMELHO</v>
      </c>
      <c r="F10" s="21" t="n">
        <f aca="false">SINALEIRO!P10</f>
        <v>949365.24</v>
      </c>
      <c r="G10" s="28" t="n">
        <v>0.02</v>
      </c>
      <c r="H10" s="65" t="s">
        <v>113</v>
      </c>
    </row>
    <row r="11" customFormat="false" ht="15" hidden="false" customHeight="false" outlineLevel="0" collapsed="false">
      <c r="A11" s="22" t="n">
        <f aca="false">SINALEIRO!T11</f>
        <v>8</v>
      </c>
      <c r="B11" s="63" t="str">
        <f aca="false">SINALEIRO!A11</f>
        <v>TUDO EM GRAOS</v>
      </c>
      <c r="C11" s="27" t="str">
        <f aca="false">SINALEIRO!B11</f>
        <v>MANU</v>
      </c>
      <c r="D11" s="64" t="n">
        <f aca="false">SINALEIRO!M11</f>
        <v>0.0679376623376623</v>
      </c>
      <c r="E11" s="42" t="str">
        <f aca="false">SINALEIRO!N11</f>
        <v>🔴 VERMELHO</v>
      </c>
      <c r="F11" s="21" t="n">
        <f aca="false">SINALEIRO!P11</f>
        <v>134566.5</v>
      </c>
      <c r="G11" s="28" t="n">
        <v>0.1</v>
      </c>
      <c r="H11" s="65" t="s">
        <v>114</v>
      </c>
    </row>
    <row r="12" customFormat="false" ht="15" hidden="false" customHeight="false" outlineLevel="0" collapsed="false">
      <c r="A12" s="22" t="n">
        <f aca="false">SINALEIRO!T12</f>
        <v>4</v>
      </c>
      <c r="B12" s="63" t="str">
        <f aca="false">SINALEIRO!A12</f>
        <v>ARMAZEM FITSTORE</v>
      </c>
      <c r="C12" s="27" t="str">
        <f aca="false">SINALEIRO!B12</f>
        <v>DAIANE</v>
      </c>
      <c r="D12" s="64" t="n">
        <f aca="false">SINALEIRO!M12</f>
        <v>0</v>
      </c>
      <c r="E12" s="42" t="str">
        <f aca="false">SINALEIRO!N12</f>
        <v>🟣 ROXO</v>
      </c>
      <c r="F12" s="21" t="n">
        <f aca="false">SINALEIRO!P12</f>
        <v>658350</v>
      </c>
      <c r="G12" s="28" t="n">
        <v>0.01</v>
      </c>
      <c r="H12" s="65" t="s">
        <v>115</v>
      </c>
    </row>
  </sheetData>
  <mergeCells count="1">
    <mergeCell ref="A1:H1"/>
  </mergeCells>
  <conditionalFormatting sqref="D5:D12">
    <cfRule type="cellIs" priority="2" operator="lessThan" aboveAverage="0" equalAverage="0" bottom="0" percent="0" rank="0" text="" dxfId="1">
      <formula>0.01</formula>
    </cfRule>
    <cfRule type="cellIs" priority="3" operator="between" aboveAverage="0" equalAverage="0" bottom="0" percent="0" rank="0" text="" dxfId="2">
      <formula>0.01</formula>
      <formula>0.3999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BB6A"/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23" t="s">
        <v>116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14" t="s">
        <v>22</v>
      </c>
      <c r="B3" s="14" t="s">
        <v>117</v>
      </c>
      <c r="C3" s="14" t="s">
        <v>118</v>
      </c>
      <c r="D3" s="14" t="s">
        <v>119</v>
      </c>
      <c r="E3" s="14" t="s">
        <v>120</v>
      </c>
      <c r="F3" s="14" t="s">
        <v>121</v>
      </c>
    </row>
    <row r="4" customFormat="false" ht="17.35" hidden="false" customHeight="false" outlineLevel="0" collapsed="false">
      <c r="A4" s="50" t="s">
        <v>48</v>
      </c>
      <c r="B4" s="66" t="s">
        <v>122</v>
      </c>
      <c r="C4" s="66" t="s">
        <v>123</v>
      </c>
      <c r="D4" s="66" t="s">
        <v>124</v>
      </c>
      <c r="E4" s="66" t="s">
        <v>125</v>
      </c>
      <c r="F4" s="67" t="n">
        <f aca="false">COUNTIF(SINALEIRO!O5:O12,"PROSPECÇÃO")</f>
        <v>1</v>
      </c>
    </row>
    <row r="5" customFormat="false" ht="17.35" hidden="false" customHeight="false" outlineLevel="0" collapsed="false">
      <c r="A5" s="68" t="s">
        <v>126</v>
      </c>
      <c r="B5" s="66" t="s">
        <v>127</v>
      </c>
      <c r="C5" s="66" t="s">
        <v>128</v>
      </c>
      <c r="D5" s="66" t="s">
        <v>129</v>
      </c>
      <c r="E5" s="66" t="s">
        <v>130</v>
      </c>
      <c r="F5" s="67" t="n">
        <f aca="false">COUNTIF(SINALEIRO!O5:O12,"ATIVAÇÃO")</f>
        <v>5</v>
      </c>
    </row>
    <row r="6" customFormat="false" ht="17.35" hidden="false" customHeight="false" outlineLevel="0" collapsed="false">
      <c r="A6" s="54" t="s">
        <v>131</v>
      </c>
      <c r="B6" s="66" t="s">
        <v>122</v>
      </c>
      <c r="C6" s="66" t="s">
        <v>132</v>
      </c>
      <c r="D6" s="66" t="s">
        <v>124</v>
      </c>
      <c r="E6" s="66" t="s">
        <v>133</v>
      </c>
      <c r="F6" s="67" t="n">
        <f aca="false">COUNTIF(SINALEIRO!O5:O12,"POSITIVAÇÃO")</f>
        <v>2</v>
      </c>
    </row>
    <row r="7" customFormat="false" ht="17.35" hidden="false" customHeight="false" outlineLevel="0" collapsed="false">
      <c r="A7" s="57" t="s">
        <v>52</v>
      </c>
      <c r="B7" s="66" t="s">
        <v>134</v>
      </c>
      <c r="C7" s="66" t="s">
        <v>135</v>
      </c>
      <c r="D7" s="66" t="s">
        <v>129</v>
      </c>
      <c r="E7" s="66" t="s">
        <v>136</v>
      </c>
      <c r="F7" s="67" t="n">
        <f aca="false">COUNTIF(SINALEIRO!O5:O12,"SELL OUT")</f>
        <v>0</v>
      </c>
    </row>
    <row r="8" customFormat="false" ht="17.35" hidden="false" customHeight="false" outlineLevel="0" collapsed="false">
      <c r="A8" s="69" t="s">
        <v>54</v>
      </c>
      <c r="B8" s="66" t="s">
        <v>137</v>
      </c>
      <c r="C8" s="66" t="s">
        <v>138</v>
      </c>
      <c r="D8" s="66" t="s">
        <v>139</v>
      </c>
      <c r="E8" s="66" t="s">
        <v>140</v>
      </c>
      <c r="F8" s="67" t="n">
        <f aca="false">COUNTIF(SINALEIRO!O5:O12,"JBP")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2026-02-05T18:34:38Z</dcterms:created>
  <dc:creator>openpyxl</dc:creator>
  <dc:description/>
  <dc:language>en-US</dc:language>
  <cp:lastModifiedBy/>
  <dcterms:modified xsi:type="dcterms:W3CDTF">2026-02-05T18:34:38Z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