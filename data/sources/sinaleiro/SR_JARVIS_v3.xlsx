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CARTEIRA" sheetId="2" state="visible" r:id="rId2"/>
    <sheet xmlns:r="http://schemas.openxmlformats.org/officeDocument/2006/relationships" name="DRAFT 1" sheetId="3" state="visible" r:id="rId3"/>
    <sheet xmlns:r="http://schemas.openxmlformats.org/officeDocument/2006/relationships" name="LOG" sheetId="4" state="hidden" r:id="rId4"/>
    <sheet xmlns:r="http://schemas.openxmlformats.org/officeDocument/2006/relationships" name="DRAFT 2" sheetId="5" state="visible" r:id="rId5"/>
    <sheet xmlns:r="http://schemas.openxmlformats.org/officeDocument/2006/relationships" name="AGENDA" sheetId="6" state="visible" r:id="rId6"/>
    <sheet xmlns:r="http://schemas.openxmlformats.org/officeDocument/2006/relationships" name="DASH" sheetId="7" state="visible" r:id="rId7"/>
  </sheets>
  <definedNames>
    <definedName name="LISTA_ACAO_FUTURA" hidden="0" function="0" vbProcedure="0">REGRAS!$B$114:$B$120</definedName>
    <definedName name="LISTA_ATIVO_RECEPTIVO" hidden="0" function="0" vbProcedure="0">REGRAS!$B$100:$B$101</definedName>
    <definedName name="LISTA_CONSULTOR" hidden="0" function="0" vbProcedure="0">REGRAS!$A$88:$A$91</definedName>
    <definedName name="LISTA_CURVA_ABC" hidden="0" function="0" vbProcedure="0">REGRAS!$B$102:$B$104</definedName>
    <definedName name="LISTA_FASE" hidden="0" function="0" vbProcedure="0">REGRAS!$B$51:$B$59</definedName>
    <definedName name="LISTA_GRUPO_DASH" hidden="0" function="0" vbProcedure="0">REGRAS!$B$111:$B$113</definedName>
    <definedName name="LISTA_MOTIVO" hidden="0" function="0" vbProcedure="0">REGRAS!$B$28:$B$37</definedName>
    <definedName name="LISTA_RESULTADO" hidden="0" function="0" vbProcedure="0">REGRAS!$B$2:$B$13</definedName>
    <definedName name="LISTA_SIM_NAO" hidden="0" function="0" vbProcedure="0">REGRAS!$B$95:$B$96</definedName>
    <definedName name="LISTA_SIM_NAO_NA" hidden="0" function="0" vbProcedure="0">REGRAS!$B$97:$B$99</definedName>
    <definedName name="LISTA_SINALEIRO" hidden="0" function="0" vbProcedure="0">REGRAS!$A$72:$A$75</definedName>
    <definedName name="LISTA_SITUACAO" hidden="0" function="0" vbProcedure="0">REGRAS!$B$41:$B$47</definedName>
    <definedName name="LISTA_TENTATIVA" hidden="0" function="0" vbProcedure="0">REGRAS!$B$63:$B$68</definedName>
    <definedName name="LISTA_TIPO_CLIENTE" hidden="0" function="0" vbProcedure="0">REGRAS!$B$105:$B$110</definedName>
    <definedName name="LISTA_TIPO_CONTATO" hidden="0" function="0" vbProcedure="0">REGRAS!$B$18:$B$24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R$ &quot;#,##0"/>
    <numFmt numFmtId="165" formatCode="dd/mm/yyyy"/>
    <numFmt numFmtId="166" formatCode="yyyy\-mm\-dd"/>
    <numFmt numFmtId="167" formatCode="mm/dd/yy"/>
    <numFmt numFmtId="168" formatCode="0.0%"/>
    <numFmt numFmtId="169" formatCode="DD/MM/YYYY"/>
  </numFmts>
  <fonts count="15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7B1FA2"/>
      <sz val="8"/>
    </font>
    <font>
      <name val="Arial"/>
      <charset val="1"/>
      <family val="0"/>
      <b val="1"/>
      <color rgb="FF1565C0"/>
      <sz val="8"/>
    </font>
    <font>
      <name val="Arial"/>
      <charset val="1"/>
      <family val="0"/>
      <b val="1"/>
      <color rgb="FF546E7A"/>
      <sz val="8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E40AF"/>
      <sz val="10"/>
    </font>
    <font>
      <name val="Arial"/>
      <charset val="1"/>
      <family val="0"/>
      <b val="1"/>
      <color rgb="FF9A3412"/>
      <sz val="10"/>
    </font>
    <font>
      <name val="Arial"/>
      <charset val="1"/>
      <family val="0"/>
      <b val="1"/>
      <color rgb="FF5B21B6"/>
      <sz val="10"/>
    </font>
    <font>
      <name val="Arial"/>
      <charset val="1"/>
      <family val="0"/>
      <b val="1"/>
      <color rgb="FF134E4A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E40AF"/>
      <sz val="11"/>
    </font>
    <font>
      <name val="Arial"/>
      <charset val="1"/>
      <family val="0"/>
      <color rgb="FF92400E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b val="1"/>
      <color rgb="FF1E3A5F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065F46"/>
      <sz val="9"/>
    </font>
    <font>
      <name val="Arial"/>
      <charset val="1"/>
      <family val="0"/>
      <b val="1"/>
      <color rgb="FF1E40AF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b val="1"/>
      <color rgb="FF5B21B6"/>
      <sz val="9"/>
    </font>
    <font>
      <name val="Arial"/>
      <charset val="1"/>
      <family val="0"/>
      <b val="1"/>
      <color rgb="FF134E4A"/>
      <sz val="9"/>
    </font>
    <font>
      <name val="Arial"/>
      <charset val="1"/>
      <family val="0"/>
      <b val="1"/>
      <color rgb="FF1A1A1A"/>
      <sz val="18"/>
    </font>
    <font>
      <name val="Cambria"/>
      <charset val="1"/>
      <family val="0"/>
      <b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color rgb="001B2A4A"/>
      <sz val="10"/>
    </font>
    <font>
      <name val="Arial"/>
      <b val="1"/>
      <color rgb="00FFFFFF"/>
      <sz val="10"/>
    </font>
    <font>
      <name val="Arial"/>
      <i val="1"/>
      <color rgb="0094A3B8"/>
      <sz val="9"/>
    </font>
    <font>
      <name val="Arial"/>
      <b val="1"/>
      <color rgb="00FFFFFF"/>
      <sz val="12"/>
    </font>
    <font>
      <name val="Arial"/>
      <b val="1"/>
      <color rgb="007C3AED"/>
      <sz val="10"/>
    </font>
    <font>
      <name val="Arial"/>
      <color rgb="006B7280"/>
      <sz val="9"/>
    </font>
    <font>
      <name val="Arial"/>
      <b val="1"/>
      <color rgb="002563EB"/>
      <sz val="10"/>
    </font>
    <font>
      <name val="Arial"/>
      <b val="1"/>
      <color rgb="00FFFFFF"/>
      <sz val="11"/>
    </font>
    <font>
      <name val="Arial"/>
      <color rgb="006B7280"/>
      <sz val="8"/>
    </font>
    <font>
      <name val="Arial"/>
      <b val="1"/>
      <color rgb="001B2A4A"/>
      <sz val="18"/>
    </font>
    <font>
      <name val="Arial"/>
      <b val="1"/>
      <color rgb="001B2A4A"/>
      <sz val="9"/>
    </font>
    <font>
      <name val="Arial"/>
      <b val="1"/>
      <sz val="8"/>
    </font>
    <font>
      <name val="Arial"/>
      <color rgb="0000B050"/>
      <sz val="9"/>
    </font>
    <font>
      <name val="Arial"/>
      <color rgb="00ED8936"/>
      <sz val="9"/>
    </font>
    <font>
      <name val="Arial"/>
      <color rgb="00FF0000"/>
      <sz val="9"/>
    </font>
    <font>
      <name val="Arial"/>
      <color rgb="007B2FF2"/>
      <sz val="9"/>
    </font>
    <font>
      <name val="Arial"/>
      <b val="1"/>
      <color rgb="00FFFFFF"/>
      <sz val="8"/>
    </font>
    <font>
      <name val="Arial"/>
      <b val="1"/>
      <color rgb="0038A169"/>
      <sz val="9"/>
    </font>
    <font>
      <name val="Arial"/>
      <b val="1"/>
      <color rgb="00C53030"/>
      <sz val="9"/>
    </font>
    <font>
      <name val="Arial"/>
      <b val="1"/>
      <color rgb="001A202C"/>
      <sz val="14"/>
    </font>
    <font>
      <name val="Arial"/>
      <b val="1"/>
      <color rgb="0000B050"/>
      <sz val="9"/>
    </font>
    <font>
      <name val="Arial"/>
      <b val="1"/>
      <color rgb="00FF0000"/>
      <sz val="9"/>
    </font>
    <font>
      <name val="Arial"/>
      <sz val="8"/>
    </font>
    <font>
      <name val="Arial"/>
      <b val="1"/>
      <color rgb="0000B050"/>
      <sz val="12"/>
    </font>
    <font>
      <name val="Arial"/>
      <b val="1"/>
      <color rgb="00FFC000"/>
      <sz val="9"/>
    </font>
    <font>
      <name val="Arial"/>
      <b val="1"/>
      <color rgb="00FFC000"/>
      <sz val="12"/>
    </font>
    <font>
      <name val="Arial"/>
      <b val="1"/>
      <color rgb="00FF0000"/>
      <sz val="12"/>
    </font>
    <font>
      <name val="Arial"/>
      <b val="1"/>
      <color rgb="000070C0"/>
      <sz val="9"/>
    </font>
    <font>
      <name val="Arial"/>
      <b val="1"/>
      <color rgb="000070C0"/>
      <sz val="12"/>
    </font>
    <font>
      <name val="Arial"/>
      <b val="1"/>
      <color rgb="007B2FF2"/>
      <sz val="9"/>
    </font>
    <font>
      <name val="Arial"/>
      <b val="1"/>
      <color rgb="007B2FF2"/>
      <sz val="12"/>
    </font>
    <font>
      <name val="Arial"/>
      <b val="1"/>
      <sz val="11"/>
    </font>
    <font>
      <name val="Arial"/>
      <b val="1"/>
      <color rgb="0000B050"/>
      <sz val="11"/>
    </font>
    <font>
      <name val="Arial"/>
      <b val="1"/>
      <color rgb="002196F3"/>
      <sz val="9"/>
    </font>
    <font>
      <name val="Arial"/>
      <b val="1"/>
      <color rgb="002196F3"/>
      <sz val="11"/>
    </font>
    <font>
      <name val="Arial"/>
      <b val="1"/>
      <color rgb="00FFC000"/>
      <sz val="11"/>
    </font>
    <font>
      <name val="Arial"/>
      <b val="1"/>
      <color rgb="000070C0"/>
      <sz val="11"/>
    </font>
    <font>
      <name val="Arial"/>
      <b val="1"/>
      <color rgb="007B2FF2"/>
      <sz val="11"/>
    </font>
    <font>
      <name val="Arial"/>
      <b val="1"/>
      <color rgb="009C27B0"/>
      <sz val="9"/>
    </font>
    <font>
      <name val="Arial"/>
      <b val="1"/>
      <color rgb="009C27B0"/>
      <sz val="11"/>
    </font>
    <font>
      <name val="Arial"/>
      <sz val="14"/>
    </font>
    <font>
      <name val="Calibri"/>
      <sz val="10"/>
    </font>
    <font>
      <name val="Calibri"/>
      <b val="1"/>
      <color rgb="001F4E79"/>
      <sz val="16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B050"/>
      <sz val="9"/>
    </font>
    <font>
      <name val="Calibri"/>
      <sz val="9"/>
    </font>
    <font>
      <name val="Calibri"/>
      <b val="1"/>
      <color rgb="00000000"/>
      <sz val="9"/>
    </font>
    <font>
      <name val="Calibri"/>
      <b val="1"/>
      <color rgb="00FF0000"/>
      <sz val="9"/>
    </font>
    <font>
      <name val="Calibri"/>
      <sz val="8"/>
    </font>
    <font>
      <name val="Calibri"/>
      <b val="1"/>
      <sz val="12"/>
    </font>
    <font>
      <name val="Calibri"/>
      <b val="1"/>
      <color rgb="0000B050"/>
      <sz val="12"/>
    </font>
    <font>
      <name val="Calibri"/>
      <color rgb="00FF0000"/>
      <sz val="10"/>
    </font>
    <font>
      <name val="Calibri"/>
      <b val="1"/>
      <color rgb="0000B050"/>
      <sz val="11"/>
    </font>
    <font>
      <name val="Calibri"/>
      <b val="1"/>
      <color rgb="0000B050"/>
      <sz val="14"/>
    </font>
    <font>
      <name val="Calibri"/>
      <b val="1"/>
      <color rgb="00FFC000"/>
      <sz val="11"/>
    </font>
    <font>
      <name val="Calibri"/>
      <b val="1"/>
      <color rgb="00FFC000"/>
      <sz val="14"/>
    </font>
    <font>
      <name val="Calibri"/>
      <b val="1"/>
      <color rgb="00ED7D31"/>
      <sz val="11"/>
    </font>
    <font>
      <name val="Calibri"/>
      <b val="1"/>
      <color rgb="00ED7D31"/>
      <sz val="14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b val="1"/>
      <color rgb="004472C4"/>
      <sz val="11"/>
    </font>
    <font>
      <name val="Calibri"/>
      <b val="1"/>
      <color rgb="004472C4"/>
      <sz val="14"/>
    </font>
    <font>
      <name val="Calibri"/>
      <b val="1"/>
      <color rgb="007030A0"/>
      <sz val="11"/>
    </font>
    <font>
      <name val="Calibri"/>
      <b val="1"/>
      <color rgb="007030A0"/>
      <sz val="14"/>
    </font>
    <font>
      <name val="Calibri"/>
      <b val="1"/>
      <sz val="13"/>
    </font>
    <font>
      <name val="Calibri"/>
      <b val="1"/>
      <color rgb="0000B050"/>
      <sz val="10"/>
    </font>
    <font>
      <name val="Calibri"/>
      <b val="1"/>
      <color rgb="0000B050"/>
      <sz val="13"/>
    </font>
    <font>
      <name val="Calibri"/>
      <b val="1"/>
      <color rgb="004472C4"/>
      <sz val="10"/>
    </font>
    <font>
      <name val="Calibri"/>
      <b val="1"/>
      <color rgb="004472C4"/>
      <sz val="13"/>
    </font>
    <font>
      <name val="Calibri"/>
      <b val="1"/>
      <color rgb="00FFC000"/>
      <sz val="10"/>
    </font>
    <font>
      <name val="Calibri"/>
      <b val="1"/>
      <color rgb="00FFC000"/>
      <sz val="13"/>
    </font>
    <font>
      <name val="Calibri"/>
      <b val="1"/>
      <color rgb="000070C0"/>
      <sz val="10"/>
    </font>
    <font>
      <name val="Calibri"/>
      <b val="1"/>
      <color rgb="000070C0"/>
      <sz val="13"/>
    </font>
    <font>
      <name val="Calibri"/>
      <b val="1"/>
      <color rgb="007030A0"/>
      <sz val="10"/>
    </font>
    <font>
      <name val="Calibri"/>
      <b val="1"/>
      <color rgb="007030A0"/>
      <sz val="13"/>
    </font>
    <font>
      <name val="Calibri"/>
      <color rgb="0000B050"/>
      <sz val="10"/>
    </font>
    <font>
      <name val="Calibri"/>
      <color rgb="00FFC000"/>
      <sz val="10"/>
    </font>
    <font>
      <name val="Calibri"/>
      <color rgb="00ED7D31"/>
      <sz val="10"/>
    </font>
    <font>
      <name val="Calibri"/>
      <color rgb="007030A0"/>
      <sz val="10"/>
    </font>
    <font>
      <name val="Calibri"/>
      <b val="1"/>
      <color rgb="00333333"/>
      <sz val="9"/>
    </font>
    <font>
      <name val="Calibri"/>
      <b val="1"/>
      <sz val="14"/>
    </font>
    <font>
      <name val="Calibri"/>
      <b val="1"/>
      <color rgb="0000B050"/>
      <sz val="16"/>
    </font>
    <font>
      <name val="Calibri"/>
      <b val="1"/>
      <color rgb="00FFC000"/>
      <sz val="16"/>
    </font>
    <font>
      <name val="Calibri"/>
      <b val="1"/>
      <color rgb="00ED7D31"/>
      <sz val="16"/>
    </font>
    <font>
      <name val="Calibri"/>
      <b val="1"/>
      <color rgb="00FF0000"/>
      <sz val="16"/>
    </font>
    <font>
      <name val="Calibri"/>
      <b val="1"/>
      <color rgb="004472C4"/>
      <sz val="16"/>
    </font>
    <font>
      <name val="Calibri"/>
      <b val="1"/>
      <color rgb="007030A0"/>
      <sz val="16"/>
    </font>
    <font>
      <name val="Calibri"/>
      <b val="1"/>
      <color rgb="000070C0"/>
      <sz val="14"/>
    </font>
    <font>
      <name val="Calibri"/>
      <b val="1"/>
      <color rgb="001F4E79"/>
      <sz val="18"/>
    </font>
    <font>
      <name val="Calibri"/>
      <color rgb="008DB4E2"/>
      <sz val="12"/>
    </font>
    <font>
      <name val="Calibri"/>
      <b val="1"/>
      <color rgb="001F4E79"/>
      <sz val="10"/>
    </font>
    <font>
      <name val="Calibri"/>
      <b val="1"/>
      <sz val="9"/>
    </font>
    <font>
      <name val="Calibri"/>
      <b val="1"/>
      <color rgb="00666666"/>
      <sz val="9"/>
    </font>
    <font>
      <name val="Calibri"/>
      <b val="1"/>
      <color rgb="004472C4"/>
      <sz val="24"/>
    </font>
    <font>
      <name val="Calibri"/>
      <b val="1"/>
      <color rgb="0000B050"/>
      <sz val="24"/>
    </font>
    <font>
      <name val="Calibri"/>
      <b val="1"/>
      <color rgb="00ED7D31"/>
      <sz val="24"/>
    </font>
    <font>
      <name val="Calibri"/>
      <b val="1"/>
      <color rgb="00FF0000"/>
      <sz val="24"/>
    </font>
    <font>
      <name val="Calibri"/>
      <b val="1"/>
      <color rgb="00FFFFFF"/>
      <sz val="11"/>
    </font>
    <font>
      <name val="Calibri"/>
      <color rgb="00C00000"/>
      <sz val="9"/>
    </font>
    <font>
      <name val="Calibri"/>
      <b val="1"/>
      <color rgb="00C00000"/>
      <sz val="9"/>
    </font>
    <font>
      <name val="Calibri"/>
      <b val="1"/>
      <color rgb="001F4E79"/>
      <sz val="9"/>
    </font>
    <font>
      <name val="Calibri"/>
      <color rgb="00FF0000"/>
      <sz val="9"/>
    </font>
    <font>
      <name val="Calibri"/>
      <b val="1"/>
      <color rgb="001F4E79"/>
      <sz val="12"/>
    </font>
    <font>
      <name val="Calibri"/>
      <b val="1"/>
      <color rgb="0000B050"/>
      <sz val="20"/>
    </font>
    <font>
      <name val="Calibri"/>
      <b val="1"/>
      <color rgb="00FFC000"/>
      <sz val="12"/>
    </font>
    <font>
      <name val="Calibri"/>
      <b val="1"/>
      <color rgb="00FFC000"/>
      <sz val="20"/>
    </font>
    <font>
      <name val="Calibri"/>
      <b val="1"/>
      <color rgb="00ED7D31"/>
      <sz val="12"/>
    </font>
    <font>
      <name val="Calibri"/>
      <b val="1"/>
      <color rgb="00ED7D31"/>
      <sz val="20"/>
    </font>
    <font>
      <name val="Calibri"/>
      <b val="1"/>
      <color rgb="00FF0000"/>
      <sz val="12"/>
    </font>
    <font>
      <name val="Calibri"/>
      <b val="1"/>
      <color rgb="00FF0000"/>
      <sz val="20"/>
    </font>
    <font>
      <name val="Calibri"/>
      <b val="1"/>
      <color rgb="004472C4"/>
      <sz val="12"/>
    </font>
    <font>
      <name val="Calibri"/>
      <b val="1"/>
      <color rgb="004472C4"/>
      <sz val="20"/>
    </font>
    <font>
      <name val="Calibri"/>
      <b val="1"/>
      <color rgb="007030A0"/>
      <sz val="12"/>
    </font>
    <font>
      <name val="Calibri"/>
      <b val="1"/>
      <color rgb="007030A0"/>
      <sz val="20"/>
    </font>
    <font>
      <name val="Calibri"/>
      <b val="1"/>
      <sz val="16"/>
    </font>
    <font>
      <name val="Calibri"/>
      <b val="1"/>
      <color rgb="000070C0"/>
      <sz val="16"/>
    </font>
  </fonts>
  <fills count="93">
    <fill>
      <patternFill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F97316"/>
        <bgColor rgb="FFEF4444"/>
      </patternFill>
    </fill>
    <fill>
      <patternFill patternType="solid">
        <fgColor rgb="FFDC2626"/>
        <bgColor rgb="FFEF4444"/>
      </patternFill>
    </fill>
    <fill>
      <patternFill patternType="solid">
        <fgColor rgb="FF1E40AF"/>
        <bgColor rgb="FF1E3A5F"/>
      </patternFill>
    </fill>
    <fill>
      <patternFill patternType="solid">
        <fgColor rgb="FFFEE2E2"/>
        <bgColor rgb="FFFFEDD5"/>
      </patternFill>
    </fill>
    <fill>
      <patternFill patternType="solid">
        <fgColor rgb="FFD9E2F3"/>
        <bgColor rgb="FFDBEAFE"/>
      </patternFill>
    </fill>
    <fill>
      <patternFill patternType="solid">
        <fgColor rgb="FFE2EFDA"/>
        <bgColor rgb="FFDCEDC8"/>
      </patternFill>
    </fill>
    <fill>
      <patternFill patternType="solid">
        <fgColor rgb="FFF8FAFC"/>
        <bgColor rgb="FFFFFFFF"/>
      </patternFill>
    </fill>
    <fill>
      <patternFill patternType="solid">
        <fgColor rgb="FF1E3A5F"/>
        <bgColor rgb="FF374151"/>
      </patternFill>
    </fill>
    <fill>
      <patternFill patternType="solid">
        <fgColor rgb="FFF3F4F6"/>
        <bgColor rgb="FFF8FAFC"/>
      </patternFill>
    </fill>
    <fill>
      <patternFill patternType="solid">
        <fgColor rgb="FFD1FAE5"/>
        <bgColor rgb="FFCCFBF1"/>
      </patternFill>
    </fill>
    <fill>
      <patternFill patternType="solid">
        <fgColor rgb="FF374151"/>
        <bgColor rgb="FF1E3A5F"/>
      </patternFill>
    </fill>
    <fill>
      <patternFill patternType="solid">
        <fgColor rgb="FF54565A"/>
        <bgColor rgb="FF5B6265"/>
      </patternFill>
    </fill>
    <fill>
      <patternFill patternType="solid">
        <fgColor rgb="FF2769F1"/>
        <bgColor rgb="FF2563EB"/>
      </patternFill>
    </fill>
    <fill>
      <patternFill patternType="solid">
        <fgColor rgb="FF09958F"/>
        <bgColor rgb="FF0B9687"/>
      </patternFill>
    </fill>
    <fill>
      <patternFill patternType="solid">
        <fgColor rgb="FF991B1B"/>
        <bgColor rgb="FF9C0006"/>
      </patternFill>
    </fill>
    <fill>
      <patternFill patternType="solid">
        <fgColor rgb="FF5B6265"/>
        <bgColor rgb="FF54565A"/>
      </patternFill>
    </fill>
    <fill>
      <patternFill patternType="solid">
        <fgColor rgb="FF0B9687"/>
        <bgColor rgb="FF09958F"/>
      </patternFill>
    </fill>
    <fill>
      <patternFill patternType="solid">
        <fgColor rgb="FFEF4444"/>
        <bgColor rgb="FFDC2626"/>
      </patternFill>
    </fill>
    <fill>
      <patternFill patternType="solid">
        <fgColor rgb="FFE5E5E5"/>
        <bgColor rgb="FFD9E2F3"/>
      </patternFill>
    </fill>
    <fill>
      <patternFill patternType="solid">
        <fgColor rgb="001B2A4A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166534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7C3AED"/>
      </patternFill>
    </fill>
    <fill>
      <patternFill patternType="solid">
        <fgColor rgb="009333EA"/>
      </patternFill>
    </fill>
    <fill>
      <patternFill patternType="solid">
        <fgColor rgb="00F3E8FF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0D9488"/>
      </patternFill>
    </fill>
    <fill>
      <patternFill patternType="solid">
        <fgColor rgb="00991B1B"/>
      </patternFill>
    </fill>
    <fill>
      <patternFill patternType="solid">
        <fgColor rgb="00F3F4F6"/>
      </patternFill>
    </fill>
    <fill>
      <patternFill patternType="solid">
        <fgColor rgb="001E3A5F"/>
      </patternFill>
    </fill>
    <fill>
      <patternFill patternType="solid">
        <fgColor rgb="00D97706"/>
      </patternFill>
    </fill>
    <fill>
      <patternFill patternType="solid">
        <fgColor rgb="001A202C"/>
      </patternFill>
    </fill>
    <fill>
      <patternFill patternType="solid">
        <fgColor rgb="002D3748"/>
      </patternFill>
    </fill>
    <fill>
      <patternFill patternType="solid">
        <fgColor rgb="004A5568"/>
      </patternFill>
    </fill>
    <fill>
      <patternFill patternType="solid">
        <fgColor rgb="0038A169"/>
      </patternFill>
    </fill>
    <fill>
      <patternFill patternType="solid">
        <fgColor rgb="00C5303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0070C0"/>
      </patternFill>
    </fill>
    <fill>
      <patternFill patternType="solid">
        <fgColor rgb="007B2FF2"/>
      </patternFill>
    </fill>
    <fill>
      <patternFill patternType="solid">
        <fgColor rgb="00333333"/>
      </patternFill>
    </fill>
    <fill>
      <patternFill patternType="solid">
        <fgColor rgb="004472C4"/>
      </patternFill>
    </fill>
    <fill>
      <patternFill patternType="solid">
        <fgColor rgb="00D6DCE4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E8E8E8"/>
      </patternFill>
    </fill>
    <fill>
      <patternFill patternType="solid">
        <fgColor rgb="00E3F2FD"/>
      </patternFill>
    </fill>
    <fill>
      <patternFill patternType="solid">
        <fgColor rgb="00E2EFDA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3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/>
      <right/>
      <top style="thin">
        <color rgb="004B5563"/>
      </top>
      <bottom/>
      <diagonal/>
    </border>
    <border>
      <left/>
      <right style="thin">
        <color rgb="004B5563"/>
      </right>
      <top style="thin">
        <color rgb="004B5563"/>
      </top>
      <bottom/>
      <diagonal/>
    </border>
    <border>
      <left/>
      <right style="thin">
        <color rgb="004B5563"/>
      </right>
      <top style="thin">
        <color rgb="004B5563"/>
      </top>
      <bottom style="thin">
        <color rgb="004B5563"/>
      </bottom>
      <diagonal/>
    </border>
    <border>
      <left/>
      <right/>
      <top style="thin">
        <color rgb="004B5563"/>
      </top>
      <bottom style="thin">
        <color rgb="004B5563"/>
      </bottom>
      <diagonal/>
    </border>
    <border/>
    <border>
      <left style="thin">
        <color rgb="00D1D5DB"/>
      </left>
      <right style="medium">
        <color rgb="001A202C"/>
      </right>
      <top style="thin">
        <color rgb="00D1D5DB"/>
      </top>
      <bottom style="thin">
        <color rgb="00D1D5DB"/>
      </bottom>
    </border>
    <border>
      <left style="medium">
        <color rgb="001A202C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A202C"/>
      </top>
      <bottom style="medium">
        <color rgb="001A202C"/>
      </bottom>
    </border>
    <border>
      <left style="thin">
        <color rgb="00D1D5DB"/>
      </left>
      <right style="medium">
        <color rgb="001A202C"/>
      </right>
      <top style="medium">
        <color rgb="001A202C"/>
      </top>
      <bottom style="medium">
        <color rgb="001A202C"/>
      </bottom>
    </border>
    <border>
      <left style="medium">
        <color rgb="001A202C"/>
      </left>
      <right style="thin">
        <color rgb="00D1D5DB"/>
      </right>
      <top style="medium">
        <color rgb="001A202C"/>
      </top>
      <bottom style="medium">
        <color rgb="001A202C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3333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333333"/>
      </bottom>
    </border>
    <border>
      <left/>
      <right/>
      <top style="thin">
        <color rgb="00D9D9D9"/>
      </top>
      <bottom style="thin">
        <color rgb="00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9" fillId="13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10" fillId="12" borderId="1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164" fontId="9" fillId="12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10" fillId="14" borderId="1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164" fontId="9" fillId="14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10" fillId="15" borderId="1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9" fillId="15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11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9" fillId="14" borderId="2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0" fontId="9" fillId="15" borderId="2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9" fontId="0" fillId="21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0" fillId="22" borderId="0" applyAlignment="1" pivotButton="0" quotePrefix="0" xfId="0">
      <alignment horizontal="general" vertical="bottom"/>
    </xf>
    <xf numFmtId="9" fontId="0" fillId="23" borderId="0" applyAlignment="1" pivotButton="0" quotePrefix="0" xfId="0">
      <alignment horizontal="general" vertical="bottom"/>
    </xf>
    <xf numFmtId="9" fontId="0" fillId="24" borderId="0" applyAlignment="1" pivotButton="0" quotePrefix="0" xfId="0">
      <alignment horizontal="general" vertical="bottom"/>
    </xf>
    <xf numFmtId="0" fontId="16" fillId="25" borderId="1" applyAlignment="1" pivotButton="0" quotePrefix="0" xfId="0">
      <alignment horizontal="center" vertical="center" wrapText="1"/>
    </xf>
    <xf numFmtId="0" fontId="17" fillId="26" borderId="1" applyAlignment="1" pivotButton="0" quotePrefix="0" xfId="0">
      <alignment horizontal="center" vertical="center" wrapText="1"/>
    </xf>
    <xf numFmtId="0" fontId="18" fillId="27" borderId="1" applyAlignment="1" pivotButton="0" quotePrefix="0" xfId="0">
      <alignment horizontal="center" vertical="center" wrapText="1"/>
    </xf>
    <xf numFmtId="0" fontId="19" fillId="28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4" fillId="3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21" fillId="32" borderId="2" applyAlignment="1" pivotButton="0" quotePrefix="0" xfId="0">
      <alignment horizontal="left" vertical="center"/>
    </xf>
    <xf numFmtId="0" fontId="22" fillId="25" borderId="2" applyAlignment="1" pivotButton="0" quotePrefix="0" xfId="0">
      <alignment horizontal="left" vertical="center"/>
    </xf>
    <xf numFmtId="0" fontId="23" fillId="29" borderId="2" applyAlignment="1" pivotButton="0" quotePrefix="0" xfId="0">
      <alignment horizontal="left" vertical="center"/>
    </xf>
    <xf numFmtId="0" fontId="24" fillId="33" borderId="2" applyAlignment="1" pivotButton="0" quotePrefix="0" xfId="0">
      <alignment horizontal="left" vertical="center"/>
    </xf>
    <xf numFmtId="0" fontId="25" fillId="34" borderId="1" applyAlignment="1" pivotButton="0" quotePrefix="0" xfId="0">
      <alignment horizontal="center" vertical="center" wrapText="1"/>
    </xf>
    <xf numFmtId="0" fontId="26" fillId="35" borderId="1" applyAlignment="1" pivotButton="0" quotePrefix="0" xfId="0">
      <alignment horizontal="center" vertical="center" wrapText="1"/>
    </xf>
    <xf numFmtId="0" fontId="0" fillId="36" borderId="0" applyAlignment="1" pivotButton="0" quotePrefix="0" xfId="0">
      <alignment horizontal="general" vertical="bottom"/>
    </xf>
    <xf numFmtId="0" fontId="21" fillId="37" borderId="2" applyAlignment="1" pivotButton="0" quotePrefix="0" xfId="0">
      <alignment horizontal="left" vertical="center"/>
    </xf>
    <xf numFmtId="0" fontId="6" fillId="38" borderId="1" applyAlignment="1" pivotButton="0" quotePrefix="0" xfId="0">
      <alignment horizontal="left" vertical="center"/>
    </xf>
    <xf numFmtId="0" fontId="16" fillId="25" borderId="1" applyAlignment="1" pivotButton="0" quotePrefix="0" xfId="0">
      <alignment horizontal="center" vertical="center"/>
    </xf>
    <xf numFmtId="165" fontId="0" fillId="39" borderId="0" applyAlignment="1" pivotButton="0" quotePrefix="0" xfId="0">
      <alignment horizontal="general" vertical="bottom"/>
    </xf>
    <xf numFmtId="0" fontId="10" fillId="40" borderId="2" applyAlignment="1" pivotButton="0" quotePrefix="0" xfId="0">
      <alignment horizontal="center" vertical="center"/>
    </xf>
    <xf numFmtId="0" fontId="27" fillId="39" borderId="1" applyAlignment="1" pivotButton="0" quotePrefix="0" xfId="0">
      <alignment horizontal="center" vertical="center" wrapText="1"/>
    </xf>
    <xf numFmtId="0" fontId="28" fillId="25" borderId="1" applyAlignment="1" pivotButton="0" quotePrefix="0" xfId="0">
      <alignment horizontal="center" vertical="center" wrapText="1"/>
    </xf>
    <xf numFmtId="0" fontId="29" fillId="29" borderId="1" applyAlignment="1" pivotButton="0" quotePrefix="0" xfId="0">
      <alignment horizontal="center" vertical="center" wrapText="1"/>
    </xf>
    <xf numFmtId="0" fontId="30" fillId="33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2" fillId="28" borderId="1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168" fontId="33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41" borderId="2" applyAlignment="1" pivotButton="0" quotePrefix="0" xfId="0">
      <alignment horizontal="center" vertical="center" wrapText="1"/>
    </xf>
    <xf numFmtId="0" fontId="9" fillId="42" borderId="2" applyAlignment="1" pivotButton="0" quotePrefix="0" xfId="0">
      <alignment horizontal="center" vertical="center" wrapText="1"/>
    </xf>
    <xf numFmtId="0" fontId="9" fillId="43" borderId="2" applyAlignment="1" pivotButton="0" quotePrefix="0" xfId="0">
      <alignment horizontal="center" vertical="center" wrapText="1"/>
    </xf>
    <xf numFmtId="0" fontId="9" fillId="44" borderId="2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45" borderId="1" applyAlignment="1" pivotButton="0" quotePrefix="0" xfId="0">
      <alignment horizontal="center" vertical="center" wrapText="1"/>
    </xf>
    <xf numFmtId="0" fontId="15" fillId="42" borderId="1" applyAlignment="1" pivotButton="0" quotePrefix="0" xfId="0">
      <alignment horizontal="center" vertical="center" wrapText="1"/>
    </xf>
    <xf numFmtId="0" fontId="15" fillId="46" borderId="1" applyAlignment="1" pivotButton="0" quotePrefix="0" xfId="0">
      <alignment horizontal="center" vertical="center" wrapText="1"/>
    </xf>
    <xf numFmtId="0" fontId="15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left" vertical="center"/>
    </xf>
    <xf numFmtId="0" fontId="34" fillId="48" borderId="0" applyAlignment="1" pivotButton="0" quotePrefix="0" xfId="0">
      <alignment horizontal="general" vertical="bottom"/>
    </xf>
    <xf numFmtId="0" fontId="15" fillId="43" borderId="1" applyAlignment="1" pivotButton="0" quotePrefix="0" xfId="0">
      <alignment horizontal="center" vertical="center" wrapText="1"/>
    </xf>
    <xf numFmtId="0" fontId="15" fillId="44" borderId="1" applyAlignment="1" pivotButton="0" quotePrefix="0" xfId="0">
      <alignment horizontal="center" vertical="center" wrapText="1"/>
    </xf>
    <xf numFmtId="0" fontId="9" fillId="4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3" borderId="1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general" vertical="bottom"/>
    </xf>
    <xf numFmtId="10" fontId="34" fillId="48" borderId="0" applyAlignment="1" pivotButton="0" quotePrefix="0" xfId="0">
      <alignment horizontal="general" vertical="bottom"/>
    </xf>
    <xf numFmtId="0" fontId="0" fillId="48" borderId="0" applyAlignment="1" pivotButton="0" quotePrefix="0" xfId="0">
      <alignment horizontal="general" vertical="bottom"/>
    </xf>
    <xf numFmtId="168" fontId="0" fillId="4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0" fillId="0" borderId="4" pivotButton="0" quotePrefix="0" xfId="0"/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9" fillId="13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10" fillId="12" borderId="1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164" fontId="9" fillId="12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10" fillId="14" borderId="1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164" fontId="9" fillId="14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10" fillId="15" borderId="1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9" fillId="15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11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9" fillId="14" borderId="2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0" fontId="9" fillId="15" borderId="2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9" fontId="0" fillId="21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0" fillId="22" borderId="0" applyAlignment="1" pivotButton="0" quotePrefix="0" xfId="0">
      <alignment horizontal="general" vertical="bottom"/>
    </xf>
    <xf numFmtId="9" fontId="0" fillId="23" borderId="0" applyAlignment="1" pivotButton="0" quotePrefix="0" xfId="0">
      <alignment horizontal="general" vertical="bottom"/>
    </xf>
    <xf numFmtId="9" fontId="0" fillId="24" borderId="0" applyAlignment="1" pivotButton="0" quotePrefix="0" xfId="0">
      <alignment horizontal="general" vertical="bottom"/>
    </xf>
    <xf numFmtId="0" fontId="16" fillId="25" borderId="1" applyAlignment="1" pivotButton="0" quotePrefix="0" xfId="0">
      <alignment horizontal="center" vertical="center" wrapText="1"/>
    </xf>
    <xf numFmtId="0" fontId="17" fillId="26" borderId="1" applyAlignment="1" pivotButton="0" quotePrefix="0" xfId="0">
      <alignment horizontal="center" vertical="center" wrapText="1"/>
    </xf>
    <xf numFmtId="0" fontId="18" fillId="27" borderId="1" applyAlignment="1" pivotButton="0" quotePrefix="0" xfId="0">
      <alignment horizontal="center" vertical="center" wrapText="1"/>
    </xf>
    <xf numFmtId="0" fontId="19" fillId="28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4" fillId="3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21" fillId="32" borderId="2" applyAlignment="1" pivotButton="0" quotePrefix="0" xfId="0">
      <alignment horizontal="left" vertical="center"/>
    </xf>
    <xf numFmtId="0" fontId="22" fillId="25" borderId="2" applyAlignment="1" pivotButton="0" quotePrefix="0" xfId="0">
      <alignment horizontal="left" vertical="center"/>
    </xf>
    <xf numFmtId="0" fontId="23" fillId="29" borderId="2" applyAlignment="1" pivotButton="0" quotePrefix="0" xfId="0">
      <alignment horizontal="left" vertical="center"/>
    </xf>
    <xf numFmtId="0" fontId="24" fillId="33" borderId="2" applyAlignment="1" pivotButton="0" quotePrefix="0" xfId="0">
      <alignment horizontal="left" vertical="center"/>
    </xf>
    <xf numFmtId="0" fontId="25" fillId="34" borderId="1" applyAlignment="1" pivotButton="0" quotePrefix="0" xfId="0">
      <alignment horizontal="center" vertical="center" wrapText="1"/>
    </xf>
    <xf numFmtId="0" fontId="26" fillId="35" borderId="1" applyAlignment="1" pivotButton="0" quotePrefix="0" xfId="0">
      <alignment horizontal="center" vertical="center" wrapText="1"/>
    </xf>
    <xf numFmtId="0" fontId="0" fillId="36" borderId="0" applyAlignment="1" pivotButton="0" quotePrefix="0" xfId="0">
      <alignment horizontal="general" vertical="bottom"/>
    </xf>
    <xf numFmtId="0" fontId="21" fillId="37" borderId="2" applyAlignment="1" pivotButton="0" quotePrefix="0" xfId="0">
      <alignment horizontal="left" vertical="center"/>
    </xf>
    <xf numFmtId="0" fontId="6" fillId="38" borderId="1" applyAlignment="1" pivotButton="0" quotePrefix="0" xfId="0">
      <alignment horizontal="left" vertical="center"/>
    </xf>
    <xf numFmtId="0" fontId="16" fillId="25" borderId="1" applyAlignment="1" pivotButton="0" quotePrefix="0" xfId="0">
      <alignment horizontal="center" vertical="center"/>
    </xf>
    <xf numFmtId="165" fontId="0" fillId="39" borderId="0" applyAlignment="1" pivotButton="0" quotePrefix="0" xfId="0">
      <alignment horizontal="general" vertical="bottom"/>
    </xf>
    <xf numFmtId="0" fontId="10" fillId="40" borderId="2" applyAlignment="1" pivotButton="0" quotePrefix="0" xfId="0">
      <alignment horizontal="center" vertical="center"/>
    </xf>
    <xf numFmtId="0" fontId="27" fillId="39" borderId="1" applyAlignment="1" pivotButton="0" quotePrefix="0" xfId="0">
      <alignment horizontal="center" vertical="center" wrapText="1"/>
    </xf>
    <xf numFmtId="0" fontId="28" fillId="25" borderId="1" applyAlignment="1" pivotButton="0" quotePrefix="0" xfId="0">
      <alignment horizontal="center" vertical="center" wrapText="1"/>
    </xf>
    <xf numFmtId="0" fontId="29" fillId="29" borderId="1" applyAlignment="1" pivotButton="0" quotePrefix="0" xfId="0">
      <alignment horizontal="center" vertical="center" wrapText="1"/>
    </xf>
    <xf numFmtId="0" fontId="30" fillId="33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2" fillId="28" borderId="1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168" fontId="33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41" borderId="2" applyAlignment="1" pivotButton="0" quotePrefix="0" xfId="0">
      <alignment horizontal="center" vertical="center" wrapText="1"/>
    </xf>
    <xf numFmtId="0" fontId="9" fillId="42" borderId="2" applyAlignment="1" pivotButton="0" quotePrefix="0" xfId="0">
      <alignment horizontal="center" vertical="center" wrapText="1"/>
    </xf>
    <xf numFmtId="0" fontId="9" fillId="43" borderId="2" applyAlignment="1" pivotButton="0" quotePrefix="0" xfId="0">
      <alignment horizontal="center" vertical="center" wrapText="1"/>
    </xf>
    <xf numFmtId="0" fontId="9" fillId="44" borderId="2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45" borderId="1" applyAlignment="1" pivotButton="0" quotePrefix="0" xfId="0">
      <alignment horizontal="center" vertical="center" wrapText="1"/>
    </xf>
    <xf numFmtId="0" fontId="15" fillId="42" borderId="1" applyAlignment="1" pivotButton="0" quotePrefix="0" xfId="0">
      <alignment horizontal="center" vertical="center" wrapText="1"/>
    </xf>
    <xf numFmtId="0" fontId="15" fillId="46" borderId="1" applyAlignment="1" pivotButton="0" quotePrefix="0" xfId="0">
      <alignment horizontal="center" vertical="center" wrapText="1"/>
    </xf>
    <xf numFmtId="0" fontId="15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left" vertical="center"/>
    </xf>
    <xf numFmtId="0" fontId="34" fillId="48" borderId="0" applyAlignment="1" pivotButton="0" quotePrefix="0" xfId="0">
      <alignment horizontal="general" vertical="bottom"/>
    </xf>
    <xf numFmtId="0" fontId="15" fillId="43" borderId="1" applyAlignment="1" pivotButton="0" quotePrefix="0" xfId="0">
      <alignment horizontal="center" vertical="center" wrapText="1"/>
    </xf>
    <xf numFmtId="0" fontId="15" fillId="44" borderId="1" applyAlignment="1" pivotButton="0" quotePrefix="0" xfId="0">
      <alignment horizontal="center" vertical="center" wrapText="1"/>
    </xf>
    <xf numFmtId="0" fontId="9" fillId="4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3" borderId="1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general" vertical="bottom"/>
    </xf>
    <xf numFmtId="10" fontId="34" fillId="48" borderId="0" applyAlignment="1" pivotButton="0" quotePrefix="0" xfId="0">
      <alignment horizontal="general" vertical="bottom"/>
    </xf>
    <xf numFmtId="0" fontId="0" fillId="48" borderId="0" applyAlignment="1" pivotButton="0" quotePrefix="0" xfId="0">
      <alignment horizontal="general" vertical="bottom"/>
    </xf>
    <xf numFmtId="168" fontId="0" fillId="48" borderId="0" applyAlignment="1" pivotButton="0" quotePrefix="0" xfId="0">
      <alignment horizontal="general" vertical="bottom"/>
    </xf>
    <xf numFmtId="0" fontId="35" fillId="49" borderId="5" applyAlignment="1" pivotButton="0" quotePrefix="0" xfId="0">
      <alignment horizontal="center" vertical="center" wrapText="1"/>
    </xf>
    <xf numFmtId="0" fontId="35" fillId="49" borderId="0" pivotButton="0" quotePrefix="0" xfId="0"/>
    <xf numFmtId="0" fontId="0" fillId="49" borderId="0" pivotButton="0" quotePrefix="0" xfId="0"/>
    <xf numFmtId="0" fontId="0" fillId="0" borderId="5" pivotButton="0" quotePrefix="0" xfId="0"/>
    <xf numFmtId="0" fontId="36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7" fillId="0" borderId="5" pivotButton="0" quotePrefix="0" xfId="0"/>
    <xf numFmtId="0" fontId="38" fillId="49" borderId="0" applyAlignment="1" pivotButton="0" quotePrefix="0" xfId="0">
      <alignment horizontal="center" vertical="center"/>
    </xf>
    <xf numFmtId="0" fontId="39" fillId="50" borderId="0" pivotButton="0" quotePrefix="0" xfId="0"/>
    <xf numFmtId="0" fontId="40" fillId="51" borderId="0" pivotButton="0" quotePrefix="0" xfId="0"/>
    <xf numFmtId="0" fontId="40" fillId="52" borderId="0" pivotButton="0" quotePrefix="0" xfId="0"/>
    <xf numFmtId="0" fontId="35" fillId="53" borderId="5" applyAlignment="1" pivotButton="0" quotePrefix="0" xfId="0">
      <alignment horizontal="center" vertical="center" wrapText="1"/>
    </xf>
    <xf numFmtId="0" fontId="35" fillId="52" borderId="5" applyAlignment="1" pivotButton="0" quotePrefix="0" xfId="0">
      <alignment horizontal="center" vertical="center" wrapText="1"/>
    </xf>
    <xf numFmtId="0" fontId="41" fillId="54" borderId="5" pivotButton="0" quotePrefix="0" xfId="0"/>
    <xf numFmtId="0" fontId="37" fillId="54" borderId="5" pivotButton="0" quotePrefix="0" xfId="0"/>
    <xf numFmtId="0" fontId="37" fillId="55" borderId="5" pivotButton="0" quotePrefix="0" xfId="0"/>
    <xf numFmtId="0" fontId="42" fillId="49" borderId="0" applyAlignment="1" pivotButton="0" quotePrefix="0" xfId="0">
      <alignment horizontal="center" vertical="center"/>
    </xf>
    <xf numFmtId="0" fontId="42" fillId="56" borderId="0" applyAlignment="1" pivotButton="0" quotePrefix="0" xfId="0">
      <alignment horizontal="center" vertical="center"/>
    </xf>
    <xf numFmtId="0" fontId="35" fillId="56" borderId="0" applyAlignment="1" pivotButton="0" quotePrefix="0" xfId="0">
      <alignment horizontal="center" vertical="center"/>
    </xf>
    <xf numFmtId="0" fontId="43" fillId="0" borderId="0" pivotButton="0" quotePrefix="0" xfId="0"/>
    <xf numFmtId="0" fontId="35" fillId="57" borderId="5" applyAlignment="1" pivotButton="0" quotePrefix="0" xfId="0">
      <alignment horizontal="center" vertical="center" wrapText="1"/>
    </xf>
    <xf numFmtId="0" fontId="36" fillId="0" borderId="0" pivotButton="0" quotePrefix="0" xfId="0"/>
    <xf numFmtId="0" fontId="44" fillId="0" borderId="0" pivotButton="0" quotePrefix="0" xfId="0"/>
    <xf numFmtId="0" fontId="37" fillId="58" borderId="5" pivotButton="0" quotePrefix="0" xfId="0"/>
    <xf numFmtId="169" fontId="37" fillId="55" borderId="5" pivotButton="0" quotePrefix="0" xfId="0"/>
    <xf numFmtId="169" fontId="0" fillId="0" borderId="0" pivotButton="0" quotePrefix="0" xfId="0"/>
    <xf numFmtId="0" fontId="35" fillId="59" borderId="0" pivotButton="0" quotePrefix="0" xfId="0"/>
    <xf numFmtId="0" fontId="45" fillId="0" borderId="0" pivotButton="0" quotePrefix="0" xfId="0"/>
    <xf numFmtId="0" fontId="37" fillId="0" borderId="0" pivotButton="0" quotePrefix="0" xfId="0"/>
    <xf numFmtId="0" fontId="46" fillId="49" borderId="0" applyAlignment="1" pivotButton="0" quotePrefix="0" xfId="0">
      <alignment horizontal="center"/>
    </xf>
    <xf numFmtId="0" fontId="47" fillId="54" borderId="6" applyAlignment="1" pivotButton="0" quotePrefix="0" xfId="0">
      <alignment horizontal="center"/>
    </xf>
    <xf numFmtId="0" fontId="47" fillId="55" borderId="6" applyAlignment="1" pivotButton="0" quotePrefix="0" xfId="0">
      <alignment horizontal="center"/>
    </xf>
    <xf numFmtId="0" fontId="47" fillId="60" borderId="6" applyAlignment="1" pivotButton="0" quotePrefix="0" xfId="0">
      <alignment horizontal="center"/>
    </xf>
    <xf numFmtId="0" fontId="47" fillId="61" borderId="6" applyAlignment="1" pivotButton="0" quotePrefix="0" xfId="0">
      <alignment horizontal="center"/>
    </xf>
    <xf numFmtId="0" fontId="48" fillId="54" borderId="6" applyAlignment="1" pivotButton="0" quotePrefix="0" xfId="0">
      <alignment horizontal="center"/>
    </xf>
    <xf numFmtId="0" fontId="48" fillId="55" borderId="6" applyAlignment="1" pivotButton="0" quotePrefix="0" xfId="0">
      <alignment horizontal="center"/>
    </xf>
    <xf numFmtId="0" fontId="48" fillId="60" borderId="6" applyAlignment="1" pivotButton="0" quotePrefix="0" xfId="0">
      <alignment horizontal="center"/>
    </xf>
    <xf numFmtId="0" fontId="48" fillId="61" borderId="6" applyAlignment="1" pivotButton="0" quotePrefix="0" xfId="0">
      <alignment horizontal="center"/>
    </xf>
    <xf numFmtId="9" fontId="48" fillId="55" borderId="6" applyAlignment="1" pivotButton="0" quotePrefix="0" xfId="0">
      <alignment horizontal="center"/>
    </xf>
    <xf numFmtId="9" fontId="48" fillId="54" borderId="6" applyAlignment="1" pivotButton="0" quotePrefix="0" xfId="0">
      <alignment horizontal="center"/>
    </xf>
    <xf numFmtId="0" fontId="35" fillId="59" borderId="6" applyAlignment="1" pivotButton="0" quotePrefix="0" xfId="0">
      <alignment horizontal="center"/>
    </xf>
    <xf numFmtId="0" fontId="35" fillId="51" borderId="6" applyAlignment="1" pivotButton="0" quotePrefix="0" xfId="0">
      <alignment horizontal="center"/>
    </xf>
    <xf numFmtId="0" fontId="35" fillId="52" borderId="6" applyAlignment="1" pivotButton="0" quotePrefix="0" xfId="0">
      <alignment horizontal="center"/>
    </xf>
    <xf numFmtId="0" fontId="35" fillId="62" borderId="6" applyAlignment="1" pivotButton="0" quotePrefix="0" xfId="0">
      <alignment horizontal="center"/>
    </xf>
    <xf numFmtId="0" fontId="35" fillId="63" borderId="6" applyAlignment="1" pivotButton="0" quotePrefix="0" xfId="0">
      <alignment horizontal="center"/>
    </xf>
    <xf numFmtId="0" fontId="49" fillId="64" borderId="6" applyAlignment="1" pivotButton="0" quotePrefix="0" xfId="0">
      <alignment horizontal="center" wrapText="1"/>
    </xf>
    <xf numFmtId="0" fontId="36" fillId="0" borderId="6" pivotButton="0" quotePrefix="0" xfId="0"/>
    <xf numFmtId="0" fontId="37" fillId="0" borderId="6" applyAlignment="1" pivotButton="0" quotePrefix="0" xfId="0">
      <alignment horizontal="center"/>
    </xf>
    <xf numFmtId="0" fontId="35" fillId="65" borderId="6" pivotButton="0" quotePrefix="0" xfId="0"/>
    <xf numFmtId="0" fontId="35" fillId="65" borderId="6" applyAlignment="1" pivotButton="0" quotePrefix="0" xfId="0">
      <alignment horizontal="center"/>
    </xf>
    <xf numFmtId="0" fontId="35" fillId="65" borderId="6" applyAlignment="1" pivotButton="0" quotePrefix="0" xfId="0">
      <alignment horizontal="center" wrapText="1"/>
    </xf>
    <xf numFmtId="0" fontId="49" fillId="64" borderId="6" pivotButton="0" quotePrefix="0" xfId="0"/>
    <xf numFmtId="0" fontId="0" fillId="0" borderId="6" applyAlignment="1" pivotButton="0" quotePrefix="0" xfId="0">
      <alignment horizontal="center"/>
    </xf>
    <xf numFmtId="9" fontId="0" fillId="0" borderId="6" applyAlignment="1" pivotButton="0" quotePrefix="0" xfId="0">
      <alignment horizontal="center"/>
    </xf>
    <xf numFmtId="0" fontId="35" fillId="66" borderId="6" applyAlignment="1" pivotButton="0" quotePrefix="0" xfId="0">
      <alignment horizontal="center" wrapText="1"/>
    </xf>
    <xf numFmtId="0" fontId="35" fillId="62" borderId="6" applyAlignment="1" pivotButton="0" quotePrefix="0" xfId="0">
      <alignment horizontal="center" wrapText="1"/>
    </xf>
    <xf numFmtId="0" fontId="37" fillId="0" borderId="6" pivotButton="0" quotePrefix="0" xfId="0"/>
    <xf numFmtId="9" fontId="37" fillId="0" borderId="6" applyAlignment="1" pivotButton="0" quotePrefix="0" xfId="0">
      <alignment horizontal="center"/>
    </xf>
    <xf numFmtId="9" fontId="35" fillId="65" borderId="6" applyAlignment="1" pivotButton="0" quotePrefix="0" xfId="0">
      <alignment horizontal="center"/>
    </xf>
    <xf numFmtId="169" fontId="36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40" fillId="67" borderId="0" applyAlignment="1" pivotButton="0" quotePrefix="0" xfId="0">
      <alignment horizontal="center"/>
    </xf>
    <xf numFmtId="0" fontId="40" fillId="67" borderId="0" pivotButton="0" quotePrefix="0" xfId="0"/>
    <xf numFmtId="0" fontId="35" fillId="68" borderId="5" applyAlignment="1" pivotButton="0" quotePrefix="0" xfId="0">
      <alignment horizontal="center" wrapText="1"/>
    </xf>
    <xf numFmtId="0" fontId="35" fillId="68" borderId="5" applyAlignment="1" pivotButton="0" quotePrefix="0" xfId="0">
      <alignment horizontal="center"/>
    </xf>
    <xf numFmtId="0" fontId="37" fillId="0" borderId="5" applyAlignment="1" pivotButton="0" quotePrefix="0" xfId="0">
      <alignment horizontal="center"/>
    </xf>
    <xf numFmtId="9" fontId="37" fillId="0" borderId="5" applyAlignment="1" pivotButton="0" quotePrefix="0" xfId="0">
      <alignment horizontal="center"/>
    </xf>
    <xf numFmtId="0" fontId="50" fillId="0" borderId="5" applyAlignment="1" pivotButton="0" quotePrefix="0" xfId="0">
      <alignment horizontal="center"/>
    </xf>
    <xf numFmtId="0" fontId="51" fillId="0" borderId="5" applyAlignment="1" pivotButton="0" quotePrefix="0" xfId="0">
      <alignment horizontal="center"/>
    </xf>
    <xf numFmtId="0" fontId="52" fillId="0" borderId="5" applyAlignment="1" pivotButton="0" quotePrefix="0" xfId="0">
      <alignment horizontal="center"/>
    </xf>
    <xf numFmtId="0" fontId="53" fillId="0" borderId="5" applyAlignment="1" pivotButton="0" quotePrefix="0" xfId="0">
      <alignment horizontal="center"/>
    </xf>
    <xf numFmtId="0" fontId="54" fillId="0" borderId="5" pivotButton="0" quotePrefix="0" xfId="0"/>
    <xf numFmtId="0" fontId="36" fillId="0" borderId="5" applyAlignment="1" pivotButton="0" quotePrefix="0" xfId="0">
      <alignment horizontal="center"/>
    </xf>
    <xf numFmtId="0" fontId="50" fillId="65" borderId="5" applyAlignment="1" pivotButton="0" quotePrefix="0" xfId="0">
      <alignment horizontal="center"/>
    </xf>
    <xf numFmtId="0" fontId="35" fillId="65" borderId="5" applyAlignment="1" pivotButton="0" quotePrefix="0" xfId="0">
      <alignment horizontal="center"/>
    </xf>
    <xf numFmtId="0" fontId="51" fillId="65" borderId="5" applyAlignment="1" pivotButton="0" quotePrefix="0" xfId="0">
      <alignment horizontal="center"/>
    </xf>
    <xf numFmtId="0" fontId="52" fillId="65" borderId="5" applyAlignment="1" pivotButton="0" quotePrefix="0" xfId="0">
      <alignment horizontal="center"/>
    </xf>
    <xf numFmtId="0" fontId="53" fillId="65" borderId="5" applyAlignment="1" pivotButton="0" quotePrefix="0" xfId="0">
      <alignment horizontal="center"/>
    </xf>
    <xf numFmtId="0" fontId="0" fillId="0" borderId="11" pivotButton="0" quotePrefix="0" xfId="0"/>
    <xf numFmtId="0" fontId="37" fillId="0" borderId="11" pivotButton="0" quotePrefix="0" xfId="0"/>
    <xf numFmtId="0" fontId="37" fillId="0" borderId="11" applyAlignment="1" pivotButton="0" quotePrefix="0" xfId="0">
      <alignment horizontal="center"/>
    </xf>
    <xf numFmtId="0" fontId="36" fillId="0" borderId="11" pivotButton="0" quotePrefix="0" xfId="0"/>
    <xf numFmtId="0" fontId="35" fillId="0" borderId="11" pivotButton="0" quotePrefix="0" xfId="0"/>
    <xf numFmtId="0" fontId="35" fillId="0" borderId="11" applyAlignment="1" pivotButton="0" quotePrefix="0" xfId="0">
      <alignment horizontal="center"/>
    </xf>
    <xf numFmtId="0" fontId="55" fillId="67" borderId="5" applyAlignment="1" pivotButton="0" quotePrefix="0" xfId="0">
      <alignment horizontal="center" vertical="center" wrapText="1"/>
    </xf>
    <xf numFmtId="0" fontId="55" fillId="67" borderId="12" applyAlignment="1" pivotButton="0" quotePrefix="0" xfId="0">
      <alignment horizontal="center" vertical="center" wrapText="1"/>
    </xf>
    <xf numFmtId="0" fontId="55" fillId="69" borderId="13" applyAlignment="1" pivotButton="0" quotePrefix="0" xfId="0">
      <alignment horizontal="center" vertical="center" wrapText="1"/>
    </xf>
    <xf numFmtId="0" fontId="55" fillId="69" borderId="5" applyAlignment="1" pivotButton="0" quotePrefix="0" xfId="0">
      <alignment horizontal="center" vertical="center" wrapText="1"/>
    </xf>
    <xf numFmtId="0" fontId="55" fillId="69" borderId="12" applyAlignment="1" pivotButton="0" quotePrefix="0" xfId="0">
      <alignment horizontal="center" vertical="center" wrapText="1"/>
    </xf>
    <xf numFmtId="0" fontId="55" fillId="68" borderId="13" applyAlignment="1" pivotButton="0" quotePrefix="0" xfId="0">
      <alignment horizontal="center" vertical="center" wrapText="1"/>
    </xf>
    <xf numFmtId="0" fontId="55" fillId="68" borderId="5" applyAlignment="1" pivotButton="0" quotePrefix="0" xfId="0">
      <alignment horizontal="center" vertical="center" wrapText="1"/>
    </xf>
    <xf numFmtId="0" fontId="55" fillId="68" borderId="12" applyAlignment="1" pivotButton="0" quotePrefix="0" xfId="0">
      <alignment horizontal="center" vertical="center" wrapText="1"/>
    </xf>
    <xf numFmtId="0" fontId="55" fillId="70" borderId="13" applyAlignment="1" pivotButton="0" quotePrefix="0" xfId="0">
      <alignment horizontal="center" vertical="center" wrapText="1"/>
    </xf>
    <xf numFmtId="0" fontId="55" fillId="70" borderId="12" applyAlignment="1" pivotButton="0" quotePrefix="0" xfId="0">
      <alignment horizontal="center" vertical="center" wrapText="1"/>
    </xf>
    <xf numFmtId="0" fontId="55" fillId="71" borderId="13" applyAlignment="1" pivotButton="0" quotePrefix="0" xfId="0">
      <alignment horizontal="center" vertical="center" wrapText="1"/>
    </xf>
    <xf numFmtId="0" fontId="55" fillId="71" borderId="5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/>
    </xf>
    <xf numFmtId="0" fontId="37" fillId="0" borderId="13" applyAlignment="1" pivotButton="0" quotePrefix="0" xfId="0">
      <alignment horizontal="center"/>
    </xf>
    <xf numFmtId="0" fontId="36" fillId="65" borderId="14" pivotButton="0" quotePrefix="0" xfId="0"/>
    <xf numFmtId="0" fontId="36" fillId="65" borderId="15" applyAlignment="1" pivotButton="0" quotePrefix="0" xfId="0">
      <alignment horizontal="center"/>
    </xf>
    <xf numFmtId="0" fontId="36" fillId="65" borderId="16" applyAlignment="1" pivotButton="0" quotePrefix="0" xfId="0">
      <alignment horizontal="center"/>
    </xf>
    <xf numFmtId="0" fontId="36" fillId="65" borderId="14" applyAlignment="1" pivotButton="0" quotePrefix="0" xfId="0">
      <alignment horizontal="center"/>
    </xf>
    <xf numFmtId="0" fontId="56" fillId="65" borderId="16" applyAlignment="1" pivotButton="0" quotePrefix="0" xfId="0">
      <alignment horizontal="center"/>
    </xf>
    <xf numFmtId="0" fontId="56" fillId="65" borderId="14" applyAlignment="1" pivotButton="0" quotePrefix="0" xfId="0">
      <alignment horizontal="center"/>
    </xf>
    <xf numFmtId="0" fontId="56" fillId="65" borderId="15" applyAlignment="1" pivotButton="0" quotePrefix="0" xfId="0">
      <alignment horizontal="center"/>
    </xf>
    <xf numFmtId="0" fontId="57" fillId="65" borderId="16" applyAlignment="1" pivotButton="0" quotePrefix="0" xfId="0">
      <alignment horizontal="center"/>
    </xf>
    <xf numFmtId="0" fontId="57" fillId="65" borderId="14" applyAlignment="1" pivotButton="0" quotePrefix="0" xfId="0">
      <alignment horizontal="center"/>
    </xf>
    <xf numFmtId="0" fontId="58" fillId="0" borderId="5" applyAlignment="1" pivotButton="0" quotePrefix="0" xfId="0">
      <alignment horizontal="left"/>
    </xf>
    <xf numFmtId="0" fontId="3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169" fontId="37" fillId="0" borderId="5" applyAlignment="1" pivotButton="0" quotePrefix="0" xfId="0">
      <alignment horizontal="center" vertical="center"/>
    </xf>
    <xf numFmtId="0" fontId="46" fillId="67" borderId="5" applyAlignment="1" pivotButton="0" quotePrefix="0" xfId="0">
      <alignment horizontal="center" vertical="center"/>
    </xf>
    <xf numFmtId="0" fontId="37" fillId="67" borderId="11" pivotButton="0" quotePrefix="0" xfId="0"/>
    <xf numFmtId="0" fontId="35" fillId="68" borderId="5" applyAlignment="1" pivotButton="0" quotePrefix="0" xfId="0">
      <alignment horizontal="center" vertical="center"/>
    </xf>
    <xf numFmtId="0" fontId="59" fillId="0" borderId="5" applyAlignment="1" pivotButton="0" quotePrefix="0" xfId="0">
      <alignment horizontal="left"/>
    </xf>
    <xf numFmtId="0" fontId="36" fillId="0" borderId="5" applyAlignment="1" pivotButton="0" quotePrefix="0" xfId="0">
      <alignment horizontal="left"/>
    </xf>
    <xf numFmtId="0" fontId="60" fillId="0" borderId="5" applyAlignment="1" pivotButton="0" quotePrefix="0" xfId="0">
      <alignment horizontal="left"/>
    </xf>
    <xf numFmtId="0" fontId="35" fillId="68" borderId="5" applyAlignment="1" pivotButton="0" quotePrefix="0" xfId="0">
      <alignment horizontal="left"/>
    </xf>
    <xf numFmtId="0" fontId="37" fillId="0" borderId="11" applyAlignment="1" pivotButton="0" quotePrefix="0" xfId="0">
      <alignment horizontal="center" vertical="center"/>
    </xf>
    <xf numFmtId="0" fontId="46" fillId="67" borderId="5" applyAlignment="1" pivotButton="0" quotePrefix="0" xfId="0">
      <alignment horizontal="left"/>
    </xf>
    <xf numFmtId="0" fontId="35" fillId="69" borderId="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35" fillId="68" borderId="5" applyAlignment="1" pivotButton="0" quotePrefix="0" xfId="0">
      <alignment horizontal="center" vertical="center" wrapText="1"/>
    </xf>
    <xf numFmtId="0" fontId="0" fillId="67" borderId="0" pivotButton="0" quotePrefix="0" xfId="0"/>
    <xf numFmtId="0" fontId="61" fillId="0" borderId="5" applyAlignment="1" pivotButton="0" quotePrefix="0" xfId="0">
      <alignment horizontal="left"/>
    </xf>
    <xf numFmtId="9" fontId="37" fillId="0" borderId="5" applyAlignment="1" pivotButton="0" quotePrefix="0" xfId="0">
      <alignment horizontal="center" vertical="center"/>
    </xf>
    <xf numFmtId="0" fontId="51" fillId="0" borderId="5" applyAlignment="1" pivotButton="0" quotePrefix="0" xfId="0">
      <alignment horizontal="center" vertical="center"/>
    </xf>
    <xf numFmtId="9" fontId="36" fillId="0" borderId="5" applyAlignment="1" pivotButton="0" quotePrefix="0" xfId="0">
      <alignment horizontal="center" vertical="center"/>
    </xf>
    <xf numFmtId="0" fontId="53" fillId="0" borderId="5" applyAlignment="1" pivotButton="0" quotePrefix="0" xfId="0">
      <alignment horizontal="center" vertical="center"/>
    </xf>
    <xf numFmtId="9" fontId="35" fillId="68" borderId="5" applyAlignment="1" pivotButton="0" quotePrefix="0" xfId="0">
      <alignment horizontal="center" vertical="center"/>
    </xf>
    <xf numFmtId="0" fontId="62" fillId="0" borderId="5" applyAlignment="1" pivotButton="0" quotePrefix="0" xfId="0">
      <alignment horizontal="center" vertical="center"/>
    </xf>
    <xf numFmtId="0" fontId="37" fillId="72" borderId="5" applyAlignment="1" pivotButton="0" quotePrefix="0" xfId="0">
      <alignment horizontal="center" vertical="center"/>
    </xf>
    <xf numFmtId="0" fontId="70" fillId="0" borderId="5" applyAlignment="1" pivotButton="0" quotePrefix="0" xfId="0">
      <alignment horizontal="center" vertical="center"/>
    </xf>
    <xf numFmtId="0" fontId="71" fillId="0" borderId="5" applyAlignment="1" pivotButton="0" quotePrefix="0" xfId="0">
      <alignment horizontal="center" vertical="center"/>
    </xf>
    <xf numFmtId="0" fontId="63" fillId="0" borderId="5" applyAlignment="1" pivotButton="0" quotePrefix="0" xfId="0">
      <alignment horizontal="left"/>
    </xf>
    <xf numFmtId="0" fontId="64" fillId="0" borderId="5" applyAlignment="1" pivotButton="0" quotePrefix="0" xfId="0">
      <alignment horizontal="center" vertical="center"/>
    </xf>
    <xf numFmtId="0" fontId="37" fillId="73" borderId="5" applyAlignment="1" pivotButton="0" quotePrefix="0" xfId="0">
      <alignment horizontal="center" vertical="center"/>
    </xf>
    <xf numFmtId="0" fontId="72" fillId="0" borderId="5" applyAlignment="1" pivotButton="0" quotePrefix="0" xfId="0">
      <alignment horizontal="left"/>
    </xf>
    <xf numFmtId="0" fontId="73" fillId="0" borderId="5" applyAlignment="1" pivotButton="0" quotePrefix="0" xfId="0">
      <alignment horizontal="center" vertical="center"/>
    </xf>
    <xf numFmtId="0" fontId="74" fillId="0" borderId="5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37" fillId="74" borderId="5" applyAlignment="1" pivotButton="0" quotePrefix="0" xfId="0">
      <alignment horizontal="center" vertical="center"/>
    </xf>
    <xf numFmtId="0" fontId="66" fillId="0" borderId="5" applyAlignment="1" pivotButton="0" quotePrefix="0" xfId="0">
      <alignment horizontal="left"/>
    </xf>
    <xf numFmtId="0" fontId="75" fillId="0" borderId="5" applyAlignment="1" pivotButton="0" quotePrefix="0" xfId="0">
      <alignment horizontal="center" vertical="center"/>
    </xf>
    <xf numFmtId="0" fontId="67" fillId="0" borderId="5" applyAlignment="1" pivotButton="0" quotePrefix="0" xfId="0">
      <alignment horizontal="center" vertical="center"/>
    </xf>
    <xf numFmtId="0" fontId="37" fillId="75" borderId="5" applyAlignment="1" pivotButton="0" quotePrefix="0" xfId="0">
      <alignment horizontal="center" vertical="center"/>
    </xf>
    <xf numFmtId="0" fontId="68" fillId="0" borderId="5" applyAlignment="1" pivotButton="0" quotePrefix="0" xfId="0">
      <alignment horizontal="left"/>
    </xf>
    <xf numFmtId="0" fontId="76" fillId="0" borderId="5" applyAlignment="1" pivotButton="0" quotePrefix="0" xfId="0">
      <alignment horizontal="center" vertical="center"/>
    </xf>
    <xf numFmtId="0" fontId="69" fillId="0" borderId="5" applyAlignment="1" pivotButton="0" quotePrefix="0" xfId="0">
      <alignment horizontal="center" vertical="center"/>
    </xf>
    <xf numFmtId="0" fontId="37" fillId="76" borderId="5" applyAlignment="1" pivotButton="0" quotePrefix="0" xfId="0">
      <alignment horizontal="center" vertical="center"/>
    </xf>
    <xf numFmtId="0" fontId="77" fillId="0" borderId="5" applyAlignment="1" pivotButton="0" quotePrefix="0" xfId="0">
      <alignment horizontal="left"/>
    </xf>
    <xf numFmtId="0" fontId="78" fillId="0" borderId="5" applyAlignment="1" pivotButton="0" quotePrefix="0" xfId="0">
      <alignment horizontal="center" vertical="center"/>
    </xf>
    <xf numFmtId="0" fontId="79" fillId="72" borderId="5" applyAlignment="1" pivotButton="0" quotePrefix="0" xfId="0">
      <alignment horizontal="center" vertical="center"/>
    </xf>
    <xf numFmtId="0" fontId="79" fillId="73" borderId="5" applyAlignment="1" pivotButton="0" quotePrefix="0" xfId="0">
      <alignment horizontal="center" vertical="center"/>
    </xf>
    <xf numFmtId="0" fontId="79" fillId="74" borderId="5" applyAlignment="1" pivotButton="0" quotePrefix="0" xfId="0">
      <alignment horizontal="center" vertical="center"/>
    </xf>
    <xf numFmtId="0" fontId="79" fillId="76" borderId="5" applyAlignment="1" pivotButton="0" quotePrefix="0" xfId="0">
      <alignment horizontal="center" vertical="center"/>
    </xf>
    <xf numFmtId="169" fontId="0" fillId="0" borderId="5" pivotButton="0" quotePrefix="0" xfId="0"/>
    <xf numFmtId="0" fontId="81" fillId="0" borderId="21" applyAlignment="1" pivotButton="0" quotePrefix="0" xfId="0">
      <alignment horizontal="left" vertical="center"/>
    </xf>
    <xf numFmtId="0" fontId="80" fillId="0" borderId="11" pivotButton="0" quotePrefix="0" xfId="0"/>
    <xf numFmtId="0" fontId="82" fillId="0" borderId="21" applyAlignment="1" pivotButton="0" quotePrefix="0" xfId="0">
      <alignment horizontal="left" vertical="center"/>
    </xf>
    <xf numFmtId="0" fontId="80" fillId="0" borderId="21" applyAlignment="1" pivotButton="0" quotePrefix="0" xfId="0">
      <alignment horizontal="center" vertical="center"/>
    </xf>
    <xf numFmtId="169" fontId="80" fillId="0" borderId="21" applyAlignment="1" pivotButton="0" quotePrefix="0" xfId="0">
      <alignment horizontal="center" vertical="center"/>
    </xf>
    <xf numFmtId="0" fontId="83" fillId="77" borderId="21" applyAlignment="1" pivotButton="0" quotePrefix="0" xfId="0">
      <alignment horizontal="left" vertical="center"/>
    </xf>
    <xf numFmtId="0" fontId="80" fillId="77" borderId="21" pivotButton="0" quotePrefix="0" xfId="0"/>
    <xf numFmtId="0" fontId="84" fillId="78" borderId="21" applyAlignment="1" pivotButton="0" quotePrefix="0" xfId="0">
      <alignment horizontal="center" vertical="center" wrapText="1"/>
    </xf>
    <xf numFmtId="0" fontId="85" fillId="0" borderId="21" applyAlignment="1" pivotButton="0" quotePrefix="0" xfId="0">
      <alignment horizontal="left" vertical="center"/>
    </xf>
    <xf numFmtId="0" fontId="82" fillId="0" borderId="21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7" fillId="0" borderId="21" applyAlignment="1" pivotButton="0" quotePrefix="0" xfId="0">
      <alignment horizontal="left" vertical="center"/>
    </xf>
    <xf numFmtId="0" fontId="88" fillId="0" borderId="21" applyAlignment="1" pivotButton="0" quotePrefix="0" xfId="0">
      <alignment horizontal="left" vertical="center"/>
    </xf>
    <xf numFmtId="0" fontId="82" fillId="79" borderId="22" applyAlignment="1" pivotButton="0" quotePrefix="0" xfId="0">
      <alignment horizontal="left" vertical="center"/>
    </xf>
    <xf numFmtId="0" fontId="82" fillId="79" borderId="22" applyAlignment="1" pivotButton="0" quotePrefix="0" xfId="0">
      <alignment horizontal="center" vertical="center"/>
    </xf>
    <xf numFmtId="0" fontId="82" fillId="0" borderId="11" applyAlignment="1" pivotButton="0" quotePrefix="0" xfId="0">
      <alignment horizontal="left" vertical="center"/>
    </xf>
    <xf numFmtId="0" fontId="82" fillId="0" borderId="11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86" fillId="0" borderId="11" applyAlignment="1" pivotButton="0" quotePrefix="0" xfId="0">
      <alignment horizontal="left" vertical="center"/>
    </xf>
    <xf numFmtId="0" fontId="84" fillId="80" borderId="21" applyAlignment="1" pivotButton="0" quotePrefix="0" xfId="0">
      <alignment horizontal="center" vertical="center"/>
    </xf>
    <xf numFmtId="0" fontId="0" fillId="80" borderId="21" pivotButton="0" quotePrefix="0" xfId="0"/>
    <xf numFmtId="0" fontId="85" fillId="0" borderId="2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89" fillId="0" borderId="21" applyAlignment="1" pivotButton="0" quotePrefix="0" xfId="0">
      <alignment horizontal="left" vertical="center"/>
    </xf>
    <xf numFmtId="9" fontId="86" fillId="0" borderId="21" applyAlignment="1" pivotButton="0" quotePrefix="0" xfId="0">
      <alignment horizontal="center" vertical="center"/>
    </xf>
    <xf numFmtId="0" fontId="90" fillId="0" borderId="21" applyAlignment="1" pivotButton="0" quotePrefix="0" xfId="0">
      <alignment horizontal="center" vertical="center"/>
    </xf>
    <xf numFmtId="0" fontId="91" fillId="0" borderId="21" applyAlignment="1" pivotButton="0" quotePrefix="0" xfId="0">
      <alignment horizontal="center" vertical="center"/>
    </xf>
    <xf numFmtId="9" fontId="82" fillId="0" borderId="21" applyAlignment="1" pivotButton="0" quotePrefix="0" xfId="0">
      <alignment horizontal="center" vertical="center"/>
    </xf>
    <xf numFmtId="0" fontId="92" fillId="0" borderId="21" applyAlignment="1" pivotButton="0" quotePrefix="0" xfId="0">
      <alignment horizontal="center" vertical="center"/>
    </xf>
    <xf numFmtId="9" fontId="82" fillId="79" borderId="22" applyAlignment="1" pivotButton="0" quotePrefix="0" xfId="0">
      <alignment horizontal="center" vertical="center"/>
    </xf>
    <xf numFmtId="0" fontId="93" fillId="0" borderId="21" applyAlignment="1" pivotButton="0" quotePrefix="0" xfId="0">
      <alignment horizontal="left" vertical="center"/>
    </xf>
    <xf numFmtId="0" fontId="94" fillId="0" borderId="21" applyAlignment="1" pivotButton="0" quotePrefix="0" xfId="0">
      <alignment horizontal="center" vertical="center"/>
    </xf>
    <xf numFmtId="9" fontId="80" fillId="0" borderId="21" applyAlignment="1" pivotButton="0" quotePrefix="0" xfId="0">
      <alignment horizontal="center" vertical="center"/>
    </xf>
    <xf numFmtId="0" fontId="80" fillId="72" borderId="21" applyAlignment="1" pivotButton="0" quotePrefix="0" xfId="0">
      <alignment horizontal="center" vertical="center"/>
    </xf>
    <xf numFmtId="0" fontId="105" fillId="0" borderId="21" applyAlignment="1" pivotButton="0" quotePrefix="0" xfId="0">
      <alignment horizontal="center" vertical="center"/>
    </xf>
    <xf numFmtId="0" fontId="106" fillId="0" borderId="21" applyAlignment="1" pivotButton="0" quotePrefix="0" xfId="0">
      <alignment horizontal="left" vertical="center"/>
    </xf>
    <xf numFmtId="0" fontId="107" fillId="0" borderId="21" applyAlignment="1" pivotButton="0" quotePrefix="0" xfId="0">
      <alignment horizontal="center" vertical="center"/>
    </xf>
    <xf numFmtId="0" fontId="95" fillId="0" borderId="21" applyAlignment="1" pivotButton="0" quotePrefix="0" xfId="0">
      <alignment horizontal="left" vertical="center"/>
    </xf>
    <xf numFmtId="0" fontId="96" fillId="0" borderId="21" applyAlignment="1" pivotButton="0" quotePrefix="0" xfId="0">
      <alignment horizontal="center" vertical="center"/>
    </xf>
    <xf numFmtId="0" fontId="80" fillId="73" borderId="21" applyAlignment="1" pivotButton="0" quotePrefix="0" xfId="0">
      <alignment horizontal="center" vertical="center"/>
    </xf>
    <xf numFmtId="0" fontId="108" fillId="0" borderId="21" applyAlignment="1" pivotButton="0" quotePrefix="0" xfId="0">
      <alignment horizontal="left" vertical="center"/>
    </xf>
    <xf numFmtId="0" fontId="109" fillId="0" borderId="21" applyAlignment="1" pivotButton="0" quotePrefix="0" xfId="0">
      <alignment horizontal="center" vertical="center"/>
    </xf>
    <xf numFmtId="0" fontId="97" fillId="0" borderId="21" applyAlignment="1" pivotButton="0" quotePrefix="0" xfId="0">
      <alignment horizontal="left" vertical="center"/>
    </xf>
    <xf numFmtId="0" fontId="98" fillId="0" borderId="21" applyAlignment="1" pivotButton="0" quotePrefix="0" xfId="0">
      <alignment horizontal="center" vertical="center"/>
    </xf>
    <xf numFmtId="0" fontId="80" fillId="81" borderId="21" applyAlignment="1" pivotButton="0" quotePrefix="0" xfId="0">
      <alignment horizontal="center" vertical="center"/>
    </xf>
    <xf numFmtId="0" fontId="110" fillId="0" borderId="21" applyAlignment="1" pivotButton="0" quotePrefix="0" xfId="0">
      <alignment horizontal="left" vertical="center"/>
    </xf>
    <xf numFmtId="0" fontId="111" fillId="0" borderId="21" applyAlignment="1" pivotButton="0" quotePrefix="0" xfId="0">
      <alignment horizontal="center" vertical="center"/>
    </xf>
    <xf numFmtId="0" fontId="99" fillId="0" borderId="21" applyAlignment="1" pivotButton="0" quotePrefix="0" xfId="0">
      <alignment horizontal="left" vertical="center"/>
    </xf>
    <xf numFmtId="0" fontId="100" fillId="0" borderId="21" applyAlignment="1" pivotButton="0" quotePrefix="0" xfId="0">
      <alignment horizontal="center" vertical="center"/>
    </xf>
    <xf numFmtId="0" fontId="80" fillId="74" borderId="21" applyAlignment="1" pivotButton="0" quotePrefix="0" xfId="0">
      <alignment horizontal="center" vertical="center"/>
    </xf>
    <xf numFmtId="0" fontId="112" fillId="0" borderId="21" applyAlignment="1" pivotButton="0" quotePrefix="0" xfId="0">
      <alignment horizontal="left" vertical="center"/>
    </xf>
    <xf numFmtId="0" fontId="113" fillId="0" borderId="21" applyAlignment="1" pivotButton="0" quotePrefix="0" xfId="0">
      <alignment horizontal="center" vertical="center"/>
    </xf>
    <xf numFmtId="0" fontId="101" fillId="0" borderId="21" applyAlignment="1" pivotButton="0" quotePrefix="0" xfId="0">
      <alignment horizontal="left" vertical="center"/>
    </xf>
    <xf numFmtId="0" fontId="102" fillId="0" borderId="21" applyAlignment="1" pivotButton="0" quotePrefix="0" xfId="0">
      <alignment horizontal="center" vertical="center"/>
    </xf>
    <xf numFmtId="0" fontId="80" fillId="78" borderId="21" applyAlignment="1" pivotButton="0" quotePrefix="0" xfId="0">
      <alignment horizontal="center" vertical="center"/>
    </xf>
    <xf numFmtId="0" fontId="114" fillId="0" borderId="21" applyAlignment="1" pivotButton="0" quotePrefix="0" xfId="0">
      <alignment horizontal="left" vertical="center"/>
    </xf>
    <xf numFmtId="0" fontId="115" fillId="0" borderId="21" applyAlignment="1" pivotButton="0" quotePrefix="0" xfId="0">
      <alignment horizontal="center" vertical="center"/>
    </xf>
    <xf numFmtId="0" fontId="103" fillId="0" borderId="21" applyAlignment="1" pivotButton="0" quotePrefix="0" xfId="0">
      <alignment horizontal="left" vertical="center"/>
    </xf>
    <xf numFmtId="0" fontId="104" fillId="0" borderId="21" applyAlignment="1" pivotButton="0" quotePrefix="0" xfId="0">
      <alignment horizontal="center" vertical="center"/>
    </xf>
    <xf numFmtId="0" fontId="80" fillId="82" borderId="21" applyAlignment="1" pivotButton="0" quotePrefix="0" xfId="0">
      <alignment horizontal="center" vertical="center"/>
    </xf>
    <xf numFmtId="0" fontId="116" fillId="0" borderId="21" applyAlignment="1" pivotButton="0" quotePrefix="0" xfId="0">
      <alignment horizontal="center" vertical="center"/>
    </xf>
    <xf numFmtId="0" fontId="117" fillId="0" borderId="21" applyAlignment="1" pivotButton="0" quotePrefix="0" xfId="0">
      <alignment horizontal="center" vertical="center"/>
    </xf>
    <xf numFmtId="0" fontId="118" fillId="0" borderId="21" applyAlignment="1" pivotButton="0" quotePrefix="0" xfId="0">
      <alignment horizontal="center" vertical="center"/>
    </xf>
    <xf numFmtId="0" fontId="119" fillId="0" borderId="21" applyAlignment="1" pivotButton="0" quotePrefix="0" xfId="0">
      <alignment horizontal="center" vertical="center"/>
    </xf>
    <xf numFmtId="0" fontId="120" fillId="0" borderId="21" applyAlignment="1" pivotButton="0" quotePrefix="0" xfId="0">
      <alignment horizontal="left" vertical="center"/>
    </xf>
    <xf numFmtId="0" fontId="82" fillId="79" borderId="27" applyAlignment="1" pivotButton="0" quotePrefix="0" xfId="0">
      <alignment horizontal="left" vertical="center"/>
    </xf>
    <xf numFmtId="0" fontId="82" fillId="79" borderId="27" applyAlignment="1" pivotButton="0" quotePrefix="0" xfId="0">
      <alignment horizontal="center" vertical="center"/>
    </xf>
    <xf numFmtId="0" fontId="121" fillId="0" borderId="21" applyAlignment="1" pivotButton="0" quotePrefix="0" xfId="0">
      <alignment horizontal="center" vertical="center"/>
    </xf>
    <xf numFmtId="9" fontId="82" fillId="79" borderId="27" applyAlignment="1" pivotButton="0" quotePrefix="0" xfId="0">
      <alignment horizontal="center" vertical="center"/>
    </xf>
    <xf numFmtId="0" fontId="122" fillId="0" borderId="21" applyAlignment="1" pivotButton="0" quotePrefix="0" xfId="0">
      <alignment horizontal="center" vertical="center"/>
    </xf>
    <xf numFmtId="0" fontId="123" fillId="0" borderId="21" applyAlignment="1" pivotButton="0" quotePrefix="0" xfId="0">
      <alignment horizontal="center" vertical="center"/>
    </xf>
    <xf numFmtId="0" fontId="124" fillId="0" borderId="21" applyAlignment="1" pivotButton="0" quotePrefix="0" xfId="0">
      <alignment horizontal="center" vertical="center"/>
    </xf>
    <xf numFmtId="0" fontId="125" fillId="0" borderId="21" applyAlignment="1" pivotButton="0" quotePrefix="0" xfId="0">
      <alignment horizontal="center" vertical="center"/>
    </xf>
    <xf numFmtId="0" fontId="128" fillId="0" borderId="21" applyAlignment="1" pivotButton="0" quotePrefix="0" xfId="0">
      <alignment horizontal="center" vertical="center"/>
    </xf>
    <xf numFmtId="0" fontId="126" fillId="0" borderId="21" applyAlignment="1" pivotButton="0" quotePrefix="0" xfId="0">
      <alignment horizontal="center" vertical="center"/>
    </xf>
    <xf numFmtId="0" fontId="127" fillId="0" borderId="21" applyAlignment="1" pivotButton="0" quotePrefix="0" xfId="0">
      <alignment horizontal="center" vertical="center"/>
    </xf>
    <xf numFmtId="0" fontId="129" fillId="0" borderId="11" applyAlignment="1" pivotButton="0" quotePrefix="0" xfId="0">
      <alignment horizontal="left" vertical="center"/>
    </xf>
    <xf numFmtId="0" fontId="130" fillId="0" borderId="11" applyAlignment="1" pivotButton="0" quotePrefix="0" xfId="0">
      <alignment horizontal="left" vertical="center"/>
    </xf>
    <xf numFmtId="0" fontId="131" fillId="0" borderId="11" applyAlignment="1" pivotButton="0" quotePrefix="0" xfId="0">
      <alignment horizontal="left" vertical="center"/>
    </xf>
    <xf numFmtId="0" fontId="132" fillId="0" borderId="11" applyAlignment="1" pivotButton="0" quotePrefix="0" xfId="0">
      <alignment horizontal="left" vertical="center"/>
    </xf>
    <xf numFmtId="0" fontId="80" fillId="83" borderId="28" applyAlignment="1" pivotButton="0" quotePrefix="0" xfId="0">
      <alignment horizontal="center" vertical="center"/>
    </xf>
    <xf numFmtId="169" fontId="80" fillId="83" borderId="28" applyAlignment="1" pivotButton="0" quotePrefix="0" xfId="0">
      <alignment horizontal="center" vertical="center"/>
    </xf>
    <xf numFmtId="0" fontId="133" fillId="84" borderId="28" applyAlignment="1" pivotButton="0" quotePrefix="0" xfId="0">
      <alignment horizontal="center" vertical="center"/>
    </xf>
    <xf numFmtId="0" fontId="0" fillId="0" borderId="31" pivotButton="0" quotePrefix="0" xfId="0"/>
    <xf numFmtId="0" fontId="133" fillId="85" borderId="28" applyAlignment="1" pivotButton="0" quotePrefix="0" xfId="0">
      <alignment horizontal="center" vertical="center"/>
    </xf>
    <xf numFmtId="0" fontId="133" fillId="86" borderId="28" applyAlignment="1" pivotButton="0" quotePrefix="0" xfId="0">
      <alignment horizontal="center" vertical="center"/>
    </xf>
    <xf numFmtId="0" fontId="133" fillId="87" borderId="28" applyAlignment="1" pivotButton="0" quotePrefix="0" xfId="0">
      <alignment horizontal="center" vertical="center"/>
    </xf>
    <xf numFmtId="3" fontId="134" fillId="84" borderId="28" applyAlignment="1" pivotButton="0" quotePrefix="0" xfId="0">
      <alignment horizontal="center" vertical="center"/>
    </xf>
    <xf numFmtId="3" fontId="135" fillId="85" borderId="28" applyAlignment="1" pivotButton="0" quotePrefix="0" xfId="0">
      <alignment horizontal="center" vertical="center"/>
    </xf>
    <xf numFmtId="3" fontId="136" fillId="86" borderId="28" applyAlignment="1" pivotButton="0" quotePrefix="0" xfId="0">
      <alignment horizontal="center" vertical="center"/>
    </xf>
    <xf numFmtId="9" fontId="135" fillId="85" borderId="28" applyAlignment="1" pivotButton="0" quotePrefix="0" xfId="0">
      <alignment horizontal="center" vertical="center"/>
    </xf>
    <xf numFmtId="3" fontId="137" fillId="87" borderId="28" applyAlignment="1" pivotButton="0" quotePrefix="0" xfId="0">
      <alignment horizontal="center" vertical="center"/>
    </xf>
    <xf numFmtId="0" fontId="86" fillId="84" borderId="28" applyAlignment="1" pivotButton="0" quotePrefix="0" xfId="0">
      <alignment horizontal="center" vertical="center"/>
    </xf>
    <xf numFmtId="0" fontId="86" fillId="85" borderId="28" applyAlignment="1" pivotButton="0" quotePrefix="0" xfId="0">
      <alignment horizontal="center" vertical="center"/>
    </xf>
    <xf numFmtId="0" fontId="86" fillId="86" borderId="28" applyAlignment="1" pivotButton="0" quotePrefix="0" xfId="0">
      <alignment horizontal="center" vertical="center"/>
    </xf>
    <xf numFmtId="0" fontId="86" fillId="87" borderId="28" applyAlignment="1" pivotButton="0" quotePrefix="0" xfId="0">
      <alignment horizontal="center" vertical="center"/>
    </xf>
    <xf numFmtId="0" fontId="138" fillId="88" borderId="28" applyAlignment="1" pivotButton="0" quotePrefix="0" xfId="0">
      <alignment horizontal="left" vertical="center"/>
    </xf>
    <xf numFmtId="0" fontId="80" fillId="88" borderId="28" pivotButton="0" quotePrefix="0" xfId="0"/>
    <xf numFmtId="0" fontId="84" fillId="78" borderId="28" applyAlignment="1" pivotButton="0" quotePrefix="0" xfId="0">
      <alignment horizontal="center" vertical="center" wrapText="1"/>
    </xf>
    <xf numFmtId="0" fontId="85" fillId="89" borderId="28" applyAlignment="1" pivotButton="0" quotePrefix="0" xfId="0">
      <alignment horizontal="left" vertical="center"/>
    </xf>
    <xf numFmtId="0" fontId="131" fillId="89" borderId="28" applyAlignment="1" pivotButton="0" quotePrefix="0" xfId="0">
      <alignment horizontal="center" vertical="center"/>
    </xf>
    <xf numFmtId="0" fontId="86" fillId="89" borderId="28" applyAlignment="1" pivotButton="0" quotePrefix="0" xfId="0">
      <alignment horizontal="center" vertical="center"/>
    </xf>
    <xf numFmtId="0" fontId="85" fillId="89" borderId="28" applyAlignment="1" pivotButton="0" quotePrefix="0" xfId="0">
      <alignment horizontal="center" vertical="center"/>
    </xf>
    <xf numFmtId="0" fontId="139" fillId="89" borderId="28" applyAlignment="1" pivotButton="0" quotePrefix="0" xfId="0">
      <alignment horizontal="center" vertical="center"/>
    </xf>
    <xf numFmtId="0" fontId="85" fillId="90" borderId="28" applyAlignment="1" pivotButton="0" quotePrefix="0" xfId="0">
      <alignment horizontal="left" vertical="center"/>
    </xf>
    <xf numFmtId="0" fontId="131" fillId="90" borderId="28" applyAlignment="1" pivotButton="0" quotePrefix="0" xfId="0">
      <alignment horizontal="center" vertical="center"/>
    </xf>
    <xf numFmtId="0" fontId="86" fillId="90" borderId="28" applyAlignment="1" pivotButton="0" quotePrefix="0" xfId="0">
      <alignment horizontal="center" vertical="center"/>
    </xf>
    <xf numFmtId="0" fontId="85" fillId="90" borderId="28" applyAlignment="1" pivotButton="0" quotePrefix="0" xfId="0">
      <alignment horizontal="center" vertical="center"/>
    </xf>
    <xf numFmtId="0" fontId="139" fillId="90" borderId="28" applyAlignment="1" pivotButton="0" quotePrefix="0" xfId="0">
      <alignment horizontal="center" vertical="center"/>
    </xf>
    <xf numFmtId="0" fontId="120" fillId="89" borderId="28" applyAlignment="1" pivotButton="0" quotePrefix="0" xfId="0">
      <alignment horizontal="left" vertical="center"/>
    </xf>
    <xf numFmtId="0" fontId="120" fillId="90" borderId="28" applyAlignment="1" pivotButton="0" quotePrefix="0" xfId="0">
      <alignment horizontal="left" vertical="center"/>
    </xf>
    <xf numFmtId="0" fontId="88" fillId="89" borderId="28" applyAlignment="1" pivotButton="0" quotePrefix="0" xfId="0">
      <alignment horizontal="left" vertical="center"/>
    </xf>
    <xf numFmtId="0" fontId="140" fillId="89" borderId="28" applyAlignment="1" pivotButton="0" quotePrefix="0" xfId="0">
      <alignment horizontal="left" vertical="center"/>
    </xf>
    <xf numFmtId="0" fontId="131" fillId="91" borderId="32" applyAlignment="1" pivotButton="0" quotePrefix="0" xfId="0">
      <alignment horizontal="left" vertical="center"/>
    </xf>
    <xf numFmtId="0" fontId="131" fillId="91" borderId="32" applyAlignment="1" pivotButton="0" quotePrefix="0" xfId="0">
      <alignment horizontal="center" vertical="center"/>
    </xf>
    <xf numFmtId="0" fontId="141" fillId="92" borderId="28" applyAlignment="1" pivotButton="0" quotePrefix="0" xfId="0">
      <alignment horizontal="center" vertical="center"/>
    </xf>
    <xf numFmtId="0" fontId="0" fillId="92" borderId="28" pivotButton="0" quotePrefix="0" xfId="0"/>
    <xf numFmtId="0" fontId="142" fillId="89" borderId="28" applyAlignment="1" pivotButton="0" quotePrefix="0" xfId="0">
      <alignment horizontal="center" vertical="center"/>
    </xf>
    <xf numFmtId="0" fontId="142" fillId="90" borderId="28" applyAlignment="1" pivotButton="0" quotePrefix="0" xfId="0">
      <alignment horizontal="center" vertical="center"/>
    </xf>
    <xf numFmtId="0" fontId="0" fillId="0" borderId="33" pivotButton="0" quotePrefix="0" xfId="0"/>
    <xf numFmtId="0" fontId="89" fillId="90" borderId="28" applyAlignment="1" pivotButton="0" quotePrefix="0" xfId="0">
      <alignment horizontal="left" vertical="center"/>
    </xf>
    <xf numFmtId="0" fontId="82" fillId="90" borderId="28" applyAlignment="1" pivotButton="0" quotePrefix="0" xfId="0">
      <alignment horizontal="center" vertical="center"/>
    </xf>
    <xf numFmtId="9" fontId="86" fillId="90" borderId="28" applyAlignment="1" pivotButton="0" quotePrefix="0" xfId="0">
      <alignment horizontal="center" vertical="center"/>
    </xf>
    <xf numFmtId="0" fontId="82" fillId="90" borderId="28" applyAlignment="1" pivotButton="0" quotePrefix="0" xfId="0">
      <alignment horizontal="left" vertical="center"/>
    </xf>
    <xf numFmtId="0" fontId="81" fillId="90" borderId="28" applyAlignment="1" pivotButton="0" quotePrefix="0" xfId="0">
      <alignment horizontal="center" vertical="center"/>
    </xf>
    <xf numFmtId="0" fontId="122" fillId="90" borderId="28" applyAlignment="1" pivotButton="0" quotePrefix="0" xfId="0">
      <alignment horizontal="center" vertical="center"/>
    </xf>
    <xf numFmtId="0" fontId="90" fillId="90" borderId="28" applyAlignment="1" pivotButton="0" quotePrefix="0" xfId="0">
      <alignment horizontal="center" vertical="center"/>
    </xf>
    <xf numFmtId="9" fontId="143" fillId="90" borderId="28" applyAlignment="1" pivotButton="0" quotePrefix="0" xfId="0">
      <alignment horizontal="center" vertical="center"/>
    </xf>
    <xf numFmtId="0" fontId="92" fillId="90" borderId="28" applyAlignment="1" pivotButton="0" quotePrefix="0" xfId="0">
      <alignment horizontal="center" vertical="center"/>
    </xf>
    <xf numFmtId="0" fontId="89" fillId="89" borderId="28" applyAlignment="1" pivotButton="0" quotePrefix="0" xfId="0">
      <alignment horizontal="left" vertical="center"/>
    </xf>
    <xf numFmtId="0" fontId="82" fillId="89" borderId="28" applyAlignment="1" pivotButton="0" quotePrefix="0" xfId="0">
      <alignment horizontal="center" vertical="center"/>
    </xf>
    <xf numFmtId="9" fontId="86" fillId="89" borderId="28" applyAlignment="1" pivotButton="0" quotePrefix="0" xfId="0">
      <alignment horizontal="center" vertical="center"/>
    </xf>
    <xf numFmtId="0" fontId="82" fillId="89" borderId="28" applyAlignment="1" pivotButton="0" quotePrefix="0" xfId="0">
      <alignment horizontal="left" vertical="center"/>
    </xf>
    <xf numFmtId="0" fontId="81" fillId="89" borderId="28" applyAlignment="1" pivotButton="0" quotePrefix="0" xfId="0">
      <alignment horizontal="center" vertical="center"/>
    </xf>
    <xf numFmtId="0" fontId="122" fillId="89" borderId="28" applyAlignment="1" pivotButton="0" quotePrefix="0" xfId="0">
      <alignment horizontal="center" vertical="center"/>
    </xf>
    <xf numFmtId="0" fontId="90" fillId="89" borderId="28" applyAlignment="1" pivotButton="0" quotePrefix="0" xfId="0">
      <alignment horizontal="center" vertical="center"/>
    </xf>
    <xf numFmtId="9" fontId="143" fillId="89" borderId="28" applyAlignment="1" pivotButton="0" quotePrefix="0" xfId="0">
      <alignment horizontal="center" vertical="center"/>
    </xf>
    <xf numFmtId="0" fontId="92" fillId="89" borderId="28" applyAlignment="1" pivotButton="0" quotePrefix="0" xfId="0">
      <alignment horizontal="center" vertical="center"/>
    </xf>
    <xf numFmtId="9" fontId="131" fillId="91" borderId="32" applyAlignment="1" pivotButton="0" quotePrefix="0" xfId="0">
      <alignment horizontal="center" vertical="center"/>
    </xf>
    <xf numFmtId="0" fontId="91" fillId="0" borderId="28" applyAlignment="1" pivotButton="0" quotePrefix="0" xfId="0">
      <alignment horizontal="left" vertical="center"/>
    </xf>
    <xf numFmtId="0" fontId="144" fillId="0" borderId="28" applyAlignment="1" pivotButton="0" quotePrefix="0" xfId="0">
      <alignment horizontal="center" vertical="center"/>
    </xf>
    <xf numFmtId="9" fontId="80" fillId="0" borderId="28" applyAlignment="1" pivotButton="0" quotePrefix="0" xfId="0">
      <alignment horizontal="center" vertical="center"/>
    </xf>
    <xf numFmtId="0" fontId="80" fillId="72" borderId="28" applyAlignment="1" pivotButton="0" quotePrefix="0" xfId="0">
      <alignment horizontal="center" vertical="center"/>
    </xf>
    <xf numFmtId="0" fontId="155" fillId="90" borderId="28" applyAlignment="1" pivotButton="0" quotePrefix="0" xfId="0">
      <alignment horizontal="center" vertical="center"/>
    </xf>
    <xf numFmtId="9" fontId="80" fillId="90" borderId="28" applyAlignment="1" pivotButton="0" quotePrefix="0" xfId="0">
      <alignment horizontal="center" vertical="center"/>
    </xf>
    <xf numFmtId="0" fontId="106" fillId="90" borderId="28" applyAlignment="1" pivotButton="0" quotePrefix="0" xfId="0">
      <alignment horizontal="left" vertical="center"/>
    </xf>
    <xf numFmtId="0" fontId="145" fillId="0" borderId="28" applyAlignment="1" pivotButton="0" quotePrefix="0" xfId="0">
      <alignment horizontal="left" vertical="center"/>
    </xf>
    <xf numFmtId="0" fontId="146" fillId="0" borderId="28" applyAlignment="1" pivotButton="0" quotePrefix="0" xfId="0">
      <alignment horizontal="center" vertical="center"/>
    </xf>
    <xf numFmtId="0" fontId="80" fillId="73" borderId="28" applyAlignment="1" pivotButton="0" quotePrefix="0" xfId="0">
      <alignment horizontal="center" vertical="center"/>
    </xf>
    <xf numFmtId="0" fontId="155" fillId="89" borderId="28" applyAlignment="1" pivotButton="0" quotePrefix="0" xfId="0">
      <alignment horizontal="center" vertical="center"/>
    </xf>
    <xf numFmtId="9" fontId="80" fillId="89" borderId="28" applyAlignment="1" pivotButton="0" quotePrefix="0" xfId="0">
      <alignment horizontal="center" vertical="center"/>
    </xf>
    <xf numFmtId="0" fontId="108" fillId="89" borderId="28" applyAlignment="1" pivotButton="0" quotePrefix="0" xfId="0">
      <alignment horizontal="left" vertical="center"/>
    </xf>
    <xf numFmtId="0" fontId="126" fillId="89" borderId="28" applyAlignment="1" pivotButton="0" quotePrefix="0" xfId="0">
      <alignment horizontal="center" vertical="center"/>
    </xf>
    <xf numFmtId="0" fontId="147" fillId="0" borderId="28" applyAlignment="1" pivotButton="0" quotePrefix="0" xfId="0">
      <alignment horizontal="left" vertical="center"/>
    </xf>
    <xf numFmtId="0" fontId="148" fillId="0" borderId="28" applyAlignment="1" pivotButton="0" quotePrefix="0" xfId="0">
      <alignment horizontal="center" vertical="center"/>
    </xf>
    <xf numFmtId="0" fontId="80" fillId="81" borderId="28" applyAlignment="1" pivotButton="0" quotePrefix="0" xfId="0">
      <alignment horizontal="center" vertical="center"/>
    </xf>
    <xf numFmtId="0" fontId="110" fillId="90" borderId="28" applyAlignment="1" pivotButton="0" quotePrefix="0" xfId="0">
      <alignment horizontal="left" vertical="center"/>
    </xf>
    <xf numFmtId="0" fontId="123" fillId="90" borderId="28" applyAlignment="1" pivotButton="0" quotePrefix="0" xfId="0">
      <alignment horizontal="center" vertical="center"/>
    </xf>
    <xf numFmtId="0" fontId="149" fillId="0" borderId="28" applyAlignment="1" pivotButton="0" quotePrefix="0" xfId="0">
      <alignment horizontal="left" vertical="center"/>
    </xf>
    <xf numFmtId="0" fontId="150" fillId="0" borderId="28" applyAlignment="1" pivotButton="0" quotePrefix="0" xfId="0">
      <alignment horizontal="center" vertical="center"/>
    </xf>
    <xf numFmtId="0" fontId="80" fillId="74" borderId="28" applyAlignment="1" pivotButton="0" quotePrefix="0" xfId="0">
      <alignment horizontal="center" vertical="center"/>
    </xf>
    <xf numFmtId="0" fontId="112" fillId="89" borderId="28" applyAlignment="1" pivotButton="0" quotePrefix="0" xfId="0">
      <alignment horizontal="left" vertical="center"/>
    </xf>
    <xf numFmtId="0" fontId="156" fillId="89" borderId="28" applyAlignment="1" pivotButton="0" quotePrefix="0" xfId="0">
      <alignment horizontal="center" vertical="center"/>
    </xf>
    <xf numFmtId="0" fontId="151" fillId="0" borderId="28" applyAlignment="1" pivotButton="0" quotePrefix="0" xfId="0">
      <alignment horizontal="left" vertical="center"/>
    </xf>
    <xf numFmtId="0" fontId="152" fillId="0" borderId="28" applyAlignment="1" pivotButton="0" quotePrefix="0" xfId="0">
      <alignment horizontal="center" vertical="center"/>
    </xf>
    <xf numFmtId="0" fontId="80" fillId="78" borderId="28" applyAlignment="1" pivotButton="0" quotePrefix="0" xfId="0">
      <alignment horizontal="center" vertical="center"/>
    </xf>
    <xf numFmtId="0" fontId="114" fillId="90" borderId="28" applyAlignment="1" pivotButton="0" quotePrefix="0" xfId="0">
      <alignment horizontal="left" vertical="center"/>
    </xf>
    <xf numFmtId="0" fontId="127" fillId="90" borderId="28" applyAlignment="1" pivotButton="0" quotePrefix="0" xfId="0">
      <alignment horizontal="center" vertical="center"/>
    </xf>
    <xf numFmtId="0" fontId="153" fillId="0" borderId="28" applyAlignment="1" pivotButton="0" quotePrefix="0" xfId="0">
      <alignment horizontal="left" vertical="center"/>
    </xf>
    <xf numFmtId="0" fontId="154" fillId="0" borderId="28" applyAlignment="1" pivotButton="0" quotePrefix="0" xfId="0">
      <alignment horizontal="center" vertical="center"/>
    </xf>
    <xf numFmtId="0" fontId="80" fillId="82" borderId="28" applyAlignment="1" pivotButton="0" quotePrefix="0" xfId="0">
      <alignment horizontal="center" vertical="center"/>
    </xf>
    <xf numFmtId="0" fontId="114" fillId="89" borderId="28" applyAlignment="1" pivotButton="0" quotePrefix="0" xfId="0">
      <alignment horizontal="left" vertical="center"/>
    </xf>
    <xf numFmtId="0" fontId="127" fillId="89" borderId="28" applyAlignment="1" pivotButton="0" quotePrefix="0" xfId="0">
      <alignment horizontal="center" vertical="center"/>
    </xf>
    <xf numFmtId="0" fontId="116" fillId="90" borderId="28" applyAlignment="1" pivotButton="0" quotePrefix="0" xfId="0">
      <alignment horizontal="center" vertical="center"/>
    </xf>
    <xf numFmtId="0" fontId="117" fillId="90" borderId="28" applyAlignment="1" pivotButton="0" quotePrefix="0" xfId="0">
      <alignment horizontal="center" vertical="center"/>
    </xf>
    <xf numFmtId="0" fontId="118" fillId="90" borderId="28" applyAlignment="1" pivotButton="0" quotePrefix="0" xfId="0">
      <alignment horizontal="center" vertical="center"/>
    </xf>
    <xf numFmtId="0" fontId="119" fillId="90" borderId="28" applyAlignment="1" pivotButton="0" quotePrefix="0" xfId="0">
      <alignment horizontal="center" vertical="center"/>
    </xf>
    <xf numFmtId="0" fontId="116" fillId="89" borderId="28" applyAlignment="1" pivotButton="0" quotePrefix="0" xfId="0">
      <alignment horizontal="center" vertical="center"/>
    </xf>
    <xf numFmtId="0" fontId="117" fillId="89" borderId="28" applyAlignment="1" pivotButton="0" quotePrefix="0" xfId="0">
      <alignment horizontal="center" vertical="center"/>
    </xf>
    <xf numFmtId="0" fontId="118" fillId="89" borderId="28" applyAlignment="1" pivotButton="0" quotePrefix="0" xfId="0">
      <alignment horizontal="center" vertical="center"/>
    </xf>
    <xf numFmtId="0" fontId="119" fillId="89" borderId="28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 DO CONTATO — PERÍODO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'DASH'!$A$20:$A$30</f>
            </numRef>
          </cat>
          <val>
            <numRef>
              <f>'DASH'!$B$20:$B$30</f>
            </numRef>
          </val>
        </ser>
        <dLbls>
          <numFmt formatCode="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FUNIL DE VENDA POR TIPO DE CONTATO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'DASH'!G52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'DASH'!$A$53:$A$59</f>
            </numRef>
          </cat>
          <val>
            <numRef>
              <f>'DASH'!$G$53:$G$59</f>
            </numRef>
          </val>
        </ser>
        <ser>
          <idx val="1"/>
          <order val="1"/>
          <tx>
            <strRef>
              <f>'DASH'!H52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'DASH'!$A$53:$A$59</f>
            </numRef>
          </cat>
          <val>
            <numRef>
              <f>'DASH'!$H$53:$H$59</f>
            </numRef>
          </val>
        </ser>
        <ser>
          <idx val="2"/>
          <order val="2"/>
          <tx>
            <strRef>
              <f>'DASH'!I52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'DASH'!$A$53:$A$59</f>
            </numRef>
          </cat>
          <val>
            <numRef>
              <f>'DASH'!$I$53:$I$59</f>
            </numRef>
          </val>
        </ser>
        <ser>
          <idx val="3"/>
          <order val="3"/>
          <tx>
            <strRef>
              <f>'DASH'!J52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prstDash val="solid"/>
            </a:ln>
          </spPr>
          <cat>
            <numRef>
              <f>'DASH'!$A$53:$A$59</f>
            </numRef>
          </cat>
          <val>
            <numRef>
              <f>'DASH'!$J$53:$J$59</f>
            </numRef>
          </val>
        </ser>
        <dLbls>
          <numFmt formatCode="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MOTIVOS — POR QUE NÃO COMPRAM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'DASH'!B81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'DASH'!$A$82:$A$91</f>
            </numRef>
          </cat>
          <val>
            <numRef>
              <f>'DASH'!$B$82:$B$91</f>
            </numRef>
          </val>
        </ser>
        <dLbls>
          <numFmt formatCode="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SITUAÇÃO POR REDE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'DASH'!C127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'DASH'!$C$128:$C$135</f>
            </numRef>
          </val>
        </ser>
        <ser>
          <idx val="1"/>
          <order val="1"/>
          <tx>
            <strRef>
              <f>'DASH'!D127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'DASH'!$D$128:$D$135</f>
            </numRef>
          </val>
        </ser>
        <ser>
          <idx val="2"/>
          <order val="2"/>
          <tx>
            <strRef>
              <f>'DASH'!E127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'DASH'!$E$128:$E$135</f>
            </numRef>
          </val>
        </ser>
        <ser>
          <idx val="3"/>
          <order val="3"/>
          <tx>
            <strRef>
              <f>'DASH'!F127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'DASH'!$F$128:$F$135</f>
            </numRef>
          </val>
        </ser>
        <ser>
          <idx val="4"/>
          <order val="4"/>
          <tx>
            <strRef>
              <f>'DASH'!G127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'DASH'!$G$128:$G$135</f>
            </numRef>
          </val>
        </ser>
        <ser>
          <idx val="5"/>
          <order val="5"/>
          <tx>
            <strRef>
              <f>'DASH'!H127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'DASH'!$A$128:$A$135</f>
            </numRef>
          </cat>
          <val>
            <numRef>
              <f>'DASH'!$H$128:$H$135</f>
            </numRef>
          </val>
        </ser>
        <dLbls>
          <numFmt formatCode="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126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61</row>
      <rowOff>0</rowOff>
    </from>
    <ext cx="126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93</row>
      <rowOff>0</rowOff>
    </from>
    <ext cx="126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137</row>
      <rowOff>0</rowOff>
    </from>
    <ext cx="126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D9488"/>
    <outlinePr summaryBelow="1" summaryRight="1"/>
    <pageSetUpPr fitToPage="0"/>
  </sheetPr>
  <dimension ref="A1:E1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16" min="1" max="1"/>
    <col width="32" customWidth="1" style="116" min="2" max="2"/>
    <col width="20" customWidth="1" style="116" min="3" max="3"/>
    <col width="18" customWidth="1" style="116" min="4" max="4"/>
    <col width="35" customWidth="1" style="116" min="5" max="5"/>
  </cols>
  <sheetData>
    <row r="1" ht="15" customHeight="1" s="117">
      <c r="A1" s="118" t="inlineStr">
        <is>
          <t>#</t>
        </is>
      </c>
      <c r="B1" s="118" t="inlineStr">
        <is>
          <t>RESULTADO</t>
        </is>
      </c>
      <c r="C1" s="118" t="inlineStr">
        <is>
          <t>FOLLOW-UP (DIAS)</t>
        </is>
      </c>
      <c r="D1" s="118" t="inlineStr">
        <is>
          <t>GRUPO DASH</t>
        </is>
      </c>
      <c r="E1" s="118" t="inlineStr">
        <is>
          <t>QUANDO USAR</t>
        </is>
      </c>
    </row>
    <row r="2" ht="15" customHeight="1" s="117">
      <c r="A2" s="119" t="n">
        <v>1</v>
      </c>
      <c r="B2" s="120" t="inlineStr">
        <is>
          <t>EM ATENDIMENTO</t>
        </is>
      </c>
      <c r="C2" s="119" t="n">
        <v>2</v>
      </c>
      <c r="D2" s="119" t="inlineStr">
        <is>
          <t>FUNIL</t>
        </is>
      </c>
      <c r="E2" s="121" t="inlineStr">
        <is>
          <t>Negociação ativa</t>
        </is>
      </c>
    </row>
    <row r="3" ht="15" customHeight="1" s="117">
      <c r="A3" s="119" t="n">
        <v>2</v>
      </c>
      <c r="B3" s="120" t="inlineStr">
        <is>
          <t>ORÇAMENTO</t>
        </is>
      </c>
      <c r="C3" s="119" t="n">
        <v>1</v>
      </c>
      <c r="D3" s="119" t="inlineStr">
        <is>
          <t>FUNIL</t>
        </is>
      </c>
      <c r="E3" s="121" t="inlineStr">
        <is>
          <t>Proposta enviada</t>
        </is>
      </c>
    </row>
    <row r="4" ht="15" customHeight="1" s="117">
      <c r="A4" s="119" t="n">
        <v>3</v>
      </c>
      <c r="B4" s="120" t="inlineStr">
        <is>
          <t>CADASTRO</t>
        </is>
      </c>
      <c r="C4" s="119" t="n">
        <v>2</v>
      </c>
      <c r="D4" s="119" t="inlineStr">
        <is>
          <t>FUNIL</t>
        </is>
      </c>
      <c r="E4" s="121" t="inlineStr">
        <is>
          <t>Cliente novo em cadastro</t>
        </is>
      </c>
    </row>
    <row r="5" ht="15" customHeight="1" s="117">
      <c r="A5" s="119" t="n">
        <v>4</v>
      </c>
      <c r="B5" s="120" t="inlineStr">
        <is>
          <t>VENDA / PEDIDO</t>
        </is>
      </c>
      <c r="C5" s="119" t="n">
        <v>45</v>
      </c>
      <c r="D5" s="119" t="inlineStr">
        <is>
          <t>FUNIL</t>
        </is>
      </c>
      <c r="E5" s="121" t="inlineStr">
        <is>
          <t>Pedido fechado</t>
        </is>
      </c>
    </row>
    <row r="6" ht="15" customHeight="1" s="117">
      <c r="A6" s="119" t="n">
        <v>5</v>
      </c>
      <c r="B6" s="120" t="inlineStr">
        <is>
          <t>RELACIONAMENTO</t>
        </is>
      </c>
      <c r="C6" s="119" t="n">
        <v>7</v>
      </c>
      <c r="D6" s="119" t="inlineStr">
        <is>
          <t>RELAC.</t>
        </is>
      </c>
      <c r="E6" s="121" t="inlineStr">
        <is>
          <t>Contato pós-venda/CS</t>
        </is>
      </c>
    </row>
    <row r="7" ht="15" customHeight="1" s="117">
      <c r="A7" s="119" t="n">
        <v>6</v>
      </c>
      <c r="B7" s="120" t="inlineStr">
        <is>
          <t>FOLLOW UP 7</t>
        </is>
      </c>
      <c r="C7" s="119" t="n">
        <v>7</v>
      </c>
      <c r="D7" s="119" t="inlineStr">
        <is>
          <t>RELAC.</t>
        </is>
      </c>
      <c r="E7" s="121" t="inlineStr">
        <is>
          <t>Retomar em 1 semana</t>
        </is>
      </c>
    </row>
    <row r="8" ht="15" customHeight="1" s="117">
      <c r="A8" s="119" t="n">
        <v>7</v>
      </c>
      <c r="B8" s="120" t="inlineStr">
        <is>
          <t>FOLLOW UP 15</t>
        </is>
      </c>
      <c r="C8" s="119" t="n">
        <v>15</v>
      </c>
      <c r="D8" s="119" t="inlineStr">
        <is>
          <t>RELAC.</t>
        </is>
      </c>
      <c r="E8" s="121" t="inlineStr">
        <is>
          <t>Retomar em 2 semanas</t>
        </is>
      </c>
    </row>
    <row r="9" ht="15" customHeight="1" s="117">
      <c r="A9" s="119" t="n">
        <v>8</v>
      </c>
      <c r="B9" s="120" t="inlineStr">
        <is>
          <t>SUPORTE</t>
        </is>
      </c>
      <c r="C9" s="119" t="n">
        <v>0</v>
      </c>
      <c r="D9" s="119" t="inlineStr">
        <is>
          <t>RELAC.</t>
        </is>
      </c>
      <c r="E9" s="121" t="inlineStr">
        <is>
          <t>Problema resolvido</t>
        </is>
      </c>
    </row>
    <row r="10" ht="15" customHeight="1" s="117">
      <c r="A10" s="119" t="n">
        <v>9</v>
      </c>
      <c r="B10" s="120" t="inlineStr">
        <is>
          <t>NÃO ATENDE</t>
        </is>
      </c>
      <c r="C10" s="119" t="n">
        <v>1</v>
      </c>
      <c r="D10" s="119" t="inlineStr">
        <is>
          <t>NÃO VENDA</t>
        </is>
      </c>
      <c r="E10" s="121" t="inlineStr">
        <is>
          <t>Ligou sem resposta</t>
        </is>
      </c>
    </row>
    <row r="11" ht="15" customHeight="1" s="117">
      <c r="A11" s="119" t="n">
        <v>10</v>
      </c>
      <c r="B11" s="120" t="inlineStr">
        <is>
          <t>NÃO RESPONDE</t>
        </is>
      </c>
      <c r="C11" s="119" t="n">
        <v>1</v>
      </c>
      <c r="D11" s="119" t="inlineStr">
        <is>
          <t>NÃO VENDA</t>
        </is>
      </c>
      <c r="E11" s="121" t="inlineStr">
        <is>
          <t>WhatsApp sem resposta</t>
        </is>
      </c>
    </row>
    <row r="12" ht="15" customHeight="1" s="117">
      <c r="A12" s="119" t="n">
        <v>11</v>
      </c>
      <c r="B12" s="120" t="inlineStr">
        <is>
          <t>RECUSOU LIGAÇÃO</t>
        </is>
      </c>
      <c r="C12" s="119" t="n">
        <v>2</v>
      </c>
      <c r="D12" s="119" t="inlineStr">
        <is>
          <t>NÃO VENDA</t>
        </is>
      </c>
      <c r="E12" s="121" t="inlineStr">
        <is>
          <t>Rejeitou chamada</t>
        </is>
      </c>
    </row>
    <row r="13" ht="15" customHeight="1" s="117">
      <c r="A13" s="119" t="n">
        <v>12</v>
      </c>
      <c r="B13" s="120" t="inlineStr">
        <is>
          <t>PERDA / FECHOU LOJA</t>
        </is>
      </c>
      <c r="C13" s="119" t="n">
        <v>0</v>
      </c>
      <c r="D13" s="119" t="inlineStr">
        <is>
          <t>NÃO VENDA</t>
        </is>
      </c>
      <c r="E13" s="121" t="inlineStr">
        <is>
          <t>Cliente perdido</t>
        </is>
      </c>
    </row>
    <row r="16" ht="15" customHeight="1" s="117">
      <c r="A16" s="122" t="n"/>
    </row>
    <row r="17" ht="15" customHeight="1" s="117">
      <c r="A17" s="118" t="inlineStr">
        <is>
          <t>#</t>
        </is>
      </c>
      <c r="B17" s="118" t="inlineStr">
        <is>
          <t>TIPO DO CONTATO</t>
        </is>
      </c>
      <c r="C17" s="118" t="inlineStr">
        <is>
          <t>QUANDO USAR</t>
        </is>
      </c>
    </row>
    <row r="18" ht="15" customHeight="1" s="117">
      <c r="A18" s="119" t="n">
        <v>1</v>
      </c>
      <c r="B18" s="120" t="inlineStr">
        <is>
          <t>PROSPECÇÃO</t>
        </is>
      </c>
      <c r="C18" s="116" t="inlineStr">
        <is>
          <t>Primeiro contato com prospect/lead que nunca comprou</t>
        </is>
      </c>
    </row>
    <row r="19" ht="15" customHeight="1" s="117">
      <c r="A19" s="119" t="n">
        <v>2</v>
      </c>
      <c r="B19" s="120" t="inlineStr">
        <is>
          <t>NEGOCIAÇÃO</t>
        </is>
      </c>
      <c r="C19" s="116" t="inlineStr">
        <is>
          <t>Cliente demonstrou interesse, está em fase de proposta/orçamento</t>
        </is>
      </c>
    </row>
    <row r="20" ht="15" customHeight="1" s="117">
      <c r="A20" s="119" t="n">
        <v>3</v>
      </c>
      <c r="B20" s="120" t="inlineStr">
        <is>
          <t>FOLLOW UP</t>
        </is>
      </c>
      <c r="C20" s="116" t="inlineStr">
        <is>
          <t>Retomada de contato agendado (follow-up 7d ou 15d)</t>
        </is>
      </c>
    </row>
    <row r="21" ht="15" customHeight="1" s="117">
      <c r="A21" s="119" t="n">
        <v>4</v>
      </c>
      <c r="B21" s="120" t="inlineStr">
        <is>
          <t>ATEND. CLIENTES ATIVOS</t>
        </is>
      </c>
      <c r="C21" s="116" t="inlineStr">
        <is>
          <t>Manutenção de clientes ATIVOS (ciclo de recompra, pós-venda)</t>
        </is>
      </c>
    </row>
    <row r="22" ht="15" customHeight="1" s="117">
      <c r="A22" s="119" t="n">
        <v>5</v>
      </c>
      <c r="B22" s="120" t="inlineStr">
        <is>
          <t>ATEND. CLIENTES INATIVOS</t>
        </is>
      </c>
      <c r="C22" s="116" t="inlineStr">
        <is>
          <t>Reativação de INAT.REC ou INAT.ANT (não compra há 60+ dias)</t>
        </is>
      </c>
    </row>
    <row r="23" ht="15" customHeight="1" s="117">
      <c r="A23" s="119" t="n">
        <v>6</v>
      </c>
      <c r="B23" s="120" t="inlineStr">
        <is>
          <t>PÓS-VENDA / RELACIONAMENTO</t>
        </is>
      </c>
      <c r="C23" s="116" t="inlineStr">
        <is>
          <t>Contato de relacionamento após venda (satisfação, CS, suporte)</t>
        </is>
      </c>
    </row>
    <row r="24" ht="15" customHeight="1" s="117">
      <c r="A24" s="119" t="n">
        <v>7</v>
      </c>
      <c r="B24" s="120" t="inlineStr">
        <is>
          <t>PERDA / NUTRIÇÃO</t>
        </is>
      </c>
      <c r="C24" s="116" t="inlineStr">
        <is>
          <t>Cliente perdido ou em nutrição (fechou loja, sem interesse)</t>
        </is>
      </c>
    </row>
    <row r="26" ht="15" customHeight="1" s="117">
      <c r="A26" s="121" t="n"/>
    </row>
    <row r="27" ht="15" customHeight="1" s="117">
      <c r="A27" s="118" t="inlineStr">
        <is>
          <t>#</t>
        </is>
      </c>
      <c r="B27" s="118" t="inlineStr">
        <is>
          <t>MOTIVO</t>
        </is>
      </c>
      <c r="C27" s="118" t="inlineStr">
        <is>
          <t>DONO DA AÇÃO</t>
        </is>
      </c>
    </row>
    <row r="28" ht="15" customHeight="1" s="117">
      <c r="A28" s="119" t="n">
        <v>1</v>
      </c>
      <c r="B28" s="120" t="inlineStr">
        <is>
          <t>AINDA TEM ESTOQUE</t>
        </is>
      </c>
      <c r="C28" s="121" t="inlineStr">
        <is>
          <t>Normal</t>
        </is>
      </c>
    </row>
    <row r="29" ht="15" customHeight="1" s="117">
      <c r="A29" s="119" t="n">
        <v>2</v>
      </c>
      <c r="B29" s="120" t="inlineStr">
        <is>
          <t>PRODUTO NÃO VENDEU / SEM GIRO</t>
        </is>
      </c>
      <c r="C29" s="121" t="inlineStr">
        <is>
          <t>DIRETORIA / FÁBRICA</t>
        </is>
      </c>
    </row>
    <row r="30" ht="15" customHeight="1" s="117">
      <c r="A30" s="119" t="n">
        <v>3</v>
      </c>
      <c r="B30" s="120" t="inlineStr">
        <is>
          <t>LOJA ANEXO/PROXIMO - SM</t>
        </is>
      </c>
      <c r="C30" s="121" t="inlineStr">
        <is>
          <t>COMERCIAL</t>
        </is>
      </c>
    </row>
    <row r="31" ht="15" customHeight="1" s="117">
      <c r="A31" s="119" t="n">
        <v>4</v>
      </c>
      <c r="B31" s="120" t="inlineStr">
        <is>
          <t>SÓ QUER COMPRAR GRANEL</t>
        </is>
      </c>
      <c r="C31" s="121" t="inlineStr">
        <is>
          <t>COMERCIAL / MKT</t>
        </is>
      </c>
    </row>
    <row r="32" ht="15" customHeight="1" s="117">
      <c r="A32" s="119" t="n">
        <v>5</v>
      </c>
      <c r="B32" s="120" t="inlineStr">
        <is>
          <t>PROBLEMA LOGÍSTICO / ENTREGA</t>
        </is>
      </c>
      <c r="C32" s="121" t="inlineStr">
        <is>
          <t>LOGÍSTICA</t>
        </is>
      </c>
    </row>
    <row r="33" ht="15" customHeight="1" s="117">
      <c r="A33" s="119" t="n">
        <v>6</v>
      </c>
      <c r="B33" s="120" t="inlineStr">
        <is>
          <t>PROBLEMA FINANCEIRO / CRÉDITO</t>
        </is>
      </c>
      <c r="C33" s="121" t="inlineStr">
        <is>
          <t>FINANCEIRO</t>
        </is>
      </c>
    </row>
    <row r="34" ht="15" customHeight="1" s="117">
      <c r="A34" s="119" t="n">
        <v>7</v>
      </c>
      <c r="B34" s="120" t="inlineStr">
        <is>
          <t>PROPRIETARIO / INDISPONÍVEL</t>
        </is>
      </c>
      <c r="C34" s="121" t="inlineStr">
        <is>
          <t>Normal</t>
        </is>
      </c>
    </row>
    <row r="35" ht="15" customHeight="1" s="117">
      <c r="A35" s="119" t="n">
        <v>8</v>
      </c>
      <c r="B35" s="120" t="inlineStr">
        <is>
          <t>FECHANDO / FECHOU LOJA</t>
        </is>
      </c>
      <c r="C35" s="121" t="inlineStr">
        <is>
          <t>PERDA</t>
        </is>
      </c>
    </row>
    <row r="36" ht="15" customHeight="1" s="117">
      <c r="A36" s="119" t="n">
        <v>9</v>
      </c>
      <c r="B36" s="120" t="inlineStr">
        <is>
          <t>SEM INTERESSE NO MOMENTO</t>
        </is>
      </c>
      <c r="C36" s="121" t="inlineStr">
        <is>
          <t>NUTRIÇÃO</t>
        </is>
      </c>
    </row>
    <row r="37" ht="15" customHeight="1" s="117">
      <c r="A37" s="119" t="n">
        <v>10</v>
      </c>
      <c r="B37" s="120" t="inlineStr">
        <is>
          <t>PRIMEIRO CONTATO / SEM RESPOSTA</t>
        </is>
      </c>
      <c r="C37" s="121" t="inlineStr">
        <is>
          <t>Normal</t>
        </is>
      </c>
    </row>
    <row r="39" ht="15" customHeight="1" s="117">
      <c r="A39" s="121" t="n"/>
    </row>
    <row r="40" ht="15" customHeight="1" s="117">
      <c r="A40" s="118" t="inlineStr">
        <is>
          <t>DIAS</t>
        </is>
      </c>
      <c r="B40" s="118" t="inlineStr">
        <is>
          <t>SITUAÇÃO</t>
        </is>
      </c>
      <c r="C40" s="118" t="inlineStr">
        <is>
          <t>COR HEX</t>
        </is>
      </c>
    </row>
    <row r="41" ht="15" customHeight="1" s="117">
      <c r="A41" s="119" t="inlineStr">
        <is>
          <t>≤ 50</t>
        </is>
      </c>
      <c r="B41" s="123" t="inlineStr">
        <is>
          <t>ATIVO</t>
        </is>
      </c>
      <c r="C41" s="121" t="inlineStr">
        <is>
          <t>#00B050</t>
        </is>
      </c>
    </row>
    <row r="42" ht="15" customHeight="1" s="117">
      <c r="A42" s="119" t="inlineStr">
        <is>
          <t>51-60</t>
        </is>
      </c>
      <c r="B42" s="124" t="inlineStr">
        <is>
          <t>EM RISCO</t>
        </is>
      </c>
      <c r="C42" s="121" t="inlineStr">
        <is>
          <t>#FFC000</t>
        </is>
      </c>
    </row>
    <row r="43" ht="15" customHeight="1" s="117">
      <c r="A43" s="119" t="inlineStr">
        <is>
          <t>61-90</t>
        </is>
      </c>
      <c r="B43" s="124" t="inlineStr">
        <is>
          <t>INAT.REC</t>
        </is>
      </c>
      <c r="C43" s="121" t="inlineStr">
        <is>
          <t>#FFC000</t>
        </is>
      </c>
    </row>
    <row r="44" ht="15" customHeight="1" s="117">
      <c r="A44" s="119" t="inlineStr">
        <is>
          <t>&gt; 90</t>
        </is>
      </c>
      <c r="B44" s="125" t="inlineStr">
        <is>
          <t>INAT.ANT</t>
        </is>
      </c>
      <c r="C44" s="121" t="inlineStr">
        <is>
          <t>#FF0000</t>
        </is>
      </c>
    </row>
    <row r="45" ht="15" customHeight="1" s="117">
      <c r="A45" s="119" t="inlineStr">
        <is>
          <t>Nunca comprou + cadastro</t>
        </is>
      </c>
      <c r="B45" s="126" t="inlineStr">
        <is>
          <t>NOVO</t>
        </is>
      </c>
      <c r="C45" s="121" t="inlineStr">
        <is>
          <t>#0070C0</t>
        </is>
      </c>
    </row>
    <row r="46" ht="15" customHeight="1" s="117">
      <c r="A46" s="119" t="inlineStr">
        <is>
          <t>Nunca comprou</t>
        </is>
      </c>
      <c r="B46" s="127" t="inlineStr">
        <is>
          <t>PROSPECT</t>
        </is>
      </c>
      <c r="C46" s="121" t="inlineStr">
        <is>
          <t>#7B2FF2</t>
        </is>
      </c>
    </row>
    <row r="47" ht="15" customHeight="1" s="117">
      <c r="A47" s="119" t="inlineStr">
        <is>
          <t>Manual (Daiane)</t>
        </is>
      </c>
      <c r="B47" s="127" t="inlineStr">
        <is>
          <t>LEAD</t>
        </is>
      </c>
      <c r="C47" s="121" t="inlineStr">
        <is>
          <t>#7B2FF2</t>
        </is>
      </c>
    </row>
    <row r="49" ht="15" customHeight="1" s="117">
      <c r="A49" s="121" t="n"/>
    </row>
    <row r="50" ht="15" customHeight="1" s="117">
      <c r="A50" s="118" t="inlineStr">
        <is>
          <t>#</t>
        </is>
      </c>
      <c r="B50" s="118" t="inlineStr">
        <is>
          <t>FASE</t>
        </is>
      </c>
      <c r="C50" s="118" t="inlineStr">
        <is>
          <t>DESCRIÇÃO</t>
        </is>
      </c>
    </row>
    <row r="51" ht="15" customHeight="1" s="117">
      <c r="A51" s="119" t="n">
        <v>1</v>
      </c>
      <c r="B51" s="120" t="inlineStr">
        <is>
          <t>PÓS-VENDA</t>
        </is>
      </c>
    </row>
    <row r="52" ht="15" customHeight="1" s="117">
      <c r="A52" s="119" t="n">
        <v>2</v>
      </c>
      <c r="B52" s="120" t="inlineStr">
        <is>
          <t>CS</t>
        </is>
      </c>
    </row>
    <row r="53" ht="15" customHeight="1" s="117">
      <c r="A53" s="119" t="n">
        <v>3</v>
      </c>
      <c r="B53" s="120" t="inlineStr">
        <is>
          <t>RECOMPRA</t>
        </is>
      </c>
    </row>
    <row r="54" ht="15" customHeight="1" s="117">
      <c r="A54" s="119" t="n">
        <v>4</v>
      </c>
      <c r="B54" s="120" t="inlineStr">
        <is>
          <t>SALVAMENTO</t>
        </is>
      </c>
    </row>
    <row r="55" ht="15" customHeight="1" s="117">
      <c r="A55" s="119" t="n">
        <v>5</v>
      </c>
      <c r="B55" s="120" t="inlineStr">
        <is>
          <t>RECUPERAÇÃO</t>
        </is>
      </c>
    </row>
    <row r="56" ht="15" customHeight="1" s="117">
      <c r="A56" s="119" t="n">
        <v>6</v>
      </c>
      <c r="B56" s="120" t="inlineStr">
        <is>
          <t>PROSPECÇÃO</t>
        </is>
      </c>
    </row>
    <row r="57" ht="15" customHeight="1" s="117">
      <c r="A57" s="119" t="n">
        <v>7</v>
      </c>
      <c r="B57" s="120" t="inlineStr">
        <is>
          <t>NUTRIÇÃO</t>
        </is>
      </c>
    </row>
    <row r="58" ht="15" customHeight="1" s="117">
      <c r="A58" s="119" t="n">
        <v>8</v>
      </c>
      <c r="B58" s="120" t="inlineStr">
        <is>
          <t>EM ATENDIMENTO</t>
        </is>
      </c>
    </row>
    <row r="59" ht="15" customHeight="1" s="117">
      <c r="A59" s="119" t="n">
        <v>9</v>
      </c>
      <c r="B59" s="120" t="inlineStr">
        <is>
          <t>ORÇAMENTO</t>
        </is>
      </c>
    </row>
    <row r="61" ht="15" customHeight="1" s="117">
      <c r="A61" s="121" t="n"/>
    </row>
    <row r="62" ht="15" customHeight="1" s="117">
      <c r="A62" s="118" t="inlineStr">
        <is>
          <t>#</t>
        </is>
      </c>
      <c r="B62" s="118" t="inlineStr">
        <is>
          <t>TENTATIVA</t>
        </is>
      </c>
      <c r="C62" s="118" t="inlineStr">
        <is>
          <t>CANAL</t>
        </is>
      </c>
      <c r="D62" s="118" t="inlineStr">
        <is>
          <t>INTERVALO</t>
        </is>
      </c>
    </row>
    <row r="63" ht="15" customHeight="1" s="117">
      <c r="A63" s="119" t="n">
        <v>1</v>
      </c>
      <c r="B63" s="120" t="inlineStr">
        <is>
          <t>T1</t>
        </is>
      </c>
      <c r="C63" s="121" t="inlineStr">
        <is>
          <t>WhatsApp</t>
        </is>
      </c>
      <c r="D63" s="121" t="inlineStr">
        <is>
          <t>Dia 0</t>
        </is>
      </c>
    </row>
    <row r="64" ht="15" customHeight="1" s="117">
      <c r="A64" s="119" t="n">
        <v>2</v>
      </c>
      <c r="B64" s="120" t="inlineStr">
        <is>
          <t>T2</t>
        </is>
      </c>
      <c r="C64" s="121" t="inlineStr">
        <is>
          <t>Ligação</t>
        </is>
      </c>
      <c r="D64" s="121" t="inlineStr">
        <is>
          <t>+1 dia</t>
        </is>
      </c>
    </row>
    <row r="65" ht="15" customHeight="1" s="117">
      <c r="A65" s="119" t="n">
        <v>3</v>
      </c>
      <c r="B65" s="120" t="inlineStr">
        <is>
          <t>T3</t>
        </is>
      </c>
      <c r="C65" s="121" t="inlineStr">
        <is>
          <t>WhatsApp</t>
        </is>
      </c>
      <c r="D65" s="121" t="inlineStr">
        <is>
          <t>+2 dias</t>
        </is>
      </c>
    </row>
    <row r="66" ht="15" customHeight="1" s="117">
      <c r="A66" s="119" t="n">
        <v>4</v>
      </c>
      <c r="B66" s="120" t="inlineStr">
        <is>
          <t>T4</t>
        </is>
      </c>
      <c r="C66" s="121" t="inlineStr">
        <is>
          <t>Ligação final</t>
        </is>
      </c>
      <c r="D66" s="121" t="inlineStr">
        <is>
          <t>+2 dias</t>
        </is>
      </c>
    </row>
    <row r="67" ht="15" customHeight="1" s="117">
      <c r="A67" s="119" t="n">
        <v>5</v>
      </c>
      <c r="B67" s="120" t="inlineStr">
        <is>
          <t>NUTRIÇÃO</t>
        </is>
      </c>
      <c r="C67" s="121" t="inlineStr">
        <is>
          <t>Email+WhatsApp</t>
        </is>
      </c>
      <c r="D67" s="121" t="inlineStr">
        <is>
          <t>Ciclo 15d</t>
        </is>
      </c>
    </row>
    <row r="68" ht="15" customHeight="1" s="117">
      <c r="A68" s="119" t="n">
        <v>6</v>
      </c>
      <c r="B68" s="120" t="inlineStr">
        <is>
          <t>RESET</t>
        </is>
      </c>
      <c r="C68" s="121" t="inlineStr">
        <is>
          <t>Qualquer</t>
        </is>
      </c>
      <c r="D68" s="121" t="inlineStr">
        <is>
          <t>Quando responde</t>
        </is>
      </c>
    </row>
    <row r="70" ht="15" customHeight="1" s="117">
      <c r="A70" s="121" t="n"/>
    </row>
    <row r="71" ht="15" customHeight="1" s="117">
      <c r="A71" s="118" t="inlineStr">
        <is>
          <t>SINALEIRO</t>
        </is>
      </c>
      <c r="B71" s="118" t="inlineStr">
        <is>
          <t>CONDIÇÃO</t>
        </is>
      </c>
    </row>
    <row r="72" ht="17.25" customHeight="1" s="117">
      <c r="A72" s="128" t="inlineStr">
        <is>
          <t>🟢</t>
        </is>
      </c>
      <c r="B72" s="121" t="inlineStr">
        <is>
          <t>Dias ≤ Ciclo Médio</t>
        </is>
      </c>
    </row>
    <row r="73" ht="17.25" customHeight="1" s="117">
      <c r="A73" s="128" t="inlineStr">
        <is>
          <t>🟡</t>
        </is>
      </c>
      <c r="B73" s="121" t="inlineStr">
        <is>
          <t>Dias ≤ Ciclo+30</t>
        </is>
      </c>
    </row>
    <row r="74" ht="17.25" customHeight="1" s="117">
      <c r="A74" s="128" t="inlineStr">
        <is>
          <t>🔴</t>
        </is>
      </c>
      <c r="B74" s="121" t="inlineStr">
        <is>
          <t>Dias &gt; Ciclo+30</t>
        </is>
      </c>
    </row>
    <row r="75" ht="17.25" customHeight="1" s="117">
      <c r="A75" s="128" t="inlineStr">
        <is>
          <t>🟣</t>
        </is>
      </c>
      <c r="B75" s="121" t="inlineStr">
        <is>
          <t>Nunca comprou</t>
        </is>
      </c>
    </row>
    <row r="77" ht="15" customHeight="1" s="117">
      <c r="A77" s="121" t="n"/>
    </row>
    <row r="78" ht="15" customHeight="1" s="117">
      <c r="A78" s="118" t="inlineStr">
        <is>
          <t>#</t>
        </is>
      </c>
      <c r="B78" s="118" t="inlineStr">
        <is>
          <t>TIPO CLIENTE</t>
        </is>
      </c>
      <c r="C78" s="118" t="inlineStr">
        <is>
          <t>CRITÉRIO</t>
        </is>
      </c>
    </row>
    <row r="79" ht="15" customHeight="1" s="117">
      <c r="A79" s="119" t="n">
        <v>1</v>
      </c>
      <c r="B79" s="120" t="inlineStr">
        <is>
          <t>NOVO</t>
        </is>
      </c>
      <c r="C79" s="121" t="inlineStr">
        <is>
          <t>1ª compra</t>
        </is>
      </c>
    </row>
    <row r="80" ht="15" customHeight="1" s="117">
      <c r="A80" s="119" t="n">
        <v>2</v>
      </c>
      <c r="B80" s="120" t="inlineStr">
        <is>
          <t>EM DESENVOLVIMENTO</t>
        </is>
      </c>
      <c r="C80" s="121" t="inlineStr">
        <is>
          <t>2-3 compras</t>
        </is>
      </c>
    </row>
    <row r="81" ht="15" customHeight="1" s="117">
      <c r="A81" s="119" t="n">
        <v>3</v>
      </c>
      <c r="B81" s="120" t="inlineStr">
        <is>
          <t>RECORRENTE</t>
        </is>
      </c>
      <c r="C81" s="121" t="inlineStr">
        <is>
          <t>4+ compras 3+ meses</t>
        </is>
      </c>
    </row>
    <row r="82" ht="15" customHeight="1" s="117">
      <c r="A82" s="119" t="n">
        <v>4</v>
      </c>
      <c r="B82" s="120" t="inlineStr">
        <is>
          <t>FIDELIZADO</t>
        </is>
      </c>
      <c r="C82" s="121" t="inlineStr">
        <is>
          <t>6+ compras 6+ meses</t>
        </is>
      </c>
    </row>
    <row r="83" ht="15" customHeight="1" s="117">
      <c r="A83" s="119" t="n">
        <v>5</v>
      </c>
      <c r="B83" s="120" t="inlineStr">
        <is>
          <t>PROSPECT</t>
        </is>
      </c>
      <c r="C83" s="121" t="inlineStr">
        <is>
          <t>Nunca comprou</t>
        </is>
      </c>
    </row>
    <row r="84" ht="15" customHeight="1" s="117">
      <c r="A84" s="119" t="n">
        <v>6</v>
      </c>
      <c r="B84" s="120" t="inlineStr">
        <is>
          <t>LEAD</t>
        </is>
      </c>
      <c r="C84" s="121" t="inlineStr">
        <is>
          <t>Manual Daiane</t>
        </is>
      </c>
    </row>
    <row r="86" ht="15" customHeight="1" s="117">
      <c r="A86" s="121" t="n"/>
    </row>
    <row r="87" ht="15" customHeight="1" s="117">
      <c r="A87" s="118" t="inlineStr">
        <is>
          <t>CONSULTOR</t>
        </is>
      </c>
      <c r="B87" s="118" t="inlineStr">
        <is>
          <t>TERRITÓRIO</t>
        </is>
      </c>
    </row>
    <row r="88" ht="15" customHeight="1" s="117">
      <c r="A88" s="120" t="inlineStr">
        <is>
          <t>MANU DITZEL</t>
        </is>
      </c>
      <c r="B88" s="121" t="inlineStr">
        <is>
          <t>SC/PR/RS</t>
        </is>
      </c>
    </row>
    <row r="89" ht="15" customHeight="1" s="117">
      <c r="A89" s="120" t="inlineStr">
        <is>
          <t>LARISSA PADILHA</t>
        </is>
      </c>
      <c r="B89" s="121" t="inlineStr">
        <is>
          <t>Resto do Brasil</t>
        </is>
      </c>
    </row>
    <row r="90" ht="15" customHeight="1" s="117">
      <c r="A90" s="120" t="inlineStr">
        <is>
          <t>JULIO GADRET</t>
        </is>
      </c>
      <c r="B90" s="121" t="inlineStr">
        <is>
          <t>CIA DA SAUDE / FITLAND</t>
        </is>
      </c>
    </row>
    <row r="91" ht="15" customHeight="1" s="117">
      <c r="A91" s="120" t="inlineStr">
        <is>
          <t>DAIANE STAVICKI</t>
        </is>
      </c>
      <c r="B91" s="121" t="inlineStr">
        <is>
          <t>Redes de Franquia</t>
        </is>
      </c>
    </row>
    <row r="93" ht="15" customHeight="1" s="117">
      <c r="A93" s="121" t="n"/>
    </row>
    <row r="94" ht="15" customHeight="1" s="117">
      <c r="A94" s="118" t="inlineStr">
        <is>
          <t>LISTA</t>
        </is>
      </c>
      <c r="B94" s="118" t="inlineStr">
        <is>
          <t>VALORES</t>
        </is>
      </c>
    </row>
    <row r="95" ht="15" customHeight="1" s="117">
      <c r="A95" s="120" t="inlineStr">
        <is>
          <t>SIM_NAO</t>
        </is>
      </c>
      <c r="B95" s="121" t="inlineStr">
        <is>
          <t>SIM</t>
        </is>
      </c>
    </row>
    <row r="96" ht="15" customHeight="1" s="117">
      <c r="B96" s="121" t="inlineStr">
        <is>
          <t>NÃO</t>
        </is>
      </c>
    </row>
    <row r="97" ht="15" customHeight="1" s="117">
      <c r="A97" s="120" t="inlineStr">
        <is>
          <t>SIM_NAO_NA</t>
        </is>
      </c>
      <c r="B97" s="121" t="inlineStr">
        <is>
          <t>SIM</t>
        </is>
      </c>
    </row>
    <row r="98" ht="15" customHeight="1" s="117">
      <c r="B98" s="121" t="inlineStr">
        <is>
          <t>NÃO</t>
        </is>
      </c>
    </row>
    <row r="99" ht="15" customHeight="1" s="117">
      <c r="B99" s="121" t="inlineStr">
        <is>
          <t>N/A</t>
        </is>
      </c>
    </row>
    <row r="100" ht="15" customHeight="1" s="117">
      <c r="A100" s="120" t="inlineStr">
        <is>
          <t>ATIVO_RECEPTIVO</t>
        </is>
      </c>
      <c r="B100" s="121" t="inlineStr">
        <is>
          <t>ATIVO</t>
        </is>
      </c>
    </row>
    <row r="101" ht="15" customHeight="1" s="117">
      <c r="B101" s="121" t="inlineStr">
        <is>
          <t>RECEPTIVO</t>
        </is>
      </c>
    </row>
    <row r="102" ht="15" customHeight="1" s="117">
      <c r="A102" s="120" t="inlineStr">
        <is>
          <t>CURVA_ABC</t>
        </is>
      </c>
      <c r="B102" s="121" t="inlineStr">
        <is>
          <t>A</t>
        </is>
      </c>
    </row>
    <row r="103" ht="15" customHeight="1" s="117">
      <c r="B103" s="121" t="inlineStr">
        <is>
          <t>B</t>
        </is>
      </c>
    </row>
    <row r="104" ht="15" customHeight="1" s="117">
      <c r="B104" s="121" t="inlineStr">
        <is>
          <t>C</t>
        </is>
      </c>
    </row>
    <row r="105" ht="15" customHeight="1" s="117">
      <c r="A105" s="120" t="inlineStr">
        <is>
          <t>TIPO_CLIENTE</t>
        </is>
      </c>
      <c r="B105" s="121" t="inlineStr">
        <is>
          <t>NOVO</t>
        </is>
      </c>
    </row>
    <row r="106" ht="15" customHeight="1" s="117">
      <c r="B106" s="121" t="inlineStr">
        <is>
          <t>EM DESENVOLVIMENTO</t>
        </is>
      </c>
    </row>
    <row r="107" ht="15" customHeight="1" s="117">
      <c r="B107" s="121" t="inlineStr">
        <is>
          <t>RECORRENTE</t>
        </is>
      </c>
    </row>
    <row r="108" ht="15" customHeight="1" s="117">
      <c r="B108" s="121" t="inlineStr">
        <is>
          <t>FIDELIZADO</t>
        </is>
      </c>
    </row>
    <row r="109" ht="15" customHeight="1" s="117">
      <c r="B109" s="121" t="inlineStr">
        <is>
          <t>PROSPECT</t>
        </is>
      </c>
    </row>
    <row r="110" ht="15" customHeight="1" s="117">
      <c r="B110" s="121" t="inlineStr">
        <is>
          <t>LEAD</t>
        </is>
      </c>
    </row>
    <row r="111" ht="15" customHeight="1" s="117">
      <c r="A111" s="120" t="inlineStr">
        <is>
          <t>GRUPO_DASH</t>
        </is>
      </c>
      <c r="B111" s="121" t="inlineStr">
        <is>
          <t>FUNIL</t>
        </is>
      </c>
    </row>
    <row r="112" ht="15" customHeight="1" s="117">
      <c r="B112" s="121" t="inlineStr">
        <is>
          <t>RELAC.</t>
        </is>
      </c>
    </row>
    <row r="113" ht="15" customHeight="1" s="117">
      <c r="B113" s="121" t="inlineStr">
        <is>
          <t>NÃO VENDA</t>
        </is>
      </c>
    </row>
    <row r="114" ht="15" customHeight="1" s="117">
      <c r="A114" s="120" t="inlineStr">
        <is>
          <t>ACAO_FUTURA</t>
        </is>
      </c>
      <c r="B114" s="121" t="inlineStr">
        <is>
          <t>RECOMPRA</t>
        </is>
      </c>
    </row>
    <row r="115" ht="15" customHeight="1" s="117">
      <c r="B115" s="121" t="inlineStr">
        <is>
          <t>PÓS-VENDA</t>
        </is>
      </c>
    </row>
    <row r="116" ht="15" customHeight="1" s="117">
      <c r="B116" s="121" t="inlineStr">
        <is>
          <t>CS</t>
        </is>
      </c>
    </row>
    <row r="117" ht="15" customHeight="1" s="117">
      <c r="B117" s="121" t="inlineStr">
        <is>
          <t>REATIVAÇÃO</t>
        </is>
      </c>
    </row>
    <row r="118" ht="15" customHeight="1" s="117">
      <c r="B118" s="121" t="inlineStr">
        <is>
          <t>PROSPECÇÃO</t>
        </is>
      </c>
    </row>
    <row r="119" ht="15" customHeight="1" s="117">
      <c r="B119" s="121" t="inlineStr">
        <is>
          <t>NUTRIÇÃO</t>
        </is>
      </c>
    </row>
    <row r="120" ht="15" customHeight="1" s="117">
      <c r="B120" s="121" t="inlineStr">
        <is>
          <t>SALVAMENTO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B050"/>
    <outlinePr summaryRight="0"/>
    <pageSetUpPr fitToPage="0"/>
  </sheetPr>
  <dimension ref="A1:IW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16" min="1" max="1"/>
    <col hidden="1" outlineLevel="1" width="18" customWidth="1" style="116" min="2" max="2"/>
    <col hidden="1" outlineLevel="2" width="20" customWidth="1" style="116" min="3" max="3"/>
    <col hidden="1" outlineLevel="2" width="5" customWidth="1" style="116" min="4" max="4"/>
    <col hidden="1" outlineLevel="2" width="14" customWidth="1" style="116" min="5" max="5"/>
    <col hidden="1" outlineLevel="2" width="20" customWidth="1" style="116" min="6" max="6"/>
    <col hidden="1" outlineLevel="2" width="14" customWidth="1" style="116" min="7" max="7"/>
    <col hidden="1" outlineLevel="2" width="12" customWidth="1" style="116" min="8" max="8"/>
    <col hidden="1" outlineLevel="1" width="16" customWidth="1" style="116" min="9" max="9"/>
    <col hidden="1" outlineLevel="2" width="10" customWidth="1" style="116" min="10" max="10"/>
    <col hidden="1" outlineLevel="2" width="28" customWidth="1" style="116" min="11" max="11"/>
    <col hidden="1" outlineLevel="1" width="16" customWidth="1" style="116" min="12" max="12"/>
    <col hidden="1" outlineLevel="2" width="18" customWidth="1" style="116" min="13" max="13"/>
    <col hidden="1" outlineLevel="1" width="12" customWidth="1" style="116" min="14" max="14"/>
    <col hidden="1" outlineLevel="2" width="10" customWidth="1" style="116" min="15" max="15"/>
    <col hidden="1" outlineLevel="1" width="10" customWidth="1" style="116" min="16" max="16"/>
    <col hidden="1" outlineLevel="2" width="14" customWidth="1" style="116" min="17" max="18"/>
    <col hidden="1" outlineLevel="2" width="13" customWidth="1" style="117" min="18" max="18"/>
    <col hidden="1" outlineLevel="1" width="12" customWidth="1" style="116" min="19" max="19"/>
    <col hidden="1" outlineLevel="2" width="10" customWidth="1" style="116" min="20" max="20"/>
    <col hidden="1" outlineLevel="2" width="12" customWidth="1" style="116" min="21" max="23"/>
    <col hidden="1" outlineLevel="2" width="13" customWidth="1" style="117" min="22" max="22"/>
    <col hidden="1" outlineLevel="2" width="13" customWidth="1" style="117" min="23" max="23"/>
    <col hidden="1" outlineLevel="2" width="14" customWidth="1" style="116" min="24" max="24"/>
    <col hidden="1" outlineLevel="1" width="12" customWidth="1" style="116" min="25" max="25"/>
    <col hidden="1" outlineLevel="2" width="9" customWidth="1" style="116" min="26" max="36"/>
    <col hidden="1" outlineLevel="2" width="13" customWidth="1" style="117" min="27" max="27"/>
    <col hidden="1" outlineLevel="2" width="13" customWidth="1" style="117" min="28" max="28"/>
    <col hidden="1" outlineLevel="2" width="13" customWidth="1" style="117" min="29" max="29"/>
    <col hidden="1" outlineLevel="2" width="13" customWidth="1" style="117" min="30" max="30"/>
    <col hidden="1" outlineLevel="2" width="13" customWidth="1" style="117" min="31" max="31"/>
    <col hidden="1" outlineLevel="2" width="13" customWidth="1" style="117" min="32" max="32"/>
    <col hidden="1" outlineLevel="2" width="13" customWidth="1" style="117" min="33" max="33"/>
    <col hidden="1" outlineLevel="2" width="13" customWidth="1" style="117" min="34" max="34"/>
    <col hidden="1" outlineLevel="2" width="13" customWidth="1" style="117" min="35" max="35"/>
    <col hidden="1" outlineLevel="2" width="13" customWidth="1" style="117" min="36" max="36"/>
    <col hidden="1" outlineLevel="1" width="10" customWidth="1" style="116" min="37" max="37"/>
    <col hidden="1" outlineLevel="2" width="10" customWidth="1" style="116" min="38" max="38"/>
    <col hidden="1" outlineLevel="2" width="8" customWidth="1" style="116" min="39" max="39"/>
    <col hidden="1" outlineLevel="2" width="12" customWidth="1" style="116" min="40" max="42"/>
    <col hidden="1" outlineLevel="2" width="13" customWidth="1" style="117" min="41" max="41"/>
    <col hidden="1" outlineLevel="2" width="13" customWidth="1" style="117" min="42" max="42"/>
    <col hidden="1" outlineLevel="2" width="16" customWidth="1" style="116" min="43" max="43"/>
    <col width="16" customWidth="1" style="116" min="44" max="44"/>
    <col hidden="1" outlineLevel="1" width="14" customWidth="1" style="116" min="45" max="46"/>
    <col hidden="1" outlineLevel="2" width="13" customWidth="1" style="117" min="46" max="46"/>
    <col hidden="1" outlineLevel="2" width="16" customWidth="1" style="116" min="47" max="47"/>
    <col hidden="1" outlineLevel="2" width="20" customWidth="1" style="116" min="48" max="48"/>
    <col hidden="1" outlineLevel="1" width="14" customWidth="1" style="116" min="49" max="49"/>
    <col hidden="1" outlineLevel="2" width="10" customWidth="1" style="116" min="50" max="50"/>
    <col hidden="1" outlineLevel="1" width="14" customWidth="1" style="116" min="51" max="51"/>
    <col hidden="1" outlineLevel="2" width="14" customWidth="1" style="116" min="52" max="52"/>
    <col hidden="1" outlineLevel="1" width="10" customWidth="1" style="116" min="53" max="53"/>
    <col hidden="1" outlineLevel="2" width="12" customWidth="1" style="116" min="54" max="54"/>
    <col hidden="1" outlineLevel="2" width="14" customWidth="1" style="116" min="55" max="57"/>
    <col hidden="1" outlineLevel="2" width="13" customWidth="1" style="117" min="56" max="56"/>
    <col hidden="1" outlineLevel="2" width="13" customWidth="1" style="117" min="57" max="57"/>
    <col hidden="1" outlineLevel="2" width="12" customWidth="1" style="116" min="58" max="58"/>
    <col hidden="1" outlineLevel="1" width="20" customWidth="1" style="116" min="59" max="59"/>
    <col hidden="1" outlineLevel="2" width="22" customWidth="1" style="116" min="60" max="60"/>
    <col hidden="1" outlineLevel="1" width="8" customWidth="1" style="116" min="61" max="61"/>
    <col width="16" customWidth="1" style="116" min="62" max="62"/>
    <col hidden="1" outlineLevel="1" width="20" customWidth="1" style="116" min="63" max="64"/>
    <col hidden="1" outlineLevel="1" width="13" customWidth="1" style="117" min="64" max="64"/>
    <col hidden="1" outlineLevel="1" width="18" customWidth="1" style="116" min="65" max="66"/>
    <col hidden="1" outlineLevel="1" width="13" customWidth="1" style="117" min="66" max="66"/>
    <col hidden="1" outlineLevel="1" width="16" customWidth="1" style="116" min="67" max="70"/>
    <col hidden="1" outlineLevel="1" width="13" customWidth="1" style="117" min="68" max="68"/>
    <col hidden="1" outlineLevel="1" width="13" customWidth="1" style="117" min="69" max="69"/>
    <col hidden="1" outlineLevel="1" width="13" customWidth="1" style="117" min="70" max="70"/>
    <col hidden="1" outlineLevel="1" width="18" customWidth="1" style="116" min="71" max="71"/>
    <col hidden="1" outlineLevel="1" width="10" customWidth="1" style="116" min="72" max="72"/>
    <col width="9" customWidth="1" style="116" min="73" max="73"/>
    <col hidden="1" outlineLevel="1" width="7" customWidth="1" style="116" min="74" max="74"/>
    <col hidden="1" outlineLevel="2" width="6" customWidth="1" style="116" min="75" max="75"/>
    <col hidden="1" outlineLevel="3" width="12" customWidth="1" style="116" min="76" max="77"/>
    <col hidden="1" outlineLevel="3" width="13" customWidth="1" style="117" min="77" max="77"/>
    <col hidden="1" outlineLevel="2" width="6" customWidth="1" style="116" min="78" max="78"/>
    <col hidden="1" outlineLevel="3" width="12" customWidth="1" style="116" min="79" max="80"/>
    <col hidden="1" outlineLevel="3" width="13" customWidth="1" style="117" min="80" max="80"/>
    <col hidden="1" outlineLevel="2" width="6" customWidth="1" style="116" min="81" max="81"/>
    <col hidden="1" outlineLevel="3" width="12" customWidth="1" style="116" min="82" max="83"/>
    <col hidden="1" outlineLevel="3" width="13" customWidth="1" style="117" min="83" max="83"/>
    <col hidden="1" outlineLevel="3" width="11" customWidth="1" style="116" min="84" max="84"/>
    <col hidden="1" outlineLevel="3" width="18" customWidth="1" style="116" min="85" max="88"/>
    <col hidden="1" outlineLevel="3" width="13" customWidth="1" style="117" min="86" max="86"/>
    <col hidden="1" outlineLevel="3" width="13" customWidth="1" style="117" min="87" max="87"/>
    <col hidden="1" outlineLevel="3" width="13" customWidth="1" style="117" min="88" max="88"/>
    <col hidden="1" outlineLevel="3" width="20" customWidth="1" style="116" min="89" max="89"/>
    <col hidden="1" outlineLevel="2" width="6" customWidth="1" style="116" min="90" max="90"/>
    <col hidden="1" outlineLevel="3" width="12" customWidth="1" style="116" min="91" max="92"/>
    <col hidden="1" outlineLevel="3" width="13" customWidth="1" style="117" min="92" max="92"/>
    <col hidden="1" outlineLevel="2" width="6" customWidth="1" style="116" min="93" max="93"/>
    <col hidden="1" outlineLevel="3" width="12" customWidth="1" style="116" min="94" max="95"/>
    <col hidden="1" outlineLevel="3" width="13" customWidth="1" style="117" min="95" max="95"/>
    <col hidden="1" outlineLevel="2" width="6" customWidth="1" style="116" min="96" max="96"/>
    <col hidden="1" outlineLevel="3" width="12" customWidth="1" style="116" min="97" max="98"/>
    <col hidden="1" outlineLevel="3" width="13" customWidth="1" style="117" min="98" max="98"/>
    <col hidden="1" outlineLevel="3" width="11" customWidth="1" style="116" min="99" max="99"/>
    <col hidden="1" outlineLevel="3" width="18" customWidth="1" style="116" min="100" max="103"/>
    <col hidden="1" outlineLevel="3" width="13" customWidth="1" style="117" min="101" max="101"/>
    <col hidden="1" outlineLevel="3" width="13" customWidth="1" style="117" min="102" max="102"/>
    <col hidden="1" outlineLevel="3" width="13" customWidth="1" style="117" min="103" max="103"/>
    <col hidden="1" outlineLevel="3" width="20" customWidth="1" style="116" min="104" max="104"/>
    <col hidden="1" outlineLevel="2" width="6" customWidth="1" style="116" min="105" max="105"/>
    <col hidden="1" outlineLevel="3" width="12" customWidth="1" style="116" min="106" max="107"/>
    <col hidden="1" outlineLevel="3" width="13" customWidth="1" style="117" min="107" max="107"/>
    <col hidden="1" outlineLevel="2" width="6" customWidth="1" style="116" min="108" max="108"/>
    <col hidden="1" outlineLevel="3" width="12" customWidth="1" style="116" min="109" max="110"/>
    <col hidden="1" outlineLevel="3" width="13" customWidth="1" style="117" min="110" max="110"/>
    <col hidden="1" outlineLevel="2" width="6" customWidth="1" style="116" min="111" max="111"/>
    <col hidden="1" outlineLevel="3" width="12" customWidth="1" style="116" min="112" max="113"/>
    <col hidden="1" outlineLevel="3" width="13" customWidth="1" style="117" min="113" max="113"/>
    <col hidden="1" outlineLevel="3" width="11" customWidth="1" style="116" min="114" max="114"/>
    <col hidden="1" outlineLevel="3" width="18" customWidth="1" style="116" min="115" max="118"/>
    <col hidden="1" outlineLevel="3" width="13" customWidth="1" style="117" min="116" max="116"/>
    <col hidden="1" outlineLevel="3" width="13" customWidth="1" style="117" min="117" max="117"/>
    <col hidden="1" outlineLevel="3" width="13" customWidth="1" style="117" min="118" max="118"/>
    <col hidden="1" outlineLevel="3" width="20" customWidth="1" style="116" min="119" max="119"/>
    <col hidden="1" outlineLevel="1" width="7" customWidth="1" style="116" min="120" max="120"/>
    <col hidden="1" outlineLevel="2" width="6" customWidth="1" style="116" min="121" max="121"/>
    <col hidden="1" outlineLevel="3" width="12" customWidth="1" style="116" min="122" max="123"/>
    <col hidden="1" outlineLevel="3" width="13" customWidth="1" style="117" min="123" max="123"/>
    <col hidden="1" outlineLevel="2" width="6" customWidth="1" style="116" min="124" max="124"/>
    <col hidden="1" outlineLevel="3" width="12" customWidth="1" style="116" min="125" max="126"/>
    <col hidden="1" outlineLevel="3" width="13" customWidth="1" style="117" min="126" max="126"/>
    <col hidden="1" outlineLevel="2" width="6" customWidth="1" style="116" min="127" max="127"/>
    <col hidden="1" outlineLevel="3" width="12" customWidth="1" style="116" min="128" max="129"/>
    <col hidden="1" outlineLevel="3" width="13" customWidth="1" style="117" min="129" max="129"/>
    <col hidden="1" outlineLevel="3" width="11" customWidth="1" style="116" min="130" max="130"/>
    <col hidden="1" outlineLevel="3" width="18" customWidth="1" style="116" min="131" max="134"/>
    <col hidden="1" outlineLevel="3" width="13" customWidth="1" style="117" min="132" max="132"/>
    <col hidden="1" outlineLevel="3" width="13" customWidth="1" style="117" min="133" max="133"/>
    <col hidden="1" outlineLevel="3" width="13" customWidth="1" style="117" min="134" max="134"/>
    <col hidden="1" outlineLevel="3" width="20" customWidth="1" style="116" min="135" max="135"/>
    <col hidden="1" outlineLevel="2" width="6" customWidth="1" style="116" min="136" max="136"/>
    <col hidden="1" outlineLevel="3" width="12" customWidth="1" style="116" min="137" max="138"/>
    <col hidden="1" outlineLevel="3" width="13" customWidth="1" style="117" min="138" max="138"/>
    <col hidden="1" outlineLevel="2" width="6" customWidth="1" style="116" min="139" max="139"/>
    <col hidden="1" outlineLevel="3" width="12" customWidth="1" style="116" min="140" max="141"/>
    <col hidden="1" outlineLevel="3" width="13" customWidth="1" style="117" min="141" max="141"/>
    <col hidden="1" outlineLevel="2" width="6" customWidth="1" style="116" min="142" max="142"/>
    <col hidden="1" outlineLevel="3" width="12" customWidth="1" style="116" min="143" max="144"/>
    <col hidden="1" outlineLevel="3" width="13" customWidth="1" style="117" min="144" max="144"/>
    <col hidden="1" outlineLevel="3" width="11" customWidth="1" style="116" min="145" max="145"/>
    <col hidden="1" outlineLevel="3" width="18" customWidth="1" style="116" min="146" max="149"/>
    <col hidden="1" outlineLevel="3" width="13" customWidth="1" style="117" min="147" max="147"/>
    <col hidden="1" outlineLevel="3" width="13" customWidth="1" style="117" min="148" max="148"/>
    <col hidden="1" outlineLevel="3" width="13" customWidth="1" style="117" min="149" max="149"/>
    <col hidden="1" outlineLevel="3" width="20" customWidth="1" style="116" min="150" max="150"/>
    <col hidden="1" outlineLevel="2" width="6" customWidth="1" style="116" min="151" max="151"/>
    <col hidden="1" outlineLevel="3" width="12" customWidth="1" style="116" min="152" max="153"/>
    <col hidden="1" outlineLevel="3" width="13" customWidth="1" style="117" min="153" max="153"/>
    <col hidden="1" outlineLevel="2" width="6" customWidth="1" style="116" min="154" max="154"/>
    <col hidden="1" outlineLevel="3" width="12" customWidth="1" style="116" min="155" max="156"/>
    <col hidden="1" outlineLevel="3" width="13" customWidth="1" style="117" min="156" max="156"/>
    <col hidden="1" outlineLevel="2" width="6" customWidth="1" style="116" min="157" max="157"/>
    <col hidden="1" outlineLevel="3" width="12" customWidth="1" style="116" min="158" max="159"/>
    <col hidden="1" outlineLevel="3" width="13" customWidth="1" style="117" min="159" max="159"/>
    <col hidden="1" outlineLevel="3" width="11" customWidth="1" style="116" min="160" max="160"/>
    <col hidden="1" outlineLevel="3" width="18" customWidth="1" style="116" min="161" max="164"/>
    <col hidden="1" outlineLevel="3" width="13" customWidth="1" style="117" min="162" max="162"/>
    <col hidden="1" outlineLevel="3" width="13" customWidth="1" style="117" min="163" max="163"/>
    <col hidden="1" outlineLevel="3" width="13" customWidth="1" style="117" min="164" max="164"/>
    <col hidden="1" outlineLevel="3" width="20" customWidth="1" style="116" min="165" max="165"/>
    <col hidden="1" outlineLevel="1" width="7" customWidth="1" style="116" min="166" max="166"/>
    <col hidden="1" outlineLevel="2" width="6" customWidth="1" style="116" min="167" max="167"/>
    <col hidden="1" outlineLevel="3" width="12" customWidth="1" style="116" min="168" max="169"/>
    <col hidden="1" outlineLevel="3" width="13" customWidth="1" style="117" min="169" max="169"/>
    <col hidden="1" outlineLevel="2" width="6" customWidth="1" style="116" min="170" max="170"/>
    <col hidden="1" outlineLevel="3" width="12" customWidth="1" style="116" min="171" max="172"/>
    <col hidden="1" outlineLevel="3" width="13" customWidth="1" style="117" min="172" max="172"/>
    <col hidden="1" outlineLevel="2" width="6" customWidth="1" style="116" min="173" max="173"/>
    <col hidden="1" outlineLevel="3" width="12" customWidth="1" style="116" min="174" max="175"/>
    <col hidden="1" outlineLevel="3" width="13" customWidth="1" style="117" min="175" max="175"/>
    <col hidden="1" outlineLevel="3" width="11" customWidth="1" style="116" min="176" max="176"/>
    <col hidden="1" outlineLevel="3" width="18" customWidth="1" style="116" min="177" max="180"/>
    <col hidden="1" outlineLevel="3" width="13" customWidth="1" style="117" min="178" max="178"/>
    <col hidden="1" outlineLevel="3" width="13" customWidth="1" style="117" min="179" max="179"/>
    <col hidden="1" outlineLevel="3" width="13" customWidth="1" style="117" min="180" max="180"/>
    <col hidden="1" outlineLevel="3" width="20" customWidth="1" style="116" min="181" max="181"/>
    <col hidden="1" outlineLevel="2" width="6" customWidth="1" style="116" min="182" max="182"/>
    <col hidden="1" outlineLevel="3" width="12" customWidth="1" style="116" min="183" max="184"/>
    <col hidden="1" outlineLevel="3" width="13" customWidth="1" style="117" min="184" max="184"/>
    <col hidden="1" outlineLevel="2" width="6" customWidth="1" style="116" min="185" max="185"/>
    <col hidden="1" outlineLevel="3" width="12" customWidth="1" style="116" min="186" max="187"/>
    <col hidden="1" outlineLevel="3" width="13" customWidth="1" style="117" min="187" max="187"/>
    <col hidden="1" outlineLevel="2" width="6" customWidth="1" style="116" min="188" max="188"/>
    <col hidden="1" outlineLevel="3" width="12" customWidth="1" style="116" min="189" max="190"/>
    <col hidden="1" outlineLevel="3" width="13" customWidth="1" style="117" min="190" max="190"/>
    <col hidden="1" outlineLevel="3" width="11" customWidth="1" style="116" min="191" max="191"/>
    <col hidden="1" outlineLevel="3" width="18" customWidth="1" style="116" min="192" max="195"/>
    <col hidden="1" outlineLevel="3" width="13" customWidth="1" style="117" min="193" max="193"/>
    <col hidden="1" outlineLevel="3" width="13" customWidth="1" style="117" min="194" max="194"/>
    <col hidden="1" outlineLevel="3" width="13" customWidth="1" style="117" min="195" max="195"/>
    <col hidden="1" outlineLevel="3" width="20" customWidth="1" style="116" min="196" max="196"/>
    <col hidden="1" outlineLevel="2" width="6" customWidth="1" style="116" min="197" max="197"/>
    <col hidden="1" outlineLevel="3" width="12" customWidth="1" style="116" min="198" max="199"/>
    <col hidden="1" outlineLevel="3" width="13" customWidth="1" style="117" min="199" max="199"/>
    <col hidden="1" outlineLevel="2" width="6" customWidth="1" style="116" min="200" max="200"/>
    <col hidden="1" outlineLevel="3" width="12" customWidth="1" style="116" min="201" max="202"/>
    <col hidden="1" outlineLevel="3" width="13" customWidth="1" style="117" min="202" max="202"/>
    <col hidden="1" outlineLevel="2" width="6" customWidth="1" style="116" min="203" max="203"/>
    <col hidden="1" outlineLevel="3" width="12" customWidth="1" style="116" min="204" max="205"/>
    <col hidden="1" outlineLevel="3" width="13" customWidth="1" style="117" min="205" max="205"/>
    <col hidden="1" outlineLevel="3" width="11" customWidth="1" style="116" min="206" max="206"/>
    <col hidden="1" outlineLevel="3" width="18" customWidth="1" style="116" min="207" max="210"/>
    <col hidden="1" outlineLevel="3" width="13" customWidth="1" style="117" min="208" max="208"/>
    <col hidden="1" outlineLevel="3" width="13" customWidth="1" style="117" min="209" max="209"/>
    <col hidden="1" outlineLevel="3" width="13" customWidth="1" style="117" min="210" max="210"/>
    <col hidden="1" outlineLevel="3" width="20" customWidth="1" style="116" min="211" max="211"/>
    <col hidden="1" outlineLevel="1" width="7" customWidth="1" style="116" min="212" max="212"/>
    <col hidden="1" outlineLevel="2" width="6" customWidth="1" style="116" min="213" max="213"/>
    <col hidden="1" outlineLevel="3" width="12" customWidth="1" style="116" min="214" max="215"/>
    <col hidden="1" outlineLevel="3" width="13" customWidth="1" style="117" min="215" max="215"/>
    <col hidden="1" outlineLevel="2" width="6" customWidth="1" style="116" min="216" max="216"/>
    <col hidden="1" outlineLevel="3" width="12" customWidth="1" style="116" min="217" max="218"/>
    <col hidden="1" outlineLevel="3" width="13" customWidth="1" style="117" min="218" max="218"/>
    <col hidden="1" outlineLevel="2" width="6" customWidth="1" style="116" min="219" max="219"/>
    <col hidden="1" outlineLevel="3" width="12" customWidth="1" style="116" min="220" max="221"/>
    <col hidden="1" outlineLevel="3" width="13" customWidth="1" style="117" min="221" max="221"/>
    <col hidden="1" outlineLevel="3" width="11" customWidth="1" style="116" min="222" max="222"/>
    <col hidden="1" outlineLevel="3" width="18" customWidth="1" style="116" min="223" max="226"/>
    <col hidden="1" outlineLevel="3" width="13" customWidth="1" style="117" min="224" max="224"/>
    <col hidden="1" outlineLevel="3" width="13" customWidth="1" style="117" min="225" max="225"/>
    <col hidden="1" outlineLevel="3" width="13" customWidth="1" style="117" min="226" max="226"/>
    <col hidden="1" outlineLevel="3" width="20" customWidth="1" style="116" min="227" max="227"/>
    <col hidden="1" outlineLevel="2" width="6" customWidth="1" style="116" min="228" max="228"/>
    <col hidden="1" outlineLevel="3" width="12" customWidth="1" style="116" min="229" max="230"/>
    <col hidden="1" outlineLevel="3" width="13" customWidth="1" style="117" min="230" max="230"/>
    <col hidden="1" outlineLevel="2" width="6" customWidth="1" style="116" min="231" max="231"/>
    <col hidden="1" outlineLevel="3" width="12" customWidth="1" style="116" min="232" max="233"/>
    <col hidden="1" outlineLevel="3" width="13" customWidth="1" style="117" min="233" max="233"/>
    <col hidden="1" outlineLevel="2" width="6" customWidth="1" style="116" min="234" max="234"/>
    <col hidden="1" outlineLevel="3" width="12" customWidth="1" style="116" min="235" max="236"/>
    <col hidden="1" outlineLevel="3" width="13" customWidth="1" style="117" min="236" max="236"/>
    <col hidden="1" outlineLevel="3" width="11" customWidth="1" style="116" min="237" max="237"/>
    <col hidden="1" outlineLevel="3" width="18" customWidth="1" style="116" min="238" max="241"/>
    <col hidden="1" outlineLevel="3" width="13" customWidth="1" style="117" min="239" max="239"/>
    <col hidden="1" outlineLevel="3" width="13" customWidth="1" style="117" min="240" max="240"/>
    <col hidden="1" outlineLevel="3" width="13" customWidth="1" style="117" min="241" max="241"/>
    <col hidden="1" outlineLevel="3" width="20" customWidth="1" style="116" min="242" max="242"/>
    <col hidden="1" outlineLevel="2" width="6" customWidth="1" style="116" min="243" max="243"/>
    <col hidden="1" outlineLevel="3" width="12" customWidth="1" style="116" min="244" max="245"/>
    <col hidden="1" outlineLevel="3" width="13" customWidth="1" style="117" min="245" max="245"/>
    <col hidden="1" outlineLevel="2" width="6" customWidth="1" style="116" min="246" max="246"/>
    <col hidden="1" outlineLevel="3" width="12" customWidth="1" style="116" min="247" max="248"/>
    <col hidden="1" outlineLevel="3" width="13" customWidth="1" style="117" min="248" max="248"/>
    <col hidden="1" outlineLevel="2" width="6" customWidth="1" style="116" min="249" max="249"/>
    <col hidden="1" outlineLevel="3" width="12" customWidth="1" style="116" min="250" max="251"/>
    <col hidden="1" outlineLevel="3" width="13" customWidth="1" style="117" min="251" max="251"/>
    <col hidden="1" outlineLevel="3" width="11" customWidth="1" style="116" min="252" max="252"/>
    <col hidden="1" outlineLevel="3" width="18" customWidth="1" style="116" min="253" max="256"/>
    <col hidden="1" outlineLevel="3" width="13" customWidth="1" style="117" min="254" max="254"/>
    <col hidden="1" outlineLevel="3" width="13" customWidth="1" style="117" min="255" max="255"/>
    <col hidden="1" outlineLevel="3" width="13" customWidth="1" style="117" min="256" max="256"/>
    <col hidden="1" outlineLevel="3" width="20" customWidth="1" style="116" min="257" max="257"/>
  </cols>
  <sheetData>
    <row r="1" ht="24" customHeight="1" s="117">
      <c r="A1" s="129" t="inlineStr">
        <is>
          <t>🟣 MERCOS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0" t="n"/>
      <c r="AC1" s="130" t="n"/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0" t="n"/>
      <c r="AM1" s="130" t="n"/>
      <c r="AN1" s="130" t="n"/>
      <c r="AO1" s="130" t="n"/>
      <c r="AP1" s="130" t="n"/>
      <c r="AQ1" s="130" t="n"/>
      <c r="AR1" s="131" t="inlineStr">
        <is>
          <t>🔵 FUNIL</t>
        </is>
      </c>
      <c r="AS1" s="130" t="n"/>
      <c r="AT1" s="130" t="n"/>
      <c r="AU1" s="130" t="n"/>
      <c r="AV1" s="130" t="n"/>
      <c r="AW1" s="130" t="n"/>
      <c r="AX1" s="130" t="n"/>
      <c r="AY1" s="130" t="n"/>
      <c r="AZ1" s="130" t="n"/>
      <c r="BA1" s="130" t="n"/>
      <c r="BB1" s="130" t="n"/>
      <c r="BC1" s="130" t="n"/>
      <c r="BD1" s="130" t="n"/>
      <c r="BE1" s="130" t="n"/>
      <c r="BF1" s="130" t="n"/>
      <c r="BG1" s="130" t="n"/>
      <c r="BH1" s="130" t="n"/>
      <c r="BI1" s="130" t="n"/>
      <c r="BJ1" s="132" t="inlineStr">
        <is>
          <t>⚫ SAP</t>
        </is>
      </c>
      <c r="BK1" s="130" t="n"/>
      <c r="BL1" s="130" t="n"/>
      <c r="BM1" s="130" t="n"/>
      <c r="BN1" s="130" t="n"/>
      <c r="BO1" s="130" t="n"/>
      <c r="BP1" s="130" t="n"/>
      <c r="BQ1" s="130" t="n"/>
      <c r="BR1" s="130" t="n"/>
      <c r="BS1" s="130" t="n"/>
      <c r="BT1" s="130" t="n"/>
      <c r="BU1" s="133" t="inlineStr">
        <is>
          <t>🟢 ACOMPANHAMENTO</t>
        </is>
      </c>
      <c r="BV1" s="134" t="inlineStr">
        <is>
          <t>Q1</t>
        </is>
      </c>
      <c r="BW1" s="135" t="inlineStr">
        <is>
          <t>JAN</t>
        </is>
      </c>
      <c r="BX1" s="130" t="n"/>
      <c r="BY1" s="130" t="n"/>
      <c r="BZ1" s="130" t="n"/>
      <c r="CA1" s="130" t="n"/>
      <c r="CB1" s="130" t="n"/>
      <c r="CC1" s="136" t="inlineStr">
        <is>
          <t>100%</t>
        </is>
      </c>
      <c r="CD1" s="137">
        <f>SUBTOTAL(109,CD4:CD5000)</f>
        <v/>
      </c>
      <c r="CE1" s="137">
        <f>SUBTOTAL(109,CE4:CE5000)</f>
        <v/>
      </c>
      <c r="CF1" s="138" t="n"/>
      <c r="CG1" s="138" t="n"/>
      <c r="CH1" s="138" t="n"/>
      <c r="CI1" s="138" t="n"/>
      <c r="CJ1" s="138" t="n"/>
      <c r="CK1" s="138" t="n"/>
      <c r="CL1" s="135" t="inlineStr">
        <is>
          <t>FEV</t>
        </is>
      </c>
      <c r="CM1" s="130" t="n"/>
      <c r="CN1" s="130" t="n"/>
      <c r="CO1" s="130" t="n"/>
      <c r="CP1" s="130" t="n"/>
      <c r="CQ1" s="130" t="n"/>
      <c r="CR1" s="136" t="inlineStr">
        <is>
          <t>100%</t>
        </is>
      </c>
      <c r="CS1" s="137">
        <f>SUBTOTAL(109,CS4:CS5000)</f>
        <v/>
      </c>
      <c r="CT1" s="137">
        <f>SUBTOTAL(109,CT4:CT5000)</f>
        <v/>
      </c>
      <c r="CU1" s="138" t="n"/>
      <c r="CV1" s="138" t="n"/>
      <c r="CW1" s="138" t="n"/>
      <c r="CX1" s="138" t="n"/>
      <c r="CY1" s="138" t="n"/>
      <c r="CZ1" s="138" t="n"/>
      <c r="DA1" s="135" t="inlineStr">
        <is>
          <t>MAR</t>
        </is>
      </c>
      <c r="DB1" s="130" t="n"/>
      <c r="DC1" s="130" t="n"/>
      <c r="DD1" s="130" t="n"/>
      <c r="DE1" s="130" t="n"/>
      <c r="DF1" s="130" t="n"/>
      <c r="DG1" s="136" t="inlineStr">
        <is>
          <t>100%</t>
        </is>
      </c>
      <c r="DH1" s="137">
        <f>SUBTOTAL(109,DH4:DH5000)</f>
        <v/>
      </c>
      <c r="DI1" s="137">
        <f>SUBTOTAL(109,DI4:DI5000)</f>
        <v/>
      </c>
      <c r="DJ1" s="138" t="n"/>
      <c r="DK1" s="138" t="n"/>
      <c r="DL1" s="138" t="n"/>
      <c r="DM1" s="138" t="n"/>
      <c r="DN1" s="138" t="n"/>
      <c r="DO1" s="138" t="n"/>
      <c r="DP1" s="139" t="inlineStr">
        <is>
          <t>Q2</t>
        </is>
      </c>
      <c r="DQ1" s="140" t="inlineStr">
        <is>
          <t>ABR</t>
        </is>
      </c>
      <c r="DR1" s="130" t="n"/>
      <c r="DS1" s="130" t="n"/>
      <c r="DT1" s="130" t="n"/>
      <c r="DU1" s="130" t="n"/>
      <c r="DV1" s="130" t="n"/>
      <c r="DW1" s="133" t="inlineStr">
        <is>
          <t>100%</t>
        </is>
      </c>
      <c r="DX1" s="141">
        <f>SUBTOTAL(109,DX4:DX5000)</f>
        <v/>
      </c>
      <c r="DY1" s="141">
        <f>SUBTOTAL(109,DY4:DY5000)</f>
        <v/>
      </c>
      <c r="DZ1" s="142" t="n"/>
      <c r="EA1" s="142" t="n"/>
      <c r="EB1" s="142" t="n"/>
      <c r="EC1" s="142" t="n"/>
      <c r="ED1" s="142" t="n"/>
      <c r="EE1" s="142" t="n"/>
      <c r="EF1" s="140" t="inlineStr">
        <is>
          <t>MAI</t>
        </is>
      </c>
      <c r="EG1" s="130" t="n"/>
      <c r="EH1" s="130" t="n"/>
      <c r="EI1" s="130" t="n"/>
      <c r="EJ1" s="130" t="n"/>
      <c r="EK1" s="130" t="n"/>
      <c r="EL1" s="133" t="inlineStr">
        <is>
          <t>100%</t>
        </is>
      </c>
      <c r="EM1" s="141">
        <f>SUBTOTAL(109,EM4:EM5000)</f>
        <v/>
      </c>
      <c r="EN1" s="141">
        <f>SUBTOTAL(109,EN4:EN5000)</f>
        <v/>
      </c>
      <c r="EO1" s="142" t="n"/>
      <c r="EP1" s="142" t="n"/>
      <c r="EQ1" s="142" t="n"/>
      <c r="ER1" s="142" t="n"/>
      <c r="ES1" s="142" t="n"/>
      <c r="ET1" s="142" t="n"/>
      <c r="EU1" s="140" t="inlineStr">
        <is>
          <t>JUN</t>
        </is>
      </c>
      <c r="EV1" s="130" t="n"/>
      <c r="EW1" s="130" t="n"/>
      <c r="EX1" s="130" t="n"/>
      <c r="EY1" s="130" t="n"/>
      <c r="EZ1" s="130" t="n"/>
      <c r="FA1" s="133" t="inlineStr">
        <is>
          <t>100%</t>
        </is>
      </c>
      <c r="FB1" s="141">
        <f>SUBTOTAL(109,FB4:FB5000)</f>
        <v/>
      </c>
      <c r="FC1" s="141">
        <f>SUBTOTAL(109,FC4:FC5000)</f>
        <v/>
      </c>
      <c r="FD1" s="142" t="n"/>
      <c r="FE1" s="142" t="n"/>
      <c r="FF1" s="142" t="n"/>
      <c r="FG1" s="142" t="n"/>
      <c r="FH1" s="142" t="n"/>
      <c r="FI1" s="142" t="n"/>
      <c r="FJ1" s="143" t="inlineStr">
        <is>
          <t>Q3</t>
        </is>
      </c>
      <c r="FK1" s="144" t="inlineStr">
        <is>
          <t>JUL</t>
        </is>
      </c>
      <c r="FL1" s="130" t="n"/>
      <c r="FM1" s="130" t="n"/>
      <c r="FN1" s="130" t="n"/>
      <c r="FO1" s="130" t="n"/>
      <c r="FP1" s="130" t="n"/>
      <c r="FQ1" s="145" t="inlineStr">
        <is>
          <t>100%</t>
        </is>
      </c>
      <c r="FR1" s="146">
        <f>SUBTOTAL(109,FR4:FR5000)</f>
        <v/>
      </c>
      <c r="FS1" s="146">
        <f>SUBTOTAL(109,FS4:FS5000)</f>
        <v/>
      </c>
      <c r="FT1" s="147" t="n"/>
      <c r="FU1" s="147" t="n"/>
      <c r="FV1" s="147" t="n"/>
      <c r="FW1" s="147" t="n"/>
      <c r="FX1" s="147" t="n"/>
      <c r="FY1" s="147" t="n"/>
      <c r="FZ1" s="144" t="inlineStr">
        <is>
          <t>AGO</t>
        </is>
      </c>
      <c r="GA1" s="130" t="n"/>
      <c r="GB1" s="130" t="n"/>
      <c r="GC1" s="130" t="n"/>
      <c r="GD1" s="130" t="n"/>
      <c r="GE1" s="130" t="n"/>
      <c r="GF1" s="145" t="inlineStr">
        <is>
          <t>100%</t>
        </is>
      </c>
      <c r="GG1" s="146">
        <f>SUBTOTAL(109,GG4:GG5000)</f>
        <v/>
      </c>
      <c r="GH1" s="146">
        <f>SUBTOTAL(109,GH4:GH5000)</f>
        <v/>
      </c>
      <c r="GI1" s="147" t="n"/>
      <c r="GJ1" s="147" t="n"/>
      <c r="GK1" s="147" t="n"/>
      <c r="GL1" s="147" t="n"/>
      <c r="GM1" s="147" t="n"/>
      <c r="GN1" s="147" t="n"/>
      <c r="GO1" s="144" t="inlineStr">
        <is>
          <t>SET</t>
        </is>
      </c>
      <c r="GP1" s="130" t="n"/>
      <c r="GQ1" s="130" t="n"/>
      <c r="GR1" s="130" t="n"/>
      <c r="GS1" s="130" t="n"/>
      <c r="GT1" s="130" t="n"/>
      <c r="GU1" s="145" t="inlineStr">
        <is>
          <t>100%</t>
        </is>
      </c>
      <c r="GV1" s="146">
        <f>SUBTOTAL(109,GV4:GV5000)</f>
        <v/>
      </c>
      <c r="GW1" s="146">
        <f>SUBTOTAL(109,GW4:GW5000)</f>
        <v/>
      </c>
      <c r="GX1" s="147" t="n"/>
      <c r="GY1" s="147" t="n"/>
      <c r="GZ1" s="147" t="n"/>
      <c r="HA1" s="147" t="n"/>
      <c r="HB1" s="147" t="n"/>
      <c r="HC1" s="147" t="n"/>
      <c r="HD1" s="148" t="inlineStr">
        <is>
          <t>Q4</t>
        </is>
      </c>
      <c r="HE1" s="149" t="inlineStr">
        <is>
          <t>OUT</t>
        </is>
      </c>
      <c r="HF1" s="130" t="n"/>
      <c r="HG1" s="130" t="n"/>
      <c r="HH1" s="130" t="n"/>
      <c r="HI1" s="130" t="n"/>
      <c r="HJ1" s="130" t="n"/>
      <c r="HK1" s="150" t="inlineStr">
        <is>
          <t>100%</t>
        </is>
      </c>
      <c r="HL1" s="151">
        <f>SUBTOTAL(109,HL4:HL5000)</f>
        <v/>
      </c>
      <c r="HM1" s="151">
        <f>SUBTOTAL(109,HM4:HM5000)</f>
        <v/>
      </c>
      <c r="HN1" s="152" t="n"/>
      <c r="HO1" s="152" t="n"/>
      <c r="HP1" s="152" t="n"/>
      <c r="HQ1" s="152" t="n"/>
      <c r="HR1" s="152" t="n"/>
      <c r="HS1" s="152" t="n"/>
      <c r="HT1" s="149" t="inlineStr">
        <is>
          <t>NOV</t>
        </is>
      </c>
      <c r="HU1" s="130" t="n"/>
      <c r="HV1" s="130" t="n"/>
      <c r="HW1" s="130" t="n"/>
      <c r="HX1" s="130" t="n"/>
      <c r="HY1" s="130" t="n"/>
      <c r="HZ1" s="150" t="inlineStr">
        <is>
          <t>100%</t>
        </is>
      </c>
      <c r="IA1" s="151">
        <f>SUBTOTAL(109,IA4:IA5000)</f>
        <v/>
      </c>
      <c r="IB1" s="151">
        <f>SUBTOTAL(109,IB4:IB5000)</f>
        <v/>
      </c>
      <c r="IC1" s="152" t="n"/>
      <c r="ID1" s="152" t="n"/>
      <c r="IE1" s="152" t="n"/>
      <c r="IF1" s="152" t="n"/>
      <c r="IG1" s="152" t="n"/>
      <c r="IH1" s="152" t="n"/>
      <c r="II1" s="149" t="inlineStr">
        <is>
          <t>DEZ</t>
        </is>
      </c>
      <c r="IJ1" s="130" t="n"/>
      <c r="IK1" s="130" t="n"/>
      <c r="IL1" s="130" t="n"/>
      <c r="IM1" s="130" t="n"/>
      <c r="IN1" s="130" t="n"/>
      <c r="IO1" s="150" t="inlineStr">
        <is>
          <t>100%</t>
        </is>
      </c>
      <c r="IP1" s="151">
        <f>SUBTOTAL(109,IP4:IP5000)</f>
        <v/>
      </c>
      <c r="IQ1" s="151">
        <f>SUBTOTAL(109,IQ4:IQ5000)</f>
        <v/>
      </c>
      <c r="IR1" s="152" t="n"/>
      <c r="IS1" s="152" t="n"/>
      <c r="IT1" s="152" t="n"/>
      <c r="IU1" s="152" t="n"/>
      <c r="IV1" s="152" t="n"/>
      <c r="IW1" s="152" t="n"/>
    </row>
    <row r="2" ht="18" customHeight="1" s="117">
      <c r="A2" s="153" t="inlineStr">
        <is>
          <t>ANCORA</t>
        </is>
      </c>
      <c r="B2" s="153" t="inlineStr">
        <is>
          <t>IDENTIDADE</t>
        </is>
      </c>
      <c r="C2" s="153" t="inlineStr">
        <is>
          <t>IDENTIDADE</t>
        </is>
      </c>
      <c r="D2" s="153" t="inlineStr">
        <is>
          <t>IDENTIDADE</t>
        </is>
      </c>
      <c r="E2" s="153" t="inlineStr">
        <is>
          <t>IDENTIDADE</t>
        </is>
      </c>
      <c r="F2" s="153" t="inlineStr">
        <is>
          <t>IDENTIDADE</t>
        </is>
      </c>
      <c r="G2" s="153" t="inlineStr">
        <is>
          <t>IDENTIDADE</t>
        </is>
      </c>
      <c r="H2" s="153" t="inlineStr">
        <is>
          <t>IDENTIDADE</t>
        </is>
      </c>
      <c r="I2" s="153" t="inlineStr">
        <is>
          <t>REDE</t>
        </is>
      </c>
      <c r="J2" s="153" t="inlineStr">
        <is>
          <t>REDE</t>
        </is>
      </c>
      <c r="K2" s="153" t="inlineStr">
        <is>
          <t>REDE</t>
        </is>
      </c>
      <c r="L2" s="153" t="inlineStr">
        <is>
          <t>EQUIPE</t>
        </is>
      </c>
      <c r="M2" s="153" t="inlineStr">
        <is>
          <t>EQUIPE</t>
        </is>
      </c>
      <c r="N2" s="153" t="inlineStr">
        <is>
          <t>STATUS</t>
        </is>
      </c>
      <c r="O2" s="153" t="inlineStr">
        <is>
          <t>STATUS</t>
        </is>
      </c>
      <c r="P2" s="153" t="inlineStr">
        <is>
          <t>COMPRA</t>
        </is>
      </c>
      <c r="Q2" s="153" t="inlineStr">
        <is>
          <t>COMPRA</t>
        </is>
      </c>
      <c r="R2" s="153" t="inlineStr">
        <is>
          <t>COMPRA</t>
        </is>
      </c>
      <c r="S2" s="153" t="inlineStr">
        <is>
          <t>ECOMMERCE</t>
        </is>
      </c>
      <c r="T2" s="153" t="inlineStr">
        <is>
          <t>ECOMMERCE</t>
        </is>
      </c>
      <c r="U2" s="153" t="inlineStr">
        <is>
          <t>ECOMMERCE</t>
        </is>
      </c>
      <c r="V2" s="153" t="inlineStr">
        <is>
          <t>ECOMMERCE</t>
        </is>
      </c>
      <c r="W2" s="153" t="inlineStr">
        <is>
          <t>ECOMMERCE</t>
        </is>
      </c>
      <c r="X2" s="153" t="inlineStr">
        <is>
          <t>ECOMMERCE</t>
        </is>
      </c>
      <c r="Y2" s="153" t="inlineStr">
        <is>
          <t>VENDAS</t>
        </is>
      </c>
      <c r="Z2" s="153" t="inlineStr">
        <is>
          <t>VENDAS</t>
        </is>
      </c>
      <c r="AA2" s="153" t="inlineStr">
        <is>
          <t>VENDAS</t>
        </is>
      </c>
      <c r="AB2" s="153" t="inlineStr">
        <is>
          <t>VENDAS</t>
        </is>
      </c>
      <c r="AC2" s="153" t="inlineStr">
        <is>
          <t>VENDAS</t>
        </is>
      </c>
      <c r="AD2" s="153" t="inlineStr">
        <is>
          <t>VENDAS</t>
        </is>
      </c>
      <c r="AE2" s="153" t="inlineStr">
        <is>
          <t>VENDAS</t>
        </is>
      </c>
      <c r="AF2" s="153" t="inlineStr">
        <is>
          <t>VENDAS</t>
        </is>
      </c>
      <c r="AG2" s="153" t="inlineStr">
        <is>
          <t>VENDAS</t>
        </is>
      </c>
      <c r="AH2" s="153" t="inlineStr">
        <is>
          <t>VENDAS</t>
        </is>
      </c>
      <c r="AI2" s="153" t="inlineStr">
        <is>
          <t>VENDAS</t>
        </is>
      </c>
      <c r="AJ2" s="153" t="inlineStr">
        <is>
          <t>VENDAS</t>
        </is>
      </c>
      <c r="AK2" s="153" t="inlineStr">
        <is>
          <t>RECORRÊNCIA</t>
        </is>
      </c>
      <c r="AL2" s="153" t="inlineStr">
        <is>
          <t>RECORRÊNCIA</t>
        </is>
      </c>
      <c r="AM2" s="153" t="inlineStr">
        <is>
          <t>RECORRÊNCIA</t>
        </is>
      </c>
      <c r="AN2" s="153" t="inlineStr">
        <is>
          <t>RECORRÊNCIA</t>
        </is>
      </c>
      <c r="AO2" s="153" t="inlineStr">
        <is>
          <t>RECORRÊNCIA</t>
        </is>
      </c>
      <c r="AP2" s="153" t="inlineStr">
        <is>
          <t>RECORRÊNCIA</t>
        </is>
      </c>
      <c r="AQ2" s="153" t="inlineStr">
        <is>
          <t>RECORRÊNCIA</t>
        </is>
      </c>
      <c r="AR2" s="154" t="inlineStr">
        <is>
          <t>ANCORA</t>
        </is>
      </c>
      <c r="AS2" s="154" t="inlineStr">
        <is>
          <t>PIPELINE</t>
        </is>
      </c>
      <c r="AT2" s="154" t="inlineStr">
        <is>
          <t>PIPELINE</t>
        </is>
      </c>
      <c r="AU2" s="154" t="inlineStr">
        <is>
          <t>PIPELINE</t>
        </is>
      </c>
      <c r="AV2" s="154" t="inlineStr">
        <is>
          <t>PIPELINE</t>
        </is>
      </c>
      <c r="AW2" s="154" t="inlineStr">
        <is>
          <t>PERFIL</t>
        </is>
      </c>
      <c r="AX2" s="154" t="inlineStr">
        <is>
          <t>PERFIL</t>
        </is>
      </c>
      <c r="AY2" s="154" t="inlineStr">
        <is>
          <t>MATURIDADE</t>
        </is>
      </c>
      <c r="AZ2" s="154" t="inlineStr">
        <is>
          <t>MATURIDADE</t>
        </is>
      </c>
      <c r="BA2" s="154" t="inlineStr">
        <is>
          <t>CONVERSÃO</t>
        </is>
      </c>
      <c r="BB2" s="154" t="inlineStr">
        <is>
          <t>CONVERSÃO</t>
        </is>
      </c>
      <c r="BC2" s="154" t="inlineStr">
        <is>
          <t>CONVERSÃO</t>
        </is>
      </c>
      <c r="BD2" s="154" t="inlineStr">
        <is>
          <t>CONVERSÃO</t>
        </is>
      </c>
      <c r="BE2" s="154" t="inlineStr">
        <is>
          <t>CONVERSÃO</t>
        </is>
      </c>
      <c r="BF2" s="154" t="inlineStr">
        <is>
          <t>CONVERSÃO</t>
        </is>
      </c>
      <c r="BG2" s="154" t="inlineStr">
        <is>
          <t>AÇÃO</t>
        </is>
      </c>
      <c r="BH2" s="154" t="inlineStr">
        <is>
          <t>AÇÃO</t>
        </is>
      </c>
      <c r="BI2" s="154" t="inlineStr">
        <is>
          <t>SINAL</t>
        </is>
      </c>
      <c r="BJ2" s="155" t="inlineStr">
        <is>
          <t>DADOS SAP</t>
        </is>
      </c>
      <c r="BK2" s="155" t="inlineStr">
        <is>
          <t>SAP</t>
        </is>
      </c>
      <c r="BL2" s="155" t="inlineStr">
        <is>
          <t>SAP</t>
        </is>
      </c>
      <c r="BM2" s="155" t="inlineStr">
        <is>
          <t>SAP</t>
        </is>
      </c>
      <c r="BN2" s="155" t="inlineStr">
        <is>
          <t>SAP</t>
        </is>
      </c>
      <c r="BO2" s="155" t="inlineStr">
        <is>
          <t>SAP</t>
        </is>
      </c>
      <c r="BP2" s="155" t="inlineStr">
        <is>
          <t>SAP</t>
        </is>
      </c>
      <c r="BQ2" s="155" t="inlineStr">
        <is>
          <t>SAP</t>
        </is>
      </c>
      <c r="BR2" s="155" t="inlineStr">
        <is>
          <t>SAP</t>
        </is>
      </c>
      <c r="BS2" s="155" t="inlineStr">
        <is>
          <t>SAP</t>
        </is>
      </c>
      <c r="BT2" s="155" t="inlineStr">
        <is>
          <t>SAP</t>
        </is>
      </c>
      <c r="BU2" s="122" t="n"/>
      <c r="BV2" s="156" t="n"/>
      <c r="BW2" s="157" t="inlineStr">
        <is>
          <t>YTD</t>
        </is>
      </c>
      <c r="BX2" s="130" t="n"/>
      <c r="BY2" s="130" t="n"/>
      <c r="BZ2" s="157" t="inlineStr">
        <is>
          <t>TRI</t>
        </is>
      </c>
      <c r="CA2" s="130" t="n"/>
      <c r="CB2" s="130" t="n"/>
      <c r="CC2" s="136" t="inlineStr">
        <is>
          <t>MÊS</t>
        </is>
      </c>
      <c r="CD2" s="138" t="n"/>
      <c r="CE2" s="138" t="n"/>
      <c r="CF2" s="138" t="n"/>
      <c r="CG2" s="138" t="n"/>
      <c r="CH2" s="138" t="n"/>
      <c r="CI2" s="138" t="n"/>
      <c r="CJ2" s="138" t="n"/>
      <c r="CK2" s="138" t="n"/>
      <c r="CL2" s="157" t="inlineStr">
        <is>
          <t>YTD</t>
        </is>
      </c>
      <c r="CM2" s="130" t="n"/>
      <c r="CN2" s="130" t="n"/>
      <c r="CO2" s="157" t="inlineStr">
        <is>
          <t>TRI</t>
        </is>
      </c>
      <c r="CP2" s="130" t="n"/>
      <c r="CQ2" s="130" t="n"/>
      <c r="CR2" s="136" t="inlineStr">
        <is>
          <t>MÊS</t>
        </is>
      </c>
      <c r="CS2" s="138" t="n"/>
      <c r="CT2" s="138" t="n"/>
      <c r="CU2" s="138" t="n"/>
      <c r="CV2" s="138" t="n"/>
      <c r="CW2" s="138" t="n"/>
      <c r="CX2" s="138" t="n"/>
      <c r="CY2" s="138" t="n"/>
      <c r="CZ2" s="138" t="n"/>
      <c r="DA2" s="157" t="inlineStr">
        <is>
          <t>YTD</t>
        </is>
      </c>
      <c r="DB2" s="130" t="n"/>
      <c r="DC2" s="130" t="n"/>
      <c r="DD2" s="157" t="inlineStr">
        <is>
          <t>TRI</t>
        </is>
      </c>
      <c r="DE2" s="130" t="n"/>
      <c r="DF2" s="130" t="n"/>
      <c r="DG2" s="136" t="inlineStr">
        <is>
          <t>MÊS</t>
        </is>
      </c>
      <c r="DH2" s="138" t="n"/>
      <c r="DI2" s="138" t="n"/>
      <c r="DJ2" s="138" t="n"/>
      <c r="DK2" s="138" t="n"/>
      <c r="DL2" s="138" t="n"/>
      <c r="DM2" s="138" t="n"/>
      <c r="DN2" s="138" t="n"/>
      <c r="DO2" s="138" t="n"/>
      <c r="DP2" s="158" t="n"/>
      <c r="DQ2" s="159" t="inlineStr">
        <is>
          <t>YTD</t>
        </is>
      </c>
      <c r="DR2" s="130" t="n"/>
      <c r="DS2" s="130" t="n"/>
      <c r="DT2" s="159" t="inlineStr">
        <is>
          <t>TRI</t>
        </is>
      </c>
      <c r="DU2" s="130" t="n"/>
      <c r="DV2" s="130" t="n"/>
      <c r="DW2" s="133" t="inlineStr">
        <is>
          <t>MÊS</t>
        </is>
      </c>
      <c r="DX2" s="142" t="n"/>
      <c r="DY2" s="142" t="n"/>
      <c r="DZ2" s="142" t="n"/>
      <c r="EA2" s="142" t="n"/>
      <c r="EB2" s="142" t="n"/>
      <c r="EC2" s="142" t="n"/>
      <c r="ED2" s="142" t="n"/>
      <c r="EE2" s="142" t="n"/>
      <c r="EF2" s="159" t="inlineStr">
        <is>
          <t>YTD</t>
        </is>
      </c>
      <c r="EG2" s="130" t="n"/>
      <c r="EH2" s="130" t="n"/>
      <c r="EI2" s="159" t="inlineStr">
        <is>
          <t>TRI</t>
        </is>
      </c>
      <c r="EJ2" s="130" t="n"/>
      <c r="EK2" s="130" t="n"/>
      <c r="EL2" s="133" t="inlineStr">
        <is>
          <t>MÊS</t>
        </is>
      </c>
      <c r="EM2" s="142" t="n"/>
      <c r="EN2" s="142" t="n"/>
      <c r="EO2" s="142" t="n"/>
      <c r="EP2" s="142" t="n"/>
      <c r="EQ2" s="142" t="n"/>
      <c r="ER2" s="142" t="n"/>
      <c r="ES2" s="142" t="n"/>
      <c r="ET2" s="142" t="n"/>
      <c r="EU2" s="159" t="inlineStr">
        <is>
          <t>YTD</t>
        </is>
      </c>
      <c r="EV2" s="130" t="n"/>
      <c r="EW2" s="130" t="n"/>
      <c r="EX2" s="159" t="inlineStr">
        <is>
          <t>TRI</t>
        </is>
      </c>
      <c r="EY2" s="130" t="n"/>
      <c r="EZ2" s="130" t="n"/>
      <c r="FA2" s="133" t="inlineStr">
        <is>
          <t>MÊS</t>
        </is>
      </c>
      <c r="FB2" s="142" t="n"/>
      <c r="FC2" s="142" t="n"/>
      <c r="FD2" s="142" t="n"/>
      <c r="FE2" s="142" t="n"/>
      <c r="FF2" s="142" t="n"/>
      <c r="FG2" s="142" t="n"/>
      <c r="FH2" s="142" t="n"/>
      <c r="FI2" s="142" t="n"/>
      <c r="FJ2" s="160" t="n"/>
      <c r="FK2" s="161" t="inlineStr">
        <is>
          <t>YTD</t>
        </is>
      </c>
      <c r="FL2" s="130" t="n"/>
      <c r="FM2" s="130" t="n"/>
      <c r="FN2" s="161" t="inlineStr">
        <is>
          <t>TRI</t>
        </is>
      </c>
      <c r="FO2" s="130" t="n"/>
      <c r="FP2" s="130" t="n"/>
      <c r="FQ2" s="145" t="inlineStr">
        <is>
          <t>MÊS</t>
        </is>
      </c>
      <c r="FR2" s="147" t="n"/>
      <c r="FS2" s="147" t="n"/>
      <c r="FT2" s="147" t="n"/>
      <c r="FU2" s="147" t="n"/>
      <c r="FV2" s="147" t="n"/>
      <c r="FW2" s="147" t="n"/>
      <c r="FX2" s="147" t="n"/>
      <c r="FY2" s="147" t="n"/>
      <c r="FZ2" s="161" t="inlineStr">
        <is>
          <t>YTD</t>
        </is>
      </c>
      <c r="GA2" s="130" t="n"/>
      <c r="GB2" s="130" t="n"/>
      <c r="GC2" s="161" t="inlineStr">
        <is>
          <t>TRI</t>
        </is>
      </c>
      <c r="GD2" s="130" t="n"/>
      <c r="GE2" s="130" t="n"/>
      <c r="GF2" s="145" t="inlineStr">
        <is>
          <t>MÊS</t>
        </is>
      </c>
      <c r="GG2" s="147" t="n"/>
      <c r="GH2" s="147" t="n"/>
      <c r="GI2" s="147" t="n"/>
      <c r="GJ2" s="147" t="n"/>
      <c r="GK2" s="147" t="n"/>
      <c r="GL2" s="147" t="n"/>
      <c r="GM2" s="147" t="n"/>
      <c r="GN2" s="147" t="n"/>
      <c r="GO2" s="161" t="inlineStr">
        <is>
          <t>YTD</t>
        </is>
      </c>
      <c r="GP2" s="130" t="n"/>
      <c r="GQ2" s="130" t="n"/>
      <c r="GR2" s="161" t="inlineStr">
        <is>
          <t>TRI</t>
        </is>
      </c>
      <c r="GS2" s="130" t="n"/>
      <c r="GT2" s="130" t="n"/>
      <c r="GU2" s="145" t="inlineStr">
        <is>
          <t>MÊS</t>
        </is>
      </c>
      <c r="GV2" s="147" t="n"/>
      <c r="GW2" s="147" t="n"/>
      <c r="GX2" s="147" t="n"/>
      <c r="GY2" s="147" t="n"/>
      <c r="GZ2" s="147" t="n"/>
      <c r="HA2" s="147" t="n"/>
      <c r="HB2" s="147" t="n"/>
      <c r="HC2" s="147" t="n"/>
      <c r="HD2" s="162" t="n"/>
      <c r="HE2" s="163" t="inlineStr">
        <is>
          <t>YTD</t>
        </is>
      </c>
      <c r="HF2" s="130" t="n"/>
      <c r="HG2" s="130" t="n"/>
      <c r="HH2" s="163" t="inlineStr">
        <is>
          <t>TRI</t>
        </is>
      </c>
      <c r="HI2" s="130" t="n"/>
      <c r="HJ2" s="130" t="n"/>
      <c r="HK2" s="150" t="inlineStr">
        <is>
          <t>MÊS</t>
        </is>
      </c>
      <c r="HL2" s="152" t="n"/>
      <c r="HM2" s="152" t="n"/>
      <c r="HN2" s="152" t="n"/>
      <c r="HO2" s="152" t="n"/>
      <c r="HP2" s="152" t="n"/>
      <c r="HQ2" s="152" t="n"/>
      <c r="HR2" s="152" t="n"/>
      <c r="HS2" s="152" t="n"/>
      <c r="HT2" s="163" t="inlineStr">
        <is>
          <t>YTD</t>
        </is>
      </c>
      <c r="HU2" s="130" t="n"/>
      <c r="HV2" s="130" t="n"/>
      <c r="HW2" s="163" t="inlineStr">
        <is>
          <t>TRI</t>
        </is>
      </c>
      <c r="HX2" s="130" t="n"/>
      <c r="HY2" s="130" t="n"/>
      <c r="HZ2" s="150" t="inlineStr">
        <is>
          <t>MÊS</t>
        </is>
      </c>
      <c r="IA2" s="152" t="n"/>
      <c r="IB2" s="152" t="n"/>
      <c r="IC2" s="152" t="n"/>
      <c r="ID2" s="152" t="n"/>
      <c r="IE2" s="152" t="n"/>
      <c r="IF2" s="152" t="n"/>
      <c r="IG2" s="152" t="n"/>
      <c r="IH2" s="152" t="n"/>
      <c r="II2" s="163" t="inlineStr">
        <is>
          <t>YTD</t>
        </is>
      </c>
      <c r="IJ2" s="130" t="n"/>
      <c r="IK2" s="130" t="n"/>
      <c r="IL2" s="163" t="inlineStr">
        <is>
          <t>TRI</t>
        </is>
      </c>
      <c r="IM2" s="130" t="n"/>
      <c r="IN2" s="130" t="n"/>
      <c r="IO2" s="150" t="inlineStr">
        <is>
          <t>MÊS</t>
        </is>
      </c>
      <c r="IP2" s="152" t="n"/>
      <c r="IQ2" s="152" t="n"/>
      <c r="IR2" s="152" t="n"/>
      <c r="IS2" s="152" t="n"/>
      <c r="IT2" s="152" t="n"/>
      <c r="IU2" s="152" t="n"/>
      <c r="IV2" s="152" t="n"/>
      <c r="IW2" s="152" t="n"/>
    </row>
    <row r="3" ht="31.5" customHeight="1" s="117">
      <c r="A3" s="164" t="inlineStr">
        <is>
          <t>NOME FANTASIA</t>
        </is>
      </c>
      <c r="B3" s="165" t="inlineStr">
        <is>
          <t>CNPJ</t>
        </is>
      </c>
      <c r="C3" s="165" t="inlineStr">
        <is>
          <t>RAZÃO SOCIAL</t>
        </is>
      </c>
      <c r="D3" s="165" t="inlineStr">
        <is>
          <t>UF</t>
        </is>
      </c>
      <c r="E3" s="165" t="inlineStr">
        <is>
          <t>CIDADE</t>
        </is>
      </c>
      <c r="F3" s="165" t="inlineStr">
        <is>
          <t>EMAIL</t>
        </is>
      </c>
      <c r="G3" s="165" t="inlineStr">
        <is>
          <t>TELEFONE</t>
        </is>
      </c>
      <c r="H3" s="165" t="inlineStr">
        <is>
          <t>DATA CADASTRO</t>
        </is>
      </c>
      <c r="I3" s="164" t="inlineStr">
        <is>
          <t>REDE / REGIONAL</t>
        </is>
      </c>
      <c r="J3" s="165" t="n"/>
      <c r="K3" s="165" t="inlineStr">
        <is>
          <t>ÚLT. REGISTRO MERCOS</t>
        </is>
      </c>
      <c r="L3" s="164" t="inlineStr">
        <is>
          <t>CONSULTOR</t>
        </is>
      </c>
      <c r="M3" s="165" t="inlineStr">
        <is>
          <t>VENDEDOR ÚLTIMO PEDIDO</t>
        </is>
      </c>
      <c r="N3" s="164" t="inlineStr">
        <is>
          <t>SITUAÇÃO</t>
        </is>
      </c>
      <c r="O3" s="165" t="inlineStr">
        <is>
          <t>PRIORIDADE</t>
        </is>
      </c>
      <c r="P3" s="164" t="inlineStr">
        <is>
          <t>DIAS SEM COMPRA</t>
        </is>
      </c>
      <c r="Q3" s="165" t="inlineStr">
        <is>
          <t>DATA ÚLTIMO PEDIDO</t>
        </is>
      </c>
      <c r="R3" s="165" t="inlineStr">
        <is>
          <t>VALOR ÚLTIMO PEDIDO</t>
        </is>
      </c>
      <c r="S3" s="164" t="inlineStr">
        <is>
          <t>📊 ACESSOS SEMANA</t>
        </is>
      </c>
      <c r="T3" s="165" t="inlineStr">
        <is>
          <t>ACESSO B2B</t>
        </is>
      </c>
      <c r="U3" s="165" t="inlineStr">
        <is>
          <t>ACESSOS PORTAL</t>
        </is>
      </c>
      <c r="V3" s="165" t="inlineStr">
        <is>
          <t>ITENS CARRINHO</t>
        </is>
      </c>
      <c r="W3" s="165" t="inlineStr">
        <is>
          <t>VALOR B2B</t>
        </is>
      </c>
      <c r="X3" s="165" t="inlineStr">
        <is>
          <t>OPORTUNIDADE</t>
        </is>
      </c>
      <c r="Y3" s="164" t="inlineStr">
        <is>
          <t>TOTAL PERÍODO</t>
        </is>
      </c>
      <c r="Z3" s="165" t="inlineStr">
        <is>
          <t>MAR/25</t>
        </is>
      </c>
      <c r="AA3" s="165" t="inlineStr">
        <is>
          <t>ABR/25</t>
        </is>
      </c>
      <c r="AB3" s="165" t="inlineStr">
        <is>
          <t>MAI/25</t>
        </is>
      </c>
      <c r="AC3" s="165" t="inlineStr">
        <is>
          <t>JUN/25</t>
        </is>
      </c>
      <c r="AD3" s="165" t="inlineStr">
        <is>
          <t>JUL/25</t>
        </is>
      </c>
      <c r="AE3" s="165" t="inlineStr">
        <is>
          <t>AGO/25</t>
        </is>
      </c>
      <c r="AF3" s="165" t="inlineStr">
        <is>
          <t>SET/25</t>
        </is>
      </c>
      <c r="AG3" s="165" t="inlineStr">
        <is>
          <t>OUT/25</t>
        </is>
      </c>
      <c r="AH3" s="165" t="inlineStr">
        <is>
          <t>NOV/25</t>
        </is>
      </c>
      <c r="AI3" s="165" t="inlineStr">
        <is>
          <t>DEZ/25</t>
        </is>
      </c>
      <c r="AJ3" s="165" t="inlineStr">
        <is>
          <t>JAN/26</t>
        </is>
      </c>
      <c r="AK3" s="164" t="inlineStr">
        <is>
          <t>CICLO MÉDIO</t>
        </is>
      </c>
      <c r="AL3" s="165" t="inlineStr">
        <is>
          <t>Nº COMPRAS</t>
        </is>
      </c>
      <c r="AM3" s="165" t="inlineStr">
        <is>
          <t>CURVA ABC</t>
        </is>
      </c>
      <c r="AN3" s="165" t="inlineStr">
        <is>
          <t>MESES POSITIVADO</t>
        </is>
      </c>
      <c r="AO3" s="165" t="inlineStr">
        <is>
          <t>MÉDIA MENSAL</t>
        </is>
      </c>
      <c r="AP3" s="165" t="inlineStr">
        <is>
          <t>TICKET MÉDIO</t>
        </is>
      </c>
      <c r="AQ3" s="165" t="inlineStr">
        <is>
          <t>MESES LISTA</t>
        </is>
      </c>
      <c r="AR3" s="166" t="inlineStr">
        <is>
          <t>ESTÁGIO FUNIL</t>
        </is>
      </c>
      <c r="AS3" s="167" t="inlineStr">
        <is>
          <t>PRÓX. FOLLOW-UP</t>
        </is>
      </c>
      <c r="AT3" s="167" t="inlineStr">
        <is>
          <t>DATA ÚLT.ATENDIMENTO</t>
        </is>
      </c>
      <c r="AU3" s="167" t="inlineStr">
        <is>
          <t>ÚLTIMO RESULTADO</t>
        </is>
      </c>
      <c r="AV3" s="167" t="inlineStr">
        <is>
          <t>MOTIVO</t>
        </is>
      </c>
      <c r="AW3" s="166" t="inlineStr">
        <is>
          <t>TIPO CLIENTE</t>
        </is>
      </c>
      <c r="AX3" s="167" t="inlineStr">
        <is>
          <t>TENTATIVA</t>
        </is>
      </c>
      <c r="AY3" s="166" t="inlineStr">
        <is>
          <t>FASE</t>
        </is>
      </c>
      <c r="AZ3" s="167" t="inlineStr">
        <is>
          <t>ÚLTIMA RECOMPRA</t>
        </is>
      </c>
      <c r="BA3" s="166" t="inlineStr">
        <is>
          <t>🔥 TEMPERATURA</t>
        </is>
      </c>
      <c r="BB3" s="167" t="inlineStr">
        <is>
          <t>DIAS ATÉ CONVERSÃO</t>
        </is>
      </c>
      <c r="BC3" s="167" t="inlineStr">
        <is>
          <t>DATA 1º CONTATO</t>
        </is>
      </c>
      <c r="BD3" s="167" t="inlineStr">
        <is>
          <t>DATA 1º ORÇAMENTO</t>
        </is>
      </c>
      <c r="BE3" s="167" t="inlineStr">
        <is>
          <t>DATA 1ª VENDA</t>
        </is>
      </c>
      <c r="BF3" s="167" t="inlineStr">
        <is>
          <t>TOTAL TENTATIVAS</t>
        </is>
      </c>
      <c r="BG3" s="166" t="inlineStr">
        <is>
          <t>PRÓX. AÇÃO</t>
        </is>
      </c>
      <c r="BH3" s="167" t="inlineStr">
        <is>
          <t>AÇÃO DETALHADA</t>
        </is>
      </c>
      <c r="BI3" s="166" t="inlineStr">
        <is>
          <t>🚦 SINALEIRO</t>
        </is>
      </c>
      <c r="BJ3" s="168" t="inlineStr">
        <is>
          <t>CÓDIGO DO CLIENTE</t>
        </is>
      </c>
      <c r="BK3" s="168" t="inlineStr">
        <is>
          <t>DESCRIÇÃO GRUPO CLIENTE</t>
        </is>
      </c>
      <c r="BL3" s="168" t="inlineStr">
        <is>
          <t>ZP NOME GERENTE NACIONAL</t>
        </is>
      </c>
      <c r="BM3" s="168" t="inlineStr">
        <is>
          <t>ZR NOME REPRESENTANTE</t>
        </is>
      </c>
      <c r="BN3" s="168" t="inlineStr">
        <is>
          <t>ZV NOME VEND. INTERNO</t>
        </is>
      </c>
      <c r="BO3" s="168" t="inlineStr">
        <is>
          <t>01 NOME DO CANAL</t>
        </is>
      </c>
      <c r="BP3" s="168" t="inlineStr">
        <is>
          <t>02 NOME TIPO CLIENTE</t>
        </is>
      </c>
      <c r="BQ3" s="168" t="inlineStr">
        <is>
          <t>03 NOME MACROREGIÃO</t>
        </is>
      </c>
      <c r="BR3" s="168" t="inlineStr">
        <is>
          <t>04 NOME MICROREGIÃO</t>
        </is>
      </c>
      <c r="BS3" s="168" t="inlineStr">
        <is>
          <t>06 NOME GRUPO CHAVE</t>
        </is>
      </c>
      <c r="BT3" s="168" t="inlineStr">
        <is>
          <t>VENDA</t>
        </is>
      </c>
      <c r="BU3" s="169" t="inlineStr">
        <is>
          <t>% ATING.</t>
        </is>
      </c>
      <c r="BV3" s="170" t="inlineStr">
        <is>
          <t>% Q1</t>
        </is>
      </c>
      <c r="BW3" s="170" t="inlineStr">
        <is>
          <t>% YTD</t>
        </is>
      </c>
      <c r="BX3" s="170" t="inlineStr">
        <is>
          <t>META</t>
        </is>
      </c>
      <c r="BY3" s="170" t="inlineStr">
        <is>
          <t>REALIZADO</t>
        </is>
      </c>
      <c r="BZ3" s="170" t="inlineStr">
        <is>
          <t>% TRI</t>
        </is>
      </c>
      <c r="CA3" s="170" t="inlineStr">
        <is>
          <t>META</t>
        </is>
      </c>
      <c r="CB3" s="170" t="inlineStr">
        <is>
          <t>REALIZADO</t>
        </is>
      </c>
      <c r="CC3" s="170" t="inlineStr">
        <is>
          <t>% MÊS</t>
        </is>
      </c>
      <c r="CD3" s="170" t="inlineStr">
        <is>
          <t>META</t>
        </is>
      </c>
      <c r="CE3" s="170" t="inlineStr">
        <is>
          <t>REALIZADO</t>
        </is>
      </c>
      <c r="CF3" s="170" t="inlineStr">
        <is>
          <t>DATA PEDIDO</t>
        </is>
      </c>
      <c r="CG3" s="170" t="inlineStr">
        <is>
          <t>JUSTIFICATIVA SEMANA 1</t>
        </is>
      </c>
      <c r="CH3" s="170" t="inlineStr">
        <is>
          <t>JUSTIFICATIVA SEMANA 2</t>
        </is>
      </c>
      <c r="CI3" s="170" t="inlineStr">
        <is>
          <t>JUSTIFICATIVA SEMANA 3</t>
        </is>
      </c>
      <c r="CJ3" s="170" t="inlineStr">
        <is>
          <t>JUSTIFICATIVA SEMANA 4</t>
        </is>
      </c>
      <c r="CK3" s="170" t="inlineStr">
        <is>
          <t>JUSTIFICATIVA MENSAL</t>
        </is>
      </c>
      <c r="CL3" s="170" t="inlineStr">
        <is>
          <t>% YTD</t>
        </is>
      </c>
      <c r="CM3" s="170" t="inlineStr">
        <is>
          <t>META</t>
        </is>
      </c>
      <c r="CN3" s="170" t="inlineStr">
        <is>
          <t>REALIZADO</t>
        </is>
      </c>
      <c r="CO3" s="170" t="inlineStr">
        <is>
          <t>% TRI</t>
        </is>
      </c>
      <c r="CP3" s="170" t="inlineStr">
        <is>
          <t>META</t>
        </is>
      </c>
      <c r="CQ3" s="170" t="inlineStr">
        <is>
          <t>REALIZADO</t>
        </is>
      </c>
      <c r="CR3" s="170" t="inlineStr">
        <is>
          <t>% MÊS</t>
        </is>
      </c>
      <c r="CS3" s="170" t="inlineStr">
        <is>
          <t>META</t>
        </is>
      </c>
      <c r="CT3" s="170" t="inlineStr">
        <is>
          <t>REALIZADO</t>
        </is>
      </c>
      <c r="CU3" s="170" t="inlineStr">
        <is>
          <t>DATA PEDIDO</t>
        </is>
      </c>
      <c r="CV3" s="170" t="inlineStr">
        <is>
          <t>JUSTIFICATIVA SEMANA 1</t>
        </is>
      </c>
      <c r="CW3" s="170" t="inlineStr">
        <is>
          <t>JUSTIFICATIVA SEMANA 2</t>
        </is>
      </c>
      <c r="CX3" s="170" t="inlineStr">
        <is>
          <t>JUSTIFICATIVA SEMANA 3</t>
        </is>
      </c>
      <c r="CY3" s="170" t="inlineStr">
        <is>
          <t>JUSTIFICATIVA SEMANA 4</t>
        </is>
      </c>
      <c r="CZ3" s="170" t="inlineStr">
        <is>
          <t>JUSTIFICATIVA MENSAL</t>
        </is>
      </c>
      <c r="DA3" s="170" t="inlineStr">
        <is>
          <t>% YTD</t>
        </is>
      </c>
      <c r="DB3" s="170" t="inlineStr">
        <is>
          <t>META</t>
        </is>
      </c>
      <c r="DC3" s="170" t="inlineStr">
        <is>
          <t>REALIZADO</t>
        </is>
      </c>
      <c r="DD3" s="170" t="inlineStr">
        <is>
          <t>% TRI</t>
        </is>
      </c>
      <c r="DE3" s="170" t="inlineStr">
        <is>
          <t>META</t>
        </is>
      </c>
      <c r="DF3" s="170" t="inlineStr">
        <is>
          <t>REALIZADO</t>
        </is>
      </c>
      <c r="DG3" s="170" t="inlineStr">
        <is>
          <t>% MÊS</t>
        </is>
      </c>
      <c r="DH3" s="170" t="inlineStr">
        <is>
          <t>META</t>
        </is>
      </c>
      <c r="DI3" s="170" t="inlineStr">
        <is>
          <t>REALIZADO</t>
        </is>
      </c>
      <c r="DJ3" s="170" t="inlineStr">
        <is>
          <t>DATA PEDIDO</t>
        </is>
      </c>
      <c r="DK3" s="170" t="inlineStr">
        <is>
          <t>JUSTIFICATIVA SEMANA 1</t>
        </is>
      </c>
      <c r="DL3" s="170" t="inlineStr">
        <is>
          <t>JUSTIFICATIVA SEMANA 2</t>
        </is>
      </c>
      <c r="DM3" s="170" t="inlineStr">
        <is>
          <t>JUSTIFICATIVA SEMANA 3</t>
        </is>
      </c>
      <c r="DN3" s="170" t="inlineStr">
        <is>
          <t>JUSTIFICATIVA SEMANA 4</t>
        </is>
      </c>
      <c r="DO3" s="170" t="inlineStr">
        <is>
          <t>JUSTIFICATIVA MENSAL</t>
        </is>
      </c>
      <c r="DP3" s="169" t="inlineStr">
        <is>
          <t>% Q2</t>
        </is>
      </c>
      <c r="DQ3" s="169" t="inlineStr">
        <is>
          <t>% YTD</t>
        </is>
      </c>
      <c r="DR3" s="169" t="inlineStr">
        <is>
          <t>META</t>
        </is>
      </c>
      <c r="DS3" s="169" t="inlineStr">
        <is>
          <t>REALIZADO</t>
        </is>
      </c>
      <c r="DT3" s="169" t="inlineStr">
        <is>
          <t>% TRI</t>
        </is>
      </c>
      <c r="DU3" s="169" t="inlineStr">
        <is>
          <t>META</t>
        </is>
      </c>
      <c r="DV3" s="169" t="inlineStr">
        <is>
          <t>REALIZADO</t>
        </is>
      </c>
      <c r="DW3" s="169" t="inlineStr">
        <is>
          <t>% MÊS</t>
        </is>
      </c>
      <c r="DX3" s="169" t="inlineStr">
        <is>
          <t>META</t>
        </is>
      </c>
      <c r="DY3" s="169" t="inlineStr">
        <is>
          <t>REALIZADO</t>
        </is>
      </c>
      <c r="DZ3" s="169" t="inlineStr">
        <is>
          <t>DATA PEDIDO</t>
        </is>
      </c>
      <c r="EA3" s="169" t="inlineStr">
        <is>
          <t>JUSTIFICATIVA SEMANA 1</t>
        </is>
      </c>
      <c r="EB3" s="169" t="inlineStr">
        <is>
          <t>JUSTIFICATIVA SEMANA 2</t>
        </is>
      </c>
      <c r="EC3" s="169" t="inlineStr">
        <is>
          <t>JUSTIFICATIVA SEMANA 3</t>
        </is>
      </c>
      <c r="ED3" s="169" t="inlineStr">
        <is>
          <t>JUSTIFICATIVA SEMANA 4</t>
        </is>
      </c>
      <c r="EE3" s="169" t="inlineStr">
        <is>
          <t>JUSTIFICATIVA MENSAL</t>
        </is>
      </c>
      <c r="EF3" s="169" t="inlineStr">
        <is>
          <t>% YTD</t>
        </is>
      </c>
      <c r="EG3" s="169" t="inlineStr">
        <is>
          <t>META</t>
        </is>
      </c>
      <c r="EH3" s="169" t="inlineStr">
        <is>
          <t>REALIZADO</t>
        </is>
      </c>
      <c r="EI3" s="169" t="inlineStr">
        <is>
          <t>% TRI</t>
        </is>
      </c>
      <c r="EJ3" s="169" t="inlineStr">
        <is>
          <t>META</t>
        </is>
      </c>
      <c r="EK3" s="169" t="inlineStr">
        <is>
          <t>REALIZADO</t>
        </is>
      </c>
      <c r="EL3" s="169" t="inlineStr">
        <is>
          <t>% MÊS</t>
        </is>
      </c>
      <c r="EM3" s="169" t="inlineStr">
        <is>
          <t>META</t>
        </is>
      </c>
      <c r="EN3" s="169" t="inlineStr">
        <is>
          <t>REALIZADO</t>
        </is>
      </c>
      <c r="EO3" s="169" t="inlineStr">
        <is>
          <t>DATA PEDIDO</t>
        </is>
      </c>
      <c r="EP3" s="169" t="inlineStr">
        <is>
          <t>JUSTIFICATIVA SEMANA 1</t>
        </is>
      </c>
      <c r="EQ3" s="169" t="inlineStr">
        <is>
          <t>JUSTIFICATIVA SEMANA 2</t>
        </is>
      </c>
      <c r="ER3" s="169" t="inlineStr">
        <is>
          <t>JUSTIFICATIVA SEMANA 3</t>
        </is>
      </c>
      <c r="ES3" s="169" t="inlineStr">
        <is>
          <t>JUSTIFICATIVA SEMANA 4</t>
        </is>
      </c>
      <c r="ET3" s="169" t="inlineStr">
        <is>
          <t>JUSTIFICATIVA MENSAL</t>
        </is>
      </c>
      <c r="EU3" s="169" t="inlineStr">
        <is>
          <t>% YTD</t>
        </is>
      </c>
      <c r="EV3" s="169" t="inlineStr">
        <is>
          <t>META</t>
        </is>
      </c>
      <c r="EW3" s="169" t="inlineStr">
        <is>
          <t>REALIZADO</t>
        </is>
      </c>
      <c r="EX3" s="169" t="inlineStr">
        <is>
          <t>% TRI</t>
        </is>
      </c>
      <c r="EY3" s="169" t="inlineStr">
        <is>
          <t>META</t>
        </is>
      </c>
      <c r="EZ3" s="169" t="inlineStr">
        <is>
          <t>REALIZADO</t>
        </is>
      </c>
      <c r="FA3" s="169" t="inlineStr">
        <is>
          <t>% MÊS</t>
        </is>
      </c>
      <c r="FB3" s="169" t="inlineStr">
        <is>
          <t>META</t>
        </is>
      </c>
      <c r="FC3" s="169" t="inlineStr">
        <is>
          <t>REALIZADO</t>
        </is>
      </c>
      <c r="FD3" s="169" t="inlineStr">
        <is>
          <t>DATA PEDIDO</t>
        </is>
      </c>
      <c r="FE3" s="169" t="inlineStr">
        <is>
          <t>JUSTIFICATIVA SEMANA 1</t>
        </is>
      </c>
      <c r="FF3" s="169" t="inlineStr">
        <is>
          <t>JUSTIFICATIVA SEMANA 2</t>
        </is>
      </c>
      <c r="FG3" s="169" t="inlineStr">
        <is>
          <t>JUSTIFICATIVA SEMANA 3</t>
        </is>
      </c>
      <c r="FH3" s="169" t="inlineStr">
        <is>
          <t>JUSTIFICATIVA SEMANA 4</t>
        </is>
      </c>
      <c r="FI3" s="169" t="inlineStr">
        <is>
          <t>JUSTIFICATIVA MENSAL</t>
        </is>
      </c>
      <c r="FJ3" s="171" t="inlineStr">
        <is>
          <t>% Q3</t>
        </is>
      </c>
      <c r="FK3" s="171" t="inlineStr">
        <is>
          <t>% YTD</t>
        </is>
      </c>
      <c r="FL3" s="171" t="inlineStr">
        <is>
          <t>META</t>
        </is>
      </c>
      <c r="FM3" s="171" t="inlineStr">
        <is>
          <t>REALIZADO</t>
        </is>
      </c>
      <c r="FN3" s="171" t="inlineStr">
        <is>
          <t>% TRI</t>
        </is>
      </c>
      <c r="FO3" s="171" t="inlineStr">
        <is>
          <t>META</t>
        </is>
      </c>
      <c r="FP3" s="171" t="inlineStr">
        <is>
          <t>REALIZADO</t>
        </is>
      </c>
      <c r="FQ3" s="171" t="inlineStr">
        <is>
          <t>% MÊS</t>
        </is>
      </c>
      <c r="FR3" s="171" t="inlineStr">
        <is>
          <t>META</t>
        </is>
      </c>
      <c r="FS3" s="171" t="inlineStr">
        <is>
          <t>REALIZADO</t>
        </is>
      </c>
      <c r="FT3" s="171" t="inlineStr">
        <is>
          <t>DATA PEDIDO</t>
        </is>
      </c>
      <c r="FU3" s="171" t="inlineStr">
        <is>
          <t>JUSTIFICATIVA SEMANA 1</t>
        </is>
      </c>
      <c r="FV3" s="171" t="inlineStr">
        <is>
          <t>JUSTIFICATIVA SEMANA 2</t>
        </is>
      </c>
      <c r="FW3" s="171" t="inlineStr">
        <is>
          <t>JUSTIFICATIVA SEMANA 3</t>
        </is>
      </c>
      <c r="FX3" s="171" t="inlineStr">
        <is>
          <t>JUSTIFICATIVA SEMANA 4</t>
        </is>
      </c>
      <c r="FY3" s="171" t="inlineStr">
        <is>
          <t>JUSTIFICATIVA MENSAL</t>
        </is>
      </c>
      <c r="FZ3" s="171" t="inlineStr">
        <is>
          <t>% YTD</t>
        </is>
      </c>
      <c r="GA3" s="171" t="inlineStr">
        <is>
          <t>META</t>
        </is>
      </c>
      <c r="GB3" s="171" t="inlineStr">
        <is>
          <t>REALIZADO</t>
        </is>
      </c>
      <c r="GC3" s="171" t="inlineStr">
        <is>
          <t>% TRI</t>
        </is>
      </c>
      <c r="GD3" s="171" t="inlineStr">
        <is>
          <t>META</t>
        </is>
      </c>
      <c r="GE3" s="171" t="inlineStr">
        <is>
          <t>REALIZADO</t>
        </is>
      </c>
      <c r="GF3" s="171" t="inlineStr">
        <is>
          <t>% MÊS</t>
        </is>
      </c>
      <c r="GG3" s="171" t="inlineStr">
        <is>
          <t>META</t>
        </is>
      </c>
      <c r="GH3" s="171" t="inlineStr">
        <is>
          <t>REALIZADO</t>
        </is>
      </c>
      <c r="GI3" s="171" t="inlineStr">
        <is>
          <t>DATA PEDIDO</t>
        </is>
      </c>
      <c r="GJ3" s="171" t="inlineStr">
        <is>
          <t>JUSTIFICATIVA SEMANA 1</t>
        </is>
      </c>
      <c r="GK3" s="171" t="inlineStr">
        <is>
          <t>JUSTIFICATIVA SEMANA 2</t>
        </is>
      </c>
      <c r="GL3" s="171" t="inlineStr">
        <is>
          <t>JUSTIFICATIVA SEMANA 3</t>
        </is>
      </c>
      <c r="GM3" s="171" t="inlineStr">
        <is>
          <t>JUSTIFICATIVA SEMANA 4</t>
        </is>
      </c>
      <c r="GN3" s="171" t="inlineStr">
        <is>
          <t>JUSTIFICATIVA MENSAL</t>
        </is>
      </c>
      <c r="GO3" s="171" t="inlineStr">
        <is>
          <t>% YTD</t>
        </is>
      </c>
      <c r="GP3" s="171" t="inlineStr">
        <is>
          <t>META</t>
        </is>
      </c>
      <c r="GQ3" s="171" t="inlineStr">
        <is>
          <t>REALIZADO</t>
        </is>
      </c>
      <c r="GR3" s="171" t="inlineStr">
        <is>
          <t>% TRI</t>
        </is>
      </c>
      <c r="GS3" s="171" t="inlineStr">
        <is>
          <t>META</t>
        </is>
      </c>
      <c r="GT3" s="171" t="inlineStr">
        <is>
          <t>REALIZADO</t>
        </is>
      </c>
      <c r="GU3" s="171" t="inlineStr">
        <is>
          <t>% MÊS</t>
        </is>
      </c>
      <c r="GV3" s="171" t="inlineStr">
        <is>
          <t>META</t>
        </is>
      </c>
      <c r="GW3" s="171" t="inlineStr">
        <is>
          <t>REALIZADO</t>
        </is>
      </c>
      <c r="GX3" s="171" t="inlineStr">
        <is>
          <t>DATA PEDIDO</t>
        </is>
      </c>
      <c r="GY3" s="171" t="inlineStr">
        <is>
          <t>JUSTIFICATIVA SEMANA 1</t>
        </is>
      </c>
      <c r="GZ3" s="171" t="inlineStr">
        <is>
          <t>JUSTIFICATIVA SEMANA 2</t>
        </is>
      </c>
      <c r="HA3" s="171" t="inlineStr">
        <is>
          <t>JUSTIFICATIVA SEMANA 3</t>
        </is>
      </c>
      <c r="HB3" s="171" t="inlineStr">
        <is>
          <t>JUSTIFICATIVA SEMANA 4</t>
        </is>
      </c>
      <c r="HC3" s="171" t="inlineStr">
        <is>
          <t>JUSTIFICATIVA MENSAL</t>
        </is>
      </c>
      <c r="HD3" s="172" t="inlineStr">
        <is>
          <t>% Q4</t>
        </is>
      </c>
      <c r="HE3" s="172" t="inlineStr">
        <is>
          <t>% YTD</t>
        </is>
      </c>
      <c r="HF3" s="172" t="inlineStr">
        <is>
          <t>META</t>
        </is>
      </c>
      <c r="HG3" s="172" t="inlineStr">
        <is>
          <t>REALIZADO</t>
        </is>
      </c>
      <c r="HH3" s="172" t="inlineStr">
        <is>
          <t>% TRI</t>
        </is>
      </c>
      <c r="HI3" s="172" t="inlineStr">
        <is>
          <t>META</t>
        </is>
      </c>
      <c r="HJ3" s="172" t="inlineStr">
        <is>
          <t>REALIZADO</t>
        </is>
      </c>
      <c r="HK3" s="172" t="inlineStr">
        <is>
          <t>% MÊS</t>
        </is>
      </c>
      <c r="HL3" s="172" t="inlineStr">
        <is>
          <t>META</t>
        </is>
      </c>
      <c r="HM3" s="172" t="inlineStr">
        <is>
          <t>REALIZADO</t>
        </is>
      </c>
      <c r="HN3" s="172" t="inlineStr">
        <is>
          <t>DATA PEDIDO</t>
        </is>
      </c>
      <c r="HO3" s="172" t="inlineStr">
        <is>
          <t>JUSTIFICATIVA SEMANA 1</t>
        </is>
      </c>
      <c r="HP3" s="172" t="inlineStr">
        <is>
          <t>JUSTIFICATIVA SEMANA 2</t>
        </is>
      </c>
      <c r="HQ3" s="172" t="inlineStr">
        <is>
          <t>JUSTIFICATIVA SEMANA 3</t>
        </is>
      </c>
      <c r="HR3" s="172" t="inlineStr">
        <is>
          <t>JUSTIFICATIVA SEMANA 4</t>
        </is>
      </c>
      <c r="HS3" s="172" t="inlineStr">
        <is>
          <t>JUSTIFICATIVA MENSAL</t>
        </is>
      </c>
      <c r="HT3" s="172" t="inlineStr">
        <is>
          <t>% YTD</t>
        </is>
      </c>
      <c r="HU3" s="172" t="inlineStr">
        <is>
          <t>META</t>
        </is>
      </c>
      <c r="HV3" s="172" t="inlineStr">
        <is>
          <t>REALIZADO</t>
        </is>
      </c>
      <c r="HW3" s="172" t="inlineStr">
        <is>
          <t>% TRI</t>
        </is>
      </c>
      <c r="HX3" s="172" t="inlineStr">
        <is>
          <t>META</t>
        </is>
      </c>
      <c r="HY3" s="172" t="inlineStr">
        <is>
          <t>REALIZADO</t>
        </is>
      </c>
      <c r="HZ3" s="172" t="inlineStr">
        <is>
          <t>% MÊS</t>
        </is>
      </c>
      <c r="IA3" s="172" t="inlineStr">
        <is>
          <t>META</t>
        </is>
      </c>
      <c r="IB3" s="172" t="inlineStr">
        <is>
          <t>REALIZADO</t>
        </is>
      </c>
      <c r="IC3" s="172" t="inlineStr">
        <is>
          <t>DATA PEDIDO</t>
        </is>
      </c>
      <c r="ID3" s="172" t="inlineStr">
        <is>
          <t>JUSTIFICATIVA SEMANA 1</t>
        </is>
      </c>
      <c r="IE3" s="172" t="inlineStr">
        <is>
          <t>JUSTIFICATIVA SEMANA 2</t>
        </is>
      </c>
      <c r="IF3" s="172" t="inlineStr">
        <is>
          <t>JUSTIFICATIVA SEMANA 3</t>
        </is>
      </c>
      <c r="IG3" s="172" t="inlineStr">
        <is>
          <t>JUSTIFICATIVA SEMANA 4</t>
        </is>
      </c>
      <c r="IH3" s="172" t="inlineStr">
        <is>
          <t>JUSTIFICATIVA MENSAL</t>
        </is>
      </c>
      <c r="II3" s="172" t="inlineStr">
        <is>
          <t>% YTD</t>
        </is>
      </c>
      <c r="IJ3" s="172" t="inlineStr">
        <is>
          <t>META</t>
        </is>
      </c>
      <c r="IK3" s="172" t="inlineStr">
        <is>
          <t>REALIZADO</t>
        </is>
      </c>
      <c r="IL3" s="172" t="inlineStr">
        <is>
          <t>% TRI</t>
        </is>
      </c>
      <c r="IM3" s="172" t="inlineStr">
        <is>
          <t>META</t>
        </is>
      </c>
      <c r="IN3" s="172" t="inlineStr">
        <is>
          <t>REALIZADO</t>
        </is>
      </c>
      <c r="IO3" s="172" t="inlineStr">
        <is>
          <t>% MÊS</t>
        </is>
      </c>
      <c r="IP3" s="172" t="inlineStr">
        <is>
          <t>META</t>
        </is>
      </c>
      <c r="IQ3" s="172" t="inlineStr">
        <is>
          <t>REALIZADO</t>
        </is>
      </c>
      <c r="IR3" s="172" t="inlineStr">
        <is>
          <t>DATA PEDIDO</t>
        </is>
      </c>
      <c r="IS3" s="172" t="inlineStr">
        <is>
          <t>JUSTIFICATIVA SEMANA 1</t>
        </is>
      </c>
      <c r="IT3" s="172" t="inlineStr">
        <is>
          <t>JUSTIFICATIVA SEMANA 2</t>
        </is>
      </c>
      <c r="IU3" s="172" t="inlineStr">
        <is>
          <t>JUSTIFICATIVA SEMANA 3</t>
        </is>
      </c>
      <c r="IV3" s="172" t="inlineStr">
        <is>
          <t>JUSTIFICATIVA SEMANA 4</t>
        </is>
      </c>
      <c r="IW3" s="172" t="inlineStr">
        <is>
          <t>JUSTIFICATIVA MENSAL</t>
        </is>
      </c>
    </row>
    <row r="4" ht="15" customHeight="1" s="117">
      <c r="A4" s="116">
        <f>IFERROR(INDEX('DRAFT 1'!$A:$A,MATCH($B4,'DRAFT 1'!$B:$B,0)),"")</f>
        <v/>
      </c>
      <c r="B4" s="116" t="inlineStr">
        <is>
          <t>32828171000108</t>
        </is>
      </c>
      <c r="C4" s="116">
        <f>IFERROR(INDEX('DRAFT 1'!$C:$C,MATCH($B4,'DRAFT 1'!$B:$B,0)),"")</f>
        <v/>
      </c>
      <c r="D4" s="116">
        <f>IFERROR(INDEX('DRAFT 1'!$D:$D,MATCH($B4,'DRAFT 1'!$B:$B,0)),"")</f>
        <v/>
      </c>
      <c r="E4" s="116">
        <f>IFERROR(INDEX('DRAFT 1'!$E:$E,MATCH($B4,'DRAFT 1'!$B:$B,0)),"")</f>
        <v/>
      </c>
      <c r="F4" s="116">
        <f>IFERROR(INDEX('DRAFT 1'!$F:$F,MATCH($B4,'DRAFT 1'!$B:$B,0)),"")</f>
        <v/>
      </c>
      <c r="G4" s="116">
        <f>IFERROR(INDEX('DRAFT 1'!$G:$G,MATCH($B4,'DRAFT 1'!$B:$B,0)),"")</f>
        <v/>
      </c>
      <c r="H4" s="116">
        <f>IFERROR(INDEX('DRAFT 1'!$H:$H,MATCH($B4,'DRAFT 1'!$B:$B,0)),"")</f>
        <v/>
      </c>
      <c r="I4" s="116" t="inlineStr">
        <is>
          <t>MUNDO VERDE</t>
        </is>
      </c>
      <c r="K4" s="116">
        <f>IFERROR(INDEX('DRAFT 1'!$AL:$AL,MATCH($B4,'DRAFT 1'!$B:$B,0)),"")</f>
        <v/>
      </c>
      <c r="L4" s="116">
        <f>IFERROR(INDEX('DRAFT 1'!$J:$J,MATCH($B4,'DRAFT 1'!$B:$B,0)),"")</f>
        <v/>
      </c>
      <c r="M4" s="116">
        <f>IFERROR(INDEX('DRAFT 1'!$K:$K,MATCH($B4,'DRAFT 1'!$B:$B,0)),"")</f>
        <v/>
      </c>
      <c r="N4" s="116" t="inlineStr">
        <is>
          <t>EM RISCO</t>
        </is>
      </c>
      <c r="O4" s="116">
        <f>IF(N4="EM RISCO",1,IF(N4="INAT.REC",2,IF(N4="ATIVO",3,IF(N4="INAT.ANT",4,5))))</f>
        <v/>
      </c>
      <c r="P4" s="116">
        <f>IFERROR(INDEX('DRAFT 1'!$L:$L,MATCH($B4,'DRAFT 1'!$B:$B,0)),"")</f>
        <v/>
      </c>
      <c r="Q4" s="116">
        <f>IFERROR(INDEX('DRAFT 1'!$M:$M,MATCH($B4,'DRAFT 1'!$B:$B,0)),"")</f>
        <v/>
      </c>
      <c r="R4" s="116">
        <f>IFERROR(INDEX('DRAFT 1'!$N:$N,MATCH($B4,'DRAFT 1'!$B:$B,0)),"")</f>
        <v/>
      </c>
      <c r="S4" s="116">
        <f>IFERROR(INDEX('DRAFT 1'!$O:$O,MATCH($B4,'DRAFT 1'!$B:$B,0)),"")</f>
        <v/>
      </c>
      <c r="T4" s="116">
        <f>IFERROR(INDEX('DRAFT 1'!$P:$P,MATCH($B4,'DRAFT 1'!$B:$B,0)),"")</f>
        <v/>
      </c>
      <c r="U4" s="116">
        <f>IFERROR(INDEX('DRAFT 1'!$Q:$Q,MATCH($B4,'DRAFT 1'!$B:$B,0)),"")</f>
        <v/>
      </c>
      <c r="V4" s="116">
        <f>IFERROR(INDEX('DRAFT 1'!$R:$R,MATCH($B4,'DRAFT 1'!$B:$B,0)),"")</f>
        <v/>
      </c>
      <c r="W4" s="116">
        <f>IFERROR(INDEX('DRAFT 1'!$S:$S,MATCH($B4,'DRAFT 1'!$B:$B,0)),"")</f>
        <v/>
      </c>
      <c r="X4" s="116">
        <f>IFERROR(INDEX('DRAFT 1'!$T:$T,MATCH($B4,'DRAFT 1'!$B:$B,0)),"")</f>
        <v/>
      </c>
      <c r="Y4" s="116">
        <f>SUM(Z4:AJ4)</f>
        <v/>
      </c>
      <c r="Z4" s="116">
        <f>IFERROR(INDEX('DRAFT 1'!$U:$U,MATCH($B4,'DRAFT 1'!$B:$B,0)),"")</f>
        <v/>
      </c>
      <c r="AA4" s="116">
        <f>IFERROR(INDEX('DRAFT 1'!$V:$V,MATCH($B4,'DRAFT 1'!$B:$B,0)),"")</f>
        <v/>
      </c>
      <c r="AB4" s="116">
        <f>IFERROR(INDEX('DRAFT 1'!$W:$W,MATCH($B4,'DRAFT 1'!$B:$B,0)),"")</f>
        <v/>
      </c>
      <c r="AC4" s="116">
        <f>IFERROR(INDEX('DRAFT 1'!$X:$X,MATCH($B4,'DRAFT 1'!$B:$B,0)),"")</f>
        <v/>
      </c>
      <c r="AD4" s="116">
        <f>IFERROR(INDEX('DRAFT 1'!$Y:$Y,MATCH($B4,'DRAFT 1'!$B:$B,0)),"")</f>
        <v/>
      </c>
      <c r="AE4" s="116">
        <f>IFERROR(INDEX('DRAFT 1'!$Z:$Z,MATCH($B4,'DRAFT 1'!$B:$B,0)),"")</f>
        <v/>
      </c>
      <c r="AF4" s="116">
        <f>IFERROR(INDEX('DRAFT 1'!$AA:$AA,MATCH($B4,'DRAFT 1'!$B:$B,0)),"")</f>
        <v/>
      </c>
      <c r="AG4" s="116">
        <f>IFERROR(INDEX('DRAFT 1'!$AB:$AB,MATCH($B4,'DRAFT 1'!$B:$B,0)),"")</f>
        <v/>
      </c>
      <c r="AH4" s="116">
        <f>IFERROR(INDEX('DRAFT 1'!$AC:$AC,MATCH($B4,'DRAFT 1'!$B:$B,0)),"")</f>
        <v/>
      </c>
      <c r="AI4" s="116">
        <f>IFERROR(INDEX('DRAFT 1'!$AD:$AD,MATCH($B4,'DRAFT 1'!$B:$B,0)),"")</f>
        <v/>
      </c>
      <c r="AJ4" s="116">
        <f>IFERROR(INDEX('DRAFT 1'!$AE:$AE,MATCH($B4,'DRAFT 1'!$B:$B,0)),"")</f>
        <v/>
      </c>
      <c r="AK4" s="116">
        <f>IFERROR(INDEX('DRAFT 1'!$AG:$AG,MATCH($B4,'DRAFT 1'!$B:$B,0)),"")</f>
        <v/>
      </c>
      <c r="AL4" s="116">
        <f>IFERROR(INDEX('DRAFT 1'!$AH:$AH,MATCH($B4,'DRAFT 1'!$B:$B,0)),"")</f>
        <v/>
      </c>
      <c r="AM4" s="116">
        <f>IFERROR(INDEX('DRAFT 1'!$AI:$AI,MATCH($B4,'DRAFT 1'!$B:$B,0)),"")</f>
        <v/>
      </c>
      <c r="AN4" s="116">
        <f>IFERROR(INDEX('DRAFT 1'!$AJ:$AJ,MATCH($B4,'DRAFT 1'!$B:$B,0)),"")</f>
        <v/>
      </c>
      <c r="AO4" s="116">
        <f>IFERROR(Y4/AN4,0)</f>
        <v/>
      </c>
      <c r="AP4" s="116">
        <f>IFERROR(INDEX('DRAFT 1'!$AK:$AK,MATCH($B4,'DRAFT 1'!$B:$B,0)),"")</f>
        <v/>
      </c>
      <c r="AR4" s="116" t="inlineStr">
        <is>
          <t>RECOMPRA</t>
        </is>
      </c>
      <c r="AS4" s="116">
        <f>IFERROR(LOOKUP(2,1/('DRAFT 2'!$D:$D=$B4),'DRAFT 2'!$T:$T),"")</f>
        <v/>
      </c>
      <c r="AT4" s="116">
        <f>IFERROR(LOOKUP(2,1/('DRAFT 2'!$D:$D=$B4),'DRAFT 2'!$A:$A),"")</f>
        <v/>
      </c>
      <c r="AU4" s="116">
        <f>IFERROR(LOOKUP(2,1/('DRAFT 2'!$D:$D=$B4),'DRAFT 2'!$R:$R),"")</f>
        <v/>
      </c>
      <c r="AV4" s="116">
        <f>IFERROR(LOOKUP(2,1/('DRAFT 2'!$D:$D=$B4),'DRAFT 2'!$S:$S),"")</f>
        <v/>
      </c>
      <c r="AW4" s="116" t="inlineStr">
        <is>
          <t>PROSPECT</t>
        </is>
      </c>
      <c r="AX4" s="116">
        <f>IFERROR(LOOKUP(2,1/('DRAFT 2'!$D:$D=$B4),'DRAFT 2'!$M:$M),"")</f>
        <v/>
      </c>
      <c r="AY4" s="116">
        <f>IFERROR(LOOKUP(2,1/('DRAFT 2'!$D:$D=$B4),'DRAFT 2'!$K:$K),"")</f>
        <v/>
      </c>
      <c r="BA4" s="116">
        <f>IF(N4="PROSPECT","❄️ FRIO",IF(OR(AR4="ORÇAMENTO",AR4="NEGOCIAÇÃO",AR4="CADASTRO"),"🔥 QUENTE",IF(OR(AR4="FOLLOW UP 7",AR4="FOLLOW UP 15",AR4="ATENDIMENTO"),"⚡ MORNO","❄️ FRIO")))</f>
        <v/>
      </c>
      <c r="BB4" s="116">
        <f>IF(BE4="","",BE4-BC4)</f>
        <v/>
      </c>
      <c r="BG4" s="116">
        <f>IFERROR(LOOKUP(2,1/('DRAFT 2'!$D:$D=$B4),'DRAFT 2'!$U:$U),"")</f>
        <v/>
      </c>
      <c r="BH4" s="116">
        <f>IFERROR(LOOKUP(2,1/('DRAFT 2'!$D:$D=$B4),'DRAFT 2'!$V:$V),"")</f>
        <v/>
      </c>
      <c r="BI4" s="116">
        <f>IF(Q4="","🟣",IF(P4&lt;=IF(AK4="",45,AK4),"🟢",IF(P4&lt;=IF(AK4="",45,AK4)+30,"🟡","🔴")))</f>
        <v/>
      </c>
      <c r="BJ4" s="116" t="inlineStr">
        <is>
          <t>SAP001</t>
        </is>
      </c>
      <c r="BU4" s="173">
        <f>CR4</f>
        <v/>
      </c>
      <c r="BV4" s="173">
        <f>AVERAGE(CC4,CR4,DG4)</f>
        <v/>
      </c>
      <c r="BW4" s="174">
        <f>IF(BX4=0,1,BY4/BX4)</f>
        <v/>
      </c>
      <c r="BX4" s="175" t="n"/>
      <c r="BY4" s="175" t="n"/>
      <c r="BZ4" s="174">
        <f>IF(CA4=0,1,CB4/CA4)</f>
        <v/>
      </c>
      <c r="CA4" s="175" t="n"/>
      <c r="CB4" s="175" t="n"/>
      <c r="CC4" s="174">
        <f>IF(CD4=0,1,CE4/CD4)</f>
        <v/>
      </c>
      <c r="CD4" s="175" t="n"/>
      <c r="CE4" s="175">
        <f>IFERROR(AJ4,0)</f>
        <v/>
      </c>
      <c r="CF4" s="176">
        <f>IFERROR(LOOKUP(2,1/('DRAFT 2'!$D:$D=$B4)*('DRAFT 2'!$A:$A&gt;=DATE(2026,1,1))*('DRAFT 2'!$A:$A&lt;DATE(2026,IF(1=12,1+1,1+1),1)),'DRAFT 2'!$A:$A),"")</f>
        <v/>
      </c>
      <c r="CG4" s="116">
        <f>COUNTIFS('DRAFT 2'!$D:$D,$B4,'DRAFT 2'!$A:$A,"&gt;="&amp;DATE(2026,1,1),'DRAFT 2'!$A:$A,"&lt;="&amp;DATE(2026,1,7))</f>
        <v/>
      </c>
      <c r="CH4" s="116">
        <f>COUNTIFS('DRAFT 2'!$D:$D,$B4,'DRAFT 2'!$A:$A,"&gt;="&amp;DATE(2026,1,8),'DRAFT 2'!$A:$A,"&lt;="&amp;DATE(2026,1,14))</f>
        <v/>
      </c>
      <c r="CI4" s="116">
        <f>COUNTIFS('DRAFT 2'!$D:$D,$B4,'DRAFT 2'!$A:$A,"&gt;="&amp;DATE(2026,1,15),'DRAFT 2'!$A:$A,"&lt;="&amp;DATE(2026,1,21))</f>
        <v/>
      </c>
      <c r="CJ4" s="116">
        <f>COUNTIFS('DRAFT 2'!$D:$D,$B4,'DRAFT 2'!$A:$A,"&gt;="&amp;DATE(2026,1,22),'DRAFT 2'!$A:$A,"&lt;"&amp;DATE(2026,IF(1=12,1+1,1+1),1))</f>
        <v/>
      </c>
      <c r="CK4" s="116">
        <f>SUM(CG4:CJ4)</f>
        <v/>
      </c>
      <c r="CL4" s="174">
        <f>IF(CM4=0,1,CN4/CM4)</f>
        <v/>
      </c>
      <c r="CM4" s="175" t="n"/>
      <c r="CN4" s="175" t="n"/>
      <c r="CO4" s="174">
        <f>IF(CP4=0,1,CQ4/CP4)</f>
        <v/>
      </c>
      <c r="CP4" s="175" t="n"/>
      <c r="CQ4" s="175" t="n"/>
      <c r="CR4" s="174">
        <f>IF(CS4=0,1,CT4/CS4)</f>
        <v/>
      </c>
      <c r="CS4" s="175" t="n"/>
      <c r="CT4" s="175" t="n">
        <v>0</v>
      </c>
      <c r="CU4" s="176">
        <f>IFERROR(LOOKUP(2,1/('DRAFT 2'!$D:$D=$B4)*('DRAFT 2'!$A:$A&gt;=DATE(2026,2,1))*('DRAFT 2'!$A:$A&lt;DATE(2026,IF(2=12,2+1,2+1),1)),'DRAFT 2'!$A:$A),"")</f>
        <v/>
      </c>
      <c r="CV4" s="116">
        <f>COUNTIFS('DRAFT 2'!$D:$D,$B4,'DRAFT 2'!$A:$A,"&gt;="&amp;DATE(2026,2,1),'DRAFT 2'!$A:$A,"&lt;="&amp;DATE(2026,2,7))</f>
        <v/>
      </c>
      <c r="CW4" s="116">
        <f>COUNTIFS('DRAFT 2'!$D:$D,$B4,'DRAFT 2'!$A:$A,"&gt;="&amp;DATE(2026,2,8),'DRAFT 2'!$A:$A,"&lt;="&amp;DATE(2026,2,14))</f>
        <v/>
      </c>
      <c r="CX4" s="116">
        <f>COUNTIFS('DRAFT 2'!$D:$D,$B4,'DRAFT 2'!$A:$A,"&gt;="&amp;DATE(2026,2,15),'DRAFT 2'!$A:$A,"&lt;="&amp;DATE(2026,2,21))</f>
        <v/>
      </c>
      <c r="CY4" s="116">
        <f>COUNTIFS('DRAFT 2'!$D:$D,$B4,'DRAFT 2'!$A:$A,"&gt;="&amp;DATE(2026,2,22),'DRAFT 2'!$A:$A,"&lt;"&amp;DATE(2026,IF(2=12,2+1,2+1),1))</f>
        <v/>
      </c>
      <c r="CZ4" s="116">
        <f>SUM(CV4:CY4)</f>
        <v/>
      </c>
      <c r="DA4" s="174">
        <f>IF(DB4=0,1,DC4/DB4)</f>
        <v/>
      </c>
      <c r="DB4" s="175" t="n"/>
      <c r="DC4" s="175" t="n"/>
      <c r="DD4" s="174">
        <f>IF(DE4=0,1,DF4/DE4)</f>
        <v/>
      </c>
      <c r="DE4" s="175" t="n"/>
      <c r="DF4" s="175" t="n"/>
      <c r="DG4" s="174">
        <f>IF(DH4=0,1,DI4/DH4)</f>
        <v/>
      </c>
      <c r="DH4" s="175" t="n"/>
      <c r="DI4" s="175" t="n"/>
      <c r="DJ4" s="176">
        <f>IFERROR(LOOKUP(2,1/('DRAFT 2'!$D:$D=$B4)*('DRAFT 2'!$A:$A&gt;=DATE(2026,3,1))*('DRAFT 2'!$A:$A&lt;DATE(2026,IF(3=12,3+1,3+1),1)),'DRAFT 2'!$A:$A),"")</f>
        <v/>
      </c>
      <c r="DK4" s="116">
        <f>COUNTIFS('DRAFT 2'!$D:$D,$B4,'DRAFT 2'!$A:$A,"&gt;="&amp;DATE(2026,3,1),'DRAFT 2'!$A:$A,"&lt;="&amp;DATE(2026,3,7))</f>
        <v/>
      </c>
      <c r="DL4" s="116">
        <f>COUNTIFS('DRAFT 2'!$D:$D,$B4,'DRAFT 2'!$A:$A,"&gt;="&amp;DATE(2026,3,8),'DRAFT 2'!$A:$A,"&lt;="&amp;DATE(2026,3,14))</f>
        <v/>
      </c>
      <c r="DM4" s="116">
        <f>COUNTIFS('DRAFT 2'!$D:$D,$B4,'DRAFT 2'!$A:$A,"&gt;="&amp;DATE(2026,3,15),'DRAFT 2'!$A:$A,"&lt;="&amp;DATE(2026,3,21))</f>
        <v/>
      </c>
      <c r="DN4" s="116">
        <f>COUNTIFS('DRAFT 2'!$D:$D,$B4,'DRAFT 2'!$A:$A,"&gt;="&amp;DATE(2026,3,22),'DRAFT 2'!$A:$A,"&lt;"&amp;DATE(2026,IF(3=12,3+1,3+1),1))</f>
        <v/>
      </c>
      <c r="DO4" s="116">
        <f>SUM(DK4:DN4)</f>
        <v/>
      </c>
      <c r="DP4" s="173">
        <f>AVERAGE(DW4,EL4,FA4)</f>
        <v/>
      </c>
      <c r="DQ4" s="177">
        <f>IF(DR4=0,1,DS4/DR4)</f>
        <v/>
      </c>
      <c r="DR4" s="175" t="n"/>
      <c r="DS4" s="175" t="n"/>
      <c r="DT4" s="177">
        <f>IF(DU4=0,1,DV4/DU4)</f>
        <v/>
      </c>
      <c r="DU4" s="175" t="n"/>
      <c r="DV4" s="175" t="n"/>
      <c r="DW4" s="177">
        <f>IF(DX4=0,1,DY4/DX4)</f>
        <v/>
      </c>
      <c r="DX4" s="175" t="n"/>
      <c r="DY4" s="175" t="n"/>
      <c r="DZ4" s="176">
        <f>IFERROR(LOOKUP(2,1/('DRAFT 2'!$D:$D=$B4)*('DRAFT 2'!$A:$A&gt;=DATE(2026,4,1))*('DRAFT 2'!$A:$A&lt;DATE(2026,IF(4=12,4+1,4+1),1)),'DRAFT 2'!$A:$A),"")</f>
        <v/>
      </c>
      <c r="EA4" s="116">
        <f>COUNTIFS('DRAFT 2'!$D:$D,$B4,'DRAFT 2'!$A:$A,"&gt;="&amp;DATE(2026,4,1),'DRAFT 2'!$A:$A,"&lt;="&amp;DATE(2026,4,7))</f>
        <v/>
      </c>
      <c r="EB4" s="116">
        <f>COUNTIFS('DRAFT 2'!$D:$D,$B4,'DRAFT 2'!$A:$A,"&gt;="&amp;DATE(2026,4,8),'DRAFT 2'!$A:$A,"&lt;="&amp;DATE(2026,4,14))</f>
        <v/>
      </c>
      <c r="EC4" s="116">
        <f>COUNTIFS('DRAFT 2'!$D:$D,$B4,'DRAFT 2'!$A:$A,"&gt;="&amp;DATE(2026,4,15),'DRAFT 2'!$A:$A,"&lt;="&amp;DATE(2026,4,21))</f>
        <v/>
      </c>
      <c r="ED4" s="116">
        <f>COUNTIFS('DRAFT 2'!$D:$D,$B4,'DRAFT 2'!$A:$A,"&gt;="&amp;DATE(2026,4,22),'DRAFT 2'!$A:$A,"&lt;"&amp;DATE(2026,IF(4=12,4+1,4+1),1))</f>
        <v/>
      </c>
      <c r="EE4" s="116">
        <f>SUM(EA4:ED4)</f>
        <v/>
      </c>
      <c r="EF4" s="177">
        <f>IF(EG4=0,1,EH4/EG4)</f>
        <v/>
      </c>
      <c r="EG4" s="175" t="n"/>
      <c r="EH4" s="175" t="n"/>
      <c r="EI4" s="177">
        <f>IF(EJ4=0,1,EK4/EJ4)</f>
        <v/>
      </c>
      <c r="EJ4" s="175" t="n"/>
      <c r="EK4" s="175" t="n"/>
      <c r="EL4" s="177">
        <f>IF(EM4=0,1,EN4/EM4)</f>
        <v/>
      </c>
      <c r="EM4" s="175" t="n"/>
      <c r="EN4" s="175" t="n"/>
      <c r="EO4" s="176">
        <f>IFERROR(LOOKUP(2,1/('DRAFT 2'!$D:$D=$B4)*('DRAFT 2'!$A:$A&gt;=DATE(2026,5,1))*('DRAFT 2'!$A:$A&lt;DATE(2026,IF(5=12,5+1,5+1),1)),'DRAFT 2'!$A:$A),"")</f>
        <v/>
      </c>
      <c r="EP4" s="116">
        <f>COUNTIFS('DRAFT 2'!$D:$D,$B4,'DRAFT 2'!$A:$A,"&gt;="&amp;DATE(2026,5,1),'DRAFT 2'!$A:$A,"&lt;="&amp;DATE(2026,5,7))</f>
        <v/>
      </c>
      <c r="EQ4" s="116">
        <f>COUNTIFS('DRAFT 2'!$D:$D,$B4,'DRAFT 2'!$A:$A,"&gt;="&amp;DATE(2026,5,8),'DRAFT 2'!$A:$A,"&lt;="&amp;DATE(2026,5,14))</f>
        <v/>
      </c>
      <c r="ER4" s="116">
        <f>COUNTIFS('DRAFT 2'!$D:$D,$B4,'DRAFT 2'!$A:$A,"&gt;="&amp;DATE(2026,5,15),'DRAFT 2'!$A:$A,"&lt;="&amp;DATE(2026,5,21))</f>
        <v/>
      </c>
      <c r="ES4" s="116">
        <f>COUNTIFS('DRAFT 2'!$D:$D,$B4,'DRAFT 2'!$A:$A,"&gt;="&amp;DATE(2026,5,22),'DRAFT 2'!$A:$A,"&lt;"&amp;DATE(2026,IF(5=12,5+1,5+1),1))</f>
        <v/>
      </c>
      <c r="ET4" s="116">
        <f>SUM(EP4:ES4)</f>
        <v/>
      </c>
      <c r="EU4" s="177">
        <f>IF(EV4=0,1,EW4/EV4)</f>
        <v/>
      </c>
      <c r="EV4" s="175" t="n"/>
      <c r="EW4" s="175" t="n"/>
      <c r="EX4" s="177">
        <f>IF(EY4=0,1,EZ4/EY4)</f>
        <v/>
      </c>
      <c r="EY4" s="175" t="n"/>
      <c r="EZ4" s="175" t="n"/>
      <c r="FA4" s="177">
        <f>IF(FB4=0,1,FC4/FB4)</f>
        <v/>
      </c>
      <c r="FB4" s="175" t="n"/>
      <c r="FC4" s="175" t="n"/>
      <c r="FD4" s="176">
        <f>IFERROR(LOOKUP(2,1/('DRAFT 2'!$D:$D=$B4)*('DRAFT 2'!$A:$A&gt;=DATE(2026,6,1))*('DRAFT 2'!$A:$A&lt;DATE(2026,IF(6=12,6+1,6+1),1)),'DRAFT 2'!$A:$A),"")</f>
        <v/>
      </c>
      <c r="FE4" s="116">
        <f>COUNTIFS('DRAFT 2'!$D:$D,$B4,'DRAFT 2'!$A:$A,"&gt;="&amp;DATE(2026,6,1),'DRAFT 2'!$A:$A,"&lt;="&amp;DATE(2026,6,7))</f>
        <v/>
      </c>
      <c r="FF4" s="116">
        <f>COUNTIFS('DRAFT 2'!$D:$D,$B4,'DRAFT 2'!$A:$A,"&gt;="&amp;DATE(2026,6,8),'DRAFT 2'!$A:$A,"&lt;="&amp;DATE(2026,6,14))</f>
        <v/>
      </c>
      <c r="FG4" s="116">
        <f>COUNTIFS('DRAFT 2'!$D:$D,$B4,'DRAFT 2'!$A:$A,"&gt;="&amp;DATE(2026,6,15),'DRAFT 2'!$A:$A,"&lt;="&amp;DATE(2026,6,21))</f>
        <v/>
      </c>
      <c r="FH4" s="116">
        <f>COUNTIFS('DRAFT 2'!$D:$D,$B4,'DRAFT 2'!$A:$A,"&gt;="&amp;DATE(2026,6,22),'DRAFT 2'!$A:$A,"&lt;"&amp;DATE(2026,IF(6=12,6+1,6+1),1))</f>
        <v/>
      </c>
      <c r="FI4" s="116">
        <f>SUM(FE4:FH4)</f>
        <v/>
      </c>
      <c r="FJ4" s="173">
        <f>AVERAGE(FQ4,GF4,GU4)</f>
        <v/>
      </c>
      <c r="FK4" s="178">
        <f>IF(FL4=0,1,FM4/FL4)</f>
        <v/>
      </c>
      <c r="FL4" s="175" t="n"/>
      <c r="FM4" s="175" t="n"/>
      <c r="FN4" s="178">
        <f>IF(FO4=0,1,FP4/FO4)</f>
        <v/>
      </c>
      <c r="FO4" s="175" t="n"/>
      <c r="FP4" s="175" t="n"/>
      <c r="FQ4" s="178">
        <f>IF(FR4=0,1,FS4/FR4)</f>
        <v/>
      </c>
      <c r="FR4" s="175" t="n"/>
      <c r="FS4" s="175" t="n"/>
      <c r="FT4" s="176">
        <f>IFERROR(LOOKUP(2,1/('DRAFT 2'!$D:$D=$B4)*('DRAFT 2'!$A:$A&gt;=DATE(2026,7,1))*('DRAFT 2'!$A:$A&lt;DATE(2026,IF(7=12,7+1,7+1),1)),'DRAFT 2'!$A:$A),"")</f>
        <v/>
      </c>
      <c r="FU4" s="116">
        <f>COUNTIFS('DRAFT 2'!$D:$D,$B4,'DRAFT 2'!$A:$A,"&gt;="&amp;DATE(2026,7,1),'DRAFT 2'!$A:$A,"&lt;="&amp;DATE(2026,7,7))</f>
        <v/>
      </c>
      <c r="FV4" s="116">
        <f>COUNTIFS('DRAFT 2'!$D:$D,$B4,'DRAFT 2'!$A:$A,"&gt;="&amp;DATE(2026,7,8),'DRAFT 2'!$A:$A,"&lt;="&amp;DATE(2026,7,14))</f>
        <v/>
      </c>
      <c r="FW4" s="116">
        <f>COUNTIFS('DRAFT 2'!$D:$D,$B4,'DRAFT 2'!$A:$A,"&gt;="&amp;DATE(2026,7,15),'DRAFT 2'!$A:$A,"&lt;="&amp;DATE(2026,7,21))</f>
        <v/>
      </c>
      <c r="FX4" s="116">
        <f>COUNTIFS('DRAFT 2'!$D:$D,$B4,'DRAFT 2'!$A:$A,"&gt;="&amp;DATE(2026,7,22),'DRAFT 2'!$A:$A,"&lt;"&amp;DATE(2026,IF(7=12,7+1,7+1),1))</f>
        <v/>
      </c>
      <c r="FY4" s="116">
        <f>SUM(FU4:FX4)</f>
        <v/>
      </c>
      <c r="FZ4" s="178">
        <f>IF(GA4=0,1,GB4/GA4)</f>
        <v/>
      </c>
      <c r="GA4" s="175" t="n"/>
      <c r="GB4" s="175" t="n"/>
      <c r="GC4" s="178">
        <f>IF(GD4=0,1,GE4/GD4)</f>
        <v/>
      </c>
      <c r="GD4" s="175" t="n"/>
      <c r="GE4" s="175" t="n"/>
      <c r="GF4" s="178">
        <f>IF(GG4=0,1,GH4/GG4)</f>
        <v/>
      </c>
      <c r="GG4" s="175" t="n"/>
      <c r="GH4" s="175" t="n"/>
      <c r="GI4" s="176">
        <f>IFERROR(LOOKUP(2,1/('DRAFT 2'!$D:$D=$B4)*('DRAFT 2'!$A:$A&gt;=DATE(2026,8,1))*('DRAFT 2'!$A:$A&lt;DATE(2026,IF(8=12,8+1,8+1),1)),'DRAFT 2'!$A:$A),"")</f>
        <v/>
      </c>
      <c r="GJ4" s="116">
        <f>COUNTIFS('DRAFT 2'!$D:$D,$B4,'DRAFT 2'!$A:$A,"&gt;="&amp;DATE(2026,8,1),'DRAFT 2'!$A:$A,"&lt;="&amp;DATE(2026,8,7))</f>
        <v/>
      </c>
      <c r="GK4" s="116">
        <f>COUNTIFS('DRAFT 2'!$D:$D,$B4,'DRAFT 2'!$A:$A,"&gt;="&amp;DATE(2026,8,8),'DRAFT 2'!$A:$A,"&lt;="&amp;DATE(2026,8,14))</f>
        <v/>
      </c>
      <c r="GL4" s="116">
        <f>COUNTIFS('DRAFT 2'!$D:$D,$B4,'DRAFT 2'!$A:$A,"&gt;="&amp;DATE(2026,8,15),'DRAFT 2'!$A:$A,"&lt;="&amp;DATE(2026,8,21))</f>
        <v/>
      </c>
      <c r="GM4" s="116">
        <f>COUNTIFS('DRAFT 2'!$D:$D,$B4,'DRAFT 2'!$A:$A,"&gt;="&amp;DATE(2026,8,22),'DRAFT 2'!$A:$A,"&lt;"&amp;DATE(2026,IF(8=12,8+1,8+1),1))</f>
        <v/>
      </c>
      <c r="GN4" s="116">
        <f>SUM(GJ4:GM4)</f>
        <v/>
      </c>
      <c r="GO4" s="178">
        <f>IF(GP4=0,1,GQ4/GP4)</f>
        <v/>
      </c>
      <c r="GP4" s="175" t="n"/>
      <c r="GQ4" s="175" t="n"/>
      <c r="GR4" s="178">
        <f>IF(GS4=0,1,GT4/GS4)</f>
        <v/>
      </c>
      <c r="GS4" s="175" t="n"/>
      <c r="GT4" s="175" t="n"/>
      <c r="GU4" s="178">
        <f>IF(GV4=0,1,GW4/GV4)</f>
        <v/>
      </c>
      <c r="GV4" s="175" t="n"/>
      <c r="GW4" s="175" t="n"/>
      <c r="GX4" s="176">
        <f>IFERROR(LOOKUP(2,1/('DRAFT 2'!$D:$D=$B4)*('DRAFT 2'!$A:$A&gt;=DATE(2026,9,1))*('DRAFT 2'!$A:$A&lt;DATE(2026,IF(9=12,9+1,9+1),1)),'DRAFT 2'!$A:$A),"")</f>
        <v/>
      </c>
      <c r="GY4" s="116">
        <f>COUNTIFS('DRAFT 2'!$D:$D,$B4,'DRAFT 2'!$A:$A,"&gt;="&amp;DATE(2026,9,1),'DRAFT 2'!$A:$A,"&lt;="&amp;DATE(2026,9,7))</f>
        <v/>
      </c>
      <c r="GZ4" s="116">
        <f>COUNTIFS('DRAFT 2'!$D:$D,$B4,'DRAFT 2'!$A:$A,"&gt;="&amp;DATE(2026,9,8),'DRAFT 2'!$A:$A,"&lt;="&amp;DATE(2026,9,14))</f>
        <v/>
      </c>
      <c r="HA4" s="116">
        <f>COUNTIFS('DRAFT 2'!$D:$D,$B4,'DRAFT 2'!$A:$A,"&gt;="&amp;DATE(2026,9,15),'DRAFT 2'!$A:$A,"&lt;="&amp;DATE(2026,9,21))</f>
        <v/>
      </c>
      <c r="HB4" s="116">
        <f>COUNTIFS('DRAFT 2'!$D:$D,$B4,'DRAFT 2'!$A:$A,"&gt;="&amp;DATE(2026,9,22),'DRAFT 2'!$A:$A,"&lt;"&amp;DATE(2026,IF(9=12,9+1,9+1),1))</f>
        <v/>
      </c>
      <c r="HC4" s="116">
        <f>SUM(GY4:HB4)</f>
        <v/>
      </c>
      <c r="HD4" s="173">
        <f>AVERAGE(HK4,HZ4,IO4)</f>
        <v/>
      </c>
      <c r="HE4" s="179">
        <f>IF(HF4=0,1,HG4/HF4)</f>
        <v/>
      </c>
      <c r="HF4" s="175" t="n"/>
      <c r="HG4" s="175" t="n"/>
      <c r="HH4" s="179">
        <f>IF(HI4=0,1,HJ4/HI4)</f>
        <v/>
      </c>
      <c r="HI4" s="175" t="n"/>
      <c r="HJ4" s="175" t="n"/>
      <c r="HK4" s="179">
        <f>IF(HL4=0,1,HM4/HL4)</f>
        <v/>
      </c>
      <c r="HL4" s="175" t="n"/>
      <c r="HM4" s="175" t="n"/>
      <c r="HN4" s="176">
        <f>IFERROR(LOOKUP(2,1/('DRAFT 2'!$D:$D=$B4)*('DRAFT 2'!$A:$A&gt;=DATE(2026,10,1))*('DRAFT 2'!$A:$A&lt;DATE(2026,IF(10=12,10+1,10+1),1)),'DRAFT 2'!$A:$A),"")</f>
        <v/>
      </c>
      <c r="HO4" s="116">
        <f>COUNTIFS('DRAFT 2'!$D:$D,$B4,'DRAFT 2'!$A:$A,"&gt;="&amp;DATE(2026,10,1),'DRAFT 2'!$A:$A,"&lt;="&amp;DATE(2026,10,7))</f>
        <v/>
      </c>
      <c r="HP4" s="116">
        <f>COUNTIFS('DRAFT 2'!$D:$D,$B4,'DRAFT 2'!$A:$A,"&gt;="&amp;DATE(2026,10,8),'DRAFT 2'!$A:$A,"&lt;="&amp;DATE(2026,10,14))</f>
        <v/>
      </c>
      <c r="HQ4" s="116">
        <f>COUNTIFS('DRAFT 2'!$D:$D,$B4,'DRAFT 2'!$A:$A,"&gt;="&amp;DATE(2026,10,15),'DRAFT 2'!$A:$A,"&lt;="&amp;DATE(2026,10,21))</f>
        <v/>
      </c>
      <c r="HR4" s="116">
        <f>COUNTIFS('DRAFT 2'!$D:$D,$B4,'DRAFT 2'!$A:$A,"&gt;="&amp;DATE(2026,10,22),'DRAFT 2'!$A:$A,"&lt;"&amp;DATE(2026,IF(10=12,10+1,10+1),1))</f>
        <v/>
      </c>
      <c r="HS4" s="116">
        <f>SUM(HO4:HR4)</f>
        <v/>
      </c>
      <c r="HT4" s="179">
        <f>IF(HU4=0,1,HV4/HU4)</f>
        <v/>
      </c>
      <c r="HU4" s="175" t="n"/>
      <c r="HV4" s="175" t="n"/>
      <c r="HW4" s="179">
        <f>IF(HX4=0,1,HY4/HX4)</f>
        <v/>
      </c>
      <c r="HX4" s="175" t="n"/>
      <c r="HY4" s="175" t="n"/>
      <c r="HZ4" s="179">
        <f>IF(IA4=0,1,IB4/IA4)</f>
        <v/>
      </c>
      <c r="IA4" s="175" t="n"/>
      <c r="IB4" s="175" t="n"/>
      <c r="IC4" s="176">
        <f>IFERROR(LOOKUP(2,1/('DRAFT 2'!$D:$D=$B4)*('DRAFT 2'!$A:$A&gt;=DATE(2026,11,1))*('DRAFT 2'!$A:$A&lt;DATE(2026,IF(11=12,11+1,11+1),1)),'DRAFT 2'!$A:$A),"")</f>
        <v/>
      </c>
      <c r="ID4" s="116">
        <f>COUNTIFS('DRAFT 2'!$D:$D,$B4,'DRAFT 2'!$A:$A,"&gt;="&amp;DATE(2026,11,1),'DRAFT 2'!$A:$A,"&lt;="&amp;DATE(2026,11,7))</f>
        <v/>
      </c>
      <c r="IE4" s="116">
        <f>COUNTIFS('DRAFT 2'!$D:$D,$B4,'DRAFT 2'!$A:$A,"&gt;="&amp;DATE(2026,11,8),'DRAFT 2'!$A:$A,"&lt;="&amp;DATE(2026,11,14))</f>
        <v/>
      </c>
      <c r="IF4" s="116">
        <f>COUNTIFS('DRAFT 2'!$D:$D,$B4,'DRAFT 2'!$A:$A,"&gt;="&amp;DATE(2026,11,15),'DRAFT 2'!$A:$A,"&lt;="&amp;DATE(2026,11,21))</f>
        <v/>
      </c>
      <c r="IG4" s="116">
        <f>COUNTIFS('DRAFT 2'!$D:$D,$B4,'DRAFT 2'!$A:$A,"&gt;="&amp;DATE(2026,11,22),'DRAFT 2'!$A:$A,"&lt;"&amp;DATE(2026,IF(11=12,11+1,11+1),1))</f>
        <v/>
      </c>
      <c r="IH4" s="116">
        <f>SUM(ID4:IG4)</f>
        <v/>
      </c>
      <c r="II4" s="179">
        <f>IF(IJ4=0,1,IK4/IJ4)</f>
        <v/>
      </c>
      <c r="IJ4" s="175" t="n"/>
      <c r="IK4" s="175" t="n"/>
      <c r="IL4" s="179">
        <f>IF(IM4=0,1,IN4/IM4)</f>
        <v/>
      </c>
      <c r="IM4" s="175" t="n"/>
      <c r="IN4" s="175" t="n"/>
      <c r="IO4" s="179">
        <f>IF(IP4=0,1,IQ4/IP4)</f>
        <v/>
      </c>
      <c r="IP4" s="175" t="n"/>
      <c r="IQ4" s="175" t="n"/>
      <c r="IR4" s="176">
        <f>IFERROR(LOOKUP(2,1/('DRAFT 2'!$D:$D=$B4)*('DRAFT 2'!$A:$A&gt;=DATE(2026,12,1))*('DRAFT 2'!$A:$A&lt;DATE(2026,IF(12=12,12+1,12+1),1)),'DRAFT 2'!$A:$A),"")</f>
        <v/>
      </c>
      <c r="IS4" s="116">
        <f>COUNTIFS('DRAFT 2'!$D:$D,$B4,'DRAFT 2'!$A:$A,"&gt;="&amp;DATE(2026,12,1),'DRAFT 2'!$A:$A,"&lt;="&amp;DATE(2026,12,7))</f>
        <v/>
      </c>
      <c r="IT4" s="116">
        <f>COUNTIFS('DRAFT 2'!$D:$D,$B4,'DRAFT 2'!$A:$A,"&gt;="&amp;DATE(2026,12,8),'DRAFT 2'!$A:$A,"&lt;="&amp;DATE(2026,12,14))</f>
        <v/>
      </c>
      <c r="IU4" s="116">
        <f>COUNTIFS('DRAFT 2'!$D:$D,$B4,'DRAFT 2'!$A:$A,"&gt;="&amp;DATE(2026,12,15),'DRAFT 2'!$A:$A,"&lt;="&amp;DATE(2026,12,21))</f>
        <v/>
      </c>
      <c r="IV4" s="116">
        <f>COUNTIFS('DRAFT 2'!$D:$D,$B4,'DRAFT 2'!$A:$A,"&gt;="&amp;DATE(2026,12,22),'DRAFT 2'!$A:$A,"&lt;"&amp;DATE(2026,IF(12=12,12+1,12+1),1))</f>
        <v/>
      </c>
      <c r="IW4" s="116">
        <f>SUM(IS4:IV4)</f>
        <v/>
      </c>
    </row>
    <row r="5" ht="15" customHeight="1" s="117">
      <c r="A5" s="116">
        <f>IFERROR(INDEX('DRAFT 1'!$A:$A,MATCH($B5,'DRAFT 1'!$B:$B,0)),"")</f>
        <v/>
      </c>
      <c r="B5" s="116" t="inlineStr">
        <is>
          <t>41626544000140</t>
        </is>
      </c>
      <c r="C5" s="116">
        <f>IFERROR(INDEX('DRAFT 1'!$C:$C,MATCH($B5,'DRAFT 1'!$B:$B,0)),"")</f>
        <v/>
      </c>
      <c r="D5" s="116">
        <f>IFERROR(INDEX('DRAFT 1'!$D:$D,MATCH($B5,'DRAFT 1'!$B:$B,0)),"")</f>
        <v/>
      </c>
      <c r="E5" s="116">
        <f>IFERROR(INDEX('DRAFT 1'!$E:$E,MATCH($B5,'DRAFT 1'!$B:$B,0)),"")</f>
        <v/>
      </c>
      <c r="F5" s="116">
        <f>IFERROR(INDEX('DRAFT 1'!$F:$F,MATCH($B5,'DRAFT 1'!$B:$B,0)),"")</f>
        <v/>
      </c>
      <c r="G5" s="116">
        <f>IFERROR(INDEX('DRAFT 1'!$G:$G,MATCH($B5,'DRAFT 1'!$B:$B,0)),"")</f>
        <v/>
      </c>
      <c r="H5" s="116">
        <f>IFERROR(INDEX('DRAFT 1'!$H:$H,MATCH($B5,'DRAFT 1'!$B:$B,0)),"")</f>
        <v/>
      </c>
      <c r="I5" s="116" t="inlineStr">
        <is>
          <t>FIT LAND</t>
        </is>
      </c>
      <c r="K5" s="116">
        <f>IFERROR(INDEX('DRAFT 1'!$AL:$AL,MATCH($B5,'DRAFT 1'!$B:$B,0)),"")</f>
        <v/>
      </c>
      <c r="L5" s="116">
        <f>IFERROR(INDEX('DRAFT 1'!$J:$J,MATCH($B5,'DRAFT 1'!$B:$B,0)),"")</f>
        <v/>
      </c>
      <c r="M5" s="116">
        <f>IFERROR(INDEX('DRAFT 1'!$K:$K,MATCH($B5,'DRAFT 1'!$B:$B,0)),"")</f>
        <v/>
      </c>
      <c r="N5" s="116" t="inlineStr">
        <is>
          <t>EM RISCO</t>
        </is>
      </c>
      <c r="O5" s="116">
        <f>IF(N5="EM RISCO",1,IF(N5="INAT.REC",2,IF(N5="ATIVO",3,IF(N5="INAT.ANT",4,5))))</f>
        <v/>
      </c>
      <c r="P5" s="116">
        <f>IFERROR(INDEX('DRAFT 1'!$L:$L,MATCH($B5,'DRAFT 1'!$B:$B,0)),"")</f>
        <v/>
      </c>
      <c r="Q5" s="116">
        <f>IFERROR(INDEX('DRAFT 1'!$M:$M,MATCH($B5,'DRAFT 1'!$B:$B,0)),"")</f>
        <v/>
      </c>
      <c r="R5" s="116">
        <f>IFERROR(INDEX('DRAFT 1'!$N:$N,MATCH($B5,'DRAFT 1'!$B:$B,0)),"")</f>
        <v/>
      </c>
      <c r="S5" s="116">
        <f>IFERROR(INDEX('DRAFT 1'!$O:$O,MATCH($B5,'DRAFT 1'!$B:$B,0)),"")</f>
        <v/>
      </c>
      <c r="T5" s="116">
        <f>IFERROR(INDEX('DRAFT 1'!$P:$P,MATCH($B5,'DRAFT 1'!$B:$B,0)),"")</f>
        <v/>
      </c>
      <c r="U5" s="116">
        <f>IFERROR(INDEX('DRAFT 1'!$Q:$Q,MATCH($B5,'DRAFT 1'!$B:$B,0)),"")</f>
        <v/>
      </c>
      <c r="V5" s="116">
        <f>IFERROR(INDEX('DRAFT 1'!$R:$R,MATCH($B5,'DRAFT 1'!$B:$B,0)),"")</f>
        <v/>
      </c>
      <c r="W5" s="116">
        <f>IFERROR(INDEX('DRAFT 1'!$S:$S,MATCH($B5,'DRAFT 1'!$B:$B,0)),"")</f>
        <v/>
      </c>
      <c r="X5" s="116">
        <f>IFERROR(INDEX('DRAFT 1'!$T:$T,MATCH($B5,'DRAFT 1'!$B:$B,0)),"")</f>
        <v/>
      </c>
      <c r="Y5" s="116">
        <f>SUM(Z5:AJ5)</f>
        <v/>
      </c>
      <c r="Z5" s="116">
        <f>IFERROR(INDEX('DRAFT 1'!$U:$U,MATCH($B5,'DRAFT 1'!$B:$B,0)),"")</f>
        <v/>
      </c>
      <c r="AA5" s="116">
        <f>IFERROR(INDEX('DRAFT 1'!$V:$V,MATCH($B5,'DRAFT 1'!$B:$B,0)),"")</f>
        <v/>
      </c>
      <c r="AB5" s="116">
        <f>IFERROR(INDEX('DRAFT 1'!$W:$W,MATCH($B5,'DRAFT 1'!$B:$B,0)),"")</f>
        <v/>
      </c>
      <c r="AC5" s="116">
        <f>IFERROR(INDEX('DRAFT 1'!$X:$X,MATCH($B5,'DRAFT 1'!$B:$B,0)),"")</f>
        <v/>
      </c>
      <c r="AD5" s="116">
        <f>IFERROR(INDEX('DRAFT 1'!$Y:$Y,MATCH($B5,'DRAFT 1'!$B:$B,0)),"")</f>
        <v/>
      </c>
      <c r="AE5" s="116">
        <f>IFERROR(INDEX('DRAFT 1'!$Z:$Z,MATCH($B5,'DRAFT 1'!$B:$B,0)),"")</f>
        <v/>
      </c>
      <c r="AF5" s="116">
        <f>IFERROR(INDEX('DRAFT 1'!$AA:$AA,MATCH($B5,'DRAFT 1'!$B:$B,0)),"")</f>
        <v/>
      </c>
      <c r="AG5" s="116">
        <f>IFERROR(INDEX('DRAFT 1'!$AB:$AB,MATCH($B5,'DRAFT 1'!$B:$B,0)),"")</f>
        <v/>
      </c>
      <c r="AH5" s="116">
        <f>IFERROR(INDEX('DRAFT 1'!$AC:$AC,MATCH($B5,'DRAFT 1'!$B:$B,0)),"")</f>
        <v/>
      </c>
      <c r="AI5" s="116">
        <f>IFERROR(INDEX('DRAFT 1'!$AD:$AD,MATCH($B5,'DRAFT 1'!$B:$B,0)),"")</f>
        <v/>
      </c>
      <c r="AJ5" s="116">
        <f>IFERROR(INDEX('DRAFT 1'!$AE:$AE,MATCH($B5,'DRAFT 1'!$B:$B,0)),"")</f>
        <v/>
      </c>
      <c r="AK5" s="116">
        <f>IFERROR(INDEX('DRAFT 1'!$AG:$AG,MATCH($B5,'DRAFT 1'!$B:$B,0)),"")</f>
        <v/>
      </c>
      <c r="AL5" s="116">
        <f>IFERROR(INDEX('DRAFT 1'!$AH:$AH,MATCH($B5,'DRAFT 1'!$B:$B,0)),"")</f>
        <v/>
      </c>
      <c r="AM5" s="116">
        <f>IFERROR(INDEX('DRAFT 1'!$AI:$AI,MATCH($B5,'DRAFT 1'!$B:$B,0)),"")</f>
        <v/>
      </c>
      <c r="AN5" s="116">
        <f>IFERROR(INDEX('DRAFT 1'!$AJ:$AJ,MATCH($B5,'DRAFT 1'!$B:$B,0)),"")</f>
        <v/>
      </c>
      <c r="AO5" s="116">
        <f>IFERROR(Y5/AN5,0)</f>
        <v/>
      </c>
      <c r="AP5" s="116">
        <f>IFERROR(INDEX('DRAFT 1'!$AK:$AK,MATCH($B5,'DRAFT 1'!$B:$B,0)),"")</f>
        <v/>
      </c>
      <c r="AR5" s="116" t="inlineStr">
        <is>
          <t>PÓS-VENDA</t>
        </is>
      </c>
      <c r="AS5" s="116">
        <f>IFERROR(LOOKUP(2,1/('DRAFT 2'!$D:$D=$B5),'DRAFT 2'!$T:$T),"")</f>
        <v/>
      </c>
      <c r="AT5" s="116">
        <f>IFERROR(LOOKUP(2,1/('DRAFT 2'!$D:$D=$B5),'DRAFT 2'!$A:$A),"")</f>
        <v/>
      </c>
      <c r="AU5" s="116">
        <f>IFERROR(LOOKUP(2,1/('DRAFT 2'!$D:$D=$B5),'DRAFT 2'!$R:$R),"")</f>
        <v/>
      </c>
      <c r="AV5" s="116">
        <f>IFERROR(LOOKUP(2,1/('DRAFT 2'!$D:$D=$B5),'DRAFT 2'!$S:$S),"")</f>
        <v/>
      </c>
      <c r="AW5" s="116" t="inlineStr">
        <is>
          <t>LEAD</t>
        </is>
      </c>
      <c r="AX5" s="116">
        <f>IFERROR(LOOKUP(2,1/('DRAFT 2'!$D:$D=$B5),'DRAFT 2'!$M:$M),"")</f>
        <v/>
      </c>
      <c r="AY5" s="116">
        <f>IFERROR(LOOKUP(2,1/('DRAFT 2'!$D:$D=$B5),'DRAFT 2'!$K:$K),"")</f>
        <v/>
      </c>
      <c r="BA5" s="116">
        <f>IF(N5="PROSPECT","❄️ FRIO",IF(OR(AR5="ORÇAMENTO",AR5="NEGOCIAÇÃO",AR5="CADASTRO"),"🔥 QUENTE",IF(OR(AR5="FOLLOW UP 7",AR5="FOLLOW UP 15",AR5="ATENDIMENTO"),"⚡ MORNO","❄️ FRIO")))</f>
        <v/>
      </c>
      <c r="BB5" s="116">
        <f>IF(BE5="","",BE5-BC5)</f>
        <v/>
      </c>
      <c r="BG5" s="116">
        <f>IFERROR(LOOKUP(2,1/('DRAFT 2'!$D:$D=$B5),'DRAFT 2'!$U:$U),"")</f>
        <v/>
      </c>
      <c r="BH5" s="116">
        <f>IFERROR(LOOKUP(2,1/('DRAFT 2'!$D:$D=$B5),'DRAFT 2'!$V:$V),"")</f>
        <v/>
      </c>
      <c r="BI5" s="116">
        <f>IF(Q5="","🟣",IF(P5&lt;=IF(AK5="",45,AK5),"🟢",IF(P5&lt;=IF(AK5="",45,AK5)+30,"🟡","🔴")))</f>
        <v/>
      </c>
      <c r="BJ5" s="116" t="inlineStr">
        <is>
          <t>SAP002</t>
        </is>
      </c>
      <c r="BU5" s="173">
        <f>CR5</f>
        <v/>
      </c>
      <c r="BV5" s="173">
        <f>AVERAGE(CC5,CR5,DG5)</f>
        <v/>
      </c>
      <c r="BW5" s="174">
        <f>IF(BX5=0,1,BY5/BX5)</f>
        <v/>
      </c>
      <c r="BX5" s="175" t="n"/>
      <c r="BY5" s="175" t="n"/>
      <c r="BZ5" s="174">
        <f>IF(CA5=0,1,CB5/CA5)</f>
        <v/>
      </c>
      <c r="CA5" s="175" t="n"/>
      <c r="CB5" s="175" t="n"/>
      <c r="CC5" s="174">
        <f>IF(CD5=0,1,CE5/CD5)</f>
        <v/>
      </c>
      <c r="CD5" s="175" t="n"/>
      <c r="CE5" s="175">
        <f>IFERROR(AJ5,0)</f>
        <v/>
      </c>
      <c r="CF5" s="176">
        <f>IFERROR(LOOKUP(2,1/('DRAFT 2'!$D:$D=$B5)*('DRAFT 2'!$A:$A&gt;=DATE(2026,1,1))*('DRAFT 2'!$A:$A&lt;DATE(2026,IF(1=12,1+1,1+1),1)),'DRAFT 2'!$A:$A),"")</f>
        <v/>
      </c>
      <c r="CG5" s="116">
        <f>COUNTIFS('DRAFT 2'!$D:$D,$B5,'DRAFT 2'!$A:$A,"&gt;="&amp;DATE(2026,1,1),'DRAFT 2'!$A:$A,"&lt;="&amp;DATE(2026,1,7))</f>
        <v/>
      </c>
      <c r="CH5" s="116">
        <f>COUNTIFS('DRAFT 2'!$D:$D,$B5,'DRAFT 2'!$A:$A,"&gt;="&amp;DATE(2026,1,8),'DRAFT 2'!$A:$A,"&lt;="&amp;DATE(2026,1,14))</f>
        <v/>
      </c>
      <c r="CI5" s="116">
        <f>COUNTIFS('DRAFT 2'!$D:$D,$B5,'DRAFT 2'!$A:$A,"&gt;="&amp;DATE(2026,1,15),'DRAFT 2'!$A:$A,"&lt;="&amp;DATE(2026,1,21))</f>
        <v/>
      </c>
      <c r="CJ5" s="116">
        <f>COUNTIFS('DRAFT 2'!$D:$D,$B5,'DRAFT 2'!$A:$A,"&gt;="&amp;DATE(2026,1,22),'DRAFT 2'!$A:$A,"&lt;"&amp;DATE(2026,IF(1=12,1+1,1+1),1))</f>
        <v/>
      </c>
      <c r="CK5" s="116">
        <f>SUM(CG5:CJ5)</f>
        <v/>
      </c>
      <c r="CL5" s="174">
        <f>IF(CM5=0,1,CN5/CM5)</f>
        <v/>
      </c>
      <c r="CM5" s="175" t="n"/>
      <c r="CN5" s="175" t="n"/>
      <c r="CO5" s="174">
        <f>IF(CP5=0,1,CQ5/CP5)</f>
        <v/>
      </c>
      <c r="CP5" s="175" t="n"/>
      <c r="CQ5" s="175" t="n"/>
      <c r="CR5" s="174">
        <f>IF(CS5=0,1,CT5/CS5)</f>
        <v/>
      </c>
      <c r="CS5" s="175" t="n"/>
      <c r="CT5" s="175" t="n">
        <v>0</v>
      </c>
      <c r="CU5" s="176">
        <f>IFERROR(LOOKUP(2,1/('DRAFT 2'!$D:$D=$B5)*('DRAFT 2'!$A:$A&gt;=DATE(2026,2,1))*('DRAFT 2'!$A:$A&lt;DATE(2026,IF(2=12,2+1,2+1),1)),'DRAFT 2'!$A:$A),"")</f>
        <v/>
      </c>
      <c r="CV5" s="116">
        <f>COUNTIFS('DRAFT 2'!$D:$D,$B5,'DRAFT 2'!$A:$A,"&gt;="&amp;DATE(2026,2,1),'DRAFT 2'!$A:$A,"&lt;="&amp;DATE(2026,2,7))</f>
        <v/>
      </c>
      <c r="CW5" s="116">
        <f>COUNTIFS('DRAFT 2'!$D:$D,$B5,'DRAFT 2'!$A:$A,"&gt;="&amp;DATE(2026,2,8),'DRAFT 2'!$A:$A,"&lt;="&amp;DATE(2026,2,14))</f>
        <v/>
      </c>
      <c r="CX5" s="116">
        <f>COUNTIFS('DRAFT 2'!$D:$D,$B5,'DRAFT 2'!$A:$A,"&gt;="&amp;DATE(2026,2,15),'DRAFT 2'!$A:$A,"&lt;="&amp;DATE(2026,2,21))</f>
        <v/>
      </c>
      <c r="CY5" s="116">
        <f>COUNTIFS('DRAFT 2'!$D:$D,$B5,'DRAFT 2'!$A:$A,"&gt;="&amp;DATE(2026,2,22),'DRAFT 2'!$A:$A,"&lt;"&amp;DATE(2026,IF(2=12,2+1,2+1),1))</f>
        <v/>
      </c>
      <c r="CZ5" s="116">
        <f>SUM(CV5:CY5)</f>
        <v/>
      </c>
      <c r="DA5" s="174">
        <f>IF(DB5=0,1,DC5/DB5)</f>
        <v/>
      </c>
      <c r="DB5" s="175" t="n"/>
      <c r="DC5" s="175" t="n"/>
      <c r="DD5" s="174">
        <f>IF(DE5=0,1,DF5/DE5)</f>
        <v/>
      </c>
      <c r="DE5" s="175" t="n"/>
      <c r="DF5" s="175" t="n"/>
      <c r="DG5" s="174">
        <f>IF(DH5=0,1,DI5/DH5)</f>
        <v/>
      </c>
      <c r="DH5" s="175" t="n"/>
      <c r="DI5" s="175" t="n"/>
      <c r="DJ5" s="176">
        <f>IFERROR(LOOKUP(2,1/('DRAFT 2'!$D:$D=$B5)*('DRAFT 2'!$A:$A&gt;=DATE(2026,3,1))*('DRAFT 2'!$A:$A&lt;DATE(2026,IF(3=12,3+1,3+1),1)),'DRAFT 2'!$A:$A),"")</f>
        <v/>
      </c>
      <c r="DK5" s="116">
        <f>COUNTIFS('DRAFT 2'!$D:$D,$B5,'DRAFT 2'!$A:$A,"&gt;="&amp;DATE(2026,3,1),'DRAFT 2'!$A:$A,"&lt;="&amp;DATE(2026,3,7))</f>
        <v/>
      </c>
      <c r="DL5" s="116">
        <f>COUNTIFS('DRAFT 2'!$D:$D,$B5,'DRAFT 2'!$A:$A,"&gt;="&amp;DATE(2026,3,8),'DRAFT 2'!$A:$A,"&lt;="&amp;DATE(2026,3,14))</f>
        <v/>
      </c>
      <c r="DM5" s="116">
        <f>COUNTIFS('DRAFT 2'!$D:$D,$B5,'DRAFT 2'!$A:$A,"&gt;="&amp;DATE(2026,3,15),'DRAFT 2'!$A:$A,"&lt;="&amp;DATE(2026,3,21))</f>
        <v/>
      </c>
      <c r="DN5" s="116">
        <f>COUNTIFS('DRAFT 2'!$D:$D,$B5,'DRAFT 2'!$A:$A,"&gt;="&amp;DATE(2026,3,22),'DRAFT 2'!$A:$A,"&lt;"&amp;DATE(2026,IF(3=12,3+1,3+1),1))</f>
        <v/>
      </c>
      <c r="DO5" s="116">
        <f>SUM(DK5:DN5)</f>
        <v/>
      </c>
      <c r="DP5" s="173">
        <f>AVERAGE(DW5,EL5,FA5)</f>
        <v/>
      </c>
      <c r="DQ5" s="177">
        <f>IF(DR5=0,1,DS5/DR5)</f>
        <v/>
      </c>
      <c r="DR5" s="175" t="n"/>
      <c r="DS5" s="175" t="n"/>
      <c r="DT5" s="177">
        <f>IF(DU5=0,1,DV5/DU5)</f>
        <v/>
      </c>
      <c r="DU5" s="175" t="n"/>
      <c r="DV5" s="175" t="n"/>
      <c r="DW5" s="177">
        <f>IF(DX5=0,1,DY5/DX5)</f>
        <v/>
      </c>
      <c r="DX5" s="175" t="n"/>
      <c r="DY5" s="175" t="n"/>
      <c r="DZ5" s="176">
        <f>IFERROR(LOOKUP(2,1/('DRAFT 2'!$D:$D=$B5)*('DRAFT 2'!$A:$A&gt;=DATE(2026,4,1))*('DRAFT 2'!$A:$A&lt;DATE(2026,IF(4=12,4+1,4+1),1)),'DRAFT 2'!$A:$A),"")</f>
        <v/>
      </c>
      <c r="EA5" s="116">
        <f>COUNTIFS('DRAFT 2'!$D:$D,$B5,'DRAFT 2'!$A:$A,"&gt;="&amp;DATE(2026,4,1),'DRAFT 2'!$A:$A,"&lt;="&amp;DATE(2026,4,7))</f>
        <v/>
      </c>
      <c r="EB5" s="116">
        <f>COUNTIFS('DRAFT 2'!$D:$D,$B5,'DRAFT 2'!$A:$A,"&gt;="&amp;DATE(2026,4,8),'DRAFT 2'!$A:$A,"&lt;="&amp;DATE(2026,4,14))</f>
        <v/>
      </c>
      <c r="EC5" s="116">
        <f>COUNTIFS('DRAFT 2'!$D:$D,$B5,'DRAFT 2'!$A:$A,"&gt;="&amp;DATE(2026,4,15),'DRAFT 2'!$A:$A,"&lt;="&amp;DATE(2026,4,21))</f>
        <v/>
      </c>
      <c r="ED5" s="116">
        <f>COUNTIFS('DRAFT 2'!$D:$D,$B5,'DRAFT 2'!$A:$A,"&gt;="&amp;DATE(2026,4,22),'DRAFT 2'!$A:$A,"&lt;"&amp;DATE(2026,IF(4=12,4+1,4+1),1))</f>
        <v/>
      </c>
      <c r="EE5" s="116">
        <f>SUM(EA5:ED5)</f>
        <v/>
      </c>
      <c r="EF5" s="177">
        <f>IF(EG5=0,1,EH5/EG5)</f>
        <v/>
      </c>
      <c r="EG5" s="175" t="n"/>
      <c r="EH5" s="175" t="n"/>
      <c r="EI5" s="177">
        <f>IF(EJ5=0,1,EK5/EJ5)</f>
        <v/>
      </c>
      <c r="EJ5" s="175" t="n"/>
      <c r="EK5" s="175" t="n"/>
      <c r="EL5" s="177">
        <f>IF(EM5=0,1,EN5/EM5)</f>
        <v/>
      </c>
      <c r="EM5" s="175" t="n"/>
      <c r="EN5" s="175" t="n"/>
      <c r="EO5" s="176">
        <f>IFERROR(LOOKUP(2,1/('DRAFT 2'!$D:$D=$B5)*('DRAFT 2'!$A:$A&gt;=DATE(2026,5,1))*('DRAFT 2'!$A:$A&lt;DATE(2026,IF(5=12,5+1,5+1),1)),'DRAFT 2'!$A:$A),"")</f>
        <v/>
      </c>
      <c r="EP5" s="116">
        <f>COUNTIFS('DRAFT 2'!$D:$D,$B5,'DRAFT 2'!$A:$A,"&gt;="&amp;DATE(2026,5,1),'DRAFT 2'!$A:$A,"&lt;="&amp;DATE(2026,5,7))</f>
        <v/>
      </c>
      <c r="EQ5" s="116">
        <f>COUNTIFS('DRAFT 2'!$D:$D,$B5,'DRAFT 2'!$A:$A,"&gt;="&amp;DATE(2026,5,8),'DRAFT 2'!$A:$A,"&lt;="&amp;DATE(2026,5,14))</f>
        <v/>
      </c>
      <c r="ER5" s="116">
        <f>COUNTIFS('DRAFT 2'!$D:$D,$B5,'DRAFT 2'!$A:$A,"&gt;="&amp;DATE(2026,5,15),'DRAFT 2'!$A:$A,"&lt;="&amp;DATE(2026,5,21))</f>
        <v/>
      </c>
      <c r="ES5" s="116">
        <f>COUNTIFS('DRAFT 2'!$D:$D,$B5,'DRAFT 2'!$A:$A,"&gt;="&amp;DATE(2026,5,22),'DRAFT 2'!$A:$A,"&lt;"&amp;DATE(2026,IF(5=12,5+1,5+1),1))</f>
        <v/>
      </c>
      <c r="ET5" s="116">
        <f>SUM(EP5:ES5)</f>
        <v/>
      </c>
      <c r="EU5" s="177">
        <f>IF(EV5=0,1,EW5/EV5)</f>
        <v/>
      </c>
      <c r="EV5" s="175" t="n"/>
      <c r="EW5" s="175" t="n"/>
      <c r="EX5" s="177">
        <f>IF(EY5=0,1,EZ5/EY5)</f>
        <v/>
      </c>
      <c r="EY5" s="175" t="n"/>
      <c r="EZ5" s="175" t="n"/>
      <c r="FA5" s="177">
        <f>IF(FB5=0,1,FC5/FB5)</f>
        <v/>
      </c>
      <c r="FB5" s="175" t="n"/>
      <c r="FC5" s="175" t="n"/>
      <c r="FD5" s="176">
        <f>IFERROR(LOOKUP(2,1/('DRAFT 2'!$D:$D=$B5)*('DRAFT 2'!$A:$A&gt;=DATE(2026,6,1))*('DRAFT 2'!$A:$A&lt;DATE(2026,IF(6=12,6+1,6+1),1)),'DRAFT 2'!$A:$A),"")</f>
        <v/>
      </c>
      <c r="FE5" s="116">
        <f>COUNTIFS('DRAFT 2'!$D:$D,$B5,'DRAFT 2'!$A:$A,"&gt;="&amp;DATE(2026,6,1),'DRAFT 2'!$A:$A,"&lt;="&amp;DATE(2026,6,7))</f>
        <v/>
      </c>
      <c r="FF5" s="116">
        <f>COUNTIFS('DRAFT 2'!$D:$D,$B5,'DRAFT 2'!$A:$A,"&gt;="&amp;DATE(2026,6,8),'DRAFT 2'!$A:$A,"&lt;="&amp;DATE(2026,6,14))</f>
        <v/>
      </c>
      <c r="FG5" s="116">
        <f>COUNTIFS('DRAFT 2'!$D:$D,$B5,'DRAFT 2'!$A:$A,"&gt;="&amp;DATE(2026,6,15),'DRAFT 2'!$A:$A,"&lt;="&amp;DATE(2026,6,21))</f>
        <v/>
      </c>
      <c r="FH5" s="116">
        <f>COUNTIFS('DRAFT 2'!$D:$D,$B5,'DRAFT 2'!$A:$A,"&gt;="&amp;DATE(2026,6,22),'DRAFT 2'!$A:$A,"&lt;"&amp;DATE(2026,IF(6=12,6+1,6+1),1))</f>
        <v/>
      </c>
      <c r="FI5" s="116">
        <f>SUM(FE5:FH5)</f>
        <v/>
      </c>
      <c r="FJ5" s="173">
        <f>AVERAGE(FQ5,GF5,GU5)</f>
        <v/>
      </c>
      <c r="FK5" s="178">
        <f>IF(FL5=0,1,FM5/FL5)</f>
        <v/>
      </c>
      <c r="FL5" s="175" t="n"/>
      <c r="FM5" s="175" t="n"/>
      <c r="FN5" s="178">
        <f>IF(FO5=0,1,FP5/FO5)</f>
        <v/>
      </c>
      <c r="FO5" s="175" t="n"/>
      <c r="FP5" s="175" t="n"/>
      <c r="FQ5" s="178">
        <f>IF(FR5=0,1,FS5/FR5)</f>
        <v/>
      </c>
      <c r="FR5" s="175" t="n"/>
      <c r="FS5" s="175" t="n"/>
      <c r="FT5" s="176">
        <f>IFERROR(LOOKUP(2,1/('DRAFT 2'!$D:$D=$B5)*('DRAFT 2'!$A:$A&gt;=DATE(2026,7,1))*('DRAFT 2'!$A:$A&lt;DATE(2026,IF(7=12,7+1,7+1),1)),'DRAFT 2'!$A:$A),"")</f>
        <v/>
      </c>
      <c r="FU5" s="116">
        <f>COUNTIFS('DRAFT 2'!$D:$D,$B5,'DRAFT 2'!$A:$A,"&gt;="&amp;DATE(2026,7,1),'DRAFT 2'!$A:$A,"&lt;="&amp;DATE(2026,7,7))</f>
        <v/>
      </c>
      <c r="FV5" s="116">
        <f>COUNTIFS('DRAFT 2'!$D:$D,$B5,'DRAFT 2'!$A:$A,"&gt;="&amp;DATE(2026,7,8),'DRAFT 2'!$A:$A,"&lt;="&amp;DATE(2026,7,14))</f>
        <v/>
      </c>
      <c r="FW5" s="116">
        <f>COUNTIFS('DRAFT 2'!$D:$D,$B5,'DRAFT 2'!$A:$A,"&gt;="&amp;DATE(2026,7,15),'DRAFT 2'!$A:$A,"&lt;="&amp;DATE(2026,7,21))</f>
        <v/>
      </c>
      <c r="FX5" s="116">
        <f>COUNTIFS('DRAFT 2'!$D:$D,$B5,'DRAFT 2'!$A:$A,"&gt;="&amp;DATE(2026,7,22),'DRAFT 2'!$A:$A,"&lt;"&amp;DATE(2026,IF(7=12,7+1,7+1),1))</f>
        <v/>
      </c>
      <c r="FY5" s="116">
        <f>SUM(FU5:FX5)</f>
        <v/>
      </c>
      <c r="FZ5" s="178">
        <f>IF(GA5=0,1,GB5/GA5)</f>
        <v/>
      </c>
      <c r="GA5" s="175" t="n"/>
      <c r="GB5" s="175" t="n"/>
      <c r="GC5" s="178">
        <f>IF(GD5=0,1,GE5/GD5)</f>
        <v/>
      </c>
      <c r="GD5" s="175" t="n"/>
      <c r="GE5" s="175" t="n"/>
      <c r="GF5" s="178">
        <f>IF(GG5=0,1,GH5/GG5)</f>
        <v/>
      </c>
      <c r="GG5" s="175" t="n"/>
      <c r="GH5" s="175" t="n"/>
      <c r="GI5" s="176">
        <f>IFERROR(LOOKUP(2,1/('DRAFT 2'!$D:$D=$B5)*('DRAFT 2'!$A:$A&gt;=DATE(2026,8,1))*('DRAFT 2'!$A:$A&lt;DATE(2026,IF(8=12,8+1,8+1),1)),'DRAFT 2'!$A:$A),"")</f>
        <v/>
      </c>
      <c r="GJ5" s="116">
        <f>COUNTIFS('DRAFT 2'!$D:$D,$B5,'DRAFT 2'!$A:$A,"&gt;="&amp;DATE(2026,8,1),'DRAFT 2'!$A:$A,"&lt;="&amp;DATE(2026,8,7))</f>
        <v/>
      </c>
      <c r="GK5" s="116">
        <f>COUNTIFS('DRAFT 2'!$D:$D,$B5,'DRAFT 2'!$A:$A,"&gt;="&amp;DATE(2026,8,8),'DRAFT 2'!$A:$A,"&lt;="&amp;DATE(2026,8,14))</f>
        <v/>
      </c>
      <c r="GL5" s="116">
        <f>COUNTIFS('DRAFT 2'!$D:$D,$B5,'DRAFT 2'!$A:$A,"&gt;="&amp;DATE(2026,8,15),'DRAFT 2'!$A:$A,"&lt;="&amp;DATE(2026,8,21))</f>
        <v/>
      </c>
      <c r="GM5" s="116">
        <f>COUNTIFS('DRAFT 2'!$D:$D,$B5,'DRAFT 2'!$A:$A,"&gt;="&amp;DATE(2026,8,22),'DRAFT 2'!$A:$A,"&lt;"&amp;DATE(2026,IF(8=12,8+1,8+1),1))</f>
        <v/>
      </c>
      <c r="GN5" s="116">
        <f>SUM(GJ5:GM5)</f>
        <v/>
      </c>
      <c r="GO5" s="178">
        <f>IF(GP5=0,1,GQ5/GP5)</f>
        <v/>
      </c>
      <c r="GP5" s="175" t="n"/>
      <c r="GQ5" s="175" t="n"/>
      <c r="GR5" s="178">
        <f>IF(GS5=0,1,GT5/GS5)</f>
        <v/>
      </c>
      <c r="GS5" s="175" t="n"/>
      <c r="GT5" s="175" t="n"/>
      <c r="GU5" s="178">
        <f>IF(GV5=0,1,GW5/GV5)</f>
        <v/>
      </c>
      <c r="GV5" s="175" t="n"/>
      <c r="GW5" s="175" t="n"/>
      <c r="GX5" s="176">
        <f>IFERROR(LOOKUP(2,1/('DRAFT 2'!$D:$D=$B5)*('DRAFT 2'!$A:$A&gt;=DATE(2026,9,1))*('DRAFT 2'!$A:$A&lt;DATE(2026,IF(9=12,9+1,9+1),1)),'DRAFT 2'!$A:$A),"")</f>
        <v/>
      </c>
      <c r="GY5" s="116">
        <f>COUNTIFS('DRAFT 2'!$D:$D,$B5,'DRAFT 2'!$A:$A,"&gt;="&amp;DATE(2026,9,1),'DRAFT 2'!$A:$A,"&lt;="&amp;DATE(2026,9,7))</f>
        <v/>
      </c>
      <c r="GZ5" s="116">
        <f>COUNTIFS('DRAFT 2'!$D:$D,$B5,'DRAFT 2'!$A:$A,"&gt;="&amp;DATE(2026,9,8),'DRAFT 2'!$A:$A,"&lt;="&amp;DATE(2026,9,14))</f>
        <v/>
      </c>
      <c r="HA5" s="116">
        <f>COUNTIFS('DRAFT 2'!$D:$D,$B5,'DRAFT 2'!$A:$A,"&gt;="&amp;DATE(2026,9,15),'DRAFT 2'!$A:$A,"&lt;="&amp;DATE(2026,9,21))</f>
        <v/>
      </c>
      <c r="HB5" s="116">
        <f>COUNTIFS('DRAFT 2'!$D:$D,$B5,'DRAFT 2'!$A:$A,"&gt;="&amp;DATE(2026,9,22),'DRAFT 2'!$A:$A,"&lt;"&amp;DATE(2026,IF(9=12,9+1,9+1),1))</f>
        <v/>
      </c>
      <c r="HC5" s="116">
        <f>SUM(GY5:HB5)</f>
        <v/>
      </c>
      <c r="HD5" s="173">
        <f>AVERAGE(HK5,HZ5,IO5)</f>
        <v/>
      </c>
      <c r="HE5" s="179">
        <f>IF(HF5=0,1,HG5/HF5)</f>
        <v/>
      </c>
      <c r="HF5" s="175" t="n"/>
      <c r="HG5" s="175" t="n"/>
      <c r="HH5" s="179">
        <f>IF(HI5=0,1,HJ5/HI5)</f>
        <v/>
      </c>
      <c r="HI5" s="175" t="n"/>
      <c r="HJ5" s="175" t="n"/>
      <c r="HK5" s="179">
        <f>IF(HL5=0,1,HM5/HL5)</f>
        <v/>
      </c>
      <c r="HL5" s="175" t="n"/>
      <c r="HM5" s="175" t="n"/>
      <c r="HN5" s="176">
        <f>IFERROR(LOOKUP(2,1/('DRAFT 2'!$D:$D=$B5)*('DRAFT 2'!$A:$A&gt;=DATE(2026,10,1))*('DRAFT 2'!$A:$A&lt;DATE(2026,IF(10=12,10+1,10+1),1)),'DRAFT 2'!$A:$A),"")</f>
        <v/>
      </c>
      <c r="HO5" s="116">
        <f>COUNTIFS('DRAFT 2'!$D:$D,$B5,'DRAFT 2'!$A:$A,"&gt;="&amp;DATE(2026,10,1),'DRAFT 2'!$A:$A,"&lt;="&amp;DATE(2026,10,7))</f>
        <v/>
      </c>
      <c r="HP5" s="116">
        <f>COUNTIFS('DRAFT 2'!$D:$D,$B5,'DRAFT 2'!$A:$A,"&gt;="&amp;DATE(2026,10,8),'DRAFT 2'!$A:$A,"&lt;="&amp;DATE(2026,10,14))</f>
        <v/>
      </c>
      <c r="HQ5" s="116">
        <f>COUNTIFS('DRAFT 2'!$D:$D,$B5,'DRAFT 2'!$A:$A,"&gt;="&amp;DATE(2026,10,15),'DRAFT 2'!$A:$A,"&lt;="&amp;DATE(2026,10,21))</f>
        <v/>
      </c>
      <c r="HR5" s="116">
        <f>COUNTIFS('DRAFT 2'!$D:$D,$B5,'DRAFT 2'!$A:$A,"&gt;="&amp;DATE(2026,10,22),'DRAFT 2'!$A:$A,"&lt;"&amp;DATE(2026,IF(10=12,10+1,10+1),1))</f>
        <v/>
      </c>
      <c r="HS5" s="116">
        <f>SUM(HO5:HR5)</f>
        <v/>
      </c>
      <c r="HT5" s="179">
        <f>IF(HU5=0,1,HV5/HU5)</f>
        <v/>
      </c>
      <c r="HU5" s="175" t="n"/>
      <c r="HV5" s="175" t="n"/>
      <c r="HW5" s="179">
        <f>IF(HX5=0,1,HY5/HX5)</f>
        <v/>
      </c>
      <c r="HX5" s="175" t="n"/>
      <c r="HY5" s="175" t="n"/>
      <c r="HZ5" s="179">
        <f>IF(IA5=0,1,IB5/IA5)</f>
        <v/>
      </c>
      <c r="IA5" s="175" t="n"/>
      <c r="IB5" s="175" t="n"/>
      <c r="IC5" s="176">
        <f>IFERROR(LOOKUP(2,1/('DRAFT 2'!$D:$D=$B5)*('DRAFT 2'!$A:$A&gt;=DATE(2026,11,1))*('DRAFT 2'!$A:$A&lt;DATE(2026,IF(11=12,11+1,11+1),1)),'DRAFT 2'!$A:$A),"")</f>
        <v/>
      </c>
      <c r="ID5" s="116">
        <f>COUNTIFS('DRAFT 2'!$D:$D,$B5,'DRAFT 2'!$A:$A,"&gt;="&amp;DATE(2026,11,1),'DRAFT 2'!$A:$A,"&lt;="&amp;DATE(2026,11,7))</f>
        <v/>
      </c>
      <c r="IE5" s="116">
        <f>COUNTIFS('DRAFT 2'!$D:$D,$B5,'DRAFT 2'!$A:$A,"&gt;="&amp;DATE(2026,11,8),'DRAFT 2'!$A:$A,"&lt;="&amp;DATE(2026,11,14))</f>
        <v/>
      </c>
      <c r="IF5" s="116">
        <f>COUNTIFS('DRAFT 2'!$D:$D,$B5,'DRAFT 2'!$A:$A,"&gt;="&amp;DATE(2026,11,15),'DRAFT 2'!$A:$A,"&lt;="&amp;DATE(2026,11,21))</f>
        <v/>
      </c>
      <c r="IG5" s="116">
        <f>COUNTIFS('DRAFT 2'!$D:$D,$B5,'DRAFT 2'!$A:$A,"&gt;="&amp;DATE(2026,11,22),'DRAFT 2'!$A:$A,"&lt;"&amp;DATE(2026,IF(11=12,11+1,11+1),1))</f>
        <v/>
      </c>
      <c r="IH5" s="116">
        <f>SUM(ID5:IG5)</f>
        <v/>
      </c>
      <c r="II5" s="179">
        <f>IF(IJ5=0,1,IK5/IJ5)</f>
        <v/>
      </c>
      <c r="IJ5" s="175" t="n"/>
      <c r="IK5" s="175" t="n"/>
      <c r="IL5" s="179">
        <f>IF(IM5=0,1,IN5/IM5)</f>
        <v/>
      </c>
      <c r="IM5" s="175" t="n"/>
      <c r="IN5" s="175" t="n"/>
      <c r="IO5" s="179">
        <f>IF(IP5=0,1,IQ5/IP5)</f>
        <v/>
      </c>
      <c r="IP5" s="175" t="n"/>
      <c r="IQ5" s="175" t="n"/>
      <c r="IR5" s="176">
        <f>IFERROR(LOOKUP(2,1/('DRAFT 2'!$D:$D=$B5)*('DRAFT 2'!$A:$A&gt;=DATE(2026,12,1))*('DRAFT 2'!$A:$A&lt;DATE(2026,IF(12=12,12+1,12+1),1)),'DRAFT 2'!$A:$A),"")</f>
        <v/>
      </c>
      <c r="IS5" s="116">
        <f>COUNTIFS('DRAFT 2'!$D:$D,$B5,'DRAFT 2'!$A:$A,"&gt;="&amp;DATE(2026,12,1),'DRAFT 2'!$A:$A,"&lt;="&amp;DATE(2026,12,7))</f>
        <v/>
      </c>
      <c r="IT5" s="116">
        <f>COUNTIFS('DRAFT 2'!$D:$D,$B5,'DRAFT 2'!$A:$A,"&gt;="&amp;DATE(2026,12,8),'DRAFT 2'!$A:$A,"&lt;="&amp;DATE(2026,12,14))</f>
        <v/>
      </c>
      <c r="IU5" s="116">
        <f>COUNTIFS('DRAFT 2'!$D:$D,$B5,'DRAFT 2'!$A:$A,"&gt;="&amp;DATE(2026,12,15),'DRAFT 2'!$A:$A,"&lt;="&amp;DATE(2026,12,21))</f>
        <v/>
      </c>
      <c r="IV5" s="116">
        <f>COUNTIFS('DRAFT 2'!$D:$D,$B5,'DRAFT 2'!$A:$A,"&gt;="&amp;DATE(2026,12,22),'DRAFT 2'!$A:$A,"&lt;"&amp;DATE(2026,IF(12=12,12+1,12+1),1))</f>
        <v/>
      </c>
      <c r="IW5" s="116">
        <f>SUM(IS5:IV5)</f>
        <v/>
      </c>
    </row>
    <row r="6" ht="15" customHeight="1" s="117">
      <c r="A6" s="116">
        <f>IFERROR(INDEX('DRAFT 1'!$A:$A,MATCH($B6,'DRAFT 1'!$B:$B,0)),"")</f>
        <v/>
      </c>
      <c r="B6" s="116" t="inlineStr">
        <is>
          <t>12345678000199</t>
        </is>
      </c>
      <c r="C6" s="116">
        <f>IFERROR(INDEX('DRAFT 1'!$C:$C,MATCH($B6,'DRAFT 1'!$B:$B,0)),"")</f>
        <v/>
      </c>
      <c r="D6" s="116">
        <f>IFERROR(INDEX('DRAFT 1'!$D:$D,MATCH($B6,'DRAFT 1'!$B:$B,0)),"")</f>
        <v/>
      </c>
      <c r="E6" s="116">
        <f>IFERROR(INDEX('DRAFT 1'!$E:$E,MATCH($B6,'DRAFT 1'!$B:$B,0)),"")</f>
        <v/>
      </c>
      <c r="F6" s="116">
        <f>IFERROR(INDEX('DRAFT 1'!$F:$F,MATCH($B6,'DRAFT 1'!$B:$B,0)),"")</f>
        <v/>
      </c>
      <c r="G6" s="116">
        <f>IFERROR(INDEX('DRAFT 1'!$G:$G,MATCH($B6,'DRAFT 1'!$B:$B,0)),"")</f>
        <v/>
      </c>
      <c r="H6" s="116">
        <f>IFERROR(INDEX('DRAFT 1'!$H:$H,MATCH($B6,'DRAFT 1'!$B:$B,0)),"")</f>
        <v/>
      </c>
      <c r="I6" s="116" t="inlineStr">
        <is>
          <t>BIOMUNDO</t>
        </is>
      </c>
      <c r="K6" s="116">
        <f>IFERROR(INDEX('DRAFT 1'!$AL:$AL,MATCH($B6,'DRAFT 1'!$B:$B,0)),"")</f>
        <v/>
      </c>
      <c r="L6" s="116">
        <f>IFERROR(INDEX('DRAFT 1'!$J:$J,MATCH($B6,'DRAFT 1'!$B:$B,0)),"")</f>
        <v/>
      </c>
      <c r="M6" s="116">
        <f>IFERROR(INDEX('DRAFT 1'!$K:$K,MATCH($B6,'DRAFT 1'!$B:$B,0)),"")</f>
        <v/>
      </c>
      <c r="N6" s="116" t="inlineStr">
        <is>
          <t>INAT.ANT</t>
        </is>
      </c>
      <c r="O6" s="116">
        <f>IF(N6="EM RISCO",1,IF(N6="INAT.REC",2,IF(N6="ATIVO",3,IF(N6="INAT.ANT",4,5))))</f>
        <v/>
      </c>
      <c r="P6" s="116">
        <f>IFERROR(INDEX('DRAFT 1'!$L:$L,MATCH($B6,'DRAFT 1'!$B:$B,0)),"")</f>
        <v/>
      </c>
      <c r="Q6" s="116">
        <f>IFERROR(INDEX('DRAFT 1'!$M:$M,MATCH($B6,'DRAFT 1'!$B:$B,0)),"")</f>
        <v/>
      </c>
      <c r="R6" s="116">
        <f>IFERROR(INDEX('DRAFT 1'!$N:$N,MATCH($B6,'DRAFT 1'!$B:$B,0)),"")</f>
        <v/>
      </c>
      <c r="S6" s="116">
        <f>IFERROR(INDEX('DRAFT 1'!$O:$O,MATCH($B6,'DRAFT 1'!$B:$B,0)),"")</f>
        <v/>
      </c>
      <c r="T6" s="116">
        <f>IFERROR(INDEX('DRAFT 1'!$P:$P,MATCH($B6,'DRAFT 1'!$B:$B,0)),"")</f>
        <v/>
      </c>
      <c r="U6" s="116">
        <f>IFERROR(INDEX('DRAFT 1'!$Q:$Q,MATCH($B6,'DRAFT 1'!$B:$B,0)),"")</f>
        <v/>
      </c>
      <c r="V6" s="116">
        <f>IFERROR(INDEX('DRAFT 1'!$R:$R,MATCH($B6,'DRAFT 1'!$B:$B,0)),"")</f>
        <v/>
      </c>
      <c r="W6" s="116">
        <f>IFERROR(INDEX('DRAFT 1'!$S:$S,MATCH($B6,'DRAFT 1'!$B:$B,0)),"")</f>
        <v/>
      </c>
      <c r="X6" s="116">
        <f>IFERROR(INDEX('DRAFT 1'!$T:$T,MATCH($B6,'DRAFT 1'!$B:$B,0)),"")</f>
        <v/>
      </c>
      <c r="Y6" s="116">
        <f>SUM(Z6:AJ6)</f>
        <v/>
      </c>
      <c r="Z6" s="116">
        <f>IFERROR(INDEX('DRAFT 1'!$U:$U,MATCH($B6,'DRAFT 1'!$B:$B,0)),"")</f>
        <v/>
      </c>
      <c r="AA6" s="116">
        <f>IFERROR(INDEX('DRAFT 1'!$V:$V,MATCH($B6,'DRAFT 1'!$B:$B,0)),"")</f>
        <v/>
      </c>
      <c r="AB6" s="116">
        <f>IFERROR(INDEX('DRAFT 1'!$W:$W,MATCH($B6,'DRAFT 1'!$B:$B,0)),"")</f>
        <v/>
      </c>
      <c r="AC6" s="116">
        <f>IFERROR(INDEX('DRAFT 1'!$X:$X,MATCH($B6,'DRAFT 1'!$B:$B,0)),"")</f>
        <v/>
      </c>
      <c r="AD6" s="116">
        <f>IFERROR(INDEX('DRAFT 1'!$Y:$Y,MATCH($B6,'DRAFT 1'!$B:$B,0)),"")</f>
        <v/>
      </c>
      <c r="AE6" s="116">
        <f>IFERROR(INDEX('DRAFT 1'!$Z:$Z,MATCH($B6,'DRAFT 1'!$B:$B,0)),"")</f>
        <v/>
      </c>
      <c r="AF6" s="116">
        <f>IFERROR(INDEX('DRAFT 1'!$AA:$AA,MATCH($B6,'DRAFT 1'!$B:$B,0)),"")</f>
        <v/>
      </c>
      <c r="AG6" s="116">
        <f>IFERROR(INDEX('DRAFT 1'!$AB:$AB,MATCH($B6,'DRAFT 1'!$B:$B,0)),"")</f>
        <v/>
      </c>
      <c r="AH6" s="116">
        <f>IFERROR(INDEX('DRAFT 1'!$AC:$AC,MATCH($B6,'DRAFT 1'!$B:$B,0)),"")</f>
        <v/>
      </c>
      <c r="AI6" s="116">
        <f>IFERROR(INDEX('DRAFT 1'!$AD:$AD,MATCH($B6,'DRAFT 1'!$B:$B,0)),"")</f>
        <v/>
      </c>
      <c r="AJ6" s="116">
        <f>IFERROR(INDEX('DRAFT 1'!$AE:$AE,MATCH($B6,'DRAFT 1'!$B:$B,0)),"")</f>
        <v/>
      </c>
      <c r="AK6" s="116">
        <f>IFERROR(INDEX('DRAFT 1'!$AG:$AG,MATCH($B6,'DRAFT 1'!$B:$B,0)),"")</f>
        <v/>
      </c>
      <c r="AL6" s="116">
        <f>IFERROR(INDEX('DRAFT 1'!$AH:$AH,MATCH($B6,'DRAFT 1'!$B:$B,0)),"")</f>
        <v/>
      </c>
      <c r="AM6" s="116">
        <f>IFERROR(INDEX('DRAFT 1'!$AI:$AI,MATCH($B6,'DRAFT 1'!$B:$B,0)),"")</f>
        <v/>
      </c>
      <c r="AN6" s="116">
        <f>IFERROR(INDEX('DRAFT 1'!$AJ:$AJ,MATCH($B6,'DRAFT 1'!$B:$B,0)),"")</f>
        <v/>
      </c>
      <c r="AO6" s="116">
        <f>IFERROR(Y6/AN6,0)</f>
        <v/>
      </c>
      <c r="AP6" s="116">
        <f>IFERROR(INDEX('DRAFT 1'!$AK:$AK,MATCH($B6,'DRAFT 1'!$B:$B,0)),"")</f>
        <v/>
      </c>
      <c r="AR6" s="116" t="inlineStr">
        <is>
          <t>EM ATENDIMENTO</t>
        </is>
      </c>
      <c r="AS6" s="116">
        <f>IFERROR(LOOKUP(2,1/('DRAFT 2'!$D:$D=$B6),'DRAFT 2'!$T:$T),"")</f>
        <v/>
      </c>
      <c r="AT6" s="116">
        <f>IFERROR(LOOKUP(2,1/('DRAFT 2'!$D:$D=$B6),'DRAFT 2'!$A:$A),"")</f>
        <v/>
      </c>
      <c r="AU6" s="116">
        <f>IFERROR(LOOKUP(2,1/('DRAFT 2'!$D:$D=$B6),'DRAFT 2'!$R:$R),"")</f>
        <v/>
      </c>
      <c r="AV6" s="116">
        <f>IFERROR(LOOKUP(2,1/('DRAFT 2'!$D:$D=$B6),'DRAFT 2'!$S:$S),"")</f>
        <v/>
      </c>
      <c r="AW6" s="116" t="inlineStr">
        <is>
          <t>LEAD</t>
        </is>
      </c>
      <c r="AX6" s="116">
        <f>IFERROR(LOOKUP(2,1/('DRAFT 2'!$D:$D=$B6),'DRAFT 2'!$M:$M),"")</f>
        <v/>
      </c>
      <c r="AY6" s="116">
        <f>IFERROR(LOOKUP(2,1/('DRAFT 2'!$D:$D=$B6),'DRAFT 2'!$K:$K),"")</f>
        <v/>
      </c>
      <c r="BA6" s="116">
        <f>IF(N6="PROSPECT","❄️ FRIO",IF(OR(AR6="ORÇAMENTO",AR6="NEGOCIAÇÃO",AR6="CADASTRO"),"🔥 QUENTE",IF(OR(AR6="FOLLOW UP 7",AR6="FOLLOW UP 15",AR6="ATENDIMENTO"),"⚡ MORNO","❄️ FRIO")))</f>
        <v/>
      </c>
      <c r="BB6" s="116">
        <f>IF(BE6="","",BE6-BC6)</f>
        <v/>
      </c>
      <c r="BG6" s="116">
        <f>IFERROR(LOOKUP(2,1/('DRAFT 2'!$D:$D=$B6),'DRAFT 2'!$U:$U),"")</f>
        <v/>
      </c>
      <c r="BH6" s="116">
        <f>IFERROR(LOOKUP(2,1/('DRAFT 2'!$D:$D=$B6),'DRAFT 2'!$V:$V),"")</f>
        <v/>
      </c>
      <c r="BI6" s="116">
        <f>IF(Q6="","🟣",IF(P6&lt;=IF(AK6="",45,AK6),"🟢",IF(P6&lt;=IF(AK6="",45,AK6)+30,"🟡","🔴")))</f>
        <v/>
      </c>
      <c r="BJ6" s="116" t="inlineStr">
        <is>
          <t>SAP003</t>
        </is>
      </c>
      <c r="BU6" s="173">
        <f>CR6</f>
        <v/>
      </c>
      <c r="BV6" s="173">
        <f>AVERAGE(CC6,CR6,DG6)</f>
        <v/>
      </c>
      <c r="BW6" s="174">
        <f>IF(BX6=0,1,BY6/BX6)</f>
        <v/>
      </c>
      <c r="BX6" s="175" t="n"/>
      <c r="BY6" s="175" t="n"/>
      <c r="BZ6" s="174">
        <f>IF(CA6=0,1,CB6/CA6)</f>
        <v/>
      </c>
      <c r="CA6" s="175" t="n"/>
      <c r="CB6" s="175" t="n"/>
      <c r="CC6" s="174">
        <f>IF(CD6=0,1,CE6/CD6)</f>
        <v/>
      </c>
      <c r="CD6" s="175" t="n"/>
      <c r="CE6" s="175">
        <f>IFERROR(AJ6,0)</f>
        <v/>
      </c>
      <c r="CF6" s="176">
        <f>IFERROR(LOOKUP(2,1/('DRAFT 2'!$D:$D=$B6)*('DRAFT 2'!$A:$A&gt;=DATE(2026,1,1))*('DRAFT 2'!$A:$A&lt;DATE(2026,IF(1=12,1+1,1+1),1)),'DRAFT 2'!$A:$A),"")</f>
        <v/>
      </c>
      <c r="CG6" s="116">
        <f>COUNTIFS('DRAFT 2'!$D:$D,$B6,'DRAFT 2'!$A:$A,"&gt;="&amp;DATE(2026,1,1),'DRAFT 2'!$A:$A,"&lt;="&amp;DATE(2026,1,7))</f>
        <v/>
      </c>
      <c r="CH6" s="116">
        <f>COUNTIFS('DRAFT 2'!$D:$D,$B6,'DRAFT 2'!$A:$A,"&gt;="&amp;DATE(2026,1,8),'DRAFT 2'!$A:$A,"&lt;="&amp;DATE(2026,1,14))</f>
        <v/>
      </c>
      <c r="CI6" s="116">
        <f>COUNTIFS('DRAFT 2'!$D:$D,$B6,'DRAFT 2'!$A:$A,"&gt;="&amp;DATE(2026,1,15),'DRAFT 2'!$A:$A,"&lt;="&amp;DATE(2026,1,21))</f>
        <v/>
      </c>
      <c r="CJ6" s="116">
        <f>COUNTIFS('DRAFT 2'!$D:$D,$B6,'DRAFT 2'!$A:$A,"&gt;="&amp;DATE(2026,1,22),'DRAFT 2'!$A:$A,"&lt;"&amp;DATE(2026,IF(1=12,1+1,1+1),1))</f>
        <v/>
      </c>
      <c r="CK6" s="116">
        <f>SUM(CG6:CJ6)</f>
        <v/>
      </c>
      <c r="CL6" s="174">
        <f>IF(CM6=0,1,CN6/CM6)</f>
        <v/>
      </c>
      <c r="CM6" s="175" t="n"/>
      <c r="CN6" s="175" t="n"/>
      <c r="CO6" s="174">
        <f>IF(CP6=0,1,CQ6/CP6)</f>
        <v/>
      </c>
      <c r="CP6" s="175" t="n"/>
      <c r="CQ6" s="175" t="n"/>
      <c r="CR6" s="174">
        <f>IF(CS6=0,1,CT6/CS6)</f>
        <v/>
      </c>
      <c r="CS6" s="175" t="n"/>
      <c r="CT6" s="175" t="n">
        <v>0</v>
      </c>
      <c r="CU6" s="176">
        <f>IFERROR(LOOKUP(2,1/('DRAFT 2'!$D:$D=$B6)*('DRAFT 2'!$A:$A&gt;=DATE(2026,2,1))*('DRAFT 2'!$A:$A&lt;DATE(2026,IF(2=12,2+1,2+1),1)),'DRAFT 2'!$A:$A),"")</f>
        <v/>
      </c>
      <c r="CV6" s="116">
        <f>COUNTIFS('DRAFT 2'!$D:$D,$B6,'DRAFT 2'!$A:$A,"&gt;="&amp;DATE(2026,2,1),'DRAFT 2'!$A:$A,"&lt;="&amp;DATE(2026,2,7))</f>
        <v/>
      </c>
      <c r="CW6" s="116">
        <f>COUNTIFS('DRAFT 2'!$D:$D,$B6,'DRAFT 2'!$A:$A,"&gt;="&amp;DATE(2026,2,8),'DRAFT 2'!$A:$A,"&lt;="&amp;DATE(2026,2,14))</f>
        <v/>
      </c>
      <c r="CX6" s="116">
        <f>COUNTIFS('DRAFT 2'!$D:$D,$B6,'DRAFT 2'!$A:$A,"&gt;="&amp;DATE(2026,2,15),'DRAFT 2'!$A:$A,"&lt;="&amp;DATE(2026,2,21))</f>
        <v/>
      </c>
      <c r="CY6" s="116">
        <f>COUNTIFS('DRAFT 2'!$D:$D,$B6,'DRAFT 2'!$A:$A,"&gt;="&amp;DATE(2026,2,22),'DRAFT 2'!$A:$A,"&lt;"&amp;DATE(2026,IF(2=12,2+1,2+1),1))</f>
        <v/>
      </c>
      <c r="CZ6" s="116">
        <f>SUM(CV6:CY6)</f>
        <v/>
      </c>
      <c r="DA6" s="174">
        <f>IF(DB6=0,1,DC6/DB6)</f>
        <v/>
      </c>
      <c r="DB6" s="175" t="n"/>
      <c r="DC6" s="175" t="n"/>
      <c r="DD6" s="174">
        <f>IF(DE6=0,1,DF6/DE6)</f>
        <v/>
      </c>
      <c r="DE6" s="175" t="n"/>
      <c r="DF6" s="175" t="n"/>
      <c r="DG6" s="174">
        <f>IF(DH6=0,1,DI6/DH6)</f>
        <v/>
      </c>
      <c r="DH6" s="175" t="n"/>
      <c r="DI6" s="175" t="n"/>
      <c r="DJ6" s="176">
        <f>IFERROR(LOOKUP(2,1/('DRAFT 2'!$D:$D=$B6)*('DRAFT 2'!$A:$A&gt;=DATE(2026,3,1))*('DRAFT 2'!$A:$A&lt;DATE(2026,IF(3=12,3+1,3+1),1)),'DRAFT 2'!$A:$A),"")</f>
        <v/>
      </c>
      <c r="DK6" s="116">
        <f>COUNTIFS('DRAFT 2'!$D:$D,$B6,'DRAFT 2'!$A:$A,"&gt;="&amp;DATE(2026,3,1),'DRAFT 2'!$A:$A,"&lt;="&amp;DATE(2026,3,7))</f>
        <v/>
      </c>
      <c r="DL6" s="116">
        <f>COUNTIFS('DRAFT 2'!$D:$D,$B6,'DRAFT 2'!$A:$A,"&gt;="&amp;DATE(2026,3,8),'DRAFT 2'!$A:$A,"&lt;="&amp;DATE(2026,3,14))</f>
        <v/>
      </c>
      <c r="DM6" s="116">
        <f>COUNTIFS('DRAFT 2'!$D:$D,$B6,'DRAFT 2'!$A:$A,"&gt;="&amp;DATE(2026,3,15),'DRAFT 2'!$A:$A,"&lt;="&amp;DATE(2026,3,21))</f>
        <v/>
      </c>
      <c r="DN6" s="116">
        <f>COUNTIFS('DRAFT 2'!$D:$D,$B6,'DRAFT 2'!$A:$A,"&gt;="&amp;DATE(2026,3,22),'DRAFT 2'!$A:$A,"&lt;"&amp;DATE(2026,IF(3=12,3+1,3+1),1))</f>
        <v/>
      </c>
      <c r="DO6" s="116">
        <f>SUM(DK6:DN6)</f>
        <v/>
      </c>
      <c r="DP6" s="173">
        <f>AVERAGE(DW6,EL6,FA6)</f>
        <v/>
      </c>
      <c r="DQ6" s="177">
        <f>IF(DR6=0,1,DS6/DR6)</f>
        <v/>
      </c>
      <c r="DR6" s="175" t="n"/>
      <c r="DS6" s="175" t="n"/>
      <c r="DT6" s="177">
        <f>IF(DU6=0,1,DV6/DU6)</f>
        <v/>
      </c>
      <c r="DU6" s="175" t="n"/>
      <c r="DV6" s="175" t="n"/>
      <c r="DW6" s="177">
        <f>IF(DX6=0,1,DY6/DX6)</f>
        <v/>
      </c>
      <c r="DX6" s="175" t="n"/>
      <c r="DY6" s="175" t="n"/>
      <c r="DZ6" s="176">
        <f>IFERROR(LOOKUP(2,1/('DRAFT 2'!$D:$D=$B6)*('DRAFT 2'!$A:$A&gt;=DATE(2026,4,1))*('DRAFT 2'!$A:$A&lt;DATE(2026,IF(4=12,4+1,4+1),1)),'DRAFT 2'!$A:$A),"")</f>
        <v/>
      </c>
      <c r="EA6" s="116">
        <f>COUNTIFS('DRAFT 2'!$D:$D,$B6,'DRAFT 2'!$A:$A,"&gt;="&amp;DATE(2026,4,1),'DRAFT 2'!$A:$A,"&lt;="&amp;DATE(2026,4,7))</f>
        <v/>
      </c>
      <c r="EB6" s="116">
        <f>COUNTIFS('DRAFT 2'!$D:$D,$B6,'DRAFT 2'!$A:$A,"&gt;="&amp;DATE(2026,4,8),'DRAFT 2'!$A:$A,"&lt;="&amp;DATE(2026,4,14))</f>
        <v/>
      </c>
      <c r="EC6" s="116">
        <f>COUNTIFS('DRAFT 2'!$D:$D,$B6,'DRAFT 2'!$A:$A,"&gt;="&amp;DATE(2026,4,15),'DRAFT 2'!$A:$A,"&lt;="&amp;DATE(2026,4,21))</f>
        <v/>
      </c>
      <c r="ED6" s="116">
        <f>COUNTIFS('DRAFT 2'!$D:$D,$B6,'DRAFT 2'!$A:$A,"&gt;="&amp;DATE(2026,4,22),'DRAFT 2'!$A:$A,"&lt;"&amp;DATE(2026,IF(4=12,4+1,4+1),1))</f>
        <v/>
      </c>
      <c r="EE6" s="116">
        <f>SUM(EA6:ED6)</f>
        <v/>
      </c>
      <c r="EF6" s="177">
        <f>IF(EG6=0,1,EH6/EG6)</f>
        <v/>
      </c>
      <c r="EG6" s="175" t="n"/>
      <c r="EH6" s="175" t="n"/>
      <c r="EI6" s="177">
        <f>IF(EJ6=0,1,EK6/EJ6)</f>
        <v/>
      </c>
      <c r="EJ6" s="175" t="n"/>
      <c r="EK6" s="175" t="n"/>
      <c r="EL6" s="177">
        <f>IF(EM6=0,1,EN6/EM6)</f>
        <v/>
      </c>
      <c r="EM6" s="175" t="n"/>
      <c r="EN6" s="175" t="n"/>
      <c r="EO6" s="176">
        <f>IFERROR(LOOKUP(2,1/('DRAFT 2'!$D:$D=$B6)*('DRAFT 2'!$A:$A&gt;=DATE(2026,5,1))*('DRAFT 2'!$A:$A&lt;DATE(2026,IF(5=12,5+1,5+1),1)),'DRAFT 2'!$A:$A),"")</f>
        <v/>
      </c>
      <c r="EP6" s="116">
        <f>COUNTIFS('DRAFT 2'!$D:$D,$B6,'DRAFT 2'!$A:$A,"&gt;="&amp;DATE(2026,5,1),'DRAFT 2'!$A:$A,"&lt;="&amp;DATE(2026,5,7))</f>
        <v/>
      </c>
      <c r="EQ6" s="116">
        <f>COUNTIFS('DRAFT 2'!$D:$D,$B6,'DRAFT 2'!$A:$A,"&gt;="&amp;DATE(2026,5,8),'DRAFT 2'!$A:$A,"&lt;="&amp;DATE(2026,5,14))</f>
        <v/>
      </c>
      <c r="ER6" s="116">
        <f>COUNTIFS('DRAFT 2'!$D:$D,$B6,'DRAFT 2'!$A:$A,"&gt;="&amp;DATE(2026,5,15),'DRAFT 2'!$A:$A,"&lt;="&amp;DATE(2026,5,21))</f>
        <v/>
      </c>
      <c r="ES6" s="116">
        <f>COUNTIFS('DRAFT 2'!$D:$D,$B6,'DRAFT 2'!$A:$A,"&gt;="&amp;DATE(2026,5,22),'DRAFT 2'!$A:$A,"&lt;"&amp;DATE(2026,IF(5=12,5+1,5+1),1))</f>
        <v/>
      </c>
      <c r="ET6" s="116">
        <f>SUM(EP6:ES6)</f>
        <v/>
      </c>
      <c r="EU6" s="177">
        <f>IF(EV6=0,1,EW6/EV6)</f>
        <v/>
      </c>
      <c r="EV6" s="175" t="n"/>
      <c r="EW6" s="175" t="n"/>
      <c r="EX6" s="177">
        <f>IF(EY6=0,1,EZ6/EY6)</f>
        <v/>
      </c>
      <c r="EY6" s="175" t="n"/>
      <c r="EZ6" s="175" t="n"/>
      <c r="FA6" s="177">
        <f>IF(FB6=0,1,FC6/FB6)</f>
        <v/>
      </c>
      <c r="FB6" s="175" t="n"/>
      <c r="FC6" s="175" t="n"/>
      <c r="FD6" s="176">
        <f>IFERROR(LOOKUP(2,1/('DRAFT 2'!$D:$D=$B6)*('DRAFT 2'!$A:$A&gt;=DATE(2026,6,1))*('DRAFT 2'!$A:$A&lt;DATE(2026,IF(6=12,6+1,6+1),1)),'DRAFT 2'!$A:$A),"")</f>
        <v/>
      </c>
      <c r="FE6" s="116">
        <f>COUNTIFS('DRAFT 2'!$D:$D,$B6,'DRAFT 2'!$A:$A,"&gt;="&amp;DATE(2026,6,1),'DRAFT 2'!$A:$A,"&lt;="&amp;DATE(2026,6,7))</f>
        <v/>
      </c>
      <c r="FF6" s="116">
        <f>COUNTIFS('DRAFT 2'!$D:$D,$B6,'DRAFT 2'!$A:$A,"&gt;="&amp;DATE(2026,6,8),'DRAFT 2'!$A:$A,"&lt;="&amp;DATE(2026,6,14))</f>
        <v/>
      </c>
      <c r="FG6" s="116">
        <f>COUNTIFS('DRAFT 2'!$D:$D,$B6,'DRAFT 2'!$A:$A,"&gt;="&amp;DATE(2026,6,15),'DRAFT 2'!$A:$A,"&lt;="&amp;DATE(2026,6,21))</f>
        <v/>
      </c>
      <c r="FH6" s="116">
        <f>COUNTIFS('DRAFT 2'!$D:$D,$B6,'DRAFT 2'!$A:$A,"&gt;="&amp;DATE(2026,6,22),'DRAFT 2'!$A:$A,"&lt;"&amp;DATE(2026,IF(6=12,6+1,6+1),1))</f>
        <v/>
      </c>
      <c r="FI6" s="116">
        <f>SUM(FE6:FH6)</f>
        <v/>
      </c>
      <c r="FJ6" s="173">
        <f>AVERAGE(FQ6,GF6,GU6)</f>
        <v/>
      </c>
      <c r="FK6" s="178">
        <f>IF(FL6=0,1,FM6/FL6)</f>
        <v/>
      </c>
      <c r="FL6" s="175" t="n"/>
      <c r="FM6" s="175" t="n"/>
      <c r="FN6" s="178">
        <f>IF(FO6=0,1,FP6/FO6)</f>
        <v/>
      </c>
      <c r="FO6" s="175" t="n"/>
      <c r="FP6" s="175" t="n"/>
      <c r="FQ6" s="178">
        <f>IF(FR6=0,1,FS6/FR6)</f>
        <v/>
      </c>
      <c r="FR6" s="175" t="n"/>
      <c r="FS6" s="175" t="n"/>
      <c r="FT6" s="176">
        <f>IFERROR(LOOKUP(2,1/('DRAFT 2'!$D:$D=$B6)*('DRAFT 2'!$A:$A&gt;=DATE(2026,7,1))*('DRAFT 2'!$A:$A&lt;DATE(2026,IF(7=12,7+1,7+1),1)),'DRAFT 2'!$A:$A),"")</f>
        <v/>
      </c>
      <c r="FU6" s="116">
        <f>COUNTIFS('DRAFT 2'!$D:$D,$B6,'DRAFT 2'!$A:$A,"&gt;="&amp;DATE(2026,7,1),'DRAFT 2'!$A:$A,"&lt;="&amp;DATE(2026,7,7))</f>
        <v/>
      </c>
      <c r="FV6" s="116">
        <f>COUNTIFS('DRAFT 2'!$D:$D,$B6,'DRAFT 2'!$A:$A,"&gt;="&amp;DATE(2026,7,8),'DRAFT 2'!$A:$A,"&lt;="&amp;DATE(2026,7,14))</f>
        <v/>
      </c>
      <c r="FW6" s="116">
        <f>COUNTIFS('DRAFT 2'!$D:$D,$B6,'DRAFT 2'!$A:$A,"&gt;="&amp;DATE(2026,7,15),'DRAFT 2'!$A:$A,"&lt;="&amp;DATE(2026,7,21))</f>
        <v/>
      </c>
      <c r="FX6" s="116">
        <f>COUNTIFS('DRAFT 2'!$D:$D,$B6,'DRAFT 2'!$A:$A,"&gt;="&amp;DATE(2026,7,22),'DRAFT 2'!$A:$A,"&lt;"&amp;DATE(2026,IF(7=12,7+1,7+1),1))</f>
        <v/>
      </c>
      <c r="FY6" s="116">
        <f>SUM(FU6:FX6)</f>
        <v/>
      </c>
      <c r="FZ6" s="178">
        <f>IF(GA6=0,1,GB6/GA6)</f>
        <v/>
      </c>
      <c r="GA6" s="175" t="n"/>
      <c r="GB6" s="175" t="n"/>
      <c r="GC6" s="178">
        <f>IF(GD6=0,1,GE6/GD6)</f>
        <v/>
      </c>
      <c r="GD6" s="175" t="n"/>
      <c r="GE6" s="175" t="n"/>
      <c r="GF6" s="178">
        <f>IF(GG6=0,1,GH6/GG6)</f>
        <v/>
      </c>
      <c r="GG6" s="175" t="n"/>
      <c r="GH6" s="175" t="n"/>
      <c r="GI6" s="176">
        <f>IFERROR(LOOKUP(2,1/('DRAFT 2'!$D:$D=$B6)*('DRAFT 2'!$A:$A&gt;=DATE(2026,8,1))*('DRAFT 2'!$A:$A&lt;DATE(2026,IF(8=12,8+1,8+1),1)),'DRAFT 2'!$A:$A),"")</f>
        <v/>
      </c>
      <c r="GJ6" s="116">
        <f>COUNTIFS('DRAFT 2'!$D:$D,$B6,'DRAFT 2'!$A:$A,"&gt;="&amp;DATE(2026,8,1),'DRAFT 2'!$A:$A,"&lt;="&amp;DATE(2026,8,7))</f>
        <v/>
      </c>
      <c r="GK6" s="116">
        <f>COUNTIFS('DRAFT 2'!$D:$D,$B6,'DRAFT 2'!$A:$A,"&gt;="&amp;DATE(2026,8,8),'DRAFT 2'!$A:$A,"&lt;="&amp;DATE(2026,8,14))</f>
        <v/>
      </c>
      <c r="GL6" s="116">
        <f>COUNTIFS('DRAFT 2'!$D:$D,$B6,'DRAFT 2'!$A:$A,"&gt;="&amp;DATE(2026,8,15),'DRAFT 2'!$A:$A,"&lt;="&amp;DATE(2026,8,21))</f>
        <v/>
      </c>
      <c r="GM6" s="116">
        <f>COUNTIFS('DRAFT 2'!$D:$D,$B6,'DRAFT 2'!$A:$A,"&gt;="&amp;DATE(2026,8,22),'DRAFT 2'!$A:$A,"&lt;"&amp;DATE(2026,IF(8=12,8+1,8+1),1))</f>
        <v/>
      </c>
      <c r="GN6" s="116">
        <f>SUM(GJ6:GM6)</f>
        <v/>
      </c>
      <c r="GO6" s="178">
        <f>IF(GP6=0,1,GQ6/GP6)</f>
        <v/>
      </c>
      <c r="GP6" s="175" t="n"/>
      <c r="GQ6" s="175" t="n"/>
      <c r="GR6" s="178">
        <f>IF(GS6=0,1,GT6/GS6)</f>
        <v/>
      </c>
      <c r="GS6" s="175" t="n"/>
      <c r="GT6" s="175" t="n"/>
      <c r="GU6" s="178">
        <f>IF(GV6=0,1,GW6/GV6)</f>
        <v/>
      </c>
      <c r="GV6" s="175" t="n"/>
      <c r="GW6" s="175" t="n"/>
      <c r="GX6" s="176">
        <f>IFERROR(LOOKUP(2,1/('DRAFT 2'!$D:$D=$B6)*('DRAFT 2'!$A:$A&gt;=DATE(2026,9,1))*('DRAFT 2'!$A:$A&lt;DATE(2026,IF(9=12,9+1,9+1),1)),'DRAFT 2'!$A:$A),"")</f>
        <v/>
      </c>
      <c r="GY6" s="116">
        <f>COUNTIFS('DRAFT 2'!$D:$D,$B6,'DRAFT 2'!$A:$A,"&gt;="&amp;DATE(2026,9,1),'DRAFT 2'!$A:$A,"&lt;="&amp;DATE(2026,9,7))</f>
        <v/>
      </c>
      <c r="GZ6" s="116">
        <f>COUNTIFS('DRAFT 2'!$D:$D,$B6,'DRAFT 2'!$A:$A,"&gt;="&amp;DATE(2026,9,8),'DRAFT 2'!$A:$A,"&lt;="&amp;DATE(2026,9,14))</f>
        <v/>
      </c>
      <c r="HA6" s="116">
        <f>COUNTIFS('DRAFT 2'!$D:$D,$B6,'DRAFT 2'!$A:$A,"&gt;="&amp;DATE(2026,9,15),'DRAFT 2'!$A:$A,"&lt;="&amp;DATE(2026,9,21))</f>
        <v/>
      </c>
      <c r="HB6" s="116">
        <f>COUNTIFS('DRAFT 2'!$D:$D,$B6,'DRAFT 2'!$A:$A,"&gt;="&amp;DATE(2026,9,22),'DRAFT 2'!$A:$A,"&lt;"&amp;DATE(2026,IF(9=12,9+1,9+1),1))</f>
        <v/>
      </c>
      <c r="HC6" s="116">
        <f>SUM(GY6:HB6)</f>
        <v/>
      </c>
      <c r="HD6" s="173">
        <f>AVERAGE(HK6,HZ6,IO6)</f>
        <v/>
      </c>
      <c r="HE6" s="179">
        <f>IF(HF6=0,1,HG6/HF6)</f>
        <v/>
      </c>
      <c r="HF6" s="175" t="n"/>
      <c r="HG6" s="175" t="n"/>
      <c r="HH6" s="179">
        <f>IF(HI6=0,1,HJ6/HI6)</f>
        <v/>
      </c>
      <c r="HI6" s="175" t="n"/>
      <c r="HJ6" s="175" t="n"/>
      <c r="HK6" s="179">
        <f>IF(HL6=0,1,HM6/HL6)</f>
        <v/>
      </c>
      <c r="HL6" s="175" t="n"/>
      <c r="HM6" s="175" t="n"/>
      <c r="HN6" s="176">
        <f>IFERROR(LOOKUP(2,1/('DRAFT 2'!$D:$D=$B6)*('DRAFT 2'!$A:$A&gt;=DATE(2026,10,1))*('DRAFT 2'!$A:$A&lt;DATE(2026,IF(10=12,10+1,10+1),1)),'DRAFT 2'!$A:$A),"")</f>
        <v/>
      </c>
      <c r="HO6" s="116">
        <f>COUNTIFS('DRAFT 2'!$D:$D,$B6,'DRAFT 2'!$A:$A,"&gt;="&amp;DATE(2026,10,1),'DRAFT 2'!$A:$A,"&lt;="&amp;DATE(2026,10,7))</f>
        <v/>
      </c>
      <c r="HP6" s="116">
        <f>COUNTIFS('DRAFT 2'!$D:$D,$B6,'DRAFT 2'!$A:$A,"&gt;="&amp;DATE(2026,10,8),'DRAFT 2'!$A:$A,"&lt;="&amp;DATE(2026,10,14))</f>
        <v/>
      </c>
      <c r="HQ6" s="116">
        <f>COUNTIFS('DRAFT 2'!$D:$D,$B6,'DRAFT 2'!$A:$A,"&gt;="&amp;DATE(2026,10,15),'DRAFT 2'!$A:$A,"&lt;="&amp;DATE(2026,10,21))</f>
        <v/>
      </c>
      <c r="HR6" s="116">
        <f>COUNTIFS('DRAFT 2'!$D:$D,$B6,'DRAFT 2'!$A:$A,"&gt;="&amp;DATE(2026,10,22),'DRAFT 2'!$A:$A,"&lt;"&amp;DATE(2026,IF(10=12,10+1,10+1),1))</f>
        <v/>
      </c>
      <c r="HS6" s="116">
        <f>SUM(HO6:HR6)</f>
        <v/>
      </c>
      <c r="HT6" s="179">
        <f>IF(HU6=0,1,HV6/HU6)</f>
        <v/>
      </c>
      <c r="HU6" s="175" t="n"/>
      <c r="HV6" s="175" t="n"/>
      <c r="HW6" s="179">
        <f>IF(HX6=0,1,HY6/HX6)</f>
        <v/>
      </c>
      <c r="HX6" s="175" t="n"/>
      <c r="HY6" s="175" t="n"/>
      <c r="HZ6" s="179">
        <f>IF(IA6=0,1,IB6/IA6)</f>
        <v/>
      </c>
      <c r="IA6" s="175" t="n"/>
      <c r="IB6" s="175" t="n"/>
      <c r="IC6" s="176">
        <f>IFERROR(LOOKUP(2,1/('DRAFT 2'!$D:$D=$B6)*('DRAFT 2'!$A:$A&gt;=DATE(2026,11,1))*('DRAFT 2'!$A:$A&lt;DATE(2026,IF(11=12,11+1,11+1),1)),'DRAFT 2'!$A:$A),"")</f>
        <v/>
      </c>
      <c r="ID6" s="116">
        <f>COUNTIFS('DRAFT 2'!$D:$D,$B6,'DRAFT 2'!$A:$A,"&gt;="&amp;DATE(2026,11,1),'DRAFT 2'!$A:$A,"&lt;="&amp;DATE(2026,11,7))</f>
        <v/>
      </c>
      <c r="IE6" s="116">
        <f>COUNTIFS('DRAFT 2'!$D:$D,$B6,'DRAFT 2'!$A:$A,"&gt;="&amp;DATE(2026,11,8),'DRAFT 2'!$A:$A,"&lt;="&amp;DATE(2026,11,14))</f>
        <v/>
      </c>
      <c r="IF6" s="116">
        <f>COUNTIFS('DRAFT 2'!$D:$D,$B6,'DRAFT 2'!$A:$A,"&gt;="&amp;DATE(2026,11,15),'DRAFT 2'!$A:$A,"&lt;="&amp;DATE(2026,11,21))</f>
        <v/>
      </c>
      <c r="IG6" s="116">
        <f>COUNTIFS('DRAFT 2'!$D:$D,$B6,'DRAFT 2'!$A:$A,"&gt;="&amp;DATE(2026,11,22),'DRAFT 2'!$A:$A,"&lt;"&amp;DATE(2026,IF(11=12,11+1,11+1),1))</f>
        <v/>
      </c>
      <c r="IH6" s="116">
        <f>SUM(ID6:IG6)</f>
        <v/>
      </c>
      <c r="II6" s="179">
        <f>IF(IJ6=0,1,IK6/IJ6)</f>
        <v/>
      </c>
      <c r="IJ6" s="175" t="n"/>
      <c r="IK6" s="175" t="n"/>
      <c r="IL6" s="179">
        <f>IF(IM6=0,1,IN6/IM6)</f>
        <v/>
      </c>
      <c r="IM6" s="175" t="n"/>
      <c r="IN6" s="175" t="n"/>
      <c r="IO6" s="179">
        <f>IF(IP6=0,1,IQ6/IP6)</f>
        <v/>
      </c>
      <c r="IP6" s="175" t="n"/>
      <c r="IQ6" s="175" t="n"/>
      <c r="IR6" s="176">
        <f>IFERROR(LOOKUP(2,1/('DRAFT 2'!$D:$D=$B6)*('DRAFT 2'!$A:$A&gt;=DATE(2026,12,1))*('DRAFT 2'!$A:$A&lt;DATE(2026,IF(12=12,12+1,12+1),1)),'DRAFT 2'!$A:$A),"")</f>
        <v/>
      </c>
      <c r="IS6" s="116">
        <f>COUNTIFS('DRAFT 2'!$D:$D,$B6,'DRAFT 2'!$A:$A,"&gt;="&amp;DATE(2026,12,1),'DRAFT 2'!$A:$A,"&lt;="&amp;DATE(2026,12,7))</f>
        <v/>
      </c>
      <c r="IT6" s="116">
        <f>COUNTIFS('DRAFT 2'!$D:$D,$B6,'DRAFT 2'!$A:$A,"&gt;="&amp;DATE(2026,12,8),'DRAFT 2'!$A:$A,"&lt;="&amp;DATE(2026,12,14))</f>
        <v/>
      </c>
      <c r="IU6" s="116">
        <f>COUNTIFS('DRAFT 2'!$D:$D,$B6,'DRAFT 2'!$A:$A,"&gt;="&amp;DATE(2026,12,15),'DRAFT 2'!$A:$A,"&lt;="&amp;DATE(2026,12,21))</f>
        <v/>
      </c>
      <c r="IV6" s="116">
        <f>COUNTIFS('DRAFT 2'!$D:$D,$B6,'DRAFT 2'!$A:$A,"&gt;="&amp;DATE(2026,12,22),'DRAFT 2'!$A:$A,"&lt;"&amp;DATE(2026,IF(12=12,12+1,12+1),1))</f>
        <v/>
      </c>
      <c r="IW6" s="116">
        <f>SUM(IS6:IV6)</f>
        <v/>
      </c>
    </row>
    <row r="7" ht="15" customHeight="1" s="117">
      <c r="A7" s="116">
        <f>IFERROR(INDEX('DRAFT 1'!$A:$A,MATCH($B7,'DRAFT 1'!$B:$B,0)),"")</f>
        <v/>
      </c>
      <c r="B7" s="116" t="inlineStr">
        <is>
          <t>98765432000188</t>
        </is>
      </c>
      <c r="C7" s="116">
        <f>IFERROR(INDEX('DRAFT 1'!$C:$C,MATCH($B7,'DRAFT 1'!$B:$B,0)),"")</f>
        <v/>
      </c>
      <c r="D7" s="116">
        <f>IFERROR(INDEX('DRAFT 1'!$D:$D,MATCH($B7,'DRAFT 1'!$B:$B,0)),"")</f>
        <v/>
      </c>
      <c r="E7" s="116">
        <f>IFERROR(INDEX('DRAFT 1'!$E:$E,MATCH($B7,'DRAFT 1'!$B:$B,0)),"")</f>
        <v/>
      </c>
      <c r="F7" s="116">
        <f>IFERROR(INDEX('DRAFT 1'!$F:$F,MATCH($B7,'DRAFT 1'!$B:$B,0)),"")</f>
        <v/>
      </c>
      <c r="G7" s="116">
        <f>IFERROR(INDEX('DRAFT 1'!$G:$G,MATCH($B7,'DRAFT 1'!$B:$B,0)),"")</f>
        <v/>
      </c>
      <c r="H7" s="116">
        <f>IFERROR(INDEX('DRAFT 1'!$H:$H,MATCH($B7,'DRAFT 1'!$B:$B,0)),"")</f>
        <v/>
      </c>
      <c r="I7" s="116" t="inlineStr">
        <is>
          <t>DEMAIS CLIENTES</t>
        </is>
      </c>
      <c r="K7" s="116">
        <f>IFERROR(INDEX('DRAFT 1'!$AL:$AL,MATCH($B7,'DRAFT 1'!$B:$B,0)),"")</f>
        <v/>
      </c>
      <c r="L7" s="116">
        <f>IFERROR(INDEX('DRAFT 1'!$J:$J,MATCH($B7,'DRAFT 1'!$B:$B,0)),"")</f>
        <v/>
      </c>
      <c r="M7" s="116">
        <f>IFERROR(INDEX('DRAFT 1'!$K:$K,MATCH($B7,'DRAFT 1'!$B:$B,0)),"")</f>
        <v/>
      </c>
      <c r="N7" s="116" t="inlineStr">
        <is>
          <t>PROSPECT</t>
        </is>
      </c>
      <c r="O7" s="116">
        <f>IF(N7="EM RISCO",1,IF(N7="INAT.REC",2,IF(N7="ATIVO",3,IF(N7="INAT.ANT",4,5))))</f>
        <v/>
      </c>
      <c r="P7" s="116">
        <f>IFERROR(INDEX('DRAFT 1'!$L:$L,MATCH($B7,'DRAFT 1'!$B:$B,0)),"")</f>
        <v/>
      </c>
      <c r="Q7" s="116">
        <f>IFERROR(INDEX('DRAFT 1'!$M:$M,MATCH($B7,'DRAFT 1'!$B:$B,0)),"")</f>
        <v/>
      </c>
      <c r="R7" s="116">
        <f>IFERROR(INDEX('DRAFT 1'!$N:$N,MATCH($B7,'DRAFT 1'!$B:$B,0)),"")</f>
        <v/>
      </c>
      <c r="S7" s="116">
        <f>IFERROR(INDEX('DRAFT 1'!$O:$O,MATCH($B7,'DRAFT 1'!$B:$B,0)),"")</f>
        <v/>
      </c>
      <c r="T7" s="116">
        <f>IFERROR(INDEX('DRAFT 1'!$P:$P,MATCH($B7,'DRAFT 1'!$B:$B,0)),"")</f>
        <v/>
      </c>
      <c r="U7" s="116">
        <f>IFERROR(INDEX('DRAFT 1'!$Q:$Q,MATCH($B7,'DRAFT 1'!$B:$B,0)),"")</f>
        <v/>
      </c>
      <c r="V7" s="116">
        <f>IFERROR(INDEX('DRAFT 1'!$R:$R,MATCH($B7,'DRAFT 1'!$B:$B,0)),"")</f>
        <v/>
      </c>
      <c r="W7" s="116">
        <f>IFERROR(INDEX('DRAFT 1'!$S:$S,MATCH($B7,'DRAFT 1'!$B:$B,0)),"")</f>
        <v/>
      </c>
      <c r="X7" s="116">
        <f>IFERROR(INDEX('DRAFT 1'!$T:$T,MATCH($B7,'DRAFT 1'!$B:$B,0)),"")</f>
        <v/>
      </c>
      <c r="Y7" s="116">
        <f>SUM(Z7:AJ7)</f>
        <v/>
      </c>
      <c r="Z7" s="116">
        <f>IFERROR(INDEX('DRAFT 1'!$U:$U,MATCH($B7,'DRAFT 1'!$B:$B,0)),"")</f>
        <v/>
      </c>
      <c r="AA7" s="116">
        <f>IFERROR(INDEX('DRAFT 1'!$V:$V,MATCH($B7,'DRAFT 1'!$B:$B,0)),"")</f>
        <v/>
      </c>
      <c r="AB7" s="116">
        <f>IFERROR(INDEX('DRAFT 1'!$W:$W,MATCH($B7,'DRAFT 1'!$B:$B,0)),"")</f>
        <v/>
      </c>
      <c r="AC7" s="116">
        <f>IFERROR(INDEX('DRAFT 1'!$X:$X,MATCH($B7,'DRAFT 1'!$B:$B,0)),"")</f>
        <v/>
      </c>
      <c r="AD7" s="116">
        <f>IFERROR(INDEX('DRAFT 1'!$Y:$Y,MATCH($B7,'DRAFT 1'!$B:$B,0)),"")</f>
        <v/>
      </c>
      <c r="AE7" s="116">
        <f>IFERROR(INDEX('DRAFT 1'!$Z:$Z,MATCH($B7,'DRAFT 1'!$B:$B,0)),"")</f>
        <v/>
      </c>
      <c r="AF7" s="116">
        <f>IFERROR(INDEX('DRAFT 1'!$AA:$AA,MATCH($B7,'DRAFT 1'!$B:$B,0)),"")</f>
        <v/>
      </c>
      <c r="AG7" s="116">
        <f>IFERROR(INDEX('DRAFT 1'!$AB:$AB,MATCH($B7,'DRAFT 1'!$B:$B,0)),"")</f>
        <v/>
      </c>
      <c r="AH7" s="116">
        <f>IFERROR(INDEX('DRAFT 1'!$AC:$AC,MATCH($B7,'DRAFT 1'!$B:$B,0)),"")</f>
        <v/>
      </c>
      <c r="AI7" s="116">
        <f>IFERROR(INDEX('DRAFT 1'!$AD:$AD,MATCH($B7,'DRAFT 1'!$B:$B,0)),"")</f>
        <v/>
      </c>
      <c r="AJ7" s="116">
        <f>IFERROR(INDEX('DRAFT 1'!$AE:$AE,MATCH($B7,'DRAFT 1'!$B:$B,0)),"")</f>
        <v/>
      </c>
      <c r="AK7" s="116">
        <f>IFERROR(INDEX('DRAFT 1'!$AG:$AG,MATCH($B7,'DRAFT 1'!$B:$B,0)),"")</f>
        <v/>
      </c>
      <c r="AL7" s="116">
        <f>IFERROR(INDEX('DRAFT 1'!$AH:$AH,MATCH($B7,'DRAFT 1'!$B:$B,0)),"")</f>
        <v/>
      </c>
      <c r="AM7" s="116">
        <f>IFERROR(INDEX('DRAFT 1'!$AI:$AI,MATCH($B7,'DRAFT 1'!$B:$B,0)),"")</f>
        <v/>
      </c>
      <c r="AN7" s="116">
        <f>IFERROR(INDEX('DRAFT 1'!$AJ:$AJ,MATCH($B7,'DRAFT 1'!$B:$B,0)),"")</f>
        <v/>
      </c>
      <c r="AO7" s="116">
        <f>IFERROR(Y7/AN7,0)</f>
        <v/>
      </c>
      <c r="AP7" s="116">
        <f>IFERROR(INDEX('DRAFT 1'!$AK:$AK,MATCH($B7,'DRAFT 1'!$B:$B,0)),"")</f>
        <v/>
      </c>
      <c r="AR7" s="116" t="inlineStr">
        <is>
          <t>EM ATENDIMENTO</t>
        </is>
      </c>
      <c r="AS7" s="116">
        <f>IFERROR(LOOKUP(2,1/('DRAFT 2'!$D:$D=$B7),'DRAFT 2'!$T:$T),"")</f>
        <v/>
      </c>
      <c r="AT7" s="116">
        <f>IFERROR(LOOKUP(2,1/('DRAFT 2'!$D:$D=$B7),'DRAFT 2'!$A:$A),"")</f>
        <v/>
      </c>
      <c r="AU7" s="116">
        <f>IFERROR(LOOKUP(2,1/('DRAFT 2'!$D:$D=$B7),'DRAFT 2'!$R:$R),"")</f>
        <v/>
      </c>
      <c r="AV7" s="116">
        <f>IFERROR(LOOKUP(2,1/('DRAFT 2'!$D:$D=$B7),'DRAFT 2'!$S:$S),"")</f>
        <v/>
      </c>
      <c r="AW7" s="116" t="inlineStr">
        <is>
          <t>EM DESENVOLVIMENTO</t>
        </is>
      </c>
      <c r="AX7" s="116">
        <f>IFERROR(LOOKUP(2,1/('DRAFT 2'!$D:$D=$B7),'DRAFT 2'!$M:$M),"")</f>
        <v/>
      </c>
      <c r="AY7" s="116">
        <f>IFERROR(LOOKUP(2,1/('DRAFT 2'!$D:$D=$B7),'DRAFT 2'!$K:$K),"")</f>
        <v/>
      </c>
      <c r="BA7" s="116">
        <f>IF(N7="PROSPECT","❄️ FRIO",IF(OR(AR7="ORÇAMENTO",AR7="NEGOCIAÇÃO",AR7="CADASTRO"),"🔥 QUENTE",IF(OR(AR7="FOLLOW UP 7",AR7="FOLLOW UP 15",AR7="ATENDIMENTO"),"⚡ MORNO","❄️ FRIO")))</f>
        <v/>
      </c>
      <c r="BB7" s="116">
        <f>IF(BE7="","",BE7-BC7)</f>
        <v/>
      </c>
      <c r="BG7" s="116">
        <f>IFERROR(LOOKUP(2,1/('DRAFT 2'!$D:$D=$B7),'DRAFT 2'!$U:$U),"")</f>
        <v/>
      </c>
      <c r="BH7" s="116">
        <f>IFERROR(LOOKUP(2,1/('DRAFT 2'!$D:$D=$B7),'DRAFT 2'!$V:$V),"")</f>
        <v/>
      </c>
      <c r="BI7" s="116">
        <f>IF(Q7="","🟣",IF(P7&lt;=IF(AK7="",45,AK7),"🟢",IF(P7&lt;=IF(AK7="",45,AK7)+30,"🟡","🔴")))</f>
        <v/>
      </c>
      <c r="BJ7" s="116" t="inlineStr">
        <is>
          <t>SAP004</t>
        </is>
      </c>
      <c r="BU7" s="173">
        <f>CR7</f>
        <v/>
      </c>
      <c r="BV7" s="173">
        <f>AVERAGE(CC7,CR7,DG7)</f>
        <v/>
      </c>
      <c r="BW7" s="174">
        <f>IF(BX7=0,1,BY7/BX7)</f>
        <v/>
      </c>
      <c r="BX7" s="175" t="n"/>
      <c r="BY7" s="175" t="n"/>
      <c r="BZ7" s="174">
        <f>IF(CA7=0,1,CB7/CA7)</f>
        <v/>
      </c>
      <c r="CA7" s="175" t="n"/>
      <c r="CB7" s="175" t="n"/>
      <c r="CC7" s="174">
        <f>IF(CD7=0,1,CE7/CD7)</f>
        <v/>
      </c>
      <c r="CD7" s="175" t="n"/>
      <c r="CE7" s="175">
        <f>IFERROR(AJ7,0)</f>
        <v/>
      </c>
      <c r="CF7" s="176">
        <f>IFERROR(LOOKUP(2,1/('DRAFT 2'!$D:$D=$B7)*('DRAFT 2'!$A:$A&gt;=DATE(2026,1,1))*('DRAFT 2'!$A:$A&lt;DATE(2026,IF(1=12,1+1,1+1),1)),'DRAFT 2'!$A:$A),"")</f>
        <v/>
      </c>
      <c r="CG7" s="116">
        <f>COUNTIFS('DRAFT 2'!$D:$D,$B7,'DRAFT 2'!$A:$A,"&gt;="&amp;DATE(2026,1,1),'DRAFT 2'!$A:$A,"&lt;="&amp;DATE(2026,1,7))</f>
        <v/>
      </c>
      <c r="CH7" s="116">
        <f>COUNTIFS('DRAFT 2'!$D:$D,$B7,'DRAFT 2'!$A:$A,"&gt;="&amp;DATE(2026,1,8),'DRAFT 2'!$A:$A,"&lt;="&amp;DATE(2026,1,14))</f>
        <v/>
      </c>
      <c r="CI7" s="116">
        <f>COUNTIFS('DRAFT 2'!$D:$D,$B7,'DRAFT 2'!$A:$A,"&gt;="&amp;DATE(2026,1,15),'DRAFT 2'!$A:$A,"&lt;="&amp;DATE(2026,1,21))</f>
        <v/>
      </c>
      <c r="CJ7" s="116">
        <f>COUNTIFS('DRAFT 2'!$D:$D,$B7,'DRAFT 2'!$A:$A,"&gt;="&amp;DATE(2026,1,22),'DRAFT 2'!$A:$A,"&lt;"&amp;DATE(2026,IF(1=12,1+1,1+1),1))</f>
        <v/>
      </c>
      <c r="CK7" s="116">
        <f>SUM(CG7:CJ7)</f>
        <v/>
      </c>
      <c r="CL7" s="174">
        <f>IF(CM7=0,1,CN7/CM7)</f>
        <v/>
      </c>
      <c r="CM7" s="175" t="n"/>
      <c r="CN7" s="175" t="n"/>
      <c r="CO7" s="174">
        <f>IF(CP7=0,1,CQ7/CP7)</f>
        <v/>
      </c>
      <c r="CP7" s="175" t="n"/>
      <c r="CQ7" s="175" t="n"/>
      <c r="CR7" s="174">
        <f>IF(CS7=0,1,CT7/CS7)</f>
        <v/>
      </c>
      <c r="CS7" s="175" t="n"/>
      <c r="CT7" s="175" t="n">
        <v>0</v>
      </c>
      <c r="CU7" s="176">
        <f>IFERROR(LOOKUP(2,1/('DRAFT 2'!$D:$D=$B7)*('DRAFT 2'!$A:$A&gt;=DATE(2026,2,1))*('DRAFT 2'!$A:$A&lt;DATE(2026,IF(2=12,2+1,2+1),1)),'DRAFT 2'!$A:$A),"")</f>
        <v/>
      </c>
      <c r="CV7" s="116">
        <f>COUNTIFS('DRAFT 2'!$D:$D,$B7,'DRAFT 2'!$A:$A,"&gt;="&amp;DATE(2026,2,1),'DRAFT 2'!$A:$A,"&lt;="&amp;DATE(2026,2,7))</f>
        <v/>
      </c>
      <c r="CW7" s="116">
        <f>COUNTIFS('DRAFT 2'!$D:$D,$B7,'DRAFT 2'!$A:$A,"&gt;="&amp;DATE(2026,2,8),'DRAFT 2'!$A:$A,"&lt;="&amp;DATE(2026,2,14))</f>
        <v/>
      </c>
      <c r="CX7" s="116">
        <f>COUNTIFS('DRAFT 2'!$D:$D,$B7,'DRAFT 2'!$A:$A,"&gt;="&amp;DATE(2026,2,15),'DRAFT 2'!$A:$A,"&lt;="&amp;DATE(2026,2,21))</f>
        <v/>
      </c>
      <c r="CY7" s="116">
        <f>COUNTIFS('DRAFT 2'!$D:$D,$B7,'DRAFT 2'!$A:$A,"&gt;="&amp;DATE(2026,2,22),'DRAFT 2'!$A:$A,"&lt;"&amp;DATE(2026,IF(2=12,2+1,2+1),1))</f>
        <v/>
      </c>
      <c r="CZ7" s="116">
        <f>SUM(CV7:CY7)</f>
        <v/>
      </c>
      <c r="DA7" s="174">
        <f>IF(DB7=0,1,DC7/DB7)</f>
        <v/>
      </c>
      <c r="DB7" s="175" t="n"/>
      <c r="DC7" s="175" t="n"/>
      <c r="DD7" s="174">
        <f>IF(DE7=0,1,DF7/DE7)</f>
        <v/>
      </c>
      <c r="DE7" s="175" t="n"/>
      <c r="DF7" s="175" t="n"/>
      <c r="DG7" s="174">
        <f>IF(DH7=0,1,DI7/DH7)</f>
        <v/>
      </c>
      <c r="DH7" s="175" t="n"/>
      <c r="DI7" s="175" t="n"/>
      <c r="DJ7" s="176">
        <f>IFERROR(LOOKUP(2,1/('DRAFT 2'!$D:$D=$B7)*('DRAFT 2'!$A:$A&gt;=DATE(2026,3,1))*('DRAFT 2'!$A:$A&lt;DATE(2026,IF(3=12,3+1,3+1),1)),'DRAFT 2'!$A:$A),"")</f>
        <v/>
      </c>
      <c r="DK7" s="116">
        <f>COUNTIFS('DRAFT 2'!$D:$D,$B7,'DRAFT 2'!$A:$A,"&gt;="&amp;DATE(2026,3,1),'DRAFT 2'!$A:$A,"&lt;="&amp;DATE(2026,3,7))</f>
        <v/>
      </c>
      <c r="DL7" s="116">
        <f>COUNTIFS('DRAFT 2'!$D:$D,$B7,'DRAFT 2'!$A:$A,"&gt;="&amp;DATE(2026,3,8),'DRAFT 2'!$A:$A,"&lt;="&amp;DATE(2026,3,14))</f>
        <v/>
      </c>
      <c r="DM7" s="116">
        <f>COUNTIFS('DRAFT 2'!$D:$D,$B7,'DRAFT 2'!$A:$A,"&gt;="&amp;DATE(2026,3,15),'DRAFT 2'!$A:$A,"&lt;="&amp;DATE(2026,3,21))</f>
        <v/>
      </c>
      <c r="DN7" s="116">
        <f>COUNTIFS('DRAFT 2'!$D:$D,$B7,'DRAFT 2'!$A:$A,"&gt;="&amp;DATE(2026,3,22),'DRAFT 2'!$A:$A,"&lt;"&amp;DATE(2026,IF(3=12,3+1,3+1),1))</f>
        <v/>
      </c>
      <c r="DO7" s="116">
        <f>SUM(DK7:DN7)</f>
        <v/>
      </c>
      <c r="DP7" s="173">
        <f>AVERAGE(DW7,EL7,FA7)</f>
        <v/>
      </c>
      <c r="DQ7" s="177">
        <f>IF(DR7=0,1,DS7/DR7)</f>
        <v/>
      </c>
      <c r="DR7" s="175" t="n"/>
      <c r="DS7" s="175" t="n"/>
      <c r="DT7" s="177">
        <f>IF(DU7=0,1,DV7/DU7)</f>
        <v/>
      </c>
      <c r="DU7" s="175" t="n"/>
      <c r="DV7" s="175" t="n"/>
      <c r="DW7" s="177">
        <f>IF(DX7=0,1,DY7/DX7)</f>
        <v/>
      </c>
      <c r="DX7" s="175" t="n"/>
      <c r="DY7" s="175" t="n"/>
      <c r="DZ7" s="176">
        <f>IFERROR(LOOKUP(2,1/('DRAFT 2'!$D:$D=$B7)*('DRAFT 2'!$A:$A&gt;=DATE(2026,4,1))*('DRAFT 2'!$A:$A&lt;DATE(2026,IF(4=12,4+1,4+1),1)),'DRAFT 2'!$A:$A),"")</f>
        <v/>
      </c>
      <c r="EA7" s="116">
        <f>COUNTIFS('DRAFT 2'!$D:$D,$B7,'DRAFT 2'!$A:$A,"&gt;="&amp;DATE(2026,4,1),'DRAFT 2'!$A:$A,"&lt;="&amp;DATE(2026,4,7))</f>
        <v/>
      </c>
      <c r="EB7" s="116">
        <f>COUNTIFS('DRAFT 2'!$D:$D,$B7,'DRAFT 2'!$A:$A,"&gt;="&amp;DATE(2026,4,8),'DRAFT 2'!$A:$A,"&lt;="&amp;DATE(2026,4,14))</f>
        <v/>
      </c>
      <c r="EC7" s="116">
        <f>COUNTIFS('DRAFT 2'!$D:$D,$B7,'DRAFT 2'!$A:$A,"&gt;="&amp;DATE(2026,4,15),'DRAFT 2'!$A:$A,"&lt;="&amp;DATE(2026,4,21))</f>
        <v/>
      </c>
      <c r="ED7" s="116">
        <f>COUNTIFS('DRAFT 2'!$D:$D,$B7,'DRAFT 2'!$A:$A,"&gt;="&amp;DATE(2026,4,22),'DRAFT 2'!$A:$A,"&lt;"&amp;DATE(2026,IF(4=12,4+1,4+1),1))</f>
        <v/>
      </c>
      <c r="EE7" s="116">
        <f>SUM(EA7:ED7)</f>
        <v/>
      </c>
      <c r="EF7" s="177">
        <f>IF(EG7=0,1,EH7/EG7)</f>
        <v/>
      </c>
      <c r="EG7" s="175" t="n"/>
      <c r="EH7" s="175" t="n"/>
      <c r="EI7" s="177">
        <f>IF(EJ7=0,1,EK7/EJ7)</f>
        <v/>
      </c>
      <c r="EJ7" s="175" t="n"/>
      <c r="EK7" s="175" t="n"/>
      <c r="EL7" s="177">
        <f>IF(EM7=0,1,EN7/EM7)</f>
        <v/>
      </c>
      <c r="EM7" s="175" t="n"/>
      <c r="EN7" s="175" t="n"/>
      <c r="EO7" s="176">
        <f>IFERROR(LOOKUP(2,1/('DRAFT 2'!$D:$D=$B7)*('DRAFT 2'!$A:$A&gt;=DATE(2026,5,1))*('DRAFT 2'!$A:$A&lt;DATE(2026,IF(5=12,5+1,5+1),1)),'DRAFT 2'!$A:$A),"")</f>
        <v/>
      </c>
      <c r="EP7" s="116">
        <f>COUNTIFS('DRAFT 2'!$D:$D,$B7,'DRAFT 2'!$A:$A,"&gt;="&amp;DATE(2026,5,1),'DRAFT 2'!$A:$A,"&lt;="&amp;DATE(2026,5,7))</f>
        <v/>
      </c>
      <c r="EQ7" s="116">
        <f>COUNTIFS('DRAFT 2'!$D:$D,$B7,'DRAFT 2'!$A:$A,"&gt;="&amp;DATE(2026,5,8),'DRAFT 2'!$A:$A,"&lt;="&amp;DATE(2026,5,14))</f>
        <v/>
      </c>
      <c r="ER7" s="116">
        <f>COUNTIFS('DRAFT 2'!$D:$D,$B7,'DRAFT 2'!$A:$A,"&gt;="&amp;DATE(2026,5,15),'DRAFT 2'!$A:$A,"&lt;="&amp;DATE(2026,5,21))</f>
        <v/>
      </c>
      <c r="ES7" s="116">
        <f>COUNTIFS('DRAFT 2'!$D:$D,$B7,'DRAFT 2'!$A:$A,"&gt;="&amp;DATE(2026,5,22),'DRAFT 2'!$A:$A,"&lt;"&amp;DATE(2026,IF(5=12,5+1,5+1),1))</f>
        <v/>
      </c>
      <c r="ET7" s="116">
        <f>SUM(EP7:ES7)</f>
        <v/>
      </c>
      <c r="EU7" s="177">
        <f>IF(EV7=0,1,EW7/EV7)</f>
        <v/>
      </c>
      <c r="EV7" s="175" t="n"/>
      <c r="EW7" s="175" t="n"/>
      <c r="EX7" s="177">
        <f>IF(EY7=0,1,EZ7/EY7)</f>
        <v/>
      </c>
      <c r="EY7" s="175" t="n"/>
      <c r="EZ7" s="175" t="n"/>
      <c r="FA7" s="177">
        <f>IF(FB7=0,1,FC7/FB7)</f>
        <v/>
      </c>
      <c r="FB7" s="175" t="n"/>
      <c r="FC7" s="175" t="n"/>
      <c r="FD7" s="176">
        <f>IFERROR(LOOKUP(2,1/('DRAFT 2'!$D:$D=$B7)*('DRAFT 2'!$A:$A&gt;=DATE(2026,6,1))*('DRAFT 2'!$A:$A&lt;DATE(2026,IF(6=12,6+1,6+1),1)),'DRAFT 2'!$A:$A),"")</f>
        <v/>
      </c>
      <c r="FE7" s="116">
        <f>COUNTIFS('DRAFT 2'!$D:$D,$B7,'DRAFT 2'!$A:$A,"&gt;="&amp;DATE(2026,6,1),'DRAFT 2'!$A:$A,"&lt;="&amp;DATE(2026,6,7))</f>
        <v/>
      </c>
      <c r="FF7" s="116">
        <f>COUNTIFS('DRAFT 2'!$D:$D,$B7,'DRAFT 2'!$A:$A,"&gt;="&amp;DATE(2026,6,8),'DRAFT 2'!$A:$A,"&lt;="&amp;DATE(2026,6,14))</f>
        <v/>
      </c>
      <c r="FG7" s="116">
        <f>COUNTIFS('DRAFT 2'!$D:$D,$B7,'DRAFT 2'!$A:$A,"&gt;="&amp;DATE(2026,6,15),'DRAFT 2'!$A:$A,"&lt;="&amp;DATE(2026,6,21))</f>
        <v/>
      </c>
      <c r="FH7" s="116">
        <f>COUNTIFS('DRAFT 2'!$D:$D,$B7,'DRAFT 2'!$A:$A,"&gt;="&amp;DATE(2026,6,22),'DRAFT 2'!$A:$A,"&lt;"&amp;DATE(2026,IF(6=12,6+1,6+1),1))</f>
        <v/>
      </c>
      <c r="FI7" s="116">
        <f>SUM(FE7:FH7)</f>
        <v/>
      </c>
      <c r="FJ7" s="173">
        <f>AVERAGE(FQ7,GF7,GU7)</f>
        <v/>
      </c>
      <c r="FK7" s="178">
        <f>IF(FL7=0,1,FM7/FL7)</f>
        <v/>
      </c>
      <c r="FL7" s="175" t="n"/>
      <c r="FM7" s="175" t="n"/>
      <c r="FN7" s="178">
        <f>IF(FO7=0,1,FP7/FO7)</f>
        <v/>
      </c>
      <c r="FO7" s="175" t="n"/>
      <c r="FP7" s="175" t="n"/>
      <c r="FQ7" s="178">
        <f>IF(FR7=0,1,FS7/FR7)</f>
        <v/>
      </c>
      <c r="FR7" s="175" t="n"/>
      <c r="FS7" s="175" t="n"/>
      <c r="FT7" s="176">
        <f>IFERROR(LOOKUP(2,1/('DRAFT 2'!$D:$D=$B7)*('DRAFT 2'!$A:$A&gt;=DATE(2026,7,1))*('DRAFT 2'!$A:$A&lt;DATE(2026,IF(7=12,7+1,7+1),1)),'DRAFT 2'!$A:$A),"")</f>
        <v/>
      </c>
      <c r="FU7" s="116">
        <f>COUNTIFS('DRAFT 2'!$D:$D,$B7,'DRAFT 2'!$A:$A,"&gt;="&amp;DATE(2026,7,1),'DRAFT 2'!$A:$A,"&lt;="&amp;DATE(2026,7,7))</f>
        <v/>
      </c>
      <c r="FV7" s="116">
        <f>COUNTIFS('DRAFT 2'!$D:$D,$B7,'DRAFT 2'!$A:$A,"&gt;="&amp;DATE(2026,7,8),'DRAFT 2'!$A:$A,"&lt;="&amp;DATE(2026,7,14))</f>
        <v/>
      </c>
      <c r="FW7" s="116">
        <f>COUNTIFS('DRAFT 2'!$D:$D,$B7,'DRAFT 2'!$A:$A,"&gt;="&amp;DATE(2026,7,15),'DRAFT 2'!$A:$A,"&lt;="&amp;DATE(2026,7,21))</f>
        <v/>
      </c>
      <c r="FX7" s="116">
        <f>COUNTIFS('DRAFT 2'!$D:$D,$B7,'DRAFT 2'!$A:$A,"&gt;="&amp;DATE(2026,7,22),'DRAFT 2'!$A:$A,"&lt;"&amp;DATE(2026,IF(7=12,7+1,7+1),1))</f>
        <v/>
      </c>
      <c r="FY7" s="116">
        <f>SUM(FU7:FX7)</f>
        <v/>
      </c>
      <c r="FZ7" s="178">
        <f>IF(GA7=0,1,GB7/GA7)</f>
        <v/>
      </c>
      <c r="GA7" s="175" t="n"/>
      <c r="GB7" s="175" t="n"/>
      <c r="GC7" s="178">
        <f>IF(GD7=0,1,GE7/GD7)</f>
        <v/>
      </c>
      <c r="GD7" s="175" t="n"/>
      <c r="GE7" s="175" t="n"/>
      <c r="GF7" s="178">
        <f>IF(GG7=0,1,GH7/GG7)</f>
        <v/>
      </c>
      <c r="GG7" s="175" t="n"/>
      <c r="GH7" s="175" t="n"/>
      <c r="GI7" s="176">
        <f>IFERROR(LOOKUP(2,1/('DRAFT 2'!$D:$D=$B7)*('DRAFT 2'!$A:$A&gt;=DATE(2026,8,1))*('DRAFT 2'!$A:$A&lt;DATE(2026,IF(8=12,8+1,8+1),1)),'DRAFT 2'!$A:$A),"")</f>
        <v/>
      </c>
      <c r="GJ7" s="116">
        <f>COUNTIFS('DRAFT 2'!$D:$D,$B7,'DRAFT 2'!$A:$A,"&gt;="&amp;DATE(2026,8,1),'DRAFT 2'!$A:$A,"&lt;="&amp;DATE(2026,8,7))</f>
        <v/>
      </c>
      <c r="GK7" s="116">
        <f>COUNTIFS('DRAFT 2'!$D:$D,$B7,'DRAFT 2'!$A:$A,"&gt;="&amp;DATE(2026,8,8),'DRAFT 2'!$A:$A,"&lt;="&amp;DATE(2026,8,14))</f>
        <v/>
      </c>
      <c r="GL7" s="116">
        <f>COUNTIFS('DRAFT 2'!$D:$D,$B7,'DRAFT 2'!$A:$A,"&gt;="&amp;DATE(2026,8,15),'DRAFT 2'!$A:$A,"&lt;="&amp;DATE(2026,8,21))</f>
        <v/>
      </c>
      <c r="GM7" s="116">
        <f>COUNTIFS('DRAFT 2'!$D:$D,$B7,'DRAFT 2'!$A:$A,"&gt;="&amp;DATE(2026,8,22),'DRAFT 2'!$A:$A,"&lt;"&amp;DATE(2026,IF(8=12,8+1,8+1),1))</f>
        <v/>
      </c>
      <c r="GN7" s="116">
        <f>SUM(GJ7:GM7)</f>
        <v/>
      </c>
      <c r="GO7" s="178">
        <f>IF(GP7=0,1,GQ7/GP7)</f>
        <v/>
      </c>
      <c r="GP7" s="175" t="n"/>
      <c r="GQ7" s="175" t="n"/>
      <c r="GR7" s="178">
        <f>IF(GS7=0,1,GT7/GS7)</f>
        <v/>
      </c>
      <c r="GS7" s="175" t="n"/>
      <c r="GT7" s="175" t="n"/>
      <c r="GU7" s="178">
        <f>IF(GV7=0,1,GW7/GV7)</f>
        <v/>
      </c>
      <c r="GV7" s="175" t="n"/>
      <c r="GW7" s="175" t="n"/>
      <c r="GX7" s="176">
        <f>IFERROR(LOOKUP(2,1/('DRAFT 2'!$D:$D=$B7)*('DRAFT 2'!$A:$A&gt;=DATE(2026,9,1))*('DRAFT 2'!$A:$A&lt;DATE(2026,IF(9=12,9+1,9+1),1)),'DRAFT 2'!$A:$A),"")</f>
        <v/>
      </c>
      <c r="GY7" s="116">
        <f>COUNTIFS('DRAFT 2'!$D:$D,$B7,'DRAFT 2'!$A:$A,"&gt;="&amp;DATE(2026,9,1),'DRAFT 2'!$A:$A,"&lt;="&amp;DATE(2026,9,7))</f>
        <v/>
      </c>
      <c r="GZ7" s="116">
        <f>COUNTIFS('DRAFT 2'!$D:$D,$B7,'DRAFT 2'!$A:$A,"&gt;="&amp;DATE(2026,9,8),'DRAFT 2'!$A:$A,"&lt;="&amp;DATE(2026,9,14))</f>
        <v/>
      </c>
      <c r="HA7" s="116">
        <f>COUNTIFS('DRAFT 2'!$D:$D,$B7,'DRAFT 2'!$A:$A,"&gt;="&amp;DATE(2026,9,15),'DRAFT 2'!$A:$A,"&lt;="&amp;DATE(2026,9,21))</f>
        <v/>
      </c>
      <c r="HB7" s="116">
        <f>COUNTIFS('DRAFT 2'!$D:$D,$B7,'DRAFT 2'!$A:$A,"&gt;="&amp;DATE(2026,9,22),'DRAFT 2'!$A:$A,"&lt;"&amp;DATE(2026,IF(9=12,9+1,9+1),1))</f>
        <v/>
      </c>
      <c r="HC7" s="116">
        <f>SUM(GY7:HB7)</f>
        <v/>
      </c>
      <c r="HD7" s="173">
        <f>AVERAGE(HK7,HZ7,IO7)</f>
        <v/>
      </c>
      <c r="HE7" s="179">
        <f>IF(HF7=0,1,HG7/HF7)</f>
        <v/>
      </c>
      <c r="HF7" s="175" t="n"/>
      <c r="HG7" s="175" t="n"/>
      <c r="HH7" s="179">
        <f>IF(HI7=0,1,HJ7/HI7)</f>
        <v/>
      </c>
      <c r="HI7" s="175" t="n"/>
      <c r="HJ7" s="175" t="n"/>
      <c r="HK7" s="179">
        <f>IF(HL7=0,1,HM7/HL7)</f>
        <v/>
      </c>
      <c r="HL7" s="175" t="n"/>
      <c r="HM7" s="175" t="n"/>
      <c r="HN7" s="176">
        <f>IFERROR(LOOKUP(2,1/('DRAFT 2'!$D:$D=$B7)*('DRAFT 2'!$A:$A&gt;=DATE(2026,10,1))*('DRAFT 2'!$A:$A&lt;DATE(2026,IF(10=12,10+1,10+1),1)),'DRAFT 2'!$A:$A),"")</f>
        <v/>
      </c>
      <c r="HO7" s="116">
        <f>COUNTIFS('DRAFT 2'!$D:$D,$B7,'DRAFT 2'!$A:$A,"&gt;="&amp;DATE(2026,10,1),'DRAFT 2'!$A:$A,"&lt;="&amp;DATE(2026,10,7))</f>
        <v/>
      </c>
      <c r="HP7" s="116">
        <f>COUNTIFS('DRAFT 2'!$D:$D,$B7,'DRAFT 2'!$A:$A,"&gt;="&amp;DATE(2026,10,8),'DRAFT 2'!$A:$A,"&lt;="&amp;DATE(2026,10,14))</f>
        <v/>
      </c>
      <c r="HQ7" s="116">
        <f>COUNTIFS('DRAFT 2'!$D:$D,$B7,'DRAFT 2'!$A:$A,"&gt;="&amp;DATE(2026,10,15),'DRAFT 2'!$A:$A,"&lt;="&amp;DATE(2026,10,21))</f>
        <v/>
      </c>
      <c r="HR7" s="116">
        <f>COUNTIFS('DRAFT 2'!$D:$D,$B7,'DRAFT 2'!$A:$A,"&gt;="&amp;DATE(2026,10,22),'DRAFT 2'!$A:$A,"&lt;"&amp;DATE(2026,IF(10=12,10+1,10+1),1))</f>
        <v/>
      </c>
      <c r="HS7" s="116">
        <f>SUM(HO7:HR7)</f>
        <v/>
      </c>
      <c r="HT7" s="179">
        <f>IF(HU7=0,1,HV7/HU7)</f>
        <v/>
      </c>
      <c r="HU7" s="175" t="n"/>
      <c r="HV7" s="175" t="n"/>
      <c r="HW7" s="179">
        <f>IF(HX7=0,1,HY7/HX7)</f>
        <v/>
      </c>
      <c r="HX7" s="175" t="n"/>
      <c r="HY7" s="175" t="n"/>
      <c r="HZ7" s="179">
        <f>IF(IA7=0,1,IB7/IA7)</f>
        <v/>
      </c>
      <c r="IA7" s="175" t="n"/>
      <c r="IB7" s="175" t="n"/>
      <c r="IC7" s="176">
        <f>IFERROR(LOOKUP(2,1/('DRAFT 2'!$D:$D=$B7)*('DRAFT 2'!$A:$A&gt;=DATE(2026,11,1))*('DRAFT 2'!$A:$A&lt;DATE(2026,IF(11=12,11+1,11+1),1)),'DRAFT 2'!$A:$A),"")</f>
        <v/>
      </c>
      <c r="ID7" s="116">
        <f>COUNTIFS('DRAFT 2'!$D:$D,$B7,'DRAFT 2'!$A:$A,"&gt;="&amp;DATE(2026,11,1),'DRAFT 2'!$A:$A,"&lt;="&amp;DATE(2026,11,7))</f>
        <v/>
      </c>
      <c r="IE7" s="116">
        <f>COUNTIFS('DRAFT 2'!$D:$D,$B7,'DRAFT 2'!$A:$A,"&gt;="&amp;DATE(2026,11,8),'DRAFT 2'!$A:$A,"&lt;="&amp;DATE(2026,11,14))</f>
        <v/>
      </c>
      <c r="IF7" s="116">
        <f>COUNTIFS('DRAFT 2'!$D:$D,$B7,'DRAFT 2'!$A:$A,"&gt;="&amp;DATE(2026,11,15),'DRAFT 2'!$A:$A,"&lt;="&amp;DATE(2026,11,21))</f>
        <v/>
      </c>
      <c r="IG7" s="116">
        <f>COUNTIFS('DRAFT 2'!$D:$D,$B7,'DRAFT 2'!$A:$A,"&gt;="&amp;DATE(2026,11,22),'DRAFT 2'!$A:$A,"&lt;"&amp;DATE(2026,IF(11=12,11+1,11+1),1))</f>
        <v/>
      </c>
      <c r="IH7" s="116">
        <f>SUM(ID7:IG7)</f>
        <v/>
      </c>
      <c r="II7" s="179">
        <f>IF(IJ7=0,1,IK7/IJ7)</f>
        <v/>
      </c>
      <c r="IJ7" s="175" t="n"/>
      <c r="IK7" s="175" t="n"/>
      <c r="IL7" s="179">
        <f>IF(IM7=0,1,IN7/IM7)</f>
        <v/>
      </c>
      <c r="IM7" s="175" t="n"/>
      <c r="IN7" s="175" t="n"/>
      <c r="IO7" s="179">
        <f>IF(IP7=0,1,IQ7/IP7)</f>
        <v/>
      </c>
      <c r="IP7" s="175" t="n"/>
      <c r="IQ7" s="175" t="n"/>
      <c r="IR7" s="176">
        <f>IFERROR(LOOKUP(2,1/('DRAFT 2'!$D:$D=$B7)*('DRAFT 2'!$A:$A&gt;=DATE(2026,12,1))*('DRAFT 2'!$A:$A&lt;DATE(2026,IF(12=12,12+1,12+1),1)),'DRAFT 2'!$A:$A),"")</f>
        <v/>
      </c>
      <c r="IS7" s="116">
        <f>COUNTIFS('DRAFT 2'!$D:$D,$B7,'DRAFT 2'!$A:$A,"&gt;="&amp;DATE(2026,12,1),'DRAFT 2'!$A:$A,"&lt;="&amp;DATE(2026,12,7))</f>
        <v/>
      </c>
      <c r="IT7" s="116">
        <f>COUNTIFS('DRAFT 2'!$D:$D,$B7,'DRAFT 2'!$A:$A,"&gt;="&amp;DATE(2026,12,8),'DRAFT 2'!$A:$A,"&lt;="&amp;DATE(2026,12,14))</f>
        <v/>
      </c>
      <c r="IU7" s="116">
        <f>COUNTIFS('DRAFT 2'!$D:$D,$B7,'DRAFT 2'!$A:$A,"&gt;="&amp;DATE(2026,12,15),'DRAFT 2'!$A:$A,"&lt;="&amp;DATE(2026,12,21))</f>
        <v/>
      </c>
      <c r="IV7" s="116">
        <f>COUNTIFS('DRAFT 2'!$D:$D,$B7,'DRAFT 2'!$A:$A,"&gt;="&amp;DATE(2026,12,22),'DRAFT 2'!$A:$A,"&lt;"&amp;DATE(2026,IF(12=12,12+1,12+1),1))</f>
        <v/>
      </c>
      <c r="IW7" s="116">
        <f>SUM(IS7:IV7)</f>
        <v/>
      </c>
    </row>
    <row r="8" ht="15" customHeight="1" s="117">
      <c r="A8" s="116">
        <f>IFERROR(INDEX('DRAFT 1'!$A:$A,MATCH($B8,'DRAFT 1'!$B:$B,0)),"")</f>
        <v/>
      </c>
      <c r="B8" s="116" t="inlineStr">
        <is>
          <t>55566677000122</t>
        </is>
      </c>
      <c r="C8" s="116">
        <f>IFERROR(INDEX('DRAFT 1'!$C:$C,MATCH($B8,'DRAFT 1'!$B:$B,0)),"")</f>
        <v/>
      </c>
      <c r="D8" s="116">
        <f>IFERROR(INDEX('DRAFT 1'!$D:$D,MATCH($B8,'DRAFT 1'!$B:$B,0)),"")</f>
        <v/>
      </c>
      <c r="E8" s="116">
        <f>IFERROR(INDEX('DRAFT 1'!$E:$E,MATCH($B8,'DRAFT 1'!$B:$B,0)),"")</f>
        <v/>
      </c>
      <c r="F8" s="116">
        <f>IFERROR(INDEX('DRAFT 1'!$F:$F,MATCH($B8,'DRAFT 1'!$B:$B,0)),"")</f>
        <v/>
      </c>
      <c r="G8" s="116">
        <f>IFERROR(INDEX('DRAFT 1'!$G:$G,MATCH($B8,'DRAFT 1'!$B:$B,0)),"")</f>
        <v/>
      </c>
      <c r="H8" s="116">
        <f>IFERROR(INDEX('DRAFT 1'!$H:$H,MATCH($B8,'DRAFT 1'!$B:$B,0)),"")</f>
        <v/>
      </c>
      <c r="I8" s="116" t="inlineStr">
        <is>
          <t>DEMAIS CLIENTES</t>
        </is>
      </c>
      <c r="K8" s="116">
        <f>IFERROR(INDEX('DRAFT 1'!$AL:$AL,MATCH($B8,'DRAFT 1'!$B:$B,0)),"")</f>
        <v/>
      </c>
      <c r="L8" s="116">
        <f>IFERROR(INDEX('DRAFT 1'!$J:$J,MATCH($B8,'DRAFT 1'!$B:$B,0)),"")</f>
        <v/>
      </c>
      <c r="M8" s="116">
        <f>IFERROR(INDEX('DRAFT 1'!$K:$K,MATCH($B8,'DRAFT 1'!$B:$B,0)),"")</f>
        <v/>
      </c>
      <c r="N8" s="116" t="inlineStr">
        <is>
          <t>INAT.ANT</t>
        </is>
      </c>
      <c r="O8" s="116">
        <f>IF(N8="EM RISCO",1,IF(N8="INAT.REC",2,IF(N8="ATIVO",3,IF(N8="INAT.ANT",4,5))))</f>
        <v/>
      </c>
      <c r="P8" s="116">
        <f>IFERROR(INDEX('DRAFT 1'!$L:$L,MATCH($B8,'DRAFT 1'!$B:$B,0)),"")</f>
        <v/>
      </c>
      <c r="Q8" s="116">
        <f>IFERROR(INDEX('DRAFT 1'!$M:$M,MATCH($B8,'DRAFT 1'!$B:$B,0)),"")</f>
        <v/>
      </c>
      <c r="R8" s="116">
        <f>IFERROR(INDEX('DRAFT 1'!$N:$N,MATCH($B8,'DRAFT 1'!$B:$B,0)),"")</f>
        <v/>
      </c>
      <c r="S8" s="116">
        <f>IFERROR(INDEX('DRAFT 1'!$O:$O,MATCH($B8,'DRAFT 1'!$B:$B,0)),"")</f>
        <v/>
      </c>
      <c r="T8" s="116">
        <f>IFERROR(INDEX('DRAFT 1'!$P:$P,MATCH($B8,'DRAFT 1'!$B:$B,0)),"")</f>
        <v/>
      </c>
      <c r="U8" s="116">
        <f>IFERROR(INDEX('DRAFT 1'!$Q:$Q,MATCH($B8,'DRAFT 1'!$B:$B,0)),"")</f>
        <v/>
      </c>
      <c r="V8" s="116">
        <f>IFERROR(INDEX('DRAFT 1'!$R:$R,MATCH($B8,'DRAFT 1'!$B:$B,0)),"")</f>
        <v/>
      </c>
      <c r="W8" s="116">
        <f>IFERROR(INDEX('DRAFT 1'!$S:$S,MATCH($B8,'DRAFT 1'!$B:$B,0)),"")</f>
        <v/>
      </c>
      <c r="X8" s="116">
        <f>IFERROR(INDEX('DRAFT 1'!$T:$T,MATCH($B8,'DRAFT 1'!$B:$B,0)),"")</f>
        <v/>
      </c>
      <c r="Y8" s="116">
        <f>SUM(Z8:AJ8)</f>
        <v/>
      </c>
      <c r="Z8" s="116">
        <f>IFERROR(INDEX('DRAFT 1'!$U:$U,MATCH($B8,'DRAFT 1'!$B:$B,0)),"")</f>
        <v/>
      </c>
      <c r="AA8" s="116">
        <f>IFERROR(INDEX('DRAFT 1'!$V:$V,MATCH($B8,'DRAFT 1'!$B:$B,0)),"")</f>
        <v/>
      </c>
      <c r="AB8" s="116">
        <f>IFERROR(INDEX('DRAFT 1'!$W:$W,MATCH($B8,'DRAFT 1'!$B:$B,0)),"")</f>
        <v/>
      </c>
      <c r="AC8" s="116">
        <f>IFERROR(INDEX('DRAFT 1'!$X:$X,MATCH($B8,'DRAFT 1'!$B:$B,0)),"")</f>
        <v/>
      </c>
      <c r="AD8" s="116">
        <f>IFERROR(INDEX('DRAFT 1'!$Y:$Y,MATCH($B8,'DRAFT 1'!$B:$B,0)),"")</f>
        <v/>
      </c>
      <c r="AE8" s="116">
        <f>IFERROR(INDEX('DRAFT 1'!$Z:$Z,MATCH($B8,'DRAFT 1'!$B:$B,0)),"")</f>
        <v/>
      </c>
      <c r="AF8" s="116">
        <f>IFERROR(INDEX('DRAFT 1'!$AA:$AA,MATCH($B8,'DRAFT 1'!$B:$B,0)),"")</f>
        <v/>
      </c>
      <c r="AG8" s="116">
        <f>IFERROR(INDEX('DRAFT 1'!$AB:$AB,MATCH($B8,'DRAFT 1'!$B:$B,0)),"")</f>
        <v/>
      </c>
      <c r="AH8" s="116">
        <f>IFERROR(INDEX('DRAFT 1'!$AC:$AC,MATCH($B8,'DRAFT 1'!$B:$B,0)),"")</f>
        <v/>
      </c>
      <c r="AI8" s="116">
        <f>IFERROR(INDEX('DRAFT 1'!$AD:$AD,MATCH($B8,'DRAFT 1'!$B:$B,0)),"")</f>
        <v/>
      </c>
      <c r="AJ8" s="116">
        <f>IFERROR(INDEX('DRAFT 1'!$AE:$AE,MATCH($B8,'DRAFT 1'!$B:$B,0)),"")</f>
        <v/>
      </c>
      <c r="AK8" s="116">
        <f>IFERROR(INDEX('DRAFT 1'!$AG:$AG,MATCH($B8,'DRAFT 1'!$B:$B,0)),"")</f>
        <v/>
      </c>
      <c r="AL8" s="116">
        <f>IFERROR(INDEX('DRAFT 1'!$AH:$AH,MATCH($B8,'DRAFT 1'!$B:$B,0)),"")</f>
        <v/>
      </c>
      <c r="AM8" s="116">
        <f>IFERROR(INDEX('DRAFT 1'!$AI:$AI,MATCH($B8,'DRAFT 1'!$B:$B,0)),"")</f>
        <v/>
      </c>
      <c r="AN8" s="116">
        <f>IFERROR(INDEX('DRAFT 1'!$AJ:$AJ,MATCH($B8,'DRAFT 1'!$B:$B,0)),"")</f>
        <v/>
      </c>
      <c r="AO8" s="116">
        <f>IFERROR(Y8/AN8,0)</f>
        <v/>
      </c>
      <c r="AP8" s="116">
        <f>IFERROR(INDEX('DRAFT 1'!$AK:$AK,MATCH($B8,'DRAFT 1'!$B:$B,0)),"")</f>
        <v/>
      </c>
      <c r="AR8" s="116" t="inlineStr">
        <is>
          <t>PROSPECÇÃO</t>
        </is>
      </c>
      <c r="AS8" s="116">
        <f>IFERROR(LOOKUP(2,1/('DRAFT 2'!$D:$D=$B8),'DRAFT 2'!$T:$T),"")</f>
        <v/>
      </c>
      <c r="AT8" s="116">
        <f>IFERROR(LOOKUP(2,1/('DRAFT 2'!$D:$D=$B8),'DRAFT 2'!$A:$A),"")</f>
        <v/>
      </c>
      <c r="AU8" s="116">
        <f>IFERROR(LOOKUP(2,1/('DRAFT 2'!$D:$D=$B8),'DRAFT 2'!$R:$R),"")</f>
        <v/>
      </c>
      <c r="AV8" s="116">
        <f>IFERROR(LOOKUP(2,1/('DRAFT 2'!$D:$D=$B8),'DRAFT 2'!$S:$S),"")</f>
        <v/>
      </c>
      <c r="AW8" s="116" t="inlineStr">
        <is>
          <t>PROSPECT</t>
        </is>
      </c>
      <c r="AX8" s="116">
        <f>IFERROR(LOOKUP(2,1/('DRAFT 2'!$D:$D=$B8),'DRAFT 2'!$M:$M),"")</f>
        <v/>
      </c>
      <c r="AY8" s="116">
        <f>IFERROR(LOOKUP(2,1/('DRAFT 2'!$D:$D=$B8),'DRAFT 2'!$K:$K),"")</f>
        <v/>
      </c>
      <c r="BA8" s="116">
        <f>IF(N8="PROSPECT","❄️ FRIO",IF(OR(AR8="ORÇAMENTO",AR8="NEGOCIAÇÃO",AR8="CADASTRO"),"🔥 QUENTE",IF(OR(AR8="FOLLOW UP 7",AR8="FOLLOW UP 15",AR8="ATENDIMENTO"),"⚡ MORNO","❄️ FRIO")))</f>
        <v/>
      </c>
      <c r="BB8" s="116">
        <f>IF(BE8="","",BE8-BC8)</f>
        <v/>
      </c>
      <c r="BG8" s="116">
        <f>IFERROR(LOOKUP(2,1/('DRAFT 2'!$D:$D=$B8),'DRAFT 2'!$U:$U),"")</f>
        <v/>
      </c>
      <c r="BH8" s="116">
        <f>IFERROR(LOOKUP(2,1/('DRAFT 2'!$D:$D=$B8),'DRAFT 2'!$V:$V),"")</f>
        <v/>
      </c>
      <c r="BI8" s="116">
        <f>IF(Q8="","🟣",IF(P8&lt;=IF(AK8="",45,AK8),"🟢",IF(P8&lt;=IF(AK8="",45,AK8)+30,"🟡","🔴")))</f>
        <v/>
      </c>
      <c r="BU8" s="173">
        <f>CR8</f>
        <v/>
      </c>
      <c r="BV8" s="173">
        <f>AVERAGE(CC8,CR8,DG8)</f>
        <v/>
      </c>
      <c r="BW8" s="174">
        <f>IF(BX8=0,1,BY8/BX8)</f>
        <v/>
      </c>
      <c r="BX8" s="175" t="n"/>
      <c r="BY8" s="175" t="n"/>
      <c r="BZ8" s="174">
        <f>IF(CA8=0,1,CB8/CA8)</f>
        <v/>
      </c>
      <c r="CA8" s="175" t="n"/>
      <c r="CB8" s="175" t="n"/>
      <c r="CC8" s="174">
        <f>IF(CD8=0,1,CE8/CD8)</f>
        <v/>
      </c>
      <c r="CD8" s="175" t="n"/>
      <c r="CE8" s="175">
        <f>IFERROR(AJ8,0)</f>
        <v/>
      </c>
      <c r="CF8" s="176">
        <f>IFERROR(LOOKUP(2,1/('DRAFT 2'!$D:$D=$B8)*('DRAFT 2'!$A:$A&gt;=DATE(2026,1,1))*('DRAFT 2'!$A:$A&lt;DATE(2026,IF(1=12,1+1,1+1),1)),'DRAFT 2'!$A:$A),"")</f>
        <v/>
      </c>
      <c r="CG8" s="116">
        <f>COUNTIFS('DRAFT 2'!$D:$D,$B8,'DRAFT 2'!$A:$A,"&gt;="&amp;DATE(2026,1,1),'DRAFT 2'!$A:$A,"&lt;="&amp;DATE(2026,1,7))</f>
        <v/>
      </c>
      <c r="CH8" s="116">
        <f>COUNTIFS('DRAFT 2'!$D:$D,$B8,'DRAFT 2'!$A:$A,"&gt;="&amp;DATE(2026,1,8),'DRAFT 2'!$A:$A,"&lt;="&amp;DATE(2026,1,14))</f>
        <v/>
      </c>
      <c r="CI8" s="116">
        <f>COUNTIFS('DRAFT 2'!$D:$D,$B8,'DRAFT 2'!$A:$A,"&gt;="&amp;DATE(2026,1,15),'DRAFT 2'!$A:$A,"&lt;="&amp;DATE(2026,1,21))</f>
        <v/>
      </c>
      <c r="CJ8" s="116">
        <f>COUNTIFS('DRAFT 2'!$D:$D,$B8,'DRAFT 2'!$A:$A,"&gt;="&amp;DATE(2026,1,22),'DRAFT 2'!$A:$A,"&lt;"&amp;DATE(2026,IF(1=12,1+1,1+1),1))</f>
        <v/>
      </c>
      <c r="CK8" s="116">
        <f>SUM(CG8:CJ8)</f>
        <v/>
      </c>
      <c r="CL8" s="174">
        <f>IF(CM8=0,1,CN8/CM8)</f>
        <v/>
      </c>
      <c r="CM8" s="175" t="n"/>
      <c r="CN8" s="175" t="n"/>
      <c r="CO8" s="174">
        <f>IF(CP8=0,1,CQ8/CP8)</f>
        <v/>
      </c>
      <c r="CP8" s="175" t="n"/>
      <c r="CQ8" s="175" t="n"/>
      <c r="CR8" s="174">
        <f>IF(CS8=0,1,CT8/CS8)</f>
        <v/>
      </c>
      <c r="CS8" s="175" t="n"/>
      <c r="CT8" s="175" t="n">
        <v>0</v>
      </c>
      <c r="CU8" s="176">
        <f>IFERROR(LOOKUP(2,1/('DRAFT 2'!$D:$D=$B8)*('DRAFT 2'!$A:$A&gt;=DATE(2026,2,1))*('DRAFT 2'!$A:$A&lt;DATE(2026,IF(2=12,2+1,2+1),1)),'DRAFT 2'!$A:$A),"")</f>
        <v/>
      </c>
      <c r="CV8" s="116">
        <f>COUNTIFS('DRAFT 2'!$D:$D,$B8,'DRAFT 2'!$A:$A,"&gt;="&amp;DATE(2026,2,1),'DRAFT 2'!$A:$A,"&lt;="&amp;DATE(2026,2,7))</f>
        <v/>
      </c>
      <c r="CW8" s="116">
        <f>COUNTIFS('DRAFT 2'!$D:$D,$B8,'DRAFT 2'!$A:$A,"&gt;="&amp;DATE(2026,2,8),'DRAFT 2'!$A:$A,"&lt;="&amp;DATE(2026,2,14))</f>
        <v/>
      </c>
      <c r="CX8" s="116">
        <f>COUNTIFS('DRAFT 2'!$D:$D,$B8,'DRAFT 2'!$A:$A,"&gt;="&amp;DATE(2026,2,15),'DRAFT 2'!$A:$A,"&lt;="&amp;DATE(2026,2,21))</f>
        <v/>
      </c>
      <c r="CY8" s="116">
        <f>COUNTIFS('DRAFT 2'!$D:$D,$B8,'DRAFT 2'!$A:$A,"&gt;="&amp;DATE(2026,2,22),'DRAFT 2'!$A:$A,"&lt;"&amp;DATE(2026,IF(2=12,2+1,2+1),1))</f>
        <v/>
      </c>
      <c r="CZ8" s="116">
        <f>SUM(CV8:CY8)</f>
        <v/>
      </c>
      <c r="DA8" s="174">
        <f>IF(DB8=0,1,DC8/DB8)</f>
        <v/>
      </c>
      <c r="DB8" s="175" t="n"/>
      <c r="DC8" s="175" t="n"/>
      <c r="DD8" s="174">
        <f>IF(DE8=0,1,DF8/DE8)</f>
        <v/>
      </c>
      <c r="DE8" s="175" t="n"/>
      <c r="DF8" s="175" t="n"/>
      <c r="DG8" s="174">
        <f>IF(DH8=0,1,DI8/DH8)</f>
        <v/>
      </c>
      <c r="DH8" s="175" t="n"/>
      <c r="DI8" s="175" t="n"/>
      <c r="DJ8" s="176">
        <f>IFERROR(LOOKUP(2,1/('DRAFT 2'!$D:$D=$B8)*('DRAFT 2'!$A:$A&gt;=DATE(2026,3,1))*('DRAFT 2'!$A:$A&lt;DATE(2026,IF(3=12,3+1,3+1),1)),'DRAFT 2'!$A:$A),"")</f>
        <v/>
      </c>
      <c r="DK8" s="116">
        <f>COUNTIFS('DRAFT 2'!$D:$D,$B8,'DRAFT 2'!$A:$A,"&gt;="&amp;DATE(2026,3,1),'DRAFT 2'!$A:$A,"&lt;="&amp;DATE(2026,3,7))</f>
        <v/>
      </c>
      <c r="DL8" s="116">
        <f>COUNTIFS('DRAFT 2'!$D:$D,$B8,'DRAFT 2'!$A:$A,"&gt;="&amp;DATE(2026,3,8),'DRAFT 2'!$A:$A,"&lt;="&amp;DATE(2026,3,14))</f>
        <v/>
      </c>
      <c r="DM8" s="116">
        <f>COUNTIFS('DRAFT 2'!$D:$D,$B8,'DRAFT 2'!$A:$A,"&gt;="&amp;DATE(2026,3,15),'DRAFT 2'!$A:$A,"&lt;="&amp;DATE(2026,3,21))</f>
        <v/>
      </c>
      <c r="DN8" s="116">
        <f>COUNTIFS('DRAFT 2'!$D:$D,$B8,'DRAFT 2'!$A:$A,"&gt;="&amp;DATE(2026,3,22),'DRAFT 2'!$A:$A,"&lt;"&amp;DATE(2026,IF(3=12,3+1,3+1),1))</f>
        <v/>
      </c>
      <c r="DO8" s="116">
        <f>SUM(DK8:DN8)</f>
        <v/>
      </c>
      <c r="DP8" s="173">
        <f>AVERAGE(DW8,EL8,FA8)</f>
        <v/>
      </c>
      <c r="DQ8" s="177">
        <f>IF(DR8=0,1,DS8/DR8)</f>
        <v/>
      </c>
      <c r="DR8" s="175" t="n"/>
      <c r="DS8" s="175" t="n"/>
      <c r="DT8" s="177">
        <f>IF(DU8=0,1,DV8/DU8)</f>
        <v/>
      </c>
      <c r="DU8" s="175" t="n"/>
      <c r="DV8" s="175" t="n"/>
      <c r="DW8" s="177">
        <f>IF(DX8=0,1,DY8/DX8)</f>
        <v/>
      </c>
      <c r="DX8" s="175" t="n"/>
      <c r="DY8" s="175" t="n"/>
      <c r="DZ8" s="176">
        <f>IFERROR(LOOKUP(2,1/('DRAFT 2'!$D:$D=$B8)*('DRAFT 2'!$A:$A&gt;=DATE(2026,4,1))*('DRAFT 2'!$A:$A&lt;DATE(2026,IF(4=12,4+1,4+1),1)),'DRAFT 2'!$A:$A),"")</f>
        <v/>
      </c>
      <c r="EA8" s="116">
        <f>COUNTIFS('DRAFT 2'!$D:$D,$B8,'DRAFT 2'!$A:$A,"&gt;="&amp;DATE(2026,4,1),'DRAFT 2'!$A:$A,"&lt;="&amp;DATE(2026,4,7))</f>
        <v/>
      </c>
      <c r="EB8" s="116">
        <f>COUNTIFS('DRAFT 2'!$D:$D,$B8,'DRAFT 2'!$A:$A,"&gt;="&amp;DATE(2026,4,8),'DRAFT 2'!$A:$A,"&lt;="&amp;DATE(2026,4,14))</f>
        <v/>
      </c>
      <c r="EC8" s="116">
        <f>COUNTIFS('DRAFT 2'!$D:$D,$B8,'DRAFT 2'!$A:$A,"&gt;="&amp;DATE(2026,4,15),'DRAFT 2'!$A:$A,"&lt;="&amp;DATE(2026,4,21))</f>
        <v/>
      </c>
      <c r="ED8" s="116">
        <f>COUNTIFS('DRAFT 2'!$D:$D,$B8,'DRAFT 2'!$A:$A,"&gt;="&amp;DATE(2026,4,22),'DRAFT 2'!$A:$A,"&lt;"&amp;DATE(2026,IF(4=12,4+1,4+1),1))</f>
        <v/>
      </c>
      <c r="EE8" s="116">
        <f>SUM(EA8:ED8)</f>
        <v/>
      </c>
      <c r="EF8" s="177">
        <f>IF(EG8=0,1,EH8/EG8)</f>
        <v/>
      </c>
      <c r="EG8" s="175" t="n"/>
      <c r="EH8" s="175" t="n"/>
      <c r="EI8" s="177">
        <f>IF(EJ8=0,1,EK8/EJ8)</f>
        <v/>
      </c>
      <c r="EJ8" s="175" t="n"/>
      <c r="EK8" s="175" t="n"/>
      <c r="EL8" s="177">
        <f>IF(EM8=0,1,EN8/EM8)</f>
        <v/>
      </c>
      <c r="EM8" s="175" t="n"/>
      <c r="EN8" s="175" t="n"/>
      <c r="EO8" s="176">
        <f>IFERROR(LOOKUP(2,1/('DRAFT 2'!$D:$D=$B8)*('DRAFT 2'!$A:$A&gt;=DATE(2026,5,1))*('DRAFT 2'!$A:$A&lt;DATE(2026,IF(5=12,5+1,5+1),1)),'DRAFT 2'!$A:$A),"")</f>
        <v/>
      </c>
      <c r="EP8" s="116">
        <f>COUNTIFS('DRAFT 2'!$D:$D,$B8,'DRAFT 2'!$A:$A,"&gt;="&amp;DATE(2026,5,1),'DRAFT 2'!$A:$A,"&lt;="&amp;DATE(2026,5,7))</f>
        <v/>
      </c>
      <c r="EQ8" s="116">
        <f>COUNTIFS('DRAFT 2'!$D:$D,$B8,'DRAFT 2'!$A:$A,"&gt;="&amp;DATE(2026,5,8),'DRAFT 2'!$A:$A,"&lt;="&amp;DATE(2026,5,14))</f>
        <v/>
      </c>
      <c r="ER8" s="116">
        <f>COUNTIFS('DRAFT 2'!$D:$D,$B8,'DRAFT 2'!$A:$A,"&gt;="&amp;DATE(2026,5,15),'DRAFT 2'!$A:$A,"&lt;="&amp;DATE(2026,5,21))</f>
        <v/>
      </c>
      <c r="ES8" s="116">
        <f>COUNTIFS('DRAFT 2'!$D:$D,$B8,'DRAFT 2'!$A:$A,"&gt;="&amp;DATE(2026,5,22),'DRAFT 2'!$A:$A,"&lt;"&amp;DATE(2026,IF(5=12,5+1,5+1),1))</f>
        <v/>
      </c>
      <c r="ET8" s="116">
        <f>SUM(EP8:ES8)</f>
        <v/>
      </c>
      <c r="EU8" s="177">
        <f>IF(EV8=0,1,EW8/EV8)</f>
        <v/>
      </c>
      <c r="EV8" s="175" t="n"/>
      <c r="EW8" s="175" t="n"/>
      <c r="EX8" s="177">
        <f>IF(EY8=0,1,EZ8/EY8)</f>
        <v/>
      </c>
      <c r="EY8" s="175" t="n"/>
      <c r="EZ8" s="175" t="n"/>
      <c r="FA8" s="177">
        <f>IF(FB8=0,1,FC8/FB8)</f>
        <v/>
      </c>
      <c r="FB8" s="175" t="n"/>
      <c r="FC8" s="175" t="n"/>
      <c r="FD8" s="176">
        <f>IFERROR(LOOKUP(2,1/('DRAFT 2'!$D:$D=$B8)*('DRAFT 2'!$A:$A&gt;=DATE(2026,6,1))*('DRAFT 2'!$A:$A&lt;DATE(2026,IF(6=12,6+1,6+1),1)),'DRAFT 2'!$A:$A),"")</f>
        <v/>
      </c>
      <c r="FE8" s="116">
        <f>COUNTIFS('DRAFT 2'!$D:$D,$B8,'DRAFT 2'!$A:$A,"&gt;="&amp;DATE(2026,6,1),'DRAFT 2'!$A:$A,"&lt;="&amp;DATE(2026,6,7))</f>
        <v/>
      </c>
      <c r="FF8" s="116">
        <f>COUNTIFS('DRAFT 2'!$D:$D,$B8,'DRAFT 2'!$A:$A,"&gt;="&amp;DATE(2026,6,8),'DRAFT 2'!$A:$A,"&lt;="&amp;DATE(2026,6,14))</f>
        <v/>
      </c>
      <c r="FG8" s="116">
        <f>COUNTIFS('DRAFT 2'!$D:$D,$B8,'DRAFT 2'!$A:$A,"&gt;="&amp;DATE(2026,6,15),'DRAFT 2'!$A:$A,"&lt;="&amp;DATE(2026,6,21))</f>
        <v/>
      </c>
      <c r="FH8" s="116">
        <f>COUNTIFS('DRAFT 2'!$D:$D,$B8,'DRAFT 2'!$A:$A,"&gt;="&amp;DATE(2026,6,22),'DRAFT 2'!$A:$A,"&lt;"&amp;DATE(2026,IF(6=12,6+1,6+1),1))</f>
        <v/>
      </c>
      <c r="FI8" s="116">
        <f>SUM(FE8:FH8)</f>
        <v/>
      </c>
      <c r="FJ8" s="173">
        <f>AVERAGE(FQ8,GF8,GU8)</f>
        <v/>
      </c>
      <c r="FK8" s="178">
        <f>IF(FL8=0,1,FM8/FL8)</f>
        <v/>
      </c>
      <c r="FL8" s="175" t="n"/>
      <c r="FM8" s="175" t="n"/>
      <c r="FN8" s="178">
        <f>IF(FO8=0,1,FP8/FO8)</f>
        <v/>
      </c>
      <c r="FO8" s="175" t="n"/>
      <c r="FP8" s="175" t="n"/>
      <c r="FQ8" s="178">
        <f>IF(FR8=0,1,FS8/FR8)</f>
        <v/>
      </c>
      <c r="FR8" s="175" t="n"/>
      <c r="FS8" s="175" t="n"/>
      <c r="FT8" s="176">
        <f>IFERROR(LOOKUP(2,1/('DRAFT 2'!$D:$D=$B8)*('DRAFT 2'!$A:$A&gt;=DATE(2026,7,1))*('DRAFT 2'!$A:$A&lt;DATE(2026,IF(7=12,7+1,7+1),1)),'DRAFT 2'!$A:$A),"")</f>
        <v/>
      </c>
      <c r="FU8" s="116">
        <f>COUNTIFS('DRAFT 2'!$D:$D,$B8,'DRAFT 2'!$A:$A,"&gt;="&amp;DATE(2026,7,1),'DRAFT 2'!$A:$A,"&lt;="&amp;DATE(2026,7,7))</f>
        <v/>
      </c>
      <c r="FV8" s="116">
        <f>COUNTIFS('DRAFT 2'!$D:$D,$B8,'DRAFT 2'!$A:$A,"&gt;="&amp;DATE(2026,7,8),'DRAFT 2'!$A:$A,"&lt;="&amp;DATE(2026,7,14))</f>
        <v/>
      </c>
      <c r="FW8" s="116">
        <f>COUNTIFS('DRAFT 2'!$D:$D,$B8,'DRAFT 2'!$A:$A,"&gt;="&amp;DATE(2026,7,15),'DRAFT 2'!$A:$A,"&lt;="&amp;DATE(2026,7,21))</f>
        <v/>
      </c>
      <c r="FX8" s="116">
        <f>COUNTIFS('DRAFT 2'!$D:$D,$B8,'DRAFT 2'!$A:$A,"&gt;="&amp;DATE(2026,7,22),'DRAFT 2'!$A:$A,"&lt;"&amp;DATE(2026,IF(7=12,7+1,7+1),1))</f>
        <v/>
      </c>
      <c r="FY8" s="116">
        <f>SUM(FU8:FX8)</f>
        <v/>
      </c>
      <c r="FZ8" s="178">
        <f>IF(GA8=0,1,GB8/GA8)</f>
        <v/>
      </c>
      <c r="GA8" s="175" t="n"/>
      <c r="GB8" s="175" t="n"/>
      <c r="GC8" s="178">
        <f>IF(GD8=0,1,GE8/GD8)</f>
        <v/>
      </c>
      <c r="GD8" s="175" t="n"/>
      <c r="GE8" s="175" t="n"/>
      <c r="GF8" s="178">
        <f>IF(GG8=0,1,GH8/GG8)</f>
        <v/>
      </c>
      <c r="GG8" s="175" t="n"/>
      <c r="GH8" s="175" t="n"/>
      <c r="GI8" s="176">
        <f>IFERROR(LOOKUP(2,1/('DRAFT 2'!$D:$D=$B8)*('DRAFT 2'!$A:$A&gt;=DATE(2026,8,1))*('DRAFT 2'!$A:$A&lt;DATE(2026,IF(8=12,8+1,8+1),1)),'DRAFT 2'!$A:$A),"")</f>
        <v/>
      </c>
      <c r="GJ8" s="116">
        <f>COUNTIFS('DRAFT 2'!$D:$D,$B8,'DRAFT 2'!$A:$A,"&gt;="&amp;DATE(2026,8,1),'DRAFT 2'!$A:$A,"&lt;="&amp;DATE(2026,8,7))</f>
        <v/>
      </c>
      <c r="GK8" s="116">
        <f>COUNTIFS('DRAFT 2'!$D:$D,$B8,'DRAFT 2'!$A:$A,"&gt;="&amp;DATE(2026,8,8),'DRAFT 2'!$A:$A,"&lt;="&amp;DATE(2026,8,14))</f>
        <v/>
      </c>
      <c r="GL8" s="116">
        <f>COUNTIFS('DRAFT 2'!$D:$D,$B8,'DRAFT 2'!$A:$A,"&gt;="&amp;DATE(2026,8,15),'DRAFT 2'!$A:$A,"&lt;="&amp;DATE(2026,8,21))</f>
        <v/>
      </c>
      <c r="GM8" s="116">
        <f>COUNTIFS('DRAFT 2'!$D:$D,$B8,'DRAFT 2'!$A:$A,"&gt;="&amp;DATE(2026,8,22),'DRAFT 2'!$A:$A,"&lt;"&amp;DATE(2026,IF(8=12,8+1,8+1),1))</f>
        <v/>
      </c>
      <c r="GN8" s="116">
        <f>SUM(GJ8:GM8)</f>
        <v/>
      </c>
      <c r="GO8" s="178">
        <f>IF(GP8=0,1,GQ8/GP8)</f>
        <v/>
      </c>
      <c r="GP8" s="175" t="n"/>
      <c r="GQ8" s="175" t="n"/>
      <c r="GR8" s="178">
        <f>IF(GS8=0,1,GT8/GS8)</f>
        <v/>
      </c>
      <c r="GS8" s="175" t="n"/>
      <c r="GT8" s="175" t="n"/>
      <c r="GU8" s="178">
        <f>IF(GV8=0,1,GW8/GV8)</f>
        <v/>
      </c>
      <c r="GV8" s="175" t="n"/>
      <c r="GW8" s="175" t="n"/>
      <c r="GX8" s="176">
        <f>IFERROR(LOOKUP(2,1/('DRAFT 2'!$D:$D=$B8)*('DRAFT 2'!$A:$A&gt;=DATE(2026,9,1))*('DRAFT 2'!$A:$A&lt;DATE(2026,IF(9=12,9+1,9+1),1)),'DRAFT 2'!$A:$A),"")</f>
        <v/>
      </c>
      <c r="GY8" s="116">
        <f>COUNTIFS('DRAFT 2'!$D:$D,$B8,'DRAFT 2'!$A:$A,"&gt;="&amp;DATE(2026,9,1),'DRAFT 2'!$A:$A,"&lt;="&amp;DATE(2026,9,7))</f>
        <v/>
      </c>
      <c r="GZ8" s="116">
        <f>COUNTIFS('DRAFT 2'!$D:$D,$B8,'DRAFT 2'!$A:$A,"&gt;="&amp;DATE(2026,9,8),'DRAFT 2'!$A:$A,"&lt;="&amp;DATE(2026,9,14))</f>
        <v/>
      </c>
      <c r="HA8" s="116">
        <f>COUNTIFS('DRAFT 2'!$D:$D,$B8,'DRAFT 2'!$A:$A,"&gt;="&amp;DATE(2026,9,15),'DRAFT 2'!$A:$A,"&lt;="&amp;DATE(2026,9,21))</f>
        <v/>
      </c>
      <c r="HB8" s="116">
        <f>COUNTIFS('DRAFT 2'!$D:$D,$B8,'DRAFT 2'!$A:$A,"&gt;="&amp;DATE(2026,9,22),'DRAFT 2'!$A:$A,"&lt;"&amp;DATE(2026,IF(9=12,9+1,9+1),1))</f>
        <v/>
      </c>
      <c r="HC8" s="116">
        <f>SUM(GY8:HB8)</f>
        <v/>
      </c>
      <c r="HD8" s="173">
        <f>AVERAGE(HK8,HZ8,IO8)</f>
        <v/>
      </c>
      <c r="HE8" s="179">
        <f>IF(HF8=0,1,HG8/HF8)</f>
        <v/>
      </c>
      <c r="HF8" s="175" t="n"/>
      <c r="HG8" s="175" t="n"/>
      <c r="HH8" s="179">
        <f>IF(HI8=0,1,HJ8/HI8)</f>
        <v/>
      </c>
      <c r="HI8" s="175" t="n"/>
      <c r="HJ8" s="175" t="n"/>
      <c r="HK8" s="179">
        <f>IF(HL8=0,1,HM8/HL8)</f>
        <v/>
      </c>
      <c r="HL8" s="175" t="n"/>
      <c r="HM8" s="175" t="n"/>
      <c r="HN8" s="176">
        <f>IFERROR(LOOKUP(2,1/('DRAFT 2'!$D:$D=$B8)*('DRAFT 2'!$A:$A&gt;=DATE(2026,10,1))*('DRAFT 2'!$A:$A&lt;DATE(2026,IF(10=12,10+1,10+1),1)),'DRAFT 2'!$A:$A),"")</f>
        <v/>
      </c>
      <c r="HO8" s="116">
        <f>COUNTIFS('DRAFT 2'!$D:$D,$B8,'DRAFT 2'!$A:$A,"&gt;="&amp;DATE(2026,10,1),'DRAFT 2'!$A:$A,"&lt;="&amp;DATE(2026,10,7))</f>
        <v/>
      </c>
      <c r="HP8" s="116">
        <f>COUNTIFS('DRAFT 2'!$D:$D,$B8,'DRAFT 2'!$A:$A,"&gt;="&amp;DATE(2026,10,8),'DRAFT 2'!$A:$A,"&lt;="&amp;DATE(2026,10,14))</f>
        <v/>
      </c>
      <c r="HQ8" s="116">
        <f>COUNTIFS('DRAFT 2'!$D:$D,$B8,'DRAFT 2'!$A:$A,"&gt;="&amp;DATE(2026,10,15),'DRAFT 2'!$A:$A,"&lt;="&amp;DATE(2026,10,21))</f>
        <v/>
      </c>
      <c r="HR8" s="116">
        <f>COUNTIFS('DRAFT 2'!$D:$D,$B8,'DRAFT 2'!$A:$A,"&gt;="&amp;DATE(2026,10,22),'DRAFT 2'!$A:$A,"&lt;"&amp;DATE(2026,IF(10=12,10+1,10+1),1))</f>
        <v/>
      </c>
      <c r="HS8" s="116">
        <f>SUM(HO8:HR8)</f>
        <v/>
      </c>
      <c r="HT8" s="179">
        <f>IF(HU8=0,1,HV8/HU8)</f>
        <v/>
      </c>
      <c r="HU8" s="175" t="n"/>
      <c r="HV8" s="175" t="n"/>
      <c r="HW8" s="179">
        <f>IF(HX8=0,1,HY8/HX8)</f>
        <v/>
      </c>
      <c r="HX8" s="175" t="n"/>
      <c r="HY8" s="175" t="n"/>
      <c r="HZ8" s="179">
        <f>IF(IA8=0,1,IB8/IA8)</f>
        <v/>
      </c>
      <c r="IA8" s="175" t="n"/>
      <c r="IB8" s="175" t="n"/>
      <c r="IC8" s="176">
        <f>IFERROR(LOOKUP(2,1/('DRAFT 2'!$D:$D=$B8)*('DRAFT 2'!$A:$A&gt;=DATE(2026,11,1))*('DRAFT 2'!$A:$A&lt;DATE(2026,IF(11=12,11+1,11+1),1)),'DRAFT 2'!$A:$A),"")</f>
        <v/>
      </c>
      <c r="ID8" s="116">
        <f>COUNTIFS('DRAFT 2'!$D:$D,$B8,'DRAFT 2'!$A:$A,"&gt;="&amp;DATE(2026,11,1),'DRAFT 2'!$A:$A,"&lt;="&amp;DATE(2026,11,7))</f>
        <v/>
      </c>
      <c r="IE8" s="116">
        <f>COUNTIFS('DRAFT 2'!$D:$D,$B8,'DRAFT 2'!$A:$A,"&gt;="&amp;DATE(2026,11,8),'DRAFT 2'!$A:$A,"&lt;="&amp;DATE(2026,11,14))</f>
        <v/>
      </c>
      <c r="IF8" s="116">
        <f>COUNTIFS('DRAFT 2'!$D:$D,$B8,'DRAFT 2'!$A:$A,"&gt;="&amp;DATE(2026,11,15),'DRAFT 2'!$A:$A,"&lt;="&amp;DATE(2026,11,21))</f>
        <v/>
      </c>
      <c r="IG8" s="116">
        <f>COUNTIFS('DRAFT 2'!$D:$D,$B8,'DRAFT 2'!$A:$A,"&gt;="&amp;DATE(2026,11,22),'DRAFT 2'!$A:$A,"&lt;"&amp;DATE(2026,IF(11=12,11+1,11+1),1))</f>
        <v/>
      </c>
      <c r="IH8" s="116">
        <f>SUM(ID8:IG8)</f>
        <v/>
      </c>
      <c r="II8" s="179">
        <f>IF(IJ8=0,1,IK8/IJ8)</f>
        <v/>
      </c>
      <c r="IJ8" s="175" t="n"/>
      <c r="IK8" s="175" t="n"/>
      <c r="IL8" s="179">
        <f>IF(IM8=0,1,IN8/IM8)</f>
        <v/>
      </c>
      <c r="IM8" s="175" t="n"/>
      <c r="IN8" s="175" t="n"/>
      <c r="IO8" s="179">
        <f>IF(IP8=0,1,IQ8/IP8)</f>
        <v/>
      </c>
      <c r="IP8" s="175" t="n"/>
      <c r="IQ8" s="175" t="n"/>
      <c r="IR8" s="176">
        <f>IFERROR(LOOKUP(2,1/('DRAFT 2'!$D:$D=$B8)*('DRAFT 2'!$A:$A&gt;=DATE(2026,12,1))*('DRAFT 2'!$A:$A&lt;DATE(2026,IF(12=12,12+1,12+1),1)),'DRAFT 2'!$A:$A),"")</f>
        <v/>
      </c>
      <c r="IS8" s="116">
        <f>COUNTIFS('DRAFT 2'!$D:$D,$B8,'DRAFT 2'!$A:$A,"&gt;="&amp;DATE(2026,12,1),'DRAFT 2'!$A:$A,"&lt;="&amp;DATE(2026,12,7))</f>
        <v/>
      </c>
      <c r="IT8" s="116">
        <f>COUNTIFS('DRAFT 2'!$D:$D,$B8,'DRAFT 2'!$A:$A,"&gt;="&amp;DATE(2026,12,8),'DRAFT 2'!$A:$A,"&lt;="&amp;DATE(2026,12,14))</f>
        <v/>
      </c>
      <c r="IU8" s="116">
        <f>COUNTIFS('DRAFT 2'!$D:$D,$B8,'DRAFT 2'!$A:$A,"&gt;="&amp;DATE(2026,12,15),'DRAFT 2'!$A:$A,"&lt;="&amp;DATE(2026,12,21))</f>
        <v/>
      </c>
      <c r="IV8" s="116">
        <f>COUNTIFS('DRAFT 2'!$D:$D,$B8,'DRAFT 2'!$A:$A,"&gt;="&amp;DATE(2026,12,22),'DRAFT 2'!$A:$A,"&lt;"&amp;DATE(2026,IF(12=12,12+1,12+1),1))</f>
        <v/>
      </c>
      <c r="IW8" s="116">
        <f>SUM(IS8:IV8)</f>
        <v/>
      </c>
    </row>
    <row r="9">
      <c r="A9" s="116">
        <f>IFERROR(INDEX('DRAFT 1'!$A:$A,MATCH($B9,'DRAFT 1'!$B:$B,0)),"")</f>
        <v/>
      </c>
      <c r="C9" s="116">
        <f>IFERROR(INDEX('DRAFT 1'!$C:$C,MATCH($B9,'DRAFT 1'!$B:$B,0)),"")</f>
        <v/>
      </c>
      <c r="D9" s="116">
        <f>IFERROR(INDEX('DRAFT 1'!$D:$D,MATCH($B9,'DRAFT 1'!$B:$B,0)),"")</f>
        <v/>
      </c>
      <c r="E9" s="116">
        <f>IFERROR(INDEX('DRAFT 1'!$E:$E,MATCH($B9,'DRAFT 1'!$B:$B,0)),"")</f>
        <v/>
      </c>
      <c r="F9" s="116">
        <f>IFERROR(INDEX('DRAFT 1'!$F:$F,MATCH($B9,'DRAFT 1'!$B:$B,0)),"")</f>
        <v/>
      </c>
      <c r="G9" s="116">
        <f>IFERROR(INDEX('DRAFT 1'!$G:$G,MATCH($B9,'DRAFT 1'!$B:$B,0)),"")</f>
        <v/>
      </c>
      <c r="H9" s="116">
        <f>IFERROR(INDEX('DRAFT 1'!$H:$H,MATCH($B9,'DRAFT 1'!$B:$B,0)),"")</f>
        <v/>
      </c>
      <c r="I9" s="116" t="inlineStr">
        <is>
          <t>CIA DA SAUDE</t>
        </is>
      </c>
      <c r="K9" s="116">
        <f>IFERROR(INDEX('DRAFT 1'!$AL:$AL,MATCH($B9,'DRAFT 1'!$B:$B,0)),"")</f>
        <v/>
      </c>
      <c r="L9" s="116">
        <f>IFERROR(INDEX('DRAFT 1'!$J:$J,MATCH($B9,'DRAFT 1'!$B:$B,0)),"")</f>
        <v/>
      </c>
      <c r="M9" s="116">
        <f>IFERROR(INDEX('DRAFT 1'!$K:$K,MATCH($B9,'DRAFT 1'!$B:$B,0)),"")</f>
        <v/>
      </c>
      <c r="N9" s="116" t="inlineStr">
        <is>
          <t>EM RISCO</t>
        </is>
      </c>
      <c r="P9" s="116">
        <f>IFERROR(INDEX('DRAFT 1'!$L:$L,MATCH($B9,'DRAFT 1'!$B:$B,0)),"")</f>
        <v/>
      </c>
      <c r="Q9" s="116">
        <f>IFERROR(INDEX('DRAFT 1'!$M:$M,MATCH($B9,'DRAFT 1'!$B:$B,0)),"")</f>
        <v/>
      </c>
      <c r="R9" s="116">
        <f>IFERROR(INDEX('DRAFT 1'!$N:$N,MATCH($B9,'DRAFT 1'!$B:$B,0)),"")</f>
        <v/>
      </c>
      <c r="S9" s="116">
        <f>IFERROR(INDEX('DRAFT 1'!$O:$O,MATCH($B9,'DRAFT 1'!$B:$B,0)),"")</f>
        <v/>
      </c>
      <c r="T9" s="116">
        <f>IFERROR(INDEX('DRAFT 1'!$P:$P,MATCH($B9,'DRAFT 1'!$B:$B,0)),"")</f>
        <v/>
      </c>
      <c r="U9" s="116">
        <f>IFERROR(INDEX('DRAFT 1'!$Q:$Q,MATCH($B9,'DRAFT 1'!$B:$B,0)),"")</f>
        <v/>
      </c>
      <c r="V9" s="116">
        <f>IFERROR(INDEX('DRAFT 1'!$R:$R,MATCH($B9,'DRAFT 1'!$B:$B,0)),"")</f>
        <v/>
      </c>
      <c r="W9" s="116">
        <f>IFERROR(INDEX('DRAFT 1'!$S:$S,MATCH($B9,'DRAFT 1'!$B:$B,0)),"")</f>
        <v/>
      </c>
      <c r="X9" s="116">
        <f>IFERROR(INDEX('DRAFT 1'!$T:$T,MATCH($B9,'DRAFT 1'!$B:$B,0)),"")</f>
        <v/>
      </c>
      <c r="Z9" s="116">
        <f>IFERROR(INDEX('DRAFT 1'!$U:$U,MATCH($B9,'DRAFT 1'!$B:$B,0)),"")</f>
        <v/>
      </c>
      <c r="AA9" s="116">
        <f>IFERROR(INDEX('DRAFT 1'!$V:$V,MATCH($B9,'DRAFT 1'!$B:$B,0)),"")</f>
        <v/>
      </c>
      <c r="AB9" s="116">
        <f>IFERROR(INDEX('DRAFT 1'!$W:$W,MATCH($B9,'DRAFT 1'!$B:$B,0)),"")</f>
        <v/>
      </c>
      <c r="AC9" s="116">
        <f>IFERROR(INDEX('DRAFT 1'!$X:$X,MATCH($B9,'DRAFT 1'!$B:$B,0)),"")</f>
        <v/>
      </c>
      <c r="AD9" s="116">
        <f>IFERROR(INDEX('DRAFT 1'!$Y:$Y,MATCH($B9,'DRAFT 1'!$B:$B,0)),"")</f>
        <v/>
      </c>
      <c r="AE9" s="116">
        <f>IFERROR(INDEX('DRAFT 1'!$Z:$Z,MATCH($B9,'DRAFT 1'!$B:$B,0)),"")</f>
        <v/>
      </c>
      <c r="AF9" s="116">
        <f>IFERROR(INDEX('DRAFT 1'!$AA:$AA,MATCH($B9,'DRAFT 1'!$B:$B,0)),"")</f>
        <v/>
      </c>
      <c r="AG9" s="116">
        <f>IFERROR(INDEX('DRAFT 1'!$AB:$AB,MATCH($B9,'DRAFT 1'!$B:$B,0)),"")</f>
        <v/>
      </c>
      <c r="AH9" s="116">
        <f>IFERROR(INDEX('DRAFT 1'!$AC:$AC,MATCH($B9,'DRAFT 1'!$B:$B,0)),"")</f>
        <v/>
      </c>
      <c r="AI9" s="116">
        <f>IFERROR(INDEX('DRAFT 1'!$AD:$AD,MATCH($B9,'DRAFT 1'!$B:$B,0)),"")</f>
        <v/>
      </c>
      <c r="AJ9" s="116">
        <f>IFERROR(INDEX('DRAFT 1'!$AE:$AE,MATCH($B9,'DRAFT 1'!$B:$B,0)),"")</f>
        <v/>
      </c>
      <c r="AK9" s="116">
        <f>IFERROR(INDEX('DRAFT 1'!$AG:$AG,MATCH($B9,'DRAFT 1'!$B:$B,0)),"")</f>
        <v/>
      </c>
      <c r="AL9" s="116">
        <f>IFERROR(INDEX('DRAFT 1'!$AH:$AH,MATCH($B9,'DRAFT 1'!$B:$B,0)),"")</f>
        <v/>
      </c>
      <c r="AM9" s="116">
        <f>IFERROR(INDEX('DRAFT 1'!$AI:$AI,MATCH($B9,'DRAFT 1'!$B:$B,0)),"")</f>
        <v/>
      </c>
      <c r="AN9" s="116">
        <f>IFERROR(INDEX('DRAFT 1'!$AJ:$AJ,MATCH($B9,'DRAFT 1'!$B:$B,0)),"")</f>
        <v/>
      </c>
      <c r="AO9" s="116">
        <f>IFERROR(Y9/AN9,0)</f>
        <v/>
      </c>
      <c r="AP9" s="116">
        <f>IFERROR(INDEX('DRAFT 1'!$AK:$AK,MATCH($B9,'DRAFT 1'!$B:$B,0)),"")</f>
        <v/>
      </c>
      <c r="AR9" s="116" t="inlineStr">
        <is>
          <t>PROSPECÇÃO</t>
        </is>
      </c>
      <c r="AS9" s="116">
        <f>IFERROR(LOOKUP(2,1/('DRAFT 2'!$D:$D=$B9),'DRAFT 2'!$T:$T),"")</f>
        <v/>
      </c>
      <c r="AT9" s="116">
        <f>IFERROR(LOOKUP(2,1/('DRAFT 2'!$D:$D=$B9),'DRAFT 2'!$A:$A),"")</f>
        <v/>
      </c>
      <c r="AU9" s="116">
        <f>IFERROR(LOOKUP(2,1/('DRAFT 2'!$D:$D=$B9),'DRAFT 2'!$R:$R),"")</f>
        <v/>
      </c>
      <c r="AV9" s="116">
        <f>IFERROR(LOOKUP(2,1/('DRAFT 2'!$D:$D=$B9),'DRAFT 2'!$S:$S),"")</f>
        <v/>
      </c>
      <c r="AW9" s="116" t="inlineStr">
        <is>
          <t>LEAD</t>
        </is>
      </c>
      <c r="AX9" s="116">
        <f>IFERROR(LOOKUP(2,1/('DRAFT 2'!$D:$D=$B9),'DRAFT 2'!$M:$M),"")</f>
        <v/>
      </c>
      <c r="AY9" s="116">
        <f>IFERROR(LOOKUP(2,1/('DRAFT 2'!$D:$D=$B9),'DRAFT 2'!$K:$K),"")</f>
        <v/>
      </c>
      <c r="BG9" s="116">
        <f>IFERROR(LOOKUP(2,1/('DRAFT 2'!$D:$D=$B9),'DRAFT 2'!$U:$U),"")</f>
        <v/>
      </c>
      <c r="BH9" s="116">
        <f>IFERROR(LOOKUP(2,1/('DRAFT 2'!$D:$D=$B9),'DRAFT 2'!$V:$V),"")</f>
        <v/>
      </c>
      <c r="CE9" s="116">
        <f>IFERROR(AJ9,0)</f>
        <v/>
      </c>
      <c r="CF9" s="116">
        <f>IFERROR(LOOKUP(2,1/('DRAFT 2'!$D:$D=$B9)*('DRAFT 2'!$A:$A&gt;=DATE(2026,1,1))*('DRAFT 2'!$A:$A&lt;DATE(2026,IF(1=12,1+1,1+1),1)),'DRAFT 2'!$A:$A),"")</f>
        <v/>
      </c>
      <c r="CG9" s="116">
        <f>COUNTIFS('DRAFT 2'!$D:$D,$B9,'DRAFT 2'!$A:$A,"&gt;="&amp;DATE(2026,1,1),'DRAFT 2'!$A:$A,"&lt;="&amp;DATE(2026,1,7))</f>
        <v/>
      </c>
      <c r="CH9" s="116">
        <f>COUNTIFS('DRAFT 2'!$D:$D,$B9,'DRAFT 2'!$A:$A,"&gt;="&amp;DATE(2026,1,8),'DRAFT 2'!$A:$A,"&lt;="&amp;DATE(2026,1,14))</f>
        <v/>
      </c>
      <c r="CI9" s="116">
        <f>COUNTIFS('DRAFT 2'!$D:$D,$B9,'DRAFT 2'!$A:$A,"&gt;="&amp;DATE(2026,1,15),'DRAFT 2'!$A:$A,"&lt;="&amp;DATE(2026,1,21))</f>
        <v/>
      </c>
      <c r="CJ9" s="116">
        <f>COUNTIFS('DRAFT 2'!$D:$D,$B9,'DRAFT 2'!$A:$A,"&gt;="&amp;DATE(2026,1,22),'DRAFT 2'!$A:$A,"&lt;"&amp;DATE(2026,IF(1=12,1+1,1+1),1))</f>
        <v/>
      </c>
      <c r="CK9" s="116">
        <f>SUM(CG9:CJ9)</f>
        <v/>
      </c>
      <c r="CT9" s="116" t="n">
        <v>0</v>
      </c>
      <c r="CU9" s="116">
        <f>IFERROR(LOOKUP(2,1/('DRAFT 2'!$D:$D=$B9)*('DRAFT 2'!$A:$A&gt;=DATE(2026,2,1))*('DRAFT 2'!$A:$A&lt;DATE(2026,IF(2=12,2+1,2+1),1)),'DRAFT 2'!$A:$A),"")</f>
        <v/>
      </c>
      <c r="CV9" s="116">
        <f>COUNTIFS('DRAFT 2'!$D:$D,$B9,'DRAFT 2'!$A:$A,"&gt;="&amp;DATE(2026,2,1),'DRAFT 2'!$A:$A,"&lt;="&amp;DATE(2026,2,7))</f>
        <v/>
      </c>
      <c r="CW9" s="116">
        <f>COUNTIFS('DRAFT 2'!$D:$D,$B9,'DRAFT 2'!$A:$A,"&gt;="&amp;DATE(2026,2,8),'DRAFT 2'!$A:$A,"&lt;="&amp;DATE(2026,2,14))</f>
        <v/>
      </c>
      <c r="CX9" s="116">
        <f>COUNTIFS('DRAFT 2'!$D:$D,$B9,'DRAFT 2'!$A:$A,"&gt;="&amp;DATE(2026,2,15),'DRAFT 2'!$A:$A,"&lt;="&amp;DATE(2026,2,21))</f>
        <v/>
      </c>
      <c r="CY9" s="116">
        <f>COUNTIFS('DRAFT 2'!$D:$D,$B9,'DRAFT 2'!$A:$A,"&gt;="&amp;DATE(2026,2,22),'DRAFT 2'!$A:$A,"&lt;"&amp;DATE(2026,IF(2=12,2+1,2+1),1))</f>
        <v/>
      </c>
      <c r="CZ9" s="116">
        <f>SUM(CV9:CY9)</f>
        <v/>
      </c>
      <c r="DJ9" s="116">
        <f>IFERROR(LOOKUP(2,1/('DRAFT 2'!$D:$D=$B9)*('DRAFT 2'!$A:$A&gt;=DATE(2026,3,1))*('DRAFT 2'!$A:$A&lt;DATE(2026,IF(3=12,3+1,3+1),1)),'DRAFT 2'!$A:$A),"")</f>
        <v/>
      </c>
      <c r="DK9" s="116">
        <f>COUNTIFS('DRAFT 2'!$D:$D,$B9,'DRAFT 2'!$A:$A,"&gt;="&amp;DATE(2026,3,1),'DRAFT 2'!$A:$A,"&lt;="&amp;DATE(2026,3,7))</f>
        <v/>
      </c>
      <c r="DL9" s="116">
        <f>COUNTIFS('DRAFT 2'!$D:$D,$B9,'DRAFT 2'!$A:$A,"&gt;="&amp;DATE(2026,3,8),'DRAFT 2'!$A:$A,"&lt;="&amp;DATE(2026,3,14))</f>
        <v/>
      </c>
      <c r="DM9" s="116">
        <f>COUNTIFS('DRAFT 2'!$D:$D,$B9,'DRAFT 2'!$A:$A,"&gt;="&amp;DATE(2026,3,15),'DRAFT 2'!$A:$A,"&lt;="&amp;DATE(2026,3,21))</f>
        <v/>
      </c>
      <c r="DN9" s="116">
        <f>COUNTIFS('DRAFT 2'!$D:$D,$B9,'DRAFT 2'!$A:$A,"&gt;="&amp;DATE(2026,3,22),'DRAFT 2'!$A:$A,"&lt;"&amp;DATE(2026,IF(3=12,3+1,3+1),1))</f>
        <v/>
      </c>
      <c r="DO9" s="116">
        <f>SUM(DK9:DN9)</f>
        <v/>
      </c>
      <c r="DZ9" s="116">
        <f>IFERROR(LOOKUP(2,1/('DRAFT 2'!$D:$D=$B9)*('DRAFT 2'!$A:$A&gt;=DATE(2026,4,1))*('DRAFT 2'!$A:$A&lt;DATE(2026,IF(4=12,4+1,4+1),1)),'DRAFT 2'!$A:$A),"")</f>
        <v/>
      </c>
      <c r="EA9" s="116">
        <f>COUNTIFS('DRAFT 2'!$D:$D,$B9,'DRAFT 2'!$A:$A,"&gt;="&amp;DATE(2026,4,1),'DRAFT 2'!$A:$A,"&lt;="&amp;DATE(2026,4,7))</f>
        <v/>
      </c>
      <c r="EB9" s="116">
        <f>COUNTIFS('DRAFT 2'!$D:$D,$B9,'DRAFT 2'!$A:$A,"&gt;="&amp;DATE(2026,4,8),'DRAFT 2'!$A:$A,"&lt;="&amp;DATE(2026,4,14))</f>
        <v/>
      </c>
      <c r="EC9" s="116">
        <f>COUNTIFS('DRAFT 2'!$D:$D,$B9,'DRAFT 2'!$A:$A,"&gt;="&amp;DATE(2026,4,15),'DRAFT 2'!$A:$A,"&lt;="&amp;DATE(2026,4,21))</f>
        <v/>
      </c>
      <c r="ED9" s="116">
        <f>COUNTIFS('DRAFT 2'!$D:$D,$B9,'DRAFT 2'!$A:$A,"&gt;="&amp;DATE(2026,4,22),'DRAFT 2'!$A:$A,"&lt;"&amp;DATE(2026,IF(4=12,4+1,4+1),1))</f>
        <v/>
      </c>
      <c r="EE9" s="116">
        <f>SUM(EA9:ED9)</f>
        <v/>
      </c>
      <c r="EO9" s="116">
        <f>IFERROR(LOOKUP(2,1/('DRAFT 2'!$D:$D=$B9)*('DRAFT 2'!$A:$A&gt;=DATE(2026,5,1))*('DRAFT 2'!$A:$A&lt;DATE(2026,IF(5=12,5+1,5+1),1)),'DRAFT 2'!$A:$A),"")</f>
        <v/>
      </c>
      <c r="EP9" s="116">
        <f>COUNTIFS('DRAFT 2'!$D:$D,$B9,'DRAFT 2'!$A:$A,"&gt;="&amp;DATE(2026,5,1),'DRAFT 2'!$A:$A,"&lt;="&amp;DATE(2026,5,7))</f>
        <v/>
      </c>
      <c r="EQ9" s="116">
        <f>COUNTIFS('DRAFT 2'!$D:$D,$B9,'DRAFT 2'!$A:$A,"&gt;="&amp;DATE(2026,5,8),'DRAFT 2'!$A:$A,"&lt;="&amp;DATE(2026,5,14))</f>
        <v/>
      </c>
      <c r="ER9" s="116">
        <f>COUNTIFS('DRAFT 2'!$D:$D,$B9,'DRAFT 2'!$A:$A,"&gt;="&amp;DATE(2026,5,15),'DRAFT 2'!$A:$A,"&lt;="&amp;DATE(2026,5,21))</f>
        <v/>
      </c>
      <c r="ES9" s="116">
        <f>COUNTIFS('DRAFT 2'!$D:$D,$B9,'DRAFT 2'!$A:$A,"&gt;="&amp;DATE(2026,5,22),'DRAFT 2'!$A:$A,"&lt;"&amp;DATE(2026,IF(5=12,5+1,5+1),1))</f>
        <v/>
      </c>
      <c r="ET9" s="116">
        <f>SUM(EP9:ES9)</f>
        <v/>
      </c>
      <c r="FD9" s="116">
        <f>IFERROR(LOOKUP(2,1/('DRAFT 2'!$D:$D=$B9)*('DRAFT 2'!$A:$A&gt;=DATE(2026,6,1))*('DRAFT 2'!$A:$A&lt;DATE(2026,IF(6=12,6+1,6+1),1)),'DRAFT 2'!$A:$A),"")</f>
        <v/>
      </c>
      <c r="FE9" s="116">
        <f>COUNTIFS('DRAFT 2'!$D:$D,$B9,'DRAFT 2'!$A:$A,"&gt;="&amp;DATE(2026,6,1),'DRAFT 2'!$A:$A,"&lt;="&amp;DATE(2026,6,7))</f>
        <v/>
      </c>
      <c r="FF9" s="116">
        <f>COUNTIFS('DRAFT 2'!$D:$D,$B9,'DRAFT 2'!$A:$A,"&gt;="&amp;DATE(2026,6,8),'DRAFT 2'!$A:$A,"&lt;="&amp;DATE(2026,6,14))</f>
        <v/>
      </c>
      <c r="FG9" s="116">
        <f>COUNTIFS('DRAFT 2'!$D:$D,$B9,'DRAFT 2'!$A:$A,"&gt;="&amp;DATE(2026,6,15),'DRAFT 2'!$A:$A,"&lt;="&amp;DATE(2026,6,21))</f>
        <v/>
      </c>
      <c r="FH9" s="116">
        <f>COUNTIFS('DRAFT 2'!$D:$D,$B9,'DRAFT 2'!$A:$A,"&gt;="&amp;DATE(2026,6,22),'DRAFT 2'!$A:$A,"&lt;"&amp;DATE(2026,IF(6=12,6+1,6+1),1))</f>
        <v/>
      </c>
      <c r="FI9" s="116">
        <f>SUM(FE9:FH9)</f>
        <v/>
      </c>
      <c r="FT9" s="116">
        <f>IFERROR(LOOKUP(2,1/('DRAFT 2'!$D:$D=$B9)*('DRAFT 2'!$A:$A&gt;=DATE(2026,7,1))*('DRAFT 2'!$A:$A&lt;DATE(2026,IF(7=12,7+1,7+1),1)),'DRAFT 2'!$A:$A),"")</f>
        <v/>
      </c>
      <c r="FU9" s="116">
        <f>COUNTIFS('DRAFT 2'!$D:$D,$B9,'DRAFT 2'!$A:$A,"&gt;="&amp;DATE(2026,7,1),'DRAFT 2'!$A:$A,"&lt;="&amp;DATE(2026,7,7))</f>
        <v/>
      </c>
      <c r="FV9" s="116">
        <f>COUNTIFS('DRAFT 2'!$D:$D,$B9,'DRAFT 2'!$A:$A,"&gt;="&amp;DATE(2026,7,8),'DRAFT 2'!$A:$A,"&lt;="&amp;DATE(2026,7,14))</f>
        <v/>
      </c>
      <c r="FW9" s="116">
        <f>COUNTIFS('DRAFT 2'!$D:$D,$B9,'DRAFT 2'!$A:$A,"&gt;="&amp;DATE(2026,7,15),'DRAFT 2'!$A:$A,"&lt;="&amp;DATE(2026,7,21))</f>
        <v/>
      </c>
      <c r="FX9" s="116">
        <f>COUNTIFS('DRAFT 2'!$D:$D,$B9,'DRAFT 2'!$A:$A,"&gt;="&amp;DATE(2026,7,22),'DRAFT 2'!$A:$A,"&lt;"&amp;DATE(2026,IF(7=12,7+1,7+1),1))</f>
        <v/>
      </c>
      <c r="FY9" s="116">
        <f>SUM(FU9:FX9)</f>
        <v/>
      </c>
      <c r="GI9" s="116">
        <f>IFERROR(LOOKUP(2,1/('DRAFT 2'!$D:$D=$B9)*('DRAFT 2'!$A:$A&gt;=DATE(2026,8,1))*('DRAFT 2'!$A:$A&lt;DATE(2026,IF(8=12,8+1,8+1),1)),'DRAFT 2'!$A:$A),"")</f>
        <v/>
      </c>
      <c r="GJ9" s="116">
        <f>COUNTIFS('DRAFT 2'!$D:$D,$B9,'DRAFT 2'!$A:$A,"&gt;="&amp;DATE(2026,8,1),'DRAFT 2'!$A:$A,"&lt;="&amp;DATE(2026,8,7))</f>
        <v/>
      </c>
      <c r="GK9" s="116">
        <f>COUNTIFS('DRAFT 2'!$D:$D,$B9,'DRAFT 2'!$A:$A,"&gt;="&amp;DATE(2026,8,8),'DRAFT 2'!$A:$A,"&lt;="&amp;DATE(2026,8,14))</f>
        <v/>
      </c>
      <c r="GL9" s="116">
        <f>COUNTIFS('DRAFT 2'!$D:$D,$B9,'DRAFT 2'!$A:$A,"&gt;="&amp;DATE(2026,8,15),'DRAFT 2'!$A:$A,"&lt;="&amp;DATE(2026,8,21))</f>
        <v/>
      </c>
      <c r="GM9" s="116">
        <f>COUNTIFS('DRAFT 2'!$D:$D,$B9,'DRAFT 2'!$A:$A,"&gt;="&amp;DATE(2026,8,22),'DRAFT 2'!$A:$A,"&lt;"&amp;DATE(2026,IF(8=12,8+1,8+1),1))</f>
        <v/>
      </c>
      <c r="GN9" s="116">
        <f>SUM(GJ9:GM9)</f>
        <v/>
      </c>
      <c r="GX9" s="116">
        <f>IFERROR(LOOKUP(2,1/('DRAFT 2'!$D:$D=$B9)*('DRAFT 2'!$A:$A&gt;=DATE(2026,9,1))*('DRAFT 2'!$A:$A&lt;DATE(2026,IF(9=12,9+1,9+1),1)),'DRAFT 2'!$A:$A),"")</f>
        <v/>
      </c>
      <c r="GY9" s="116">
        <f>COUNTIFS('DRAFT 2'!$D:$D,$B9,'DRAFT 2'!$A:$A,"&gt;="&amp;DATE(2026,9,1),'DRAFT 2'!$A:$A,"&lt;="&amp;DATE(2026,9,7))</f>
        <v/>
      </c>
      <c r="GZ9" s="116">
        <f>COUNTIFS('DRAFT 2'!$D:$D,$B9,'DRAFT 2'!$A:$A,"&gt;="&amp;DATE(2026,9,8),'DRAFT 2'!$A:$A,"&lt;="&amp;DATE(2026,9,14))</f>
        <v/>
      </c>
      <c r="HA9" s="116">
        <f>COUNTIFS('DRAFT 2'!$D:$D,$B9,'DRAFT 2'!$A:$A,"&gt;="&amp;DATE(2026,9,15),'DRAFT 2'!$A:$A,"&lt;="&amp;DATE(2026,9,21))</f>
        <v/>
      </c>
      <c r="HB9" s="116">
        <f>COUNTIFS('DRAFT 2'!$D:$D,$B9,'DRAFT 2'!$A:$A,"&gt;="&amp;DATE(2026,9,22),'DRAFT 2'!$A:$A,"&lt;"&amp;DATE(2026,IF(9=12,9+1,9+1),1))</f>
        <v/>
      </c>
      <c r="HC9" s="116">
        <f>SUM(GY9:HB9)</f>
        <v/>
      </c>
      <c r="HN9" s="116">
        <f>IFERROR(LOOKUP(2,1/('DRAFT 2'!$D:$D=$B9)*('DRAFT 2'!$A:$A&gt;=DATE(2026,10,1))*('DRAFT 2'!$A:$A&lt;DATE(2026,IF(10=12,10+1,10+1),1)),'DRAFT 2'!$A:$A),"")</f>
        <v/>
      </c>
      <c r="HO9" s="116">
        <f>COUNTIFS('DRAFT 2'!$D:$D,$B9,'DRAFT 2'!$A:$A,"&gt;="&amp;DATE(2026,10,1),'DRAFT 2'!$A:$A,"&lt;="&amp;DATE(2026,10,7))</f>
        <v/>
      </c>
      <c r="HP9" s="116">
        <f>COUNTIFS('DRAFT 2'!$D:$D,$B9,'DRAFT 2'!$A:$A,"&gt;="&amp;DATE(2026,10,8),'DRAFT 2'!$A:$A,"&lt;="&amp;DATE(2026,10,14))</f>
        <v/>
      </c>
      <c r="HQ9" s="116">
        <f>COUNTIFS('DRAFT 2'!$D:$D,$B9,'DRAFT 2'!$A:$A,"&gt;="&amp;DATE(2026,10,15),'DRAFT 2'!$A:$A,"&lt;="&amp;DATE(2026,10,21))</f>
        <v/>
      </c>
      <c r="HR9" s="116">
        <f>COUNTIFS('DRAFT 2'!$D:$D,$B9,'DRAFT 2'!$A:$A,"&gt;="&amp;DATE(2026,10,22),'DRAFT 2'!$A:$A,"&lt;"&amp;DATE(2026,IF(10=12,10+1,10+1),1))</f>
        <v/>
      </c>
      <c r="HS9" s="116">
        <f>SUM(HO9:HR9)</f>
        <v/>
      </c>
      <c r="IC9" s="116">
        <f>IFERROR(LOOKUP(2,1/('DRAFT 2'!$D:$D=$B9)*('DRAFT 2'!$A:$A&gt;=DATE(2026,11,1))*('DRAFT 2'!$A:$A&lt;DATE(2026,IF(11=12,11+1,11+1),1)),'DRAFT 2'!$A:$A),"")</f>
        <v/>
      </c>
      <c r="ID9" s="116">
        <f>COUNTIFS('DRAFT 2'!$D:$D,$B9,'DRAFT 2'!$A:$A,"&gt;="&amp;DATE(2026,11,1),'DRAFT 2'!$A:$A,"&lt;="&amp;DATE(2026,11,7))</f>
        <v/>
      </c>
      <c r="IE9" s="116">
        <f>COUNTIFS('DRAFT 2'!$D:$D,$B9,'DRAFT 2'!$A:$A,"&gt;="&amp;DATE(2026,11,8),'DRAFT 2'!$A:$A,"&lt;="&amp;DATE(2026,11,14))</f>
        <v/>
      </c>
      <c r="IF9" s="116">
        <f>COUNTIFS('DRAFT 2'!$D:$D,$B9,'DRAFT 2'!$A:$A,"&gt;="&amp;DATE(2026,11,15),'DRAFT 2'!$A:$A,"&lt;="&amp;DATE(2026,11,21))</f>
        <v/>
      </c>
      <c r="IG9" s="116">
        <f>COUNTIFS('DRAFT 2'!$D:$D,$B9,'DRAFT 2'!$A:$A,"&gt;="&amp;DATE(2026,11,22),'DRAFT 2'!$A:$A,"&lt;"&amp;DATE(2026,IF(11=12,11+1,11+1),1))</f>
        <v/>
      </c>
      <c r="IH9" s="116">
        <f>SUM(ID9:IG9)</f>
        <v/>
      </c>
      <c r="IR9" s="116">
        <f>IFERROR(LOOKUP(2,1/('DRAFT 2'!$D:$D=$B9)*('DRAFT 2'!$A:$A&gt;=DATE(2026,12,1))*('DRAFT 2'!$A:$A&lt;DATE(2026,IF(12=12,12+1,12+1),1)),'DRAFT 2'!$A:$A),"")</f>
        <v/>
      </c>
      <c r="IS9" s="116">
        <f>COUNTIFS('DRAFT 2'!$D:$D,$B9,'DRAFT 2'!$A:$A,"&gt;="&amp;DATE(2026,12,1),'DRAFT 2'!$A:$A,"&lt;="&amp;DATE(2026,12,7))</f>
        <v/>
      </c>
      <c r="IT9" s="116">
        <f>COUNTIFS('DRAFT 2'!$D:$D,$B9,'DRAFT 2'!$A:$A,"&gt;="&amp;DATE(2026,12,8),'DRAFT 2'!$A:$A,"&lt;="&amp;DATE(2026,12,14))</f>
        <v/>
      </c>
      <c r="IU9" s="116">
        <f>COUNTIFS('DRAFT 2'!$D:$D,$B9,'DRAFT 2'!$A:$A,"&gt;="&amp;DATE(2026,12,15),'DRAFT 2'!$A:$A,"&lt;="&amp;DATE(2026,12,21))</f>
        <v/>
      </c>
      <c r="IV9" s="116">
        <f>COUNTIFS('DRAFT 2'!$D:$D,$B9,'DRAFT 2'!$A:$A,"&gt;="&amp;DATE(2026,12,22),'DRAFT 2'!$A:$A,"&lt;"&amp;DATE(2026,IF(12=12,12+1,12+1),1))</f>
        <v/>
      </c>
      <c r="IW9" s="116">
        <f>SUM(IS9:IV9)</f>
        <v/>
      </c>
    </row>
    <row r="10">
      <c r="A10" s="116">
        <f>IFERROR(INDEX('DRAFT 1'!$A:$A,MATCH($B10,'DRAFT 1'!$B:$B,0)),"")</f>
        <v/>
      </c>
      <c r="C10" s="116">
        <f>IFERROR(INDEX('DRAFT 1'!$C:$C,MATCH($B10,'DRAFT 1'!$B:$B,0)),"")</f>
        <v/>
      </c>
      <c r="D10" s="116">
        <f>IFERROR(INDEX('DRAFT 1'!$D:$D,MATCH($B10,'DRAFT 1'!$B:$B,0)),"")</f>
        <v/>
      </c>
      <c r="E10" s="116">
        <f>IFERROR(INDEX('DRAFT 1'!$E:$E,MATCH($B10,'DRAFT 1'!$B:$B,0)),"")</f>
        <v/>
      </c>
      <c r="F10" s="116">
        <f>IFERROR(INDEX('DRAFT 1'!$F:$F,MATCH($B10,'DRAFT 1'!$B:$B,0)),"")</f>
        <v/>
      </c>
      <c r="G10" s="116">
        <f>IFERROR(INDEX('DRAFT 1'!$G:$G,MATCH($B10,'DRAFT 1'!$B:$B,0)),"")</f>
        <v/>
      </c>
      <c r="H10" s="116">
        <f>IFERROR(INDEX('DRAFT 1'!$H:$H,MATCH($B10,'DRAFT 1'!$B:$B,0)),"")</f>
        <v/>
      </c>
      <c r="I10" s="116" t="inlineStr">
        <is>
          <t>VIDA LEVE</t>
        </is>
      </c>
      <c r="K10" s="116">
        <f>IFERROR(INDEX('DRAFT 1'!$AL:$AL,MATCH($B10,'DRAFT 1'!$B:$B,0)),"")</f>
        <v/>
      </c>
      <c r="L10" s="116">
        <f>IFERROR(INDEX('DRAFT 1'!$J:$J,MATCH($B10,'DRAFT 1'!$B:$B,0)),"")</f>
        <v/>
      </c>
      <c r="M10" s="116">
        <f>IFERROR(INDEX('DRAFT 1'!$K:$K,MATCH($B10,'DRAFT 1'!$B:$B,0)),"")</f>
        <v/>
      </c>
      <c r="N10" s="116" t="inlineStr">
        <is>
          <t>ATIVO</t>
        </is>
      </c>
      <c r="P10" s="116">
        <f>IFERROR(INDEX('DRAFT 1'!$L:$L,MATCH($B10,'DRAFT 1'!$B:$B,0)),"")</f>
        <v/>
      </c>
      <c r="Q10" s="116">
        <f>IFERROR(INDEX('DRAFT 1'!$M:$M,MATCH($B10,'DRAFT 1'!$B:$B,0)),"")</f>
        <v/>
      </c>
      <c r="R10" s="116">
        <f>IFERROR(INDEX('DRAFT 1'!$N:$N,MATCH($B10,'DRAFT 1'!$B:$B,0)),"")</f>
        <v/>
      </c>
      <c r="S10" s="116">
        <f>IFERROR(INDEX('DRAFT 1'!$O:$O,MATCH($B10,'DRAFT 1'!$B:$B,0)),"")</f>
        <v/>
      </c>
      <c r="T10" s="116">
        <f>IFERROR(INDEX('DRAFT 1'!$P:$P,MATCH($B10,'DRAFT 1'!$B:$B,0)),"")</f>
        <v/>
      </c>
      <c r="U10" s="116">
        <f>IFERROR(INDEX('DRAFT 1'!$Q:$Q,MATCH($B10,'DRAFT 1'!$B:$B,0)),"")</f>
        <v/>
      </c>
      <c r="V10" s="116">
        <f>IFERROR(INDEX('DRAFT 1'!$R:$R,MATCH($B10,'DRAFT 1'!$B:$B,0)),"")</f>
        <v/>
      </c>
      <c r="W10" s="116">
        <f>IFERROR(INDEX('DRAFT 1'!$S:$S,MATCH($B10,'DRAFT 1'!$B:$B,0)),"")</f>
        <v/>
      </c>
      <c r="X10" s="116">
        <f>IFERROR(INDEX('DRAFT 1'!$T:$T,MATCH($B10,'DRAFT 1'!$B:$B,0)),"")</f>
        <v/>
      </c>
      <c r="Z10" s="116">
        <f>IFERROR(INDEX('DRAFT 1'!$U:$U,MATCH($B10,'DRAFT 1'!$B:$B,0)),"")</f>
        <v/>
      </c>
      <c r="AA10" s="116">
        <f>IFERROR(INDEX('DRAFT 1'!$V:$V,MATCH($B10,'DRAFT 1'!$B:$B,0)),"")</f>
        <v/>
      </c>
      <c r="AB10" s="116">
        <f>IFERROR(INDEX('DRAFT 1'!$W:$W,MATCH($B10,'DRAFT 1'!$B:$B,0)),"")</f>
        <v/>
      </c>
      <c r="AC10" s="116">
        <f>IFERROR(INDEX('DRAFT 1'!$X:$X,MATCH($B10,'DRAFT 1'!$B:$B,0)),"")</f>
        <v/>
      </c>
      <c r="AD10" s="116">
        <f>IFERROR(INDEX('DRAFT 1'!$Y:$Y,MATCH($B10,'DRAFT 1'!$B:$B,0)),"")</f>
        <v/>
      </c>
      <c r="AE10" s="116">
        <f>IFERROR(INDEX('DRAFT 1'!$Z:$Z,MATCH($B10,'DRAFT 1'!$B:$B,0)),"")</f>
        <v/>
      </c>
      <c r="AF10" s="116">
        <f>IFERROR(INDEX('DRAFT 1'!$AA:$AA,MATCH($B10,'DRAFT 1'!$B:$B,0)),"")</f>
        <v/>
      </c>
      <c r="AG10" s="116">
        <f>IFERROR(INDEX('DRAFT 1'!$AB:$AB,MATCH($B10,'DRAFT 1'!$B:$B,0)),"")</f>
        <v/>
      </c>
      <c r="AH10" s="116">
        <f>IFERROR(INDEX('DRAFT 1'!$AC:$AC,MATCH($B10,'DRAFT 1'!$B:$B,0)),"")</f>
        <v/>
      </c>
      <c r="AI10" s="116">
        <f>IFERROR(INDEX('DRAFT 1'!$AD:$AD,MATCH($B10,'DRAFT 1'!$B:$B,0)),"")</f>
        <v/>
      </c>
      <c r="AJ10" s="116">
        <f>IFERROR(INDEX('DRAFT 1'!$AE:$AE,MATCH($B10,'DRAFT 1'!$B:$B,0)),"")</f>
        <v/>
      </c>
      <c r="AK10" s="116">
        <f>IFERROR(INDEX('DRAFT 1'!$AG:$AG,MATCH($B10,'DRAFT 1'!$B:$B,0)),"")</f>
        <v/>
      </c>
      <c r="AL10" s="116">
        <f>IFERROR(INDEX('DRAFT 1'!$AH:$AH,MATCH($B10,'DRAFT 1'!$B:$B,0)),"")</f>
        <v/>
      </c>
      <c r="AM10" s="116">
        <f>IFERROR(INDEX('DRAFT 1'!$AI:$AI,MATCH($B10,'DRAFT 1'!$B:$B,0)),"")</f>
        <v/>
      </c>
      <c r="AN10" s="116">
        <f>IFERROR(INDEX('DRAFT 1'!$AJ:$AJ,MATCH($B10,'DRAFT 1'!$B:$B,0)),"")</f>
        <v/>
      </c>
      <c r="AO10" s="116">
        <f>IFERROR(Y10/AN10,0)</f>
        <v/>
      </c>
      <c r="AP10" s="116">
        <f>IFERROR(INDEX('DRAFT 1'!$AK:$AK,MATCH($B10,'DRAFT 1'!$B:$B,0)),"")</f>
        <v/>
      </c>
      <c r="AR10" s="116" t="inlineStr">
        <is>
          <t>RECOMPRA</t>
        </is>
      </c>
      <c r="AS10" s="116">
        <f>IFERROR(LOOKUP(2,1/('DRAFT 2'!$D:$D=$B10),'DRAFT 2'!$T:$T),"")</f>
        <v/>
      </c>
      <c r="AT10" s="116">
        <f>IFERROR(LOOKUP(2,1/('DRAFT 2'!$D:$D=$B10),'DRAFT 2'!$A:$A),"")</f>
        <v/>
      </c>
      <c r="AU10" s="116">
        <f>IFERROR(LOOKUP(2,1/('DRAFT 2'!$D:$D=$B10),'DRAFT 2'!$R:$R),"")</f>
        <v/>
      </c>
      <c r="AV10" s="116">
        <f>IFERROR(LOOKUP(2,1/('DRAFT 2'!$D:$D=$B10),'DRAFT 2'!$S:$S),"")</f>
        <v/>
      </c>
      <c r="AW10" s="116" t="inlineStr">
        <is>
          <t>NOVO</t>
        </is>
      </c>
      <c r="AX10" s="116">
        <f>IFERROR(LOOKUP(2,1/('DRAFT 2'!$D:$D=$B10),'DRAFT 2'!$M:$M),"")</f>
        <v/>
      </c>
      <c r="AY10" s="116">
        <f>IFERROR(LOOKUP(2,1/('DRAFT 2'!$D:$D=$B10),'DRAFT 2'!$K:$K),"")</f>
        <v/>
      </c>
      <c r="BG10" s="116">
        <f>IFERROR(LOOKUP(2,1/('DRAFT 2'!$D:$D=$B10),'DRAFT 2'!$U:$U),"")</f>
        <v/>
      </c>
      <c r="BH10" s="116">
        <f>IFERROR(LOOKUP(2,1/('DRAFT 2'!$D:$D=$B10),'DRAFT 2'!$V:$V),"")</f>
        <v/>
      </c>
      <c r="CE10" s="116">
        <f>IFERROR(AJ10,0)</f>
        <v/>
      </c>
      <c r="CF10" s="116">
        <f>IFERROR(LOOKUP(2,1/('DRAFT 2'!$D:$D=$B10)*('DRAFT 2'!$A:$A&gt;=DATE(2026,1,1))*('DRAFT 2'!$A:$A&lt;DATE(2026,IF(1=12,1+1,1+1),1)),'DRAFT 2'!$A:$A),"")</f>
        <v/>
      </c>
      <c r="CG10" s="116">
        <f>COUNTIFS('DRAFT 2'!$D:$D,$B10,'DRAFT 2'!$A:$A,"&gt;="&amp;DATE(2026,1,1),'DRAFT 2'!$A:$A,"&lt;="&amp;DATE(2026,1,7))</f>
        <v/>
      </c>
      <c r="CH10" s="116">
        <f>COUNTIFS('DRAFT 2'!$D:$D,$B10,'DRAFT 2'!$A:$A,"&gt;="&amp;DATE(2026,1,8),'DRAFT 2'!$A:$A,"&lt;="&amp;DATE(2026,1,14))</f>
        <v/>
      </c>
      <c r="CI10" s="116">
        <f>COUNTIFS('DRAFT 2'!$D:$D,$B10,'DRAFT 2'!$A:$A,"&gt;="&amp;DATE(2026,1,15),'DRAFT 2'!$A:$A,"&lt;="&amp;DATE(2026,1,21))</f>
        <v/>
      </c>
      <c r="CJ10" s="116">
        <f>COUNTIFS('DRAFT 2'!$D:$D,$B10,'DRAFT 2'!$A:$A,"&gt;="&amp;DATE(2026,1,22),'DRAFT 2'!$A:$A,"&lt;"&amp;DATE(2026,IF(1=12,1+1,1+1),1))</f>
        <v/>
      </c>
      <c r="CK10" s="116">
        <f>SUM(CG10:CJ10)</f>
        <v/>
      </c>
      <c r="CT10" s="116" t="n">
        <v>0</v>
      </c>
      <c r="CU10" s="116">
        <f>IFERROR(LOOKUP(2,1/('DRAFT 2'!$D:$D=$B10)*('DRAFT 2'!$A:$A&gt;=DATE(2026,2,1))*('DRAFT 2'!$A:$A&lt;DATE(2026,IF(2=12,2+1,2+1),1)),'DRAFT 2'!$A:$A),"")</f>
        <v/>
      </c>
      <c r="CV10" s="116">
        <f>COUNTIFS('DRAFT 2'!$D:$D,$B10,'DRAFT 2'!$A:$A,"&gt;="&amp;DATE(2026,2,1),'DRAFT 2'!$A:$A,"&lt;="&amp;DATE(2026,2,7))</f>
        <v/>
      </c>
      <c r="CW10" s="116">
        <f>COUNTIFS('DRAFT 2'!$D:$D,$B10,'DRAFT 2'!$A:$A,"&gt;="&amp;DATE(2026,2,8),'DRAFT 2'!$A:$A,"&lt;="&amp;DATE(2026,2,14))</f>
        <v/>
      </c>
      <c r="CX10" s="116">
        <f>COUNTIFS('DRAFT 2'!$D:$D,$B10,'DRAFT 2'!$A:$A,"&gt;="&amp;DATE(2026,2,15),'DRAFT 2'!$A:$A,"&lt;="&amp;DATE(2026,2,21))</f>
        <v/>
      </c>
      <c r="CY10" s="116">
        <f>COUNTIFS('DRAFT 2'!$D:$D,$B10,'DRAFT 2'!$A:$A,"&gt;="&amp;DATE(2026,2,22),'DRAFT 2'!$A:$A,"&lt;"&amp;DATE(2026,IF(2=12,2+1,2+1),1))</f>
        <v/>
      </c>
      <c r="CZ10" s="116">
        <f>SUM(CV10:CY10)</f>
        <v/>
      </c>
      <c r="DJ10" s="116">
        <f>IFERROR(LOOKUP(2,1/('DRAFT 2'!$D:$D=$B10)*('DRAFT 2'!$A:$A&gt;=DATE(2026,3,1))*('DRAFT 2'!$A:$A&lt;DATE(2026,IF(3=12,3+1,3+1),1)),'DRAFT 2'!$A:$A),"")</f>
        <v/>
      </c>
      <c r="DK10" s="116">
        <f>COUNTIFS('DRAFT 2'!$D:$D,$B10,'DRAFT 2'!$A:$A,"&gt;="&amp;DATE(2026,3,1),'DRAFT 2'!$A:$A,"&lt;="&amp;DATE(2026,3,7))</f>
        <v/>
      </c>
      <c r="DL10" s="116">
        <f>COUNTIFS('DRAFT 2'!$D:$D,$B10,'DRAFT 2'!$A:$A,"&gt;="&amp;DATE(2026,3,8),'DRAFT 2'!$A:$A,"&lt;="&amp;DATE(2026,3,14))</f>
        <v/>
      </c>
      <c r="DM10" s="116">
        <f>COUNTIFS('DRAFT 2'!$D:$D,$B10,'DRAFT 2'!$A:$A,"&gt;="&amp;DATE(2026,3,15),'DRAFT 2'!$A:$A,"&lt;="&amp;DATE(2026,3,21))</f>
        <v/>
      </c>
      <c r="DN10" s="116">
        <f>COUNTIFS('DRAFT 2'!$D:$D,$B10,'DRAFT 2'!$A:$A,"&gt;="&amp;DATE(2026,3,22),'DRAFT 2'!$A:$A,"&lt;"&amp;DATE(2026,IF(3=12,3+1,3+1),1))</f>
        <v/>
      </c>
      <c r="DO10" s="116">
        <f>SUM(DK10:DN10)</f>
        <v/>
      </c>
      <c r="DZ10" s="116">
        <f>IFERROR(LOOKUP(2,1/('DRAFT 2'!$D:$D=$B10)*('DRAFT 2'!$A:$A&gt;=DATE(2026,4,1))*('DRAFT 2'!$A:$A&lt;DATE(2026,IF(4=12,4+1,4+1),1)),'DRAFT 2'!$A:$A),"")</f>
        <v/>
      </c>
      <c r="EA10" s="116">
        <f>COUNTIFS('DRAFT 2'!$D:$D,$B10,'DRAFT 2'!$A:$A,"&gt;="&amp;DATE(2026,4,1),'DRAFT 2'!$A:$A,"&lt;="&amp;DATE(2026,4,7))</f>
        <v/>
      </c>
      <c r="EB10" s="116">
        <f>COUNTIFS('DRAFT 2'!$D:$D,$B10,'DRAFT 2'!$A:$A,"&gt;="&amp;DATE(2026,4,8),'DRAFT 2'!$A:$A,"&lt;="&amp;DATE(2026,4,14))</f>
        <v/>
      </c>
      <c r="EC10" s="116">
        <f>COUNTIFS('DRAFT 2'!$D:$D,$B10,'DRAFT 2'!$A:$A,"&gt;="&amp;DATE(2026,4,15),'DRAFT 2'!$A:$A,"&lt;="&amp;DATE(2026,4,21))</f>
        <v/>
      </c>
      <c r="ED10" s="116">
        <f>COUNTIFS('DRAFT 2'!$D:$D,$B10,'DRAFT 2'!$A:$A,"&gt;="&amp;DATE(2026,4,22),'DRAFT 2'!$A:$A,"&lt;"&amp;DATE(2026,IF(4=12,4+1,4+1),1))</f>
        <v/>
      </c>
      <c r="EE10" s="116">
        <f>SUM(EA10:ED10)</f>
        <v/>
      </c>
      <c r="EO10" s="116">
        <f>IFERROR(LOOKUP(2,1/('DRAFT 2'!$D:$D=$B10)*('DRAFT 2'!$A:$A&gt;=DATE(2026,5,1))*('DRAFT 2'!$A:$A&lt;DATE(2026,IF(5=12,5+1,5+1),1)),'DRAFT 2'!$A:$A),"")</f>
        <v/>
      </c>
      <c r="EP10" s="116">
        <f>COUNTIFS('DRAFT 2'!$D:$D,$B10,'DRAFT 2'!$A:$A,"&gt;="&amp;DATE(2026,5,1),'DRAFT 2'!$A:$A,"&lt;="&amp;DATE(2026,5,7))</f>
        <v/>
      </c>
      <c r="EQ10" s="116">
        <f>COUNTIFS('DRAFT 2'!$D:$D,$B10,'DRAFT 2'!$A:$A,"&gt;="&amp;DATE(2026,5,8),'DRAFT 2'!$A:$A,"&lt;="&amp;DATE(2026,5,14))</f>
        <v/>
      </c>
      <c r="ER10" s="116">
        <f>COUNTIFS('DRAFT 2'!$D:$D,$B10,'DRAFT 2'!$A:$A,"&gt;="&amp;DATE(2026,5,15),'DRAFT 2'!$A:$A,"&lt;="&amp;DATE(2026,5,21))</f>
        <v/>
      </c>
      <c r="ES10" s="116">
        <f>COUNTIFS('DRAFT 2'!$D:$D,$B10,'DRAFT 2'!$A:$A,"&gt;="&amp;DATE(2026,5,22),'DRAFT 2'!$A:$A,"&lt;"&amp;DATE(2026,IF(5=12,5+1,5+1),1))</f>
        <v/>
      </c>
      <c r="ET10" s="116">
        <f>SUM(EP10:ES10)</f>
        <v/>
      </c>
      <c r="FD10" s="116">
        <f>IFERROR(LOOKUP(2,1/('DRAFT 2'!$D:$D=$B10)*('DRAFT 2'!$A:$A&gt;=DATE(2026,6,1))*('DRAFT 2'!$A:$A&lt;DATE(2026,IF(6=12,6+1,6+1),1)),'DRAFT 2'!$A:$A),"")</f>
        <v/>
      </c>
      <c r="FE10" s="116">
        <f>COUNTIFS('DRAFT 2'!$D:$D,$B10,'DRAFT 2'!$A:$A,"&gt;="&amp;DATE(2026,6,1),'DRAFT 2'!$A:$A,"&lt;="&amp;DATE(2026,6,7))</f>
        <v/>
      </c>
      <c r="FF10" s="116">
        <f>COUNTIFS('DRAFT 2'!$D:$D,$B10,'DRAFT 2'!$A:$A,"&gt;="&amp;DATE(2026,6,8),'DRAFT 2'!$A:$A,"&lt;="&amp;DATE(2026,6,14))</f>
        <v/>
      </c>
      <c r="FG10" s="116">
        <f>COUNTIFS('DRAFT 2'!$D:$D,$B10,'DRAFT 2'!$A:$A,"&gt;="&amp;DATE(2026,6,15),'DRAFT 2'!$A:$A,"&lt;="&amp;DATE(2026,6,21))</f>
        <v/>
      </c>
      <c r="FH10" s="116">
        <f>COUNTIFS('DRAFT 2'!$D:$D,$B10,'DRAFT 2'!$A:$A,"&gt;="&amp;DATE(2026,6,22),'DRAFT 2'!$A:$A,"&lt;"&amp;DATE(2026,IF(6=12,6+1,6+1),1))</f>
        <v/>
      </c>
      <c r="FI10" s="116">
        <f>SUM(FE10:FH10)</f>
        <v/>
      </c>
      <c r="FT10" s="116">
        <f>IFERROR(LOOKUP(2,1/('DRAFT 2'!$D:$D=$B10)*('DRAFT 2'!$A:$A&gt;=DATE(2026,7,1))*('DRAFT 2'!$A:$A&lt;DATE(2026,IF(7=12,7+1,7+1),1)),'DRAFT 2'!$A:$A),"")</f>
        <v/>
      </c>
      <c r="FU10" s="116">
        <f>COUNTIFS('DRAFT 2'!$D:$D,$B10,'DRAFT 2'!$A:$A,"&gt;="&amp;DATE(2026,7,1),'DRAFT 2'!$A:$A,"&lt;="&amp;DATE(2026,7,7))</f>
        <v/>
      </c>
      <c r="FV10" s="116">
        <f>COUNTIFS('DRAFT 2'!$D:$D,$B10,'DRAFT 2'!$A:$A,"&gt;="&amp;DATE(2026,7,8),'DRAFT 2'!$A:$A,"&lt;="&amp;DATE(2026,7,14))</f>
        <v/>
      </c>
      <c r="FW10" s="116">
        <f>COUNTIFS('DRAFT 2'!$D:$D,$B10,'DRAFT 2'!$A:$A,"&gt;="&amp;DATE(2026,7,15),'DRAFT 2'!$A:$A,"&lt;="&amp;DATE(2026,7,21))</f>
        <v/>
      </c>
      <c r="FX10" s="116">
        <f>COUNTIFS('DRAFT 2'!$D:$D,$B10,'DRAFT 2'!$A:$A,"&gt;="&amp;DATE(2026,7,22),'DRAFT 2'!$A:$A,"&lt;"&amp;DATE(2026,IF(7=12,7+1,7+1),1))</f>
        <v/>
      </c>
      <c r="FY10" s="116">
        <f>SUM(FU10:FX10)</f>
        <v/>
      </c>
      <c r="GI10" s="116">
        <f>IFERROR(LOOKUP(2,1/('DRAFT 2'!$D:$D=$B10)*('DRAFT 2'!$A:$A&gt;=DATE(2026,8,1))*('DRAFT 2'!$A:$A&lt;DATE(2026,IF(8=12,8+1,8+1),1)),'DRAFT 2'!$A:$A),"")</f>
        <v/>
      </c>
      <c r="GJ10" s="116">
        <f>COUNTIFS('DRAFT 2'!$D:$D,$B10,'DRAFT 2'!$A:$A,"&gt;="&amp;DATE(2026,8,1),'DRAFT 2'!$A:$A,"&lt;="&amp;DATE(2026,8,7))</f>
        <v/>
      </c>
      <c r="GK10" s="116">
        <f>COUNTIFS('DRAFT 2'!$D:$D,$B10,'DRAFT 2'!$A:$A,"&gt;="&amp;DATE(2026,8,8),'DRAFT 2'!$A:$A,"&lt;="&amp;DATE(2026,8,14))</f>
        <v/>
      </c>
      <c r="GL10" s="116">
        <f>COUNTIFS('DRAFT 2'!$D:$D,$B10,'DRAFT 2'!$A:$A,"&gt;="&amp;DATE(2026,8,15),'DRAFT 2'!$A:$A,"&lt;="&amp;DATE(2026,8,21))</f>
        <v/>
      </c>
      <c r="GM10" s="116">
        <f>COUNTIFS('DRAFT 2'!$D:$D,$B10,'DRAFT 2'!$A:$A,"&gt;="&amp;DATE(2026,8,22),'DRAFT 2'!$A:$A,"&lt;"&amp;DATE(2026,IF(8=12,8+1,8+1),1))</f>
        <v/>
      </c>
      <c r="GN10" s="116">
        <f>SUM(GJ10:GM10)</f>
        <v/>
      </c>
      <c r="GX10" s="116">
        <f>IFERROR(LOOKUP(2,1/('DRAFT 2'!$D:$D=$B10)*('DRAFT 2'!$A:$A&gt;=DATE(2026,9,1))*('DRAFT 2'!$A:$A&lt;DATE(2026,IF(9=12,9+1,9+1),1)),'DRAFT 2'!$A:$A),"")</f>
        <v/>
      </c>
      <c r="GY10" s="116">
        <f>COUNTIFS('DRAFT 2'!$D:$D,$B10,'DRAFT 2'!$A:$A,"&gt;="&amp;DATE(2026,9,1),'DRAFT 2'!$A:$A,"&lt;="&amp;DATE(2026,9,7))</f>
        <v/>
      </c>
      <c r="GZ10" s="116">
        <f>COUNTIFS('DRAFT 2'!$D:$D,$B10,'DRAFT 2'!$A:$A,"&gt;="&amp;DATE(2026,9,8),'DRAFT 2'!$A:$A,"&lt;="&amp;DATE(2026,9,14))</f>
        <v/>
      </c>
      <c r="HA10" s="116">
        <f>COUNTIFS('DRAFT 2'!$D:$D,$B10,'DRAFT 2'!$A:$A,"&gt;="&amp;DATE(2026,9,15),'DRAFT 2'!$A:$A,"&lt;="&amp;DATE(2026,9,21))</f>
        <v/>
      </c>
      <c r="HB10" s="116">
        <f>COUNTIFS('DRAFT 2'!$D:$D,$B10,'DRAFT 2'!$A:$A,"&gt;="&amp;DATE(2026,9,22),'DRAFT 2'!$A:$A,"&lt;"&amp;DATE(2026,IF(9=12,9+1,9+1),1))</f>
        <v/>
      </c>
      <c r="HC10" s="116">
        <f>SUM(GY10:HB10)</f>
        <v/>
      </c>
      <c r="HN10" s="116">
        <f>IFERROR(LOOKUP(2,1/('DRAFT 2'!$D:$D=$B10)*('DRAFT 2'!$A:$A&gt;=DATE(2026,10,1))*('DRAFT 2'!$A:$A&lt;DATE(2026,IF(10=12,10+1,10+1),1)),'DRAFT 2'!$A:$A),"")</f>
        <v/>
      </c>
      <c r="HO10" s="116">
        <f>COUNTIFS('DRAFT 2'!$D:$D,$B10,'DRAFT 2'!$A:$A,"&gt;="&amp;DATE(2026,10,1),'DRAFT 2'!$A:$A,"&lt;="&amp;DATE(2026,10,7))</f>
        <v/>
      </c>
      <c r="HP10" s="116">
        <f>COUNTIFS('DRAFT 2'!$D:$D,$B10,'DRAFT 2'!$A:$A,"&gt;="&amp;DATE(2026,10,8),'DRAFT 2'!$A:$A,"&lt;="&amp;DATE(2026,10,14))</f>
        <v/>
      </c>
      <c r="HQ10" s="116">
        <f>COUNTIFS('DRAFT 2'!$D:$D,$B10,'DRAFT 2'!$A:$A,"&gt;="&amp;DATE(2026,10,15),'DRAFT 2'!$A:$A,"&lt;="&amp;DATE(2026,10,21))</f>
        <v/>
      </c>
      <c r="HR10" s="116">
        <f>COUNTIFS('DRAFT 2'!$D:$D,$B10,'DRAFT 2'!$A:$A,"&gt;="&amp;DATE(2026,10,22),'DRAFT 2'!$A:$A,"&lt;"&amp;DATE(2026,IF(10=12,10+1,10+1),1))</f>
        <v/>
      </c>
      <c r="HS10" s="116">
        <f>SUM(HO10:HR10)</f>
        <v/>
      </c>
      <c r="IC10" s="116">
        <f>IFERROR(LOOKUP(2,1/('DRAFT 2'!$D:$D=$B10)*('DRAFT 2'!$A:$A&gt;=DATE(2026,11,1))*('DRAFT 2'!$A:$A&lt;DATE(2026,IF(11=12,11+1,11+1),1)),'DRAFT 2'!$A:$A),"")</f>
        <v/>
      </c>
      <c r="ID10" s="116">
        <f>COUNTIFS('DRAFT 2'!$D:$D,$B10,'DRAFT 2'!$A:$A,"&gt;="&amp;DATE(2026,11,1),'DRAFT 2'!$A:$A,"&lt;="&amp;DATE(2026,11,7))</f>
        <v/>
      </c>
      <c r="IE10" s="116">
        <f>COUNTIFS('DRAFT 2'!$D:$D,$B10,'DRAFT 2'!$A:$A,"&gt;="&amp;DATE(2026,11,8),'DRAFT 2'!$A:$A,"&lt;="&amp;DATE(2026,11,14))</f>
        <v/>
      </c>
      <c r="IF10" s="116">
        <f>COUNTIFS('DRAFT 2'!$D:$D,$B10,'DRAFT 2'!$A:$A,"&gt;="&amp;DATE(2026,11,15),'DRAFT 2'!$A:$A,"&lt;="&amp;DATE(2026,11,21))</f>
        <v/>
      </c>
      <c r="IG10" s="116">
        <f>COUNTIFS('DRAFT 2'!$D:$D,$B10,'DRAFT 2'!$A:$A,"&gt;="&amp;DATE(2026,11,22),'DRAFT 2'!$A:$A,"&lt;"&amp;DATE(2026,IF(11=12,11+1,11+1),1))</f>
        <v/>
      </c>
      <c r="IH10" s="116">
        <f>SUM(ID10:IG10)</f>
        <v/>
      </c>
      <c r="IR10" s="116">
        <f>IFERROR(LOOKUP(2,1/('DRAFT 2'!$D:$D=$B10)*('DRAFT 2'!$A:$A&gt;=DATE(2026,12,1))*('DRAFT 2'!$A:$A&lt;DATE(2026,IF(12=12,12+1,12+1),1)),'DRAFT 2'!$A:$A),"")</f>
        <v/>
      </c>
      <c r="IS10" s="116">
        <f>COUNTIFS('DRAFT 2'!$D:$D,$B10,'DRAFT 2'!$A:$A,"&gt;="&amp;DATE(2026,12,1),'DRAFT 2'!$A:$A,"&lt;="&amp;DATE(2026,12,7))</f>
        <v/>
      </c>
      <c r="IT10" s="116">
        <f>COUNTIFS('DRAFT 2'!$D:$D,$B10,'DRAFT 2'!$A:$A,"&gt;="&amp;DATE(2026,12,8),'DRAFT 2'!$A:$A,"&lt;="&amp;DATE(2026,12,14))</f>
        <v/>
      </c>
      <c r="IU10" s="116">
        <f>COUNTIFS('DRAFT 2'!$D:$D,$B10,'DRAFT 2'!$A:$A,"&gt;="&amp;DATE(2026,12,15),'DRAFT 2'!$A:$A,"&lt;="&amp;DATE(2026,12,21))</f>
        <v/>
      </c>
      <c r="IV10" s="116">
        <f>COUNTIFS('DRAFT 2'!$D:$D,$B10,'DRAFT 2'!$A:$A,"&gt;="&amp;DATE(2026,12,22),'DRAFT 2'!$A:$A,"&lt;"&amp;DATE(2026,IF(12=12,12+1,12+1),1))</f>
        <v/>
      </c>
      <c r="IW10" s="116">
        <f>SUM(IS10:IV10)</f>
        <v/>
      </c>
    </row>
    <row r="11">
      <c r="A11" s="116">
        <f>IFERROR(INDEX('DRAFT 1'!$A:$A,MATCH($B11,'DRAFT 1'!$B:$B,0)),"")</f>
        <v/>
      </c>
      <c r="C11" s="116">
        <f>IFERROR(INDEX('DRAFT 1'!$C:$C,MATCH($B11,'DRAFT 1'!$B:$B,0)),"")</f>
        <v/>
      </c>
      <c r="D11" s="116">
        <f>IFERROR(INDEX('DRAFT 1'!$D:$D,MATCH($B11,'DRAFT 1'!$B:$B,0)),"")</f>
        <v/>
      </c>
      <c r="E11" s="116">
        <f>IFERROR(INDEX('DRAFT 1'!$E:$E,MATCH($B11,'DRAFT 1'!$B:$B,0)),"")</f>
        <v/>
      </c>
      <c r="F11" s="116">
        <f>IFERROR(INDEX('DRAFT 1'!$F:$F,MATCH($B11,'DRAFT 1'!$B:$B,0)),"")</f>
        <v/>
      </c>
      <c r="G11" s="116">
        <f>IFERROR(INDEX('DRAFT 1'!$G:$G,MATCH($B11,'DRAFT 1'!$B:$B,0)),"")</f>
        <v/>
      </c>
      <c r="H11" s="116">
        <f>IFERROR(INDEX('DRAFT 1'!$H:$H,MATCH($B11,'DRAFT 1'!$B:$B,0)),"")</f>
        <v/>
      </c>
      <c r="I11" s="116" t="inlineStr">
        <is>
          <t>DEMAIS CLIENTES</t>
        </is>
      </c>
      <c r="K11" s="116">
        <f>IFERROR(INDEX('DRAFT 1'!$AL:$AL,MATCH($B11,'DRAFT 1'!$B:$B,0)),"")</f>
        <v/>
      </c>
      <c r="L11" s="116">
        <f>IFERROR(INDEX('DRAFT 1'!$J:$J,MATCH($B11,'DRAFT 1'!$B:$B,0)),"")</f>
        <v/>
      </c>
      <c r="M11" s="116">
        <f>IFERROR(INDEX('DRAFT 1'!$K:$K,MATCH($B11,'DRAFT 1'!$B:$B,0)),"")</f>
        <v/>
      </c>
      <c r="N11" s="116" t="inlineStr">
        <is>
          <t>INAT.ANT</t>
        </is>
      </c>
      <c r="P11" s="116">
        <f>IFERROR(INDEX('DRAFT 1'!$L:$L,MATCH($B11,'DRAFT 1'!$B:$B,0)),"")</f>
        <v/>
      </c>
      <c r="Q11" s="116">
        <f>IFERROR(INDEX('DRAFT 1'!$M:$M,MATCH($B11,'DRAFT 1'!$B:$B,0)),"")</f>
        <v/>
      </c>
      <c r="R11" s="116">
        <f>IFERROR(INDEX('DRAFT 1'!$N:$N,MATCH($B11,'DRAFT 1'!$B:$B,0)),"")</f>
        <v/>
      </c>
      <c r="S11" s="116">
        <f>IFERROR(INDEX('DRAFT 1'!$O:$O,MATCH($B11,'DRAFT 1'!$B:$B,0)),"")</f>
        <v/>
      </c>
      <c r="T11" s="116">
        <f>IFERROR(INDEX('DRAFT 1'!$P:$P,MATCH($B11,'DRAFT 1'!$B:$B,0)),"")</f>
        <v/>
      </c>
      <c r="U11" s="116">
        <f>IFERROR(INDEX('DRAFT 1'!$Q:$Q,MATCH($B11,'DRAFT 1'!$B:$B,0)),"")</f>
        <v/>
      </c>
      <c r="V11" s="116">
        <f>IFERROR(INDEX('DRAFT 1'!$R:$R,MATCH($B11,'DRAFT 1'!$B:$B,0)),"")</f>
        <v/>
      </c>
      <c r="W11" s="116">
        <f>IFERROR(INDEX('DRAFT 1'!$S:$S,MATCH($B11,'DRAFT 1'!$B:$B,0)),"")</f>
        <v/>
      </c>
      <c r="X11" s="116">
        <f>IFERROR(INDEX('DRAFT 1'!$T:$T,MATCH($B11,'DRAFT 1'!$B:$B,0)),"")</f>
        <v/>
      </c>
      <c r="Z11" s="116">
        <f>IFERROR(INDEX('DRAFT 1'!$U:$U,MATCH($B11,'DRAFT 1'!$B:$B,0)),"")</f>
        <v/>
      </c>
      <c r="AA11" s="116">
        <f>IFERROR(INDEX('DRAFT 1'!$V:$V,MATCH($B11,'DRAFT 1'!$B:$B,0)),"")</f>
        <v/>
      </c>
      <c r="AB11" s="116">
        <f>IFERROR(INDEX('DRAFT 1'!$W:$W,MATCH($B11,'DRAFT 1'!$B:$B,0)),"")</f>
        <v/>
      </c>
      <c r="AC11" s="116">
        <f>IFERROR(INDEX('DRAFT 1'!$X:$X,MATCH($B11,'DRAFT 1'!$B:$B,0)),"")</f>
        <v/>
      </c>
      <c r="AD11" s="116">
        <f>IFERROR(INDEX('DRAFT 1'!$Y:$Y,MATCH($B11,'DRAFT 1'!$B:$B,0)),"")</f>
        <v/>
      </c>
      <c r="AE11" s="116">
        <f>IFERROR(INDEX('DRAFT 1'!$Z:$Z,MATCH($B11,'DRAFT 1'!$B:$B,0)),"")</f>
        <v/>
      </c>
      <c r="AF11" s="116">
        <f>IFERROR(INDEX('DRAFT 1'!$AA:$AA,MATCH($B11,'DRAFT 1'!$B:$B,0)),"")</f>
        <v/>
      </c>
      <c r="AG11" s="116">
        <f>IFERROR(INDEX('DRAFT 1'!$AB:$AB,MATCH($B11,'DRAFT 1'!$B:$B,0)),"")</f>
        <v/>
      </c>
      <c r="AH11" s="116">
        <f>IFERROR(INDEX('DRAFT 1'!$AC:$AC,MATCH($B11,'DRAFT 1'!$B:$B,0)),"")</f>
        <v/>
      </c>
      <c r="AI11" s="116">
        <f>IFERROR(INDEX('DRAFT 1'!$AD:$AD,MATCH($B11,'DRAFT 1'!$B:$B,0)),"")</f>
        <v/>
      </c>
      <c r="AJ11" s="116">
        <f>IFERROR(INDEX('DRAFT 1'!$AE:$AE,MATCH($B11,'DRAFT 1'!$B:$B,0)),"")</f>
        <v/>
      </c>
      <c r="AK11" s="116">
        <f>IFERROR(INDEX('DRAFT 1'!$AG:$AG,MATCH($B11,'DRAFT 1'!$B:$B,0)),"")</f>
        <v/>
      </c>
      <c r="AL11" s="116">
        <f>IFERROR(INDEX('DRAFT 1'!$AH:$AH,MATCH($B11,'DRAFT 1'!$B:$B,0)),"")</f>
        <v/>
      </c>
      <c r="AM11" s="116">
        <f>IFERROR(INDEX('DRAFT 1'!$AI:$AI,MATCH($B11,'DRAFT 1'!$B:$B,0)),"")</f>
        <v/>
      </c>
      <c r="AN11" s="116">
        <f>IFERROR(INDEX('DRAFT 1'!$AJ:$AJ,MATCH($B11,'DRAFT 1'!$B:$B,0)),"")</f>
        <v/>
      </c>
      <c r="AO11" s="116">
        <f>IFERROR(Y11/AN11,0)</f>
        <v/>
      </c>
      <c r="AP11" s="116">
        <f>IFERROR(INDEX('DRAFT 1'!$AK:$AK,MATCH($B11,'DRAFT 1'!$B:$B,0)),"")</f>
        <v/>
      </c>
      <c r="AR11" s="116" t="inlineStr">
        <is>
          <t>SALVAMENTO</t>
        </is>
      </c>
      <c r="AS11" s="116">
        <f>IFERROR(LOOKUP(2,1/('DRAFT 2'!$D:$D=$B11),'DRAFT 2'!$T:$T),"")</f>
        <v/>
      </c>
      <c r="AT11" s="116">
        <f>IFERROR(LOOKUP(2,1/('DRAFT 2'!$D:$D=$B11),'DRAFT 2'!$A:$A),"")</f>
        <v/>
      </c>
      <c r="AU11" s="116">
        <f>IFERROR(LOOKUP(2,1/('DRAFT 2'!$D:$D=$B11),'DRAFT 2'!$R:$R),"")</f>
        <v/>
      </c>
      <c r="AV11" s="116">
        <f>IFERROR(LOOKUP(2,1/('DRAFT 2'!$D:$D=$B11),'DRAFT 2'!$S:$S),"")</f>
        <v/>
      </c>
      <c r="AW11" s="116" t="inlineStr">
        <is>
          <t>EM DESENVOLVIMENTO</t>
        </is>
      </c>
      <c r="AX11" s="116">
        <f>IFERROR(LOOKUP(2,1/('DRAFT 2'!$D:$D=$B11),'DRAFT 2'!$M:$M),"")</f>
        <v/>
      </c>
      <c r="AY11" s="116">
        <f>IFERROR(LOOKUP(2,1/('DRAFT 2'!$D:$D=$B11),'DRAFT 2'!$K:$K),"")</f>
        <v/>
      </c>
      <c r="BG11" s="116">
        <f>IFERROR(LOOKUP(2,1/('DRAFT 2'!$D:$D=$B11),'DRAFT 2'!$U:$U),"")</f>
        <v/>
      </c>
      <c r="BH11" s="116">
        <f>IFERROR(LOOKUP(2,1/('DRAFT 2'!$D:$D=$B11),'DRAFT 2'!$V:$V),"")</f>
        <v/>
      </c>
      <c r="CE11" s="116">
        <f>IFERROR(AJ11,0)</f>
        <v/>
      </c>
      <c r="CF11" s="116">
        <f>IFERROR(LOOKUP(2,1/('DRAFT 2'!$D:$D=$B11)*('DRAFT 2'!$A:$A&gt;=DATE(2026,1,1))*('DRAFT 2'!$A:$A&lt;DATE(2026,IF(1=12,1+1,1+1),1)),'DRAFT 2'!$A:$A),"")</f>
        <v/>
      </c>
      <c r="CG11" s="116">
        <f>COUNTIFS('DRAFT 2'!$D:$D,$B11,'DRAFT 2'!$A:$A,"&gt;="&amp;DATE(2026,1,1),'DRAFT 2'!$A:$A,"&lt;="&amp;DATE(2026,1,7))</f>
        <v/>
      </c>
      <c r="CH11" s="116">
        <f>COUNTIFS('DRAFT 2'!$D:$D,$B11,'DRAFT 2'!$A:$A,"&gt;="&amp;DATE(2026,1,8),'DRAFT 2'!$A:$A,"&lt;="&amp;DATE(2026,1,14))</f>
        <v/>
      </c>
      <c r="CI11" s="116">
        <f>COUNTIFS('DRAFT 2'!$D:$D,$B11,'DRAFT 2'!$A:$A,"&gt;="&amp;DATE(2026,1,15),'DRAFT 2'!$A:$A,"&lt;="&amp;DATE(2026,1,21))</f>
        <v/>
      </c>
      <c r="CJ11" s="116">
        <f>COUNTIFS('DRAFT 2'!$D:$D,$B11,'DRAFT 2'!$A:$A,"&gt;="&amp;DATE(2026,1,22),'DRAFT 2'!$A:$A,"&lt;"&amp;DATE(2026,IF(1=12,1+1,1+1),1))</f>
        <v/>
      </c>
      <c r="CK11" s="116">
        <f>SUM(CG11:CJ11)</f>
        <v/>
      </c>
      <c r="CT11" s="116" t="n">
        <v>0</v>
      </c>
      <c r="CU11" s="116">
        <f>IFERROR(LOOKUP(2,1/('DRAFT 2'!$D:$D=$B11)*('DRAFT 2'!$A:$A&gt;=DATE(2026,2,1))*('DRAFT 2'!$A:$A&lt;DATE(2026,IF(2=12,2+1,2+1),1)),'DRAFT 2'!$A:$A),"")</f>
        <v/>
      </c>
      <c r="CV11" s="116">
        <f>COUNTIFS('DRAFT 2'!$D:$D,$B11,'DRAFT 2'!$A:$A,"&gt;="&amp;DATE(2026,2,1),'DRAFT 2'!$A:$A,"&lt;="&amp;DATE(2026,2,7))</f>
        <v/>
      </c>
      <c r="CW11" s="116">
        <f>COUNTIFS('DRAFT 2'!$D:$D,$B11,'DRAFT 2'!$A:$A,"&gt;="&amp;DATE(2026,2,8),'DRAFT 2'!$A:$A,"&lt;="&amp;DATE(2026,2,14))</f>
        <v/>
      </c>
      <c r="CX11" s="116">
        <f>COUNTIFS('DRAFT 2'!$D:$D,$B11,'DRAFT 2'!$A:$A,"&gt;="&amp;DATE(2026,2,15),'DRAFT 2'!$A:$A,"&lt;="&amp;DATE(2026,2,21))</f>
        <v/>
      </c>
      <c r="CY11" s="116">
        <f>COUNTIFS('DRAFT 2'!$D:$D,$B11,'DRAFT 2'!$A:$A,"&gt;="&amp;DATE(2026,2,22),'DRAFT 2'!$A:$A,"&lt;"&amp;DATE(2026,IF(2=12,2+1,2+1),1))</f>
        <v/>
      </c>
      <c r="CZ11" s="116">
        <f>SUM(CV11:CY11)</f>
        <v/>
      </c>
      <c r="DJ11" s="116">
        <f>IFERROR(LOOKUP(2,1/('DRAFT 2'!$D:$D=$B11)*('DRAFT 2'!$A:$A&gt;=DATE(2026,3,1))*('DRAFT 2'!$A:$A&lt;DATE(2026,IF(3=12,3+1,3+1),1)),'DRAFT 2'!$A:$A),"")</f>
        <v/>
      </c>
      <c r="DK11" s="116">
        <f>COUNTIFS('DRAFT 2'!$D:$D,$B11,'DRAFT 2'!$A:$A,"&gt;="&amp;DATE(2026,3,1),'DRAFT 2'!$A:$A,"&lt;="&amp;DATE(2026,3,7))</f>
        <v/>
      </c>
      <c r="DL11" s="116">
        <f>COUNTIFS('DRAFT 2'!$D:$D,$B11,'DRAFT 2'!$A:$A,"&gt;="&amp;DATE(2026,3,8),'DRAFT 2'!$A:$A,"&lt;="&amp;DATE(2026,3,14))</f>
        <v/>
      </c>
      <c r="DM11" s="116">
        <f>COUNTIFS('DRAFT 2'!$D:$D,$B11,'DRAFT 2'!$A:$A,"&gt;="&amp;DATE(2026,3,15),'DRAFT 2'!$A:$A,"&lt;="&amp;DATE(2026,3,21))</f>
        <v/>
      </c>
      <c r="DN11" s="116">
        <f>COUNTIFS('DRAFT 2'!$D:$D,$B11,'DRAFT 2'!$A:$A,"&gt;="&amp;DATE(2026,3,22),'DRAFT 2'!$A:$A,"&lt;"&amp;DATE(2026,IF(3=12,3+1,3+1),1))</f>
        <v/>
      </c>
      <c r="DO11" s="116">
        <f>SUM(DK11:DN11)</f>
        <v/>
      </c>
      <c r="DZ11" s="116">
        <f>IFERROR(LOOKUP(2,1/('DRAFT 2'!$D:$D=$B11)*('DRAFT 2'!$A:$A&gt;=DATE(2026,4,1))*('DRAFT 2'!$A:$A&lt;DATE(2026,IF(4=12,4+1,4+1),1)),'DRAFT 2'!$A:$A),"")</f>
        <v/>
      </c>
      <c r="EA11" s="116">
        <f>COUNTIFS('DRAFT 2'!$D:$D,$B11,'DRAFT 2'!$A:$A,"&gt;="&amp;DATE(2026,4,1),'DRAFT 2'!$A:$A,"&lt;="&amp;DATE(2026,4,7))</f>
        <v/>
      </c>
      <c r="EB11" s="116">
        <f>COUNTIFS('DRAFT 2'!$D:$D,$B11,'DRAFT 2'!$A:$A,"&gt;="&amp;DATE(2026,4,8),'DRAFT 2'!$A:$A,"&lt;="&amp;DATE(2026,4,14))</f>
        <v/>
      </c>
      <c r="EC11" s="116">
        <f>COUNTIFS('DRAFT 2'!$D:$D,$B11,'DRAFT 2'!$A:$A,"&gt;="&amp;DATE(2026,4,15),'DRAFT 2'!$A:$A,"&lt;="&amp;DATE(2026,4,21))</f>
        <v/>
      </c>
      <c r="ED11" s="116">
        <f>COUNTIFS('DRAFT 2'!$D:$D,$B11,'DRAFT 2'!$A:$A,"&gt;="&amp;DATE(2026,4,22),'DRAFT 2'!$A:$A,"&lt;"&amp;DATE(2026,IF(4=12,4+1,4+1),1))</f>
        <v/>
      </c>
      <c r="EE11" s="116">
        <f>SUM(EA11:ED11)</f>
        <v/>
      </c>
      <c r="EO11" s="116">
        <f>IFERROR(LOOKUP(2,1/('DRAFT 2'!$D:$D=$B11)*('DRAFT 2'!$A:$A&gt;=DATE(2026,5,1))*('DRAFT 2'!$A:$A&lt;DATE(2026,IF(5=12,5+1,5+1),1)),'DRAFT 2'!$A:$A),"")</f>
        <v/>
      </c>
      <c r="EP11" s="116">
        <f>COUNTIFS('DRAFT 2'!$D:$D,$B11,'DRAFT 2'!$A:$A,"&gt;="&amp;DATE(2026,5,1),'DRAFT 2'!$A:$A,"&lt;="&amp;DATE(2026,5,7))</f>
        <v/>
      </c>
      <c r="EQ11" s="116">
        <f>COUNTIFS('DRAFT 2'!$D:$D,$B11,'DRAFT 2'!$A:$A,"&gt;="&amp;DATE(2026,5,8),'DRAFT 2'!$A:$A,"&lt;="&amp;DATE(2026,5,14))</f>
        <v/>
      </c>
      <c r="ER11" s="116">
        <f>COUNTIFS('DRAFT 2'!$D:$D,$B11,'DRAFT 2'!$A:$A,"&gt;="&amp;DATE(2026,5,15),'DRAFT 2'!$A:$A,"&lt;="&amp;DATE(2026,5,21))</f>
        <v/>
      </c>
      <c r="ES11" s="116">
        <f>COUNTIFS('DRAFT 2'!$D:$D,$B11,'DRAFT 2'!$A:$A,"&gt;="&amp;DATE(2026,5,22),'DRAFT 2'!$A:$A,"&lt;"&amp;DATE(2026,IF(5=12,5+1,5+1),1))</f>
        <v/>
      </c>
      <c r="ET11" s="116">
        <f>SUM(EP11:ES11)</f>
        <v/>
      </c>
      <c r="FD11" s="116">
        <f>IFERROR(LOOKUP(2,1/('DRAFT 2'!$D:$D=$B11)*('DRAFT 2'!$A:$A&gt;=DATE(2026,6,1))*('DRAFT 2'!$A:$A&lt;DATE(2026,IF(6=12,6+1,6+1),1)),'DRAFT 2'!$A:$A),"")</f>
        <v/>
      </c>
      <c r="FE11" s="116">
        <f>COUNTIFS('DRAFT 2'!$D:$D,$B11,'DRAFT 2'!$A:$A,"&gt;="&amp;DATE(2026,6,1),'DRAFT 2'!$A:$A,"&lt;="&amp;DATE(2026,6,7))</f>
        <v/>
      </c>
      <c r="FF11" s="116">
        <f>COUNTIFS('DRAFT 2'!$D:$D,$B11,'DRAFT 2'!$A:$A,"&gt;="&amp;DATE(2026,6,8),'DRAFT 2'!$A:$A,"&lt;="&amp;DATE(2026,6,14))</f>
        <v/>
      </c>
      <c r="FG11" s="116">
        <f>COUNTIFS('DRAFT 2'!$D:$D,$B11,'DRAFT 2'!$A:$A,"&gt;="&amp;DATE(2026,6,15),'DRAFT 2'!$A:$A,"&lt;="&amp;DATE(2026,6,21))</f>
        <v/>
      </c>
      <c r="FH11" s="116">
        <f>COUNTIFS('DRAFT 2'!$D:$D,$B11,'DRAFT 2'!$A:$A,"&gt;="&amp;DATE(2026,6,22),'DRAFT 2'!$A:$A,"&lt;"&amp;DATE(2026,IF(6=12,6+1,6+1),1))</f>
        <v/>
      </c>
      <c r="FI11" s="116">
        <f>SUM(FE11:FH11)</f>
        <v/>
      </c>
      <c r="FT11" s="116">
        <f>IFERROR(LOOKUP(2,1/('DRAFT 2'!$D:$D=$B11)*('DRAFT 2'!$A:$A&gt;=DATE(2026,7,1))*('DRAFT 2'!$A:$A&lt;DATE(2026,IF(7=12,7+1,7+1),1)),'DRAFT 2'!$A:$A),"")</f>
        <v/>
      </c>
      <c r="FU11" s="116">
        <f>COUNTIFS('DRAFT 2'!$D:$D,$B11,'DRAFT 2'!$A:$A,"&gt;="&amp;DATE(2026,7,1),'DRAFT 2'!$A:$A,"&lt;="&amp;DATE(2026,7,7))</f>
        <v/>
      </c>
      <c r="FV11" s="116">
        <f>COUNTIFS('DRAFT 2'!$D:$D,$B11,'DRAFT 2'!$A:$A,"&gt;="&amp;DATE(2026,7,8),'DRAFT 2'!$A:$A,"&lt;="&amp;DATE(2026,7,14))</f>
        <v/>
      </c>
      <c r="FW11" s="116">
        <f>COUNTIFS('DRAFT 2'!$D:$D,$B11,'DRAFT 2'!$A:$A,"&gt;="&amp;DATE(2026,7,15),'DRAFT 2'!$A:$A,"&lt;="&amp;DATE(2026,7,21))</f>
        <v/>
      </c>
      <c r="FX11" s="116">
        <f>COUNTIFS('DRAFT 2'!$D:$D,$B11,'DRAFT 2'!$A:$A,"&gt;="&amp;DATE(2026,7,22),'DRAFT 2'!$A:$A,"&lt;"&amp;DATE(2026,IF(7=12,7+1,7+1),1))</f>
        <v/>
      </c>
      <c r="FY11" s="116">
        <f>SUM(FU11:FX11)</f>
        <v/>
      </c>
      <c r="GI11" s="116">
        <f>IFERROR(LOOKUP(2,1/('DRAFT 2'!$D:$D=$B11)*('DRAFT 2'!$A:$A&gt;=DATE(2026,8,1))*('DRAFT 2'!$A:$A&lt;DATE(2026,IF(8=12,8+1,8+1),1)),'DRAFT 2'!$A:$A),"")</f>
        <v/>
      </c>
      <c r="GJ11" s="116">
        <f>COUNTIFS('DRAFT 2'!$D:$D,$B11,'DRAFT 2'!$A:$A,"&gt;="&amp;DATE(2026,8,1),'DRAFT 2'!$A:$A,"&lt;="&amp;DATE(2026,8,7))</f>
        <v/>
      </c>
      <c r="GK11" s="116">
        <f>COUNTIFS('DRAFT 2'!$D:$D,$B11,'DRAFT 2'!$A:$A,"&gt;="&amp;DATE(2026,8,8),'DRAFT 2'!$A:$A,"&lt;="&amp;DATE(2026,8,14))</f>
        <v/>
      </c>
      <c r="GL11" s="116">
        <f>COUNTIFS('DRAFT 2'!$D:$D,$B11,'DRAFT 2'!$A:$A,"&gt;="&amp;DATE(2026,8,15),'DRAFT 2'!$A:$A,"&lt;="&amp;DATE(2026,8,21))</f>
        <v/>
      </c>
      <c r="GM11" s="116">
        <f>COUNTIFS('DRAFT 2'!$D:$D,$B11,'DRAFT 2'!$A:$A,"&gt;="&amp;DATE(2026,8,22),'DRAFT 2'!$A:$A,"&lt;"&amp;DATE(2026,IF(8=12,8+1,8+1),1))</f>
        <v/>
      </c>
      <c r="GN11" s="116">
        <f>SUM(GJ11:GM11)</f>
        <v/>
      </c>
      <c r="GX11" s="116">
        <f>IFERROR(LOOKUP(2,1/('DRAFT 2'!$D:$D=$B11)*('DRAFT 2'!$A:$A&gt;=DATE(2026,9,1))*('DRAFT 2'!$A:$A&lt;DATE(2026,IF(9=12,9+1,9+1),1)),'DRAFT 2'!$A:$A),"")</f>
        <v/>
      </c>
      <c r="GY11" s="116">
        <f>COUNTIFS('DRAFT 2'!$D:$D,$B11,'DRAFT 2'!$A:$A,"&gt;="&amp;DATE(2026,9,1),'DRAFT 2'!$A:$A,"&lt;="&amp;DATE(2026,9,7))</f>
        <v/>
      </c>
      <c r="GZ11" s="116">
        <f>COUNTIFS('DRAFT 2'!$D:$D,$B11,'DRAFT 2'!$A:$A,"&gt;="&amp;DATE(2026,9,8),'DRAFT 2'!$A:$A,"&lt;="&amp;DATE(2026,9,14))</f>
        <v/>
      </c>
      <c r="HA11" s="116">
        <f>COUNTIFS('DRAFT 2'!$D:$D,$B11,'DRAFT 2'!$A:$A,"&gt;="&amp;DATE(2026,9,15),'DRAFT 2'!$A:$A,"&lt;="&amp;DATE(2026,9,21))</f>
        <v/>
      </c>
      <c r="HB11" s="116">
        <f>COUNTIFS('DRAFT 2'!$D:$D,$B11,'DRAFT 2'!$A:$A,"&gt;="&amp;DATE(2026,9,22),'DRAFT 2'!$A:$A,"&lt;"&amp;DATE(2026,IF(9=12,9+1,9+1),1))</f>
        <v/>
      </c>
      <c r="HC11" s="116">
        <f>SUM(GY11:HB11)</f>
        <v/>
      </c>
      <c r="HN11" s="116">
        <f>IFERROR(LOOKUP(2,1/('DRAFT 2'!$D:$D=$B11)*('DRAFT 2'!$A:$A&gt;=DATE(2026,10,1))*('DRAFT 2'!$A:$A&lt;DATE(2026,IF(10=12,10+1,10+1),1)),'DRAFT 2'!$A:$A),"")</f>
        <v/>
      </c>
      <c r="HO11" s="116">
        <f>COUNTIFS('DRAFT 2'!$D:$D,$B11,'DRAFT 2'!$A:$A,"&gt;="&amp;DATE(2026,10,1),'DRAFT 2'!$A:$A,"&lt;="&amp;DATE(2026,10,7))</f>
        <v/>
      </c>
      <c r="HP11" s="116">
        <f>COUNTIFS('DRAFT 2'!$D:$D,$B11,'DRAFT 2'!$A:$A,"&gt;="&amp;DATE(2026,10,8),'DRAFT 2'!$A:$A,"&lt;="&amp;DATE(2026,10,14))</f>
        <v/>
      </c>
      <c r="HQ11" s="116">
        <f>COUNTIFS('DRAFT 2'!$D:$D,$B11,'DRAFT 2'!$A:$A,"&gt;="&amp;DATE(2026,10,15),'DRAFT 2'!$A:$A,"&lt;="&amp;DATE(2026,10,21))</f>
        <v/>
      </c>
      <c r="HR11" s="116">
        <f>COUNTIFS('DRAFT 2'!$D:$D,$B11,'DRAFT 2'!$A:$A,"&gt;="&amp;DATE(2026,10,22),'DRAFT 2'!$A:$A,"&lt;"&amp;DATE(2026,IF(10=12,10+1,10+1),1))</f>
        <v/>
      </c>
      <c r="HS11" s="116">
        <f>SUM(HO11:HR11)</f>
        <v/>
      </c>
      <c r="IC11" s="116">
        <f>IFERROR(LOOKUP(2,1/('DRAFT 2'!$D:$D=$B11)*('DRAFT 2'!$A:$A&gt;=DATE(2026,11,1))*('DRAFT 2'!$A:$A&lt;DATE(2026,IF(11=12,11+1,11+1),1)),'DRAFT 2'!$A:$A),"")</f>
        <v/>
      </c>
      <c r="ID11" s="116">
        <f>COUNTIFS('DRAFT 2'!$D:$D,$B11,'DRAFT 2'!$A:$A,"&gt;="&amp;DATE(2026,11,1),'DRAFT 2'!$A:$A,"&lt;="&amp;DATE(2026,11,7))</f>
        <v/>
      </c>
      <c r="IE11" s="116">
        <f>COUNTIFS('DRAFT 2'!$D:$D,$B11,'DRAFT 2'!$A:$A,"&gt;="&amp;DATE(2026,11,8),'DRAFT 2'!$A:$A,"&lt;="&amp;DATE(2026,11,14))</f>
        <v/>
      </c>
      <c r="IF11" s="116">
        <f>COUNTIFS('DRAFT 2'!$D:$D,$B11,'DRAFT 2'!$A:$A,"&gt;="&amp;DATE(2026,11,15),'DRAFT 2'!$A:$A,"&lt;="&amp;DATE(2026,11,21))</f>
        <v/>
      </c>
      <c r="IG11" s="116">
        <f>COUNTIFS('DRAFT 2'!$D:$D,$B11,'DRAFT 2'!$A:$A,"&gt;="&amp;DATE(2026,11,22),'DRAFT 2'!$A:$A,"&lt;"&amp;DATE(2026,IF(11=12,11+1,11+1),1))</f>
        <v/>
      </c>
      <c r="IH11" s="116">
        <f>SUM(ID11:IG11)</f>
        <v/>
      </c>
      <c r="IR11" s="116">
        <f>IFERROR(LOOKUP(2,1/('DRAFT 2'!$D:$D=$B11)*('DRAFT 2'!$A:$A&gt;=DATE(2026,12,1))*('DRAFT 2'!$A:$A&lt;DATE(2026,IF(12=12,12+1,12+1),1)),'DRAFT 2'!$A:$A),"")</f>
        <v/>
      </c>
      <c r="IS11" s="116">
        <f>COUNTIFS('DRAFT 2'!$D:$D,$B11,'DRAFT 2'!$A:$A,"&gt;="&amp;DATE(2026,12,1),'DRAFT 2'!$A:$A,"&lt;="&amp;DATE(2026,12,7))</f>
        <v/>
      </c>
      <c r="IT11" s="116">
        <f>COUNTIFS('DRAFT 2'!$D:$D,$B11,'DRAFT 2'!$A:$A,"&gt;="&amp;DATE(2026,12,8),'DRAFT 2'!$A:$A,"&lt;="&amp;DATE(2026,12,14))</f>
        <v/>
      </c>
      <c r="IU11" s="116">
        <f>COUNTIFS('DRAFT 2'!$D:$D,$B11,'DRAFT 2'!$A:$A,"&gt;="&amp;DATE(2026,12,15),'DRAFT 2'!$A:$A,"&lt;="&amp;DATE(2026,12,21))</f>
        <v/>
      </c>
      <c r="IV11" s="116">
        <f>COUNTIFS('DRAFT 2'!$D:$D,$B11,'DRAFT 2'!$A:$A,"&gt;="&amp;DATE(2026,12,22),'DRAFT 2'!$A:$A,"&lt;"&amp;DATE(2026,IF(12=12,12+1,12+1),1))</f>
        <v/>
      </c>
      <c r="IW11" s="116">
        <f>SUM(IS11:IV11)</f>
        <v/>
      </c>
    </row>
    <row r="12">
      <c r="A12" s="116">
        <f>IFERROR(INDEX('DRAFT 1'!$A:$A,MATCH($B12,'DRAFT 1'!$B:$B,0)),"")</f>
        <v/>
      </c>
      <c r="C12" s="116">
        <f>IFERROR(INDEX('DRAFT 1'!$C:$C,MATCH($B12,'DRAFT 1'!$B:$B,0)),"")</f>
        <v/>
      </c>
      <c r="D12" s="116">
        <f>IFERROR(INDEX('DRAFT 1'!$D:$D,MATCH($B12,'DRAFT 1'!$B:$B,0)),"")</f>
        <v/>
      </c>
      <c r="E12" s="116">
        <f>IFERROR(INDEX('DRAFT 1'!$E:$E,MATCH($B12,'DRAFT 1'!$B:$B,0)),"")</f>
        <v/>
      </c>
      <c r="F12" s="116">
        <f>IFERROR(INDEX('DRAFT 1'!$F:$F,MATCH($B12,'DRAFT 1'!$B:$B,0)),"")</f>
        <v/>
      </c>
      <c r="G12" s="116">
        <f>IFERROR(INDEX('DRAFT 1'!$G:$G,MATCH($B12,'DRAFT 1'!$B:$B,0)),"")</f>
        <v/>
      </c>
      <c r="H12" s="116">
        <f>IFERROR(INDEX('DRAFT 1'!$H:$H,MATCH($B12,'DRAFT 1'!$B:$B,0)),"")</f>
        <v/>
      </c>
      <c r="I12" s="116" t="inlineStr">
        <is>
          <t>CIA DA SAUDE</t>
        </is>
      </c>
      <c r="K12" s="116">
        <f>IFERROR(INDEX('DRAFT 1'!$AL:$AL,MATCH($B12,'DRAFT 1'!$B:$B,0)),"")</f>
        <v/>
      </c>
      <c r="L12" s="116">
        <f>IFERROR(INDEX('DRAFT 1'!$J:$J,MATCH($B12,'DRAFT 1'!$B:$B,0)),"")</f>
        <v/>
      </c>
      <c r="M12" s="116">
        <f>IFERROR(INDEX('DRAFT 1'!$K:$K,MATCH($B12,'DRAFT 1'!$B:$B,0)),"")</f>
        <v/>
      </c>
      <c r="N12" s="116" t="inlineStr">
        <is>
          <t>NOVO</t>
        </is>
      </c>
      <c r="P12" s="116">
        <f>IFERROR(INDEX('DRAFT 1'!$L:$L,MATCH($B12,'DRAFT 1'!$B:$B,0)),"")</f>
        <v/>
      </c>
      <c r="Q12" s="116">
        <f>IFERROR(INDEX('DRAFT 1'!$M:$M,MATCH($B12,'DRAFT 1'!$B:$B,0)),"")</f>
        <v/>
      </c>
      <c r="R12" s="116">
        <f>IFERROR(INDEX('DRAFT 1'!$N:$N,MATCH($B12,'DRAFT 1'!$B:$B,0)),"")</f>
        <v/>
      </c>
      <c r="S12" s="116">
        <f>IFERROR(INDEX('DRAFT 1'!$O:$O,MATCH($B12,'DRAFT 1'!$B:$B,0)),"")</f>
        <v/>
      </c>
      <c r="T12" s="116">
        <f>IFERROR(INDEX('DRAFT 1'!$P:$P,MATCH($B12,'DRAFT 1'!$B:$B,0)),"")</f>
        <v/>
      </c>
      <c r="U12" s="116">
        <f>IFERROR(INDEX('DRAFT 1'!$Q:$Q,MATCH($B12,'DRAFT 1'!$B:$B,0)),"")</f>
        <v/>
      </c>
      <c r="V12" s="116">
        <f>IFERROR(INDEX('DRAFT 1'!$R:$R,MATCH($B12,'DRAFT 1'!$B:$B,0)),"")</f>
        <v/>
      </c>
      <c r="W12" s="116">
        <f>IFERROR(INDEX('DRAFT 1'!$S:$S,MATCH($B12,'DRAFT 1'!$B:$B,0)),"")</f>
        <v/>
      </c>
      <c r="X12" s="116">
        <f>IFERROR(INDEX('DRAFT 1'!$T:$T,MATCH($B12,'DRAFT 1'!$B:$B,0)),"")</f>
        <v/>
      </c>
      <c r="Z12" s="116">
        <f>IFERROR(INDEX('DRAFT 1'!$U:$U,MATCH($B12,'DRAFT 1'!$B:$B,0)),"")</f>
        <v/>
      </c>
      <c r="AA12" s="116">
        <f>IFERROR(INDEX('DRAFT 1'!$V:$V,MATCH($B12,'DRAFT 1'!$B:$B,0)),"")</f>
        <v/>
      </c>
      <c r="AB12" s="116">
        <f>IFERROR(INDEX('DRAFT 1'!$W:$W,MATCH($B12,'DRAFT 1'!$B:$B,0)),"")</f>
        <v/>
      </c>
      <c r="AC12" s="116">
        <f>IFERROR(INDEX('DRAFT 1'!$X:$X,MATCH($B12,'DRAFT 1'!$B:$B,0)),"")</f>
        <v/>
      </c>
      <c r="AD12" s="116">
        <f>IFERROR(INDEX('DRAFT 1'!$Y:$Y,MATCH($B12,'DRAFT 1'!$B:$B,0)),"")</f>
        <v/>
      </c>
      <c r="AE12" s="116">
        <f>IFERROR(INDEX('DRAFT 1'!$Z:$Z,MATCH($B12,'DRAFT 1'!$B:$B,0)),"")</f>
        <v/>
      </c>
      <c r="AF12" s="116">
        <f>IFERROR(INDEX('DRAFT 1'!$AA:$AA,MATCH($B12,'DRAFT 1'!$B:$B,0)),"")</f>
        <v/>
      </c>
      <c r="AG12" s="116">
        <f>IFERROR(INDEX('DRAFT 1'!$AB:$AB,MATCH($B12,'DRAFT 1'!$B:$B,0)),"")</f>
        <v/>
      </c>
      <c r="AH12" s="116">
        <f>IFERROR(INDEX('DRAFT 1'!$AC:$AC,MATCH($B12,'DRAFT 1'!$B:$B,0)),"")</f>
        <v/>
      </c>
      <c r="AI12" s="116">
        <f>IFERROR(INDEX('DRAFT 1'!$AD:$AD,MATCH($B12,'DRAFT 1'!$B:$B,0)),"")</f>
        <v/>
      </c>
      <c r="AJ12" s="116">
        <f>IFERROR(INDEX('DRAFT 1'!$AE:$AE,MATCH($B12,'DRAFT 1'!$B:$B,0)),"")</f>
        <v/>
      </c>
      <c r="AK12" s="116">
        <f>IFERROR(INDEX('DRAFT 1'!$AG:$AG,MATCH($B12,'DRAFT 1'!$B:$B,0)),"")</f>
        <v/>
      </c>
      <c r="AL12" s="116">
        <f>IFERROR(INDEX('DRAFT 1'!$AH:$AH,MATCH($B12,'DRAFT 1'!$B:$B,0)),"")</f>
        <v/>
      </c>
      <c r="AM12" s="116">
        <f>IFERROR(INDEX('DRAFT 1'!$AI:$AI,MATCH($B12,'DRAFT 1'!$B:$B,0)),"")</f>
        <v/>
      </c>
      <c r="AN12" s="116">
        <f>IFERROR(INDEX('DRAFT 1'!$AJ:$AJ,MATCH($B12,'DRAFT 1'!$B:$B,0)),"")</f>
        <v/>
      </c>
      <c r="AO12" s="116">
        <f>IFERROR(Y12/AN12,0)</f>
        <v/>
      </c>
      <c r="AP12" s="116">
        <f>IFERROR(INDEX('DRAFT 1'!$AK:$AK,MATCH($B12,'DRAFT 1'!$B:$B,0)),"")</f>
        <v/>
      </c>
      <c r="AR12" s="116" t="inlineStr">
        <is>
          <t>SALVAMENTO</t>
        </is>
      </c>
      <c r="AS12" s="116">
        <f>IFERROR(LOOKUP(2,1/('DRAFT 2'!$D:$D=$B12),'DRAFT 2'!$T:$T),"")</f>
        <v/>
      </c>
      <c r="AT12" s="116">
        <f>IFERROR(LOOKUP(2,1/('DRAFT 2'!$D:$D=$B12),'DRAFT 2'!$A:$A),"")</f>
        <v/>
      </c>
      <c r="AU12" s="116">
        <f>IFERROR(LOOKUP(2,1/('DRAFT 2'!$D:$D=$B12),'DRAFT 2'!$R:$R),"")</f>
        <v/>
      </c>
      <c r="AV12" s="116">
        <f>IFERROR(LOOKUP(2,1/('DRAFT 2'!$D:$D=$B12),'DRAFT 2'!$S:$S),"")</f>
        <v/>
      </c>
      <c r="AW12" s="116" t="inlineStr">
        <is>
          <t>PROSPECT</t>
        </is>
      </c>
      <c r="AX12" s="116">
        <f>IFERROR(LOOKUP(2,1/('DRAFT 2'!$D:$D=$B12),'DRAFT 2'!$M:$M),"")</f>
        <v/>
      </c>
      <c r="AY12" s="116">
        <f>IFERROR(LOOKUP(2,1/('DRAFT 2'!$D:$D=$B12),'DRAFT 2'!$K:$K),"")</f>
        <v/>
      </c>
      <c r="BG12" s="116">
        <f>IFERROR(LOOKUP(2,1/('DRAFT 2'!$D:$D=$B12),'DRAFT 2'!$U:$U),"")</f>
        <v/>
      </c>
      <c r="BH12" s="116">
        <f>IFERROR(LOOKUP(2,1/('DRAFT 2'!$D:$D=$B12),'DRAFT 2'!$V:$V),"")</f>
        <v/>
      </c>
      <c r="CE12" s="116">
        <f>IFERROR(AJ12,0)</f>
        <v/>
      </c>
      <c r="CF12" s="116">
        <f>IFERROR(LOOKUP(2,1/('DRAFT 2'!$D:$D=$B12)*('DRAFT 2'!$A:$A&gt;=DATE(2026,1,1))*('DRAFT 2'!$A:$A&lt;DATE(2026,IF(1=12,1+1,1+1),1)),'DRAFT 2'!$A:$A),"")</f>
        <v/>
      </c>
      <c r="CG12" s="116">
        <f>COUNTIFS('DRAFT 2'!$D:$D,$B12,'DRAFT 2'!$A:$A,"&gt;="&amp;DATE(2026,1,1),'DRAFT 2'!$A:$A,"&lt;="&amp;DATE(2026,1,7))</f>
        <v/>
      </c>
      <c r="CH12" s="116">
        <f>COUNTIFS('DRAFT 2'!$D:$D,$B12,'DRAFT 2'!$A:$A,"&gt;="&amp;DATE(2026,1,8),'DRAFT 2'!$A:$A,"&lt;="&amp;DATE(2026,1,14))</f>
        <v/>
      </c>
      <c r="CI12" s="116">
        <f>COUNTIFS('DRAFT 2'!$D:$D,$B12,'DRAFT 2'!$A:$A,"&gt;="&amp;DATE(2026,1,15),'DRAFT 2'!$A:$A,"&lt;="&amp;DATE(2026,1,21))</f>
        <v/>
      </c>
      <c r="CJ12" s="116">
        <f>COUNTIFS('DRAFT 2'!$D:$D,$B12,'DRAFT 2'!$A:$A,"&gt;="&amp;DATE(2026,1,22),'DRAFT 2'!$A:$A,"&lt;"&amp;DATE(2026,IF(1=12,1+1,1+1),1))</f>
        <v/>
      </c>
      <c r="CK12" s="116">
        <f>SUM(CG12:CJ12)</f>
        <v/>
      </c>
      <c r="CT12" s="116" t="n">
        <v>0</v>
      </c>
      <c r="CU12" s="116">
        <f>IFERROR(LOOKUP(2,1/('DRAFT 2'!$D:$D=$B12)*('DRAFT 2'!$A:$A&gt;=DATE(2026,2,1))*('DRAFT 2'!$A:$A&lt;DATE(2026,IF(2=12,2+1,2+1),1)),'DRAFT 2'!$A:$A),"")</f>
        <v/>
      </c>
      <c r="CV12" s="116">
        <f>COUNTIFS('DRAFT 2'!$D:$D,$B12,'DRAFT 2'!$A:$A,"&gt;="&amp;DATE(2026,2,1),'DRAFT 2'!$A:$A,"&lt;="&amp;DATE(2026,2,7))</f>
        <v/>
      </c>
      <c r="CW12" s="116">
        <f>COUNTIFS('DRAFT 2'!$D:$D,$B12,'DRAFT 2'!$A:$A,"&gt;="&amp;DATE(2026,2,8),'DRAFT 2'!$A:$A,"&lt;="&amp;DATE(2026,2,14))</f>
        <v/>
      </c>
      <c r="CX12" s="116">
        <f>COUNTIFS('DRAFT 2'!$D:$D,$B12,'DRAFT 2'!$A:$A,"&gt;="&amp;DATE(2026,2,15),'DRAFT 2'!$A:$A,"&lt;="&amp;DATE(2026,2,21))</f>
        <v/>
      </c>
      <c r="CY12" s="116">
        <f>COUNTIFS('DRAFT 2'!$D:$D,$B12,'DRAFT 2'!$A:$A,"&gt;="&amp;DATE(2026,2,22),'DRAFT 2'!$A:$A,"&lt;"&amp;DATE(2026,IF(2=12,2+1,2+1),1))</f>
        <v/>
      </c>
      <c r="CZ12" s="116">
        <f>SUM(CV12:CY12)</f>
        <v/>
      </c>
      <c r="DJ12" s="116">
        <f>IFERROR(LOOKUP(2,1/('DRAFT 2'!$D:$D=$B12)*('DRAFT 2'!$A:$A&gt;=DATE(2026,3,1))*('DRAFT 2'!$A:$A&lt;DATE(2026,IF(3=12,3+1,3+1),1)),'DRAFT 2'!$A:$A),"")</f>
        <v/>
      </c>
      <c r="DK12" s="116">
        <f>COUNTIFS('DRAFT 2'!$D:$D,$B12,'DRAFT 2'!$A:$A,"&gt;="&amp;DATE(2026,3,1),'DRAFT 2'!$A:$A,"&lt;="&amp;DATE(2026,3,7))</f>
        <v/>
      </c>
      <c r="DL12" s="116">
        <f>COUNTIFS('DRAFT 2'!$D:$D,$B12,'DRAFT 2'!$A:$A,"&gt;="&amp;DATE(2026,3,8),'DRAFT 2'!$A:$A,"&lt;="&amp;DATE(2026,3,14))</f>
        <v/>
      </c>
      <c r="DM12" s="116">
        <f>COUNTIFS('DRAFT 2'!$D:$D,$B12,'DRAFT 2'!$A:$A,"&gt;="&amp;DATE(2026,3,15),'DRAFT 2'!$A:$A,"&lt;="&amp;DATE(2026,3,21))</f>
        <v/>
      </c>
      <c r="DN12" s="116">
        <f>COUNTIFS('DRAFT 2'!$D:$D,$B12,'DRAFT 2'!$A:$A,"&gt;="&amp;DATE(2026,3,22),'DRAFT 2'!$A:$A,"&lt;"&amp;DATE(2026,IF(3=12,3+1,3+1),1))</f>
        <v/>
      </c>
      <c r="DO12" s="116">
        <f>SUM(DK12:DN12)</f>
        <v/>
      </c>
      <c r="DZ12" s="116">
        <f>IFERROR(LOOKUP(2,1/('DRAFT 2'!$D:$D=$B12)*('DRAFT 2'!$A:$A&gt;=DATE(2026,4,1))*('DRAFT 2'!$A:$A&lt;DATE(2026,IF(4=12,4+1,4+1),1)),'DRAFT 2'!$A:$A),"")</f>
        <v/>
      </c>
      <c r="EA12" s="116">
        <f>COUNTIFS('DRAFT 2'!$D:$D,$B12,'DRAFT 2'!$A:$A,"&gt;="&amp;DATE(2026,4,1),'DRAFT 2'!$A:$A,"&lt;="&amp;DATE(2026,4,7))</f>
        <v/>
      </c>
      <c r="EB12" s="116">
        <f>COUNTIFS('DRAFT 2'!$D:$D,$B12,'DRAFT 2'!$A:$A,"&gt;="&amp;DATE(2026,4,8),'DRAFT 2'!$A:$A,"&lt;="&amp;DATE(2026,4,14))</f>
        <v/>
      </c>
      <c r="EC12" s="116">
        <f>COUNTIFS('DRAFT 2'!$D:$D,$B12,'DRAFT 2'!$A:$A,"&gt;="&amp;DATE(2026,4,15),'DRAFT 2'!$A:$A,"&lt;="&amp;DATE(2026,4,21))</f>
        <v/>
      </c>
      <c r="ED12" s="116">
        <f>COUNTIFS('DRAFT 2'!$D:$D,$B12,'DRAFT 2'!$A:$A,"&gt;="&amp;DATE(2026,4,22),'DRAFT 2'!$A:$A,"&lt;"&amp;DATE(2026,IF(4=12,4+1,4+1),1))</f>
        <v/>
      </c>
      <c r="EE12" s="116">
        <f>SUM(EA12:ED12)</f>
        <v/>
      </c>
      <c r="EO12" s="116">
        <f>IFERROR(LOOKUP(2,1/('DRAFT 2'!$D:$D=$B12)*('DRAFT 2'!$A:$A&gt;=DATE(2026,5,1))*('DRAFT 2'!$A:$A&lt;DATE(2026,IF(5=12,5+1,5+1),1)),'DRAFT 2'!$A:$A),"")</f>
        <v/>
      </c>
      <c r="EP12" s="116">
        <f>COUNTIFS('DRAFT 2'!$D:$D,$B12,'DRAFT 2'!$A:$A,"&gt;="&amp;DATE(2026,5,1),'DRAFT 2'!$A:$A,"&lt;="&amp;DATE(2026,5,7))</f>
        <v/>
      </c>
      <c r="EQ12" s="116">
        <f>COUNTIFS('DRAFT 2'!$D:$D,$B12,'DRAFT 2'!$A:$A,"&gt;="&amp;DATE(2026,5,8),'DRAFT 2'!$A:$A,"&lt;="&amp;DATE(2026,5,14))</f>
        <v/>
      </c>
      <c r="ER12" s="116">
        <f>COUNTIFS('DRAFT 2'!$D:$D,$B12,'DRAFT 2'!$A:$A,"&gt;="&amp;DATE(2026,5,15),'DRAFT 2'!$A:$A,"&lt;="&amp;DATE(2026,5,21))</f>
        <v/>
      </c>
      <c r="ES12" s="116">
        <f>COUNTIFS('DRAFT 2'!$D:$D,$B12,'DRAFT 2'!$A:$A,"&gt;="&amp;DATE(2026,5,22),'DRAFT 2'!$A:$A,"&lt;"&amp;DATE(2026,IF(5=12,5+1,5+1),1))</f>
        <v/>
      </c>
      <c r="ET12" s="116">
        <f>SUM(EP12:ES12)</f>
        <v/>
      </c>
      <c r="FD12" s="116">
        <f>IFERROR(LOOKUP(2,1/('DRAFT 2'!$D:$D=$B12)*('DRAFT 2'!$A:$A&gt;=DATE(2026,6,1))*('DRAFT 2'!$A:$A&lt;DATE(2026,IF(6=12,6+1,6+1),1)),'DRAFT 2'!$A:$A),"")</f>
        <v/>
      </c>
      <c r="FE12" s="116">
        <f>COUNTIFS('DRAFT 2'!$D:$D,$B12,'DRAFT 2'!$A:$A,"&gt;="&amp;DATE(2026,6,1),'DRAFT 2'!$A:$A,"&lt;="&amp;DATE(2026,6,7))</f>
        <v/>
      </c>
      <c r="FF12" s="116">
        <f>COUNTIFS('DRAFT 2'!$D:$D,$B12,'DRAFT 2'!$A:$A,"&gt;="&amp;DATE(2026,6,8),'DRAFT 2'!$A:$A,"&lt;="&amp;DATE(2026,6,14))</f>
        <v/>
      </c>
      <c r="FG12" s="116">
        <f>COUNTIFS('DRAFT 2'!$D:$D,$B12,'DRAFT 2'!$A:$A,"&gt;="&amp;DATE(2026,6,15),'DRAFT 2'!$A:$A,"&lt;="&amp;DATE(2026,6,21))</f>
        <v/>
      </c>
      <c r="FH12" s="116">
        <f>COUNTIFS('DRAFT 2'!$D:$D,$B12,'DRAFT 2'!$A:$A,"&gt;="&amp;DATE(2026,6,22),'DRAFT 2'!$A:$A,"&lt;"&amp;DATE(2026,IF(6=12,6+1,6+1),1))</f>
        <v/>
      </c>
      <c r="FI12" s="116">
        <f>SUM(FE12:FH12)</f>
        <v/>
      </c>
      <c r="FT12" s="116">
        <f>IFERROR(LOOKUP(2,1/('DRAFT 2'!$D:$D=$B12)*('DRAFT 2'!$A:$A&gt;=DATE(2026,7,1))*('DRAFT 2'!$A:$A&lt;DATE(2026,IF(7=12,7+1,7+1),1)),'DRAFT 2'!$A:$A),"")</f>
        <v/>
      </c>
      <c r="FU12" s="116">
        <f>COUNTIFS('DRAFT 2'!$D:$D,$B12,'DRAFT 2'!$A:$A,"&gt;="&amp;DATE(2026,7,1),'DRAFT 2'!$A:$A,"&lt;="&amp;DATE(2026,7,7))</f>
        <v/>
      </c>
      <c r="FV12" s="116">
        <f>COUNTIFS('DRAFT 2'!$D:$D,$B12,'DRAFT 2'!$A:$A,"&gt;="&amp;DATE(2026,7,8),'DRAFT 2'!$A:$A,"&lt;="&amp;DATE(2026,7,14))</f>
        <v/>
      </c>
      <c r="FW12" s="116">
        <f>COUNTIFS('DRAFT 2'!$D:$D,$B12,'DRAFT 2'!$A:$A,"&gt;="&amp;DATE(2026,7,15),'DRAFT 2'!$A:$A,"&lt;="&amp;DATE(2026,7,21))</f>
        <v/>
      </c>
      <c r="FX12" s="116">
        <f>COUNTIFS('DRAFT 2'!$D:$D,$B12,'DRAFT 2'!$A:$A,"&gt;="&amp;DATE(2026,7,22),'DRAFT 2'!$A:$A,"&lt;"&amp;DATE(2026,IF(7=12,7+1,7+1),1))</f>
        <v/>
      </c>
      <c r="FY12" s="116">
        <f>SUM(FU12:FX12)</f>
        <v/>
      </c>
      <c r="GI12" s="116">
        <f>IFERROR(LOOKUP(2,1/('DRAFT 2'!$D:$D=$B12)*('DRAFT 2'!$A:$A&gt;=DATE(2026,8,1))*('DRAFT 2'!$A:$A&lt;DATE(2026,IF(8=12,8+1,8+1),1)),'DRAFT 2'!$A:$A),"")</f>
        <v/>
      </c>
      <c r="GJ12" s="116">
        <f>COUNTIFS('DRAFT 2'!$D:$D,$B12,'DRAFT 2'!$A:$A,"&gt;="&amp;DATE(2026,8,1),'DRAFT 2'!$A:$A,"&lt;="&amp;DATE(2026,8,7))</f>
        <v/>
      </c>
      <c r="GK12" s="116">
        <f>COUNTIFS('DRAFT 2'!$D:$D,$B12,'DRAFT 2'!$A:$A,"&gt;="&amp;DATE(2026,8,8),'DRAFT 2'!$A:$A,"&lt;="&amp;DATE(2026,8,14))</f>
        <v/>
      </c>
      <c r="GL12" s="116">
        <f>COUNTIFS('DRAFT 2'!$D:$D,$B12,'DRAFT 2'!$A:$A,"&gt;="&amp;DATE(2026,8,15),'DRAFT 2'!$A:$A,"&lt;="&amp;DATE(2026,8,21))</f>
        <v/>
      </c>
      <c r="GM12" s="116">
        <f>COUNTIFS('DRAFT 2'!$D:$D,$B12,'DRAFT 2'!$A:$A,"&gt;="&amp;DATE(2026,8,22),'DRAFT 2'!$A:$A,"&lt;"&amp;DATE(2026,IF(8=12,8+1,8+1),1))</f>
        <v/>
      </c>
      <c r="GN12" s="116">
        <f>SUM(GJ12:GM12)</f>
        <v/>
      </c>
      <c r="GX12" s="116">
        <f>IFERROR(LOOKUP(2,1/('DRAFT 2'!$D:$D=$B12)*('DRAFT 2'!$A:$A&gt;=DATE(2026,9,1))*('DRAFT 2'!$A:$A&lt;DATE(2026,IF(9=12,9+1,9+1),1)),'DRAFT 2'!$A:$A),"")</f>
        <v/>
      </c>
      <c r="GY12" s="116">
        <f>COUNTIFS('DRAFT 2'!$D:$D,$B12,'DRAFT 2'!$A:$A,"&gt;="&amp;DATE(2026,9,1),'DRAFT 2'!$A:$A,"&lt;="&amp;DATE(2026,9,7))</f>
        <v/>
      </c>
      <c r="GZ12" s="116">
        <f>COUNTIFS('DRAFT 2'!$D:$D,$B12,'DRAFT 2'!$A:$A,"&gt;="&amp;DATE(2026,9,8),'DRAFT 2'!$A:$A,"&lt;="&amp;DATE(2026,9,14))</f>
        <v/>
      </c>
      <c r="HA12" s="116">
        <f>COUNTIFS('DRAFT 2'!$D:$D,$B12,'DRAFT 2'!$A:$A,"&gt;="&amp;DATE(2026,9,15),'DRAFT 2'!$A:$A,"&lt;="&amp;DATE(2026,9,21))</f>
        <v/>
      </c>
      <c r="HB12" s="116">
        <f>COUNTIFS('DRAFT 2'!$D:$D,$B12,'DRAFT 2'!$A:$A,"&gt;="&amp;DATE(2026,9,22),'DRAFT 2'!$A:$A,"&lt;"&amp;DATE(2026,IF(9=12,9+1,9+1),1))</f>
        <v/>
      </c>
      <c r="HC12" s="116">
        <f>SUM(GY12:HB12)</f>
        <v/>
      </c>
      <c r="HN12" s="116">
        <f>IFERROR(LOOKUP(2,1/('DRAFT 2'!$D:$D=$B12)*('DRAFT 2'!$A:$A&gt;=DATE(2026,10,1))*('DRAFT 2'!$A:$A&lt;DATE(2026,IF(10=12,10+1,10+1),1)),'DRAFT 2'!$A:$A),"")</f>
        <v/>
      </c>
      <c r="HO12" s="116">
        <f>COUNTIFS('DRAFT 2'!$D:$D,$B12,'DRAFT 2'!$A:$A,"&gt;="&amp;DATE(2026,10,1),'DRAFT 2'!$A:$A,"&lt;="&amp;DATE(2026,10,7))</f>
        <v/>
      </c>
      <c r="HP12" s="116">
        <f>COUNTIFS('DRAFT 2'!$D:$D,$B12,'DRAFT 2'!$A:$A,"&gt;="&amp;DATE(2026,10,8),'DRAFT 2'!$A:$A,"&lt;="&amp;DATE(2026,10,14))</f>
        <v/>
      </c>
      <c r="HQ12" s="116">
        <f>COUNTIFS('DRAFT 2'!$D:$D,$B12,'DRAFT 2'!$A:$A,"&gt;="&amp;DATE(2026,10,15),'DRAFT 2'!$A:$A,"&lt;="&amp;DATE(2026,10,21))</f>
        <v/>
      </c>
      <c r="HR12" s="116">
        <f>COUNTIFS('DRAFT 2'!$D:$D,$B12,'DRAFT 2'!$A:$A,"&gt;="&amp;DATE(2026,10,22),'DRAFT 2'!$A:$A,"&lt;"&amp;DATE(2026,IF(10=12,10+1,10+1),1))</f>
        <v/>
      </c>
      <c r="HS12" s="116">
        <f>SUM(HO12:HR12)</f>
        <v/>
      </c>
      <c r="IC12" s="116">
        <f>IFERROR(LOOKUP(2,1/('DRAFT 2'!$D:$D=$B12)*('DRAFT 2'!$A:$A&gt;=DATE(2026,11,1))*('DRAFT 2'!$A:$A&lt;DATE(2026,IF(11=12,11+1,11+1),1)),'DRAFT 2'!$A:$A),"")</f>
        <v/>
      </c>
      <c r="ID12" s="116">
        <f>COUNTIFS('DRAFT 2'!$D:$D,$B12,'DRAFT 2'!$A:$A,"&gt;="&amp;DATE(2026,11,1),'DRAFT 2'!$A:$A,"&lt;="&amp;DATE(2026,11,7))</f>
        <v/>
      </c>
      <c r="IE12" s="116">
        <f>COUNTIFS('DRAFT 2'!$D:$D,$B12,'DRAFT 2'!$A:$A,"&gt;="&amp;DATE(2026,11,8),'DRAFT 2'!$A:$A,"&lt;="&amp;DATE(2026,11,14))</f>
        <v/>
      </c>
      <c r="IF12" s="116">
        <f>COUNTIFS('DRAFT 2'!$D:$D,$B12,'DRAFT 2'!$A:$A,"&gt;="&amp;DATE(2026,11,15),'DRAFT 2'!$A:$A,"&lt;="&amp;DATE(2026,11,21))</f>
        <v/>
      </c>
      <c r="IG12" s="116">
        <f>COUNTIFS('DRAFT 2'!$D:$D,$B12,'DRAFT 2'!$A:$A,"&gt;="&amp;DATE(2026,11,22),'DRAFT 2'!$A:$A,"&lt;"&amp;DATE(2026,IF(11=12,11+1,11+1),1))</f>
        <v/>
      </c>
      <c r="IH12" s="116">
        <f>SUM(ID12:IG12)</f>
        <v/>
      </c>
      <c r="IR12" s="116">
        <f>IFERROR(LOOKUP(2,1/('DRAFT 2'!$D:$D=$B12)*('DRAFT 2'!$A:$A&gt;=DATE(2026,12,1))*('DRAFT 2'!$A:$A&lt;DATE(2026,IF(12=12,12+1,12+1),1)),'DRAFT 2'!$A:$A),"")</f>
        <v/>
      </c>
      <c r="IS12" s="116">
        <f>COUNTIFS('DRAFT 2'!$D:$D,$B12,'DRAFT 2'!$A:$A,"&gt;="&amp;DATE(2026,12,1),'DRAFT 2'!$A:$A,"&lt;="&amp;DATE(2026,12,7))</f>
        <v/>
      </c>
      <c r="IT12" s="116">
        <f>COUNTIFS('DRAFT 2'!$D:$D,$B12,'DRAFT 2'!$A:$A,"&gt;="&amp;DATE(2026,12,8),'DRAFT 2'!$A:$A,"&lt;="&amp;DATE(2026,12,14))</f>
        <v/>
      </c>
      <c r="IU12" s="116">
        <f>COUNTIFS('DRAFT 2'!$D:$D,$B12,'DRAFT 2'!$A:$A,"&gt;="&amp;DATE(2026,12,15),'DRAFT 2'!$A:$A,"&lt;="&amp;DATE(2026,12,21))</f>
        <v/>
      </c>
      <c r="IV12" s="116">
        <f>COUNTIFS('DRAFT 2'!$D:$D,$B12,'DRAFT 2'!$A:$A,"&gt;="&amp;DATE(2026,12,22),'DRAFT 2'!$A:$A,"&lt;"&amp;DATE(2026,IF(12=12,12+1,12+1),1))</f>
        <v/>
      </c>
      <c r="IW12" s="116">
        <f>SUM(IS12:IV12)</f>
        <v/>
      </c>
    </row>
    <row r="13">
      <c r="A13" s="116">
        <f>IFERROR(INDEX('DRAFT 1'!$A:$A,MATCH($B13,'DRAFT 1'!$B:$B,0)),"")</f>
        <v/>
      </c>
      <c r="C13" s="116">
        <f>IFERROR(INDEX('DRAFT 1'!$C:$C,MATCH($B13,'DRAFT 1'!$B:$B,0)),"")</f>
        <v/>
      </c>
      <c r="D13" s="116">
        <f>IFERROR(INDEX('DRAFT 1'!$D:$D,MATCH($B13,'DRAFT 1'!$B:$B,0)),"")</f>
        <v/>
      </c>
      <c r="E13" s="116">
        <f>IFERROR(INDEX('DRAFT 1'!$E:$E,MATCH($B13,'DRAFT 1'!$B:$B,0)),"")</f>
        <v/>
      </c>
      <c r="F13" s="116">
        <f>IFERROR(INDEX('DRAFT 1'!$F:$F,MATCH($B13,'DRAFT 1'!$B:$B,0)),"")</f>
        <v/>
      </c>
      <c r="G13" s="116">
        <f>IFERROR(INDEX('DRAFT 1'!$G:$G,MATCH($B13,'DRAFT 1'!$B:$B,0)),"")</f>
        <v/>
      </c>
      <c r="H13" s="116">
        <f>IFERROR(INDEX('DRAFT 1'!$H:$H,MATCH($B13,'DRAFT 1'!$B:$B,0)),"")</f>
        <v/>
      </c>
      <c r="I13" s="116" t="inlineStr">
        <is>
          <t>DEMAIS CLIENTES</t>
        </is>
      </c>
      <c r="K13" s="116">
        <f>IFERROR(INDEX('DRAFT 1'!$AL:$AL,MATCH($B13,'DRAFT 1'!$B:$B,0)),"")</f>
        <v/>
      </c>
      <c r="L13" s="116">
        <f>IFERROR(INDEX('DRAFT 1'!$J:$J,MATCH($B13,'DRAFT 1'!$B:$B,0)),"")</f>
        <v/>
      </c>
      <c r="M13" s="116">
        <f>IFERROR(INDEX('DRAFT 1'!$K:$K,MATCH($B13,'DRAFT 1'!$B:$B,0)),"")</f>
        <v/>
      </c>
      <c r="N13" s="116" t="inlineStr">
        <is>
          <t>ATIVO</t>
        </is>
      </c>
      <c r="P13" s="116">
        <f>IFERROR(INDEX('DRAFT 1'!$L:$L,MATCH($B13,'DRAFT 1'!$B:$B,0)),"")</f>
        <v/>
      </c>
      <c r="Q13" s="116">
        <f>IFERROR(INDEX('DRAFT 1'!$M:$M,MATCH($B13,'DRAFT 1'!$B:$B,0)),"")</f>
        <v/>
      </c>
      <c r="R13" s="116">
        <f>IFERROR(INDEX('DRAFT 1'!$N:$N,MATCH($B13,'DRAFT 1'!$B:$B,0)),"")</f>
        <v/>
      </c>
      <c r="S13" s="116">
        <f>IFERROR(INDEX('DRAFT 1'!$O:$O,MATCH($B13,'DRAFT 1'!$B:$B,0)),"")</f>
        <v/>
      </c>
      <c r="T13" s="116">
        <f>IFERROR(INDEX('DRAFT 1'!$P:$P,MATCH($B13,'DRAFT 1'!$B:$B,0)),"")</f>
        <v/>
      </c>
      <c r="U13" s="116">
        <f>IFERROR(INDEX('DRAFT 1'!$Q:$Q,MATCH($B13,'DRAFT 1'!$B:$B,0)),"")</f>
        <v/>
      </c>
      <c r="V13" s="116">
        <f>IFERROR(INDEX('DRAFT 1'!$R:$R,MATCH($B13,'DRAFT 1'!$B:$B,0)),"")</f>
        <v/>
      </c>
      <c r="W13" s="116">
        <f>IFERROR(INDEX('DRAFT 1'!$S:$S,MATCH($B13,'DRAFT 1'!$B:$B,0)),"")</f>
        <v/>
      </c>
      <c r="X13" s="116">
        <f>IFERROR(INDEX('DRAFT 1'!$T:$T,MATCH($B13,'DRAFT 1'!$B:$B,0)),"")</f>
        <v/>
      </c>
      <c r="Z13" s="116">
        <f>IFERROR(INDEX('DRAFT 1'!$U:$U,MATCH($B13,'DRAFT 1'!$B:$B,0)),"")</f>
        <v/>
      </c>
      <c r="AA13" s="116">
        <f>IFERROR(INDEX('DRAFT 1'!$V:$V,MATCH($B13,'DRAFT 1'!$B:$B,0)),"")</f>
        <v/>
      </c>
      <c r="AB13" s="116">
        <f>IFERROR(INDEX('DRAFT 1'!$W:$W,MATCH($B13,'DRAFT 1'!$B:$B,0)),"")</f>
        <v/>
      </c>
      <c r="AC13" s="116">
        <f>IFERROR(INDEX('DRAFT 1'!$X:$X,MATCH($B13,'DRAFT 1'!$B:$B,0)),"")</f>
        <v/>
      </c>
      <c r="AD13" s="116">
        <f>IFERROR(INDEX('DRAFT 1'!$Y:$Y,MATCH($B13,'DRAFT 1'!$B:$B,0)),"")</f>
        <v/>
      </c>
      <c r="AE13" s="116">
        <f>IFERROR(INDEX('DRAFT 1'!$Z:$Z,MATCH($B13,'DRAFT 1'!$B:$B,0)),"")</f>
        <v/>
      </c>
      <c r="AF13" s="116">
        <f>IFERROR(INDEX('DRAFT 1'!$AA:$AA,MATCH($B13,'DRAFT 1'!$B:$B,0)),"")</f>
        <v/>
      </c>
      <c r="AG13" s="116">
        <f>IFERROR(INDEX('DRAFT 1'!$AB:$AB,MATCH($B13,'DRAFT 1'!$B:$B,0)),"")</f>
        <v/>
      </c>
      <c r="AH13" s="116">
        <f>IFERROR(INDEX('DRAFT 1'!$AC:$AC,MATCH($B13,'DRAFT 1'!$B:$B,0)),"")</f>
        <v/>
      </c>
      <c r="AI13" s="116">
        <f>IFERROR(INDEX('DRAFT 1'!$AD:$AD,MATCH($B13,'DRAFT 1'!$B:$B,0)),"")</f>
        <v/>
      </c>
      <c r="AJ13" s="116">
        <f>IFERROR(INDEX('DRAFT 1'!$AE:$AE,MATCH($B13,'DRAFT 1'!$B:$B,0)),"")</f>
        <v/>
      </c>
      <c r="AK13" s="116">
        <f>IFERROR(INDEX('DRAFT 1'!$AG:$AG,MATCH($B13,'DRAFT 1'!$B:$B,0)),"")</f>
        <v/>
      </c>
      <c r="AL13" s="116">
        <f>IFERROR(INDEX('DRAFT 1'!$AH:$AH,MATCH($B13,'DRAFT 1'!$B:$B,0)),"")</f>
        <v/>
      </c>
      <c r="AM13" s="116">
        <f>IFERROR(INDEX('DRAFT 1'!$AI:$AI,MATCH($B13,'DRAFT 1'!$B:$B,0)),"")</f>
        <v/>
      </c>
      <c r="AN13" s="116">
        <f>IFERROR(INDEX('DRAFT 1'!$AJ:$AJ,MATCH($B13,'DRAFT 1'!$B:$B,0)),"")</f>
        <v/>
      </c>
      <c r="AO13" s="116">
        <f>IFERROR(Y13/AN13,0)</f>
        <v/>
      </c>
      <c r="AP13" s="116">
        <f>IFERROR(INDEX('DRAFT 1'!$AK:$AK,MATCH($B13,'DRAFT 1'!$B:$B,0)),"")</f>
        <v/>
      </c>
      <c r="AR13" s="116" t="inlineStr">
        <is>
          <t>RECOMPRA</t>
        </is>
      </c>
      <c r="AS13" s="116">
        <f>IFERROR(LOOKUP(2,1/('DRAFT 2'!$D:$D=$B13),'DRAFT 2'!$T:$T),"")</f>
        <v/>
      </c>
      <c r="AT13" s="116">
        <f>IFERROR(LOOKUP(2,1/('DRAFT 2'!$D:$D=$B13),'DRAFT 2'!$A:$A),"")</f>
        <v/>
      </c>
      <c r="AU13" s="116">
        <f>IFERROR(LOOKUP(2,1/('DRAFT 2'!$D:$D=$B13),'DRAFT 2'!$R:$R),"")</f>
        <v/>
      </c>
      <c r="AV13" s="116">
        <f>IFERROR(LOOKUP(2,1/('DRAFT 2'!$D:$D=$B13),'DRAFT 2'!$S:$S),"")</f>
        <v/>
      </c>
      <c r="AW13" s="116" t="inlineStr">
        <is>
          <t>EM DESENVOLVIMENTO</t>
        </is>
      </c>
      <c r="AX13" s="116">
        <f>IFERROR(LOOKUP(2,1/('DRAFT 2'!$D:$D=$B13),'DRAFT 2'!$M:$M),"")</f>
        <v/>
      </c>
      <c r="AY13" s="116">
        <f>IFERROR(LOOKUP(2,1/('DRAFT 2'!$D:$D=$B13),'DRAFT 2'!$K:$K),"")</f>
        <v/>
      </c>
      <c r="BG13" s="116">
        <f>IFERROR(LOOKUP(2,1/('DRAFT 2'!$D:$D=$B13),'DRAFT 2'!$U:$U),"")</f>
        <v/>
      </c>
      <c r="BH13" s="116">
        <f>IFERROR(LOOKUP(2,1/('DRAFT 2'!$D:$D=$B13),'DRAFT 2'!$V:$V),"")</f>
        <v/>
      </c>
      <c r="CE13" s="116">
        <f>IFERROR(AJ13,0)</f>
        <v/>
      </c>
      <c r="CF13" s="116">
        <f>IFERROR(LOOKUP(2,1/('DRAFT 2'!$D:$D=$B13)*('DRAFT 2'!$A:$A&gt;=DATE(2026,1,1))*('DRAFT 2'!$A:$A&lt;DATE(2026,IF(1=12,1+1,1+1),1)),'DRAFT 2'!$A:$A),"")</f>
        <v/>
      </c>
      <c r="CG13" s="116">
        <f>COUNTIFS('DRAFT 2'!$D:$D,$B13,'DRAFT 2'!$A:$A,"&gt;="&amp;DATE(2026,1,1),'DRAFT 2'!$A:$A,"&lt;="&amp;DATE(2026,1,7))</f>
        <v/>
      </c>
      <c r="CH13" s="116">
        <f>COUNTIFS('DRAFT 2'!$D:$D,$B13,'DRAFT 2'!$A:$A,"&gt;="&amp;DATE(2026,1,8),'DRAFT 2'!$A:$A,"&lt;="&amp;DATE(2026,1,14))</f>
        <v/>
      </c>
      <c r="CI13" s="116">
        <f>COUNTIFS('DRAFT 2'!$D:$D,$B13,'DRAFT 2'!$A:$A,"&gt;="&amp;DATE(2026,1,15),'DRAFT 2'!$A:$A,"&lt;="&amp;DATE(2026,1,21))</f>
        <v/>
      </c>
      <c r="CJ13" s="116">
        <f>COUNTIFS('DRAFT 2'!$D:$D,$B13,'DRAFT 2'!$A:$A,"&gt;="&amp;DATE(2026,1,22),'DRAFT 2'!$A:$A,"&lt;"&amp;DATE(2026,IF(1=12,1+1,1+1),1))</f>
        <v/>
      </c>
      <c r="CK13" s="116">
        <f>SUM(CG13:CJ13)</f>
        <v/>
      </c>
      <c r="CT13" s="116" t="n">
        <v>0</v>
      </c>
      <c r="CU13" s="116">
        <f>IFERROR(LOOKUP(2,1/('DRAFT 2'!$D:$D=$B13)*('DRAFT 2'!$A:$A&gt;=DATE(2026,2,1))*('DRAFT 2'!$A:$A&lt;DATE(2026,IF(2=12,2+1,2+1),1)),'DRAFT 2'!$A:$A),"")</f>
        <v/>
      </c>
      <c r="CV13" s="116">
        <f>COUNTIFS('DRAFT 2'!$D:$D,$B13,'DRAFT 2'!$A:$A,"&gt;="&amp;DATE(2026,2,1),'DRAFT 2'!$A:$A,"&lt;="&amp;DATE(2026,2,7))</f>
        <v/>
      </c>
      <c r="CW13" s="116">
        <f>COUNTIFS('DRAFT 2'!$D:$D,$B13,'DRAFT 2'!$A:$A,"&gt;="&amp;DATE(2026,2,8),'DRAFT 2'!$A:$A,"&lt;="&amp;DATE(2026,2,14))</f>
        <v/>
      </c>
      <c r="CX13" s="116">
        <f>COUNTIFS('DRAFT 2'!$D:$D,$B13,'DRAFT 2'!$A:$A,"&gt;="&amp;DATE(2026,2,15),'DRAFT 2'!$A:$A,"&lt;="&amp;DATE(2026,2,21))</f>
        <v/>
      </c>
      <c r="CY13" s="116">
        <f>COUNTIFS('DRAFT 2'!$D:$D,$B13,'DRAFT 2'!$A:$A,"&gt;="&amp;DATE(2026,2,22),'DRAFT 2'!$A:$A,"&lt;"&amp;DATE(2026,IF(2=12,2+1,2+1),1))</f>
        <v/>
      </c>
      <c r="CZ13" s="116">
        <f>SUM(CV13:CY13)</f>
        <v/>
      </c>
      <c r="DJ13" s="116">
        <f>IFERROR(LOOKUP(2,1/('DRAFT 2'!$D:$D=$B13)*('DRAFT 2'!$A:$A&gt;=DATE(2026,3,1))*('DRAFT 2'!$A:$A&lt;DATE(2026,IF(3=12,3+1,3+1),1)),'DRAFT 2'!$A:$A),"")</f>
        <v/>
      </c>
      <c r="DK13" s="116">
        <f>COUNTIFS('DRAFT 2'!$D:$D,$B13,'DRAFT 2'!$A:$A,"&gt;="&amp;DATE(2026,3,1),'DRAFT 2'!$A:$A,"&lt;="&amp;DATE(2026,3,7))</f>
        <v/>
      </c>
      <c r="DL13" s="116">
        <f>COUNTIFS('DRAFT 2'!$D:$D,$B13,'DRAFT 2'!$A:$A,"&gt;="&amp;DATE(2026,3,8),'DRAFT 2'!$A:$A,"&lt;="&amp;DATE(2026,3,14))</f>
        <v/>
      </c>
      <c r="DM13" s="116">
        <f>COUNTIFS('DRAFT 2'!$D:$D,$B13,'DRAFT 2'!$A:$A,"&gt;="&amp;DATE(2026,3,15),'DRAFT 2'!$A:$A,"&lt;="&amp;DATE(2026,3,21))</f>
        <v/>
      </c>
      <c r="DN13" s="116">
        <f>COUNTIFS('DRAFT 2'!$D:$D,$B13,'DRAFT 2'!$A:$A,"&gt;="&amp;DATE(2026,3,22),'DRAFT 2'!$A:$A,"&lt;"&amp;DATE(2026,IF(3=12,3+1,3+1),1))</f>
        <v/>
      </c>
      <c r="DO13" s="116">
        <f>SUM(DK13:DN13)</f>
        <v/>
      </c>
      <c r="DZ13" s="116">
        <f>IFERROR(LOOKUP(2,1/('DRAFT 2'!$D:$D=$B13)*('DRAFT 2'!$A:$A&gt;=DATE(2026,4,1))*('DRAFT 2'!$A:$A&lt;DATE(2026,IF(4=12,4+1,4+1),1)),'DRAFT 2'!$A:$A),"")</f>
        <v/>
      </c>
      <c r="EA13" s="116">
        <f>COUNTIFS('DRAFT 2'!$D:$D,$B13,'DRAFT 2'!$A:$A,"&gt;="&amp;DATE(2026,4,1),'DRAFT 2'!$A:$A,"&lt;="&amp;DATE(2026,4,7))</f>
        <v/>
      </c>
      <c r="EB13" s="116">
        <f>COUNTIFS('DRAFT 2'!$D:$D,$B13,'DRAFT 2'!$A:$A,"&gt;="&amp;DATE(2026,4,8),'DRAFT 2'!$A:$A,"&lt;="&amp;DATE(2026,4,14))</f>
        <v/>
      </c>
      <c r="EC13" s="116">
        <f>COUNTIFS('DRAFT 2'!$D:$D,$B13,'DRAFT 2'!$A:$A,"&gt;="&amp;DATE(2026,4,15),'DRAFT 2'!$A:$A,"&lt;="&amp;DATE(2026,4,21))</f>
        <v/>
      </c>
      <c r="ED13" s="116">
        <f>COUNTIFS('DRAFT 2'!$D:$D,$B13,'DRAFT 2'!$A:$A,"&gt;="&amp;DATE(2026,4,22),'DRAFT 2'!$A:$A,"&lt;"&amp;DATE(2026,IF(4=12,4+1,4+1),1))</f>
        <v/>
      </c>
      <c r="EE13" s="116">
        <f>SUM(EA13:ED13)</f>
        <v/>
      </c>
      <c r="EO13" s="116">
        <f>IFERROR(LOOKUP(2,1/('DRAFT 2'!$D:$D=$B13)*('DRAFT 2'!$A:$A&gt;=DATE(2026,5,1))*('DRAFT 2'!$A:$A&lt;DATE(2026,IF(5=12,5+1,5+1),1)),'DRAFT 2'!$A:$A),"")</f>
        <v/>
      </c>
      <c r="EP13" s="116">
        <f>COUNTIFS('DRAFT 2'!$D:$D,$B13,'DRAFT 2'!$A:$A,"&gt;="&amp;DATE(2026,5,1),'DRAFT 2'!$A:$A,"&lt;="&amp;DATE(2026,5,7))</f>
        <v/>
      </c>
      <c r="EQ13" s="116">
        <f>COUNTIFS('DRAFT 2'!$D:$D,$B13,'DRAFT 2'!$A:$A,"&gt;="&amp;DATE(2026,5,8),'DRAFT 2'!$A:$A,"&lt;="&amp;DATE(2026,5,14))</f>
        <v/>
      </c>
      <c r="ER13" s="116">
        <f>COUNTIFS('DRAFT 2'!$D:$D,$B13,'DRAFT 2'!$A:$A,"&gt;="&amp;DATE(2026,5,15),'DRAFT 2'!$A:$A,"&lt;="&amp;DATE(2026,5,21))</f>
        <v/>
      </c>
      <c r="ES13" s="116">
        <f>COUNTIFS('DRAFT 2'!$D:$D,$B13,'DRAFT 2'!$A:$A,"&gt;="&amp;DATE(2026,5,22),'DRAFT 2'!$A:$A,"&lt;"&amp;DATE(2026,IF(5=12,5+1,5+1),1))</f>
        <v/>
      </c>
      <c r="ET13" s="116">
        <f>SUM(EP13:ES13)</f>
        <v/>
      </c>
      <c r="FD13" s="116">
        <f>IFERROR(LOOKUP(2,1/('DRAFT 2'!$D:$D=$B13)*('DRAFT 2'!$A:$A&gt;=DATE(2026,6,1))*('DRAFT 2'!$A:$A&lt;DATE(2026,IF(6=12,6+1,6+1),1)),'DRAFT 2'!$A:$A),"")</f>
        <v/>
      </c>
      <c r="FE13" s="116">
        <f>COUNTIFS('DRAFT 2'!$D:$D,$B13,'DRAFT 2'!$A:$A,"&gt;="&amp;DATE(2026,6,1),'DRAFT 2'!$A:$A,"&lt;="&amp;DATE(2026,6,7))</f>
        <v/>
      </c>
      <c r="FF13" s="116">
        <f>COUNTIFS('DRAFT 2'!$D:$D,$B13,'DRAFT 2'!$A:$A,"&gt;="&amp;DATE(2026,6,8),'DRAFT 2'!$A:$A,"&lt;="&amp;DATE(2026,6,14))</f>
        <v/>
      </c>
      <c r="FG13" s="116">
        <f>COUNTIFS('DRAFT 2'!$D:$D,$B13,'DRAFT 2'!$A:$A,"&gt;="&amp;DATE(2026,6,15),'DRAFT 2'!$A:$A,"&lt;="&amp;DATE(2026,6,21))</f>
        <v/>
      </c>
      <c r="FH13" s="116">
        <f>COUNTIFS('DRAFT 2'!$D:$D,$B13,'DRAFT 2'!$A:$A,"&gt;="&amp;DATE(2026,6,22),'DRAFT 2'!$A:$A,"&lt;"&amp;DATE(2026,IF(6=12,6+1,6+1),1))</f>
        <v/>
      </c>
      <c r="FI13" s="116">
        <f>SUM(FE13:FH13)</f>
        <v/>
      </c>
      <c r="FT13" s="116">
        <f>IFERROR(LOOKUP(2,1/('DRAFT 2'!$D:$D=$B13)*('DRAFT 2'!$A:$A&gt;=DATE(2026,7,1))*('DRAFT 2'!$A:$A&lt;DATE(2026,IF(7=12,7+1,7+1),1)),'DRAFT 2'!$A:$A),"")</f>
        <v/>
      </c>
      <c r="FU13" s="116">
        <f>COUNTIFS('DRAFT 2'!$D:$D,$B13,'DRAFT 2'!$A:$A,"&gt;="&amp;DATE(2026,7,1),'DRAFT 2'!$A:$A,"&lt;="&amp;DATE(2026,7,7))</f>
        <v/>
      </c>
      <c r="FV13" s="116">
        <f>COUNTIFS('DRAFT 2'!$D:$D,$B13,'DRAFT 2'!$A:$A,"&gt;="&amp;DATE(2026,7,8),'DRAFT 2'!$A:$A,"&lt;="&amp;DATE(2026,7,14))</f>
        <v/>
      </c>
      <c r="FW13" s="116">
        <f>COUNTIFS('DRAFT 2'!$D:$D,$B13,'DRAFT 2'!$A:$A,"&gt;="&amp;DATE(2026,7,15),'DRAFT 2'!$A:$A,"&lt;="&amp;DATE(2026,7,21))</f>
        <v/>
      </c>
      <c r="FX13" s="116">
        <f>COUNTIFS('DRAFT 2'!$D:$D,$B13,'DRAFT 2'!$A:$A,"&gt;="&amp;DATE(2026,7,22),'DRAFT 2'!$A:$A,"&lt;"&amp;DATE(2026,IF(7=12,7+1,7+1),1))</f>
        <v/>
      </c>
      <c r="FY13" s="116">
        <f>SUM(FU13:FX13)</f>
        <v/>
      </c>
      <c r="GI13" s="116">
        <f>IFERROR(LOOKUP(2,1/('DRAFT 2'!$D:$D=$B13)*('DRAFT 2'!$A:$A&gt;=DATE(2026,8,1))*('DRAFT 2'!$A:$A&lt;DATE(2026,IF(8=12,8+1,8+1),1)),'DRAFT 2'!$A:$A),"")</f>
        <v/>
      </c>
      <c r="GJ13" s="116">
        <f>COUNTIFS('DRAFT 2'!$D:$D,$B13,'DRAFT 2'!$A:$A,"&gt;="&amp;DATE(2026,8,1),'DRAFT 2'!$A:$A,"&lt;="&amp;DATE(2026,8,7))</f>
        <v/>
      </c>
      <c r="GK13" s="116">
        <f>COUNTIFS('DRAFT 2'!$D:$D,$B13,'DRAFT 2'!$A:$A,"&gt;="&amp;DATE(2026,8,8),'DRAFT 2'!$A:$A,"&lt;="&amp;DATE(2026,8,14))</f>
        <v/>
      </c>
      <c r="GL13" s="116">
        <f>COUNTIFS('DRAFT 2'!$D:$D,$B13,'DRAFT 2'!$A:$A,"&gt;="&amp;DATE(2026,8,15),'DRAFT 2'!$A:$A,"&lt;="&amp;DATE(2026,8,21))</f>
        <v/>
      </c>
      <c r="GM13" s="116">
        <f>COUNTIFS('DRAFT 2'!$D:$D,$B13,'DRAFT 2'!$A:$A,"&gt;="&amp;DATE(2026,8,22),'DRAFT 2'!$A:$A,"&lt;"&amp;DATE(2026,IF(8=12,8+1,8+1),1))</f>
        <v/>
      </c>
      <c r="GN13" s="116">
        <f>SUM(GJ13:GM13)</f>
        <v/>
      </c>
      <c r="GX13" s="116">
        <f>IFERROR(LOOKUP(2,1/('DRAFT 2'!$D:$D=$B13)*('DRAFT 2'!$A:$A&gt;=DATE(2026,9,1))*('DRAFT 2'!$A:$A&lt;DATE(2026,IF(9=12,9+1,9+1),1)),'DRAFT 2'!$A:$A),"")</f>
        <v/>
      </c>
      <c r="GY13" s="116">
        <f>COUNTIFS('DRAFT 2'!$D:$D,$B13,'DRAFT 2'!$A:$A,"&gt;="&amp;DATE(2026,9,1),'DRAFT 2'!$A:$A,"&lt;="&amp;DATE(2026,9,7))</f>
        <v/>
      </c>
      <c r="GZ13" s="116">
        <f>COUNTIFS('DRAFT 2'!$D:$D,$B13,'DRAFT 2'!$A:$A,"&gt;="&amp;DATE(2026,9,8),'DRAFT 2'!$A:$A,"&lt;="&amp;DATE(2026,9,14))</f>
        <v/>
      </c>
      <c r="HA13" s="116">
        <f>COUNTIFS('DRAFT 2'!$D:$D,$B13,'DRAFT 2'!$A:$A,"&gt;="&amp;DATE(2026,9,15),'DRAFT 2'!$A:$A,"&lt;="&amp;DATE(2026,9,21))</f>
        <v/>
      </c>
      <c r="HB13" s="116">
        <f>COUNTIFS('DRAFT 2'!$D:$D,$B13,'DRAFT 2'!$A:$A,"&gt;="&amp;DATE(2026,9,22),'DRAFT 2'!$A:$A,"&lt;"&amp;DATE(2026,IF(9=12,9+1,9+1),1))</f>
        <v/>
      </c>
      <c r="HC13" s="116">
        <f>SUM(GY13:HB13)</f>
        <v/>
      </c>
      <c r="HN13" s="116">
        <f>IFERROR(LOOKUP(2,1/('DRAFT 2'!$D:$D=$B13)*('DRAFT 2'!$A:$A&gt;=DATE(2026,10,1))*('DRAFT 2'!$A:$A&lt;DATE(2026,IF(10=12,10+1,10+1),1)),'DRAFT 2'!$A:$A),"")</f>
        <v/>
      </c>
      <c r="HO13" s="116">
        <f>COUNTIFS('DRAFT 2'!$D:$D,$B13,'DRAFT 2'!$A:$A,"&gt;="&amp;DATE(2026,10,1),'DRAFT 2'!$A:$A,"&lt;="&amp;DATE(2026,10,7))</f>
        <v/>
      </c>
      <c r="HP13" s="116">
        <f>COUNTIFS('DRAFT 2'!$D:$D,$B13,'DRAFT 2'!$A:$A,"&gt;="&amp;DATE(2026,10,8),'DRAFT 2'!$A:$A,"&lt;="&amp;DATE(2026,10,14))</f>
        <v/>
      </c>
      <c r="HQ13" s="116">
        <f>COUNTIFS('DRAFT 2'!$D:$D,$B13,'DRAFT 2'!$A:$A,"&gt;="&amp;DATE(2026,10,15),'DRAFT 2'!$A:$A,"&lt;="&amp;DATE(2026,10,21))</f>
        <v/>
      </c>
      <c r="HR13" s="116">
        <f>COUNTIFS('DRAFT 2'!$D:$D,$B13,'DRAFT 2'!$A:$A,"&gt;="&amp;DATE(2026,10,22),'DRAFT 2'!$A:$A,"&lt;"&amp;DATE(2026,IF(10=12,10+1,10+1),1))</f>
        <v/>
      </c>
      <c r="HS13" s="116">
        <f>SUM(HO13:HR13)</f>
        <v/>
      </c>
      <c r="IC13" s="116">
        <f>IFERROR(LOOKUP(2,1/('DRAFT 2'!$D:$D=$B13)*('DRAFT 2'!$A:$A&gt;=DATE(2026,11,1))*('DRAFT 2'!$A:$A&lt;DATE(2026,IF(11=12,11+1,11+1),1)),'DRAFT 2'!$A:$A),"")</f>
        <v/>
      </c>
      <c r="ID13" s="116">
        <f>COUNTIFS('DRAFT 2'!$D:$D,$B13,'DRAFT 2'!$A:$A,"&gt;="&amp;DATE(2026,11,1),'DRAFT 2'!$A:$A,"&lt;="&amp;DATE(2026,11,7))</f>
        <v/>
      </c>
      <c r="IE13" s="116">
        <f>COUNTIFS('DRAFT 2'!$D:$D,$B13,'DRAFT 2'!$A:$A,"&gt;="&amp;DATE(2026,11,8),'DRAFT 2'!$A:$A,"&lt;="&amp;DATE(2026,11,14))</f>
        <v/>
      </c>
      <c r="IF13" s="116">
        <f>COUNTIFS('DRAFT 2'!$D:$D,$B13,'DRAFT 2'!$A:$A,"&gt;="&amp;DATE(2026,11,15),'DRAFT 2'!$A:$A,"&lt;="&amp;DATE(2026,11,21))</f>
        <v/>
      </c>
      <c r="IG13" s="116">
        <f>COUNTIFS('DRAFT 2'!$D:$D,$B13,'DRAFT 2'!$A:$A,"&gt;="&amp;DATE(2026,11,22),'DRAFT 2'!$A:$A,"&lt;"&amp;DATE(2026,IF(11=12,11+1,11+1),1))</f>
        <v/>
      </c>
      <c r="IH13" s="116">
        <f>SUM(ID13:IG13)</f>
        <v/>
      </c>
      <c r="IR13" s="116">
        <f>IFERROR(LOOKUP(2,1/('DRAFT 2'!$D:$D=$B13)*('DRAFT 2'!$A:$A&gt;=DATE(2026,12,1))*('DRAFT 2'!$A:$A&lt;DATE(2026,IF(12=12,12+1,12+1),1)),'DRAFT 2'!$A:$A),"")</f>
        <v/>
      </c>
      <c r="IS13" s="116">
        <f>COUNTIFS('DRAFT 2'!$D:$D,$B13,'DRAFT 2'!$A:$A,"&gt;="&amp;DATE(2026,12,1),'DRAFT 2'!$A:$A,"&lt;="&amp;DATE(2026,12,7))</f>
        <v/>
      </c>
      <c r="IT13" s="116">
        <f>COUNTIFS('DRAFT 2'!$D:$D,$B13,'DRAFT 2'!$A:$A,"&gt;="&amp;DATE(2026,12,8),'DRAFT 2'!$A:$A,"&lt;="&amp;DATE(2026,12,14))</f>
        <v/>
      </c>
      <c r="IU13" s="116">
        <f>COUNTIFS('DRAFT 2'!$D:$D,$B13,'DRAFT 2'!$A:$A,"&gt;="&amp;DATE(2026,12,15),'DRAFT 2'!$A:$A,"&lt;="&amp;DATE(2026,12,21))</f>
        <v/>
      </c>
      <c r="IV13" s="116">
        <f>COUNTIFS('DRAFT 2'!$D:$D,$B13,'DRAFT 2'!$A:$A,"&gt;="&amp;DATE(2026,12,22),'DRAFT 2'!$A:$A,"&lt;"&amp;DATE(2026,IF(12=12,12+1,12+1),1))</f>
        <v/>
      </c>
      <c r="IW13" s="116">
        <f>SUM(IS13:IV13)</f>
        <v/>
      </c>
    </row>
    <row r="14">
      <c r="A14" s="116">
        <f>IFERROR(INDEX('DRAFT 1'!$A:$A,MATCH($B14,'DRAFT 1'!$B:$B,0)),"")</f>
        <v/>
      </c>
      <c r="C14" s="116">
        <f>IFERROR(INDEX('DRAFT 1'!$C:$C,MATCH($B14,'DRAFT 1'!$B:$B,0)),"")</f>
        <v/>
      </c>
      <c r="D14" s="116">
        <f>IFERROR(INDEX('DRAFT 1'!$D:$D,MATCH($B14,'DRAFT 1'!$B:$B,0)),"")</f>
        <v/>
      </c>
      <c r="E14" s="116">
        <f>IFERROR(INDEX('DRAFT 1'!$E:$E,MATCH($B14,'DRAFT 1'!$B:$B,0)),"")</f>
        <v/>
      </c>
      <c r="F14" s="116">
        <f>IFERROR(INDEX('DRAFT 1'!$F:$F,MATCH($B14,'DRAFT 1'!$B:$B,0)),"")</f>
        <v/>
      </c>
      <c r="G14" s="116">
        <f>IFERROR(INDEX('DRAFT 1'!$G:$G,MATCH($B14,'DRAFT 1'!$B:$B,0)),"")</f>
        <v/>
      </c>
      <c r="H14" s="116">
        <f>IFERROR(INDEX('DRAFT 1'!$H:$H,MATCH($B14,'DRAFT 1'!$B:$B,0)),"")</f>
        <v/>
      </c>
      <c r="I14" s="116" t="inlineStr">
        <is>
          <t>DEMAIS CLIENTES</t>
        </is>
      </c>
      <c r="K14" s="116">
        <f>IFERROR(INDEX('DRAFT 1'!$AL:$AL,MATCH($B14,'DRAFT 1'!$B:$B,0)),"")</f>
        <v/>
      </c>
      <c r="L14" s="116">
        <f>IFERROR(INDEX('DRAFT 1'!$J:$J,MATCH($B14,'DRAFT 1'!$B:$B,0)),"")</f>
        <v/>
      </c>
      <c r="M14" s="116">
        <f>IFERROR(INDEX('DRAFT 1'!$K:$K,MATCH($B14,'DRAFT 1'!$B:$B,0)),"")</f>
        <v/>
      </c>
      <c r="N14" s="116" t="inlineStr">
        <is>
          <t>PROSPECT</t>
        </is>
      </c>
      <c r="P14" s="116">
        <f>IFERROR(INDEX('DRAFT 1'!$L:$L,MATCH($B14,'DRAFT 1'!$B:$B,0)),"")</f>
        <v/>
      </c>
      <c r="Q14" s="116">
        <f>IFERROR(INDEX('DRAFT 1'!$M:$M,MATCH($B14,'DRAFT 1'!$B:$B,0)),"")</f>
        <v/>
      </c>
      <c r="R14" s="116">
        <f>IFERROR(INDEX('DRAFT 1'!$N:$N,MATCH($B14,'DRAFT 1'!$B:$B,0)),"")</f>
        <v/>
      </c>
      <c r="S14" s="116">
        <f>IFERROR(INDEX('DRAFT 1'!$O:$O,MATCH($B14,'DRAFT 1'!$B:$B,0)),"")</f>
        <v/>
      </c>
      <c r="T14" s="116">
        <f>IFERROR(INDEX('DRAFT 1'!$P:$P,MATCH($B14,'DRAFT 1'!$B:$B,0)),"")</f>
        <v/>
      </c>
      <c r="U14" s="116">
        <f>IFERROR(INDEX('DRAFT 1'!$Q:$Q,MATCH($B14,'DRAFT 1'!$B:$B,0)),"")</f>
        <v/>
      </c>
      <c r="V14" s="116">
        <f>IFERROR(INDEX('DRAFT 1'!$R:$R,MATCH($B14,'DRAFT 1'!$B:$B,0)),"")</f>
        <v/>
      </c>
      <c r="W14" s="116">
        <f>IFERROR(INDEX('DRAFT 1'!$S:$S,MATCH($B14,'DRAFT 1'!$B:$B,0)),"")</f>
        <v/>
      </c>
      <c r="X14" s="116">
        <f>IFERROR(INDEX('DRAFT 1'!$T:$T,MATCH($B14,'DRAFT 1'!$B:$B,0)),"")</f>
        <v/>
      </c>
      <c r="Z14" s="116">
        <f>IFERROR(INDEX('DRAFT 1'!$U:$U,MATCH($B14,'DRAFT 1'!$B:$B,0)),"")</f>
        <v/>
      </c>
      <c r="AA14" s="116">
        <f>IFERROR(INDEX('DRAFT 1'!$V:$V,MATCH($B14,'DRAFT 1'!$B:$B,0)),"")</f>
        <v/>
      </c>
      <c r="AB14" s="116">
        <f>IFERROR(INDEX('DRAFT 1'!$W:$W,MATCH($B14,'DRAFT 1'!$B:$B,0)),"")</f>
        <v/>
      </c>
      <c r="AC14" s="116">
        <f>IFERROR(INDEX('DRAFT 1'!$X:$X,MATCH($B14,'DRAFT 1'!$B:$B,0)),"")</f>
        <v/>
      </c>
      <c r="AD14" s="116">
        <f>IFERROR(INDEX('DRAFT 1'!$Y:$Y,MATCH($B14,'DRAFT 1'!$B:$B,0)),"")</f>
        <v/>
      </c>
      <c r="AE14" s="116">
        <f>IFERROR(INDEX('DRAFT 1'!$Z:$Z,MATCH($B14,'DRAFT 1'!$B:$B,0)),"")</f>
        <v/>
      </c>
      <c r="AF14" s="116">
        <f>IFERROR(INDEX('DRAFT 1'!$AA:$AA,MATCH($B14,'DRAFT 1'!$B:$B,0)),"")</f>
        <v/>
      </c>
      <c r="AG14" s="116">
        <f>IFERROR(INDEX('DRAFT 1'!$AB:$AB,MATCH($B14,'DRAFT 1'!$B:$B,0)),"")</f>
        <v/>
      </c>
      <c r="AH14" s="116">
        <f>IFERROR(INDEX('DRAFT 1'!$AC:$AC,MATCH($B14,'DRAFT 1'!$B:$B,0)),"")</f>
        <v/>
      </c>
      <c r="AI14" s="116">
        <f>IFERROR(INDEX('DRAFT 1'!$AD:$AD,MATCH($B14,'DRAFT 1'!$B:$B,0)),"")</f>
        <v/>
      </c>
      <c r="AJ14" s="116">
        <f>IFERROR(INDEX('DRAFT 1'!$AE:$AE,MATCH($B14,'DRAFT 1'!$B:$B,0)),"")</f>
        <v/>
      </c>
      <c r="AK14" s="116">
        <f>IFERROR(INDEX('DRAFT 1'!$AG:$AG,MATCH($B14,'DRAFT 1'!$B:$B,0)),"")</f>
        <v/>
      </c>
      <c r="AL14" s="116">
        <f>IFERROR(INDEX('DRAFT 1'!$AH:$AH,MATCH($B14,'DRAFT 1'!$B:$B,0)),"")</f>
        <v/>
      </c>
      <c r="AM14" s="116">
        <f>IFERROR(INDEX('DRAFT 1'!$AI:$AI,MATCH($B14,'DRAFT 1'!$B:$B,0)),"")</f>
        <v/>
      </c>
      <c r="AN14" s="116">
        <f>IFERROR(INDEX('DRAFT 1'!$AJ:$AJ,MATCH($B14,'DRAFT 1'!$B:$B,0)),"")</f>
        <v/>
      </c>
      <c r="AO14" s="116">
        <f>IFERROR(Y14/AN14,0)</f>
        <v/>
      </c>
      <c r="AP14" s="116">
        <f>IFERROR(INDEX('DRAFT 1'!$AK:$AK,MATCH($B14,'DRAFT 1'!$B:$B,0)),"")</f>
        <v/>
      </c>
      <c r="AR14" s="116" t="inlineStr">
        <is>
          <t>RECOMPRA</t>
        </is>
      </c>
      <c r="AS14" s="116">
        <f>IFERROR(LOOKUP(2,1/('DRAFT 2'!$D:$D=$B14),'DRAFT 2'!$T:$T),"")</f>
        <v/>
      </c>
      <c r="AT14" s="116">
        <f>IFERROR(LOOKUP(2,1/('DRAFT 2'!$D:$D=$B14),'DRAFT 2'!$A:$A),"")</f>
        <v/>
      </c>
      <c r="AU14" s="116">
        <f>IFERROR(LOOKUP(2,1/('DRAFT 2'!$D:$D=$B14),'DRAFT 2'!$R:$R),"")</f>
        <v/>
      </c>
      <c r="AV14" s="116">
        <f>IFERROR(LOOKUP(2,1/('DRAFT 2'!$D:$D=$B14),'DRAFT 2'!$S:$S),"")</f>
        <v/>
      </c>
      <c r="AW14" s="116" t="inlineStr">
        <is>
          <t>NOVO</t>
        </is>
      </c>
      <c r="AX14" s="116">
        <f>IFERROR(LOOKUP(2,1/('DRAFT 2'!$D:$D=$B14),'DRAFT 2'!$M:$M),"")</f>
        <v/>
      </c>
      <c r="AY14" s="116">
        <f>IFERROR(LOOKUP(2,1/('DRAFT 2'!$D:$D=$B14),'DRAFT 2'!$K:$K),"")</f>
        <v/>
      </c>
      <c r="BG14" s="116">
        <f>IFERROR(LOOKUP(2,1/('DRAFT 2'!$D:$D=$B14),'DRAFT 2'!$U:$U),"")</f>
        <v/>
      </c>
      <c r="BH14" s="116">
        <f>IFERROR(LOOKUP(2,1/('DRAFT 2'!$D:$D=$B14),'DRAFT 2'!$V:$V),"")</f>
        <v/>
      </c>
      <c r="CE14" s="116">
        <f>IFERROR(AJ14,0)</f>
        <v/>
      </c>
      <c r="CF14" s="116">
        <f>IFERROR(LOOKUP(2,1/('DRAFT 2'!$D:$D=$B14)*('DRAFT 2'!$A:$A&gt;=DATE(2026,1,1))*('DRAFT 2'!$A:$A&lt;DATE(2026,IF(1=12,1+1,1+1),1)),'DRAFT 2'!$A:$A),"")</f>
        <v/>
      </c>
      <c r="CG14" s="116">
        <f>COUNTIFS('DRAFT 2'!$D:$D,$B14,'DRAFT 2'!$A:$A,"&gt;="&amp;DATE(2026,1,1),'DRAFT 2'!$A:$A,"&lt;="&amp;DATE(2026,1,7))</f>
        <v/>
      </c>
      <c r="CH14" s="116">
        <f>COUNTIFS('DRAFT 2'!$D:$D,$B14,'DRAFT 2'!$A:$A,"&gt;="&amp;DATE(2026,1,8),'DRAFT 2'!$A:$A,"&lt;="&amp;DATE(2026,1,14))</f>
        <v/>
      </c>
      <c r="CI14" s="116">
        <f>COUNTIFS('DRAFT 2'!$D:$D,$B14,'DRAFT 2'!$A:$A,"&gt;="&amp;DATE(2026,1,15),'DRAFT 2'!$A:$A,"&lt;="&amp;DATE(2026,1,21))</f>
        <v/>
      </c>
      <c r="CJ14" s="116">
        <f>COUNTIFS('DRAFT 2'!$D:$D,$B14,'DRAFT 2'!$A:$A,"&gt;="&amp;DATE(2026,1,22),'DRAFT 2'!$A:$A,"&lt;"&amp;DATE(2026,IF(1=12,1+1,1+1),1))</f>
        <v/>
      </c>
      <c r="CK14" s="116">
        <f>SUM(CG14:CJ14)</f>
        <v/>
      </c>
      <c r="CT14" s="116" t="n">
        <v>0</v>
      </c>
      <c r="CU14" s="116">
        <f>IFERROR(LOOKUP(2,1/('DRAFT 2'!$D:$D=$B14)*('DRAFT 2'!$A:$A&gt;=DATE(2026,2,1))*('DRAFT 2'!$A:$A&lt;DATE(2026,IF(2=12,2+1,2+1),1)),'DRAFT 2'!$A:$A),"")</f>
        <v/>
      </c>
      <c r="CV14" s="116">
        <f>COUNTIFS('DRAFT 2'!$D:$D,$B14,'DRAFT 2'!$A:$A,"&gt;="&amp;DATE(2026,2,1),'DRAFT 2'!$A:$A,"&lt;="&amp;DATE(2026,2,7))</f>
        <v/>
      </c>
      <c r="CW14" s="116">
        <f>COUNTIFS('DRAFT 2'!$D:$D,$B14,'DRAFT 2'!$A:$A,"&gt;="&amp;DATE(2026,2,8),'DRAFT 2'!$A:$A,"&lt;="&amp;DATE(2026,2,14))</f>
        <v/>
      </c>
      <c r="CX14" s="116">
        <f>COUNTIFS('DRAFT 2'!$D:$D,$B14,'DRAFT 2'!$A:$A,"&gt;="&amp;DATE(2026,2,15),'DRAFT 2'!$A:$A,"&lt;="&amp;DATE(2026,2,21))</f>
        <v/>
      </c>
      <c r="CY14" s="116">
        <f>COUNTIFS('DRAFT 2'!$D:$D,$B14,'DRAFT 2'!$A:$A,"&gt;="&amp;DATE(2026,2,22),'DRAFT 2'!$A:$A,"&lt;"&amp;DATE(2026,IF(2=12,2+1,2+1),1))</f>
        <v/>
      </c>
      <c r="CZ14" s="116">
        <f>SUM(CV14:CY14)</f>
        <v/>
      </c>
      <c r="DJ14" s="116">
        <f>IFERROR(LOOKUP(2,1/('DRAFT 2'!$D:$D=$B14)*('DRAFT 2'!$A:$A&gt;=DATE(2026,3,1))*('DRAFT 2'!$A:$A&lt;DATE(2026,IF(3=12,3+1,3+1),1)),'DRAFT 2'!$A:$A),"")</f>
        <v/>
      </c>
      <c r="DK14" s="116">
        <f>COUNTIFS('DRAFT 2'!$D:$D,$B14,'DRAFT 2'!$A:$A,"&gt;="&amp;DATE(2026,3,1),'DRAFT 2'!$A:$A,"&lt;="&amp;DATE(2026,3,7))</f>
        <v/>
      </c>
      <c r="DL14" s="116">
        <f>COUNTIFS('DRAFT 2'!$D:$D,$B14,'DRAFT 2'!$A:$A,"&gt;="&amp;DATE(2026,3,8),'DRAFT 2'!$A:$A,"&lt;="&amp;DATE(2026,3,14))</f>
        <v/>
      </c>
      <c r="DM14" s="116">
        <f>COUNTIFS('DRAFT 2'!$D:$D,$B14,'DRAFT 2'!$A:$A,"&gt;="&amp;DATE(2026,3,15),'DRAFT 2'!$A:$A,"&lt;="&amp;DATE(2026,3,21))</f>
        <v/>
      </c>
      <c r="DN14" s="116">
        <f>COUNTIFS('DRAFT 2'!$D:$D,$B14,'DRAFT 2'!$A:$A,"&gt;="&amp;DATE(2026,3,22),'DRAFT 2'!$A:$A,"&lt;"&amp;DATE(2026,IF(3=12,3+1,3+1),1))</f>
        <v/>
      </c>
      <c r="DO14" s="116">
        <f>SUM(DK14:DN14)</f>
        <v/>
      </c>
      <c r="DZ14" s="116">
        <f>IFERROR(LOOKUP(2,1/('DRAFT 2'!$D:$D=$B14)*('DRAFT 2'!$A:$A&gt;=DATE(2026,4,1))*('DRAFT 2'!$A:$A&lt;DATE(2026,IF(4=12,4+1,4+1),1)),'DRAFT 2'!$A:$A),"")</f>
        <v/>
      </c>
      <c r="EA14" s="116">
        <f>COUNTIFS('DRAFT 2'!$D:$D,$B14,'DRAFT 2'!$A:$A,"&gt;="&amp;DATE(2026,4,1),'DRAFT 2'!$A:$A,"&lt;="&amp;DATE(2026,4,7))</f>
        <v/>
      </c>
      <c r="EB14" s="116">
        <f>COUNTIFS('DRAFT 2'!$D:$D,$B14,'DRAFT 2'!$A:$A,"&gt;="&amp;DATE(2026,4,8),'DRAFT 2'!$A:$A,"&lt;="&amp;DATE(2026,4,14))</f>
        <v/>
      </c>
      <c r="EC14" s="116">
        <f>COUNTIFS('DRAFT 2'!$D:$D,$B14,'DRAFT 2'!$A:$A,"&gt;="&amp;DATE(2026,4,15),'DRAFT 2'!$A:$A,"&lt;="&amp;DATE(2026,4,21))</f>
        <v/>
      </c>
      <c r="ED14" s="116">
        <f>COUNTIFS('DRAFT 2'!$D:$D,$B14,'DRAFT 2'!$A:$A,"&gt;="&amp;DATE(2026,4,22),'DRAFT 2'!$A:$A,"&lt;"&amp;DATE(2026,IF(4=12,4+1,4+1),1))</f>
        <v/>
      </c>
      <c r="EE14" s="116">
        <f>SUM(EA14:ED14)</f>
        <v/>
      </c>
      <c r="EO14" s="116">
        <f>IFERROR(LOOKUP(2,1/('DRAFT 2'!$D:$D=$B14)*('DRAFT 2'!$A:$A&gt;=DATE(2026,5,1))*('DRAFT 2'!$A:$A&lt;DATE(2026,IF(5=12,5+1,5+1),1)),'DRAFT 2'!$A:$A),"")</f>
        <v/>
      </c>
      <c r="EP14" s="116">
        <f>COUNTIFS('DRAFT 2'!$D:$D,$B14,'DRAFT 2'!$A:$A,"&gt;="&amp;DATE(2026,5,1),'DRAFT 2'!$A:$A,"&lt;="&amp;DATE(2026,5,7))</f>
        <v/>
      </c>
      <c r="EQ14" s="116">
        <f>COUNTIFS('DRAFT 2'!$D:$D,$B14,'DRAFT 2'!$A:$A,"&gt;="&amp;DATE(2026,5,8),'DRAFT 2'!$A:$A,"&lt;="&amp;DATE(2026,5,14))</f>
        <v/>
      </c>
      <c r="ER14" s="116">
        <f>COUNTIFS('DRAFT 2'!$D:$D,$B14,'DRAFT 2'!$A:$A,"&gt;="&amp;DATE(2026,5,15),'DRAFT 2'!$A:$A,"&lt;="&amp;DATE(2026,5,21))</f>
        <v/>
      </c>
      <c r="ES14" s="116">
        <f>COUNTIFS('DRAFT 2'!$D:$D,$B14,'DRAFT 2'!$A:$A,"&gt;="&amp;DATE(2026,5,22),'DRAFT 2'!$A:$A,"&lt;"&amp;DATE(2026,IF(5=12,5+1,5+1),1))</f>
        <v/>
      </c>
      <c r="ET14" s="116">
        <f>SUM(EP14:ES14)</f>
        <v/>
      </c>
      <c r="FD14" s="116">
        <f>IFERROR(LOOKUP(2,1/('DRAFT 2'!$D:$D=$B14)*('DRAFT 2'!$A:$A&gt;=DATE(2026,6,1))*('DRAFT 2'!$A:$A&lt;DATE(2026,IF(6=12,6+1,6+1),1)),'DRAFT 2'!$A:$A),"")</f>
        <v/>
      </c>
      <c r="FE14" s="116">
        <f>COUNTIFS('DRAFT 2'!$D:$D,$B14,'DRAFT 2'!$A:$A,"&gt;="&amp;DATE(2026,6,1),'DRAFT 2'!$A:$A,"&lt;="&amp;DATE(2026,6,7))</f>
        <v/>
      </c>
      <c r="FF14" s="116">
        <f>COUNTIFS('DRAFT 2'!$D:$D,$B14,'DRAFT 2'!$A:$A,"&gt;="&amp;DATE(2026,6,8),'DRAFT 2'!$A:$A,"&lt;="&amp;DATE(2026,6,14))</f>
        <v/>
      </c>
      <c r="FG14" s="116">
        <f>COUNTIFS('DRAFT 2'!$D:$D,$B14,'DRAFT 2'!$A:$A,"&gt;="&amp;DATE(2026,6,15),'DRAFT 2'!$A:$A,"&lt;="&amp;DATE(2026,6,21))</f>
        <v/>
      </c>
      <c r="FH14" s="116">
        <f>COUNTIFS('DRAFT 2'!$D:$D,$B14,'DRAFT 2'!$A:$A,"&gt;="&amp;DATE(2026,6,22),'DRAFT 2'!$A:$A,"&lt;"&amp;DATE(2026,IF(6=12,6+1,6+1),1))</f>
        <v/>
      </c>
      <c r="FI14" s="116">
        <f>SUM(FE14:FH14)</f>
        <v/>
      </c>
      <c r="FT14" s="116">
        <f>IFERROR(LOOKUP(2,1/('DRAFT 2'!$D:$D=$B14)*('DRAFT 2'!$A:$A&gt;=DATE(2026,7,1))*('DRAFT 2'!$A:$A&lt;DATE(2026,IF(7=12,7+1,7+1),1)),'DRAFT 2'!$A:$A),"")</f>
        <v/>
      </c>
      <c r="FU14" s="116">
        <f>COUNTIFS('DRAFT 2'!$D:$D,$B14,'DRAFT 2'!$A:$A,"&gt;="&amp;DATE(2026,7,1),'DRAFT 2'!$A:$A,"&lt;="&amp;DATE(2026,7,7))</f>
        <v/>
      </c>
      <c r="FV14" s="116">
        <f>COUNTIFS('DRAFT 2'!$D:$D,$B14,'DRAFT 2'!$A:$A,"&gt;="&amp;DATE(2026,7,8),'DRAFT 2'!$A:$A,"&lt;="&amp;DATE(2026,7,14))</f>
        <v/>
      </c>
      <c r="FW14" s="116">
        <f>COUNTIFS('DRAFT 2'!$D:$D,$B14,'DRAFT 2'!$A:$A,"&gt;="&amp;DATE(2026,7,15),'DRAFT 2'!$A:$A,"&lt;="&amp;DATE(2026,7,21))</f>
        <v/>
      </c>
      <c r="FX14" s="116">
        <f>COUNTIFS('DRAFT 2'!$D:$D,$B14,'DRAFT 2'!$A:$A,"&gt;="&amp;DATE(2026,7,22),'DRAFT 2'!$A:$A,"&lt;"&amp;DATE(2026,IF(7=12,7+1,7+1),1))</f>
        <v/>
      </c>
      <c r="FY14" s="116">
        <f>SUM(FU14:FX14)</f>
        <v/>
      </c>
      <c r="GI14" s="116">
        <f>IFERROR(LOOKUP(2,1/('DRAFT 2'!$D:$D=$B14)*('DRAFT 2'!$A:$A&gt;=DATE(2026,8,1))*('DRAFT 2'!$A:$A&lt;DATE(2026,IF(8=12,8+1,8+1),1)),'DRAFT 2'!$A:$A),"")</f>
        <v/>
      </c>
      <c r="GJ14" s="116">
        <f>COUNTIFS('DRAFT 2'!$D:$D,$B14,'DRAFT 2'!$A:$A,"&gt;="&amp;DATE(2026,8,1),'DRAFT 2'!$A:$A,"&lt;="&amp;DATE(2026,8,7))</f>
        <v/>
      </c>
      <c r="GK14" s="116">
        <f>COUNTIFS('DRAFT 2'!$D:$D,$B14,'DRAFT 2'!$A:$A,"&gt;="&amp;DATE(2026,8,8),'DRAFT 2'!$A:$A,"&lt;="&amp;DATE(2026,8,14))</f>
        <v/>
      </c>
      <c r="GL14" s="116">
        <f>COUNTIFS('DRAFT 2'!$D:$D,$B14,'DRAFT 2'!$A:$A,"&gt;="&amp;DATE(2026,8,15),'DRAFT 2'!$A:$A,"&lt;="&amp;DATE(2026,8,21))</f>
        <v/>
      </c>
      <c r="GM14" s="116">
        <f>COUNTIFS('DRAFT 2'!$D:$D,$B14,'DRAFT 2'!$A:$A,"&gt;="&amp;DATE(2026,8,22),'DRAFT 2'!$A:$A,"&lt;"&amp;DATE(2026,IF(8=12,8+1,8+1),1))</f>
        <v/>
      </c>
      <c r="GN14" s="116">
        <f>SUM(GJ14:GM14)</f>
        <v/>
      </c>
      <c r="GX14" s="116">
        <f>IFERROR(LOOKUP(2,1/('DRAFT 2'!$D:$D=$B14)*('DRAFT 2'!$A:$A&gt;=DATE(2026,9,1))*('DRAFT 2'!$A:$A&lt;DATE(2026,IF(9=12,9+1,9+1),1)),'DRAFT 2'!$A:$A),"")</f>
        <v/>
      </c>
      <c r="GY14" s="116">
        <f>COUNTIFS('DRAFT 2'!$D:$D,$B14,'DRAFT 2'!$A:$A,"&gt;="&amp;DATE(2026,9,1),'DRAFT 2'!$A:$A,"&lt;="&amp;DATE(2026,9,7))</f>
        <v/>
      </c>
      <c r="GZ14" s="116">
        <f>COUNTIFS('DRAFT 2'!$D:$D,$B14,'DRAFT 2'!$A:$A,"&gt;="&amp;DATE(2026,9,8),'DRAFT 2'!$A:$A,"&lt;="&amp;DATE(2026,9,14))</f>
        <v/>
      </c>
      <c r="HA14" s="116">
        <f>COUNTIFS('DRAFT 2'!$D:$D,$B14,'DRAFT 2'!$A:$A,"&gt;="&amp;DATE(2026,9,15),'DRAFT 2'!$A:$A,"&lt;="&amp;DATE(2026,9,21))</f>
        <v/>
      </c>
      <c r="HB14" s="116">
        <f>COUNTIFS('DRAFT 2'!$D:$D,$B14,'DRAFT 2'!$A:$A,"&gt;="&amp;DATE(2026,9,22),'DRAFT 2'!$A:$A,"&lt;"&amp;DATE(2026,IF(9=12,9+1,9+1),1))</f>
        <v/>
      </c>
      <c r="HC14" s="116">
        <f>SUM(GY14:HB14)</f>
        <v/>
      </c>
      <c r="HN14" s="116">
        <f>IFERROR(LOOKUP(2,1/('DRAFT 2'!$D:$D=$B14)*('DRAFT 2'!$A:$A&gt;=DATE(2026,10,1))*('DRAFT 2'!$A:$A&lt;DATE(2026,IF(10=12,10+1,10+1),1)),'DRAFT 2'!$A:$A),"")</f>
        <v/>
      </c>
      <c r="HO14" s="116">
        <f>COUNTIFS('DRAFT 2'!$D:$D,$B14,'DRAFT 2'!$A:$A,"&gt;="&amp;DATE(2026,10,1),'DRAFT 2'!$A:$A,"&lt;="&amp;DATE(2026,10,7))</f>
        <v/>
      </c>
      <c r="HP14" s="116">
        <f>COUNTIFS('DRAFT 2'!$D:$D,$B14,'DRAFT 2'!$A:$A,"&gt;="&amp;DATE(2026,10,8),'DRAFT 2'!$A:$A,"&lt;="&amp;DATE(2026,10,14))</f>
        <v/>
      </c>
      <c r="HQ14" s="116">
        <f>COUNTIFS('DRAFT 2'!$D:$D,$B14,'DRAFT 2'!$A:$A,"&gt;="&amp;DATE(2026,10,15),'DRAFT 2'!$A:$A,"&lt;="&amp;DATE(2026,10,21))</f>
        <v/>
      </c>
      <c r="HR14" s="116">
        <f>COUNTIFS('DRAFT 2'!$D:$D,$B14,'DRAFT 2'!$A:$A,"&gt;="&amp;DATE(2026,10,22),'DRAFT 2'!$A:$A,"&lt;"&amp;DATE(2026,IF(10=12,10+1,10+1),1))</f>
        <v/>
      </c>
      <c r="HS14" s="116">
        <f>SUM(HO14:HR14)</f>
        <v/>
      </c>
      <c r="IC14" s="116">
        <f>IFERROR(LOOKUP(2,1/('DRAFT 2'!$D:$D=$B14)*('DRAFT 2'!$A:$A&gt;=DATE(2026,11,1))*('DRAFT 2'!$A:$A&lt;DATE(2026,IF(11=12,11+1,11+1),1)),'DRAFT 2'!$A:$A),"")</f>
        <v/>
      </c>
      <c r="ID14" s="116">
        <f>COUNTIFS('DRAFT 2'!$D:$D,$B14,'DRAFT 2'!$A:$A,"&gt;="&amp;DATE(2026,11,1),'DRAFT 2'!$A:$A,"&lt;="&amp;DATE(2026,11,7))</f>
        <v/>
      </c>
      <c r="IE14" s="116">
        <f>COUNTIFS('DRAFT 2'!$D:$D,$B14,'DRAFT 2'!$A:$A,"&gt;="&amp;DATE(2026,11,8),'DRAFT 2'!$A:$A,"&lt;="&amp;DATE(2026,11,14))</f>
        <v/>
      </c>
      <c r="IF14" s="116">
        <f>COUNTIFS('DRAFT 2'!$D:$D,$B14,'DRAFT 2'!$A:$A,"&gt;="&amp;DATE(2026,11,15),'DRAFT 2'!$A:$A,"&lt;="&amp;DATE(2026,11,21))</f>
        <v/>
      </c>
      <c r="IG14" s="116">
        <f>COUNTIFS('DRAFT 2'!$D:$D,$B14,'DRAFT 2'!$A:$A,"&gt;="&amp;DATE(2026,11,22),'DRAFT 2'!$A:$A,"&lt;"&amp;DATE(2026,IF(11=12,11+1,11+1),1))</f>
        <v/>
      </c>
      <c r="IH14" s="116">
        <f>SUM(ID14:IG14)</f>
        <v/>
      </c>
      <c r="IR14" s="116">
        <f>IFERROR(LOOKUP(2,1/('DRAFT 2'!$D:$D=$B14)*('DRAFT 2'!$A:$A&gt;=DATE(2026,12,1))*('DRAFT 2'!$A:$A&lt;DATE(2026,IF(12=12,12+1,12+1),1)),'DRAFT 2'!$A:$A),"")</f>
        <v/>
      </c>
      <c r="IS14" s="116">
        <f>COUNTIFS('DRAFT 2'!$D:$D,$B14,'DRAFT 2'!$A:$A,"&gt;="&amp;DATE(2026,12,1),'DRAFT 2'!$A:$A,"&lt;="&amp;DATE(2026,12,7))</f>
        <v/>
      </c>
      <c r="IT14" s="116">
        <f>COUNTIFS('DRAFT 2'!$D:$D,$B14,'DRAFT 2'!$A:$A,"&gt;="&amp;DATE(2026,12,8),'DRAFT 2'!$A:$A,"&lt;="&amp;DATE(2026,12,14))</f>
        <v/>
      </c>
      <c r="IU14" s="116">
        <f>COUNTIFS('DRAFT 2'!$D:$D,$B14,'DRAFT 2'!$A:$A,"&gt;="&amp;DATE(2026,12,15),'DRAFT 2'!$A:$A,"&lt;="&amp;DATE(2026,12,21))</f>
        <v/>
      </c>
      <c r="IV14" s="116">
        <f>COUNTIFS('DRAFT 2'!$D:$D,$B14,'DRAFT 2'!$A:$A,"&gt;="&amp;DATE(2026,12,22),'DRAFT 2'!$A:$A,"&lt;"&amp;DATE(2026,IF(12=12,12+1,12+1),1))</f>
        <v/>
      </c>
      <c r="IW14" s="116">
        <f>SUM(IS14:IV14)</f>
        <v/>
      </c>
    </row>
    <row r="15">
      <c r="A15" s="116">
        <f>IFERROR(INDEX('DRAFT 1'!$A:$A,MATCH($B15,'DRAFT 1'!$B:$B,0)),"")</f>
        <v/>
      </c>
      <c r="C15" s="116">
        <f>IFERROR(INDEX('DRAFT 1'!$C:$C,MATCH($B15,'DRAFT 1'!$B:$B,0)),"")</f>
        <v/>
      </c>
      <c r="D15" s="116">
        <f>IFERROR(INDEX('DRAFT 1'!$D:$D,MATCH($B15,'DRAFT 1'!$B:$B,0)),"")</f>
        <v/>
      </c>
      <c r="E15" s="116">
        <f>IFERROR(INDEX('DRAFT 1'!$E:$E,MATCH($B15,'DRAFT 1'!$B:$B,0)),"")</f>
        <v/>
      </c>
      <c r="F15" s="116">
        <f>IFERROR(INDEX('DRAFT 1'!$F:$F,MATCH($B15,'DRAFT 1'!$B:$B,0)),"")</f>
        <v/>
      </c>
      <c r="G15" s="116">
        <f>IFERROR(INDEX('DRAFT 1'!$G:$G,MATCH($B15,'DRAFT 1'!$B:$B,0)),"")</f>
        <v/>
      </c>
      <c r="H15" s="116">
        <f>IFERROR(INDEX('DRAFT 1'!$H:$H,MATCH($B15,'DRAFT 1'!$B:$B,0)),"")</f>
        <v/>
      </c>
      <c r="I15" s="116" t="inlineStr">
        <is>
          <t>BIOMUNDO</t>
        </is>
      </c>
      <c r="K15" s="116">
        <f>IFERROR(INDEX('DRAFT 1'!$AL:$AL,MATCH($B15,'DRAFT 1'!$B:$B,0)),"")</f>
        <v/>
      </c>
      <c r="L15" s="116">
        <f>IFERROR(INDEX('DRAFT 1'!$J:$J,MATCH($B15,'DRAFT 1'!$B:$B,0)),"")</f>
        <v/>
      </c>
      <c r="M15" s="116">
        <f>IFERROR(INDEX('DRAFT 1'!$K:$K,MATCH($B15,'DRAFT 1'!$B:$B,0)),"")</f>
        <v/>
      </c>
      <c r="N15" s="116" t="inlineStr">
        <is>
          <t>INAT.REC</t>
        </is>
      </c>
      <c r="P15" s="116">
        <f>IFERROR(INDEX('DRAFT 1'!$L:$L,MATCH($B15,'DRAFT 1'!$B:$B,0)),"")</f>
        <v/>
      </c>
      <c r="Q15" s="116">
        <f>IFERROR(INDEX('DRAFT 1'!$M:$M,MATCH($B15,'DRAFT 1'!$B:$B,0)),"")</f>
        <v/>
      </c>
      <c r="R15" s="116">
        <f>IFERROR(INDEX('DRAFT 1'!$N:$N,MATCH($B15,'DRAFT 1'!$B:$B,0)),"")</f>
        <v/>
      </c>
      <c r="S15" s="116">
        <f>IFERROR(INDEX('DRAFT 1'!$O:$O,MATCH($B15,'DRAFT 1'!$B:$B,0)),"")</f>
        <v/>
      </c>
      <c r="T15" s="116">
        <f>IFERROR(INDEX('DRAFT 1'!$P:$P,MATCH($B15,'DRAFT 1'!$B:$B,0)),"")</f>
        <v/>
      </c>
      <c r="U15" s="116">
        <f>IFERROR(INDEX('DRAFT 1'!$Q:$Q,MATCH($B15,'DRAFT 1'!$B:$B,0)),"")</f>
        <v/>
      </c>
      <c r="V15" s="116">
        <f>IFERROR(INDEX('DRAFT 1'!$R:$R,MATCH($B15,'DRAFT 1'!$B:$B,0)),"")</f>
        <v/>
      </c>
      <c r="W15" s="116">
        <f>IFERROR(INDEX('DRAFT 1'!$S:$S,MATCH($B15,'DRAFT 1'!$B:$B,0)),"")</f>
        <v/>
      </c>
      <c r="X15" s="116">
        <f>IFERROR(INDEX('DRAFT 1'!$T:$T,MATCH($B15,'DRAFT 1'!$B:$B,0)),"")</f>
        <v/>
      </c>
      <c r="Z15" s="116">
        <f>IFERROR(INDEX('DRAFT 1'!$U:$U,MATCH($B15,'DRAFT 1'!$B:$B,0)),"")</f>
        <v/>
      </c>
      <c r="AA15" s="116">
        <f>IFERROR(INDEX('DRAFT 1'!$V:$V,MATCH($B15,'DRAFT 1'!$B:$B,0)),"")</f>
        <v/>
      </c>
      <c r="AB15" s="116">
        <f>IFERROR(INDEX('DRAFT 1'!$W:$W,MATCH($B15,'DRAFT 1'!$B:$B,0)),"")</f>
        <v/>
      </c>
      <c r="AC15" s="116">
        <f>IFERROR(INDEX('DRAFT 1'!$X:$X,MATCH($B15,'DRAFT 1'!$B:$B,0)),"")</f>
        <v/>
      </c>
      <c r="AD15" s="116">
        <f>IFERROR(INDEX('DRAFT 1'!$Y:$Y,MATCH($B15,'DRAFT 1'!$B:$B,0)),"")</f>
        <v/>
      </c>
      <c r="AE15" s="116">
        <f>IFERROR(INDEX('DRAFT 1'!$Z:$Z,MATCH($B15,'DRAFT 1'!$B:$B,0)),"")</f>
        <v/>
      </c>
      <c r="AF15" s="116">
        <f>IFERROR(INDEX('DRAFT 1'!$AA:$AA,MATCH($B15,'DRAFT 1'!$B:$B,0)),"")</f>
        <v/>
      </c>
      <c r="AG15" s="116">
        <f>IFERROR(INDEX('DRAFT 1'!$AB:$AB,MATCH($B15,'DRAFT 1'!$B:$B,0)),"")</f>
        <v/>
      </c>
      <c r="AH15" s="116">
        <f>IFERROR(INDEX('DRAFT 1'!$AC:$AC,MATCH($B15,'DRAFT 1'!$B:$B,0)),"")</f>
        <v/>
      </c>
      <c r="AI15" s="116">
        <f>IFERROR(INDEX('DRAFT 1'!$AD:$AD,MATCH($B15,'DRAFT 1'!$B:$B,0)),"")</f>
        <v/>
      </c>
      <c r="AJ15" s="116">
        <f>IFERROR(INDEX('DRAFT 1'!$AE:$AE,MATCH($B15,'DRAFT 1'!$B:$B,0)),"")</f>
        <v/>
      </c>
      <c r="AK15" s="116">
        <f>IFERROR(INDEX('DRAFT 1'!$AG:$AG,MATCH($B15,'DRAFT 1'!$B:$B,0)),"")</f>
        <v/>
      </c>
      <c r="AL15" s="116">
        <f>IFERROR(INDEX('DRAFT 1'!$AH:$AH,MATCH($B15,'DRAFT 1'!$B:$B,0)),"")</f>
        <v/>
      </c>
      <c r="AM15" s="116">
        <f>IFERROR(INDEX('DRAFT 1'!$AI:$AI,MATCH($B15,'DRAFT 1'!$B:$B,0)),"")</f>
        <v/>
      </c>
      <c r="AN15" s="116">
        <f>IFERROR(INDEX('DRAFT 1'!$AJ:$AJ,MATCH($B15,'DRAFT 1'!$B:$B,0)),"")</f>
        <v/>
      </c>
      <c r="AO15" s="116">
        <f>IFERROR(Y15/AN15,0)</f>
        <v/>
      </c>
      <c r="AP15" s="116">
        <f>IFERROR(INDEX('DRAFT 1'!$AK:$AK,MATCH($B15,'DRAFT 1'!$B:$B,0)),"")</f>
        <v/>
      </c>
      <c r="AR15" s="116" t="inlineStr">
        <is>
          <t>CS</t>
        </is>
      </c>
      <c r="AS15" s="116">
        <f>IFERROR(LOOKUP(2,1/('DRAFT 2'!$D:$D=$B15),'DRAFT 2'!$T:$T),"")</f>
        <v/>
      </c>
      <c r="AT15" s="116">
        <f>IFERROR(LOOKUP(2,1/('DRAFT 2'!$D:$D=$B15),'DRAFT 2'!$A:$A),"")</f>
        <v/>
      </c>
      <c r="AU15" s="116">
        <f>IFERROR(LOOKUP(2,1/('DRAFT 2'!$D:$D=$B15),'DRAFT 2'!$R:$R),"")</f>
        <v/>
      </c>
      <c r="AV15" s="116">
        <f>IFERROR(LOOKUP(2,1/('DRAFT 2'!$D:$D=$B15),'DRAFT 2'!$S:$S),"")</f>
        <v/>
      </c>
      <c r="AW15" s="116" t="inlineStr">
        <is>
          <t>RECORRENTE</t>
        </is>
      </c>
      <c r="AX15" s="116">
        <f>IFERROR(LOOKUP(2,1/('DRAFT 2'!$D:$D=$B15),'DRAFT 2'!$M:$M),"")</f>
        <v/>
      </c>
      <c r="AY15" s="116">
        <f>IFERROR(LOOKUP(2,1/('DRAFT 2'!$D:$D=$B15),'DRAFT 2'!$K:$K),"")</f>
        <v/>
      </c>
      <c r="BG15" s="116">
        <f>IFERROR(LOOKUP(2,1/('DRAFT 2'!$D:$D=$B15),'DRAFT 2'!$U:$U),"")</f>
        <v/>
      </c>
      <c r="BH15" s="116">
        <f>IFERROR(LOOKUP(2,1/('DRAFT 2'!$D:$D=$B15),'DRAFT 2'!$V:$V),"")</f>
        <v/>
      </c>
      <c r="CE15" s="116">
        <f>IFERROR(AJ15,0)</f>
        <v/>
      </c>
      <c r="CF15" s="116">
        <f>IFERROR(LOOKUP(2,1/('DRAFT 2'!$D:$D=$B15)*('DRAFT 2'!$A:$A&gt;=DATE(2026,1,1))*('DRAFT 2'!$A:$A&lt;DATE(2026,IF(1=12,1+1,1+1),1)),'DRAFT 2'!$A:$A),"")</f>
        <v/>
      </c>
      <c r="CG15" s="116">
        <f>COUNTIFS('DRAFT 2'!$D:$D,$B15,'DRAFT 2'!$A:$A,"&gt;="&amp;DATE(2026,1,1),'DRAFT 2'!$A:$A,"&lt;="&amp;DATE(2026,1,7))</f>
        <v/>
      </c>
      <c r="CH15" s="116">
        <f>COUNTIFS('DRAFT 2'!$D:$D,$B15,'DRAFT 2'!$A:$A,"&gt;="&amp;DATE(2026,1,8),'DRAFT 2'!$A:$A,"&lt;="&amp;DATE(2026,1,14))</f>
        <v/>
      </c>
      <c r="CI15" s="116">
        <f>COUNTIFS('DRAFT 2'!$D:$D,$B15,'DRAFT 2'!$A:$A,"&gt;="&amp;DATE(2026,1,15),'DRAFT 2'!$A:$A,"&lt;="&amp;DATE(2026,1,21))</f>
        <v/>
      </c>
      <c r="CJ15" s="116">
        <f>COUNTIFS('DRAFT 2'!$D:$D,$B15,'DRAFT 2'!$A:$A,"&gt;="&amp;DATE(2026,1,22),'DRAFT 2'!$A:$A,"&lt;"&amp;DATE(2026,IF(1=12,1+1,1+1),1))</f>
        <v/>
      </c>
      <c r="CK15" s="116">
        <f>SUM(CG15:CJ15)</f>
        <v/>
      </c>
      <c r="CT15" s="116" t="n">
        <v>0</v>
      </c>
      <c r="CU15" s="116">
        <f>IFERROR(LOOKUP(2,1/('DRAFT 2'!$D:$D=$B15)*('DRAFT 2'!$A:$A&gt;=DATE(2026,2,1))*('DRAFT 2'!$A:$A&lt;DATE(2026,IF(2=12,2+1,2+1),1)),'DRAFT 2'!$A:$A),"")</f>
        <v/>
      </c>
      <c r="CV15" s="116">
        <f>COUNTIFS('DRAFT 2'!$D:$D,$B15,'DRAFT 2'!$A:$A,"&gt;="&amp;DATE(2026,2,1),'DRAFT 2'!$A:$A,"&lt;="&amp;DATE(2026,2,7))</f>
        <v/>
      </c>
      <c r="CW15" s="116">
        <f>COUNTIFS('DRAFT 2'!$D:$D,$B15,'DRAFT 2'!$A:$A,"&gt;="&amp;DATE(2026,2,8),'DRAFT 2'!$A:$A,"&lt;="&amp;DATE(2026,2,14))</f>
        <v/>
      </c>
      <c r="CX15" s="116">
        <f>COUNTIFS('DRAFT 2'!$D:$D,$B15,'DRAFT 2'!$A:$A,"&gt;="&amp;DATE(2026,2,15),'DRAFT 2'!$A:$A,"&lt;="&amp;DATE(2026,2,21))</f>
        <v/>
      </c>
      <c r="CY15" s="116">
        <f>COUNTIFS('DRAFT 2'!$D:$D,$B15,'DRAFT 2'!$A:$A,"&gt;="&amp;DATE(2026,2,22),'DRAFT 2'!$A:$A,"&lt;"&amp;DATE(2026,IF(2=12,2+1,2+1),1))</f>
        <v/>
      </c>
      <c r="CZ15" s="116">
        <f>SUM(CV15:CY15)</f>
        <v/>
      </c>
      <c r="DJ15" s="116">
        <f>IFERROR(LOOKUP(2,1/('DRAFT 2'!$D:$D=$B15)*('DRAFT 2'!$A:$A&gt;=DATE(2026,3,1))*('DRAFT 2'!$A:$A&lt;DATE(2026,IF(3=12,3+1,3+1),1)),'DRAFT 2'!$A:$A),"")</f>
        <v/>
      </c>
      <c r="DK15" s="116">
        <f>COUNTIFS('DRAFT 2'!$D:$D,$B15,'DRAFT 2'!$A:$A,"&gt;="&amp;DATE(2026,3,1),'DRAFT 2'!$A:$A,"&lt;="&amp;DATE(2026,3,7))</f>
        <v/>
      </c>
      <c r="DL15" s="116">
        <f>COUNTIFS('DRAFT 2'!$D:$D,$B15,'DRAFT 2'!$A:$A,"&gt;="&amp;DATE(2026,3,8),'DRAFT 2'!$A:$A,"&lt;="&amp;DATE(2026,3,14))</f>
        <v/>
      </c>
      <c r="DM15" s="116">
        <f>COUNTIFS('DRAFT 2'!$D:$D,$B15,'DRAFT 2'!$A:$A,"&gt;="&amp;DATE(2026,3,15),'DRAFT 2'!$A:$A,"&lt;="&amp;DATE(2026,3,21))</f>
        <v/>
      </c>
      <c r="DN15" s="116">
        <f>COUNTIFS('DRAFT 2'!$D:$D,$B15,'DRAFT 2'!$A:$A,"&gt;="&amp;DATE(2026,3,22),'DRAFT 2'!$A:$A,"&lt;"&amp;DATE(2026,IF(3=12,3+1,3+1),1))</f>
        <v/>
      </c>
      <c r="DO15" s="116">
        <f>SUM(DK15:DN15)</f>
        <v/>
      </c>
      <c r="DZ15" s="116">
        <f>IFERROR(LOOKUP(2,1/('DRAFT 2'!$D:$D=$B15)*('DRAFT 2'!$A:$A&gt;=DATE(2026,4,1))*('DRAFT 2'!$A:$A&lt;DATE(2026,IF(4=12,4+1,4+1),1)),'DRAFT 2'!$A:$A),"")</f>
        <v/>
      </c>
      <c r="EA15" s="116">
        <f>COUNTIFS('DRAFT 2'!$D:$D,$B15,'DRAFT 2'!$A:$A,"&gt;="&amp;DATE(2026,4,1),'DRAFT 2'!$A:$A,"&lt;="&amp;DATE(2026,4,7))</f>
        <v/>
      </c>
      <c r="EB15" s="116">
        <f>COUNTIFS('DRAFT 2'!$D:$D,$B15,'DRAFT 2'!$A:$A,"&gt;="&amp;DATE(2026,4,8),'DRAFT 2'!$A:$A,"&lt;="&amp;DATE(2026,4,14))</f>
        <v/>
      </c>
      <c r="EC15" s="116">
        <f>COUNTIFS('DRAFT 2'!$D:$D,$B15,'DRAFT 2'!$A:$A,"&gt;="&amp;DATE(2026,4,15),'DRAFT 2'!$A:$A,"&lt;="&amp;DATE(2026,4,21))</f>
        <v/>
      </c>
      <c r="ED15" s="116">
        <f>COUNTIFS('DRAFT 2'!$D:$D,$B15,'DRAFT 2'!$A:$A,"&gt;="&amp;DATE(2026,4,22),'DRAFT 2'!$A:$A,"&lt;"&amp;DATE(2026,IF(4=12,4+1,4+1),1))</f>
        <v/>
      </c>
      <c r="EE15" s="116">
        <f>SUM(EA15:ED15)</f>
        <v/>
      </c>
      <c r="EO15" s="116">
        <f>IFERROR(LOOKUP(2,1/('DRAFT 2'!$D:$D=$B15)*('DRAFT 2'!$A:$A&gt;=DATE(2026,5,1))*('DRAFT 2'!$A:$A&lt;DATE(2026,IF(5=12,5+1,5+1),1)),'DRAFT 2'!$A:$A),"")</f>
        <v/>
      </c>
      <c r="EP15" s="116">
        <f>COUNTIFS('DRAFT 2'!$D:$D,$B15,'DRAFT 2'!$A:$A,"&gt;="&amp;DATE(2026,5,1),'DRAFT 2'!$A:$A,"&lt;="&amp;DATE(2026,5,7))</f>
        <v/>
      </c>
      <c r="EQ15" s="116">
        <f>COUNTIFS('DRAFT 2'!$D:$D,$B15,'DRAFT 2'!$A:$A,"&gt;="&amp;DATE(2026,5,8),'DRAFT 2'!$A:$A,"&lt;="&amp;DATE(2026,5,14))</f>
        <v/>
      </c>
      <c r="ER15" s="116">
        <f>COUNTIFS('DRAFT 2'!$D:$D,$B15,'DRAFT 2'!$A:$A,"&gt;="&amp;DATE(2026,5,15),'DRAFT 2'!$A:$A,"&lt;="&amp;DATE(2026,5,21))</f>
        <v/>
      </c>
      <c r="ES15" s="116">
        <f>COUNTIFS('DRAFT 2'!$D:$D,$B15,'DRAFT 2'!$A:$A,"&gt;="&amp;DATE(2026,5,22),'DRAFT 2'!$A:$A,"&lt;"&amp;DATE(2026,IF(5=12,5+1,5+1),1))</f>
        <v/>
      </c>
      <c r="ET15" s="116">
        <f>SUM(EP15:ES15)</f>
        <v/>
      </c>
      <c r="FD15" s="116">
        <f>IFERROR(LOOKUP(2,1/('DRAFT 2'!$D:$D=$B15)*('DRAFT 2'!$A:$A&gt;=DATE(2026,6,1))*('DRAFT 2'!$A:$A&lt;DATE(2026,IF(6=12,6+1,6+1),1)),'DRAFT 2'!$A:$A),"")</f>
        <v/>
      </c>
      <c r="FE15" s="116">
        <f>COUNTIFS('DRAFT 2'!$D:$D,$B15,'DRAFT 2'!$A:$A,"&gt;="&amp;DATE(2026,6,1),'DRAFT 2'!$A:$A,"&lt;="&amp;DATE(2026,6,7))</f>
        <v/>
      </c>
      <c r="FF15" s="116">
        <f>COUNTIFS('DRAFT 2'!$D:$D,$B15,'DRAFT 2'!$A:$A,"&gt;="&amp;DATE(2026,6,8),'DRAFT 2'!$A:$A,"&lt;="&amp;DATE(2026,6,14))</f>
        <v/>
      </c>
      <c r="FG15" s="116">
        <f>COUNTIFS('DRAFT 2'!$D:$D,$B15,'DRAFT 2'!$A:$A,"&gt;="&amp;DATE(2026,6,15),'DRAFT 2'!$A:$A,"&lt;="&amp;DATE(2026,6,21))</f>
        <v/>
      </c>
      <c r="FH15" s="116">
        <f>COUNTIFS('DRAFT 2'!$D:$D,$B15,'DRAFT 2'!$A:$A,"&gt;="&amp;DATE(2026,6,22),'DRAFT 2'!$A:$A,"&lt;"&amp;DATE(2026,IF(6=12,6+1,6+1),1))</f>
        <v/>
      </c>
      <c r="FI15" s="116">
        <f>SUM(FE15:FH15)</f>
        <v/>
      </c>
      <c r="FT15" s="116">
        <f>IFERROR(LOOKUP(2,1/('DRAFT 2'!$D:$D=$B15)*('DRAFT 2'!$A:$A&gt;=DATE(2026,7,1))*('DRAFT 2'!$A:$A&lt;DATE(2026,IF(7=12,7+1,7+1),1)),'DRAFT 2'!$A:$A),"")</f>
        <v/>
      </c>
      <c r="FU15" s="116">
        <f>COUNTIFS('DRAFT 2'!$D:$D,$B15,'DRAFT 2'!$A:$A,"&gt;="&amp;DATE(2026,7,1),'DRAFT 2'!$A:$A,"&lt;="&amp;DATE(2026,7,7))</f>
        <v/>
      </c>
      <c r="FV15" s="116">
        <f>COUNTIFS('DRAFT 2'!$D:$D,$B15,'DRAFT 2'!$A:$A,"&gt;="&amp;DATE(2026,7,8),'DRAFT 2'!$A:$A,"&lt;="&amp;DATE(2026,7,14))</f>
        <v/>
      </c>
      <c r="FW15" s="116">
        <f>COUNTIFS('DRAFT 2'!$D:$D,$B15,'DRAFT 2'!$A:$A,"&gt;="&amp;DATE(2026,7,15),'DRAFT 2'!$A:$A,"&lt;="&amp;DATE(2026,7,21))</f>
        <v/>
      </c>
      <c r="FX15" s="116">
        <f>COUNTIFS('DRAFT 2'!$D:$D,$B15,'DRAFT 2'!$A:$A,"&gt;="&amp;DATE(2026,7,22),'DRAFT 2'!$A:$A,"&lt;"&amp;DATE(2026,IF(7=12,7+1,7+1),1))</f>
        <v/>
      </c>
      <c r="FY15" s="116">
        <f>SUM(FU15:FX15)</f>
        <v/>
      </c>
      <c r="GI15" s="116">
        <f>IFERROR(LOOKUP(2,1/('DRAFT 2'!$D:$D=$B15)*('DRAFT 2'!$A:$A&gt;=DATE(2026,8,1))*('DRAFT 2'!$A:$A&lt;DATE(2026,IF(8=12,8+1,8+1),1)),'DRAFT 2'!$A:$A),"")</f>
        <v/>
      </c>
      <c r="GJ15" s="116">
        <f>COUNTIFS('DRAFT 2'!$D:$D,$B15,'DRAFT 2'!$A:$A,"&gt;="&amp;DATE(2026,8,1),'DRAFT 2'!$A:$A,"&lt;="&amp;DATE(2026,8,7))</f>
        <v/>
      </c>
      <c r="GK15" s="116">
        <f>COUNTIFS('DRAFT 2'!$D:$D,$B15,'DRAFT 2'!$A:$A,"&gt;="&amp;DATE(2026,8,8),'DRAFT 2'!$A:$A,"&lt;="&amp;DATE(2026,8,14))</f>
        <v/>
      </c>
      <c r="GL15" s="116">
        <f>COUNTIFS('DRAFT 2'!$D:$D,$B15,'DRAFT 2'!$A:$A,"&gt;="&amp;DATE(2026,8,15),'DRAFT 2'!$A:$A,"&lt;="&amp;DATE(2026,8,21))</f>
        <v/>
      </c>
      <c r="GM15" s="116">
        <f>COUNTIFS('DRAFT 2'!$D:$D,$B15,'DRAFT 2'!$A:$A,"&gt;="&amp;DATE(2026,8,22),'DRAFT 2'!$A:$A,"&lt;"&amp;DATE(2026,IF(8=12,8+1,8+1),1))</f>
        <v/>
      </c>
      <c r="GN15" s="116">
        <f>SUM(GJ15:GM15)</f>
        <v/>
      </c>
      <c r="GX15" s="116">
        <f>IFERROR(LOOKUP(2,1/('DRAFT 2'!$D:$D=$B15)*('DRAFT 2'!$A:$A&gt;=DATE(2026,9,1))*('DRAFT 2'!$A:$A&lt;DATE(2026,IF(9=12,9+1,9+1),1)),'DRAFT 2'!$A:$A),"")</f>
        <v/>
      </c>
      <c r="GY15" s="116">
        <f>COUNTIFS('DRAFT 2'!$D:$D,$B15,'DRAFT 2'!$A:$A,"&gt;="&amp;DATE(2026,9,1),'DRAFT 2'!$A:$A,"&lt;="&amp;DATE(2026,9,7))</f>
        <v/>
      </c>
      <c r="GZ15" s="116">
        <f>COUNTIFS('DRAFT 2'!$D:$D,$B15,'DRAFT 2'!$A:$A,"&gt;="&amp;DATE(2026,9,8),'DRAFT 2'!$A:$A,"&lt;="&amp;DATE(2026,9,14))</f>
        <v/>
      </c>
      <c r="HA15" s="116">
        <f>COUNTIFS('DRAFT 2'!$D:$D,$B15,'DRAFT 2'!$A:$A,"&gt;="&amp;DATE(2026,9,15),'DRAFT 2'!$A:$A,"&lt;="&amp;DATE(2026,9,21))</f>
        <v/>
      </c>
      <c r="HB15" s="116">
        <f>COUNTIFS('DRAFT 2'!$D:$D,$B15,'DRAFT 2'!$A:$A,"&gt;="&amp;DATE(2026,9,22),'DRAFT 2'!$A:$A,"&lt;"&amp;DATE(2026,IF(9=12,9+1,9+1),1))</f>
        <v/>
      </c>
      <c r="HC15" s="116">
        <f>SUM(GY15:HB15)</f>
        <v/>
      </c>
      <c r="HN15" s="116">
        <f>IFERROR(LOOKUP(2,1/('DRAFT 2'!$D:$D=$B15)*('DRAFT 2'!$A:$A&gt;=DATE(2026,10,1))*('DRAFT 2'!$A:$A&lt;DATE(2026,IF(10=12,10+1,10+1),1)),'DRAFT 2'!$A:$A),"")</f>
        <v/>
      </c>
      <c r="HO15" s="116">
        <f>COUNTIFS('DRAFT 2'!$D:$D,$B15,'DRAFT 2'!$A:$A,"&gt;="&amp;DATE(2026,10,1),'DRAFT 2'!$A:$A,"&lt;="&amp;DATE(2026,10,7))</f>
        <v/>
      </c>
      <c r="HP15" s="116">
        <f>COUNTIFS('DRAFT 2'!$D:$D,$B15,'DRAFT 2'!$A:$A,"&gt;="&amp;DATE(2026,10,8),'DRAFT 2'!$A:$A,"&lt;="&amp;DATE(2026,10,14))</f>
        <v/>
      </c>
      <c r="HQ15" s="116">
        <f>COUNTIFS('DRAFT 2'!$D:$D,$B15,'DRAFT 2'!$A:$A,"&gt;="&amp;DATE(2026,10,15),'DRAFT 2'!$A:$A,"&lt;="&amp;DATE(2026,10,21))</f>
        <v/>
      </c>
      <c r="HR15" s="116">
        <f>COUNTIFS('DRAFT 2'!$D:$D,$B15,'DRAFT 2'!$A:$A,"&gt;="&amp;DATE(2026,10,22),'DRAFT 2'!$A:$A,"&lt;"&amp;DATE(2026,IF(10=12,10+1,10+1),1))</f>
        <v/>
      </c>
      <c r="HS15" s="116">
        <f>SUM(HO15:HR15)</f>
        <v/>
      </c>
      <c r="IC15" s="116">
        <f>IFERROR(LOOKUP(2,1/('DRAFT 2'!$D:$D=$B15)*('DRAFT 2'!$A:$A&gt;=DATE(2026,11,1))*('DRAFT 2'!$A:$A&lt;DATE(2026,IF(11=12,11+1,11+1),1)),'DRAFT 2'!$A:$A),"")</f>
        <v/>
      </c>
      <c r="ID15" s="116">
        <f>COUNTIFS('DRAFT 2'!$D:$D,$B15,'DRAFT 2'!$A:$A,"&gt;="&amp;DATE(2026,11,1),'DRAFT 2'!$A:$A,"&lt;="&amp;DATE(2026,11,7))</f>
        <v/>
      </c>
      <c r="IE15" s="116">
        <f>COUNTIFS('DRAFT 2'!$D:$D,$B15,'DRAFT 2'!$A:$A,"&gt;="&amp;DATE(2026,11,8),'DRAFT 2'!$A:$A,"&lt;="&amp;DATE(2026,11,14))</f>
        <v/>
      </c>
      <c r="IF15" s="116">
        <f>COUNTIFS('DRAFT 2'!$D:$D,$B15,'DRAFT 2'!$A:$A,"&gt;="&amp;DATE(2026,11,15),'DRAFT 2'!$A:$A,"&lt;="&amp;DATE(2026,11,21))</f>
        <v/>
      </c>
      <c r="IG15" s="116">
        <f>COUNTIFS('DRAFT 2'!$D:$D,$B15,'DRAFT 2'!$A:$A,"&gt;="&amp;DATE(2026,11,22),'DRAFT 2'!$A:$A,"&lt;"&amp;DATE(2026,IF(11=12,11+1,11+1),1))</f>
        <v/>
      </c>
      <c r="IH15" s="116">
        <f>SUM(ID15:IG15)</f>
        <v/>
      </c>
      <c r="IR15" s="116">
        <f>IFERROR(LOOKUP(2,1/('DRAFT 2'!$D:$D=$B15)*('DRAFT 2'!$A:$A&gt;=DATE(2026,12,1))*('DRAFT 2'!$A:$A&lt;DATE(2026,IF(12=12,12+1,12+1),1)),'DRAFT 2'!$A:$A),"")</f>
        <v/>
      </c>
      <c r="IS15" s="116">
        <f>COUNTIFS('DRAFT 2'!$D:$D,$B15,'DRAFT 2'!$A:$A,"&gt;="&amp;DATE(2026,12,1),'DRAFT 2'!$A:$A,"&lt;="&amp;DATE(2026,12,7))</f>
        <v/>
      </c>
      <c r="IT15" s="116">
        <f>COUNTIFS('DRAFT 2'!$D:$D,$B15,'DRAFT 2'!$A:$A,"&gt;="&amp;DATE(2026,12,8),'DRAFT 2'!$A:$A,"&lt;="&amp;DATE(2026,12,14))</f>
        <v/>
      </c>
      <c r="IU15" s="116">
        <f>COUNTIFS('DRAFT 2'!$D:$D,$B15,'DRAFT 2'!$A:$A,"&gt;="&amp;DATE(2026,12,15),'DRAFT 2'!$A:$A,"&lt;="&amp;DATE(2026,12,21))</f>
        <v/>
      </c>
      <c r="IV15" s="116">
        <f>COUNTIFS('DRAFT 2'!$D:$D,$B15,'DRAFT 2'!$A:$A,"&gt;="&amp;DATE(2026,12,22),'DRAFT 2'!$A:$A,"&lt;"&amp;DATE(2026,IF(12=12,12+1,12+1),1))</f>
        <v/>
      </c>
      <c r="IW15" s="116">
        <f>SUM(IS15:IV15)</f>
        <v/>
      </c>
    </row>
    <row r="16">
      <c r="A16" s="116">
        <f>IFERROR(INDEX('DRAFT 1'!$A:$A,MATCH($B16,'DRAFT 1'!$B:$B,0)),"")</f>
        <v/>
      </c>
      <c r="C16" s="116">
        <f>IFERROR(INDEX('DRAFT 1'!$C:$C,MATCH($B16,'DRAFT 1'!$B:$B,0)),"")</f>
        <v/>
      </c>
      <c r="D16" s="116">
        <f>IFERROR(INDEX('DRAFT 1'!$D:$D,MATCH($B16,'DRAFT 1'!$B:$B,0)),"")</f>
        <v/>
      </c>
      <c r="E16" s="116">
        <f>IFERROR(INDEX('DRAFT 1'!$E:$E,MATCH($B16,'DRAFT 1'!$B:$B,0)),"")</f>
        <v/>
      </c>
      <c r="F16" s="116">
        <f>IFERROR(INDEX('DRAFT 1'!$F:$F,MATCH($B16,'DRAFT 1'!$B:$B,0)),"")</f>
        <v/>
      </c>
      <c r="G16" s="116">
        <f>IFERROR(INDEX('DRAFT 1'!$G:$G,MATCH($B16,'DRAFT 1'!$B:$B,0)),"")</f>
        <v/>
      </c>
      <c r="H16" s="116">
        <f>IFERROR(INDEX('DRAFT 1'!$H:$H,MATCH($B16,'DRAFT 1'!$B:$B,0)),"")</f>
        <v/>
      </c>
      <c r="I16" s="116" t="inlineStr">
        <is>
          <t>TUDO EM GRAOS</t>
        </is>
      </c>
      <c r="K16" s="116">
        <f>IFERROR(INDEX('DRAFT 1'!$AL:$AL,MATCH($B16,'DRAFT 1'!$B:$B,0)),"")</f>
        <v/>
      </c>
      <c r="L16" s="116">
        <f>IFERROR(INDEX('DRAFT 1'!$J:$J,MATCH($B16,'DRAFT 1'!$B:$B,0)),"")</f>
        <v/>
      </c>
      <c r="M16" s="116">
        <f>IFERROR(INDEX('DRAFT 1'!$K:$K,MATCH($B16,'DRAFT 1'!$B:$B,0)),"")</f>
        <v/>
      </c>
      <c r="N16" s="116" t="inlineStr">
        <is>
          <t>ATIVO</t>
        </is>
      </c>
      <c r="P16" s="116">
        <f>IFERROR(INDEX('DRAFT 1'!$L:$L,MATCH($B16,'DRAFT 1'!$B:$B,0)),"")</f>
        <v/>
      </c>
      <c r="Q16" s="116">
        <f>IFERROR(INDEX('DRAFT 1'!$M:$M,MATCH($B16,'DRAFT 1'!$B:$B,0)),"")</f>
        <v/>
      </c>
      <c r="R16" s="116">
        <f>IFERROR(INDEX('DRAFT 1'!$N:$N,MATCH($B16,'DRAFT 1'!$B:$B,0)),"")</f>
        <v/>
      </c>
      <c r="S16" s="116">
        <f>IFERROR(INDEX('DRAFT 1'!$O:$O,MATCH($B16,'DRAFT 1'!$B:$B,0)),"")</f>
        <v/>
      </c>
      <c r="T16" s="116">
        <f>IFERROR(INDEX('DRAFT 1'!$P:$P,MATCH($B16,'DRAFT 1'!$B:$B,0)),"")</f>
        <v/>
      </c>
      <c r="U16" s="116">
        <f>IFERROR(INDEX('DRAFT 1'!$Q:$Q,MATCH($B16,'DRAFT 1'!$B:$B,0)),"")</f>
        <v/>
      </c>
      <c r="V16" s="116">
        <f>IFERROR(INDEX('DRAFT 1'!$R:$R,MATCH($B16,'DRAFT 1'!$B:$B,0)),"")</f>
        <v/>
      </c>
      <c r="W16" s="116">
        <f>IFERROR(INDEX('DRAFT 1'!$S:$S,MATCH($B16,'DRAFT 1'!$B:$B,0)),"")</f>
        <v/>
      </c>
      <c r="X16" s="116">
        <f>IFERROR(INDEX('DRAFT 1'!$T:$T,MATCH($B16,'DRAFT 1'!$B:$B,0)),"")</f>
        <v/>
      </c>
      <c r="Z16" s="116">
        <f>IFERROR(INDEX('DRAFT 1'!$U:$U,MATCH($B16,'DRAFT 1'!$B:$B,0)),"")</f>
        <v/>
      </c>
      <c r="AA16" s="116">
        <f>IFERROR(INDEX('DRAFT 1'!$V:$V,MATCH($B16,'DRAFT 1'!$B:$B,0)),"")</f>
        <v/>
      </c>
      <c r="AB16" s="116">
        <f>IFERROR(INDEX('DRAFT 1'!$W:$W,MATCH($B16,'DRAFT 1'!$B:$B,0)),"")</f>
        <v/>
      </c>
      <c r="AC16" s="116">
        <f>IFERROR(INDEX('DRAFT 1'!$X:$X,MATCH($B16,'DRAFT 1'!$B:$B,0)),"")</f>
        <v/>
      </c>
      <c r="AD16" s="116">
        <f>IFERROR(INDEX('DRAFT 1'!$Y:$Y,MATCH($B16,'DRAFT 1'!$B:$B,0)),"")</f>
        <v/>
      </c>
      <c r="AE16" s="116">
        <f>IFERROR(INDEX('DRAFT 1'!$Z:$Z,MATCH($B16,'DRAFT 1'!$B:$B,0)),"")</f>
        <v/>
      </c>
      <c r="AF16" s="116">
        <f>IFERROR(INDEX('DRAFT 1'!$AA:$AA,MATCH($B16,'DRAFT 1'!$B:$B,0)),"")</f>
        <v/>
      </c>
      <c r="AG16" s="116">
        <f>IFERROR(INDEX('DRAFT 1'!$AB:$AB,MATCH($B16,'DRAFT 1'!$B:$B,0)),"")</f>
        <v/>
      </c>
      <c r="AH16" s="116">
        <f>IFERROR(INDEX('DRAFT 1'!$AC:$AC,MATCH($B16,'DRAFT 1'!$B:$B,0)),"")</f>
        <v/>
      </c>
      <c r="AI16" s="116">
        <f>IFERROR(INDEX('DRAFT 1'!$AD:$AD,MATCH($B16,'DRAFT 1'!$B:$B,0)),"")</f>
        <v/>
      </c>
      <c r="AJ16" s="116">
        <f>IFERROR(INDEX('DRAFT 1'!$AE:$AE,MATCH($B16,'DRAFT 1'!$B:$B,0)),"")</f>
        <v/>
      </c>
      <c r="AK16" s="116">
        <f>IFERROR(INDEX('DRAFT 1'!$AG:$AG,MATCH($B16,'DRAFT 1'!$B:$B,0)),"")</f>
        <v/>
      </c>
      <c r="AL16" s="116">
        <f>IFERROR(INDEX('DRAFT 1'!$AH:$AH,MATCH($B16,'DRAFT 1'!$B:$B,0)),"")</f>
        <v/>
      </c>
      <c r="AM16" s="116">
        <f>IFERROR(INDEX('DRAFT 1'!$AI:$AI,MATCH($B16,'DRAFT 1'!$B:$B,0)),"")</f>
        <v/>
      </c>
      <c r="AN16" s="116">
        <f>IFERROR(INDEX('DRAFT 1'!$AJ:$AJ,MATCH($B16,'DRAFT 1'!$B:$B,0)),"")</f>
        <v/>
      </c>
      <c r="AO16" s="116">
        <f>IFERROR(Y16/AN16,0)</f>
        <v/>
      </c>
      <c r="AP16" s="116">
        <f>IFERROR(INDEX('DRAFT 1'!$AK:$AK,MATCH($B16,'DRAFT 1'!$B:$B,0)),"")</f>
        <v/>
      </c>
      <c r="AR16" s="116" t="inlineStr">
        <is>
          <t>PROSPECÇÃO</t>
        </is>
      </c>
      <c r="AS16" s="116">
        <f>IFERROR(LOOKUP(2,1/('DRAFT 2'!$D:$D=$B16),'DRAFT 2'!$T:$T),"")</f>
        <v/>
      </c>
      <c r="AT16" s="116">
        <f>IFERROR(LOOKUP(2,1/('DRAFT 2'!$D:$D=$B16),'DRAFT 2'!$A:$A),"")</f>
        <v/>
      </c>
      <c r="AU16" s="116">
        <f>IFERROR(LOOKUP(2,1/('DRAFT 2'!$D:$D=$B16),'DRAFT 2'!$R:$R),"")</f>
        <v/>
      </c>
      <c r="AV16" s="116">
        <f>IFERROR(LOOKUP(2,1/('DRAFT 2'!$D:$D=$B16),'DRAFT 2'!$S:$S),"")</f>
        <v/>
      </c>
      <c r="AW16" s="116" t="inlineStr">
        <is>
          <t>NOVO</t>
        </is>
      </c>
      <c r="AX16" s="116">
        <f>IFERROR(LOOKUP(2,1/('DRAFT 2'!$D:$D=$B16),'DRAFT 2'!$M:$M),"")</f>
        <v/>
      </c>
      <c r="AY16" s="116">
        <f>IFERROR(LOOKUP(2,1/('DRAFT 2'!$D:$D=$B16),'DRAFT 2'!$K:$K),"")</f>
        <v/>
      </c>
      <c r="BG16" s="116">
        <f>IFERROR(LOOKUP(2,1/('DRAFT 2'!$D:$D=$B16),'DRAFT 2'!$U:$U),"")</f>
        <v/>
      </c>
      <c r="BH16" s="116">
        <f>IFERROR(LOOKUP(2,1/('DRAFT 2'!$D:$D=$B16),'DRAFT 2'!$V:$V),"")</f>
        <v/>
      </c>
      <c r="CE16" s="116">
        <f>IFERROR(AJ16,0)</f>
        <v/>
      </c>
      <c r="CF16" s="116">
        <f>IFERROR(LOOKUP(2,1/('DRAFT 2'!$D:$D=$B16)*('DRAFT 2'!$A:$A&gt;=DATE(2026,1,1))*('DRAFT 2'!$A:$A&lt;DATE(2026,IF(1=12,1+1,1+1),1)),'DRAFT 2'!$A:$A),"")</f>
        <v/>
      </c>
      <c r="CG16" s="116">
        <f>COUNTIFS('DRAFT 2'!$D:$D,$B16,'DRAFT 2'!$A:$A,"&gt;="&amp;DATE(2026,1,1),'DRAFT 2'!$A:$A,"&lt;="&amp;DATE(2026,1,7))</f>
        <v/>
      </c>
      <c r="CH16" s="116">
        <f>COUNTIFS('DRAFT 2'!$D:$D,$B16,'DRAFT 2'!$A:$A,"&gt;="&amp;DATE(2026,1,8),'DRAFT 2'!$A:$A,"&lt;="&amp;DATE(2026,1,14))</f>
        <v/>
      </c>
      <c r="CI16" s="116">
        <f>COUNTIFS('DRAFT 2'!$D:$D,$B16,'DRAFT 2'!$A:$A,"&gt;="&amp;DATE(2026,1,15),'DRAFT 2'!$A:$A,"&lt;="&amp;DATE(2026,1,21))</f>
        <v/>
      </c>
      <c r="CJ16" s="116">
        <f>COUNTIFS('DRAFT 2'!$D:$D,$B16,'DRAFT 2'!$A:$A,"&gt;="&amp;DATE(2026,1,22),'DRAFT 2'!$A:$A,"&lt;"&amp;DATE(2026,IF(1=12,1+1,1+1),1))</f>
        <v/>
      </c>
      <c r="CK16" s="116">
        <f>SUM(CG16:CJ16)</f>
        <v/>
      </c>
      <c r="CT16" s="116" t="n">
        <v>0</v>
      </c>
      <c r="CU16" s="116">
        <f>IFERROR(LOOKUP(2,1/('DRAFT 2'!$D:$D=$B16)*('DRAFT 2'!$A:$A&gt;=DATE(2026,2,1))*('DRAFT 2'!$A:$A&lt;DATE(2026,IF(2=12,2+1,2+1),1)),'DRAFT 2'!$A:$A),"")</f>
        <v/>
      </c>
      <c r="CV16" s="116">
        <f>COUNTIFS('DRAFT 2'!$D:$D,$B16,'DRAFT 2'!$A:$A,"&gt;="&amp;DATE(2026,2,1),'DRAFT 2'!$A:$A,"&lt;="&amp;DATE(2026,2,7))</f>
        <v/>
      </c>
      <c r="CW16" s="116">
        <f>COUNTIFS('DRAFT 2'!$D:$D,$B16,'DRAFT 2'!$A:$A,"&gt;="&amp;DATE(2026,2,8),'DRAFT 2'!$A:$A,"&lt;="&amp;DATE(2026,2,14))</f>
        <v/>
      </c>
      <c r="CX16" s="116">
        <f>COUNTIFS('DRAFT 2'!$D:$D,$B16,'DRAFT 2'!$A:$A,"&gt;="&amp;DATE(2026,2,15),'DRAFT 2'!$A:$A,"&lt;="&amp;DATE(2026,2,21))</f>
        <v/>
      </c>
      <c r="CY16" s="116">
        <f>COUNTIFS('DRAFT 2'!$D:$D,$B16,'DRAFT 2'!$A:$A,"&gt;="&amp;DATE(2026,2,22),'DRAFT 2'!$A:$A,"&lt;"&amp;DATE(2026,IF(2=12,2+1,2+1),1))</f>
        <v/>
      </c>
      <c r="CZ16" s="116">
        <f>SUM(CV16:CY16)</f>
        <v/>
      </c>
      <c r="DJ16" s="116">
        <f>IFERROR(LOOKUP(2,1/('DRAFT 2'!$D:$D=$B16)*('DRAFT 2'!$A:$A&gt;=DATE(2026,3,1))*('DRAFT 2'!$A:$A&lt;DATE(2026,IF(3=12,3+1,3+1),1)),'DRAFT 2'!$A:$A),"")</f>
        <v/>
      </c>
      <c r="DK16" s="116">
        <f>COUNTIFS('DRAFT 2'!$D:$D,$B16,'DRAFT 2'!$A:$A,"&gt;="&amp;DATE(2026,3,1),'DRAFT 2'!$A:$A,"&lt;="&amp;DATE(2026,3,7))</f>
        <v/>
      </c>
      <c r="DL16" s="116">
        <f>COUNTIFS('DRAFT 2'!$D:$D,$B16,'DRAFT 2'!$A:$A,"&gt;="&amp;DATE(2026,3,8),'DRAFT 2'!$A:$A,"&lt;="&amp;DATE(2026,3,14))</f>
        <v/>
      </c>
      <c r="DM16" s="116">
        <f>COUNTIFS('DRAFT 2'!$D:$D,$B16,'DRAFT 2'!$A:$A,"&gt;="&amp;DATE(2026,3,15),'DRAFT 2'!$A:$A,"&lt;="&amp;DATE(2026,3,21))</f>
        <v/>
      </c>
      <c r="DN16" s="116">
        <f>COUNTIFS('DRAFT 2'!$D:$D,$B16,'DRAFT 2'!$A:$A,"&gt;="&amp;DATE(2026,3,22),'DRAFT 2'!$A:$A,"&lt;"&amp;DATE(2026,IF(3=12,3+1,3+1),1))</f>
        <v/>
      </c>
      <c r="DO16" s="116">
        <f>SUM(DK16:DN16)</f>
        <v/>
      </c>
      <c r="DZ16" s="116">
        <f>IFERROR(LOOKUP(2,1/('DRAFT 2'!$D:$D=$B16)*('DRAFT 2'!$A:$A&gt;=DATE(2026,4,1))*('DRAFT 2'!$A:$A&lt;DATE(2026,IF(4=12,4+1,4+1),1)),'DRAFT 2'!$A:$A),"")</f>
        <v/>
      </c>
      <c r="EA16" s="116">
        <f>COUNTIFS('DRAFT 2'!$D:$D,$B16,'DRAFT 2'!$A:$A,"&gt;="&amp;DATE(2026,4,1),'DRAFT 2'!$A:$A,"&lt;="&amp;DATE(2026,4,7))</f>
        <v/>
      </c>
      <c r="EB16" s="116">
        <f>COUNTIFS('DRAFT 2'!$D:$D,$B16,'DRAFT 2'!$A:$A,"&gt;="&amp;DATE(2026,4,8),'DRAFT 2'!$A:$A,"&lt;="&amp;DATE(2026,4,14))</f>
        <v/>
      </c>
      <c r="EC16" s="116">
        <f>COUNTIFS('DRAFT 2'!$D:$D,$B16,'DRAFT 2'!$A:$A,"&gt;="&amp;DATE(2026,4,15),'DRAFT 2'!$A:$A,"&lt;="&amp;DATE(2026,4,21))</f>
        <v/>
      </c>
      <c r="ED16" s="116">
        <f>COUNTIFS('DRAFT 2'!$D:$D,$B16,'DRAFT 2'!$A:$A,"&gt;="&amp;DATE(2026,4,22),'DRAFT 2'!$A:$A,"&lt;"&amp;DATE(2026,IF(4=12,4+1,4+1),1))</f>
        <v/>
      </c>
      <c r="EE16" s="116">
        <f>SUM(EA16:ED16)</f>
        <v/>
      </c>
      <c r="EO16" s="116">
        <f>IFERROR(LOOKUP(2,1/('DRAFT 2'!$D:$D=$B16)*('DRAFT 2'!$A:$A&gt;=DATE(2026,5,1))*('DRAFT 2'!$A:$A&lt;DATE(2026,IF(5=12,5+1,5+1),1)),'DRAFT 2'!$A:$A),"")</f>
        <v/>
      </c>
      <c r="EP16" s="116">
        <f>COUNTIFS('DRAFT 2'!$D:$D,$B16,'DRAFT 2'!$A:$A,"&gt;="&amp;DATE(2026,5,1),'DRAFT 2'!$A:$A,"&lt;="&amp;DATE(2026,5,7))</f>
        <v/>
      </c>
      <c r="EQ16" s="116">
        <f>COUNTIFS('DRAFT 2'!$D:$D,$B16,'DRAFT 2'!$A:$A,"&gt;="&amp;DATE(2026,5,8),'DRAFT 2'!$A:$A,"&lt;="&amp;DATE(2026,5,14))</f>
        <v/>
      </c>
      <c r="ER16" s="116">
        <f>COUNTIFS('DRAFT 2'!$D:$D,$B16,'DRAFT 2'!$A:$A,"&gt;="&amp;DATE(2026,5,15),'DRAFT 2'!$A:$A,"&lt;="&amp;DATE(2026,5,21))</f>
        <v/>
      </c>
      <c r="ES16" s="116">
        <f>COUNTIFS('DRAFT 2'!$D:$D,$B16,'DRAFT 2'!$A:$A,"&gt;="&amp;DATE(2026,5,22),'DRAFT 2'!$A:$A,"&lt;"&amp;DATE(2026,IF(5=12,5+1,5+1),1))</f>
        <v/>
      </c>
      <c r="ET16" s="116">
        <f>SUM(EP16:ES16)</f>
        <v/>
      </c>
      <c r="FD16" s="116">
        <f>IFERROR(LOOKUP(2,1/('DRAFT 2'!$D:$D=$B16)*('DRAFT 2'!$A:$A&gt;=DATE(2026,6,1))*('DRAFT 2'!$A:$A&lt;DATE(2026,IF(6=12,6+1,6+1),1)),'DRAFT 2'!$A:$A),"")</f>
        <v/>
      </c>
      <c r="FE16" s="116">
        <f>COUNTIFS('DRAFT 2'!$D:$D,$B16,'DRAFT 2'!$A:$A,"&gt;="&amp;DATE(2026,6,1),'DRAFT 2'!$A:$A,"&lt;="&amp;DATE(2026,6,7))</f>
        <v/>
      </c>
      <c r="FF16" s="116">
        <f>COUNTIFS('DRAFT 2'!$D:$D,$B16,'DRAFT 2'!$A:$A,"&gt;="&amp;DATE(2026,6,8),'DRAFT 2'!$A:$A,"&lt;="&amp;DATE(2026,6,14))</f>
        <v/>
      </c>
      <c r="FG16" s="116">
        <f>COUNTIFS('DRAFT 2'!$D:$D,$B16,'DRAFT 2'!$A:$A,"&gt;="&amp;DATE(2026,6,15),'DRAFT 2'!$A:$A,"&lt;="&amp;DATE(2026,6,21))</f>
        <v/>
      </c>
      <c r="FH16" s="116">
        <f>COUNTIFS('DRAFT 2'!$D:$D,$B16,'DRAFT 2'!$A:$A,"&gt;="&amp;DATE(2026,6,22),'DRAFT 2'!$A:$A,"&lt;"&amp;DATE(2026,IF(6=12,6+1,6+1),1))</f>
        <v/>
      </c>
      <c r="FI16" s="116">
        <f>SUM(FE16:FH16)</f>
        <v/>
      </c>
      <c r="FT16" s="116">
        <f>IFERROR(LOOKUP(2,1/('DRAFT 2'!$D:$D=$B16)*('DRAFT 2'!$A:$A&gt;=DATE(2026,7,1))*('DRAFT 2'!$A:$A&lt;DATE(2026,IF(7=12,7+1,7+1),1)),'DRAFT 2'!$A:$A),"")</f>
        <v/>
      </c>
      <c r="FU16" s="116">
        <f>COUNTIFS('DRAFT 2'!$D:$D,$B16,'DRAFT 2'!$A:$A,"&gt;="&amp;DATE(2026,7,1),'DRAFT 2'!$A:$A,"&lt;="&amp;DATE(2026,7,7))</f>
        <v/>
      </c>
      <c r="FV16" s="116">
        <f>COUNTIFS('DRAFT 2'!$D:$D,$B16,'DRAFT 2'!$A:$A,"&gt;="&amp;DATE(2026,7,8),'DRAFT 2'!$A:$A,"&lt;="&amp;DATE(2026,7,14))</f>
        <v/>
      </c>
      <c r="FW16" s="116">
        <f>COUNTIFS('DRAFT 2'!$D:$D,$B16,'DRAFT 2'!$A:$A,"&gt;="&amp;DATE(2026,7,15),'DRAFT 2'!$A:$A,"&lt;="&amp;DATE(2026,7,21))</f>
        <v/>
      </c>
      <c r="FX16" s="116">
        <f>COUNTIFS('DRAFT 2'!$D:$D,$B16,'DRAFT 2'!$A:$A,"&gt;="&amp;DATE(2026,7,22),'DRAFT 2'!$A:$A,"&lt;"&amp;DATE(2026,IF(7=12,7+1,7+1),1))</f>
        <v/>
      </c>
      <c r="FY16" s="116">
        <f>SUM(FU16:FX16)</f>
        <v/>
      </c>
      <c r="GI16" s="116">
        <f>IFERROR(LOOKUP(2,1/('DRAFT 2'!$D:$D=$B16)*('DRAFT 2'!$A:$A&gt;=DATE(2026,8,1))*('DRAFT 2'!$A:$A&lt;DATE(2026,IF(8=12,8+1,8+1),1)),'DRAFT 2'!$A:$A),"")</f>
        <v/>
      </c>
      <c r="GJ16" s="116">
        <f>COUNTIFS('DRAFT 2'!$D:$D,$B16,'DRAFT 2'!$A:$A,"&gt;="&amp;DATE(2026,8,1),'DRAFT 2'!$A:$A,"&lt;="&amp;DATE(2026,8,7))</f>
        <v/>
      </c>
      <c r="GK16" s="116">
        <f>COUNTIFS('DRAFT 2'!$D:$D,$B16,'DRAFT 2'!$A:$A,"&gt;="&amp;DATE(2026,8,8),'DRAFT 2'!$A:$A,"&lt;="&amp;DATE(2026,8,14))</f>
        <v/>
      </c>
      <c r="GL16" s="116">
        <f>COUNTIFS('DRAFT 2'!$D:$D,$B16,'DRAFT 2'!$A:$A,"&gt;="&amp;DATE(2026,8,15),'DRAFT 2'!$A:$A,"&lt;="&amp;DATE(2026,8,21))</f>
        <v/>
      </c>
      <c r="GM16" s="116">
        <f>COUNTIFS('DRAFT 2'!$D:$D,$B16,'DRAFT 2'!$A:$A,"&gt;="&amp;DATE(2026,8,22),'DRAFT 2'!$A:$A,"&lt;"&amp;DATE(2026,IF(8=12,8+1,8+1),1))</f>
        <v/>
      </c>
      <c r="GN16" s="116">
        <f>SUM(GJ16:GM16)</f>
        <v/>
      </c>
      <c r="GX16" s="116">
        <f>IFERROR(LOOKUP(2,1/('DRAFT 2'!$D:$D=$B16)*('DRAFT 2'!$A:$A&gt;=DATE(2026,9,1))*('DRAFT 2'!$A:$A&lt;DATE(2026,IF(9=12,9+1,9+1),1)),'DRAFT 2'!$A:$A),"")</f>
        <v/>
      </c>
      <c r="GY16" s="116">
        <f>COUNTIFS('DRAFT 2'!$D:$D,$B16,'DRAFT 2'!$A:$A,"&gt;="&amp;DATE(2026,9,1),'DRAFT 2'!$A:$A,"&lt;="&amp;DATE(2026,9,7))</f>
        <v/>
      </c>
      <c r="GZ16" s="116">
        <f>COUNTIFS('DRAFT 2'!$D:$D,$B16,'DRAFT 2'!$A:$A,"&gt;="&amp;DATE(2026,9,8),'DRAFT 2'!$A:$A,"&lt;="&amp;DATE(2026,9,14))</f>
        <v/>
      </c>
      <c r="HA16" s="116">
        <f>COUNTIFS('DRAFT 2'!$D:$D,$B16,'DRAFT 2'!$A:$A,"&gt;="&amp;DATE(2026,9,15),'DRAFT 2'!$A:$A,"&lt;="&amp;DATE(2026,9,21))</f>
        <v/>
      </c>
      <c r="HB16" s="116">
        <f>COUNTIFS('DRAFT 2'!$D:$D,$B16,'DRAFT 2'!$A:$A,"&gt;="&amp;DATE(2026,9,22),'DRAFT 2'!$A:$A,"&lt;"&amp;DATE(2026,IF(9=12,9+1,9+1),1))</f>
        <v/>
      </c>
      <c r="HC16" s="116">
        <f>SUM(GY16:HB16)</f>
        <v/>
      </c>
      <c r="HN16" s="116">
        <f>IFERROR(LOOKUP(2,1/('DRAFT 2'!$D:$D=$B16)*('DRAFT 2'!$A:$A&gt;=DATE(2026,10,1))*('DRAFT 2'!$A:$A&lt;DATE(2026,IF(10=12,10+1,10+1),1)),'DRAFT 2'!$A:$A),"")</f>
        <v/>
      </c>
      <c r="HO16" s="116">
        <f>COUNTIFS('DRAFT 2'!$D:$D,$B16,'DRAFT 2'!$A:$A,"&gt;="&amp;DATE(2026,10,1),'DRAFT 2'!$A:$A,"&lt;="&amp;DATE(2026,10,7))</f>
        <v/>
      </c>
      <c r="HP16" s="116">
        <f>COUNTIFS('DRAFT 2'!$D:$D,$B16,'DRAFT 2'!$A:$A,"&gt;="&amp;DATE(2026,10,8),'DRAFT 2'!$A:$A,"&lt;="&amp;DATE(2026,10,14))</f>
        <v/>
      </c>
      <c r="HQ16" s="116">
        <f>COUNTIFS('DRAFT 2'!$D:$D,$B16,'DRAFT 2'!$A:$A,"&gt;="&amp;DATE(2026,10,15),'DRAFT 2'!$A:$A,"&lt;="&amp;DATE(2026,10,21))</f>
        <v/>
      </c>
      <c r="HR16" s="116">
        <f>COUNTIFS('DRAFT 2'!$D:$D,$B16,'DRAFT 2'!$A:$A,"&gt;="&amp;DATE(2026,10,22),'DRAFT 2'!$A:$A,"&lt;"&amp;DATE(2026,IF(10=12,10+1,10+1),1))</f>
        <v/>
      </c>
      <c r="HS16" s="116">
        <f>SUM(HO16:HR16)</f>
        <v/>
      </c>
      <c r="IC16" s="116">
        <f>IFERROR(LOOKUP(2,1/('DRAFT 2'!$D:$D=$B16)*('DRAFT 2'!$A:$A&gt;=DATE(2026,11,1))*('DRAFT 2'!$A:$A&lt;DATE(2026,IF(11=12,11+1,11+1),1)),'DRAFT 2'!$A:$A),"")</f>
        <v/>
      </c>
      <c r="ID16" s="116">
        <f>COUNTIFS('DRAFT 2'!$D:$D,$B16,'DRAFT 2'!$A:$A,"&gt;="&amp;DATE(2026,11,1),'DRAFT 2'!$A:$A,"&lt;="&amp;DATE(2026,11,7))</f>
        <v/>
      </c>
      <c r="IE16" s="116">
        <f>COUNTIFS('DRAFT 2'!$D:$D,$B16,'DRAFT 2'!$A:$A,"&gt;="&amp;DATE(2026,11,8),'DRAFT 2'!$A:$A,"&lt;="&amp;DATE(2026,11,14))</f>
        <v/>
      </c>
      <c r="IF16" s="116">
        <f>COUNTIFS('DRAFT 2'!$D:$D,$B16,'DRAFT 2'!$A:$A,"&gt;="&amp;DATE(2026,11,15),'DRAFT 2'!$A:$A,"&lt;="&amp;DATE(2026,11,21))</f>
        <v/>
      </c>
      <c r="IG16" s="116">
        <f>COUNTIFS('DRAFT 2'!$D:$D,$B16,'DRAFT 2'!$A:$A,"&gt;="&amp;DATE(2026,11,22),'DRAFT 2'!$A:$A,"&lt;"&amp;DATE(2026,IF(11=12,11+1,11+1),1))</f>
        <v/>
      </c>
      <c r="IH16" s="116">
        <f>SUM(ID16:IG16)</f>
        <v/>
      </c>
      <c r="IR16" s="116">
        <f>IFERROR(LOOKUP(2,1/('DRAFT 2'!$D:$D=$B16)*('DRAFT 2'!$A:$A&gt;=DATE(2026,12,1))*('DRAFT 2'!$A:$A&lt;DATE(2026,IF(12=12,12+1,12+1),1)),'DRAFT 2'!$A:$A),"")</f>
        <v/>
      </c>
      <c r="IS16" s="116">
        <f>COUNTIFS('DRAFT 2'!$D:$D,$B16,'DRAFT 2'!$A:$A,"&gt;="&amp;DATE(2026,12,1),'DRAFT 2'!$A:$A,"&lt;="&amp;DATE(2026,12,7))</f>
        <v/>
      </c>
      <c r="IT16" s="116">
        <f>COUNTIFS('DRAFT 2'!$D:$D,$B16,'DRAFT 2'!$A:$A,"&gt;="&amp;DATE(2026,12,8),'DRAFT 2'!$A:$A,"&lt;="&amp;DATE(2026,12,14))</f>
        <v/>
      </c>
      <c r="IU16" s="116">
        <f>COUNTIFS('DRAFT 2'!$D:$D,$B16,'DRAFT 2'!$A:$A,"&gt;="&amp;DATE(2026,12,15),'DRAFT 2'!$A:$A,"&lt;="&amp;DATE(2026,12,21))</f>
        <v/>
      </c>
      <c r="IV16" s="116">
        <f>COUNTIFS('DRAFT 2'!$D:$D,$B16,'DRAFT 2'!$A:$A,"&gt;="&amp;DATE(2026,12,22),'DRAFT 2'!$A:$A,"&lt;"&amp;DATE(2026,IF(12=12,12+1,12+1),1))</f>
        <v/>
      </c>
      <c r="IW16" s="116">
        <f>SUM(IS16:IV16)</f>
        <v/>
      </c>
    </row>
    <row r="17">
      <c r="A17" s="116">
        <f>IFERROR(INDEX('DRAFT 1'!$A:$A,MATCH($B17,'DRAFT 1'!$B:$B,0)),"")</f>
        <v/>
      </c>
      <c r="C17" s="116">
        <f>IFERROR(INDEX('DRAFT 1'!$C:$C,MATCH($B17,'DRAFT 1'!$B:$B,0)),"")</f>
        <v/>
      </c>
      <c r="D17" s="116">
        <f>IFERROR(INDEX('DRAFT 1'!$D:$D,MATCH($B17,'DRAFT 1'!$B:$B,0)),"")</f>
        <v/>
      </c>
      <c r="E17" s="116">
        <f>IFERROR(INDEX('DRAFT 1'!$E:$E,MATCH($B17,'DRAFT 1'!$B:$B,0)),"")</f>
        <v/>
      </c>
      <c r="F17" s="116">
        <f>IFERROR(INDEX('DRAFT 1'!$F:$F,MATCH($B17,'DRAFT 1'!$B:$B,0)),"")</f>
        <v/>
      </c>
      <c r="G17" s="116">
        <f>IFERROR(INDEX('DRAFT 1'!$G:$G,MATCH($B17,'DRAFT 1'!$B:$B,0)),"")</f>
        <v/>
      </c>
      <c r="H17" s="116">
        <f>IFERROR(INDEX('DRAFT 1'!$H:$H,MATCH($B17,'DRAFT 1'!$B:$B,0)),"")</f>
        <v/>
      </c>
      <c r="I17" s="116" t="inlineStr">
        <is>
          <t>CIA DA SAUDE</t>
        </is>
      </c>
      <c r="K17" s="116">
        <f>IFERROR(INDEX('DRAFT 1'!$AL:$AL,MATCH($B17,'DRAFT 1'!$B:$B,0)),"")</f>
        <v/>
      </c>
      <c r="L17" s="116">
        <f>IFERROR(INDEX('DRAFT 1'!$J:$J,MATCH($B17,'DRAFT 1'!$B:$B,0)),"")</f>
        <v/>
      </c>
      <c r="M17" s="116">
        <f>IFERROR(INDEX('DRAFT 1'!$K:$K,MATCH($B17,'DRAFT 1'!$B:$B,0)),"")</f>
        <v/>
      </c>
      <c r="N17" s="116" t="inlineStr">
        <is>
          <t>NOVO</t>
        </is>
      </c>
      <c r="P17" s="116">
        <f>IFERROR(INDEX('DRAFT 1'!$L:$L,MATCH($B17,'DRAFT 1'!$B:$B,0)),"")</f>
        <v/>
      </c>
      <c r="Q17" s="116">
        <f>IFERROR(INDEX('DRAFT 1'!$M:$M,MATCH($B17,'DRAFT 1'!$B:$B,0)),"")</f>
        <v/>
      </c>
      <c r="R17" s="116">
        <f>IFERROR(INDEX('DRAFT 1'!$N:$N,MATCH($B17,'DRAFT 1'!$B:$B,0)),"")</f>
        <v/>
      </c>
      <c r="S17" s="116">
        <f>IFERROR(INDEX('DRAFT 1'!$O:$O,MATCH($B17,'DRAFT 1'!$B:$B,0)),"")</f>
        <v/>
      </c>
      <c r="T17" s="116">
        <f>IFERROR(INDEX('DRAFT 1'!$P:$P,MATCH($B17,'DRAFT 1'!$B:$B,0)),"")</f>
        <v/>
      </c>
      <c r="U17" s="116">
        <f>IFERROR(INDEX('DRAFT 1'!$Q:$Q,MATCH($B17,'DRAFT 1'!$B:$B,0)),"")</f>
        <v/>
      </c>
      <c r="V17" s="116">
        <f>IFERROR(INDEX('DRAFT 1'!$R:$R,MATCH($B17,'DRAFT 1'!$B:$B,0)),"")</f>
        <v/>
      </c>
      <c r="W17" s="116">
        <f>IFERROR(INDEX('DRAFT 1'!$S:$S,MATCH($B17,'DRAFT 1'!$B:$B,0)),"")</f>
        <v/>
      </c>
      <c r="X17" s="116">
        <f>IFERROR(INDEX('DRAFT 1'!$T:$T,MATCH($B17,'DRAFT 1'!$B:$B,0)),"")</f>
        <v/>
      </c>
      <c r="Z17" s="116">
        <f>IFERROR(INDEX('DRAFT 1'!$U:$U,MATCH($B17,'DRAFT 1'!$B:$B,0)),"")</f>
        <v/>
      </c>
      <c r="AA17" s="116">
        <f>IFERROR(INDEX('DRAFT 1'!$V:$V,MATCH($B17,'DRAFT 1'!$B:$B,0)),"")</f>
        <v/>
      </c>
      <c r="AB17" s="116">
        <f>IFERROR(INDEX('DRAFT 1'!$W:$W,MATCH($B17,'DRAFT 1'!$B:$B,0)),"")</f>
        <v/>
      </c>
      <c r="AC17" s="116">
        <f>IFERROR(INDEX('DRAFT 1'!$X:$X,MATCH($B17,'DRAFT 1'!$B:$B,0)),"")</f>
        <v/>
      </c>
      <c r="AD17" s="116">
        <f>IFERROR(INDEX('DRAFT 1'!$Y:$Y,MATCH($B17,'DRAFT 1'!$B:$B,0)),"")</f>
        <v/>
      </c>
      <c r="AE17" s="116">
        <f>IFERROR(INDEX('DRAFT 1'!$Z:$Z,MATCH($B17,'DRAFT 1'!$B:$B,0)),"")</f>
        <v/>
      </c>
      <c r="AF17" s="116">
        <f>IFERROR(INDEX('DRAFT 1'!$AA:$AA,MATCH($B17,'DRAFT 1'!$B:$B,0)),"")</f>
        <v/>
      </c>
      <c r="AG17" s="116">
        <f>IFERROR(INDEX('DRAFT 1'!$AB:$AB,MATCH($B17,'DRAFT 1'!$B:$B,0)),"")</f>
        <v/>
      </c>
      <c r="AH17" s="116">
        <f>IFERROR(INDEX('DRAFT 1'!$AC:$AC,MATCH($B17,'DRAFT 1'!$B:$B,0)),"")</f>
        <v/>
      </c>
      <c r="AI17" s="116">
        <f>IFERROR(INDEX('DRAFT 1'!$AD:$AD,MATCH($B17,'DRAFT 1'!$B:$B,0)),"")</f>
        <v/>
      </c>
      <c r="AJ17" s="116">
        <f>IFERROR(INDEX('DRAFT 1'!$AE:$AE,MATCH($B17,'DRAFT 1'!$B:$B,0)),"")</f>
        <v/>
      </c>
      <c r="AK17" s="116">
        <f>IFERROR(INDEX('DRAFT 1'!$AG:$AG,MATCH($B17,'DRAFT 1'!$B:$B,0)),"")</f>
        <v/>
      </c>
      <c r="AL17" s="116">
        <f>IFERROR(INDEX('DRAFT 1'!$AH:$AH,MATCH($B17,'DRAFT 1'!$B:$B,0)),"")</f>
        <v/>
      </c>
      <c r="AM17" s="116">
        <f>IFERROR(INDEX('DRAFT 1'!$AI:$AI,MATCH($B17,'DRAFT 1'!$B:$B,0)),"")</f>
        <v/>
      </c>
      <c r="AN17" s="116">
        <f>IFERROR(INDEX('DRAFT 1'!$AJ:$AJ,MATCH($B17,'DRAFT 1'!$B:$B,0)),"")</f>
        <v/>
      </c>
      <c r="AO17" s="116">
        <f>IFERROR(Y17/AN17,0)</f>
        <v/>
      </c>
      <c r="AP17" s="116">
        <f>IFERROR(INDEX('DRAFT 1'!$AK:$AK,MATCH($B17,'DRAFT 1'!$B:$B,0)),"")</f>
        <v/>
      </c>
      <c r="AR17" s="116" t="inlineStr">
        <is>
          <t>CS</t>
        </is>
      </c>
      <c r="AS17" s="116">
        <f>IFERROR(LOOKUP(2,1/('DRAFT 2'!$D:$D=$B17),'DRAFT 2'!$T:$T),"")</f>
        <v/>
      </c>
      <c r="AT17" s="116">
        <f>IFERROR(LOOKUP(2,1/('DRAFT 2'!$D:$D=$B17),'DRAFT 2'!$A:$A),"")</f>
        <v/>
      </c>
      <c r="AU17" s="116">
        <f>IFERROR(LOOKUP(2,1/('DRAFT 2'!$D:$D=$B17),'DRAFT 2'!$R:$R),"")</f>
        <v/>
      </c>
      <c r="AV17" s="116">
        <f>IFERROR(LOOKUP(2,1/('DRAFT 2'!$D:$D=$B17),'DRAFT 2'!$S:$S),"")</f>
        <v/>
      </c>
      <c r="AW17" s="116" t="inlineStr">
        <is>
          <t>EM DESENVOLVIMENTO</t>
        </is>
      </c>
      <c r="AX17" s="116">
        <f>IFERROR(LOOKUP(2,1/('DRAFT 2'!$D:$D=$B17),'DRAFT 2'!$M:$M),"")</f>
        <v/>
      </c>
      <c r="AY17" s="116">
        <f>IFERROR(LOOKUP(2,1/('DRAFT 2'!$D:$D=$B17),'DRAFT 2'!$K:$K),"")</f>
        <v/>
      </c>
      <c r="BG17" s="116">
        <f>IFERROR(LOOKUP(2,1/('DRAFT 2'!$D:$D=$B17),'DRAFT 2'!$U:$U),"")</f>
        <v/>
      </c>
      <c r="BH17" s="116">
        <f>IFERROR(LOOKUP(2,1/('DRAFT 2'!$D:$D=$B17),'DRAFT 2'!$V:$V),"")</f>
        <v/>
      </c>
      <c r="CE17" s="116">
        <f>IFERROR(AJ17,0)</f>
        <v/>
      </c>
      <c r="CF17" s="116">
        <f>IFERROR(LOOKUP(2,1/('DRAFT 2'!$D:$D=$B17)*('DRAFT 2'!$A:$A&gt;=DATE(2026,1,1))*('DRAFT 2'!$A:$A&lt;DATE(2026,IF(1=12,1+1,1+1),1)),'DRAFT 2'!$A:$A),"")</f>
        <v/>
      </c>
      <c r="CG17" s="116">
        <f>COUNTIFS('DRAFT 2'!$D:$D,$B17,'DRAFT 2'!$A:$A,"&gt;="&amp;DATE(2026,1,1),'DRAFT 2'!$A:$A,"&lt;="&amp;DATE(2026,1,7))</f>
        <v/>
      </c>
      <c r="CH17" s="116">
        <f>COUNTIFS('DRAFT 2'!$D:$D,$B17,'DRAFT 2'!$A:$A,"&gt;="&amp;DATE(2026,1,8),'DRAFT 2'!$A:$A,"&lt;="&amp;DATE(2026,1,14))</f>
        <v/>
      </c>
      <c r="CI17" s="116">
        <f>COUNTIFS('DRAFT 2'!$D:$D,$B17,'DRAFT 2'!$A:$A,"&gt;="&amp;DATE(2026,1,15),'DRAFT 2'!$A:$A,"&lt;="&amp;DATE(2026,1,21))</f>
        <v/>
      </c>
      <c r="CJ17" s="116">
        <f>COUNTIFS('DRAFT 2'!$D:$D,$B17,'DRAFT 2'!$A:$A,"&gt;="&amp;DATE(2026,1,22),'DRAFT 2'!$A:$A,"&lt;"&amp;DATE(2026,IF(1=12,1+1,1+1),1))</f>
        <v/>
      </c>
      <c r="CK17" s="116">
        <f>SUM(CG17:CJ17)</f>
        <v/>
      </c>
      <c r="CT17" s="116" t="n">
        <v>0</v>
      </c>
      <c r="CU17" s="116">
        <f>IFERROR(LOOKUP(2,1/('DRAFT 2'!$D:$D=$B17)*('DRAFT 2'!$A:$A&gt;=DATE(2026,2,1))*('DRAFT 2'!$A:$A&lt;DATE(2026,IF(2=12,2+1,2+1),1)),'DRAFT 2'!$A:$A),"")</f>
        <v/>
      </c>
      <c r="CV17" s="116">
        <f>COUNTIFS('DRAFT 2'!$D:$D,$B17,'DRAFT 2'!$A:$A,"&gt;="&amp;DATE(2026,2,1),'DRAFT 2'!$A:$A,"&lt;="&amp;DATE(2026,2,7))</f>
        <v/>
      </c>
      <c r="CW17" s="116">
        <f>COUNTIFS('DRAFT 2'!$D:$D,$B17,'DRAFT 2'!$A:$A,"&gt;="&amp;DATE(2026,2,8),'DRAFT 2'!$A:$A,"&lt;="&amp;DATE(2026,2,14))</f>
        <v/>
      </c>
      <c r="CX17" s="116">
        <f>COUNTIFS('DRAFT 2'!$D:$D,$B17,'DRAFT 2'!$A:$A,"&gt;="&amp;DATE(2026,2,15),'DRAFT 2'!$A:$A,"&lt;="&amp;DATE(2026,2,21))</f>
        <v/>
      </c>
      <c r="CY17" s="116">
        <f>COUNTIFS('DRAFT 2'!$D:$D,$B17,'DRAFT 2'!$A:$A,"&gt;="&amp;DATE(2026,2,22),'DRAFT 2'!$A:$A,"&lt;"&amp;DATE(2026,IF(2=12,2+1,2+1),1))</f>
        <v/>
      </c>
      <c r="CZ17" s="116">
        <f>SUM(CV17:CY17)</f>
        <v/>
      </c>
      <c r="DJ17" s="116">
        <f>IFERROR(LOOKUP(2,1/('DRAFT 2'!$D:$D=$B17)*('DRAFT 2'!$A:$A&gt;=DATE(2026,3,1))*('DRAFT 2'!$A:$A&lt;DATE(2026,IF(3=12,3+1,3+1),1)),'DRAFT 2'!$A:$A),"")</f>
        <v/>
      </c>
      <c r="DK17" s="116">
        <f>COUNTIFS('DRAFT 2'!$D:$D,$B17,'DRAFT 2'!$A:$A,"&gt;="&amp;DATE(2026,3,1),'DRAFT 2'!$A:$A,"&lt;="&amp;DATE(2026,3,7))</f>
        <v/>
      </c>
      <c r="DL17" s="116">
        <f>COUNTIFS('DRAFT 2'!$D:$D,$B17,'DRAFT 2'!$A:$A,"&gt;="&amp;DATE(2026,3,8),'DRAFT 2'!$A:$A,"&lt;="&amp;DATE(2026,3,14))</f>
        <v/>
      </c>
      <c r="DM17" s="116">
        <f>COUNTIFS('DRAFT 2'!$D:$D,$B17,'DRAFT 2'!$A:$A,"&gt;="&amp;DATE(2026,3,15),'DRAFT 2'!$A:$A,"&lt;="&amp;DATE(2026,3,21))</f>
        <v/>
      </c>
      <c r="DN17" s="116">
        <f>COUNTIFS('DRAFT 2'!$D:$D,$B17,'DRAFT 2'!$A:$A,"&gt;="&amp;DATE(2026,3,22),'DRAFT 2'!$A:$A,"&lt;"&amp;DATE(2026,IF(3=12,3+1,3+1),1))</f>
        <v/>
      </c>
      <c r="DO17" s="116">
        <f>SUM(DK17:DN17)</f>
        <v/>
      </c>
      <c r="DZ17" s="116">
        <f>IFERROR(LOOKUP(2,1/('DRAFT 2'!$D:$D=$B17)*('DRAFT 2'!$A:$A&gt;=DATE(2026,4,1))*('DRAFT 2'!$A:$A&lt;DATE(2026,IF(4=12,4+1,4+1),1)),'DRAFT 2'!$A:$A),"")</f>
        <v/>
      </c>
      <c r="EA17" s="116">
        <f>COUNTIFS('DRAFT 2'!$D:$D,$B17,'DRAFT 2'!$A:$A,"&gt;="&amp;DATE(2026,4,1),'DRAFT 2'!$A:$A,"&lt;="&amp;DATE(2026,4,7))</f>
        <v/>
      </c>
      <c r="EB17" s="116">
        <f>COUNTIFS('DRAFT 2'!$D:$D,$B17,'DRAFT 2'!$A:$A,"&gt;="&amp;DATE(2026,4,8),'DRAFT 2'!$A:$A,"&lt;="&amp;DATE(2026,4,14))</f>
        <v/>
      </c>
      <c r="EC17" s="116">
        <f>COUNTIFS('DRAFT 2'!$D:$D,$B17,'DRAFT 2'!$A:$A,"&gt;="&amp;DATE(2026,4,15),'DRAFT 2'!$A:$A,"&lt;="&amp;DATE(2026,4,21))</f>
        <v/>
      </c>
      <c r="ED17" s="116">
        <f>COUNTIFS('DRAFT 2'!$D:$D,$B17,'DRAFT 2'!$A:$A,"&gt;="&amp;DATE(2026,4,22),'DRAFT 2'!$A:$A,"&lt;"&amp;DATE(2026,IF(4=12,4+1,4+1),1))</f>
        <v/>
      </c>
      <c r="EE17" s="116">
        <f>SUM(EA17:ED17)</f>
        <v/>
      </c>
      <c r="EO17" s="116">
        <f>IFERROR(LOOKUP(2,1/('DRAFT 2'!$D:$D=$B17)*('DRAFT 2'!$A:$A&gt;=DATE(2026,5,1))*('DRAFT 2'!$A:$A&lt;DATE(2026,IF(5=12,5+1,5+1),1)),'DRAFT 2'!$A:$A),"")</f>
        <v/>
      </c>
      <c r="EP17" s="116">
        <f>COUNTIFS('DRAFT 2'!$D:$D,$B17,'DRAFT 2'!$A:$A,"&gt;="&amp;DATE(2026,5,1),'DRAFT 2'!$A:$A,"&lt;="&amp;DATE(2026,5,7))</f>
        <v/>
      </c>
      <c r="EQ17" s="116">
        <f>COUNTIFS('DRAFT 2'!$D:$D,$B17,'DRAFT 2'!$A:$A,"&gt;="&amp;DATE(2026,5,8),'DRAFT 2'!$A:$A,"&lt;="&amp;DATE(2026,5,14))</f>
        <v/>
      </c>
      <c r="ER17" s="116">
        <f>COUNTIFS('DRAFT 2'!$D:$D,$B17,'DRAFT 2'!$A:$A,"&gt;="&amp;DATE(2026,5,15),'DRAFT 2'!$A:$A,"&lt;="&amp;DATE(2026,5,21))</f>
        <v/>
      </c>
      <c r="ES17" s="116">
        <f>COUNTIFS('DRAFT 2'!$D:$D,$B17,'DRAFT 2'!$A:$A,"&gt;="&amp;DATE(2026,5,22),'DRAFT 2'!$A:$A,"&lt;"&amp;DATE(2026,IF(5=12,5+1,5+1),1))</f>
        <v/>
      </c>
      <c r="ET17" s="116">
        <f>SUM(EP17:ES17)</f>
        <v/>
      </c>
      <c r="FD17" s="116">
        <f>IFERROR(LOOKUP(2,1/('DRAFT 2'!$D:$D=$B17)*('DRAFT 2'!$A:$A&gt;=DATE(2026,6,1))*('DRAFT 2'!$A:$A&lt;DATE(2026,IF(6=12,6+1,6+1),1)),'DRAFT 2'!$A:$A),"")</f>
        <v/>
      </c>
      <c r="FE17" s="116">
        <f>COUNTIFS('DRAFT 2'!$D:$D,$B17,'DRAFT 2'!$A:$A,"&gt;="&amp;DATE(2026,6,1),'DRAFT 2'!$A:$A,"&lt;="&amp;DATE(2026,6,7))</f>
        <v/>
      </c>
      <c r="FF17" s="116">
        <f>COUNTIFS('DRAFT 2'!$D:$D,$B17,'DRAFT 2'!$A:$A,"&gt;="&amp;DATE(2026,6,8),'DRAFT 2'!$A:$A,"&lt;="&amp;DATE(2026,6,14))</f>
        <v/>
      </c>
      <c r="FG17" s="116">
        <f>COUNTIFS('DRAFT 2'!$D:$D,$B17,'DRAFT 2'!$A:$A,"&gt;="&amp;DATE(2026,6,15),'DRAFT 2'!$A:$A,"&lt;="&amp;DATE(2026,6,21))</f>
        <v/>
      </c>
      <c r="FH17" s="116">
        <f>COUNTIFS('DRAFT 2'!$D:$D,$B17,'DRAFT 2'!$A:$A,"&gt;="&amp;DATE(2026,6,22),'DRAFT 2'!$A:$A,"&lt;"&amp;DATE(2026,IF(6=12,6+1,6+1),1))</f>
        <v/>
      </c>
      <c r="FI17" s="116">
        <f>SUM(FE17:FH17)</f>
        <v/>
      </c>
      <c r="FT17" s="116">
        <f>IFERROR(LOOKUP(2,1/('DRAFT 2'!$D:$D=$B17)*('DRAFT 2'!$A:$A&gt;=DATE(2026,7,1))*('DRAFT 2'!$A:$A&lt;DATE(2026,IF(7=12,7+1,7+1),1)),'DRAFT 2'!$A:$A),"")</f>
        <v/>
      </c>
      <c r="FU17" s="116">
        <f>COUNTIFS('DRAFT 2'!$D:$D,$B17,'DRAFT 2'!$A:$A,"&gt;="&amp;DATE(2026,7,1),'DRAFT 2'!$A:$A,"&lt;="&amp;DATE(2026,7,7))</f>
        <v/>
      </c>
      <c r="FV17" s="116">
        <f>COUNTIFS('DRAFT 2'!$D:$D,$B17,'DRAFT 2'!$A:$A,"&gt;="&amp;DATE(2026,7,8),'DRAFT 2'!$A:$A,"&lt;="&amp;DATE(2026,7,14))</f>
        <v/>
      </c>
      <c r="FW17" s="116">
        <f>COUNTIFS('DRAFT 2'!$D:$D,$B17,'DRAFT 2'!$A:$A,"&gt;="&amp;DATE(2026,7,15),'DRAFT 2'!$A:$A,"&lt;="&amp;DATE(2026,7,21))</f>
        <v/>
      </c>
      <c r="FX17" s="116">
        <f>COUNTIFS('DRAFT 2'!$D:$D,$B17,'DRAFT 2'!$A:$A,"&gt;="&amp;DATE(2026,7,22),'DRAFT 2'!$A:$A,"&lt;"&amp;DATE(2026,IF(7=12,7+1,7+1),1))</f>
        <v/>
      </c>
      <c r="FY17" s="116">
        <f>SUM(FU17:FX17)</f>
        <v/>
      </c>
      <c r="GI17" s="116">
        <f>IFERROR(LOOKUP(2,1/('DRAFT 2'!$D:$D=$B17)*('DRAFT 2'!$A:$A&gt;=DATE(2026,8,1))*('DRAFT 2'!$A:$A&lt;DATE(2026,IF(8=12,8+1,8+1),1)),'DRAFT 2'!$A:$A),"")</f>
        <v/>
      </c>
      <c r="GJ17" s="116">
        <f>COUNTIFS('DRAFT 2'!$D:$D,$B17,'DRAFT 2'!$A:$A,"&gt;="&amp;DATE(2026,8,1),'DRAFT 2'!$A:$A,"&lt;="&amp;DATE(2026,8,7))</f>
        <v/>
      </c>
      <c r="GK17" s="116">
        <f>COUNTIFS('DRAFT 2'!$D:$D,$B17,'DRAFT 2'!$A:$A,"&gt;="&amp;DATE(2026,8,8),'DRAFT 2'!$A:$A,"&lt;="&amp;DATE(2026,8,14))</f>
        <v/>
      </c>
      <c r="GL17" s="116">
        <f>COUNTIFS('DRAFT 2'!$D:$D,$B17,'DRAFT 2'!$A:$A,"&gt;="&amp;DATE(2026,8,15),'DRAFT 2'!$A:$A,"&lt;="&amp;DATE(2026,8,21))</f>
        <v/>
      </c>
      <c r="GM17" s="116">
        <f>COUNTIFS('DRAFT 2'!$D:$D,$B17,'DRAFT 2'!$A:$A,"&gt;="&amp;DATE(2026,8,22),'DRAFT 2'!$A:$A,"&lt;"&amp;DATE(2026,IF(8=12,8+1,8+1),1))</f>
        <v/>
      </c>
      <c r="GN17" s="116">
        <f>SUM(GJ17:GM17)</f>
        <v/>
      </c>
      <c r="GX17" s="116">
        <f>IFERROR(LOOKUP(2,1/('DRAFT 2'!$D:$D=$B17)*('DRAFT 2'!$A:$A&gt;=DATE(2026,9,1))*('DRAFT 2'!$A:$A&lt;DATE(2026,IF(9=12,9+1,9+1),1)),'DRAFT 2'!$A:$A),"")</f>
        <v/>
      </c>
      <c r="GY17" s="116">
        <f>COUNTIFS('DRAFT 2'!$D:$D,$B17,'DRAFT 2'!$A:$A,"&gt;="&amp;DATE(2026,9,1),'DRAFT 2'!$A:$A,"&lt;="&amp;DATE(2026,9,7))</f>
        <v/>
      </c>
      <c r="GZ17" s="116">
        <f>COUNTIFS('DRAFT 2'!$D:$D,$B17,'DRAFT 2'!$A:$A,"&gt;="&amp;DATE(2026,9,8),'DRAFT 2'!$A:$A,"&lt;="&amp;DATE(2026,9,14))</f>
        <v/>
      </c>
      <c r="HA17" s="116">
        <f>COUNTIFS('DRAFT 2'!$D:$D,$B17,'DRAFT 2'!$A:$A,"&gt;="&amp;DATE(2026,9,15),'DRAFT 2'!$A:$A,"&lt;="&amp;DATE(2026,9,21))</f>
        <v/>
      </c>
      <c r="HB17" s="116">
        <f>COUNTIFS('DRAFT 2'!$D:$D,$B17,'DRAFT 2'!$A:$A,"&gt;="&amp;DATE(2026,9,22),'DRAFT 2'!$A:$A,"&lt;"&amp;DATE(2026,IF(9=12,9+1,9+1),1))</f>
        <v/>
      </c>
      <c r="HC17" s="116">
        <f>SUM(GY17:HB17)</f>
        <v/>
      </c>
      <c r="HN17" s="116">
        <f>IFERROR(LOOKUP(2,1/('DRAFT 2'!$D:$D=$B17)*('DRAFT 2'!$A:$A&gt;=DATE(2026,10,1))*('DRAFT 2'!$A:$A&lt;DATE(2026,IF(10=12,10+1,10+1),1)),'DRAFT 2'!$A:$A),"")</f>
        <v/>
      </c>
      <c r="HO17" s="116">
        <f>COUNTIFS('DRAFT 2'!$D:$D,$B17,'DRAFT 2'!$A:$A,"&gt;="&amp;DATE(2026,10,1),'DRAFT 2'!$A:$A,"&lt;="&amp;DATE(2026,10,7))</f>
        <v/>
      </c>
      <c r="HP17" s="116">
        <f>COUNTIFS('DRAFT 2'!$D:$D,$B17,'DRAFT 2'!$A:$A,"&gt;="&amp;DATE(2026,10,8),'DRAFT 2'!$A:$A,"&lt;="&amp;DATE(2026,10,14))</f>
        <v/>
      </c>
      <c r="HQ17" s="116">
        <f>COUNTIFS('DRAFT 2'!$D:$D,$B17,'DRAFT 2'!$A:$A,"&gt;="&amp;DATE(2026,10,15),'DRAFT 2'!$A:$A,"&lt;="&amp;DATE(2026,10,21))</f>
        <v/>
      </c>
      <c r="HR17" s="116">
        <f>COUNTIFS('DRAFT 2'!$D:$D,$B17,'DRAFT 2'!$A:$A,"&gt;="&amp;DATE(2026,10,22),'DRAFT 2'!$A:$A,"&lt;"&amp;DATE(2026,IF(10=12,10+1,10+1),1))</f>
        <v/>
      </c>
      <c r="HS17" s="116">
        <f>SUM(HO17:HR17)</f>
        <v/>
      </c>
      <c r="IC17" s="116">
        <f>IFERROR(LOOKUP(2,1/('DRAFT 2'!$D:$D=$B17)*('DRAFT 2'!$A:$A&gt;=DATE(2026,11,1))*('DRAFT 2'!$A:$A&lt;DATE(2026,IF(11=12,11+1,11+1),1)),'DRAFT 2'!$A:$A),"")</f>
        <v/>
      </c>
      <c r="ID17" s="116">
        <f>COUNTIFS('DRAFT 2'!$D:$D,$B17,'DRAFT 2'!$A:$A,"&gt;="&amp;DATE(2026,11,1),'DRAFT 2'!$A:$A,"&lt;="&amp;DATE(2026,11,7))</f>
        <v/>
      </c>
      <c r="IE17" s="116">
        <f>COUNTIFS('DRAFT 2'!$D:$D,$B17,'DRAFT 2'!$A:$A,"&gt;="&amp;DATE(2026,11,8),'DRAFT 2'!$A:$A,"&lt;="&amp;DATE(2026,11,14))</f>
        <v/>
      </c>
      <c r="IF17" s="116">
        <f>COUNTIFS('DRAFT 2'!$D:$D,$B17,'DRAFT 2'!$A:$A,"&gt;="&amp;DATE(2026,11,15),'DRAFT 2'!$A:$A,"&lt;="&amp;DATE(2026,11,21))</f>
        <v/>
      </c>
      <c r="IG17" s="116">
        <f>COUNTIFS('DRAFT 2'!$D:$D,$B17,'DRAFT 2'!$A:$A,"&gt;="&amp;DATE(2026,11,22),'DRAFT 2'!$A:$A,"&lt;"&amp;DATE(2026,IF(11=12,11+1,11+1),1))</f>
        <v/>
      </c>
      <c r="IH17" s="116">
        <f>SUM(ID17:IG17)</f>
        <v/>
      </c>
      <c r="IR17" s="116">
        <f>IFERROR(LOOKUP(2,1/('DRAFT 2'!$D:$D=$B17)*('DRAFT 2'!$A:$A&gt;=DATE(2026,12,1))*('DRAFT 2'!$A:$A&lt;DATE(2026,IF(12=12,12+1,12+1),1)),'DRAFT 2'!$A:$A),"")</f>
        <v/>
      </c>
      <c r="IS17" s="116">
        <f>COUNTIFS('DRAFT 2'!$D:$D,$B17,'DRAFT 2'!$A:$A,"&gt;="&amp;DATE(2026,12,1),'DRAFT 2'!$A:$A,"&lt;="&amp;DATE(2026,12,7))</f>
        <v/>
      </c>
      <c r="IT17" s="116">
        <f>COUNTIFS('DRAFT 2'!$D:$D,$B17,'DRAFT 2'!$A:$A,"&gt;="&amp;DATE(2026,12,8),'DRAFT 2'!$A:$A,"&lt;="&amp;DATE(2026,12,14))</f>
        <v/>
      </c>
      <c r="IU17" s="116">
        <f>COUNTIFS('DRAFT 2'!$D:$D,$B17,'DRAFT 2'!$A:$A,"&gt;="&amp;DATE(2026,12,15),'DRAFT 2'!$A:$A,"&lt;="&amp;DATE(2026,12,21))</f>
        <v/>
      </c>
      <c r="IV17" s="116">
        <f>COUNTIFS('DRAFT 2'!$D:$D,$B17,'DRAFT 2'!$A:$A,"&gt;="&amp;DATE(2026,12,22),'DRAFT 2'!$A:$A,"&lt;"&amp;DATE(2026,IF(12=12,12+1,12+1),1))</f>
        <v/>
      </c>
      <c r="IW17" s="116">
        <f>SUM(IS17:IV17)</f>
        <v/>
      </c>
    </row>
    <row r="18">
      <c r="A18" s="116">
        <f>IFERROR(INDEX('DRAFT 1'!$A:$A,MATCH($B18,'DRAFT 1'!$B:$B,0)),"")</f>
        <v/>
      </c>
      <c r="C18" s="116">
        <f>IFERROR(INDEX('DRAFT 1'!$C:$C,MATCH($B18,'DRAFT 1'!$B:$B,0)),"")</f>
        <v/>
      </c>
      <c r="D18" s="116">
        <f>IFERROR(INDEX('DRAFT 1'!$D:$D,MATCH($B18,'DRAFT 1'!$B:$B,0)),"")</f>
        <v/>
      </c>
      <c r="E18" s="116">
        <f>IFERROR(INDEX('DRAFT 1'!$E:$E,MATCH($B18,'DRAFT 1'!$B:$B,0)),"")</f>
        <v/>
      </c>
      <c r="F18" s="116">
        <f>IFERROR(INDEX('DRAFT 1'!$F:$F,MATCH($B18,'DRAFT 1'!$B:$B,0)),"")</f>
        <v/>
      </c>
      <c r="G18" s="116">
        <f>IFERROR(INDEX('DRAFT 1'!$G:$G,MATCH($B18,'DRAFT 1'!$B:$B,0)),"")</f>
        <v/>
      </c>
      <c r="H18" s="116">
        <f>IFERROR(INDEX('DRAFT 1'!$H:$H,MATCH($B18,'DRAFT 1'!$B:$B,0)),"")</f>
        <v/>
      </c>
      <c r="I18" s="116" t="inlineStr">
        <is>
          <t>DIVINA TERRA</t>
        </is>
      </c>
      <c r="K18" s="116">
        <f>IFERROR(INDEX('DRAFT 1'!$AL:$AL,MATCH($B18,'DRAFT 1'!$B:$B,0)),"")</f>
        <v/>
      </c>
      <c r="L18" s="116">
        <f>IFERROR(INDEX('DRAFT 1'!$J:$J,MATCH($B18,'DRAFT 1'!$B:$B,0)),"")</f>
        <v/>
      </c>
      <c r="M18" s="116">
        <f>IFERROR(INDEX('DRAFT 1'!$K:$K,MATCH($B18,'DRAFT 1'!$B:$B,0)),"")</f>
        <v/>
      </c>
      <c r="N18" s="116" t="inlineStr">
        <is>
          <t>INAT.ANT</t>
        </is>
      </c>
      <c r="P18" s="116">
        <f>IFERROR(INDEX('DRAFT 1'!$L:$L,MATCH($B18,'DRAFT 1'!$B:$B,0)),"")</f>
        <v/>
      </c>
      <c r="Q18" s="116">
        <f>IFERROR(INDEX('DRAFT 1'!$M:$M,MATCH($B18,'DRAFT 1'!$B:$B,0)),"")</f>
        <v/>
      </c>
      <c r="R18" s="116">
        <f>IFERROR(INDEX('DRAFT 1'!$N:$N,MATCH($B18,'DRAFT 1'!$B:$B,0)),"")</f>
        <v/>
      </c>
      <c r="S18" s="116">
        <f>IFERROR(INDEX('DRAFT 1'!$O:$O,MATCH($B18,'DRAFT 1'!$B:$B,0)),"")</f>
        <v/>
      </c>
      <c r="T18" s="116">
        <f>IFERROR(INDEX('DRAFT 1'!$P:$P,MATCH($B18,'DRAFT 1'!$B:$B,0)),"")</f>
        <v/>
      </c>
      <c r="U18" s="116">
        <f>IFERROR(INDEX('DRAFT 1'!$Q:$Q,MATCH($B18,'DRAFT 1'!$B:$B,0)),"")</f>
        <v/>
      </c>
      <c r="V18" s="116">
        <f>IFERROR(INDEX('DRAFT 1'!$R:$R,MATCH($B18,'DRAFT 1'!$B:$B,0)),"")</f>
        <v/>
      </c>
      <c r="W18" s="116">
        <f>IFERROR(INDEX('DRAFT 1'!$S:$S,MATCH($B18,'DRAFT 1'!$B:$B,0)),"")</f>
        <v/>
      </c>
      <c r="X18" s="116">
        <f>IFERROR(INDEX('DRAFT 1'!$T:$T,MATCH($B18,'DRAFT 1'!$B:$B,0)),"")</f>
        <v/>
      </c>
      <c r="Z18" s="116">
        <f>IFERROR(INDEX('DRAFT 1'!$U:$U,MATCH($B18,'DRAFT 1'!$B:$B,0)),"")</f>
        <v/>
      </c>
      <c r="AA18" s="116">
        <f>IFERROR(INDEX('DRAFT 1'!$V:$V,MATCH($B18,'DRAFT 1'!$B:$B,0)),"")</f>
        <v/>
      </c>
      <c r="AB18" s="116">
        <f>IFERROR(INDEX('DRAFT 1'!$W:$W,MATCH($B18,'DRAFT 1'!$B:$B,0)),"")</f>
        <v/>
      </c>
      <c r="AC18" s="116">
        <f>IFERROR(INDEX('DRAFT 1'!$X:$X,MATCH($B18,'DRAFT 1'!$B:$B,0)),"")</f>
        <v/>
      </c>
      <c r="AD18" s="116">
        <f>IFERROR(INDEX('DRAFT 1'!$Y:$Y,MATCH($B18,'DRAFT 1'!$B:$B,0)),"")</f>
        <v/>
      </c>
      <c r="AE18" s="116">
        <f>IFERROR(INDEX('DRAFT 1'!$Z:$Z,MATCH($B18,'DRAFT 1'!$B:$B,0)),"")</f>
        <v/>
      </c>
      <c r="AF18" s="116">
        <f>IFERROR(INDEX('DRAFT 1'!$AA:$AA,MATCH($B18,'DRAFT 1'!$B:$B,0)),"")</f>
        <v/>
      </c>
      <c r="AG18" s="116">
        <f>IFERROR(INDEX('DRAFT 1'!$AB:$AB,MATCH($B18,'DRAFT 1'!$B:$B,0)),"")</f>
        <v/>
      </c>
      <c r="AH18" s="116">
        <f>IFERROR(INDEX('DRAFT 1'!$AC:$AC,MATCH($B18,'DRAFT 1'!$B:$B,0)),"")</f>
        <v/>
      </c>
      <c r="AI18" s="116">
        <f>IFERROR(INDEX('DRAFT 1'!$AD:$AD,MATCH($B18,'DRAFT 1'!$B:$B,0)),"")</f>
        <v/>
      </c>
      <c r="AJ18" s="116">
        <f>IFERROR(INDEX('DRAFT 1'!$AE:$AE,MATCH($B18,'DRAFT 1'!$B:$B,0)),"")</f>
        <v/>
      </c>
      <c r="AK18" s="116">
        <f>IFERROR(INDEX('DRAFT 1'!$AG:$AG,MATCH($B18,'DRAFT 1'!$B:$B,0)),"")</f>
        <v/>
      </c>
      <c r="AL18" s="116">
        <f>IFERROR(INDEX('DRAFT 1'!$AH:$AH,MATCH($B18,'DRAFT 1'!$B:$B,0)),"")</f>
        <v/>
      </c>
      <c r="AM18" s="116">
        <f>IFERROR(INDEX('DRAFT 1'!$AI:$AI,MATCH($B18,'DRAFT 1'!$B:$B,0)),"")</f>
        <v/>
      </c>
      <c r="AN18" s="116">
        <f>IFERROR(INDEX('DRAFT 1'!$AJ:$AJ,MATCH($B18,'DRAFT 1'!$B:$B,0)),"")</f>
        <v/>
      </c>
      <c r="AO18" s="116">
        <f>IFERROR(Y18/AN18,0)</f>
        <v/>
      </c>
      <c r="AP18" s="116">
        <f>IFERROR(INDEX('DRAFT 1'!$AK:$AK,MATCH($B18,'DRAFT 1'!$B:$B,0)),"")</f>
        <v/>
      </c>
      <c r="AR18" s="116" t="inlineStr">
        <is>
          <t>PROSPECÇÃO</t>
        </is>
      </c>
      <c r="AS18" s="116">
        <f>IFERROR(LOOKUP(2,1/('DRAFT 2'!$D:$D=$B18),'DRAFT 2'!$T:$T),"")</f>
        <v/>
      </c>
      <c r="AT18" s="116">
        <f>IFERROR(LOOKUP(2,1/('DRAFT 2'!$D:$D=$B18),'DRAFT 2'!$A:$A),"")</f>
        <v/>
      </c>
      <c r="AU18" s="116">
        <f>IFERROR(LOOKUP(2,1/('DRAFT 2'!$D:$D=$B18),'DRAFT 2'!$R:$R),"")</f>
        <v/>
      </c>
      <c r="AV18" s="116">
        <f>IFERROR(LOOKUP(2,1/('DRAFT 2'!$D:$D=$B18),'DRAFT 2'!$S:$S),"")</f>
        <v/>
      </c>
      <c r="AW18" s="116" t="inlineStr">
        <is>
          <t>RECORRENTE</t>
        </is>
      </c>
      <c r="AX18" s="116">
        <f>IFERROR(LOOKUP(2,1/('DRAFT 2'!$D:$D=$B18),'DRAFT 2'!$M:$M),"")</f>
        <v/>
      </c>
      <c r="AY18" s="116">
        <f>IFERROR(LOOKUP(2,1/('DRAFT 2'!$D:$D=$B18),'DRAFT 2'!$K:$K),"")</f>
        <v/>
      </c>
      <c r="BG18" s="116">
        <f>IFERROR(LOOKUP(2,1/('DRAFT 2'!$D:$D=$B18),'DRAFT 2'!$U:$U),"")</f>
        <v/>
      </c>
      <c r="BH18" s="116">
        <f>IFERROR(LOOKUP(2,1/('DRAFT 2'!$D:$D=$B18),'DRAFT 2'!$V:$V),"")</f>
        <v/>
      </c>
      <c r="CE18" s="116">
        <f>IFERROR(AJ18,0)</f>
        <v/>
      </c>
      <c r="CF18" s="116">
        <f>IFERROR(LOOKUP(2,1/('DRAFT 2'!$D:$D=$B18)*('DRAFT 2'!$A:$A&gt;=DATE(2026,1,1))*('DRAFT 2'!$A:$A&lt;DATE(2026,IF(1=12,1+1,1+1),1)),'DRAFT 2'!$A:$A),"")</f>
        <v/>
      </c>
      <c r="CG18" s="116">
        <f>COUNTIFS('DRAFT 2'!$D:$D,$B18,'DRAFT 2'!$A:$A,"&gt;="&amp;DATE(2026,1,1),'DRAFT 2'!$A:$A,"&lt;="&amp;DATE(2026,1,7))</f>
        <v/>
      </c>
      <c r="CH18" s="116">
        <f>COUNTIFS('DRAFT 2'!$D:$D,$B18,'DRAFT 2'!$A:$A,"&gt;="&amp;DATE(2026,1,8),'DRAFT 2'!$A:$A,"&lt;="&amp;DATE(2026,1,14))</f>
        <v/>
      </c>
      <c r="CI18" s="116">
        <f>COUNTIFS('DRAFT 2'!$D:$D,$B18,'DRAFT 2'!$A:$A,"&gt;="&amp;DATE(2026,1,15),'DRAFT 2'!$A:$A,"&lt;="&amp;DATE(2026,1,21))</f>
        <v/>
      </c>
      <c r="CJ18" s="116">
        <f>COUNTIFS('DRAFT 2'!$D:$D,$B18,'DRAFT 2'!$A:$A,"&gt;="&amp;DATE(2026,1,22),'DRAFT 2'!$A:$A,"&lt;"&amp;DATE(2026,IF(1=12,1+1,1+1),1))</f>
        <v/>
      </c>
      <c r="CK18" s="116">
        <f>SUM(CG18:CJ18)</f>
        <v/>
      </c>
      <c r="CT18" s="116" t="n">
        <v>0</v>
      </c>
      <c r="CU18" s="116">
        <f>IFERROR(LOOKUP(2,1/('DRAFT 2'!$D:$D=$B18)*('DRAFT 2'!$A:$A&gt;=DATE(2026,2,1))*('DRAFT 2'!$A:$A&lt;DATE(2026,IF(2=12,2+1,2+1),1)),'DRAFT 2'!$A:$A),"")</f>
        <v/>
      </c>
      <c r="CV18" s="116">
        <f>COUNTIFS('DRAFT 2'!$D:$D,$B18,'DRAFT 2'!$A:$A,"&gt;="&amp;DATE(2026,2,1),'DRAFT 2'!$A:$A,"&lt;="&amp;DATE(2026,2,7))</f>
        <v/>
      </c>
      <c r="CW18" s="116">
        <f>COUNTIFS('DRAFT 2'!$D:$D,$B18,'DRAFT 2'!$A:$A,"&gt;="&amp;DATE(2026,2,8),'DRAFT 2'!$A:$A,"&lt;="&amp;DATE(2026,2,14))</f>
        <v/>
      </c>
      <c r="CX18" s="116">
        <f>COUNTIFS('DRAFT 2'!$D:$D,$B18,'DRAFT 2'!$A:$A,"&gt;="&amp;DATE(2026,2,15),'DRAFT 2'!$A:$A,"&lt;="&amp;DATE(2026,2,21))</f>
        <v/>
      </c>
      <c r="CY18" s="116">
        <f>COUNTIFS('DRAFT 2'!$D:$D,$B18,'DRAFT 2'!$A:$A,"&gt;="&amp;DATE(2026,2,22),'DRAFT 2'!$A:$A,"&lt;"&amp;DATE(2026,IF(2=12,2+1,2+1),1))</f>
        <v/>
      </c>
      <c r="CZ18" s="116">
        <f>SUM(CV18:CY18)</f>
        <v/>
      </c>
      <c r="DJ18" s="116">
        <f>IFERROR(LOOKUP(2,1/('DRAFT 2'!$D:$D=$B18)*('DRAFT 2'!$A:$A&gt;=DATE(2026,3,1))*('DRAFT 2'!$A:$A&lt;DATE(2026,IF(3=12,3+1,3+1),1)),'DRAFT 2'!$A:$A),"")</f>
        <v/>
      </c>
      <c r="DK18" s="116">
        <f>COUNTIFS('DRAFT 2'!$D:$D,$B18,'DRAFT 2'!$A:$A,"&gt;="&amp;DATE(2026,3,1),'DRAFT 2'!$A:$A,"&lt;="&amp;DATE(2026,3,7))</f>
        <v/>
      </c>
      <c r="DL18" s="116">
        <f>COUNTIFS('DRAFT 2'!$D:$D,$B18,'DRAFT 2'!$A:$A,"&gt;="&amp;DATE(2026,3,8),'DRAFT 2'!$A:$A,"&lt;="&amp;DATE(2026,3,14))</f>
        <v/>
      </c>
      <c r="DM18" s="116">
        <f>COUNTIFS('DRAFT 2'!$D:$D,$B18,'DRAFT 2'!$A:$A,"&gt;="&amp;DATE(2026,3,15),'DRAFT 2'!$A:$A,"&lt;="&amp;DATE(2026,3,21))</f>
        <v/>
      </c>
      <c r="DN18" s="116">
        <f>COUNTIFS('DRAFT 2'!$D:$D,$B18,'DRAFT 2'!$A:$A,"&gt;="&amp;DATE(2026,3,22),'DRAFT 2'!$A:$A,"&lt;"&amp;DATE(2026,IF(3=12,3+1,3+1),1))</f>
        <v/>
      </c>
      <c r="DO18" s="116">
        <f>SUM(DK18:DN18)</f>
        <v/>
      </c>
      <c r="DZ18" s="116">
        <f>IFERROR(LOOKUP(2,1/('DRAFT 2'!$D:$D=$B18)*('DRAFT 2'!$A:$A&gt;=DATE(2026,4,1))*('DRAFT 2'!$A:$A&lt;DATE(2026,IF(4=12,4+1,4+1),1)),'DRAFT 2'!$A:$A),"")</f>
        <v/>
      </c>
      <c r="EA18" s="116">
        <f>COUNTIFS('DRAFT 2'!$D:$D,$B18,'DRAFT 2'!$A:$A,"&gt;="&amp;DATE(2026,4,1),'DRAFT 2'!$A:$A,"&lt;="&amp;DATE(2026,4,7))</f>
        <v/>
      </c>
      <c r="EB18" s="116">
        <f>COUNTIFS('DRAFT 2'!$D:$D,$B18,'DRAFT 2'!$A:$A,"&gt;="&amp;DATE(2026,4,8),'DRAFT 2'!$A:$A,"&lt;="&amp;DATE(2026,4,14))</f>
        <v/>
      </c>
      <c r="EC18" s="116">
        <f>COUNTIFS('DRAFT 2'!$D:$D,$B18,'DRAFT 2'!$A:$A,"&gt;="&amp;DATE(2026,4,15),'DRAFT 2'!$A:$A,"&lt;="&amp;DATE(2026,4,21))</f>
        <v/>
      </c>
      <c r="ED18" s="116">
        <f>COUNTIFS('DRAFT 2'!$D:$D,$B18,'DRAFT 2'!$A:$A,"&gt;="&amp;DATE(2026,4,22),'DRAFT 2'!$A:$A,"&lt;"&amp;DATE(2026,IF(4=12,4+1,4+1),1))</f>
        <v/>
      </c>
      <c r="EE18" s="116">
        <f>SUM(EA18:ED18)</f>
        <v/>
      </c>
      <c r="EO18" s="116">
        <f>IFERROR(LOOKUP(2,1/('DRAFT 2'!$D:$D=$B18)*('DRAFT 2'!$A:$A&gt;=DATE(2026,5,1))*('DRAFT 2'!$A:$A&lt;DATE(2026,IF(5=12,5+1,5+1),1)),'DRAFT 2'!$A:$A),"")</f>
        <v/>
      </c>
      <c r="EP18" s="116">
        <f>COUNTIFS('DRAFT 2'!$D:$D,$B18,'DRAFT 2'!$A:$A,"&gt;="&amp;DATE(2026,5,1),'DRAFT 2'!$A:$A,"&lt;="&amp;DATE(2026,5,7))</f>
        <v/>
      </c>
      <c r="EQ18" s="116">
        <f>COUNTIFS('DRAFT 2'!$D:$D,$B18,'DRAFT 2'!$A:$A,"&gt;="&amp;DATE(2026,5,8),'DRAFT 2'!$A:$A,"&lt;="&amp;DATE(2026,5,14))</f>
        <v/>
      </c>
      <c r="ER18" s="116">
        <f>COUNTIFS('DRAFT 2'!$D:$D,$B18,'DRAFT 2'!$A:$A,"&gt;="&amp;DATE(2026,5,15),'DRAFT 2'!$A:$A,"&lt;="&amp;DATE(2026,5,21))</f>
        <v/>
      </c>
      <c r="ES18" s="116">
        <f>COUNTIFS('DRAFT 2'!$D:$D,$B18,'DRAFT 2'!$A:$A,"&gt;="&amp;DATE(2026,5,22),'DRAFT 2'!$A:$A,"&lt;"&amp;DATE(2026,IF(5=12,5+1,5+1),1))</f>
        <v/>
      </c>
      <c r="ET18" s="116">
        <f>SUM(EP18:ES18)</f>
        <v/>
      </c>
      <c r="FD18" s="116">
        <f>IFERROR(LOOKUP(2,1/('DRAFT 2'!$D:$D=$B18)*('DRAFT 2'!$A:$A&gt;=DATE(2026,6,1))*('DRAFT 2'!$A:$A&lt;DATE(2026,IF(6=12,6+1,6+1),1)),'DRAFT 2'!$A:$A),"")</f>
        <v/>
      </c>
      <c r="FE18" s="116">
        <f>COUNTIFS('DRAFT 2'!$D:$D,$B18,'DRAFT 2'!$A:$A,"&gt;="&amp;DATE(2026,6,1),'DRAFT 2'!$A:$A,"&lt;="&amp;DATE(2026,6,7))</f>
        <v/>
      </c>
      <c r="FF18" s="116">
        <f>COUNTIFS('DRAFT 2'!$D:$D,$B18,'DRAFT 2'!$A:$A,"&gt;="&amp;DATE(2026,6,8),'DRAFT 2'!$A:$A,"&lt;="&amp;DATE(2026,6,14))</f>
        <v/>
      </c>
      <c r="FG18" s="116">
        <f>COUNTIFS('DRAFT 2'!$D:$D,$B18,'DRAFT 2'!$A:$A,"&gt;="&amp;DATE(2026,6,15),'DRAFT 2'!$A:$A,"&lt;="&amp;DATE(2026,6,21))</f>
        <v/>
      </c>
      <c r="FH18" s="116">
        <f>COUNTIFS('DRAFT 2'!$D:$D,$B18,'DRAFT 2'!$A:$A,"&gt;="&amp;DATE(2026,6,22),'DRAFT 2'!$A:$A,"&lt;"&amp;DATE(2026,IF(6=12,6+1,6+1),1))</f>
        <v/>
      </c>
      <c r="FI18" s="116">
        <f>SUM(FE18:FH18)</f>
        <v/>
      </c>
      <c r="FT18" s="116">
        <f>IFERROR(LOOKUP(2,1/('DRAFT 2'!$D:$D=$B18)*('DRAFT 2'!$A:$A&gt;=DATE(2026,7,1))*('DRAFT 2'!$A:$A&lt;DATE(2026,IF(7=12,7+1,7+1),1)),'DRAFT 2'!$A:$A),"")</f>
        <v/>
      </c>
      <c r="FU18" s="116">
        <f>COUNTIFS('DRAFT 2'!$D:$D,$B18,'DRAFT 2'!$A:$A,"&gt;="&amp;DATE(2026,7,1),'DRAFT 2'!$A:$A,"&lt;="&amp;DATE(2026,7,7))</f>
        <v/>
      </c>
      <c r="FV18" s="116">
        <f>COUNTIFS('DRAFT 2'!$D:$D,$B18,'DRAFT 2'!$A:$A,"&gt;="&amp;DATE(2026,7,8),'DRAFT 2'!$A:$A,"&lt;="&amp;DATE(2026,7,14))</f>
        <v/>
      </c>
      <c r="FW18" s="116">
        <f>COUNTIFS('DRAFT 2'!$D:$D,$B18,'DRAFT 2'!$A:$A,"&gt;="&amp;DATE(2026,7,15),'DRAFT 2'!$A:$A,"&lt;="&amp;DATE(2026,7,21))</f>
        <v/>
      </c>
      <c r="FX18" s="116">
        <f>COUNTIFS('DRAFT 2'!$D:$D,$B18,'DRAFT 2'!$A:$A,"&gt;="&amp;DATE(2026,7,22),'DRAFT 2'!$A:$A,"&lt;"&amp;DATE(2026,IF(7=12,7+1,7+1),1))</f>
        <v/>
      </c>
      <c r="FY18" s="116">
        <f>SUM(FU18:FX18)</f>
        <v/>
      </c>
      <c r="GI18" s="116">
        <f>IFERROR(LOOKUP(2,1/('DRAFT 2'!$D:$D=$B18)*('DRAFT 2'!$A:$A&gt;=DATE(2026,8,1))*('DRAFT 2'!$A:$A&lt;DATE(2026,IF(8=12,8+1,8+1),1)),'DRAFT 2'!$A:$A),"")</f>
        <v/>
      </c>
      <c r="GJ18" s="116">
        <f>COUNTIFS('DRAFT 2'!$D:$D,$B18,'DRAFT 2'!$A:$A,"&gt;="&amp;DATE(2026,8,1),'DRAFT 2'!$A:$A,"&lt;="&amp;DATE(2026,8,7))</f>
        <v/>
      </c>
      <c r="GK18" s="116">
        <f>COUNTIFS('DRAFT 2'!$D:$D,$B18,'DRAFT 2'!$A:$A,"&gt;="&amp;DATE(2026,8,8),'DRAFT 2'!$A:$A,"&lt;="&amp;DATE(2026,8,14))</f>
        <v/>
      </c>
      <c r="GL18" s="116">
        <f>COUNTIFS('DRAFT 2'!$D:$D,$B18,'DRAFT 2'!$A:$A,"&gt;="&amp;DATE(2026,8,15),'DRAFT 2'!$A:$A,"&lt;="&amp;DATE(2026,8,21))</f>
        <v/>
      </c>
      <c r="GM18" s="116">
        <f>COUNTIFS('DRAFT 2'!$D:$D,$B18,'DRAFT 2'!$A:$A,"&gt;="&amp;DATE(2026,8,22),'DRAFT 2'!$A:$A,"&lt;"&amp;DATE(2026,IF(8=12,8+1,8+1),1))</f>
        <v/>
      </c>
      <c r="GN18" s="116">
        <f>SUM(GJ18:GM18)</f>
        <v/>
      </c>
      <c r="GX18" s="116">
        <f>IFERROR(LOOKUP(2,1/('DRAFT 2'!$D:$D=$B18)*('DRAFT 2'!$A:$A&gt;=DATE(2026,9,1))*('DRAFT 2'!$A:$A&lt;DATE(2026,IF(9=12,9+1,9+1),1)),'DRAFT 2'!$A:$A),"")</f>
        <v/>
      </c>
      <c r="GY18" s="116">
        <f>COUNTIFS('DRAFT 2'!$D:$D,$B18,'DRAFT 2'!$A:$A,"&gt;="&amp;DATE(2026,9,1),'DRAFT 2'!$A:$A,"&lt;="&amp;DATE(2026,9,7))</f>
        <v/>
      </c>
      <c r="GZ18" s="116">
        <f>COUNTIFS('DRAFT 2'!$D:$D,$B18,'DRAFT 2'!$A:$A,"&gt;="&amp;DATE(2026,9,8),'DRAFT 2'!$A:$A,"&lt;="&amp;DATE(2026,9,14))</f>
        <v/>
      </c>
      <c r="HA18" s="116">
        <f>COUNTIFS('DRAFT 2'!$D:$D,$B18,'DRAFT 2'!$A:$A,"&gt;="&amp;DATE(2026,9,15),'DRAFT 2'!$A:$A,"&lt;="&amp;DATE(2026,9,21))</f>
        <v/>
      </c>
      <c r="HB18" s="116">
        <f>COUNTIFS('DRAFT 2'!$D:$D,$B18,'DRAFT 2'!$A:$A,"&gt;="&amp;DATE(2026,9,22),'DRAFT 2'!$A:$A,"&lt;"&amp;DATE(2026,IF(9=12,9+1,9+1),1))</f>
        <v/>
      </c>
      <c r="HC18" s="116">
        <f>SUM(GY18:HB18)</f>
        <v/>
      </c>
      <c r="HN18" s="116">
        <f>IFERROR(LOOKUP(2,1/('DRAFT 2'!$D:$D=$B18)*('DRAFT 2'!$A:$A&gt;=DATE(2026,10,1))*('DRAFT 2'!$A:$A&lt;DATE(2026,IF(10=12,10+1,10+1),1)),'DRAFT 2'!$A:$A),"")</f>
        <v/>
      </c>
      <c r="HO18" s="116">
        <f>COUNTIFS('DRAFT 2'!$D:$D,$B18,'DRAFT 2'!$A:$A,"&gt;="&amp;DATE(2026,10,1),'DRAFT 2'!$A:$A,"&lt;="&amp;DATE(2026,10,7))</f>
        <v/>
      </c>
      <c r="HP18" s="116">
        <f>COUNTIFS('DRAFT 2'!$D:$D,$B18,'DRAFT 2'!$A:$A,"&gt;="&amp;DATE(2026,10,8),'DRAFT 2'!$A:$A,"&lt;="&amp;DATE(2026,10,14))</f>
        <v/>
      </c>
      <c r="HQ18" s="116">
        <f>COUNTIFS('DRAFT 2'!$D:$D,$B18,'DRAFT 2'!$A:$A,"&gt;="&amp;DATE(2026,10,15),'DRAFT 2'!$A:$A,"&lt;="&amp;DATE(2026,10,21))</f>
        <v/>
      </c>
      <c r="HR18" s="116">
        <f>COUNTIFS('DRAFT 2'!$D:$D,$B18,'DRAFT 2'!$A:$A,"&gt;="&amp;DATE(2026,10,22),'DRAFT 2'!$A:$A,"&lt;"&amp;DATE(2026,IF(10=12,10+1,10+1),1))</f>
        <v/>
      </c>
      <c r="HS18" s="116">
        <f>SUM(HO18:HR18)</f>
        <v/>
      </c>
      <c r="IC18" s="116">
        <f>IFERROR(LOOKUP(2,1/('DRAFT 2'!$D:$D=$B18)*('DRAFT 2'!$A:$A&gt;=DATE(2026,11,1))*('DRAFT 2'!$A:$A&lt;DATE(2026,IF(11=12,11+1,11+1),1)),'DRAFT 2'!$A:$A),"")</f>
        <v/>
      </c>
      <c r="ID18" s="116">
        <f>COUNTIFS('DRAFT 2'!$D:$D,$B18,'DRAFT 2'!$A:$A,"&gt;="&amp;DATE(2026,11,1),'DRAFT 2'!$A:$A,"&lt;="&amp;DATE(2026,11,7))</f>
        <v/>
      </c>
      <c r="IE18" s="116">
        <f>COUNTIFS('DRAFT 2'!$D:$D,$B18,'DRAFT 2'!$A:$A,"&gt;="&amp;DATE(2026,11,8),'DRAFT 2'!$A:$A,"&lt;="&amp;DATE(2026,11,14))</f>
        <v/>
      </c>
      <c r="IF18" s="116">
        <f>COUNTIFS('DRAFT 2'!$D:$D,$B18,'DRAFT 2'!$A:$A,"&gt;="&amp;DATE(2026,11,15),'DRAFT 2'!$A:$A,"&lt;="&amp;DATE(2026,11,21))</f>
        <v/>
      </c>
      <c r="IG18" s="116">
        <f>COUNTIFS('DRAFT 2'!$D:$D,$B18,'DRAFT 2'!$A:$A,"&gt;="&amp;DATE(2026,11,22),'DRAFT 2'!$A:$A,"&lt;"&amp;DATE(2026,IF(11=12,11+1,11+1),1))</f>
        <v/>
      </c>
      <c r="IH18" s="116">
        <f>SUM(ID18:IG18)</f>
        <v/>
      </c>
      <c r="IR18" s="116">
        <f>IFERROR(LOOKUP(2,1/('DRAFT 2'!$D:$D=$B18)*('DRAFT 2'!$A:$A&gt;=DATE(2026,12,1))*('DRAFT 2'!$A:$A&lt;DATE(2026,IF(12=12,12+1,12+1),1)),'DRAFT 2'!$A:$A),"")</f>
        <v/>
      </c>
      <c r="IS18" s="116">
        <f>COUNTIFS('DRAFT 2'!$D:$D,$B18,'DRAFT 2'!$A:$A,"&gt;="&amp;DATE(2026,12,1),'DRAFT 2'!$A:$A,"&lt;="&amp;DATE(2026,12,7))</f>
        <v/>
      </c>
      <c r="IT18" s="116">
        <f>COUNTIFS('DRAFT 2'!$D:$D,$B18,'DRAFT 2'!$A:$A,"&gt;="&amp;DATE(2026,12,8),'DRAFT 2'!$A:$A,"&lt;="&amp;DATE(2026,12,14))</f>
        <v/>
      </c>
      <c r="IU18" s="116">
        <f>COUNTIFS('DRAFT 2'!$D:$D,$B18,'DRAFT 2'!$A:$A,"&gt;="&amp;DATE(2026,12,15),'DRAFT 2'!$A:$A,"&lt;="&amp;DATE(2026,12,21))</f>
        <v/>
      </c>
      <c r="IV18" s="116">
        <f>COUNTIFS('DRAFT 2'!$D:$D,$B18,'DRAFT 2'!$A:$A,"&gt;="&amp;DATE(2026,12,22),'DRAFT 2'!$A:$A,"&lt;"&amp;DATE(2026,IF(12=12,12+1,12+1),1))</f>
        <v/>
      </c>
      <c r="IW18" s="116">
        <f>SUM(IS18:IV18)</f>
        <v/>
      </c>
    </row>
    <row r="19">
      <c r="A19" s="116">
        <f>IFERROR(INDEX('DRAFT 1'!$A:$A,MATCH($B19,'DRAFT 1'!$B:$B,0)),"")</f>
        <v/>
      </c>
      <c r="C19" s="116">
        <f>IFERROR(INDEX('DRAFT 1'!$C:$C,MATCH($B19,'DRAFT 1'!$B:$B,0)),"")</f>
        <v/>
      </c>
      <c r="D19" s="116">
        <f>IFERROR(INDEX('DRAFT 1'!$D:$D,MATCH($B19,'DRAFT 1'!$B:$B,0)),"")</f>
        <v/>
      </c>
      <c r="E19" s="116">
        <f>IFERROR(INDEX('DRAFT 1'!$E:$E,MATCH($B19,'DRAFT 1'!$B:$B,0)),"")</f>
        <v/>
      </c>
      <c r="F19" s="116">
        <f>IFERROR(INDEX('DRAFT 1'!$F:$F,MATCH($B19,'DRAFT 1'!$B:$B,0)),"")</f>
        <v/>
      </c>
      <c r="G19" s="116">
        <f>IFERROR(INDEX('DRAFT 1'!$G:$G,MATCH($B19,'DRAFT 1'!$B:$B,0)),"")</f>
        <v/>
      </c>
      <c r="H19" s="116">
        <f>IFERROR(INDEX('DRAFT 1'!$H:$H,MATCH($B19,'DRAFT 1'!$B:$B,0)),"")</f>
        <v/>
      </c>
      <c r="I19" s="116" t="inlineStr">
        <is>
          <t>DIVINA TERRA</t>
        </is>
      </c>
      <c r="K19" s="116">
        <f>IFERROR(INDEX('DRAFT 1'!$AL:$AL,MATCH($B19,'DRAFT 1'!$B:$B,0)),"")</f>
        <v/>
      </c>
      <c r="L19" s="116">
        <f>IFERROR(INDEX('DRAFT 1'!$J:$J,MATCH($B19,'DRAFT 1'!$B:$B,0)),"")</f>
        <v/>
      </c>
      <c r="M19" s="116">
        <f>IFERROR(INDEX('DRAFT 1'!$K:$K,MATCH($B19,'DRAFT 1'!$B:$B,0)),"")</f>
        <v/>
      </c>
      <c r="N19" s="116" t="inlineStr">
        <is>
          <t>ATIVO</t>
        </is>
      </c>
      <c r="P19" s="116">
        <f>IFERROR(INDEX('DRAFT 1'!$L:$L,MATCH($B19,'DRAFT 1'!$B:$B,0)),"")</f>
        <v/>
      </c>
      <c r="Q19" s="116">
        <f>IFERROR(INDEX('DRAFT 1'!$M:$M,MATCH($B19,'DRAFT 1'!$B:$B,0)),"")</f>
        <v/>
      </c>
      <c r="R19" s="116">
        <f>IFERROR(INDEX('DRAFT 1'!$N:$N,MATCH($B19,'DRAFT 1'!$B:$B,0)),"")</f>
        <v/>
      </c>
      <c r="S19" s="116">
        <f>IFERROR(INDEX('DRAFT 1'!$O:$O,MATCH($B19,'DRAFT 1'!$B:$B,0)),"")</f>
        <v/>
      </c>
      <c r="T19" s="116">
        <f>IFERROR(INDEX('DRAFT 1'!$P:$P,MATCH($B19,'DRAFT 1'!$B:$B,0)),"")</f>
        <v/>
      </c>
      <c r="U19" s="116">
        <f>IFERROR(INDEX('DRAFT 1'!$Q:$Q,MATCH($B19,'DRAFT 1'!$B:$B,0)),"")</f>
        <v/>
      </c>
      <c r="V19" s="116">
        <f>IFERROR(INDEX('DRAFT 1'!$R:$R,MATCH($B19,'DRAFT 1'!$B:$B,0)),"")</f>
        <v/>
      </c>
      <c r="W19" s="116">
        <f>IFERROR(INDEX('DRAFT 1'!$S:$S,MATCH($B19,'DRAFT 1'!$B:$B,0)),"")</f>
        <v/>
      </c>
      <c r="X19" s="116">
        <f>IFERROR(INDEX('DRAFT 1'!$T:$T,MATCH($B19,'DRAFT 1'!$B:$B,0)),"")</f>
        <v/>
      </c>
      <c r="Z19" s="116">
        <f>IFERROR(INDEX('DRAFT 1'!$U:$U,MATCH($B19,'DRAFT 1'!$B:$B,0)),"")</f>
        <v/>
      </c>
      <c r="AA19" s="116">
        <f>IFERROR(INDEX('DRAFT 1'!$V:$V,MATCH($B19,'DRAFT 1'!$B:$B,0)),"")</f>
        <v/>
      </c>
      <c r="AB19" s="116">
        <f>IFERROR(INDEX('DRAFT 1'!$W:$W,MATCH($B19,'DRAFT 1'!$B:$B,0)),"")</f>
        <v/>
      </c>
      <c r="AC19" s="116">
        <f>IFERROR(INDEX('DRAFT 1'!$X:$X,MATCH($B19,'DRAFT 1'!$B:$B,0)),"")</f>
        <v/>
      </c>
      <c r="AD19" s="116">
        <f>IFERROR(INDEX('DRAFT 1'!$Y:$Y,MATCH($B19,'DRAFT 1'!$B:$B,0)),"")</f>
        <v/>
      </c>
      <c r="AE19" s="116">
        <f>IFERROR(INDEX('DRAFT 1'!$Z:$Z,MATCH($B19,'DRAFT 1'!$B:$B,0)),"")</f>
        <v/>
      </c>
      <c r="AF19" s="116">
        <f>IFERROR(INDEX('DRAFT 1'!$AA:$AA,MATCH($B19,'DRAFT 1'!$B:$B,0)),"")</f>
        <v/>
      </c>
      <c r="AG19" s="116">
        <f>IFERROR(INDEX('DRAFT 1'!$AB:$AB,MATCH($B19,'DRAFT 1'!$B:$B,0)),"")</f>
        <v/>
      </c>
      <c r="AH19" s="116">
        <f>IFERROR(INDEX('DRAFT 1'!$AC:$AC,MATCH($B19,'DRAFT 1'!$B:$B,0)),"")</f>
        <v/>
      </c>
      <c r="AI19" s="116">
        <f>IFERROR(INDEX('DRAFT 1'!$AD:$AD,MATCH($B19,'DRAFT 1'!$B:$B,0)),"")</f>
        <v/>
      </c>
      <c r="AJ19" s="116">
        <f>IFERROR(INDEX('DRAFT 1'!$AE:$AE,MATCH($B19,'DRAFT 1'!$B:$B,0)),"")</f>
        <v/>
      </c>
      <c r="AK19" s="116">
        <f>IFERROR(INDEX('DRAFT 1'!$AG:$AG,MATCH($B19,'DRAFT 1'!$B:$B,0)),"")</f>
        <v/>
      </c>
      <c r="AL19" s="116">
        <f>IFERROR(INDEX('DRAFT 1'!$AH:$AH,MATCH($B19,'DRAFT 1'!$B:$B,0)),"")</f>
        <v/>
      </c>
      <c r="AM19" s="116">
        <f>IFERROR(INDEX('DRAFT 1'!$AI:$AI,MATCH($B19,'DRAFT 1'!$B:$B,0)),"")</f>
        <v/>
      </c>
      <c r="AN19" s="116">
        <f>IFERROR(INDEX('DRAFT 1'!$AJ:$AJ,MATCH($B19,'DRAFT 1'!$B:$B,0)),"")</f>
        <v/>
      </c>
      <c r="AO19" s="116">
        <f>IFERROR(Y19/AN19,0)</f>
        <v/>
      </c>
      <c r="AP19" s="116">
        <f>IFERROR(INDEX('DRAFT 1'!$AK:$AK,MATCH($B19,'DRAFT 1'!$B:$B,0)),"")</f>
        <v/>
      </c>
      <c r="AR19" s="116" t="inlineStr">
        <is>
          <t>RECUPERAÇÃO</t>
        </is>
      </c>
      <c r="AS19" s="116">
        <f>IFERROR(LOOKUP(2,1/('DRAFT 2'!$D:$D=$B19),'DRAFT 2'!$T:$T),"")</f>
        <v/>
      </c>
      <c r="AT19" s="116">
        <f>IFERROR(LOOKUP(2,1/('DRAFT 2'!$D:$D=$B19),'DRAFT 2'!$A:$A),"")</f>
        <v/>
      </c>
      <c r="AU19" s="116">
        <f>IFERROR(LOOKUP(2,1/('DRAFT 2'!$D:$D=$B19),'DRAFT 2'!$R:$R),"")</f>
        <v/>
      </c>
      <c r="AV19" s="116">
        <f>IFERROR(LOOKUP(2,1/('DRAFT 2'!$D:$D=$B19),'DRAFT 2'!$S:$S),"")</f>
        <v/>
      </c>
      <c r="AW19" s="116" t="inlineStr">
        <is>
          <t>LEAD</t>
        </is>
      </c>
      <c r="AX19" s="116">
        <f>IFERROR(LOOKUP(2,1/('DRAFT 2'!$D:$D=$B19),'DRAFT 2'!$M:$M),"")</f>
        <v/>
      </c>
      <c r="AY19" s="116">
        <f>IFERROR(LOOKUP(2,1/('DRAFT 2'!$D:$D=$B19),'DRAFT 2'!$K:$K),"")</f>
        <v/>
      </c>
      <c r="BG19" s="116">
        <f>IFERROR(LOOKUP(2,1/('DRAFT 2'!$D:$D=$B19),'DRAFT 2'!$U:$U),"")</f>
        <v/>
      </c>
      <c r="BH19" s="116">
        <f>IFERROR(LOOKUP(2,1/('DRAFT 2'!$D:$D=$B19),'DRAFT 2'!$V:$V),"")</f>
        <v/>
      </c>
      <c r="CE19" s="116">
        <f>IFERROR(AJ19,0)</f>
        <v/>
      </c>
      <c r="CF19" s="116">
        <f>IFERROR(LOOKUP(2,1/('DRAFT 2'!$D:$D=$B19)*('DRAFT 2'!$A:$A&gt;=DATE(2026,1,1))*('DRAFT 2'!$A:$A&lt;DATE(2026,IF(1=12,1+1,1+1),1)),'DRAFT 2'!$A:$A),"")</f>
        <v/>
      </c>
      <c r="CG19" s="116">
        <f>COUNTIFS('DRAFT 2'!$D:$D,$B19,'DRAFT 2'!$A:$A,"&gt;="&amp;DATE(2026,1,1),'DRAFT 2'!$A:$A,"&lt;="&amp;DATE(2026,1,7))</f>
        <v/>
      </c>
      <c r="CH19" s="116">
        <f>COUNTIFS('DRAFT 2'!$D:$D,$B19,'DRAFT 2'!$A:$A,"&gt;="&amp;DATE(2026,1,8),'DRAFT 2'!$A:$A,"&lt;="&amp;DATE(2026,1,14))</f>
        <v/>
      </c>
      <c r="CI19" s="116">
        <f>COUNTIFS('DRAFT 2'!$D:$D,$B19,'DRAFT 2'!$A:$A,"&gt;="&amp;DATE(2026,1,15),'DRAFT 2'!$A:$A,"&lt;="&amp;DATE(2026,1,21))</f>
        <v/>
      </c>
      <c r="CJ19" s="116">
        <f>COUNTIFS('DRAFT 2'!$D:$D,$B19,'DRAFT 2'!$A:$A,"&gt;="&amp;DATE(2026,1,22),'DRAFT 2'!$A:$A,"&lt;"&amp;DATE(2026,IF(1=12,1+1,1+1),1))</f>
        <v/>
      </c>
      <c r="CK19" s="116">
        <f>SUM(CG19:CJ19)</f>
        <v/>
      </c>
      <c r="CT19" s="116" t="n">
        <v>0</v>
      </c>
      <c r="CU19" s="116">
        <f>IFERROR(LOOKUP(2,1/('DRAFT 2'!$D:$D=$B19)*('DRAFT 2'!$A:$A&gt;=DATE(2026,2,1))*('DRAFT 2'!$A:$A&lt;DATE(2026,IF(2=12,2+1,2+1),1)),'DRAFT 2'!$A:$A),"")</f>
        <v/>
      </c>
      <c r="CV19" s="116">
        <f>COUNTIFS('DRAFT 2'!$D:$D,$B19,'DRAFT 2'!$A:$A,"&gt;="&amp;DATE(2026,2,1),'DRAFT 2'!$A:$A,"&lt;="&amp;DATE(2026,2,7))</f>
        <v/>
      </c>
      <c r="CW19" s="116">
        <f>COUNTIFS('DRAFT 2'!$D:$D,$B19,'DRAFT 2'!$A:$A,"&gt;="&amp;DATE(2026,2,8),'DRAFT 2'!$A:$A,"&lt;="&amp;DATE(2026,2,14))</f>
        <v/>
      </c>
      <c r="CX19" s="116">
        <f>COUNTIFS('DRAFT 2'!$D:$D,$B19,'DRAFT 2'!$A:$A,"&gt;="&amp;DATE(2026,2,15),'DRAFT 2'!$A:$A,"&lt;="&amp;DATE(2026,2,21))</f>
        <v/>
      </c>
      <c r="CY19" s="116">
        <f>COUNTIFS('DRAFT 2'!$D:$D,$B19,'DRAFT 2'!$A:$A,"&gt;="&amp;DATE(2026,2,22),'DRAFT 2'!$A:$A,"&lt;"&amp;DATE(2026,IF(2=12,2+1,2+1),1))</f>
        <v/>
      </c>
      <c r="CZ19" s="116">
        <f>SUM(CV19:CY19)</f>
        <v/>
      </c>
      <c r="DJ19" s="116">
        <f>IFERROR(LOOKUP(2,1/('DRAFT 2'!$D:$D=$B19)*('DRAFT 2'!$A:$A&gt;=DATE(2026,3,1))*('DRAFT 2'!$A:$A&lt;DATE(2026,IF(3=12,3+1,3+1),1)),'DRAFT 2'!$A:$A),"")</f>
        <v/>
      </c>
      <c r="DK19" s="116">
        <f>COUNTIFS('DRAFT 2'!$D:$D,$B19,'DRAFT 2'!$A:$A,"&gt;="&amp;DATE(2026,3,1),'DRAFT 2'!$A:$A,"&lt;="&amp;DATE(2026,3,7))</f>
        <v/>
      </c>
      <c r="DL19" s="116">
        <f>COUNTIFS('DRAFT 2'!$D:$D,$B19,'DRAFT 2'!$A:$A,"&gt;="&amp;DATE(2026,3,8),'DRAFT 2'!$A:$A,"&lt;="&amp;DATE(2026,3,14))</f>
        <v/>
      </c>
      <c r="DM19" s="116">
        <f>COUNTIFS('DRAFT 2'!$D:$D,$B19,'DRAFT 2'!$A:$A,"&gt;="&amp;DATE(2026,3,15),'DRAFT 2'!$A:$A,"&lt;="&amp;DATE(2026,3,21))</f>
        <v/>
      </c>
      <c r="DN19" s="116">
        <f>COUNTIFS('DRAFT 2'!$D:$D,$B19,'DRAFT 2'!$A:$A,"&gt;="&amp;DATE(2026,3,22),'DRAFT 2'!$A:$A,"&lt;"&amp;DATE(2026,IF(3=12,3+1,3+1),1))</f>
        <v/>
      </c>
      <c r="DO19" s="116">
        <f>SUM(DK19:DN19)</f>
        <v/>
      </c>
      <c r="DZ19" s="116">
        <f>IFERROR(LOOKUP(2,1/('DRAFT 2'!$D:$D=$B19)*('DRAFT 2'!$A:$A&gt;=DATE(2026,4,1))*('DRAFT 2'!$A:$A&lt;DATE(2026,IF(4=12,4+1,4+1),1)),'DRAFT 2'!$A:$A),"")</f>
        <v/>
      </c>
      <c r="EA19" s="116">
        <f>COUNTIFS('DRAFT 2'!$D:$D,$B19,'DRAFT 2'!$A:$A,"&gt;="&amp;DATE(2026,4,1),'DRAFT 2'!$A:$A,"&lt;="&amp;DATE(2026,4,7))</f>
        <v/>
      </c>
      <c r="EB19" s="116">
        <f>COUNTIFS('DRAFT 2'!$D:$D,$B19,'DRAFT 2'!$A:$A,"&gt;="&amp;DATE(2026,4,8),'DRAFT 2'!$A:$A,"&lt;="&amp;DATE(2026,4,14))</f>
        <v/>
      </c>
      <c r="EC19" s="116">
        <f>COUNTIFS('DRAFT 2'!$D:$D,$B19,'DRAFT 2'!$A:$A,"&gt;="&amp;DATE(2026,4,15),'DRAFT 2'!$A:$A,"&lt;="&amp;DATE(2026,4,21))</f>
        <v/>
      </c>
      <c r="ED19" s="116">
        <f>COUNTIFS('DRAFT 2'!$D:$D,$B19,'DRAFT 2'!$A:$A,"&gt;="&amp;DATE(2026,4,22),'DRAFT 2'!$A:$A,"&lt;"&amp;DATE(2026,IF(4=12,4+1,4+1),1))</f>
        <v/>
      </c>
      <c r="EE19" s="116">
        <f>SUM(EA19:ED19)</f>
        <v/>
      </c>
      <c r="EO19" s="116">
        <f>IFERROR(LOOKUP(2,1/('DRAFT 2'!$D:$D=$B19)*('DRAFT 2'!$A:$A&gt;=DATE(2026,5,1))*('DRAFT 2'!$A:$A&lt;DATE(2026,IF(5=12,5+1,5+1),1)),'DRAFT 2'!$A:$A),"")</f>
        <v/>
      </c>
      <c r="EP19" s="116">
        <f>COUNTIFS('DRAFT 2'!$D:$D,$B19,'DRAFT 2'!$A:$A,"&gt;="&amp;DATE(2026,5,1),'DRAFT 2'!$A:$A,"&lt;="&amp;DATE(2026,5,7))</f>
        <v/>
      </c>
      <c r="EQ19" s="116">
        <f>COUNTIFS('DRAFT 2'!$D:$D,$B19,'DRAFT 2'!$A:$A,"&gt;="&amp;DATE(2026,5,8),'DRAFT 2'!$A:$A,"&lt;="&amp;DATE(2026,5,14))</f>
        <v/>
      </c>
      <c r="ER19" s="116">
        <f>COUNTIFS('DRAFT 2'!$D:$D,$B19,'DRAFT 2'!$A:$A,"&gt;="&amp;DATE(2026,5,15),'DRAFT 2'!$A:$A,"&lt;="&amp;DATE(2026,5,21))</f>
        <v/>
      </c>
      <c r="ES19" s="116">
        <f>COUNTIFS('DRAFT 2'!$D:$D,$B19,'DRAFT 2'!$A:$A,"&gt;="&amp;DATE(2026,5,22),'DRAFT 2'!$A:$A,"&lt;"&amp;DATE(2026,IF(5=12,5+1,5+1),1))</f>
        <v/>
      </c>
      <c r="ET19" s="116">
        <f>SUM(EP19:ES19)</f>
        <v/>
      </c>
      <c r="FD19" s="116">
        <f>IFERROR(LOOKUP(2,1/('DRAFT 2'!$D:$D=$B19)*('DRAFT 2'!$A:$A&gt;=DATE(2026,6,1))*('DRAFT 2'!$A:$A&lt;DATE(2026,IF(6=12,6+1,6+1),1)),'DRAFT 2'!$A:$A),"")</f>
        <v/>
      </c>
      <c r="FE19" s="116">
        <f>COUNTIFS('DRAFT 2'!$D:$D,$B19,'DRAFT 2'!$A:$A,"&gt;="&amp;DATE(2026,6,1),'DRAFT 2'!$A:$A,"&lt;="&amp;DATE(2026,6,7))</f>
        <v/>
      </c>
      <c r="FF19" s="116">
        <f>COUNTIFS('DRAFT 2'!$D:$D,$B19,'DRAFT 2'!$A:$A,"&gt;="&amp;DATE(2026,6,8),'DRAFT 2'!$A:$A,"&lt;="&amp;DATE(2026,6,14))</f>
        <v/>
      </c>
      <c r="FG19" s="116">
        <f>COUNTIFS('DRAFT 2'!$D:$D,$B19,'DRAFT 2'!$A:$A,"&gt;="&amp;DATE(2026,6,15),'DRAFT 2'!$A:$A,"&lt;="&amp;DATE(2026,6,21))</f>
        <v/>
      </c>
      <c r="FH19" s="116">
        <f>COUNTIFS('DRAFT 2'!$D:$D,$B19,'DRAFT 2'!$A:$A,"&gt;="&amp;DATE(2026,6,22),'DRAFT 2'!$A:$A,"&lt;"&amp;DATE(2026,IF(6=12,6+1,6+1),1))</f>
        <v/>
      </c>
      <c r="FI19" s="116">
        <f>SUM(FE19:FH19)</f>
        <v/>
      </c>
      <c r="FT19" s="116">
        <f>IFERROR(LOOKUP(2,1/('DRAFT 2'!$D:$D=$B19)*('DRAFT 2'!$A:$A&gt;=DATE(2026,7,1))*('DRAFT 2'!$A:$A&lt;DATE(2026,IF(7=12,7+1,7+1),1)),'DRAFT 2'!$A:$A),"")</f>
        <v/>
      </c>
      <c r="FU19" s="116">
        <f>COUNTIFS('DRAFT 2'!$D:$D,$B19,'DRAFT 2'!$A:$A,"&gt;="&amp;DATE(2026,7,1),'DRAFT 2'!$A:$A,"&lt;="&amp;DATE(2026,7,7))</f>
        <v/>
      </c>
      <c r="FV19" s="116">
        <f>COUNTIFS('DRAFT 2'!$D:$D,$B19,'DRAFT 2'!$A:$A,"&gt;="&amp;DATE(2026,7,8),'DRAFT 2'!$A:$A,"&lt;="&amp;DATE(2026,7,14))</f>
        <v/>
      </c>
      <c r="FW19" s="116">
        <f>COUNTIFS('DRAFT 2'!$D:$D,$B19,'DRAFT 2'!$A:$A,"&gt;="&amp;DATE(2026,7,15),'DRAFT 2'!$A:$A,"&lt;="&amp;DATE(2026,7,21))</f>
        <v/>
      </c>
      <c r="FX19" s="116">
        <f>COUNTIFS('DRAFT 2'!$D:$D,$B19,'DRAFT 2'!$A:$A,"&gt;="&amp;DATE(2026,7,22),'DRAFT 2'!$A:$A,"&lt;"&amp;DATE(2026,IF(7=12,7+1,7+1),1))</f>
        <v/>
      </c>
      <c r="FY19" s="116">
        <f>SUM(FU19:FX19)</f>
        <v/>
      </c>
      <c r="GI19" s="116">
        <f>IFERROR(LOOKUP(2,1/('DRAFT 2'!$D:$D=$B19)*('DRAFT 2'!$A:$A&gt;=DATE(2026,8,1))*('DRAFT 2'!$A:$A&lt;DATE(2026,IF(8=12,8+1,8+1),1)),'DRAFT 2'!$A:$A),"")</f>
        <v/>
      </c>
      <c r="GJ19" s="116">
        <f>COUNTIFS('DRAFT 2'!$D:$D,$B19,'DRAFT 2'!$A:$A,"&gt;="&amp;DATE(2026,8,1),'DRAFT 2'!$A:$A,"&lt;="&amp;DATE(2026,8,7))</f>
        <v/>
      </c>
      <c r="GK19" s="116">
        <f>COUNTIFS('DRAFT 2'!$D:$D,$B19,'DRAFT 2'!$A:$A,"&gt;="&amp;DATE(2026,8,8),'DRAFT 2'!$A:$A,"&lt;="&amp;DATE(2026,8,14))</f>
        <v/>
      </c>
      <c r="GL19" s="116">
        <f>COUNTIFS('DRAFT 2'!$D:$D,$B19,'DRAFT 2'!$A:$A,"&gt;="&amp;DATE(2026,8,15),'DRAFT 2'!$A:$A,"&lt;="&amp;DATE(2026,8,21))</f>
        <v/>
      </c>
      <c r="GM19" s="116">
        <f>COUNTIFS('DRAFT 2'!$D:$D,$B19,'DRAFT 2'!$A:$A,"&gt;="&amp;DATE(2026,8,22),'DRAFT 2'!$A:$A,"&lt;"&amp;DATE(2026,IF(8=12,8+1,8+1),1))</f>
        <v/>
      </c>
      <c r="GN19" s="116">
        <f>SUM(GJ19:GM19)</f>
        <v/>
      </c>
      <c r="GX19" s="116">
        <f>IFERROR(LOOKUP(2,1/('DRAFT 2'!$D:$D=$B19)*('DRAFT 2'!$A:$A&gt;=DATE(2026,9,1))*('DRAFT 2'!$A:$A&lt;DATE(2026,IF(9=12,9+1,9+1),1)),'DRAFT 2'!$A:$A),"")</f>
        <v/>
      </c>
      <c r="GY19" s="116">
        <f>COUNTIFS('DRAFT 2'!$D:$D,$B19,'DRAFT 2'!$A:$A,"&gt;="&amp;DATE(2026,9,1),'DRAFT 2'!$A:$A,"&lt;="&amp;DATE(2026,9,7))</f>
        <v/>
      </c>
      <c r="GZ19" s="116">
        <f>COUNTIFS('DRAFT 2'!$D:$D,$B19,'DRAFT 2'!$A:$A,"&gt;="&amp;DATE(2026,9,8),'DRAFT 2'!$A:$A,"&lt;="&amp;DATE(2026,9,14))</f>
        <v/>
      </c>
      <c r="HA19" s="116">
        <f>COUNTIFS('DRAFT 2'!$D:$D,$B19,'DRAFT 2'!$A:$A,"&gt;="&amp;DATE(2026,9,15),'DRAFT 2'!$A:$A,"&lt;="&amp;DATE(2026,9,21))</f>
        <v/>
      </c>
      <c r="HB19" s="116">
        <f>COUNTIFS('DRAFT 2'!$D:$D,$B19,'DRAFT 2'!$A:$A,"&gt;="&amp;DATE(2026,9,22),'DRAFT 2'!$A:$A,"&lt;"&amp;DATE(2026,IF(9=12,9+1,9+1),1))</f>
        <v/>
      </c>
      <c r="HC19" s="116">
        <f>SUM(GY19:HB19)</f>
        <v/>
      </c>
      <c r="HN19" s="116">
        <f>IFERROR(LOOKUP(2,1/('DRAFT 2'!$D:$D=$B19)*('DRAFT 2'!$A:$A&gt;=DATE(2026,10,1))*('DRAFT 2'!$A:$A&lt;DATE(2026,IF(10=12,10+1,10+1),1)),'DRAFT 2'!$A:$A),"")</f>
        <v/>
      </c>
      <c r="HO19" s="116">
        <f>COUNTIFS('DRAFT 2'!$D:$D,$B19,'DRAFT 2'!$A:$A,"&gt;="&amp;DATE(2026,10,1),'DRAFT 2'!$A:$A,"&lt;="&amp;DATE(2026,10,7))</f>
        <v/>
      </c>
      <c r="HP19" s="116">
        <f>COUNTIFS('DRAFT 2'!$D:$D,$B19,'DRAFT 2'!$A:$A,"&gt;="&amp;DATE(2026,10,8),'DRAFT 2'!$A:$A,"&lt;="&amp;DATE(2026,10,14))</f>
        <v/>
      </c>
      <c r="HQ19" s="116">
        <f>COUNTIFS('DRAFT 2'!$D:$D,$B19,'DRAFT 2'!$A:$A,"&gt;="&amp;DATE(2026,10,15),'DRAFT 2'!$A:$A,"&lt;="&amp;DATE(2026,10,21))</f>
        <v/>
      </c>
      <c r="HR19" s="116">
        <f>COUNTIFS('DRAFT 2'!$D:$D,$B19,'DRAFT 2'!$A:$A,"&gt;="&amp;DATE(2026,10,22),'DRAFT 2'!$A:$A,"&lt;"&amp;DATE(2026,IF(10=12,10+1,10+1),1))</f>
        <v/>
      </c>
      <c r="HS19" s="116">
        <f>SUM(HO19:HR19)</f>
        <v/>
      </c>
      <c r="IC19" s="116">
        <f>IFERROR(LOOKUP(2,1/('DRAFT 2'!$D:$D=$B19)*('DRAFT 2'!$A:$A&gt;=DATE(2026,11,1))*('DRAFT 2'!$A:$A&lt;DATE(2026,IF(11=12,11+1,11+1),1)),'DRAFT 2'!$A:$A),"")</f>
        <v/>
      </c>
      <c r="ID19" s="116">
        <f>COUNTIFS('DRAFT 2'!$D:$D,$B19,'DRAFT 2'!$A:$A,"&gt;="&amp;DATE(2026,11,1),'DRAFT 2'!$A:$A,"&lt;="&amp;DATE(2026,11,7))</f>
        <v/>
      </c>
      <c r="IE19" s="116">
        <f>COUNTIFS('DRAFT 2'!$D:$D,$B19,'DRAFT 2'!$A:$A,"&gt;="&amp;DATE(2026,11,8),'DRAFT 2'!$A:$A,"&lt;="&amp;DATE(2026,11,14))</f>
        <v/>
      </c>
      <c r="IF19" s="116">
        <f>COUNTIFS('DRAFT 2'!$D:$D,$B19,'DRAFT 2'!$A:$A,"&gt;="&amp;DATE(2026,11,15),'DRAFT 2'!$A:$A,"&lt;="&amp;DATE(2026,11,21))</f>
        <v/>
      </c>
      <c r="IG19" s="116">
        <f>COUNTIFS('DRAFT 2'!$D:$D,$B19,'DRAFT 2'!$A:$A,"&gt;="&amp;DATE(2026,11,22),'DRAFT 2'!$A:$A,"&lt;"&amp;DATE(2026,IF(11=12,11+1,11+1),1))</f>
        <v/>
      </c>
      <c r="IH19" s="116">
        <f>SUM(ID19:IG19)</f>
        <v/>
      </c>
      <c r="IR19" s="116">
        <f>IFERROR(LOOKUP(2,1/('DRAFT 2'!$D:$D=$B19)*('DRAFT 2'!$A:$A&gt;=DATE(2026,12,1))*('DRAFT 2'!$A:$A&lt;DATE(2026,IF(12=12,12+1,12+1),1)),'DRAFT 2'!$A:$A),"")</f>
        <v/>
      </c>
      <c r="IS19" s="116">
        <f>COUNTIFS('DRAFT 2'!$D:$D,$B19,'DRAFT 2'!$A:$A,"&gt;="&amp;DATE(2026,12,1),'DRAFT 2'!$A:$A,"&lt;="&amp;DATE(2026,12,7))</f>
        <v/>
      </c>
      <c r="IT19" s="116">
        <f>COUNTIFS('DRAFT 2'!$D:$D,$B19,'DRAFT 2'!$A:$A,"&gt;="&amp;DATE(2026,12,8),'DRAFT 2'!$A:$A,"&lt;="&amp;DATE(2026,12,14))</f>
        <v/>
      </c>
      <c r="IU19" s="116">
        <f>COUNTIFS('DRAFT 2'!$D:$D,$B19,'DRAFT 2'!$A:$A,"&gt;="&amp;DATE(2026,12,15),'DRAFT 2'!$A:$A,"&lt;="&amp;DATE(2026,12,21))</f>
        <v/>
      </c>
      <c r="IV19" s="116">
        <f>COUNTIFS('DRAFT 2'!$D:$D,$B19,'DRAFT 2'!$A:$A,"&gt;="&amp;DATE(2026,12,22),'DRAFT 2'!$A:$A,"&lt;"&amp;DATE(2026,IF(12=12,12+1,12+1),1))</f>
        <v/>
      </c>
      <c r="IW19" s="116">
        <f>SUM(IS19:IV19)</f>
        <v/>
      </c>
    </row>
    <row r="20">
      <c r="A20" s="116">
        <f>IFERROR(INDEX('DRAFT 1'!$A:$A,MATCH($B20,'DRAFT 1'!$B:$B,0)),"")</f>
        <v/>
      </c>
      <c r="C20" s="116">
        <f>IFERROR(INDEX('DRAFT 1'!$C:$C,MATCH($B20,'DRAFT 1'!$B:$B,0)),"")</f>
        <v/>
      </c>
      <c r="D20" s="116">
        <f>IFERROR(INDEX('DRAFT 1'!$D:$D,MATCH($B20,'DRAFT 1'!$B:$B,0)),"")</f>
        <v/>
      </c>
      <c r="E20" s="116">
        <f>IFERROR(INDEX('DRAFT 1'!$E:$E,MATCH($B20,'DRAFT 1'!$B:$B,0)),"")</f>
        <v/>
      </c>
      <c r="F20" s="116">
        <f>IFERROR(INDEX('DRAFT 1'!$F:$F,MATCH($B20,'DRAFT 1'!$B:$B,0)),"")</f>
        <v/>
      </c>
      <c r="G20" s="116">
        <f>IFERROR(INDEX('DRAFT 1'!$G:$G,MATCH($B20,'DRAFT 1'!$B:$B,0)),"")</f>
        <v/>
      </c>
      <c r="H20" s="116">
        <f>IFERROR(INDEX('DRAFT 1'!$H:$H,MATCH($B20,'DRAFT 1'!$B:$B,0)),"")</f>
        <v/>
      </c>
      <c r="I20" s="116" t="inlineStr">
        <is>
          <t>FIT LAND</t>
        </is>
      </c>
      <c r="K20" s="116">
        <f>IFERROR(INDEX('DRAFT 1'!$AL:$AL,MATCH($B20,'DRAFT 1'!$B:$B,0)),"")</f>
        <v/>
      </c>
      <c r="L20" s="116">
        <f>IFERROR(INDEX('DRAFT 1'!$J:$J,MATCH($B20,'DRAFT 1'!$B:$B,0)),"")</f>
        <v/>
      </c>
      <c r="M20" s="116">
        <f>IFERROR(INDEX('DRAFT 1'!$K:$K,MATCH($B20,'DRAFT 1'!$B:$B,0)),"")</f>
        <v/>
      </c>
      <c r="N20" s="116" t="inlineStr">
        <is>
          <t>INAT.ANT</t>
        </is>
      </c>
      <c r="P20" s="116">
        <f>IFERROR(INDEX('DRAFT 1'!$L:$L,MATCH($B20,'DRAFT 1'!$B:$B,0)),"")</f>
        <v/>
      </c>
      <c r="Q20" s="116">
        <f>IFERROR(INDEX('DRAFT 1'!$M:$M,MATCH($B20,'DRAFT 1'!$B:$B,0)),"")</f>
        <v/>
      </c>
      <c r="R20" s="116">
        <f>IFERROR(INDEX('DRAFT 1'!$N:$N,MATCH($B20,'DRAFT 1'!$B:$B,0)),"")</f>
        <v/>
      </c>
      <c r="S20" s="116">
        <f>IFERROR(INDEX('DRAFT 1'!$O:$O,MATCH($B20,'DRAFT 1'!$B:$B,0)),"")</f>
        <v/>
      </c>
      <c r="T20" s="116">
        <f>IFERROR(INDEX('DRAFT 1'!$P:$P,MATCH($B20,'DRAFT 1'!$B:$B,0)),"")</f>
        <v/>
      </c>
      <c r="U20" s="116">
        <f>IFERROR(INDEX('DRAFT 1'!$Q:$Q,MATCH($B20,'DRAFT 1'!$B:$B,0)),"")</f>
        <v/>
      </c>
      <c r="V20" s="116">
        <f>IFERROR(INDEX('DRAFT 1'!$R:$R,MATCH($B20,'DRAFT 1'!$B:$B,0)),"")</f>
        <v/>
      </c>
      <c r="W20" s="116">
        <f>IFERROR(INDEX('DRAFT 1'!$S:$S,MATCH($B20,'DRAFT 1'!$B:$B,0)),"")</f>
        <v/>
      </c>
      <c r="X20" s="116">
        <f>IFERROR(INDEX('DRAFT 1'!$T:$T,MATCH($B20,'DRAFT 1'!$B:$B,0)),"")</f>
        <v/>
      </c>
      <c r="Z20" s="116">
        <f>IFERROR(INDEX('DRAFT 1'!$U:$U,MATCH($B20,'DRAFT 1'!$B:$B,0)),"")</f>
        <v/>
      </c>
      <c r="AA20" s="116">
        <f>IFERROR(INDEX('DRAFT 1'!$V:$V,MATCH($B20,'DRAFT 1'!$B:$B,0)),"")</f>
        <v/>
      </c>
      <c r="AB20" s="116">
        <f>IFERROR(INDEX('DRAFT 1'!$W:$W,MATCH($B20,'DRAFT 1'!$B:$B,0)),"")</f>
        <v/>
      </c>
      <c r="AC20" s="116">
        <f>IFERROR(INDEX('DRAFT 1'!$X:$X,MATCH($B20,'DRAFT 1'!$B:$B,0)),"")</f>
        <v/>
      </c>
      <c r="AD20" s="116">
        <f>IFERROR(INDEX('DRAFT 1'!$Y:$Y,MATCH($B20,'DRAFT 1'!$B:$B,0)),"")</f>
        <v/>
      </c>
      <c r="AE20" s="116">
        <f>IFERROR(INDEX('DRAFT 1'!$Z:$Z,MATCH($B20,'DRAFT 1'!$B:$B,0)),"")</f>
        <v/>
      </c>
      <c r="AF20" s="116">
        <f>IFERROR(INDEX('DRAFT 1'!$AA:$AA,MATCH($B20,'DRAFT 1'!$B:$B,0)),"")</f>
        <v/>
      </c>
      <c r="AG20" s="116">
        <f>IFERROR(INDEX('DRAFT 1'!$AB:$AB,MATCH($B20,'DRAFT 1'!$B:$B,0)),"")</f>
        <v/>
      </c>
      <c r="AH20" s="116">
        <f>IFERROR(INDEX('DRAFT 1'!$AC:$AC,MATCH($B20,'DRAFT 1'!$B:$B,0)),"")</f>
        <v/>
      </c>
      <c r="AI20" s="116">
        <f>IFERROR(INDEX('DRAFT 1'!$AD:$AD,MATCH($B20,'DRAFT 1'!$B:$B,0)),"")</f>
        <v/>
      </c>
      <c r="AJ20" s="116">
        <f>IFERROR(INDEX('DRAFT 1'!$AE:$AE,MATCH($B20,'DRAFT 1'!$B:$B,0)),"")</f>
        <v/>
      </c>
      <c r="AK20" s="116">
        <f>IFERROR(INDEX('DRAFT 1'!$AG:$AG,MATCH($B20,'DRAFT 1'!$B:$B,0)),"")</f>
        <v/>
      </c>
      <c r="AL20" s="116">
        <f>IFERROR(INDEX('DRAFT 1'!$AH:$AH,MATCH($B20,'DRAFT 1'!$B:$B,0)),"")</f>
        <v/>
      </c>
      <c r="AM20" s="116">
        <f>IFERROR(INDEX('DRAFT 1'!$AI:$AI,MATCH($B20,'DRAFT 1'!$B:$B,0)),"")</f>
        <v/>
      </c>
      <c r="AN20" s="116">
        <f>IFERROR(INDEX('DRAFT 1'!$AJ:$AJ,MATCH($B20,'DRAFT 1'!$B:$B,0)),"")</f>
        <v/>
      </c>
      <c r="AO20" s="116">
        <f>IFERROR(Y20/AN20,0)</f>
        <v/>
      </c>
      <c r="AP20" s="116">
        <f>IFERROR(INDEX('DRAFT 1'!$AK:$AK,MATCH($B20,'DRAFT 1'!$B:$B,0)),"")</f>
        <v/>
      </c>
      <c r="AR20" s="116" t="inlineStr">
        <is>
          <t>PÓS-VENDA</t>
        </is>
      </c>
      <c r="AS20" s="116">
        <f>IFERROR(LOOKUP(2,1/('DRAFT 2'!$D:$D=$B20),'DRAFT 2'!$T:$T),"")</f>
        <v/>
      </c>
      <c r="AT20" s="116">
        <f>IFERROR(LOOKUP(2,1/('DRAFT 2'!$D:$D=$B20),'DRAFT 2'!$A:$A),"")</f>
        <v/>
      </c>
      <c r="AU20" s="116">
        <f>IFERROR(LOOKUP(2,1/('DRAFT 2'!$D:$D=$B20),'DRAFT 2'!$R:$R),"")</f>
        <v/>
      </c>
      <c r="AV20" s="116">
        <f>IFERROR(LOOKUP(2,1/('DRAFT 2'!$D:$D=$B20),'DRAFT 2'!$S:$S),"")</f>
        <v/>
      </c>
      <c r="AW20" s="116" t="inlineStr">
        <is>
          <t>RECORRENTE</t>
        </is>
      </c>
      <c r="AX20" s="116">
        <f>IFERROR(LOOKUP(2,1/('DRAFT 2'!$D:$D=$B20),'DRAFT 2'!$M:$M),"")</f>
        <v/>
      </c>
      <c r="AY20" s="116">
        <f>IFERROR(LOOKUP(2,1/('DRAFT 2'!$D:$D=$B20),'DRAFT 2'!$K:$K),"")</f>
        <v/>
      </c>
      <c r="BG20" s="116">
        <f>IFERROR(LOOKUP(2,1/('DRAFT 2'!$D:$D=$B20),'DRAFT 2'!$U:$U),"")</f>
        <v/>
      </c>
      <c r="BH20" s="116">
        <f>IFERROR(LOOKUP(2,1/('DRAFT 2'!$D:$D=$B20),'DRAFT 2'!$V:$V),"")</f>
        <v/>
      </c>
      <c r="CE20" s="116">
        <f>IFERROR(AJ20,0)</f>
        <v/>
      </c>
      <c r="CF20" s="116">
        <f>IFERROR(LOOKUP(2,1/('DRAFT 2'!$D:$D=$B20)*('DRAFT 2'!$A:$A&gt;=DATE(2026,1,1))*('DRAFT 2'!$A:$A&lt;DATE(2026,IF(1=12,1+1,1+1),1)),'DRAFT 2'!$A:$A),"")</f>
        <v/>
      </c>
      <c r="CG20" s="116">
        <f>COUNTIFS('DRAFT 2'!$D:$D,$B20,'DRAFT 2'!$A:$A,"&gt;="&amp;DATE(2026,1,1),'DRAFT 2'!$A:$A,"&lt;="&amp;DATE(2026,1,7))</f>
        <v/>
      </c>
      <c r="CH20" s="116">
        <f>COUNTIFS('DRAFT 2'!$D:$D,$B20,'DRAFT 2'!$A:$A,"&gt;="&amp;DATE(2026,1,8),'DRAFT 2'!$A:$A,"&lt;="&amp;DATE(2026,1,14))</f>
        <v/>
      </c>
      <c r="CI20" s="116">
        <f>COUNTIFS('DRAFT 2'!$D:$D,$B20,'DRAFT 2'!$A:$A,"&gt;="&amp;DATE(2026,1,15),'DRAFT 2'!$A:$A,"&lt;="&amp;DATE(2026,1,21))</f>
        <v/>
      </c>
      <c r="CJ20" s="116">
        <f>COUNTIFS('DRAFT 2'!$D:$D,$B20,'DRAFT 2'!$A:$A,"&gt;="&amp;DATE(2026,1,22),'DRAFT 2'!$A:$A,"&lt;"&amp;DATE(2026,IF(1=12,1+1,1+1),1))</f>
        <v/>
      </c>
      <c r="CK20" s="116">
        <f>SUM(CG20:CJ20)</f>
        <v/>
      </c>
      <c r="CT20" s="116" t="n">
        <v>0</v>
      </c>
      <c r="CU20" s="116">
        <f>IFERROR(LOOKUP(2,1/('DRAFT 2'!$D:$D=$B20)*('DRAFT 2'!$A:$A&gt;=DATE(2026,2,1))*('DRAFT 2'!$A:$A&lt;DATE(2026,IF(2=12,2+1,2+1),1)),'DRAFT 2'!$A:$A),"")</f>
        <v/>
      </c>
      <c r="CV20" s="116">
        <f>COUNTIFS('DRAFT 2'!$D:$D,$B20,'DRAFT 2'!$A:$A,"&gt;="&amp;DATE(2026,2,1),'DRAFT 2'!$A:$A,"&lt;="&amp;DATE(2026,2,7))</f>
        <v/>
      </c>
      <c r="CW20" s="116">
        <f>COUNTIFS('DRAFT 2'!$D:$D,$B20,'DRAFT 2'!$A:$A,"&gt;="&amp;DATE(2026,2,8),'DRAFT 2'!$A:$A,"&lt;="&amp;DATE(2026,2,14))</f>
        <v/>
      </c>
      <c r="CX20" s="116">
        <f>COUNTIFS('DRAFT 2'!$D:$D,$B20,'DRAFT 2'!$A:$A,"&gt;="&amp;DATE(2026,2,15),'DRAFT 2'!$A:$A,"&lt;="&amp;DATE(2026,2,21))</f>
        <v/>
      </c>
      <c r="CY20" s="116">
        <f>COUNTIFS('DRAFT 2'!$D:$D,$B20,'DRAFT 2'!$A:$A,"&gt;="&amp;DATE(2026,2,22),'DRAFT 2'!$A:$A,"&lt;"&amp;DATE(2026,IF(2=12,2+1,2+1),1))</f>
        <v/>
      </c>
      <c r="CZ20" s="116">
        <f>SUM(CV20:CY20)</f>
        <v/>
      </c>
      <c r="DJ20" s="116">
        <f>IFERROR(LOOKUP(2,1/('DRAFT 2'!$D:$D=$B20)*('DRAFT 2'!$A:$A&gt;=DATE(2026,3,1))*('DRAFT 2'!$A:$A&lt;DATE(2026,IF(3=12,3+1,3+1),1)),'DRAFT 2'!$A:$A),"")</f>
        <v/>
      </c>
      <c r="DK20" s="116">
        <f>COUNTIFS('DRAFT 2'!$D:$D,$B20,'DRAFT 2'!$A:$A,"&gt;="&amp;DATE(2026,3,1),'DRAFT 2'!$A:$A,"&lt;="&amp;DATE(2026,3,7))</f>
        <v/>
      </c>
      <c r="DL20" s="116">
        <f>COUNTIFS('DRAFT 2'!$D:$D,$B20,'DRAFT 2'!$A:$A,"&gt;="&amp;DATE(2026,3,8),'DRAFT 2'!$A:$A,"&lt;="&amp;DATE(2026,3,14))</f>
        <v/>
      </c>
      <c r="DM20" s="116">
        <f>COUNTIFS('DRAFT 2'!$D:$D,$B20,'DRAFT 2'!$A:$A,"&gt;="&amp;DATE(2026,3,15),'DRAFT 2'!$A:$A,"&lt;="&amp;DATE(2026,3,21))</f>
        <v/>
      </c>
      <c r="DN20" s="116">
        <f>COUNTIFS('DRAFT 2'!$D:$D,$B20,'DRAFT 2'!$A:$A,"&gt;="&amp;DATE(2026,3,22),'DRAFT 2'!$A:$A,"&lt;"&amp;DATE(2026,IF(3=12,3+1,3+1),1))</f>
        <v/>
      </c>
      <c r="DO20" s="116">
        <f>SUM(DK20:DN20)</f>
        <v/>
      </c>
      <c r="DZ20" s="116">
        <f>IFERROR(LOOKUP(2,1/('DRAFT 2'!$D:$D=$B20)*('DRAFT 2'!$A:$A&gt;=DATE(2026,4,1))*('DRAFT 2'!$A:$A&lt;DATE(2026,IF(4=12,4+1,4+1),1)),'DRAFT 2'!$A:$A),"")</f>
        <v/>
      </c>
      <c r="EA20" s="116">
        <f>COUNTIFS('DRAFT 2'!$D:$D,$B20,'DRAFT 2'!$A:$A,"&gt;="&amp;DATE(2026,4,1),'DRAFT 2'!$A:$A,"&lt;="&amp;DATE(2026,4,7))</f>
        <v/>
      </c>
      <c r="EB20" s="116">
        <f>COUNTIFS('DRAFT 2'!$D:$D,$B20,'DRAFT 2'!$A:$A,"&gt;="&amp;DATE(2026,4,8),'DRAFT 2'!$A:$A,"&lt;="&amp;DATE(2026,4,14))</f>
        <v/>
      </c>
      <c r="EC20" s="116">
        <f>COUNTIFS('DRAFT 2'!$D:$D,$B20,'DRAFT 2'!$A:$A,"&gt;="&amp;DATE(2026,4,15),'DRAFT 2'!$A:$A,"&lt;="&amp;DATE(2026,4,21))</f>
        <v/>
      </c>
      <c r="ED20" s="116">
        <f>COUNTIFS('DRAFT 2'!$D:$D,$B20,'DRAFT 2'!$A:$A,"&gt;="&amp;DATE(2026,4,22),'DRAFT 2'!$A:$A,"&lt;"&amp;DATE(2026,IF(4=12,4+1,4+1),1))</f>
        <v/>
      </c>
      <c r="EE20" s="116">
        <f>SUM(EA20:ED20)</f>
        <v/>
      </c>
      <c r="EO20" s="116">
        <f>IFERROR(LOOKUP(2,1/('DRAFT 2'!$D:$D=$B20)*('DRAFT 2'!$A:$A&gt;=DATE(2026,5,1))*('DRAFT 2'!$A:$A&lt;DATE(2026,IF(5=12,5+1,5+1),1)),'DRAFT 2'!$A:$A),"")</f>
        <v/>
      </c>
      <c r="EP20" s="116">
        <f>COUNTIFS('DRAFT 2'!$D:$D,$B20,'DRAFT 2'!$A:$A,"&gt;="&amp;DATE(2026,5,1),'DRAFT 2'!$A:$A,"&lt;="&amp;DATE(2026,5,7))</f>
        <v/>
      </c>
      <c r="EQ20" s="116">
        <f>COUNTIFS('DRAFT 2'!$D:$D,$B20,'DRAFT 2'!$A:$A,"&gt;="&amp;DATE(2026,5,8),'DRAFT 2'!$A:$A,"&lt;="&amp;DATE(2026,5,14))</f>
        <v/>
      </c>
      <c r="ER20" s="116">
        <f>COUNTIFS('DRAFT 2'!$D:$D,$B20,'DRAFT 2'!$A:$A,"&gt;="&amp;DATE(2026,5,15),'DRAFT 2'!$A:$A,"&lt;="&amp;DATE(2026,5,21))</f>
        <v/>
      </c>
      <c r="ES20" s="116">
        <f>COUNTIFS('DRAFT 2'!$D:$D,$B20,'DRAFT 2'!$A:$A,"&gt;="&amp;DATE(2026,5,22),'DRAFT 2'!$A:$A,"&lt;"&amp;DATE(2026,IF(5=12,5+1,5+1),1))</f>
        <v/>
      </c>
      <c r="ET20" s="116">
        <f>SUM(EP20:ES20)</f>
        <v/>
      </c>
      <c r="FD20" s="116">
        <f>IFERROR(LOOKUP(2,1/('DRAFT 2'!$D:$D=$B20)*('DRAFT 2'!$A:$A&gt;=DATE(2026,6,1))*('DRAFT 2'!$A:$A&lt;DATE(2026,IF(6=12,6+1,6+1),1)),'DRAFT 2'!$A:$A),"")</f>
        <v/>
      </c>
      <c r="FE20" s="116">
        <f>COUNTIFS('DRAFT 2'!$D:$D,$B20,'DRAFT 2'!$A:$A,"&gt;="&amp;DATE(2026,6,1),'DRAFT 2'!$A:$A,"&lt;="&amp;DATE(2026,6,7))</f>
        <v/>
      </c>
      <c r="FF20" s="116">
        <f>COUNTIFS('DRAFT 2'!$D:$D,$B20,'DRAFT 2'!$A:$A,"&gt;="&amp;DATE(2026,6,8),'DRAFT 2'!$A:$A,"&lt;="&amp;DATE(2026,6,14))</f>
        <v/>
      </c>
      <c r="FG20" s="116">
        <f>COUNTIFS('DRAFT 2'!$D:$D,$B20,'DRAFT 2'!$A:$A,"&gt;="&amp;DATE(2026,6,15),'DRAFT 2'!$A:$A,"&lt;="&amp;DATE(2026,6,21))</f>
        <v/>
      </c>
      <c r="FH20" s="116">
        <f>COUNTIFS('DRAFT 2'!$D:$D,$B20,'DRAFT 2'!$A:$A,"&gt;="&amp;DATE(2026,6,22),'DRAFT 2'!$A:$A,"&lt;"&amp;DATE(2026,IF(6=12,6+1,6+1),1))</f>
        <v/>
      </c>
      <c r="FI20" s="116">
        <f>SUM(FE20:FH20)</f>
        <v/>
      </c>
      <c r="FT20" s="116">
        <f>IFERROR(LOOKUP(2,1/('DRAFT 2'!$D:$D=$B20)*('DRAFT 2'!$A:$A&gt;=DATE(2026,7,1))*('DRAFT 2'!$A:$A&lt;DATE(2026,IF(7=12,7+1,7+1),1)),'DRAFT 2'!$A:$A),"")</f>
        <v/>
      </c>
      <c r="FU20" s="116">
        <f>COUNTIFS('DRAFT 2'!$D:$D,$B20,'DRAFT 2'!$A:$A,"&gt;="&amp;DATE(2026,7,1),'DRAFT 2'!$A:$A,"&lt;="&amp;DATE(2026,7,7))</f>
        <v/>
      </c>
      <c r="FV20" s="116">
        <f>COUNTIFS('DRAFT 2'!$D:$D,$B20,'DRAFT 2'!$A:$A,"&gt;="&amp;DATE(2026,7,8),'DRAFT 2'!$A:$A,"&lt;="&amp;DATE(2026,7,14))</f>
        <v/>
      </c>
      <c r="FW20" s="116">
        <f>COUNTIFS('DRAFT 2'!$D:$D,$B20,'DRAFT 2'!$A:$A,"&gt;="&amp;DATE(2026,7,15),'DRAFT 2'!$A:$A,"&lt;="&amp;DATE(2026,7,21))</f>
        <v/>
      </c>
      <c r="FX20" s="116">
        <f>COUNTIFS('DRAFT 2'!$D:$D,$B20,'DRAFT 2'!$A:$A,"&gt;="&amp;DATE(2026,7,22),'DRAFT 2'!$A:$A,"&lt;"&amp;DATE(2026,IF(7=12,7+1,7+1),1))</f>
        <v/>
      </c>
      <c r="FY20" s="116">
        <f>SUM(FU20:FX20)</f>
        <v/>
      </c>
      <c r="GI20" s="116">
        <f>IFERROR(LOOKUP(2,1/('DRAFT 2'!$D:$D=$B20)*('DRAFT 2'!$A:$A&gt;=DATE(2026,8,1))*('DRAFT 2'!$A:$A&lt;DATE(2026,IF(8=12,8+1,8+1),1)),'DRAFT 2'!$A:$A),"")</f>
        <v/>
      </c>
      <c r="GJ20" s="116">
        <f>COUNTIFS('DRAFT 2'!$D:$D,$B20,'DRAFT 2'!$A:$A,"&gt;="&amp;DATE(2026,8,1),'DRAFT 2'!$A:$A,"&lt;="&amp;DATE(2026,8,7))</f>
        <v/>
      </c>
      <c r="GK20" s="116">
        <f>COUNTIFS('DRAFT 2'!$D:$D,$B20,'DRAFT 2'!$A:$A,"&gt;="&amp;DATE(2026,8,8),'DRAFT 2'!$A:$A,"&lt;="&amp;DATE(2026,8,14))</f>
        <v/>
      </c>
      <c r="GL20" s="116">
        <f>COUNTIFS('DRAFT 2'!$D:$D,$B20,'DRAFT 2'!$A:$A,"&gt;="&amp;DATE(2026,8,15),'DRAFT 2'!$A:$A,"&lt;="&amp;DATE(2026,8,21))</f>
        <v/>
      </c>
      <c r="GM20" s="116">
        <f>COUNTIFS('DRAFT 2'!$D:$D,$B20,'DRAFT 2'!$A:$A,"&gt;="&amp;DATE(2026,8,22),'DRAFT 2'!$A:$A,"&lt;"&amp;DATE(2026,IF(8=12,8+1,8+1),1))</f>
        <v/>
      </c>
      <c r="GN20" s="116">
        <f>SUM(GJ20:GM20)</f>
        <v/>
      </c>
      <c r="GX20" s="116">
        <f>IFERROR(LOOKUP(2,1/('DRAFT 2'!$D:$D=$B20)*('DRAFT 2'!$A:$A&gt;=DATE(2026,9,1))*('DRAFT 2'!$A:$A&lt;DATE(2026,IF(9=12,9+1,9+1),1)),'DRAFT 2'!$A:$A),"")</f>
        <v/>
      </c>
      <c r="GY20" s="116">
        <f>COUNTIFS('DRAFT 2'!$D:$D,$B20,'DRAFT 2'!$A:$A,"&gt;="&amp;DATE(2026,9,1),'DRAFT 2'!$A:$A,"&lt;="&amp;DATE(2026,9,7))</f>
        <v/>
      </c>
      <c r="GZ20" s="116">
        <f>COUNTIFS('DRAFT 2'!$D:$D,$B20,'DRAFT 2'!$A:$A,"&gt;="&amp;DATE(2026,9,8),'DRAFT 2'!$A:$A,"&lt;="&amp;DATE(2026,9,14))</f>
        <v/>
      </c>
      <c r="HA20" s="116">
        <f>COUNTIFS('DRAFT 2'!$D:$D,$B20,'DRAFT 2'!$A:$A,"&gt;="&amp;DATE(2026,9,15),'DRAFT 2'!$A:$A,"&lt;="&amp;DATE(2026,9,21))</f>
        <v/>
      </c>
      <c r="HB20" s="116">
        <f>COUNTIFS('DRAFT 2'!$D:$D,$B20,'DRAFT 2'!$A:$A,"&gt;="&amp;DATE(2026,9,22),'DRAFT 2'!$A:$A,"&lt;"&amp;DATE(2026,IF(9=12,9+1,9+1),1))</f>
        <v/>
      </c>
      <c r="HC20" s="116">
        <f>SUM(GY20:HB20)</f>
        <v/>
      </c>
      <c r="HN20" s="116">
        <f>IFERROR(LOOKUP(2,1/('DRAFT 2'!$D:$D=$B20)*('DRAFT 2'!$A:$A&gt;=DATE(2026,10,1))*('DRAFT 2'!$A:$A&lt;DATE(2026,IF(10=12,10+1,10+1),1)),'DRAFT 2'!$A:$A),"")</f>
        <v/>
      </c>
      <c r="HO20" s="116">
        <f>COUNTIFS('DRAFT 2'!$D:$D,$B20,'DRAFT 2'!$A:$A,"&gt;="&amp;DATE(2026,10,1),'DRAFT 2'!$A:$A,"&lt;="&amp;DATE(2026,10,7))</f>
        <v/>
      </c>
      <c r="HP20" s="116">
        <f>COUNTIFS('DRAFT 2'!$D:$D,$B20,'DRAFT 2'!$A:$A,"&gt;="&amp;DATE(2026,10,8),'DRAFT 2'!$A:$A,"&lt;="&amp;DATE(2026,10,14))</f>
        <v/>
      </c>
      <c r="HQ20" s="116">
        <f>COUNTIFS('DRAFT 2'!$D:$D,$B20,'DRAFT 2'!$A:$A,"&gt;="&amp;DATE(2026,10,15),'DRAFT 2'!$A:$A,"&lt;="&amp;DATE(2026,10,21))</f>
        <v/>
      </c>
      <c r="HR20" s="116">
        <f>COUNTIFS('DRAFT 2'!$D:$D,$B20,'DRAFT 2'!$A:$A,"&gt;="&amp;DATE(2026,10,22),'DRAFT 2'!$A:$A,"&lt;"&amp;DATE(2026,IF(10=12,10+1,10+1),1))</f>
        <v/>
      </c>
      <c r="HS20" s="116">
        <f>SUM(HO20:HR20)</f>
        <v/>
      </c>
      <c r="IC20" s="116">
        <f>IFERROR(LOOKUP(2,1/('DRAFT 2'!$D:$D=$B20)*('DRAFT 2'!$A:$A&gt;=DATE(2026,11,1))*('DRAFT 2'!$A:$A&lt;DATE(2026,IF(11=12,11+1,11+1),1)),'DRAFT 2'!$A:$A),"")</f>
        <v/>
      </c>
      <c r="ID20" s="116">
        <f>COUNTIFS('DRAFT 2'!$D:$D,$B20,'DRAFT 2'!$A:$A,"&gt;="&amp;DATE(2026,11,1),'DRAFT 2'!$A:$A,"&lt;="&amp;DATE(2026,11,7))</f>
        <v/>
      </c>
      <c r="IE20" s="116">
        <f>COUNTIFS('DRAFT 2'!$D:$D,$B20,'DRAFT 2'!$A:$A,"&gt;="&amp;DATE(2026,11,8),'DRAFT 2'!$A:$A,"&lt;="&amp;DATE(2026,11,14))</f>
        <v/>
      </c>
      <c r="IF20" s="116">
        <f>COUNTIFS('DRAFT 2'!$D:$D,$B20,'DRAFT 2'!$A:$A,"&gt;="&amp;DATE(2026,11,15),'DRAFT 2'!$A:$A,"&lt;="&amp;DATE(2026,11,21))</f>
        <v/>
      </c>
      <c r="IG20" s="116">
        <f>COUNTIFS('DRAFT 2'!$D:$D,$B20,'DRAFT 2'!$A:$A,"&gt;="&amp;DATE(2026,11,22),'DRAFT 2'!$A:$A,"&lt;"&amp;DATE(2026,IF(11=12,11+1,11+1),1))</f>
        <v/>
      </c>
      <c r="IH20" s="116">
        <f>SUM(ID20:IG20)</f>
        <v/>
      </c>
      <c r="IR20" s="116">
        <f>IFERROR(LOOKUP(2,1/('DRAFT 2'!$D:$D=$B20)*('DRAFT 2'!$A:$A&gt;=DATE(2026,12,1))*('DRAFT 2'!$A:$A&lt;DATE(2026,IF(12=12,12+1,12+1),1)),'DRAFT 2'!$A:$A),"")</f>
        <v/>
      </c>
      <c r="IS20" s="116">
        <f>COUNTIFS('DRAFT 2'!$D:$D,$B20,'DRAFT 2'!$A:$A,"&gt;="&amp;DATE(2026,12,1),'DRAFT 2'!$A:$A,"&lt;="&amp;DATE(2026,12,7))</f>
        <v/>
      </c>
      <c r="IT20" s="116">
        <f>COUNTIFS('DRAFT 2'!$D:$D,$B20,'DRAFT 2'!$A:$A,"&gt;="&amp;DATE(2026,12,8),'DRAFT 2'!$A:$A,"&lt;="&amp;DATE(2026,12,14))</f>
        <v/>
      </c>
      <c r="IU20" s="116">
        <f>COUNTIFS('DRAFT 2'!$D:$D,$B20,'DRAFT 2'!$A:$A,"&gt;="&amp;DATE(2026,12,15),'DRAFT 2'!$A:$A,"&lt;="&amp;DATE(2026,12,21))</f>
        <v/>
      </c>
      <c r="IV20" s="116">
        <f>COUNTIFS('DRAFT 2'!$D:$D,$B20,'DRAFT 2'!$A:$A,"&gt;="&amp;DATE(2026,12,22),'DRAFT 2'!$A:$A,"&lt;"&amp;DATE(2026,IF(12=12,12+1,12+1),1))</f>
        <v/>
      </c>
      <c r="IW20" s="116">
        <f>SUM(IS20:IV20)</f>
        <v/>
      </c>
    </row>
    <row r="21">
      <c r="A21" s="116">
        <f>IFERROR(INDEX('DRAFT 1'!$A:$A,MATCH($B21,'DRAFT 1'!$B:$B,0)),"")</f>
        <v/>
      </c>
      <c r="C21" s="116">
        <f>IFERROR(INDEX('DRAFT 1'!$C:$C,MATCH($B21,'DRAFT 1'!$B:$B,0)),"")</f>
        <v/>
      </c>
      <c r="D21" s="116">
        <f>IFERROR(INDEX('DRAFT 1'!$D:$D,MATCH($B21,'DRAFT 1'!$B:$B,0)),"")</f>
        <v/>
      </c>
      <c r="E21" s="116">
        <f>IFERROR(INDEX('DRAFT 1'!$E:$E,MATCH($B21,'DRAFT 1'!$B:$B,0)),"")</f>
        <v/>
      </c>
      <c r="F21" s="116">
        <f>IFERROR(INDEX('DRAFT 1'!$F:$F,MATCH($B21,'DRAFT 1'!$B:$B,0)),"")</f>
        <v/>
      </c>
      <c r="G21" s="116">
        <f>IFERROR(INDEX('DRAFT 1'!$G:$G,MATCH($B21,'DRAFT 1'!$B:$B,0)),"")</f>
        <v/>
      </c>
      <c r="H21" s="116">
        <f>IFERROR(INDEX('DRAFT 1'!$H:$H,MATCH($B21,'DRAFT 1'!$B:$B,0)),"")</f>
        <v/>
      </c>
      <c r="I21" s="116" t="inlineStr">
        <is>
          <t>BIOMUNDO</t>
        </is>
      </c>
      <c r="K21" s="116">
        <f>IFERROR(INDEX('DRAFT 1'!$AL:$AL,MATCH($B21,'DRAFT 1'!$B:$B,0)),"")</f>
        <v/>
      </c>
      <c r="L21" s="116">
        <f>IFERROR(INDEX('DRAFT 1'!$J:$J,MATCH($B21,'DRAFT 1'!$B:$B,0)),"")</f>
        <v/>
      </c>
      <c r="M21" s="116">
        <f>IFERROR(INDEX('DRAFT 1'!$K:$K,MATCH($B21,'DRAFT 1'!$B:$B,0)),"")</f>
        <v/>
      </c>
      <c r="N21" s="116" t="inlineStr">
        <is>
          <t>INAT.ANT</t>
        </is>
      </c>
      <c r="P21" s="116">
        <f>IFERROR(INDEX('DRAFT 1'!$L:$L,MATCH($B21,'DRAFT 1'!$B:$B,0)),"")</f>
        <v/>
      </c>
      <c r="Q21" s="116">
        <f>IFERROR(INDEX('DRAFT 1'!$M:$M,MATCH($B21,'DRAFT 1'!$B:$B,0)),"")</f>
        <v/>
      </c>
      <c r="R21" s="116">
        <f>IFERROR(INDEX('DRAFT 1'!$N:$N,MATCH($B21,'DRAFT 1'!$B:$B,0)),"")</f>
        <v/>
      </c>
      <c r="S21" s="116">
        <f>IFERROR(INDEX('DRAFT 1'!$O:$O,MATCH($B21,'DRAFT 1'!$B:$B,0)),"")</f>
        <v/>
      </c>
      <c r="T21" s="116">
        <f>IFERROR(INDEX('DRAFT 1'!$P:$P,MATCH($B21,'DRAFT 1'!$B:$B,0)),"")</f>
        <v/>
      </c>
      <c r="U21" s="116">
        <f>IFERROR(INDEX('DRAFT 1'!$Q:$Q,MATCH($B21,'DRAFT 1'!$B:$B,0)),"")</f>
        <v/>
      </c>
      <c r="V21" s="116">
        <f>IFERROR(INDEX('DRAFT 1'!$R:$R,MATCH($B21,'DRAFT 1'!$B:$B,0)),"")</f>
        <v/>
      </c>
      <c r="W21" s="116">
        <f>IFERROR(INDEX('DRAFT 1'!$S:$S,MATCH($B21,'DRAFT 1'!$B:$B,0)),"")</f>
        <v/>
      </c>
      <c r="X21" s="116">
        <f>IFERROR(INDEX('DRAFT 1'!$T:$T,MATCH($B21,'DRAFT 1'!$B:$B,0)),"")</f>
        <v/>
      </c>
      <c r="Z21" s="116">
        <f>IFERROR(INDEX('DRAFT 1'!$U:$U,MATCH($B21,'DRAFT 1'!$B:$B,0)),"")</f>
        <v/>
      </c>
      <c r="AA21" s="116">
        <f>IFERROR(INDEX('DRAFT 1'!$V:$V,MATCH($B21,'DRAFT 1'!$B:$B,0)),"")</f>
        <v/>
      </c>
      <c r="AB21" s="116">
        <f>IFERROR(INDEX('DRAFT 1'!$W:$W,MATCH($B21,'DRAFT 1'!$B:$B,0)),"")</f>
        <v/>
      </c>
      <c r="AC21" s="116">
        <f>IFERROR(INDEX('DRAFT 1'!$X:$X,MATCH($B21,'DRAFT 1'!$B:$B,0)),"")</f>
        <v/>
      </c>
      <c r="AD21" s="116">
        <f>IFERROR(INDEX('DRAFT 1'!$Y:$Y,MATCH($B21,'DRAFT 1'!$B:$B,0)),"")</f>
        <v/>
      </c>
      <c r="AE21" s="116">
        <f>IFERROR(INDEX('DRAFT 1'!$Z:$Z,MATCH($B21,'DRAFT 1'!$B:$B,0)),"")</f>
        <v/>
      </c>
      <c r="AF21" s="116">
        <f>IFERROR(INDEX('DRAFT 1'!$AA:$AA,MATCH($B21,'DRAFT 1'!$B:$B,0)),"")</f>
        <v/>
      </c>
      <c r="AG21" s="116">
        <f>IFERROR(INDEX('DRAFT 1'!$AB:$AB,MATCH($B21,'DRAFT 1'!$B:$B,0)),"")</f>
        <v/>
      </c>
      <c r="AH21" s="116">
        <f>IFERROR(INDEX('DRAFT 1'!$AC:$AC,MATCH($B21,'DRAFT 1'!$B:$B,0)),"")</f>
        <v/>
      </c>
      <c r="AI21" s="116">
        <f>IFERROR(INDEX('DRAFT 1'!$AD:$AD,MATCH($B21,'DRAFT 1'!$B:$B,0)),"")</f>
        <v/>
      </c>
      <c r="AJ21" s="116">
        <f>IFERROR(INDEX('DRAFT 1'!$AE:$AE,MATCH($B21,'DRAFT 1'!$B:$B,0)),"")</f>
        <v/>
      </c>
      <c r="AK21" s="116">
        <f>IFERROR(INDEX('DRAFT 1'!$AG:$AG,MATCH($B21,'DRAFT 1'!$B:$B,0)),"")</f>
        <v/>
      </c>
      <c r="AL21" s="116">
        <f>IFERROR(INDEX('DRAFT 1'!$AH:$AH,MATCH($B21,'DRAFT 1'!$B:$B,0)),"")</f>
        <v/>
      </c>
      <c r="AM21" s="116">
        <f>IFERROR(INDEX('DRAFT 1'!$AI:$AI,MATCH($B21,'DRAFT 1'!$B:$B,0)),"")</f>
        <v/>
      </c>
      <c r="AN21" s="116">
        <f>IFERROR(INDEX('DRAFT 1'!$AJ:$AJ,MATCH($B21,'DRAFT 1'!$B:$B,0)),"")</f>
        <v/>
      </c>
      <c r="AO21" s="116">
        <f>IFERROR(Y21/AN21,0)</f>
        <v/>
      </c>
      <c r="AP21" s="116">
        <f>IFERROR(INDEX('DRAFT 1'!$AK:$AK,MATCH($B21,'DRAFT 1'!$B:$B,0)),"")</f>
        <v/>
      </c>
      <c r="AR21" s="116" t="inlineStr">
        <is>
          <t>RECOMPRA</t>
        </is>
      </c>
      <c r="AS21" s="116">
        <f>IFERROR(LOOKUP(2,1/('DRAFT 2'!$D:$D=$B21),'DRAFT 2'!$T:$T),"")</f>
        <v/>
      </c>
      <c r="AT21" s="116">
        <f>IFERROR(LOOKUP(2,1/('DRAFT 2'!$D:$D=$B21),'DRAFT 2'!$A:$A),"")</f>
        <v/>
      </c>
      <c r="AU21" s="116">
        <f>IFERROR(LOOKUP(2,1/('DRAFT 2'!$D:$D=$B21),'DRAFT 2'!$R:$R),"")</f>
        <v/>
      </c>
      <c r="AV21" s="116">
        <f>IFERROR(LOOKUP(2,1/('DRAFT 2'!$D:$D=$B21),'DRAFT 2'!$S:$S),"")</f>
        <v/>
      </c>
      <c r="AW21" s="116" t="inlineStr">
        <is>
          <t>PROSPECT</t>
        </is>
      </c>
      <c r="AX21" s="116">
        <f>IFERROR(LOOKUP(2,1/('DRAFT 2'!$D:$D=$B21),'DRAFT 2'!$M:$M),"")</f>
        <v/>
      </c>
      <c r="AY21" s="116">
        <f>IFERROR(LOOKUP(2,1/('DRAFT 2'!$D:$D=$B21),'DRAFT 2'!$K:$K),"")</f>
        <v/>
      </c>
      <c r="BG21" s="116">
        <f>IFERROR(LOOKUP(2,1/('DRAFT 2'!$D:$D=$B21),'DRAFT 2'!$U:$U),"")</f>
        <v/>
      </c>
      <c r="BH21" s="116">
        <f>IFERROR(LOOKUP(2,1/('DRAFT 2'!$D:$D=$B21),'DRAFT 2'!$V:$V),"")</f>
        <v/>
      </c>
      <c r="CE21" s="116">
        <f>IFERROR(AJ21,0)</f>
        <v/>
      </c>
      <c r="CF21" s="116">
        <f>IFERROR(LOOKUP(2,1/('DRAFT 2'!$D:$D=$B21)*('DRAFT 2'!$A:$A&gt;=DATE(2026,1,1))*('DRAFT 2'!$A:$A&lt;DATE(2026,IF(1=12,1+1,1+1),1)),'DRAFT 2'!$A:$A),"")</f>
        <v/>
      </c>
      <c r="CG21" s="116">
        <f>COUNTIFS('DRAFT 2'!$D:$D,$B21,'DRAFT 2'!$A:$A,"&gt;="&amp;DATE(2026,1,1),'DRAFT 2'!$A:$A,"&lt;="&amp;DATE(2026,1,7))</f>
        <v/>
      </c>
      <c r="CH21" s="116">
        <f>COUNTIFS('DRAFT 2'!$D:$D,$B21,'DRAFT 2'!$A:$A,"&gt;="&amp;DATE(2026,1,8),'DRAFT 2'!$A:$A,"&lt;="&amp;DATE(2026,1,14))</f>
        <v/>
      </c>
      <c r="CI21" s="116">
        <f>COUNTIFS('DRAFT 2'!$D:$D,$B21,'DRAFT 2'!$A:$A,"&gt;="&amp;DATE(2026,1,15),'DRAFT 2'!$A:$A,"&lt;="&amp;DATE(2026,1,21))</f>
        <v/>
      </c>
      <c r="CJ21" s="116">
        <f>COUNTIFS('DRAFT 2'!$D:$D,$B21,'DRAFT 2'!$A:$A,"&gt;="&amp;DATE(2026,1,22),'DRAFT 2'!$A:$A,"&lt;"&amp;DATE(2026,IF(1=12,1+1,1+1),1))</f>
        <v/>
      </c>
      <c r="CK21" s="116">
        <f>SUM(CG21:CJ21)</f>
        <v/>
      </c>
      <c r="CT21" s="116" t="n">
        <v>0</v>
      </c>
      <c r="CU21" s="116">
        <f>IFERROR(LOOKUP(2,1/('DRAFT 2'!$D:$D=$B21)*('DRAFT 2'!$A:$A&gt;=DATE(2026,2,1))*('DRAFT 2'!$A:$A&lt;DATE(2026,IF(2=12,2+1,2+1),1)),'DRAFT 2'!$A:$A),"")</f>
        <v/>
      </c>
      <c r="CV21" s="116">
        <f>COUNTIFS('DRAFT 2'!$D:$D,$B21,'DRAFT 2'!$A:$A,"&gt;="&amp;DATE(2026,2,1),'DRAFT 2'!$A:$A,"&lt;="&amp;DATE(2026,2,7))</f>
        <v/>
      </c>
      <c r="CW21" s="116">
        <f>COUNTIFS('DRAFT 2'!$D:$D,$B21,'DRAFT 2'!$A:$A,"&gt;="&amp;DATE(2026,2,8),'DRAFT 2'!$A:$A,"&lt;="&amp;DATE(2026,2,14))</f>
        <v/>
      </c>
      <c r="CX21" s="116">
        <f>COUNTIFS('DRAFT 2'!$D:$D,$B21,'DRAFT 2'!$A:$A,"&gt;="&amp;DATE(2026,2,15),'DRAFT 2'!$A:$A,"&lt;="&amp;DATE(2026,2,21))</f>
        <v/>
      </c>
      <c r="CY21" s="116">
        <f>COUNTIFS('DRAFT 2'!$D:$D,$B21,'DRAFT 2'!$A:$A,"&gt;="&amp;DATE(2026,2,22),'DRAFT 2'!$A:$A,"&lt;"&amp;DATE(2026,IF(2=12,2+1,2+1),1))</f>
        <v/>
      </c>
      <c r="CZ21" s="116">
        <f>SUM(CV21:CY21)</f>
        <v/>
      </c>
      <c r="DJ21" s="116">
        <f>IFERROR(LOOKUP(2,1/('DRAFT 2'!$D:$D=$B21)*('DRAFT 2'!$A:$A&gt;=DATE(2026,3,1))*('DRAFT 2'!$A:$A&lt;DATE(2026,IF(3=12,3+1,3+1),1)),'DRAFT 2'!$A:$A),"")</f>
        <v/>
      </c>
      <c r="DK21" s="116">
        <f>COUNTIFS('DRAFT 2'!$D:$D,$B21,'DRAFT 2'!$A:$A,"&gt;="&amp;DATE(2026,3,1),'DRAFT 2'!$A:$A,"&lt;="&amp;DATE(2026,3,7))</f>
        <v/>
      </c>
      <c r="DL21" s="116">
        <f>COUNTIFS('DRAFT 2'!$D:$D,$B21,'DRAFT 2'!$A:$A,"&gt;="&amp;DATE(2026,3,8),'DRAFT 2'!$A:$A,"&lt;="&amp;DATE(2026,3,14))</f>
        <v/>
      </c>
      <c r="DM21" s="116">
        <f>COUNTIFS('DRAFT 2'!$D:$D,$B21,'DRAFT 2'!$A:$A,"&gt;="&amp;DATE(2026,3,15),'DRAFT 2'!$A:$A,"&lt;="&amp;DATE(2026,3,21))</f>
        <v/>
      </c>
      <c r="DN21" s="116">
        <f>COUNTIFS('DRAFT 2'!$D:$D,$B21,'DRAFT 2'!$A:$A,"&gt;="&amp;DATE(2026,3,22),'DRAFT 2'!$A:$A,"&lt;"&amp;DATE(2026,IF(3=12,3+1,3+1),1))</f>
        <v/>
      </c>
      <c r="DO21" s="116">
        <f>SUM(DK21:DN21)</f>
        <v/>
      </c>
      <c r="DZ21" s="116">
        <f>IFERROR(LOOKUP(2,1/('DRAFT 2'!$D:$D=$B21)*('DRAFT 2'!$A:$A&gt;=DATE(2026,4,1))*('DRAFT 2'!$A:$A&lt;DATE(2026,IF(4=12,4+1,4+1),1)),'DRAFT 2'!$A:$A),"")</f>
        <v/>
      </c>
      <c r="EA21" s="116">
        <f>COUNTIFS('DRAFT 2'!$D:$D,$B21,'DRAFT 2'!$A:$A,"&gt;="&amp;DATE(2026,4,1),'DRAFT 2'!$A:$A,"&lt;="&amp;DATE(2026,4,7))</f>
        <v/>
      </c>
      <c r="EB21" s="116">
        <f>COUNTIFS('DRAFT 2'!$D:$D,$B21,'DRAFT 2'!$A:$A,"&gt;="&amp;DATE(2026,4,8),'DRAFT 2'!$A:$A,"&lt;="&amp;DATE(2026,4,14))</f>
        <v/>
      </c>
      <c r="EC21" s="116">
        <f>COUNTIFS('DRAFT 2'!$D:$D,$B21,'DRAFT 2'!$A:$A,"&gt;="&amp;DATE(2026,4,15),'DRAFT 2'!$A:$A,"&lt;="&amp;DATE(2026,4,21))</f>
        <v/>
      </c>
      <c r="ED21" s="116">
        <f>COUNTIFS('DRAFT 2'!$D:$D,$B21,'DRAFT 2'!$A:$A,"&gt;="&amp;DATE(2026,4,22),'DRAFT 2'!$A:$A,"&lt;"&amp;DATE(2026,IF(4=12,4+1,4+1),1))</f>
        <v/>
      </c>
      <c r="EE21" s="116">
        <f>SUM(EA21:ED21)</f>
        <v/>
      </c>
      <c r="EO21" s="116">
        <f>IFERROR(LOOKUP(2,1/('DRAFT 2'!$D:$D=$B21)*('DRAFT 2'!$A:$A&gt;=DATE(2026,5,1))*('DRAFT 2'!$A:$A&lt;DATE(2026,IF(5=12,5+1,5+1),1)),'DRAFT 2'!$A:$A),"")</f>
        <v/>
      </c>
      <c r="EP21" s="116">
        <f>COUNTIFS('DRAFT 2'!$D:$D,$B21,'DRAFT 2'!$A:$A,"&gt;="&amp;DATE(2026,5,1),'DRAFT 2'!$A:$A,"&lt;="&amp;DATE(2026,5,7))</f>
        <v/>
      </c>
      <c r="EQ21" s="116">
        <f>COUNTIFS('DRAFT 2'!$D:$D,$B21,'DRAFT 2'!$A:$A,"&gt;="&amp;DATE(2026,5,8),'DRAFT 2'!$A:$A,"&lt;="&amp;DATE(2026,5,14))</f>
        <v/>
      </c>
      <c r="ER21" s="116">
        <f>COUNTIFS('DRAFT 2'!$D:$D,$B21,'DRAFT 2'!$A:$A,"&gt;="&amp;DATE(2026,5,15),'DRAFT 2'!$A:$A,"&lt;="&amp;DATE(2026,5,21))</f>
        <v/>
      </c>
      <c r="ES21" s="116">
        <f>COUNTIFS('DRAFT 2'!$D:$D,$B21,'DRAFT 2'!$A:$A,"&gt;="&amp;DATE(2026,5,22),'DRAFT 2'!$A:$A,"&lt;"&amp;DATE(2026,IF(5=12,5+1,5+1),1))</f>
        <v/>
      </c>
      <c r="ET21" s="116">
        <f>SUM(EP21:ES21)</f>
        <v/>
      </c>
      <c r="FD21" s="116">
        <f>IFERROR(LOOKUP(2,1/('DRAFT 2'!$D:$D=$B21)*('DRAFT 2'!$A:$A&gt;=DATE(2026,6,1))*('DRAFT 2'!$A:$A&lt;DATE(2026,IF(6=12,6+1,6+1),1)),'DRAFT 2'!$A:$A),"")</f>
        <v/>
      </c>
      <c r="FE21" s="116">
        <f>COUNTIFS('DRAFT 2'!$D:$D,$B21,'DRAFT 2'!$A:$A,"&gt;="&amp;DATE(2026,6,1),'DRAFT 2'!$A:$A,"&lt;="&amp;DATE(2026,6,7))</f>
        <v/>
      </c>
      <c r="FF21" s="116">
        <f>COUNTIFS('DRAFT 2'!$D:$D,$B21,'DRAFT 2'!$A:$A,"&gt;="&amp;DATE(2026,6,8),'DRAFT 2'!$A:$A,"&lt;="&amp;DATE(2026,6,14))</f>
        <v/>
      </c>
      <c r="FG21" s="116">
        <f>COUNTIFS('DRAFT 2'!$D:$D,$B21,'DRAFT 2'!$A:$A,"&gt;="&amp;DATE(2026,6,15),'DRAFT 2'!$A:$A,"&lt;="&amp;DATE(2026,6,21))</f>
        <v/>
      </c>
      <c r="FH21" s="116">
        <f>COUNTIFS('DRAFT 2'!$D:$D,$B21,'DRAFT 2'!$A:$A,"&gt;="&amp;DATE(2026,6,22),'DRAFT 2'!$A:$A,"&lt;"&amp;DATE(2026,IF(6=12,6+1,6+1),1))</f>
        <v/>
      </c>
      <c r="FI21" s="116">
        <f>SUM(FE21:FH21)</f>
        <v/>
      </c>
      <c r="FT21" s="116">
        <f>IFERROR(LOOKUP(2,1/('DRAFT 2'!$D:$D=$B21)*('DRAFT 2'!$A:$A&gt;=DATE(2026,7,1))*('DRAFT 2'!$A:$A&lt;DATE(2026,IF(7=12,7+1,7+1),1)),'DRAFT 2'!$A:$A),"")</f>
        <v/>
      </c>
      <c r="FU21" s="116">
        <f>COUNTIFS('DRAFT 2'!$D:$D,$B21,'DRAFT 2'!$A:$A,"&gt;="&amp;DATE(2026,7,1),'DRAFT 2'!$A:$A,"&lt;="&amp;DATE(2026,7,7))</f>
        <v/>
      </c>
      <c r="FV21" s="116">
        <f>COUNTIFS('DRAFT 2'!$D:$D,$B21,'DRAFT 2'!$A:$A,"&gt;="&amp;DATE(2026,7,8),'DRAFT 2'!$A:$A,"&lt;="&amp;DATE(2026,7,14))</f>
        <v/>
      </c>
      <c r="FW21" s="116">
        <f>COUNTIFS('DRAFT 2'!$D:$D,$B21,'DRAFT 2'!$A:$A,"&gt;="&amp;DATE(2026,7,15),'DRAFT 2'!$A:$A,"&lt;="&amp;DATE(2026,7,21))</f>
        <v/>
      </c>
      <c r="FX21" s="116">
        <f>COUNTIFS('DRAFT 2'!$D:$D,$B21,'DRAFT 2'!$A:$A,"&gt;="&amp;DATE(2026,7,22),'DRAFT 2'!$A:$A,"&lt;"&amp;DATE(2026,IF(7=12,7+1,7+1),1))</f>
        <v/>
      </c>
      <c r="FY21" s="116">
        <f>SUM(FU21:FX21)</f>
        <v/>
      </c>
      <c r="GI21" s="116">
        <f>IFERROR(LOOKUP(2,1/('DRAFT 2'!$D:$D=$B21)*('DRAFT 2'!$A:$A&gt;=DATE(2026,8,1))*('DRAFT 2'!$A:$A&lt;DATE(2026,IF(8=12,8+1,8+1),1)),'DRAFT 2'!$A:$A),"")</f>
        <v/>
      </c>
      <c r="GJ21" s="116">
        <f>COUNTIFS('DRAFT 2'!$D:$D,$B21,'DRAFT 2'!$A:$A,"&gt;="&amp;DATE(2026,8,1),'DRAFT 2'!$A:$A,"&lt;="&amp;DATE(2026,8,7))</f>
        <v/>
      </c>
      <c r="GK21" s="116">
        <f>COUNTIFS('DRAFT 2'!$D:$D,$B21,'DRAFT 2'!$A:$A,"&gt;="&amp;DATE(2026,8,8),'DRAFT 2'!$A:$A,"&lt;="&amp;DATE(2026,8,14))</f>
        <v/>
      </c>
      <c r="GL21" s="116">
        <f>COUNTIFS('DRAFT 2'!$D:$D,$B21,'DRAFT 2'!$A:$A,"&gt;="&amp;DATE(2026,8,15),'DRAFT 2'!$A:$A,"&lt;="&amp;DATE(2026,8,21))</f>
        <v/>
      </c>
      <c r="GM21" s="116">
        <f>COUNTIFS('DRAFT 2'!$D:$D,$B21,'DRAFT 2'!$A:$A,"&gt;="&amp;DATE(2026,8,22),'DRAFT 2'!$A:$A,"&lt;"&amp;DATE(2026,IF(8=12,8+1,8+1),1))</f>
        <v/>
      </c>
      <c r="GN21" s="116">
        <f>SUM(GJ21:GM21)</f>
        <v/>
      </c>
      <c r="GX21" s="116">
        <f>IFERROR(LOOKUP(2,1/('DRAFT 2'!$D:$D=$B21)*('DRAFT 2'!$A:$A&gt;=DATE(2026,9,1))*('DRAFT 2'!$A:$A&lt;DATE(2026,IF(9=12,9+1,9+1),1)),'DRAFT 2'!$A:$A),"")</f>
        <v/>
      </c>
      <c r="GY21" s="116">
        <f>COUNTIFS('DRAFT 2'!$D:$D,$B21,'DRAFT 2'!$A:$A,"&gt;="&amp;DATE(2026,9,1),'DRAFT 2'!$A:$A,"&lt;="&amp;DATE(2026,9,7))</f>
        <v/>
      </c>
      <c r="GZ21" s="116">
        <f>COUNTIFS('DRAFT 2'!$D:$D,$B21,'DRAFT 2'!$A:$A,"&gt;="&amp;DATE(2026,9,8),'DRAFT 2'!$A:$A,"&lt;="&amp;DATE(2026,9,14))</f>
        <v/>
      </c>
      <c r="HA21" s="116">
        <f>COUNTIFS('DRAFT 2'!$D:$D,$B21,'DRAFT 2'!$A:$A,"&gt;="&amp;DATE(2026,9,15),'DRAFT 2'!$A:$A,"&lt;="&amp;DATE(2026,9,21))</f>
        <v/>
      </c>
      <c r="HB21" s="116">
        <f>COUNTIFS('DRAFT 2'!$D:$D,$B21,'DRAFT 2'!$A:$A,"&gt;="&amp;DATE(2026,9,22),'DRAFT 2'!$A:$A,"&lt;"&amp;DATE(2026,IF(9=12,9+1,9+1),1))</f>
        <v/>
      </c>
      <c r="HC21" s="116">
        <f>SUM(GY21:HB21)</f>
        <v/>
      </c>
      <c r="HN21" s="116">
        <f>IFERROR(LOOKUP(2,1/('DRAFT 2'!$D:$D=$B21)*('DRAFT 2'!$A:$A&gt;=DATE(2026,10,1))*('DRAFT 2'!$A:$A&lt;DATE(2026,IF(10=12,10+1,10+1),1)),'DRAFT 2'!$A:$A),"")</f>
        <v/>
      </c>
      <c r="HO21" s="116">
        <f>COUNTIFS('DRAFT 2'!$D:$D,$B21,'DRAFT 2'!$A:$A,"&gt;="&amp;DATE(2026,10,1),'DRAFT 2'!$A:$A,"&lt;="&amp;DATE(2026,10,7))</f>
        <v/>
      </c>
      <c r="HP21" s="116">
        <f>COUNTIFS('DRAFT 2'!$D:$D,$B21,'DRAFT 2'!$A:$A,"&gt;="&amp;DATE(2026,10,8),'DRAFT 2'!$A:$A,"&lt;="&amp;DATE(2026,10,14))</f>
        <v/>
      </c>
      <c r="HQ21" s="116">
        <f>COUNTIFS('DRAFT 2'!$D:$D,$B21,'DRAFT 2'!$A:$A,"&gt;="&amp;DATE(2026,10,15),'DRAFT 2'!$A:$A,"&lt;="&amp;DATE(2026,10,21))</f>
        <v/>
      </c>
      <c r="HR21" s="116">
        <f>COUNTIFS('DRAFT 2'!$D:$D,$B21,'DRAFT 2'!$A:$A,"&gt;="&amp;DATE(2026,10,22),'DRAFT 2'!$A:$A,"&lt;"&amp;DATE(2026,IF(10=12,10+1,10+1),1))</f>
        <v/>
      </c>
      <c r="HS21" s="116">
        <f>SUM(HO21:HR21)</f>
        <v/>
      </c>
      <c r="IC21" s="116">
        <f>IFERROR(LOOKUP(2,1/('DRAFT 2'!$D:$D=$B21)*('DRAFT 2'!$A:$A&gt;=DATE(2026,11,1))*('DRAFT 2'!$A:$A&lt;DATE(2026,IF(11=12,11+1,11+1),1)),'DRAFT 2'!$A:$A),"")</f>
        <v/>
      </c>
      <c r="ID21" s="116">
        <f>COUNTIFS('DRAFT 2'!$D:$D,$B21,'DRAFT 2'!$A:$A,"&gt;="&amp;DATE(2026,11,1),'DRAFT 2'!$A:$A,"&lt;="&amp;DATE(2026,11,7))</f>
        <v/>
      </c>
      <c r="IE21" s="116">
        <f>COUNTIFS('DRAFT 2'!$D:$D,$B21,'DRAFT 2'!$A:$A,"&gt;="&amp;DATE(2026,11,8),'DRAFT 2'!$A:$A,"&lt;="&amp;DATE(2026,11,14))</f>
        <v/>
      </c>
      <c r="IF21" s="116">
        <f>COUNTIFS('DRAFT 2'!$D:$D,$B21,'DRAFT 2'!$A:$A,"&gt;="&amp;DATE(2026,11,15),'DRAFT 2'!$A:$A,"&lt;="&amp;DATE(2026,11,21))</f>
        <v/>
      </c>
      <c r="IG21" s="116">
        <f>COUNTIFS('DRAFT 2'!$D:$D,$B21,'DRAFT 2'!$A:$A,"&gt;="&amp;DATE(2026,11,22),'DRAFT 2'!$A:$A,"&lt;"&amp;DATE(2026,IF(11=12,11+1,11+1),1))</f>
        <v/>
      </c>
      <c r="IH21" s="116">
        <f>SUM(ID21:IG21)</f>
        <v/>
      </c>
      <c r="IR21" s="116">
        <f>IFERROR(LOOKUP(2,1/('DRAFT 2'!$D:$D=$B21)*('DRAFT 2'!$A:$A&gt;=DATE(2026,12,1))*('DRAFT 2'!$A:$A&lt;DATE(2026,IF(12=12,12+1,12+1),1)),'DRAFT 2'!$A:$A),"")</f>
        <v/>
      </c>
      <c r="IS21" s="116">
        <f>COUNTIFS('DRAFT 2'!$D:$D,$B21,'DRAFT 2'!$A:$A,"&gt;="&amp;DATE(2026,12,1),'DRAFT 2'!$A:$A,"&lt;="&amp;DATE(2026,12,7))</f>
        <v/>
      </c>
      <c r="IT21" s="116">
        <f>COUNTIFS('DRAFT 2'!$D:$D,$B21,'DRAFT 2'!$A:$A,"&gt;="&amp;DATE(2026,12,8),'DRAFT 2'!$A:$A,"&lt;="&amp;DATE(2026,12,14))</f>
        <v/>
      </c>
      <c r="IU21" s="116">
        <f>COUNTIFS('DRAFT 2'!$D:$D,$B21,'DRAFT 2'!$A:$A,"&gt;="&amp;DATE(2026,12,15),'DRAFT 2'!$A:$A,"&lt;="&amp;DATE(2026,12,21))</f>
        <v/>
      </c>
      <c r="IV21" s="116">
        <f>COUNTIFS('DRAFT 2'!$D:$D,$B21,'DRAFT 2'!$A:$A,"&gt;="&amp;DATE(2026,12,22),'DRAFT 2'!$A:$A,"&lt;"&amp;DATE(2026,IF(12=12,12+1,12+1),1))</f>
        <v/>
      </c>
      <c r="IW21" s="116">
        <f>SUM(IS21:IV21)</f>
        <v/>
      </c>
    </row>
    <row r="22">
      <c r="A22" s="116">
        <f>IFERROR(INDEX('DRAFT 1'!$A:$A,MATCH($B22,'DRAFT 1'!$B:$B,0)),"")</f>
        <v/>
      </c>
      <c r="C22" s="116">
        <f>IFERROR(INDEX('DRAFT 1'!$C:$C,MATCH($B22,'DRAFT 1'!$B:$B,0)),"")</f>
        <v/>
      </c>
      <c r="D22" s="116">
        <f>IFERROR(INDEX('DRAFT 1'!$D:$D,MATCH($B22,'DRAFT 1'!$B:$B,0)),"")</f>
        <v/>
      </c>
      <c r="E22" s="116">
        <f>IFERROR(INDEX('DRAFT 1'!$E:$E,MATCH($B22,'DRAFT 1'!$B:$B,0)),"")</f>
        <v/>
      </c>
      <c r="F22" s="116">
        <f>IFERROR(INDEX('DRAFT 1'!$F:$F,MATCH($B22,'DRAFT 1'!$B:$B,0)),"")</f>
        <v/>
      </c>
      <c r="G22" s="116">
        <f>IFERROR(INDEX('DRAFT 1'!$G:$G,MATCH($B22,'DRAFT 1'!$B:$B,0)),"")</f>
        <v/>
      </c>
      <c r="H22" s="116">
        <f>IFERROR(INDEX('DRAFT 1'!$H:$H,MATCH($B22,'DRAFT 1'!$B:$B,0)),"")</f>
        <v/>
      </c>
      <c r="I22" s="116" t="inlineStr">
        <is>
          <t>DEMAIS CLIENTES</t>
        </is>
      </c>
      <c r="K22" s="116">
        <f>IFERROR(INDEX('DRAFT 1'!$AL:$AL,MATCH($B22,'DRAFT 1'!$B:$B,0)),"")</f>
        <v/>
      </c>
      <c r="L22" s="116">
        <f>IFERROR(INDEX('DRAFT 1'!$J:$J,MATCH($B22,'DRAFT 1'!$B:$B,0)),"")</f>
        <v/>
      </c>
      <c r="M22" s="116">
        <f>IFERROR(INDEX('DRAFT 1'!$K:$K,MATCH($B22,'DRAFT 1'!$B:$B,0)),"")</f>
        <v/>
      </c>
      <c r="N22" s="116" t="inlineStr">
        <is>
          <t>INAT.ANT</t>
        </is>
      </c>
      <c r="P22" s="116">
        <f>IFERROR(INDEX('DRAFT 1'!$L:$L,MATCH($B22,'DRAFT 1'!$B:$B,0)),"")</f>
        <v/>
      </c>
      <c r="Q22" s="116">
        <f>IFERROR(INDEX('DRAFT 1'!$M:$M,MATCH($B22,'DRAFT 1'!$B:$B,0)),"")</f>
        <v/>
      </c>
      <c r="R22" s="116">
        <f>IFERROR(INDEX('DRAFT 1'!$N:$N,MATCH($B22,'DRAFT 1'!$B:$B,0)),"")</f>
        <v/>
      </c>
      <c r="S22" s="116">
        <f>IFERROR(INDEX('DRAFT 1'!$O:$O,MATCH($B22,'DRAFT 1'!$B:$B,0)),"")</f>
        <v/>
      </c>
      <c r="T22" s="116">
        <f>IFERROR(INDEX('DRAFT 1'!$P:$P,MATCH($B22,'DRAFT 1'!$B:$B,0)),"")</f>
        <v/>
      </c>
      <c r="U22" s="116">
        <f>IFERROR(INDEX('DRAFT 1'!$Q:$Q,MATCH($B22,'DRAFT 1'!$B:$B,0)),"")</f>
        <v/>
      </c>
      <c r="V22" s="116">
        <f>IFERROR(INDEX('DRAFT 1'!$R:$R,MATCH($B22,'DRAFT 1'!$B:$B,0)),"")</f>
        <v/>
      </c>
      <c r="W22" s="116">
        <f>IFERROR(INDEX('DRAFT 1'!$S:$S,MATCH($B22,'DRAFT 1'!$B:$B,0)),"")</f>
        <v/>
      </c>
      <c r="X22" s="116">
        <f>IFERROR(INDEX('DRAFT 1'!$T:$T,MATCH($B22,'DRAFT 1'!$B:$B,0)),"")</f>
        <v/>
      </c>
      <c r="Z22" s="116">
        <f>IFERROR(INDEX('DRAFT 1'!$U:$U,MATCH($B22,'DRAFT 1'!$B:$B,0)),"")</f>
        <v/>
      </c>
      <c r="AA22" s="116">
        <f>IFERROR(INDEX('DRAFT 1'!$V:$V,MATCH($B22,'DRAFT 1'!$B:$B,0)),"")</f>
        <v/>
      </c>
      <c r="AB22" s="116">
        <f>IFERROR(INDEX('DRAFT 1'!$W:$W,MATCH($B22,'DRAFT 1'!$B:$B,0)),"")</f>
        <v/>
      </c>
      <c r="AC22" s="116">
        <f>IFERROR(INDEX('DRAFT 1'!$X:$X,MATCH($B22,'DRAFT 1'!$B:$B,0)),"")</f>
        <v/>
      </c>
      <c r="AD22" s="116">
        <f>IFERROR(INDEX('DRAFT 1'!$Y:$Y,MATCH($B22,'DRAFT 1'!$B:$B,0)),"")</f>
        <v/>
      </c>
      <c r="AE22" s="116">
        <f>IFERROR(INDEX('DRAFT 1'!$Z:$Z,MATCH($B22,'DRAFT 1'!$B:$B,0)),"")</f>
        <v/>
      </c>
      <c r="AF22" s="116">
        <f>IFERROR(INDEX('DRAFT 1'!$AA:$AA,MATCH($B22,'DRAFT 1'!$B:$B,0)),"")</f>
        <v/>
      </c>
      <c r="AG22" s="116">
        <f>IFERROR(INDEX('DRAFT 1'!$AB:$AB,MATCH($B22,'DRAFT 1'!$B:$B,0)),"")</f>
        <v/>
      </c>
      <c r="AH22" s="116">
        <f>IFERROR(INDEX('DRAFT 1'!$AC:$AC,MATCH($B22,'DRAFT 1'!$B:$B,0)),"")</f>
        <v/>
      </c>
      <c r="AI22" s="116">
        <f>IFERROR(INDEX('DRAFT 1'!$AD:$AD,MATCH($B22,'DRAFT 1'!$B:$B,0)),"")</f>
        <v/>
      </c>
      <c r="AJ22" s="116">
        <f>IFERROR(INDEX('DRAFT 1'!$AE:$AE,MATCH($B22,'DRAFT 1'!$B:$B,0)),"")</f>
        <v/>
      </c>
      <c r="AK22" s="116">
        <f>IFERROR(INDEX('DRAFT 1'!$AG:$AG,MATCH($B22,'DRAFT 1'!$B:$B,0)),"")</f>
        <v/>
      </c>
      <c r="AL22" s="116">
        <f>IFERROR(INDEX('DRAFT 1'!$AH:$AH,MATCH($B22,'DRAFT 1'!$B:$B,0)),"")</f>
        <v/>
      </c>
      <c r="AM22" s="116">
        <f>IFERROR(INDEX('DRAFT 1'!$AI:$AI,MATCH($B22,'DRAFT 1'!$B:$B,0)),"")</f>
        <v/>
      </c>
      <c r="AN22" s="116">
        <f>IFERROR(INDEX('DRAFT 1'!$AJ:$AJ,MATCH($B22,'DRAFT 1'!$B:$B,0)),"")</f>
        <v/>
      </c>
      <c r="AO22" s="116">
        <f>IFERROR(Y22/AN22,0)</f>
        <v/>
      </c>
      <c r="AP22" s="116">
        <f>IFERROR(INDEX('DRAFT 1'!$AK:$AK,MATCH($B22,'DRAFT 1'!$B:$B,0)),"")</f>
        <v/>
      </c>
      <c r="AR22" s="116" t="inlineStr">
        <is>
          <t>PROSPECÇÃO</t>
        </is>
      </c>
      <c r="AS22" s="116">
        <f>IFERROR(LOOKUP(2,1/('DRAFT 2'!$D:$D=$B22),'DRAFT 2'!$T:$T),"")</f>
        <v/>
      </c>
      <c r="AT22" s="116">
        <f>IFERROR(LOOKUP(2,1/('DRAFT 2'!$D:$D=$B22),'DRAFT 2'!$A:$A),"")</f>
        <v/>
      </c>
      <c r="AU22" s="116">
        <f>IFERROR(LOOKUP(2,1/('DRAFT 2'!$D:$D=$B22),'DRAFT 2'!$R:$R),"")</f>
        <v/>
      </c>
      <c r="AV22" s="116">
        <f>IFERROR(LOOKUP(2,1/('DRAFT 2'!$D:$D=$B22),'DRAFT 2'!$S:$S),"")</f>
        <v/>
      </c>
      <c r="AW22" s="116" t="inlineStr">
        <is>
          <t>RECORRENTE</t>
        </is>
      </c>
      <c r="AX22" s="116">
        <f>IFERROR(LOOKUP(2,1/('DRAFT 2'!$D:$D=$B22),'DRAFT 2'!$M:$M),"")</f>
        <v/>
      </c>
      <c r="AY22" s="116">
        <f>IFERROR(LOOKUP(2,1/('DRAFT 2'!$D:$D=$B22),'DRAFT 2'!$K:$K),"")</f>
        <v/>
      </c>
      <c r="BG22" s="116">
        <f>IFERROR(LOOKUP(2,1/('DRAFT 2'!$D:$D=$B22),'DRAFT 2'!$U:$U),"")</f>
        <v/>
      </c>
      <c r="BH22" s="116">
        <f>IFERROR(LOOKUP(2,1/('DRAFT 2'!$D:$D=$B22),'DRAFT 2'!$V:$V),"")</f>
        <v/>
      </c>
      <c r="CE22" s="116">
        <f>IFERROR(AJ22,0)</f>
        <v/>
      </c>
      <c r="CF22" s="116">
        <f>IFERROR(LOOKUP(2,1/('DRAFT 2'!$D:$D=$B22)*('DRAFT 2'!$A:$A&gt;=DATE(2026,1,1))*('DRAFT 2'!$A:$A&lt;DATE(2026,IF(1=12,1+1,1+1),1)),'DRAFT 2'!$A:$A),"")</f>
        <v/>
      </c>
      <c r="CG22" s="116">
        <f>COUNTIFS('DRAFT 2'!$D:$D,$B22,'DRAFT 2'!$A:$A,"&gt;="&amp;DATE(2026,1,1),'DRAFT 2'!$A:$A,"&lt;="&amp;DATE(2026,1,7))</f>
        <v/>
      </c>
      <c r="CH22" s="116">
        <f>COUNTIFS('DRAFT 2'!$D:$D,$B22,'DRAFT 2'!$A:$A,"&gt;="&amp;DATE(2026,1,8),'DRAFT 2'!$A:$A,"&lt;="&amp;DATE(2026,1,14))</f>
        <v/>
      </c>
      <c r="CI22" s="116">
        <f>COUNTIFS('DRAFT 2'!$D:$D,$B22,'DRAFT 2'!$A:$A,"&gt;="&amp;DATE(2026,1,15),'DRAFT 2'!$A:$A,"&lt;="&amp;DATE(2026,1,21))</f>
        <v/>
      </c>
      <c r="CJ22" s="116">
        <f>COUNTIFS('DRAFT 2'!$D:$D,$B22,'DRAFT 2'!$A:$A,"&gt;="&amp;DATE(2026,1,22),'DRAFT 2'!$A:$A,"&lt;"&amp;DATE(2026,IF(1=12,1+1,1+1),1))</f>
        <v/>
      </c>
      <c r="CK22" s="116">
        <f>SUM(CG22:CJ22)</f>
        <v/>
      </c>
      <c r="CT22" s="116" t="n">
        <v>0</v>
      </c>
      <c r="CU22" s="116">
        <f>IFERROR(LOOKUP(2,1/('DRAFT 2'!$D:$D=$B22)*('DRAFT 2'!$A:$A&gt;=DATE(2026,2,1))*('DRAFT 2'!$A:$A&lt;DATE(2026,IF(2=12,2+1,2+1),1)),'DRAFT 2'!$A:$A),"")</f>
        <v/>
      </c>
      <c r="CV22" s="116">
        <f>COUNTIFS('DRAFT 2'!$D:$D,$B22,'DRAFT 2'!$A:$A,"&gt;="&amp;DATE(2026,2,1),'DRAFT 2'!$A:$A,"&lt;="&amp;DATE(2026,2,7))</f>
        <v/>
      </c>
      <c r="CW22" s="116">
        <f>COUNTIFS('DRAFT 2'!$D:$D,$B22,'DRAFT 2'!$A:$A,"&gt;="&amp;DATE(2026,2,8),'DRAFT 2'!$A:$A,"&lt;="&amp;DATE(2026,2,14))</f>
        <v/>
      </c>
      <c r="CX22" s="116">
        <f>COUNTIFS('DRAFT 2'!$D:$D,$B22,'DRAFT 2'!$A:$A,"&gt;="&amp;DATE(2026,2,15),'DRAFT 2'!$A:$A,"&lt;="&amp;DATE(2026,2,21))</f>
        <v/>
      </c>
      <c r="CY22" s="116">
        <f>COUNTIFS('DRAFT 2'!$D:$D,$B22,'DRAFT 2'!$A:$A,"&gt;="&amp;DATE(2026,2,22),'DRAFT 2'!$A:$A,"&lt;"&amp;DATE(2026,IF(2=12,2+1,2+1),1))</f>
        <v/>
      </c>
      <c r="CZ22" s="116">
        <f>SUM(CV22:CY22)</f>
        <v/>
      </c>
      <c r="DJ22" s="116">
        <f>IFERROR(LOOKUP(2,1/('DRAFT 2'!$D:$D=$B22)*('DRAFT 2'!$A:$A&gt;=DATE(2026,3,1))*('DRAFT 2'!$A:$A&lt;DATE(2026,IF(3=12,3+1,3+1),1)),'DRAFT 2'!$A:$A),"")</f>
        <v/>
      </c>
      <c r="DK22" s="116">
        <f>COUNTIFS('DRAFT 2'!$D:$D,$B22,'DRAFT 2'!$A:$A,"&gt;="&amp;DATE(2026,3,1),'DRAFT 2'!$A:$A,"&lt;="&amp;DATE(2026,3,7))</f>
        <v/>
      </c>
      <c r="DL22" s="116">
        <f>COUNTIFS('DRAFT 2'!$D:$D,$B22,'DRAFT 2'!$A:$A,"&gt;="&amp;DATE(2026,3,8),'DRAFT 2'!$A:$A,"&lt;="&amp;DATE(2026,3,14))</f>
        <v/>
      </c>
      <c r="DM22" s="116">
        <f>COUNTIFS('DRAFT 2'!$D:$D,$B22,'DRAFT 2'!$A:$A,"&gt;="&amp;DATE(2026,3,15),'DRAFT 2'!$A:$A,"&lt;="&amp;DATE(2026,3,21))</f>
        <v/>
      </c>
      <c r="DN22" s="116">
        <f>COUNTIFS('DRAFT 2'!$D:$D,$B22,'DRAFT 2'!$A:$A,"&gt;="&amp;DATE(2026,3,22),'DRAFT 2'!$A:$A,"&lt;"&amp;DATE(2026,IF(3=12,3+1,3+1),1))</f>
        <v/>
      </c>
      <c r="DO22" s="116">
        <f>SUM(DK22:DN22)</f>
        <v/>
      </c>
      <c r="DZ22" s="116">
        <f>IFERROR(LOOKUP(2,1/('DRAFT 2'!$D:$D=$B22)*('DRAFT 2'!$A:$A&gt;=DATE(2026,4,1))*('DRAFT 2'!$A:$A&lt;DATE(2026,IF(4=12,4+1,4+1),1)),'DRAFT 2'!$A:$A),"")</f>
        <v/>
      </c>
      <c r="EA22" s="116">
        <f>COUNTIFS('DRAFT 2'!$D:$D,$B22,'DRAFT 2'!$A:$A,"&gt;="&amp;DATE(2026,4,1),'DRAFT 2'!$A:$A,"&lt;="&amp;DATE(2026,4,7))</f>
        <v/>
      </c>
      <c r="EB22" s="116">
        <f>COUNTIFS('DRAFT 2'!$D:$D,$B22,'DRAFT 2'!$A:$A,"&gt;="&amp;DATE(2026,4,8),'DRAFT 2'!$A:$A,"&lt;="&amp;DATE(2026,4,14))</f>
        <v/>
      </c>
      <c r="EC22" s="116">
        <f>COUNTIFS('DRAFT 2'!$D:$D,$B22,'DRAFT 2'!$A:$A,"&gt;="&amp;DATE(2026,4,15),'DRAFT 2'!$A:$A,"&lt;="&amp;DATE(2026,4,21))</f>
        <v/>
      </c>
      <c r="ED22" s="116">
        <f>COUNTIFS('DRAFT 2'!$D:$D,$B22,'DRAFT 2'!$A:$A,"&gt;="&amp;DATE(2026,4,22),'DRAFT 2'!$A:$A,"&lt;"&amp;DATE(2026,IF(4=12,4+1,4+1),1))</f>
        <v/>
      </c>
      <c r="EE22" s="116">
        <f>SUM(EA22:ED22)</f>
        <v/>
      </c>
      <c r="EO22" s="116">
        <f>IFERROR(LOOKUP(2,1/('DRAFT 2'!$D:$D=$B22)*('DRAFT 2'!$A:$A&gt;=DATE(2026,5,1))*('DRAFT 2'!$A:$A&lt;DATE(2026,IF(5=12,5+1,5+1),1)),'DRAFT 2'!$A:$A),"")</f>
        <v/>
      </c>
      <c r="EP22" s="116">
        <f>COUNTIFS('DRAFT 2'!$D:$D,$B22,'DRAFT 2'!$A:$A,"&gt;="&amp;DATE(2026,5,1),'DRAFT 2'!$A:$A,"&lt;="&amp;DATE(2026,5,7))</f>
        <v/>
      </c>
      <c r="EQ22" s="116">
        <f>COUNTIFS('DRAFT 2'!$D:$D,$B22,'DRAFT 2'!$A:$A,"&gt;="&amp;DATE(2026,5,8),'DRAFT 2'!$A:$A,"&lt;="&amp;DATE(2026,5,14))</f>
        <v/>
      </c>
      <c r="ER22" s="116">
        <f>COUNTIFS('DRAFT 2'!$D:$D,$B22,'DRAFT 2'!$A:$A,"&gt;="&amp;DATE(2026,5,15),'DRAFT 2'!$A:$A,"&lt;="&amp;DATE(2026,5,21))</f>
        <v/>
      </c>
      <c r="ES22" s="116">
        <f>COUNTIFS('DRAFT 2'!$D:$D,$B22,'DRAFT 2'!$A:$A,"&gt;="&amp;DATE(2026,5,22),'DRAFT 2'!$A:$A,"&lt;"&amp;DATE(2026,IF(5=12,5+1,5+1),1))</f>
        <v/>
      </c>
      <c r="ET22" s="116">
        <f>SUM(EP22:ES22)</f>
        <v/>
      </c>
      <c r="FD22" s="116">
        <f>IFERROR(LOOKUP(2,1/('DRAFT 2'!$D:$D=$B22)*('DRAFT 2'!$A:$A&gt;=DATE(2026,6,1))*('DRAFT 2'!$A:$A&lt;DATE(2026,IF(6=12,6+1,6+1),1)),'DRAFT 2'!$A:$A),"")</f>
        <v/>
      </c>
      <c r="FE22" s="116">
        <f>COUNTIFS('DRAFT 2'!$D:$D,$B22,'DRAFT 2'!$A:$A,"&gt;="&amp;DATE(2026,6,1),'DRAFT 2'!$A:$A,"&lt;="&amp;DATE(2026,6,7))</f>
        <v/>
      </c>
      <c r="FF22" s="116">
        <f>COUNTIFS('DRAFT 2'!$D:$D,$B22,'DRAFT 2'!$A:$A,"&gt;="&amp;DATE(2026,6,8),'DRAFT 2'!$A:$A,"&lt;="&amp;DATE(2026,6,14))</f>
        <v/>
      </c>
      <c r="FG22" s="116">
        <f>COUNTIFS('DRAFT 2'!$D:$D,$B22,'DRAFT 2'!$A:$A,"&gt;="&amp;DATE(2026,6,15),'DRAFT 2'!$A:$A,"&lt;="&amp;DATE(2026,6,21))</f>
        <v/>
      </c>
      <c r="FH22" s="116">
        <f>COUNTIFS('DRAFT 2'!$D:$D,$B22,'DRAFT 2'!$A:$A,"&gt;="&amp;DATE(2026,6,22),'DRAFT 2'!$A:$A,"&lt;"&amp;DATE(2026,IF(6=12,6+1,6+1),1))</f>
        <v/>
      </c>
      <c r="FI22" s="116">
        <f>SUM(FE22:FH22)</f>
        <v/>
      </c>
      <c r="FT22" s="116">
        <f>IFERROR(LOOKUP(2,1/('DRAFT 2'!$D:$D=$B22)*('DRAFT 2'!$A:$A&gt;=DATE(2026,7,1))*('DRAFT 2'!$A:$A&lt;DATE(2026,IF(7=12,7+1,7+1),1)),'DRAFT 2'!$A:$A),"")</f>
        <v/>
      </c>
      <c r="FU22" s="116">
        <f>COUNTIFS('DRAFT 2'!$D:$D,$B22,'DRAFT 2'!$A:$A,"&gt;="&amp;DATE(2026,7,1),'DRAFT 2'!$A:$A,"&lt;="&amp;DATE(2026,7,7))</f>
        <v/>
      </c>
      <c r="FV22" s="116">
        <f>COUNTIFS('DRAFT 2'!$D:$D,$B22,'DRAFT 2'!$A:$A,"&gt;="&amp;DATE(2026,7,8),'DRAFT 2'!$A:$A,"&lt;="&amp;DATE(2026,7,14))</f>
        <v/>
      </c>
      <c r="FW22" s="116">
        <f>COUNTIFS('DRAFT 2'!$D:$D,$B22,'DRAFT 2'!$A:$A,"&gt;="&amp;DATE(2026,7,15),'DRAFT 2'!$A:$A,"&lt;="&amp;DATE(2026,7,21))</f>
        <v/>
      </c>
      <c r="FX22" s="116">
        <f>COUNTIFS('DRAFT 2'!$D:$D,$B22,'DRAFT 2'!$A:$A,"&gt;="&amp;DATE(2026,7,22),'DRAFT 2'!$A:$A,"&lt;"&amp;DATE(2026,IF(7=12,7+1,7+1),1))</f>
        <v/>
      </c>
      <c r="FY22" s="116">
        <f>SUM(FU22:FX22)</f>
        <v/>
      </c>
      <c r="GI22" s="116">
        <f>IFERROR(LOOKUP(2,1/('DRAFT 2'!$D:$D=$B22)*('DRAFT 2'!$A:$A&gt;=DATE(2026,8,1))*('DRAFT 2'!$A:$A&lt;DATE(2026,IF(8=12,8+1,8+1),1)),'DRAFT 2'!$A:$A),"")</f>
        <v/>
      </c>
      <c r="GJ22" s="116">
        <f>COUNTIFS('DRAFT 2'!$D:$D,$B22,'DRAFT 2'!$A:$A,"&gt;="&amp;DATE(2026,8,1),'DRAFT 2'!$A:$A,"&lt;="&amp;DATE(2026,8,7))</f>
        <v/>
      </c>
      <c r="GK22" s="116">
        <f>COUNTIFS('DRAFT 2'!$D:$D,$B22,'DRAFT 2'!$A:$A,"&gt;="&amp;DATE(2026,8,8),'DRAFT 2'!$A:$A,"&lt;="&amp;DATE(2026,8,14))</f>
        <v/>
      </c>
      <c r="GL22" s="116">
        <f>COUNTIFS('DRAFT 2'!$D:$D,$B22,'DRAFT 2'!$A:$A,"&gt;="&amp;DATE(2026,8,15),'DRAFT 2'!$A:$A,"&lt;="&amp;DATE(2026,8,21))</f>
        <v/>
      </c>
      <c r="GM22" s="116">
        <f>COUNTIFS('DRAFT 2'!$D:$D,$B22,'DRAFT 2'!$A:$A,"&gt;="&amp;DATE(2026,8,22),'DRAFT 2'!$A:$A,"&lt;"&amp;DATE(2026,IF(8=12,8+1,8+1),1))</f>
        <v/>
      </c>
      <c r="GN22" s="116">
        <f>SUM(GJ22:GM22)</f>
        <v/>
      </c>
      <c r="GX22" s="116">
        <f>IFERROR(LOOKUP(2,1/('DRAFT 2'!$D:$D=$B22)*('DRAFT 2'!$A:$A&gt;=DATE(2026,9,1))*('DRAFT 2'!$A:$A&lt;DATE(2026,IF(9=12,9+1,9+1),1)),'DRAFT 2'!$A:$A),"")</f>
        <v/>
      </c>
      <c r="GY22" s="116">
        <f>COUNTIFS('DRAFT 2'!$D:$D,$B22,'DRAFT 2'!$A:$A,"&gt;="&amp;DATE(2026,9,1),'DRAFT 2'!$A:$A,"&lt;="&amp;DATE(2026,9,7))</f>
        <v/>
      </c>
      <c r="GZ22" s="116">
        <f>COUNTIFS('DRAFT 2'!$D:$D,$B22,'DRAFT 2'!$A:$A,"&gt;="&amp;DATE(2026,9,8),'DRAFT 2'!$A:$A,"&lt;="&amp;DATE(2026,9,14))</f>
        <v/>
      </c>
      <c r="HA22" s="116">
        <f>COUNTIFS('DRAFT 2'!$D:$D,$B22,'DRAFT 2'!$A:$A,"&gt;="&amp;DATE(2026,9,15),'DRAFT 2'!$A:$A,"&lt;="&amp;DATE(2026,9,21))</f>
        <v/>
      </c>
      <c r="HB22" s="116">
        <f>COUNTIFS('DRAFT 2'!$D:$D,$B22,'DRAFT 2'!$A:$A,"&gt;="&amp;DATE(2026,9,22),'DRAFT 2'!$A:$A,"&lt;"&amp;DATE(2026,IF(9=12,9+1,9+1),1))</f>
        <v/>
      </c>
      <c r="HC22" s="116">
        <f>SUM(GY22:HB22)</f>
        <v/>
      </c>
      <c r="HN22" s="116">
        <f>IFERROR(LOOKUP(2,1/('DRAFT 2'!$D:$D=$B22)*('DRAFT 2'!$A:$A&gt;=DATE(2026,10,1))*('DRAFT 2'!$A:$A&lt;DATE(2026,IF(10=12,10+1,10+1),1)),'DRAFT 2'!$A:$A),"")</f>
        <v/>
      </c>
      <c r="HO22" s="116">
        <f>COUNTIFS('DRAFT 2'!$D:$D,$B22,'DRAFT 2'!$A:$A,"&gt;="&amp;DATE(2026,10,1),'DRAFT 2'!$A:$A,"&lt;="&amp;DATE(2026,10,7))</f>
        <v/>
      </c>
      <c r="HP22" s="116">
        <f>COUNTIFS('DRAFT 2'!$D:$D,$B22,'DRAFT 2'!$A:$A,"&gt;="&amp;DATE(2026,10,8),'DRAFT 2'!$A:$A,"&lt;="&amp;DATE(2026,10,14))</f>
        <v/>
      </c>
      <c r="HQ22" s="116">
        <f>COUNTIFS('DRAFT 2'!$D:$D,$B22,'DRAFT 2'!$A:$A,"&gt;="&amp;DATE(2026,10,15),'DRAFT 2'!$A:$A,"&lt;="&amp;DATE(2026,10,21))</f>
        <v/>
      </c>
      <c r="HR22" s="116">
        <f>COUNTIFS('DRAFT 2'!$D:$D,$B22,'DRAFT 2'!$A:$A,"&gt;="&amp;DATE(2026,10,22),'DRAFT 2'!$A:$A,"&lt;"&amp;DATE(2026,IF(10=12,10+1,10+1),1))</f>
        <v/>
      </c>
      <c r="HS22" s="116">
        <f>SUM(HO22:HR22)</f>
        <v/>
      </c>
      <c r="IC22" s="116">
        <f>IFERROR(LOOKUP(2,1/('DRAFT 2'!$D:$D=$B22)*('DRAFT 2'!$A:$A&gt;=DATE(2026,11,1))*('DRAFT 2'!$A:$A&lt;DATE(2026,IF(11=12,11+1,11+1),1)),'DRAFT 2'!$A:$A),"")</f>
        <v/>
      </c>
      <c r="ID22" s="116">
        <f>COUNTIFS('DRAFT 2'!$D:$D,$B22,'DRAFT 2'!$A:$A,"&gt;="&amp;DATE(2026,11,1),'DRAFT 2'!$A:$A,"&lt;="&amp;DATE(2026,11,7))</f>
        <v/>
      </c>
      <c r="IE22" s="116">
        <f>COUNTIFS('DRAFT 2'!$D:$D,$B22,'DRAFT 2'!$A:$A,"&gt;="&amp;DATE(2026,11,8),'DRAFT 2'!$A:$A,"&lt;="&amp;DATE(2026,11,14))</f>
        <v/>
      </c>
      <c r="IF22" s="116">
        <f>COUNTIFS('DRAFT 2'!$D:$D,$B22,'DRAFT 2'!$A:$A,"&gt;="&amp;DATE(2026,11,15),'DRAFT 2'!$A:$A,"&lt;="&amp;DATE(2026,11,21))</f>
        <v/>
      </c>
      <c r="IG22" s="116">
        <f>COUNTIFS('DRAFT 2'!$D:$D,$B22,'DRAFT 2'!$A:$A,"&gt;="&amp;DATE(2026,11,22),'DRAFT 2'!$A:$A,"&lt;"&amp;DATE(2026,IF(11=12,11+1,11+1),1))</f>
        <v/>
      </c>
      <c r="IH22" s="116">
        <f>SUM(ID22:IG22)</f>
        <v/>
      </c>
      <c r="IR22" s="116">
        <f>IFERROR(LOOKUP(2,1/('DRAFT 2'!$D:$D=$B22)*('DRAFT 2'!$A:$A&gt;=DATE(2026,12,1))*('DRAFT 2'!$A:$A&lt;DATE(2026,IF(12=12,12+1,12+1),1)),'DRAFT 2'!$A:$A),"")</f>
        <v/>
      </c>
      <c r="IS22" s="116">
        <f>COUNTIFS('DRAFT 2'!$D:$D,$B22,'DRAFT 2'!$A:$A,"&gt;="&amp;DATE(2026,12,1),'DRAFT 2'!$A:$A,"&lt;="&amp;DATE(2026,12,7))</f>
        <v/>
      </c>
      <c r="IT22" s="116">
        <f>COUNTIFS('DRAFT 2'!$D:$D,$B22,'DRAFT 2'!$A:$A,"&gt;="&amp;DATE(2026,12,8),'DRAFT 2'!$A:$A,"&lt;="&amp;DATE(2026,12,14))</f>
        <v/>
      </c>
      <c r="IU22" s="116">
        <f>COUNTIFS('DRAFT 2'!$D:$D,$B22,'DRAFT 2'!$A:$A,"&gt;="&amp;DATE(2026,12,15),'DRAFT 2'!$A:$A,"&lt;="&amp;DATE(2026,12,21))</f>
        <v/>
      </c>
      <c r="IV22" s="116">
        <f>COUNTIFS('DRAFT 2'!$D:$D,$B22,'DRAFT 2'!$A:$A,"&gt;="&amp;DATE(2026,12,22),'DRAFT 2'!$A:$A,"&lt;"&amp;DATE(2026,IF(12=12,12+1,12+1),1))</f>
        <v/>
      </c>
      <c r="IW22" s="116">
        <f>SUM(IS22:IV22)</f>
        <v/>
      </c>
    </row>
    <row r="23">
      <c r="A23" s="116">
        <f>IFERROR(INDEX('DRAFT 1'!$A:$A,MATCH($B23,'DRAFT 1'!$B:$B,0)),"")</f>
        <v/>
      </c>
      <c r="C23" s="116">
        <f>IFERROR(INDEX('DRAFT 1'!$C:$C,MATCH($B23,'DRAFT 1'!$B:$B,0)),"")</f>
        <v/>
      </c>
      <c r="D23" s="116">
        <f>IFERROR(INDEX('DRAFT 1'!$D:$D,MATCH($B23,'DRAFT 1'!$B:$B,0)),"")</f>
        <v/>
      </c>
      <c r="E23" s="116">
        <f>IFERROR(INDEX('DRAFT 1'!$E:$E,MATCH($B23,'DRAFT 1'!$B:$B,0)),"")</f>
        <v/>
      </c>
      <c r="F23" s="116">
        <f>IFERROR(INDEX('DRAFT 1'!$F:$F,MATCH($B23,'DRAFT 1'!$B:$B,0)),"")</f>
        <v/>
      </c>
      <c r="G23" s="116">
        <f>IFERROR(INDEX('DRAFT 1'!$G:$G,MATCH($B23,'DRAFT 1'!$B:$B,0)),"")</f>
        <v/>
      </c>
      <c r="H23" s="116">
        <f>IFERROR(INDEX('DRAFT 1'!$H:$H,MATCH($B23,'DRAFT 1'!$B:$B,0)),"")</f>
        <v/>
      </c>
      <c r="I23" s="116" t="inlineStr">
        <is>
          <t>CIA DA SAUDE</t>
        </is>
      </c>
      <c r="K23" s="116">
        <f>IFERROR(INDEX('DRAFT 1'!$AL:$AL,MATCH($B23,'DRAFT 1'!$B:$B,0)),"")</f>
        <v/>
      </c>
      <c r="L23" s="116">
        <f>IFERROR(INDEX('DRAFT 1'!$J:$J,MATCH($B23,'DRAFT 1'!$B:$B,0)),"")</f>
        <v/>
      </c>
      <c r="M23" s="116">
        <f>IFERROR(INDEX('DRAFT 1'!$K:$K,MATCH($B23,'DRAFT 1'!$B:$B,0)),"")</f>
        <v/>
      </c>
      <c r="N23" s="116" t="inlineStr">
        <is>
          <t>INAT.ANT</t>
        </is>
      </c>
      <c r="P23" s="116">
        <f>IFERROR(INDEX('DRAFT 1'!$L:$L,MATCH($B23,'DRAFT 1'!$B:$B,0)),"")</f>
        <v/>
      </c>
      <c r="Q23" s="116">
        <f>IFERROR(INDEX('DRAFT 1'!$M:$M,MATCH($B23,'DRAFT 1'!$B:$B,0)),"")</f>
        <v/>
      </c>
      <c r="R23" s="116">
        <f>IFERROR(INDEX('DRAFT 1'!$N:$N,MATCH($B23,'DRAFT 1'!$B:$B,0)),"")</f>
        <v/>
      </c>
      <c r="S23" s="116">
        <f>IFERROR(INDEX('DRAFT 1'!$O:$O,MATCH($B23,'DRAFT 1'!$B:$B,0)),"")</f>
        <v/>
      </c>
      <c r="T23" s="116">
        <f>IFERROR(INDEX('DRAFT 1'!$P:$P,MATCH($B23,'DRAFT 1'!$B:$B,0)),"")</f>
        <v/>
      </c>
      <c r="U23" s="116">
        <f>IFERROR(INDEX('DRAFT 1'!$Q:$Q,MATCH($B23,'DRAFT 1'!$B:$B,0)),"")</f>
        <v/>
      </c>
      <c r="V23" s="116">
        <f>IFERROR(INDEX('DRAFT 1'!$R:$R,MATCH($B23,'DRAFT 1'!$B:$B,0)),"")</f>
        <v/>
      </c>
      <c r="W23" s="116">
        <f>IFERROR(INDEX('DRAFT 1'!$S:$S,MATCH($B23,'DRAFT 1'!$B:$B,0)),"")</f>
        <v/>
      </c>
      <c r="X23" s="116">
        <f>IFERROR(INDEX('DRAFT 1'!$T:$T,MATCH($B23,'DRAFT 1'!$B:$B,0)),"")</f>
        <v/>
      </c>
      <c r="Z23" s="116">
        <f>IFERROR(INDEX('DRAFT 1'!$U:$U,MATCH($B23,'DRAFT 1'!$B:$B,0)),"")</f>
        <v/>
      </c>
      <c r="AA23" s="116">
        <f>IFERROR(INDEX('DRAFT 1'!$V:$V,MATCH($B23,'DRAFT 1'!$B:$B,0)),"")</f>
        <v/>
      </c>
      <c r="AB23" s="116">
        <f>IFERROR(INDEX('DRAFT 1'!$W:$W,MATCH($B23,'DRAFT 1'!$B:$B,0)),"")</f>
        <v/>
      </c>
      <c r="AC23" s="116">
        <f>IFERROR(INDEX('DRAFT 1'!$X:$X,MATCH($B23,'DRAFT 1'!$B:$B,0)),"")</f>
        <v/>
      </c>
      <c r="AD23" s="116">
        <f>IFERROR(INDEX('DRAFT 1'!$Y:$Y,MATCH($B23,'DRAFT 1'!$B:$B,0)),"")</f>
        <v/>
      </c>
      <c r="AE23" s="116">
        <f>IFERROR(INDEX('DRAFT 1'!$Z:$Z,MATCH($B23,'DRAFT 1'!$B:$B,0)),"")</f>
        <v/>
      </c>
      <c r="AF23" s="116">
        <f>IFERROR(INDEX('DRAFT 1'!$AA:$AA,MATCH($B23,'DRAFT 1'!$B:$B,0)),"")</f>
        <v/>
      </c>
      <c r="AG23" s="116">
        <f>IFERROR(INDEX('DRAFT 1'!$AB:$AB,MATCH($B23,'DRAFT 1'!$B:$B,0)),"")</f>
        <v/>
      </c>
      <c r="AH23" s="116">
        <f>IFERROR(INDEX('DRAFT 1'!$AC:$AC,MATCH($B23,'DRAFT 1'!$B:$B,0)),"")</f>
        <v/>
      </c>
      <c r="AI23" s="116">
        <f>IFERROR(INDEX('DRAFT 1'!$AD:$AD,MATCH($B23,'DRAFT 1'!$B:$B,0)),"")</f>
        <v/>
      </c>
      <c r="AJ23" s="116">
        <f>IFERROR(INDEX('DRAFT 1'!$AE:$AE,MATCH($B23,'DRAFT 1'!$B:$B,0)),"")</f>
        <v/>
      </c>
      <c r="AK23" s="116">
        <f>IFERROR(INDEX('DRAFT 1'!$AG:$AG,MATCH($B23,'DRAFT 1'!$B:$B,0)),"")</f>
        <v/>
      </c>
      <c r="AL23" s="116">
        <f>IFERROR(INDEX('DRAFT 1'!$AH:$AH,MATCH($B23,'DRAFT 1'!$B:$B,0)),"")</f>
        <v/>
      </c>
      <c r="AM23" s="116">
        <f>IFERROR(INDEX('DRAFT 1'!$AI:$AI,MATCH($B23,'DRAFT 1'!$B:$B,0)),"")</f>
        <v/>
      </c>
      <c r="AN23" s="116">
        <f>IFERROR(INDEX('DRAFT 1'!$AJ:$AJ,MATCH($B23,'DRAFT 1'!$B:$B,0)),"")</f>
        <v/>
      </c>
      <c r="AO23" s="116">
        <f>IFERROR(Y23/AN23,0)</f>
        <v/>
      </c>
      <c r="AP23" s="116">
        <f>IFERROR(INDEX('DRAFT 1'!$AK:$AK,MATCH($B23,'DRAFT 1'!$B:$B,0)),"")</f>
        <v/>
      </c>
      <c r="AR23" s="116" t="inlineStr">
        <is>
          <t>PROSPECÇÃO</t>
        </is>
      </c>
      <c r="AS23" s="116">
        <f>IFERROR(LOOKUP(2,1/('DRAFT 2'!$D:$D=$B23),'DRAFT 2'!$T:$T),"")</f>
        <v/>
      </c>
      <c r="AT23" s="116">
        <f>IFERROR(LOOKUP(2,1/('DRAFT 2'!$D:$D=$B23),'DRAFT 2'!$A:$A),"")</f>
        <v/>
      </c>
      <c r="AU23" s="116">
        <f>IFERROR(LOOKUP(2,1/('DRAFT 2'!$D:$D=$B23),'DRAFT 2'!$R:$R),"")</f>
        <v/>
      </c>
      <c r="AV23" s="116">
        <f>IFERROR(LOOKUP(2,1/('DRAFT 2'!$D:$D=$B23),'DRAFT 2'!$S:$S),"")</f>
        <v/>
      </c>
      <c r="AW23" s="116" t="inlineStr">
        <is>
          <t>NOVO</t>
        </is>
      </c>
      <c r="AX23" s="116">
        <f>IFERROR(LOOKUP(2,1/('DRAFT 2'!$D:$D=$B23),'DRAFT 2'!$M:$M),"")</f>
        <v/>
      </c>
      <c r="AY23" s="116">
        <f>IFERROR(LOOKUP(2,1/('DRAFT 2'!$D:$D=$B23),'DRAFT 2'!$K:$K),"")</f>
        <v/>
      </c>
      <c r="BG23" s="116">
        <f>IFERROR(LOOKUP(2,1/('DRAFT 2'!$D:$D=$B23),'DRAFT 2'!$U:$U),"")</f>
        <v/>
      </c>
      <c r="BH23" s="116">
        <f>IFERROR(LOOKUP(2,1/('DRAFT 2'!$D:$D=$B23),'DRAFT 2'!$V:$V),"")</f>
        <v/>
      </c>
      <c r="CE23" s="116">
        <f>IFERROR(AJ23,0)</f>
        <v/>
      </c>
      <c r="CF23" s="116">
        <f>IFERROR(LOOKUP(2,1/('DRAFT 2'!$D:$D=$B23)*('DRAFT 2'!$A:$A&gt;=DATE(2026,1,1))*('DRAFT 2'!$A:$A&lt;DATE(2026,IF(1=12,1+1,1+1),1)),'DRAFT 2'!$A:$A),"")</f>
        <v/>
      </c>
      <c r="CG23" s="116">
        <f>COUNTIFS('DRAFT 2'!$D:$D,$B23,'DRAFT 2'!$A:$A,"&gt;="&amp;DATE(2026,1,1),'DRAFT 2'!$A:$A,"&lt;="&amp;DATE(2026,1,7))</f>
        <v/>
      </c>
      <c r="CH23" s="116">
        <f>COUNTIFS('DRAFT 2'!$D:$D,$B23,'DRAFT 2'!$A:$A,"&gt;="&amp;DATE(2026,1,8),'DRAFT 2'!$A:$A,"&lt;="&amp;DATE(2026,1,14))</f>
        <v/>
      </c>
      <c r="CI23" s="116">
        <f>COUNTIFS('DRAFT 2'!$D:$D,$B23,'DRAFT 2'!$A:$A,"&gt;="&amp;DATE(2026,1,15),'DRAFT 2'!$A:$A,"&lt;="&amp;DATE(2026,1,21))</f>
        <v/>
      </c>
      <c r="CJ23" s="116">
        <f>COUNTIFS('DRAFT 2'!$D:$D,$B23,'DRAFT 2'!$A:$A,"&gt;="&amp;DATE(2026,1,22),'DRAFT 2'!$A:$A,"&lt;"&amp;DATE(2026,IF(1=12,1+1,1+1),1))</f>
        <v/>
      </c>
      <c r="CK23" s="116">
        <f>SUM(CG23:CJ23)</f>
        <v/>
      </c>
      <c r="CT23" s="116" t="n">
        <v>0</v>
      </c>
      <c r="CU23" s="116">
        <f>IFERROR(LOOKUP(2,1/('DRAFT 2'!$D:$D=$B23)*('DRAFT 2'!$A:$A&gt;=DATE(2026,2,1))*('DRAFT 2'!$A:$A&lt;DATE(2026,IF(2=12,2+1,2+1),1)),'DRAFT 2'!$A:$A),"")</f>
        <v/>
      </c>
      <c r="CV23" s="116">
        <f>COUNTIFS('DRAFT 2'!$D:$D,$B23,'DRAFT 2'!$A:$A,"&gt;="&amp;DATE(2026,2,1),'DRAFT 2'!$A:$A,"&lt;="&amp;DATE(2026,2,7))</f>
        <v/>
      </c>
      <c r="CW23" s="116">
        <f>COUNTIFS('DRAFT 2'!$D:$D,$B23,'DRAFT 2'!$A:$A,"&gt;="&amp;DATE(2026,2,8),'DRAFT 2'!$A:$A,"&lt;="&amp;DATE(2026,2,14))</f>
        <v/>
      </c>
      <c r="CX23" s="116">
        <f>COUNTIFS('DRAFT 2'!$D:$D,$B23,'DRAFT 2'!$A:$A,"&gt;="&amp;DATE(2026,2,15),'DRAFT 2'!$A:$A,"&lt;="&amp;DATE(2026,2,21))</f>
        <v/>
      </c>
      <c r="CY23" s="116">
        <f>COUNTIFS('DRAFT 2'!$D:$D,$B23,'DRAFT 2'!$A:$A,"&gt;="&amp;DATE(2026,2,22),'DRAFT 2'!$A:$A,"&lt;"&amp;DATE(2026,IF(2=12,2+1,2+1),1))</f>
        <v/>
      </c>
      <c r="CZ23" s="116">
        <f>SUM(CV23:CY23)</f>
        <v/>
      </c>
      <c r="DJ23" s="116">
        <f>IFERROR(LOOKUP(2,1/('DRAFT 2'!$D:$D=$B23)*('DRAFT 2'!$A:$A&gt;=DATE(2026,3,1))*('DRAFT 2'!$A:$A&lt;DATE(2026,IF(3=12,3+1,3+1),1)),'DRAFT 2'!$A:$A),"")</f>
        <v/>
      </c>
      <c r="DK23" s="116">
        <f>COUNTIFS('DRAFT 2'!$D:$D,$B23,'DRAFT 2'!$A:$A,"&gt;="&amp;DATE(2026,3,1),'DRAFT 2'!$A:$A,"&lt;="&amp;DATE(2026,3,7))</f>
        <v/>
      </c>
      <c r="DL23" s="116">
        <f>COUNTIFS('DRAFT 2'!$D:$D,$B23,'DRAFT 2'!$A:$A,"&gt;="&amp;DATE(2026,3,8),'DRAFT 2'!$A:$A,"&lt;="&amp;DATE(2026,3,14))</f>
        <v/>
      </c>
      <c r="DM23" s="116">
        <f>COUNTIFS('DRAFT 2'!$D:$D,$B23,'DRAFT 2'!$A:$A,"&gt;="&amp;DATE(2026,3,15),'DRAFT 2'!$A:$A,"&lt;="&amp;DATE(2026,3,21))</f>
        <v/>
      </c>
      <c r="DN23" s="116">
        <f>COUNTIFS('DRAFT 2'!$D:$D,$B23,'DRAFT 2'!$A:$A,"&gt;="&amp;DATE(2026,3,22),'DRAFT 2'!$A:$A,"&lt;"&amp;DATE(2026,IF(3=12,3+1,3+1),1))</f>
        <v/>
      </c>
      <c r="DO23" s="116">
        <f>SUM(DK23:DN23)</f>
        <v/>
      </c>
      <c r="DZ23" s="116">
        <f>IFERROR(LOOKUP(2,1/('DRAFT 2'!$D:$D=$B23)*('DRAFT 2'!$A:$A&gt;=DATE(2026,4,1))*('DRAFT 2'!$A:$A&lt;DATE(2026,IF(4=12,4+1,4+1),1)),'DRAFT 2'!$A:$A),"")</f>
        <v/>
      </c>
      <c r="EA23" s="116">
        <f>COUNTIFS('DRAFT 2'!$D:$D,$B23,'DRAFT 2'!$A:$A,"&gt;="&amp;DATE(2026,4,1),'DRAFT 2'!$A:$A,"&lt;="&amp;DATE(2026,4,7))</f>
        <v/>
      </c>
      <c r="EB23" s="116">
        <f>COUNTIFS('DRAFT 2'!$D:$D,$B23,'DRAFT 2'!$A:$A,"&gt;="&amp;DATE(2026,4,8),'DRAFT 2'!$A:$A,"&lt;="&amp;DATE(2026,4,14))</f>
        <v/>
      </c>
      <c r="EC23" s="116">
        <f>COUNTIFS('DRAFT 2'!$D:$D,$B23,'DRAFT 2'!$A:$A,"&gt;="&amp;DATE(2026,4,15),'DRAFT 2'!$A:$A,"&lt;="&amp;DATE(2026,4,21))</f>
        <v/>
      </c>
      <c r="ED23" s="116">
        <f>COUNTIFS('DRAFT 2'!$D:$D,$B23,'DRAFT 2'!$A:$A,"&gt;="&amp;DATE(2026,4,22),'DRAFT 2'!$A:$A,"&lt;"&amp;DATE(2026,IF(4=12,4+1,4+1),1))</f>
        <v/>
      </c>
      <c r="EE23" s="116">
        <f>SUM(EA23:ED23)</f>
        <v/>
      </c>
      <c r="EO23" s="116">
        <f>IFERROR(LOOKUP(2,1/('DRAFT 2'!$D:$D=$B23)*('DRAFT 2'!$A:$A&gt;=DATE(2026,5,1))*('DRAFT 2'!$A:$A&lt;DATE(2026,IF(5=12,5+1,5+1),1)),'DRAFT 2'!$A:$A),"")</f>
        <v/>
      </c>
      <c r="EP23" s="116">
        <f>COUNTIFS('DRAFT 2'!$D:$D,$B23,'DRAFT 2'!$A:$A,"&gt;="&amp;DATE(2026,5,1),'DRAFT 2'!$A:$A,"&lt;="&amp;DATE(2026,5,7))</f>
        <v/>
      </c>
      <c r="EQ23" s="116">
        <f>COUNTIFS('DRAFT 2'!$D:$D,$B23,'DRAFT 2'!$A:$A,"&gt;="&amp;DATE(2026,5,8),'DRAFT 2'!$A:$A,"&lt;="&amp;DATE(2026,5,14))</f>
        <v/>
      </c>
      <c r="ER23" s="116">
        <f>COUNTIFS('DRAFT 2'!$D:$D,$B23,'DRAFT 2'!$A:$A,"&gt;="&amp;DATE(2026,5,15),'DRAFT 2'!$A:$A,"&lt;="&amp;DATE(2026,5,21))</f>
        <v/>
      </c>
      <c r="ES23" s="116">
        <f>COUNTIFS('DRAFT 2'!$D:$D,$B23,'DRAFT 2'!$A:$A,"&gt;="&amp;DATE(2026,5,22),'DRAFT 2'!$A:$A,"&lt;"&amp;DATE(2026,IF(5=12,5+1,5+1),1))</f>
        <v/>
      </c>
      <c r="ET23" s="116">
        <f>SUM(EP23:ES23)</f>
        <v/>
      </c>
      <c r="FD23" s="116">
        <f>IFERROR(LOOKUP(2,1/('DRAFT 2'!$D:$D=$B23)*('DRAFT 2'!$A:$A&gt;=DATE(2026,6,1))*('DRAFT 2'!$A:$A&lt;DATE(2026,IF(6=12,6+1,6+1),1)),'DRAFT 2'!$A:$A),"")</f>
        <v/>
      </c>
      <c r="FE23" s="116">
        <f>COUNTIFS('DRAFT 2'!$D:$D,$B23,'DRAFT 2'!$A:$A,"&gt;="&amp;DATE(2026,6,1),'DRAFT 2'!$A:$A,"&lt;="&amp;DATE(2026,6,7))</f>
        <v/>
      </c>
      <c r="FF23" s="116">
        <f>COUNTIFS('DRAFT 2'!$D:$D,$B23,'DRAFT 2'!$A:$A,"&gt;="&amp;DATE(2026,6,8),'DRAFT 2'!$A:$A,"&lt;="&amp;DATE(2026,6,14))</f>
        <v/>
      </c>
      <c r="FG23" s="116">
        <f>COUNTIFS('DRAFT 2'!$D:$D,$B23,'DRAFT 2'!$A:$A,"&gt;="&amp;DATE(2026,6,15),'DRAFT 2'!$A:$A,"&lt;="&amp;DATE(2026,6,21))</f>
        <v/>
      </c>
      <c r="FH23" s="116">
        <f>COUNTIFS('DRAFT 2'!$D:$D,$B23,'DRAFT 2'!$A:$A,"&gt;="&amp;DATE(2026,6,22),'DRAFT 2'!$A:$A,"&lt;"&amp;DATE(2026,IF(6=12,6+1,6+1),1))</f>
        <v/>
      </c>
      <c r="FI23" s="116">
        <f>SUM(FE23:FH23)</f>
        <v/>
      </c>
      <c r="FT23" s="116">
        <f>IFERROR(LOOKUP(2,1/('DRAFT 2'!$D:$D=$B23)*('DRAFT 2'!$A:$A&gt;=DATE(2026,7,1))*('DRAFT 2'!$A:$A&lt;DATE(2026,IF(7=12,7+1,7+1),1)),'DRAFT 2'!$A:$A),"")</f>
        <v/>
      </c>
      <c r="FU23" s="116">
        <f>COUNTIFS('DRAFT 2'!$D:$D,$B23,'DRAFT 2'!$A:$A,"&gt;="&amp;DATE(2026,7,1),'DRAFT 2'!$A:$A,"&lt;="&amp;DATE(2026,7,7))</f>
        <v/>
      </c>
      <c r="FV23" s="116">
        <f>COUNTIFS('DRAFT 2'!$D:$D,$B23,'DRAFT 2'!$A:$A,"&gt;="&amp;DATE(2026,7,8),'DRAFT 2'!$A:$A,"&lt;="&amp;DATE(2026,7,14))</f>
        <v/>
      </c>
      <c r="FW23" s="116">
        <f>COUNTIFS('DRAFT 2'!$D:$D,$B23,'DRAFT 2'!$A:$A,"&gt;="&amp;DATE(2026,7,15),'DRAFT 2'!$A:$A,"&lt;="&amp;DATE(2026,7,21))</f>
        <v/>
      </c>
      <c r="FX23" s="116">
        <f>COUNTIFS('DRAFT 2'!$D:$D,$B23,'DRAFT 2'!$A:$A,"&gt;="&amp;DATE(2026,7,22),'DRAFT 2'!$A:$A,"&lt;"&amp;DATE(2026,IF(7=12,7+1,7+1),1))</f>
        <v/>
      </c>
      <c r="FY23" s="116">
        <f>SUM(FU23:FX23)</f>
        <v/>
      </c>
      <c r="GI23" s="116">
        <f>IFERROR(LOOKUP(2,1/('DRAFT 2'!$D:$D=$B23)*('DRAFT 2'!$A:$A&gt;=DATE(2026,8,1))*('DRAFT 2'!$A:$A&lt;DATE(2026,IF(8=12,8+1,8+1),1)),'DRAFT 2'!$A:$A),"")</f>
        <v/>
      </c>
      <c r="GJ23" s="116">
        <f>COUNTIFS('DRAFT 2'!$D:$D,$B23,'DRAFT 2'!$A:$A,"&gt;="&amp;DATE(2026,8,1),'DRAFT 2'!$A:$A,"&lt;="&amp;DATE(2026,8,7))</f>
        <v/>
      </c>
      <c r="GK23" s="116">
        <f>COUNTIFS('DRAFT 2'!$D:$D,$B23,'DRAFT 2'!$A:$A,"&gt;="&amp;DATE(2026,8,8),'DRAFT 2'!$A:$A,"&lt;="&amp;DATE(2026,8,14))</f>
        <v/>
      </c>
      <c r="GL23" s="116">
        <f>COUNTIFS('DRAFT 2'!$D:$D,$B23,'DRAFT 2'!$A:$A,"&gt;="&amp;DATE(2026,8,15),'DRAFT 2'!$A:$A,"&lt;="&amp;DATE(2026,8,21))</f>
        <v/>
      </c>
      <c r="GM23" s="116">
        <f>COUNTIFS('DRAFT 2'!$D:$D,$B23,'DRAFT 2'!$A:$A,"&gt;="&amp;DATE(2026,8,22),'DRAFT 2'!$A:$A,"&lt;"&amp;DATE(2026,IF(8=12,8+1,8+1),1))</f>
        <v/>
      </c>
      <c r="GN23" s="116">
        <f>SUM(GJ23:GM23)</f>
        <v/>
      </c>
      <c r="GX23" s="116">
        <f>IFERROR(LOOKUP(2,1/('DRAFT 2'!$D:$D=$B23)*('DRAFT 2'!$A:$A&gt;=DATE(2026,9,1))*('DRAFT 2'!$A:$A&lt;DATE(2026,IF(9=12,9+1,9+1),1)),'DRAFT 2'!$A:$A),"")</f>
        <v/>
      </c>
      <c r="GY23" s="116">
        <f>COUNTIFS('DRAFT 2'!$D:$D,$B23,'DRAFT 2'!$A:$A,"&gt;="&amp;DATE(2026,9,1),'DRAFT 2'!$A:$A,"&lt;="&amp;DATE(2026,9,7))</f>
        <v/>
      </c>
      <c r="GZ23" s="116">
        <f>COUNTIFS('DRAFT 2'!$D:$D,$B23,'DRAFT 2'!$A:$A,"&gt;="&amp;DATE(2026,9,8),'DRAFT 2'!$A:$A,"&lt;="&amp;DATE(2026,9,14))</f>
        <v/>
      </c>
      <c r="HA23" s="116">
        <f>COUNTIFS('DRAFT 2'!$D:$D,$B23,'DRAFT 2'!$A:$A,"&gt;="&amp;DATE(2026,9,15),'DRAFT 2'!$A:$A,"&lt;="&amp;DATE(2026,9,21))</f>
        <v/>
      </c>
      <c r="HB23" s="116">
        <f>COUNTIFS('DRAFT 2'!$D:$D,$B23,'DRAFT 2'!$A:$A,"&gt;="&amp;DATE(2026,9,22),'DRAFT 2'!$A:$A,"&lt;"&amp;DATE(2026,IF(9=12,9+1,9+1),1))</f>
        <v/>
      </c>
      <c r="HC23" s="116">
        <f>SUM(GY23:HB23)</f>
        <v/>
      </c>
      <c r="HN23" s="116">
        <f>IFERROR(LOOKUP(2,1/('DRAFT 2'!$D:$D=$B23)*('DRAFT 2'!$A:$A&gt;=DATE(2026,10,1))*('DRAFT 2'!$A:$A&lt;DATE(2026,IF(10=12,10+1,10+1),1)),'DRAFT 2'!$A:$A),"")</f>
        <v/>
      </c>
      <c r="HO23" s="116">
        <f>COUNTIFS('DRAFT 2'!$D:$D,$B23,'DRAFT 2'!$A:$A,"&gt;="&amp;DATE(2026,10,1),'DRAFT 2'!$A:$A,"&lt;="&amp;DATE(2026,10,7))</f>
        <v/>
      </c>
      <c r="HP23" s="116">
        <f>COUNTIFS('DRAFT 2'!$D:$D,$B23,'DRAFT 2'!$A:$A,"&gt;="&amp;DATE(2026,10,8),'DRAFT 2'!$A:$A,"&lt;="&amp;DATE(2026,10,14))</f>
        <v/>
      </c>
      <c r="HQ23" s="116">
        <f>COUNTIFS('DRAFT 2'!$D:$D,$B23,'DRAFT 2'!$A:$A,"&gt;="&amp;DATE(2026,10,15),'DRAFT 2'!$A:$A,"&lt;="&amp;DATE(2026,10,21))</f>
        <v/>
      </c>
      <c r="HR23" s="116">
        <f>COUNTIFS('DRAFT 2'!$D:$D,$B23,'DRAFT 2'!$A:$A,"&gt;="&amp;DATE(2026,10,22),'DRAFT 2'!$A:$A,"&lt;"&amp;DATE(2026,IF(10=12,10+1,10+1),1))</f>
        <v/>
      </c>
      <c r="HS23" s="116">
        <f>SUM(HO23:HR23)</f>
        <v/>
      </c>
      <c r="IC23" s="116">
        <f>IFERROR(LOOKUP(2,1/('DRAFT 2'!$D:$D=$B23)*('DRAFT 2'!$A:$A&gt;=DATE(2026,11,1))*('DRAFT 2'!$A:$A&lt;DATE(2026,IF(11=12,11+1,11+1),1)),'DRAFT 2'!$A:$A),"")</f>
        <v/>
      </c>
      <c r="ID23" s="116">
        <f>COUNTIFS('DRAFT 2'!$D:$D,$B23,'DRAFT 2'!$A:$A,"&gt;="&amp;DATE(2026,11,1),'DRAFT 2'!$A:$A,"&lt;="&amp;DATE(2026,11,7))</f>
        <v/>
      </c>
      <c r="IE23" s="116">
        <f>COUNTIFS('DRAFT 2'!$D:$D,$B23,'DRAFT 2'!$A:$A,"&gt;="&amp;DATE(2026,11,8),'DRAFT 2'!$A:$A,"&lt;="&amp;DATE(2026,11,14))</f>
        <v/>
      </c>
      <c r="IF23" s="116">
        <f>COUNTIFS('DRAFT 2'!$D:$D,$B23,'DRAFT 2'!$A:$A,"&gt;="&amp;DATE(2026,11,15),'DRAFT 2'!$A:$A,"&lt;="&amp;DATE(2026,11,21))</f>
        <v/>
      </c>
      <c r="IG23" s="116">
        <f>COUNTIFS('DRAFT 2'!$D:$D,$B23,'DRAFT 2'!$A:$A,"&gt;="&amp;DATE(2026,11,22),'DRAFT 2'!$A:$A,"&lt;"&amp;DATE(2026,IF(11=12,11+1,11+1),1))</f>
        <v/>
      </c>
      <c r="IH23" s="116">
        <f>SUM(ID23:IG23)</f>
        <v/>
      </c>
      <c r="IR23" s="116">
        <f>IFERROR(LOOKUP(2,1/('DRAFT 2'!$D:$D=$B23)*('DRAFT 2'!$A:$A&gt;=DATE(2026,12,1))*('DRAFT 2'!$A:$A&lt;DATE(2026,IF(12=12,12+1,12+1),1)),'DRAFT 2'!$A:$A),"")</f>
        <v/>
      </c>
      <c r="IS23" s="116">
        <f>COUNTIFS('DRAFT 2'!$D:$D,$B23,'DRAFT 2'!$A:$A,"&gt;="&amp;DATE(2026,12,1),'DRAFT 2'!$A:$A,"&lt;="&amp;DATE(2026,12,7))</f>
        <v/>
      </c>
      <c r="IT23" s="116">
        <f>COUNTIFS('DRAFT 2'!$D:$D,$B23,'DRAFT 2'!$A:$A,"&gt;="&amp;DATE(2026,12,8),'DRAFT 2'!$A:$A,"&lt;="&amp;DATE(2026,12,14))</f>
        <v/>
      </c>
      <c r="IU23" s="116">
        <f>COUNTIFS('DRAFT 2'!$D:$D,$B23,'DRAFT 2'!$A:$A,"&gt;="&amp;DATE(2026,12,15),'DRAFT 2'!$A:$A,"&lt;="&amp;DATE(2026,12,21))</f>
        <v/>
      </c>
      <c r="IV23" s="116">
        <f>COUNTIFS('DRAFT 2'!$D:$D,$B23,'DRAFT 2'!$A:$A,"&gt;="&amp;DATE(2026,12,22),'DRAFT 2'!$A:$A,"&lt;"&amp;DATE(2026,IF(12=12,12+1,12+1),1))</f>
        <v/>
      </c>
      <c r="IW23" s="116">
        <f>SUM(IS23:IV23)</f>
        <v/>
      </c>
    </row>
    <row r="24">
      <c r="A24" s="116">
        <f>IFERROR(INDEX('DRAFT 1'!$A:$A,MATCH($B24,'DRAFT 1'!$B:$B,0)),"")</f>
        <v/>
      </c>
      <c r="C24" s="116">
        <f>IFERROR(INDEX('DRAFT 1'!$C:$C,MATCH($B24,'DRAFT 1'!$B:$B,0)),"")</f>
        <v/>
      </c>
      <c r="D24" s="116">
        <f>IFERROR(INDEX('DRAFT 1'!$D:$D,MATCH($B24,'DRAFT 1'!$B:$B,0)),"")</f>
        <v/>
      </c>
      <c r="E24" s="116">
        <f>IFERROR(INDEX('DRAFT 1'!$E:$E,MATCH($B24,'DRAFT 1'!$B:$B,0)),"")</f>
        <v/>
      </c>
      <c r="F24" s="116">
        <f>IFERROR(INDEX('DRAFT 1'!$F:$F,MATCH($B24,'DRAFT 1'!$B:$B,0)),"")</f>
        <v/>
      </c>
      <c r="G24" s="116">
        <f>IFERROR(INDEX('DRAFT 1'!$G:$G,MATCH($B24,'DRAFT 1'!$B:$B,0)),"")</f>
        <v/>
      </c>
      <c r="H24" s="116">
        <f>IFERROR(INDEX('DRAFT 1'!$H:$H,MATCH($B24,'DRAFT 1'!$B:$B,0)),"")</f>
        <v/>
      </c>
      <c r="I24" s="116" t="inlineStr">
        <is>
          <t>MUNDO VERDE</t>
        </is>
      </c>
      <c r="K24" s="116">
        <f>IFERROR(INDEX('DRAFT 1'!$AL:$AL,MATCH($B24,'DRAFT 1'!$B:$B,0)),"")</f>
        <v/>
      </c>
      <c r="L24" s="116">
        <f>IFERROR(INDEX('DRAFT 1'!$J:$J,MATCH($B24,'DRAFT 1'!$B:$B,0)),"")</f>
        <v/>
      </c>
      <c r="M24" s="116">
        <f>IFERROR(INDEX('DRAFT 1'!$K:$K,MATCH($B24,'DRAFT 1'!$B:$B,0)),"")</f>
        <v/>
      </c>
      <c r="N24" s="116" t="inlineStr">
        <is>
          <t>EM RISCO</t>
        </is>
      </c>
      <c r="P24" s="116">
        <f>IFERROR(INDEX('DRAFT 1'!$L:$L,MATCH($B24,'DRAFT 1'!$B:$B,0)),"")</f>
        <v/>
      </c>
      <c r="Q24" s="116">
        <f>IFERROR(INDEX('DRAFT 1'!$M:$M,MATCH($B24,'DRAFT 1'!$B:$B,0)),"")</f>
        <v/>
      </c>
      <c r="R24" s="116">
        <f>IFERROR(INDEX('DRAFT 1'!$N:$N,MATCH($B24,'DRAFT 1'!$B:$B,0)),"")</f>
        <v/>
      </c>
      <c r="S24" s="116">
        <f>IFERROR(INDEX('DRAFT 1'!$O:$O,MATCH($B24,'DRAFT 1'!$B:$B,0)),"")</f>
        <v/>
      </c>
      <c r="T24" s="116">
        <f>IFERROR(INDEX('DRAFT 1'!$P:$P,MATCH($B24,'DRAFT 1'!$B:$B,0)),"")</f>
        <v/>
      </c>
      <c r="U24" s="116">
        <f>IFERROR(INDEX('DRAFT 1'!$Q:$Q,MATCH($B24,'DRAFT 1'!$B:$B,0)),"")</f>
        <v/>
      </c>
      <c r="V24" s="116">
        <f>IFERROR(INDEX('DRAFT 1'!$R:$R,MATCH($B24,'DRAFT 1'!$B:$B,0)),"")</f>
        <v/>
      </c>
      <c r="W24" s="116">
        <f>IFERROR(INDEX('DRAFT 1'!$S:$S,MATCH($B24,'DRAFT 1'!$B:$B,0)),"")</f>
        <v/>
      </c>
      <c r="X24" s="116">
        <f>IFERROR(INDEX('DRAFT 1'!$T:$T,MATCH($B24,'DRAFT 1'!$B:$B,0)),"")</f>
        <v/>
      </c>
      <c r="Z24" s="116">
        <f>IFERROR(INDEX('DRAFT 1'!$U:$U,MATCH($B24,'DRAFT 1'!$B:$B,0)),"")</f>
        <v/>
      </c>
      <c r="AA24" s="116">
        <f>IFERROR(INDEX('DRAFT 1'!$V:$V,MATCH($B24,'DRAFT 1'!$B:$B,0)),"")</f>
        <v/>
      </c>
      <c r="AB24" s="116">
        <f>IFERROR(INDEX('DRAFT 1'!$W:$W,MATCH($B24,'DRAFT 1'!$B:$B,0)),"")</f>
        <v/>
      </c>
      <c r="AC24" s="116">
        <f>IFERROR(INDEX('DRAFT 1'!$X:$X,MATCH($B24,'DRAFT 1'!$B:$B,0)),"")</f>
        <v/>
      </c>
      <c r="AD24" s="116">
        <f>IFERROR(INDEX('DRAFT 1'!$Y:$Y,MATCH($B24,'DRAFT 1'!$B:$B,0)),"")</f>
        <v/>
      </c>
      <c r="AE24" s="116">
        <f>IFERROR(INDEX('DRAFT 1'!$Z:$Z,MATCH($B24,'DRAFT 1'!$B:$B,0)),"")</f>
        <v/>
      </c>
      <c r="AF24" s="116">
        <f>IFERROR(INDEX('DRAFT 1'!$AA:$AA,MATCH($B24,'DRAFT 1'!$B:$B,0)),"")</f>
        <v/>
      </c>
      <c r="AG24" s="116">
        <f>IFERROR(INDEX('DRAFT 1'!$AB:$AB,MATCH($B24,'DRAFT 1'!$B:$B,0)),"")</f>
        <v/>
      </c>
      <c r="AH24" s="116">
        <f>IFERROR(INDEX('DRAFT 1'!$AC:$AC,MATCH($B24,'DRAFT 1'!$B:$B,0)),"")</f>
        <v/>
      </c>
      <c r="AI24" s="116">
        <f>IFERROR(INDEX('DRAFT 1'!$AD:$AD,MATCH($B24,'DRAFT 1'!$B:$B,0)),"")</f>
        <v/>
      </c>
      <c r="AJ24" s="116">
        <f>IFERROR(INDEX('DRAFT 1'!$AE:$AE,MATCH($B24,'DRAFT 1'!$B:$B,0)),"")</f>
        <v/>
      </c>
      <c r="AK24" s="116">
        <f>IFERROR(INDEX('DRAFT 1'!$AG:$AG,MATCH($B24,'DRAFT 1'!$B:$B,0)),"")</f>
        <v/>
      </c>
      <c r="AL24" s="116">
        <f>IFERROR(INDEX('DRAFT 1'!$AH:$AH,MATCH($B24,'DRAFT 1'!$B:$B,0)),"")</f>
        <v/>
      </c>
      <c r="AM24" s="116">
        <f>IFERROR(INDEX('DRAFT 1'!$AI:$AI,MATCH($B24,'DRAFT 1'!$B:$B,0)),"")</f>
        <v/>
      </c>
      <c r="AN24" s="116">
        <f>IFERROR(INDEX('DRAFT 1'!$AJ:$AJ,MATCH($B24,'DRAFT 1'!$B:$B,0)),"")</f>
        <v/>
      </c>
      <c r="AO24" s="116">
        <f>IFERROR(Y24/AN24,0)</f>
        <v/>
      </c>
      <c r="AP24" s="116">
        <f>IFERROR(INDEX('DRAFT 1'!$AK:$AK,MATCH($B24,'DRAFT 1'!$B:$B,0)),"")</f>
        <v/>
      </c>
      <c r="AR24" s="116" t="inlineStr">
        <is>
          <t>RECUPERAÇÃO</t>
        </is>
      </c>
      <c r="AS24" s="116">
        <f>IFERROR(LOOKUP(2,1/('DRAFT 2'!$D:$D=$B24),'DRAFT 2'!$T:$T),"")</f>
        <v/>
      </c>
      <c r="AT24" s="116">
        <f>IFERROR(LOOKUP(2,1/('DRAFT 2'!$D:$D=$B24),'DRAFT 2'!$A:$A),"")</f>
        <v/>
      </c>
      <c r="AU24" s="116">
        <f>IFERROR(LOOKUP(2,1/('DRAFT 2'!$D:$D=$B24),'DRAFT 2'!$R:$R),"")</f>
        <v/>
      </c>
      <c r="AV24" s="116">
        <f>IFERROR(LOOKUP(2,1/('DRAFT 2'!$D:$D=$B24),'DRAFT 2'!$S:$S),"")</f>
        <v/>
      </c>
      <c r="AW24" s="116" t="inlineStr">
        <is>
          <t>FIDELIZADO</t>
        </is>
      </c>
      <c r="AX24" s="116">
        <f>IFERROR(LOOKUP(2,1/('DRAFT 2'!$D:$D=$B24),'DRAFT 2'!$M:$M),"")</f>
        <v/>
      </c>
      <c r="AY24" s="116">
        <f>IFERROR(LOOKUP(2,1/('DRAFT 2'!$D:$D=$B24),'DRAFT 2'!$K:$K),"")</f>
        <v/>
      </c>
      <c r="BG24" s="116">
        <f>IFERROR(LOOKUP(2,1/('DRAFT 2'!$D:$D=$B24),'DRAFT 2'!$U:$U),"")</f>
        <v/>
      </c>
      <c r="BH24" s="116">
        <f>IFERROR(LOOKUP(2,1/('DRAFT 2'!$D:$D=$B24),'DRAFT 2'!$V:$V),"")</f>
        <v/>
      </c>
      <c r="CE24" s="116">
        <f>IFERROR(AJ24,0)</f>
        <v/>
      </c>
      <c r="CF24" s="116">
        <f>IFERROR(LOOKUP(2,1/('DRAFT 2'!$D:$D=$B24)*('DRAFT 2'!$A:$A&gt;=DATE(2026,1,1))*('DRAFT 2'!$A:$A&lt;DATE(2026,IF(1=12,1+1,1+1),1)),'DRAFT 2'!$A:$A),"")</f>
        <v/>
      </c>
      <c r="CG24" s="116">
        <f>COUNTIFS('DRAFT 2'!$D:$D,$B24,'DRAFT 2'!$A:$A,"&gt;="&amp;DATE(2026,1,1),'DRAFT 2'!$A:$A,"&lt;="&amp;DATE(2026,1,7))</f>
        <v/>
      </c>
      <c r="CH24" s="116">
        <f>COUNTIFS('DRAFT 2'!$D:$D,$B24,'DRAFT 2'!$A:$A,"&gt;="&amp;DATE(2026,1,8),'DRAFT 2'!$A:$A,"&lt;="&amp;DATE(2026,1,14))</f>
        <v/>
      </c>
      <c r="CI24" s="116">
        <f>COUNTIFS('DRAFT 2'!$D:$D,$B24,'DRAFT 2'!$A:$A,"&gt;="&amp;DATE(2026,1,15),'DRAFT 2'!$A:$A,"&lt;="&amp;DATE(2026,1,21))</f>
        <v/>
      </c>
      <c r="CJ24" s="116">
        <f>COUNTIFS('DRAFT 2'!$D:$D,$B24,'DRAFT 2'!$A:$A,"&gt;="&amp;DATE(2026,1,22),'DRAFT 2'!$A:$A,"&lt;"&amp;DATE(2026,IF(1=12,1+1,1+1),1))</f>
        <v/>
      </c>
      <c r="CK24" s="116">
        <f>SUM(CG24:CJ24)</f>
        <v/>
      </c>
      <c r="CT24" s="116" t="n">
        <v>0</v>
      </c>
      <c r="CU24" s="116">
        <f>IFERROR(LOOKUP(2,1/('DRAFT 2'!$D:$D=$B24)*('DRAFT 2'!$A:$A&gt;=DATE(2026,2,1))*('DRAFT 2'!$A:$A&lt;DATE(2026,IF(2=12,2+1,2+1),1)),'DRAFT 2'!$A:$A),"")</f>
        <v/>
      </c>
      <c r="CV24" s="116">
        <f>COUNTIFS('DRAFT 2'!$D:$D,$B24,'DRAFT 2'!$A:$A,"&gt;="&amp;DATE(2026,2,1),'DRAFT 2'!$A:$A,"&lt;="&amp;DATE(2026,2,7))</f>
        <v/>
      </c>
      <c r="CW24" s="116">
        <f>COUNTIFS('DRAFT 2'!$D:$D,$B24,'DRAFT 2'!$A:$A,"&gt;="&amp;DATE(2026,2,8),'DRAFT 2'!$A:$A,"&lt;="&amp;DATE(2026,2,14))</f>
        <v/>
      </c>
      <c r="CX24" s="116">
        <f>COUNTIFS('DRAFT 2'!$D:$D,$B24,'DRAFT 2'!$A:$A,"&gt;="&amp;DATE(2026,2,15),'DRAFT 2'!$A:$A,"&lt;="&amp;DATE(2026,2,21))</f>
        <v/>
      </c>
      <c r="CY24" s="116">
        <f>COUNTIFS('DRAFT 2'!$D:$D,$B24,'DRAFT 2'!$A:$A,"&gt;="&amp;DATE(2026,2,22),'DRAFT 2'!$A:$A,"&lt;"&amp;DATE(2026,IF(2=12,2+1,2+1),1))</f>
        <v/>
      </c>
      <c r="CZ24" s="116">
        <f>SUM(CV24:CY24)</f>
        <v/>
      </c>
      <c r="DJ24" s="116">
        <f>IFERROR(LOOKUP(2,1/('DRAFT 2'!$D:$D=$B24)*('DRAFT 2'!$A:$A&gt;=DATE(2026,3,1))*('DRAFT 2'!$A:$A&lt;DATE(2026,IF(3=12,3+1,3+1),1)),'DRAFT 2'!$A:$A),"")</f>
        <v/>
      </c>
      <c r="DK24" s="116">
        <f>COUNTIFS('DRAFT 2'!$D:$D,$B24,'DRAFT 2'!$A:$A,"&gt;="&amp;DATE(2026,3,1),'DRAFT 2'!$A:$A,"&lt;="&amp;DATE(2026,3,7))</f>
        <v/>
      </c>
      <c r="DL24" s="116">
        <f>COUNTIFS('DRAFT 2'!$D:$D,$B24,'DRAFT 2'!$A:$A,"&gt;="&amp;DATE(2026,3,8),'DRAFT 2'!$A:$A,"&lt;="&amp;DATE(2026,3,14))</f>
        <v/>
      </c>
      <c r="DM24" s="116">
        <f>COUNTIFS('DRAFT 2'!$D:$D,$B24,'DRAFT 2'!$A:$A,"&gt;="&amp;DATE(2026,3,15),'DRAFT 2'!$A:$A,"&lt;="&amp;DATE(2026,3,21))</f>
        <v/>
      </c>
      <c r="DN24" s="116">
        <f>COUNTIFS('DRAFT 2'!$D:$D,$B24,'DRAFT 2'!$A:$A,"&gt;="&amp;DATE(2026,3,22),'DRAFT 2'!$A:$A,"&lt;"&amp;DATE(2026,IF(3=12,3+1,3+1),1))</f>
        <v/>
      </c>
      <c r="DO24" s="116">
        <f>SUM(DK24:DN24)</f>
        <v/>
      </c>
      <c r="DZ24" s="116">
        <f>IFERROR(LOOKUP(2,1/('DRAFT 2'!$D:$D=$B24)*('DRAFT 2'!$A:$A&gt;=DATE(2026,4,1))*('DRAFT 2'!$A:$A&lt;DATE(2026,IF(4=12,4+1,4+1),1)),'DRAFT 2'!$A:$A),"")</f>
        <v/>
      </c>
      <c r="EA24" s="116">
        <f>COUNTIFS('DRAFT 2'!$D:$D,$B24,'DRAFT 2'!$A:$A,"&gt;="&amp;DATE(2026,4,1),'DRAFT 2'!$A:$A,"&lt;="&amp;DATE(2026,4,7))</f>
        <v/>
      </c>
      <c r="EB24" s="116">
        <f>COUNTIFS('DRAFT 2'!$D:$D,$B24,'DRAFT 2'!$A:$A,"&gt;="&amp;DATE(2026,4,8),'DRAFT 2'!$A:$A,"&lt;="&amp;DATE(2026,4,14))</f>
        <v/>
      </c>
      <c r="EC24" s="116">
        <f>COUNTIFS('DRAFT 2'!$D:$D,$B24,'DRAFT 2'!$A:$A,"&gt;="&amp;DATE(2026,4,15),'DRAFT 2'!$A:$A,"&lt;="&amp;DATE(2026,4,21))</f>
        <v/>
      </c>
      <c r="ED24" s="116">
        <f>COUNTIFS('DRAFT 2'!$D:$D,$B24,'DRAFT 2'!$A:$A,"&gt;="&amp;DATE(2026,4,22),'DRAFT 2'!$A:$A,"&lt;"&amp;DATE(2026,IF(4=12,4+1,4+1),1))</f>
        <v/>
      </c>
      <c r="EE24" s="116">
        <f>SUM(EA24:ED24)</f>
        <v/>
      </c>
      <c r="EO24" s="116">
        <f>IFERROR(LOOKUP(2,1/('DRAFT 2'!$D:$D=$B24)*('DRAFT 2'!$A:$A&gt;=DATE(2026,5,1))*('DRAFT 2'!$A:$A&lt;DATE(2026,IF(5=12,5+1,5+1),1)),'DRAFT 2'!$A:$A),"")</f>
        <v/>
      </c>
      <c r="EP24" s="116">
        <f>COUNTIFS('DRAFT 2'!$D:$D,$B24,'DRAFT 2'!$A:$A,"&gt;="&amp;DATE(2026,5,1),'DRAFT 2'!$A:$A,"&lt;="&amp;DATE(2026,5,7))</f>
        <v/>
      </c>
      <c r="EQ24" s="116">
        <f>COUNTIFS('DRAFT 2'!$D:$D,$B24,'DRAFT 2'!$A:$A,"&gt;="&amp;DATE(2026,5,8),'DRAFT 2'!$A:$A,"&lt;="&amp;DATE(2026,5,14))</f>
        <v/>
      </c>
      <c r="ER24" s="116">
        <f>COUNTIFS('DRAFT 2'!$D:$D,$B24,'DRAFT 2'!$A:$A,"&gt;="&amp;DATE(2026,5,15),'DRAFT 2'!$A:$A,"&lt;="&amp;DATE(2026,5,21))</f>
        <v/>
      </c>
      <c r="ES24" s="116">
        <f>COUNTIFS('DRAFT 2'!$D:$D,$B24,'DRAFT 2'!$A:$A,"&gt;="&amp;DATE(2026,5,22),'DRAFT 2'!$A:$A,"&lt;"&amp;DATE(2026,IF(5=12,5+1,5+1),1))</f>
        <v/>
      </c>
      <c r="ET24" s="116">
        <f>SUM(EP24:ES24)</f>
        <v/>
      </c>
      <c r="FD24" s="116">
        <f>IFERROR(LOOKUP(2,1/('DRAFT 2'!$D:$D=$B24)*('DRAFT 2'!$A:$A&gt;=DATE(2026,6,1))*('DRAFT 2'!$A:$A&lt;DATE(2026,IF(6=12,6+1,6+1),1)),'DRAFT 2'!$A:$A),"")</f>
        <v/>
      </c>
      <c r="FE24" s="116">
        <f>COUNTIFS('DRAFT 2'!$D:$D,$B24,'DRAFT 2'!$A:$A,"&gt;="&amp;DATE(2026,6,1),'DRAFT 2'!$A:$A,"&lt;="&amp;DATE(2026,6,7))</f>
        <v/>
      </c>
      <c r="FF24" s="116">
        <f>COUNTIFS('DRAFT 2'!$D:$D,$B24,'DRAFT 2'!$A:$A,"&gt;="&amp;DATE(2026,6,8),'DRAFT 2'!$A:$A,"&lt;="&amp;DATE(2026,6,14))</f>
        <v/>
      </c>
      <c r="FG24" s="116">
        <f>COUNTIFS('DRAFT 2'!$D:$D,$B24,'DRAFT 2'!$A:$A,"&gt;="&amp;DATE(2026,6,15),'DRAFT 2'!$A:$A,"&lt;="&amp;DATE(2026,6,21))</f>
        <v/>
      </c>
      <c r="FH24" s="116">
        <f>COUNTIFS('DRAFT 2'!$D:$D,$B24,'DRAFT 2'!$A:$A,"&gt;="&amp;DATE(2026,6,22),'DRAFT 2'!$A:$A,"&lt;"&amp;DATE(2026,IF(6=12,6+1,6+1),1))</f>
        <v/>
      </c>
      <c r="FI24" s="116">
        <f>SUM(FE24:FH24)</f>
        <v/>
      </c>
      <c r="FT24" s="116">
        <f>IFERROR(LOOKUP(2,1/('DRAFT 2'!$D:$D=$B24)*('DRAFT 2'!$A:$A&gt;=DATE(2026,7,1))*('DRAFT 2'!$A:$A&lt;DATE(2026,IF(7=12,7+1,7+1),1)),'DRAFT 2'!$A:$A),"")</f>
        <v/>
      </c>
      <c r="FU24" s="116">
        <f>COUNTIFS('DRAFT 2'!$D:$D,$B24,'DRAFT 2'!$A:$A,"&gt;="&amp;DATE(2026,7,1),'DRAFT 2'!$A:$A,"&lt;="&amp;DATE(2026,7,7))</f>
        <v/>
      </c>
      <c r="FV24" s="116">
        <f>COUNTIFS('DRAFT 2'!$D:$D,$B24,'DRAFT 2'!$A:$A,"&gt;="&amp;DATE(2026,7,8),'DRAFT 2'!$A:$A,"&lt;="&amp;DATE(2026,7,14))</f>
        <v/>
      </c>
      <c r="FW24" s="116">
        <f>COUNTIFS('DRAFT 2'!$D:$D,$B24,'DRAFT 2'!$A:$A,"&gt;="&amp;DATE(2026,7,15),'DRAFT 2'!$A:$A,"&lt;="&amp;DATE(2026,7,21))</f>
        <v/>
      </c>
      <c r="FX24" s="116">
        <f>COUNTIFS('DRAFT 2'!$D:$D,$B24,'DRAFT 2'!$A:$A,"&gt;="&amp;DATE(2026,7,22),'DRAFT 2'!$A:$A,"&lt;"&amp;DATE(2026,IF(7=12,7+1,7+1),1))</f>
        <v/>
      </c>
      <c r="FY24" s="116">
        <f>SUM(FU24:FX24)</f>
        <v/>
      </c>
      <c r="GI24" s="116">
        <f>IFERROR(LOOKUP(2,1/('DRAFT 2'!$D:$D=$B24)*('DRAFT 2'!$A:$A&gt;=DATE(2026,8,1))*('DRAFT 2'!$A:$A&lt;DATE(2026,IF(8=12,8+1,8+1),1)),'DRAFT 2'!$A:$A),"")</f>
        <v/>
      </c>
      <c r="GJ24" s="116">
        <f>COUNTIFS('DRAFT 2'!$D:$D,$B24,'DRAFT 2'!$A:$A,"&gt;="&amp;DATE(2026,8,1),'DRAFT 2'!$A:$A,"&lt;="&amp;DATE(2026,8,7))</f>
        <v/>
      </c>
      <c r="GK24" s="116">
        <f>COUNTIFS('DRAFT 2'!$D:$D,$B24,'DRAFT 2'!$A:$A,"&gt;="&amp;DATE(2026,8,8),'DRAFT 2'!$A:$A,"&lt;="&amp;DATE(2026,8,14))</f>
        <v/>
      </c>
      <c r="GL24" s="116">
        <f>COUNTIFS('DRAFT 2'!$D:$D,$B24,'DRAFT 2'!$A:$A,"&gt;="&amp;DATE(2026,8,15),'DRAFT 2'!$A:$A,"&lt;="&amp;DATE(2026,8,21))</f>
        <v/>
      </c>
      <c r="GM24" s="116">
        <f>COUNTIFS('DRAFT 2'!$D:$D,$B24,'DRAFT 2'!$A:$A,"&gt;="&amp;DATE(2026,8,22),'DRAFT 2'!$A:$A,"&lt;"&amp;DATE(2026,IF(8=12,8+1,8+1),1))</f>
        <v/>
      </c>
      <c r="GN24" s="116">
        <f>SUM(GJ24:GM24)</f>
        <v/>
      </c>
      <c r="GX24" s="116">
        <f>IFERROR(LOOKUP(2,1/('DRAFT 2'!$D:$D=$B24)*('DRAFT 2'!$A:$A&gt;=DATE(2026,9,1))*('DRAFT 2'!$A:$A&lt;DATE(2026,IF(9=12,9+1,9+1),1)),'DRAFT 2'!$A:$A),"")</f>
        <v/>
      </c>
      <c r="GY24" s="116">
        <f>COUNTIFS('DRAFT 2'!$D:$D,$B24,'DRAFT 2'!$A:$A,"&gt;="&amp;DATE(2026,9,1),'DRAFT 2'!$A:$A,"&lt;="&amp;DATE(2026,9,7))</f>
        <v/>
      </c>
      <c r="GZ24" s="116">
        <f>COUNTIFS('DRAFT 2'!$D:$D,$B24,'DRAFT 2'!$A:$A,"&gt;="&amp;DATE(2026,9,8),'DRAFT 2'!$A:$A,"&lt;="&amp;DATE(2026,9,14))</f>
        <v/>
      </c>
      <c r="HA24" s="116">
        <f>COUNTIFS('DRAFT 2'!$D:$D,$B24,'DRAFT 2'!$A:$A,"&gt;="&amp;DATE(2026,9,15),'DRAFT 2'!$A:$A,"&lt;="&amp;DATE(2026,9,21))</f>
        <v/>
      </c>
      <c r="HB24" s="116">
        <f>COUNTIFS('DRAFT 2'!$D:$D,$B24,'DRAFT 2'!$A:$A,"&gt;="&amp;DATE(2026,9,22),'DRAFT 2'!$A:$A,"&lt;"&amp;DATE(2026,IF(9=12,9+1,9+1),1))</f>
        <v/>
      </c>
      <c r="HC24" s="116">
        <f>SUM(GY24:HB24)</f>
        <v/>
      </c>
      <c r="HN24" s="116">
        <f>IFERROR(LOOKUP(2,1/('DRAFT 2'!$D:$D=$B24)*('DRAFT 2'!$A:$A&gt;=DATE(2026,10,1))*('DRAFT 2'!$A:$A&lt;DATE(2026,IF(10=12,10+1,10+1),1)),'DRAFT 2'!$A:$A),"")</f>
        <v/>
      </c>
      <c r="HO24" s="116">
        <f>COUNTIFS('DRAFT 2'!$D:$D,$B24,'DRAFT 2'!$A:$A,"&gt;="&amp;DATE(2026,10,1),'DRAFT 2'!$A:$A,"&lt;="&amp;DATE(2026,10,7))</f>
        <v/>
      </c>
      <c r="HP24" s="116">
        <f>COUNTIFS('DRAFT 2'!$D:$D,$B24,'DRAFT 2'!$A:$A,"&gt;="&amp;DATE(2026,10,8),'DRAFT 2'!$A:$A,"&lt;="&amp;DATE(2026,10,14))</f>
        <v/>
      </c>
      <c r="HQ24" s="116">
        <f>COUNTIFS('DRAFT 2'!$D:$D,$B24,'DRAFT 2'!$A:$A,"&gt;="&amp;DATE(2026,10,15),'DRAFT 2'!$A:$A,"&lt;="&amp;DATE(2026,10,21))</f>
        <v/>
      </c>
      <c r="HR24" s="116">
        <f>COUNTIFS('DRAFT 2'!$D:$D,$B24,'DRAFT 2'!$A:$A,"&gt;="&amp;DATE(2026,10,22),'DRAFT 2'!$A:$A,"&lt;"&amp;DATE(2026,IF(10=12,10+1,10+1),1))</f>
        <v/>
      </c>
      <c r="HS24" s="116">
        <f>SUM(HO24:HR24)</f>
        <v/>
      </c>
      <c r="IC24" s="116">
        <f>IFERROR(LOOKUP(2,1/('DRAFT 2'!$D:$D=$B24)*('DRAFT 2'!$A:$A&gt;=DATE(2026,11,1))*('DRAFT 2'!$A:$A&lt;DATE(2026,IF(11=12,11+1,11+1),1)),'DRAFT 2'!$A:$A),"")</f>
        <v/>
      </c>
      <c r="ID24" s="116">
        <f>COUNTIFS('DRAFT 2'!$D:$D,$B24,'DRAFT 2'!$A:$A,"&gt;="&amp;DATE(2026,11,1),'DRAFT 2'!$A:$A,"&lt;="&amp;DATE(2026,11,7))</f>
        <v/>
      </c>
      <c r="IE24" s="116">
        <f>COUNTIFS('DRAFT 2'!$D:$D,$B24,'DRAFT 2'!$A:$A,"&gt;="&amp;DATE(2026,11,8),'DRAFT 2'!$A:$A,"&lt;="&amp;DATE(2026,11,14))</f>
        <v/>
      </c>
      <c r="IF24" s="116">
        <f>COUNTIFS('DRAFT 2'!$D:$D,$B24,'DRAFT 2'!$A:$A,"&gt;="&amp;DATE(2026,11,15),'DRAFT 2'!$A:$A,"&lt;="&amp;DATE(2026,11,21))</f>
        <v/>
      </c>
      <c r="IG24" s="116">
        <f>COUNTIFS('DRAFT 2'!$D:$D,$B24,'DRAFT 2'!$A:$A,"&gt;="&amp;DATE(2026,11,22),'DRAFT 2'!$A:$A,"&lt;"&amp;DATE(2026,IF(11=12,11+1,11+1),1))</f>
        <v/>
      </c>
      <c r="IH24" s="116">
        <f>SUM(ID24:IG24)</f>
        <v/>
      </c>
      <c r="IR24" s="116">
        <f>IFERROR(LOOKUP(2,1/('DRAFT 2'!$D:$D=$B24)*('DRAFT 2'!$A:$A&gt;=DATE(2026,12,1))*('DRAFT 2'!$A:$A&lt;DATE(2026,IF(12=12,12+1,12+1),1)),'DRAFT 2'!$A:$A),"")</f>
        <v/>
      </c>
      <c r="IS24" s="116">
        <f>COUNTIFS('DRAFT 2'!$D:$D,$B24,'DRAFT 2'!$A:$A,"&gt;="&amp;DATE(2026,12,1),'DRAFT 2'!$A:$A,"&lt;="&amp;DATE(2026,12,7))</f>
        <v/>
      </c>
      <c r="IT24" s="116">
        <f>COUNTIFS('DRAFT 2'!$D:$D,$B24,'DRAFT 2'!$A:$A,"&gt;="&amp;DATE(2026,12,8),'DRAFT 2'!$A:$A,"&lt;="&amp;DATE(2026,12,14))</f>
        <v/>
      </c>
      <c r="IU24" s="116">
        <f>COUNTIFS('DRAFT 2'!$D:$D,$B24,'DRAFT 2'!$A:$A,"&gt;="&amp;DATE(2026,12,15),'DRAFT 2'!$A:$A,"&lt;="&amp;DATE(2026,12,21))</f>
        <v/>
      </c>
      <c r="IV24" s="116">
        <f>COUNTIFS('DRAFT 2'!$D:$D,$B24,'DRAFT 2'!$A:$A,"&gt;="&amp;DATE(2026,12,22),'DRAFT 2'!$A:$A,"&lt;"&amp;DATE(2026,IF(12=12,12+1,12+1),1))</f>
        <v/>
      </c>
      <c r="IW24" s="116">
        <f>SUM(IS24:IV24)</f>
        <v/>
      </c>
    </row>
    <row r="25">
      <c r="A25" s="116">
        <f>IFERROR(INDEX('DRAFT 1'!$A:$A,MATCH($B25,'DRAFT 1'!$B:$B,0)),"")</f>
        <v/>
      </c>
      <c r="C25" s="116">
        <f>IFERROR(INDEX('DRAFT 1'!$C:$C,MATCH($B25,'DRAFT 1'!$B:$B,0)),"")</f>
        <v/>
      </c>
      <c r="D25" s="116">
        <f>IFERROR(INDEX('DRAFT 1'!$D:$D,MATCH($B25,'DRAFT 1'!$B:$B,0)),"")</f>
        <v/>
      </c>
      <c r="E25" s="116">
        <f>IFERROR(INDEX('DRAFT 1'!$E:$E,MATCH($B25,'DRAFT 1'!$B:$B,0)),"")</f>
        <v/>
      </c>
      <c r="F25" s="116">
        <f>IFERROR(INDEX('DRAFT 1'!$F:$F,MATCH($B25,'DRAFT 1'!$B:$B,0)),"")</f>
        <v/>
      </c>
      <c r="G25" s="116">
        <f>IFERROR(INDEX('DRAFT 1'!$G:$G,MATCH($B25,'DRAFT 1'!$B:$B,0)),"")</f>
        <v/>
      </c>
      <c r="H25" s="116">
        <f>IFERROR(INDEX('DRAFT 1'!$H:$H,MATCH($B25,'DRAFT 1'!$B:$B,0)),"")</f>
        <v/>
      </c>
      <c r="I25" s="116" t="inlineStr">
        <is>
          <t>DIVINA TERRA</t>
        </is>
      </c>
      <c r="K25" s="116">
        <f>IFERROR(INDEX('DRAFT 1'!$AL:$AL,MATCH($B25,'DRAFT 1'!$B:$B,0)),"")</f>
        <v/>
      </c>
      <c r="L25" s="116">
        <f>IFERROR(INDEX('DRAFT 1'!$J:$J,MATCH($B25,'DRAFT 1'!$B:$B,0)),"")</f>
        <v/>
      </c>
      <c r="M25" s="116">
        <f>IFERROR(INDEX('DRAFT 1'!$K:$K,MATCH($B25,'DRAFT 1'!$B:$B,0)),"")</f>
        <v/>
      </c>
      <c r="N25" s="116" t="inlineStr">
        <is>
          <t>ATIVO</t>
        </is>
      </c>
      <c r="P25" s="116">
        <f>IFERROR(INDEX('DRAFT 1'!$L:$L,MATCH($B25,'DRAFT 1'!$B:$B,0)),"")</f>
        <v/>
      </c>
      <c r="Q25" s="116">
        <f>IFERROR(INDEX('DRAFT 1'!$M:$M,MATCH($B25,'DRAFT 1'!$B:$B,0)),"")</f>
        <v/>
      </c>
      <c r="R25" s="116">
        <f>IFERROR(INDEX('DRAFT 1'!$N:$N,MATCH($B25,'DRAFT 1'!$B:$B,0)),"")</f>
        <v/>
      </c>
      <c r="S25" s="116">
        <f>IFERROR(INDEX('DRAFT 1'!$O:$O,MATCH($B25,'DRAFT 1'!$B:$B,0)),"")</f>
        <v/>
      </c>
      <c r="T25" s="116">
        <f>IFERROR(INDEX('DRAFT 1'!$P:$P,MATCH($B25,'DRAFT 1'!$B:$B,0)),"")</f>
        <v/>
      </c>
      <c r="U25" s="116">
        <f>IFERROR(INDEX('DRAFT 1'!$Q:$Q,MATCH($B25,'DRAFT 1'!$B:$B,0)),"")</f>
        <v/>
      </c>
      <c r="V25" s="116">
        <f>IFERROR(INDEX('DRAFT 1'!$R:$R,MATCH($B25,'DRAFT 1'!$B:$B,0)),"")</f>
        <v/>
      </c>
      <c r="W25" s="116">
        <f>IFERROR(INDEX('DRAFT 1'!$S:$S,MATCH($B25,'DRAFT 1'!$B:$B,0)),"")</f>
        <v/>
      </c>
      <c r="X25" s="116">
        <f>IFERROR(INDEX('DRAFT 1'!$T:$T,MATCH($B25,'DRAFT 1'!$B:$B,0)),"")</f>
        <v/>
      </c>
      <c r="Z25" s="116">
        <f>IFERROR(INDEX('DRAFT 1'!$U:$U,MATCH($B25,'DRAFT 1'!$B:$B,0)),"")</f>
        <v/>
      </c>
      <c r="AA25" s="116">
        <f>IFERROR(INDEX('DRAFT 1'!$V:$V,MATCH($B25,'DRAFT 1'!$B:$B,0)),"")</f>
        <v/>
      </c>
      <c r="AB25" s="116">
        <f>IFERROR(INDEX('DRAFT 1'!$W:$W,MATCH($B25,'DRAFT 1'!$B:$B,0)),"")</f>
        <v/>
      </c>
      <c r="AC25" s="116">
        <f>IFERROR(INDEX('DRAFT 1'!$X:$X,MATCH($B25,'DRAFT 1'!$B:$B,0)),"")</f>
        <v/>
      </c>
      <c r="AD25" s="116">
        <f>IFERROR(INDEX('DRAFT 1'!$Y:$Y,MATCH($B25,'DRAFT 1'!$B:$B,0)),"")</f>
        <v/>
      </c>
      <c r="AE25" s="116">
        <f>IFERROR(INDEX('DRAFT 1'!$Z:$Z,MATCH($B25,'DRAFT 1'!$B:$B,0)),"")</f>
        <v/>
      </c>
      <c r="AF25" s="116">
        <f>IFERROR(INDEX('DRAFT 1'!$AA:$AA,MATCH($B25,'DRAFT 1'!$B:$B,0)),"")</f>
        <v/>
      </c>
      <c r="AG25" s="116">
        <f>IFERROR(INDEX('DRAFT 1'!$AB:$AB,MATCH($B25,'DRAFT 1'!$B:$B,0)),"")</f>
        <v/>
      </c>
      <c r="AH25" s="116">
        <f>IFERROR(INDEX('DRAFT 1'!$AC:$AC,MATCH($B25,'DRAFT 1'!$B:$B,0)),"")</f>
        <v/>
      </c>
      <c r="AI25" s="116">
        <f>IFERROR(INDEX('DRAFT 1'!$AD:$AD,MATCH($B25,'DRAFT 1'!$B:$B,0)),"")</f>
        <v/>
      </c>
      <c r="AJ25" s="116">
        <f>IFERROR(INDEX('DRAFT 1'!$AE:$AE,MATCH($B25,'DRAFT 1'!$B:$B,0)),"")</f>
        <v/>
      </c>
      <c r="AK25" s="116">
        <f>IFERROR(INDEX('DRAFT 1'!$AG:$AG,MATCH($B25,'DRAFT 1'!$B:$B,0)),"")</f>
        <v/>
      </c>
      <c r="AL25" s="116">
        <f>IFERROR(INDEX('DRAFT 1'!$AH:$AH,MATCH($B25,'DRAFT 1'!$B:$B,0)),"")</f>
        <v/>
      </c>
      <c r="AM25" s="116">
        <f>IFERROR(INDEX('DRAFT 1'!$AI:$AI,MATCH($B25,'DRAFT 1'!$B:$B,0)),"")</f>
        <v/>
      </c>
      <c r="AN25" s="116">
        <f>IFERROR(INDEX('DRAFT 1'!$AJ:$AJ,MATCH($B25,'DRAFT 1'!$B:$B,0)),"")</f>
        <v/>
      </c>
      <c r="AO25" s="116">
        <f>IFERROR(Y25/AN25,0)</f>
        <v/>
      </c>
      <c r="AP25" s="116">
        <f>IFERROR(INDEX('DRAFT 1'!$AK:$AK,MATCH($B25,'DRAFT 1'!$B:$B,0)),"")</f>
        <v/>
      </c>
      <c r="AR25" s="116" t="inlineStr">
        <is>
          <t>RECUPERAÇÃO</t>
        </is>
      </c>
      <c r="AS25" s="116">
        <f>IFERROR(LOOKUP(2,1/('DRAFT 2'!$D:$D=$B25),'DRAFT 2'!$T:$T),"")</f>
        <v/>
      </c>
      <c r="AT25" s="116">
        <f>IFERROR(LOOKUP(2,1/('DRAFT 2'!$D:$D=$B25),'DRAFT 2'!$A:$A),"")</f>
        <v/>
      </c>
      <c r="AU25" s="116">
        <f>IFERROR(LOOKUP(2,1/('DRAFT 2'!$D:$D=$B25),'DRAFT 2'!$R:$R),"")</f>
        <v/>
      </c>
      <c r="AV25" s="116">
        <f>IFERROR(LOOKUP(2,1/('DRAFT 2'!$D:$D=$B25),'DRAFT 2'!$S:$S),"")</f>
        <v/>
      </c>
      <c r="AW25" s="116" t="inlineStr">
        <is>
          <t>EM DESENVOLVIMENTO</t>
        </is>
      </c>
      <c r="AX25" s="116">
        <f>IFERROR(LOOKUP(2,1/('DRAFT 2'!$D:$D=$B25),'DRAFT 2'!$M:$M),"")</f>
        <v/>
      </c>
      <c r="AY25" s="116">
        <f>IFERROR(LOOKUP(2,1/('DRAFT 2'!$D:$D=$B25),'DRAFT 2'!$K:$K),"")</f>
        <v/>
      </c>
      <c r="BG25" s="116">
        <f>IFERROR(LOOKUP(2,1/('DRAFT 2'!$D:$D=$B25),'DRAFT 2'!$U:$U),"")</f>
        <v/>
      </c>
      <c r="BH25" s="116">
        <f>IFERROR(LOOKUP(2,1/('DRAFT 2'!$D:$D=$B25),'DRAFT 2'!$V:$V),"")</f>
        <v/>
      </c>
      <c r="CE25" s="116">
        <f>IFERROR(AJ25,0)</f>
        <v/>
      </c>
      <c r="CF25" s="116">
        <f>IFERROR(LOOKUP(2,1/('DRAFT 2'!$D:$D=$B25)*('DRAFT 2'!$A:$A&gt;=DATE(2026,1,1))*('DRAFT 2'!$A:$A&lt;DATE(2026,IF(1=12,1+1,1+1),1)),'DRAFT 2'!$A:$A),"")</f>
        <v/>
      </c>
      <c r="CG25" s="116">
        <f>COUNTIFS('DRAFT 2'!$D:$D,$B25,'DRAFT 2'!$A:$A,"&gt;="&amp;DATE(2026,1,1),'DRAFT 2'!$A:$A,"&lt;="&amp;DATE(2026,1,7))</f>
        <v/>
      </c>
      <c r="CH25" s="116">
        <f>COUNTIFS('DRAFT 2'!$D:$D,$B25,'DRAFT 2'!$A:$A,"&gt;="&amp;DATE(2026,1,8),'DRAFT 2'!$A:$A,"&lt;="&amp;DATE(2026,1,14))</f>
        <v/>
      </c>
      <c r="CI25" s="116">
        <f>COUNTIFS('DRAFT 2'!$D:$D,$B25,'DRAFT 2'!$A:$A,"&gt;="&amp;DATE(2026,1,15),'DRAFT 2'!$A:$A,"&lt;="&amp;DATE(2026,1,21))</f>
        <v/>
      </c>
      <c r="CJ25" s="116">
        <f>COUNTIFS('DRAFT 2'!$D:$D,$B25,'DRAFT 2'!$A:$A,"&gt;="&amp;DATE(2026,1,22),'DRAFT 2'!$A:$A,"&lt;"&amp;DATE(2026,IF(1=12,1+1,1+1),1))</f>
        <v/>
      </c>
      <c r="CK25" s="116">
        <f>SUM(CG25:CJ25)</f>
        <v/>
      </c>
      <c r="CT25" s="116" t="n">
        <v>0</v>
      </c>
      <c r="CU25" s="116">
        <f>IFERROR(LOOKUP(2,1/('DRAFT 2'!$D:$D=$B25)*('DRAFT 2'!$A:$A&gt;=DATE(2026,2,1))*('DRAFT 2'!$A:$A&lt;DATE(2026,IF(2=12,2+1,2+1),1)),'DRAFT 2'!$A:$A),"")</f>
        <v/>
      </c>
      <c r="CV25" s="116">
        <f>COUNTIFS('DRAFT 2'!$D:$D,$B25,'DRAFT 2'!$A:$A,"&gt;="&amp;DATE(2026,2,1),'DRAFT 2'!$A:$A,"&lt;="&amp;DATE(2026,2,7))</f>
        <v/>
      </c>
      <c r="CW25" s="116">
        <f>COUNTIFS('DRAFT 2'!$D:$D,$B25,'DRAFT 2'!$A:$A,"&gt;="&amp;DATE(2026,2,8),'DRAFT 2'!$A:$A,"&lt;="&amp;DATE(2026,2,14))</f>
        <v/>
      </c>
      <c r="CX25" s="116">
        <f>COUNTIFS('DRAFT 2'!$D:$D,$B25,'DRAFT 2'!$A:$A,"&gt;="&amp;DATE(2026,2,15),'DRAFT 2'!$A:$A,"&lt;="&amp;DATE(2026,2,21))</f>
        <v/>
      </c>
      <c r="CY25" s="116">
        <f>COUNTIFS('DRAFT 2'!$D:$D,$B25,'DRAFT 2'!$A:$A,"&gt;="&amp;DATE(2026,2,22),'DRAFT 2'!$A:$A,"&lt;"&amp;DATE(2026,IF(2=12,2+1,2+1),1))</f>
        <v/>
      </c>
      <c r="CZ25" s="116">
        <f>SUM(CV25:CY25)</f>
        <v/>
      </c>
      <c r="DJ25" s="116">
        <f>IFERROR(LOOKUP(2,1/('DRAFT 2'!$D:$D=$B25)*('DRAFT 2'!$A:$A&gt;=DATE(2026,3,1))*('DRAFT 2'!$A:$A&lt;DATE(2026,IF(3=12,3+1,3+1),1)),'DRAFT 2'!$A:$A),"")</f>
        <v/>
      </c>
      <c r="DK25" s="116">
        <f>COUNTIFS('DRAFT 2'!$D:$D,$B25,'DRAFT 2'!$A:$A,"&gt;="&amp;DATE(2026,3,1),'DRAFT 2'!$A:$A,"&lt;="&amp;DATE(2026,3,7))</f>
        <v/>
      </c>
      <c r="DL25" s="116">
        <f>COUNTIFS('DRAFT 2'!$D:$D,$B25,'DRAFT 2'!$A:$A,"&gt;="&amp;DATE(2026,3,8),'DRAFT 2'!$A:$A,"&lt;="&amp;DATE(2026,3,14))</f>
        <v/>
      </c>
      <c r="DM25" s="116">
        <f>COUNTIFS('DRAFT 2'!$D:$D,$B25,'DRAFT 2'!$A:$A,"&gt;="&amp;DATE(2026,3,15),'DRAFT 2'!$A:$A,"&lt;="&amp;DATE(2026,3,21))</f>
        <v/>
      </c>
      <c r="DN25" s="116">
        <f>COUNTIFS('DRAFT 2'!$D:$D,$B25,'DRAFT 2'!$A:$A,"&gt;="&amp;DATE(2026,3,22),'DRAFT 2'!$A:$A,"&lt;"&amp;DATE(2026,IF(3=12,3+1,3+1),1))</f>
        <v/>
      </c>
      <c r="DO25" s="116">
        <f>SUM(DK25:DN25)</f>
        <v/>
      </c>
      <c r="DZ25" s="116">
        <f>IFERROR(LOOKUP(2,1/('DRAFT 2'!$D:$D=$B25)*('DRAFT 2'!$A:$A&gt;=DATE(2026,4,1))*('DRAFT 2'!$A:$A&lt;DATE(2026,IF(4=12,4+1,4+1),1)),'DRAFT 2'!$A:$A),"")</f>
        <v/>
      </c>
      <c r="EA25" s="116">
        <f>COUNTIFS('DRAFT 2'!$D:$D,$B25,'DRAFT 2'!$A:$A,"&gt;="&amp;DATE(2026,4,1),'DRAFT 2'!$A:$A,"&lt;="&amp;DATE(2026,4,7))</f>
        <v/>
      </c>
      <c r="EB25" s="116">
        <f>COUNTIFS('DRAFT 2'!$D:$D,$B25,'DRAFT 2'!$A:$A,"&gt;="&amp;DATE(2026,4,8),'DRAFT 2'!$A:$A,"&lt;="&amp;DATE(2026,4,14))</f>
        <v/>
      </c>
      <c r="EC25" s="116">
        <f>COUNTIFS('DRAFT 2'!$D:$D,$B25,'DRAFT 2'!$A:$A,"&gt;="&amp;DATE(2026,4,15),'DRAFT 2'!$A:$A,"&lt;="&amp;DATE(2026,4,21))</f>
        <v/>
      </c>
      <c r="ED25" s="116">
        <f>COUNTIFS('DRAFT 2'!$D:$D,$B25,'DRAFT 2'!$A:$A,"&gt;="&amp;DATE(2026,4,22),'DRAFT 2'!$A:$A,"&lt;"&amp;DATE(2026,IF(4=12,4+1,4+1),1))</f>
        <v/>
      </c>
      <c r="EE25" s="116">
        <f>SUM(EA25:ED25)</f>
        <v/>
      </c>
      <c r="EO25" s="116">
        <f>IFERROR(LOOKUP(2,1/('DRAFT 2'!$D:$D=$B25)*('DRAFT 2'!$A:$A&gt;=DATE(2026,5,1))*('DRAFT 2'!$A:$A&lt;DATE(2026,IF(5=12,5+1,5+1),1)),'DRAFT 2'!$A:$A),"")</f>
        <v/>
      </c>
      <c r="EP25" s="116">
        <f>COUNTIFS('DRAFT 2'!$D:$D,$B25,'DRAFT 2'!$A:$A,"&gt;="&amp;DATE(2026,5,1),'DRAFT 2'!$A:$A,"&lt;="&amp;DATE(2026,5,7))</f>
        <v/>
      </c>
      <c r="EQ25" s="116">
        <f>COUNTIFS('DRAFT 2'!$D:$D,$B25,'DRAFT 2'!$A:$A,"&gt;="&amp;DATE(2026,5,8),'DRAFT 2'!$A:$A,"&lt;="&amp;DATE(2026,5,14))</f>
        <v/>
      </c>
      <c r="ER25" s="116">
        <f>COUNTIFS('DRAFT 2'!$D:$D,$B25,'DRAFT 2'!$A:$A,"&gt;="&amp;DATE(2026,5,15),'DRAFT 2'!$A:$A,"&lt;="&amp;DATE(2026,5,21))</f>
        <v/>
      </c>
      <c r="ES25" s="116">
        <f>COUNTIFS('DRAFT 2'!$D:$D,$B25,'DRAFT 2'!$A:$A,"&gt;="&amp;DATE(2026,5,22),'DRAFT 2'!$A:$A,"&lt;"&amp;DATE(2026,IF(5=12,5+1,5+1),1))</f>
        <v/>
      </c>
      <c r="ET25" s="116">
        <f>SUM(EP25:ES25)</f>
        <v/>
      </c>
      <c r="FD25" s="116">
        <f>IFERROR(LOOKUP(2,1/('DRAFT 2'!$D:$D=$B25)*('DRAFT 2'!$A:$A&gt;=DATE(2026,6,1))*('DRAFT 2'!$A:$A&lt;DATE(2026,IF(6=12,6+1,6+1),1)),'DRAFT 2'!$A:$A),"")</f>
        <v/>
      </c>
      <c r="FE25" s="116">
        <f>COUNTIFS('DRAFT 2'!$D:$D,$B25,'DRAFT 2'!$A:$A,"&gt;="&amp;DATE(2026,6,1),'DRAFT 2'!$A:$A,"&lt;="&amp;DATE(2026,6,7))</f>
        <v/>
      </c>
      <c r="FF25" s="116">
        <f>COUNTIFS('DRAFT 2'!$D:$D,$B25,'DRAFT 2'!$A:$A,"&gt;="&amp;DATE(2026,6,8),'DRAFT 2'!$A:$A,"&lt;="&amp;DATE(2026,6,14))</f>
        <v/>
      </c>
      <c r="FG25" s="116">
        <f>COUNTIFS('DRAFT 2'!$D:$D,$B25,'DRAFT 2'!$A:$A,"&gt;="&amp;DATE(2026,6,15),'DRAFT 2'!$A:$A,"&lt;="&amp;DATE(2026,6,21))</f>
        <v/>
      </c>
      <c r="FH25" s="116">
        <f>COUNTIFS('DRAFT 2'!$D:$D,$B25,'DRAFT 2'!$A:$A,"&gt;="&amp;DATE(2026,6,22),'DRAFT 2'!$A:$A,"&lt;"&amp;DATE(2026,IF(6=12,6+1,6+1),1))</f>
        <v/>
      </c>
      <c r="FI25" s="116">
        <f>SUM(FE25:FH25)</f>
        <v/>
      </c>
      <c r="FT25" s="116">
        <f>IFERROR(LOOKUP(2,1/('DRAFT 2'!$D:$D=$B25)*('DRAFT 2'!$A:$A&gt;=DATE(2026,7,1))*('DRAFT 2'!$A:$A&lt;DATE(2026,IF(7=12,7+1,7+1),1)),'DRAFT 2'!$A:$A),"")</f>
        <v/>
      </c>
      <c r="FU25" s="116">
        <f>COUNTIFS('DRAFT 2'!$D:$D,$B25,'DRAFT 2'!$A:$A,"&gt;="&amp;DATE(2026,7,1),'DRAFT 2'!$A:$A,"&lt;="&amp;DATE(2026,7,7))</f>
        <v/>
      </c>
      <c r="FV25" s="116">
        <f>COUNTIFS('DRAFT 2'!$D:$D,$B25,'DRAFT 2'!$A:$A,"&gt;="&amp;DATE(2026,7,8),'DRAFT 2'!$A:$A,"&lt;="&amp;DATE(2026,7,14))</f>
        <v/>
      </c>
      <c r="FW25" s="116">
        <f>COUNTIFS('DRAFT 2'!$D:$D,$B25,'DRAFT 2'!$A:$A,"&gt;="&amp;DATE(2026,7,15),'DRAFT 2'!$A:$A,"&lt;="&amp;DATE(2026,7,21))</f>
        <v/>
      </c>
      <c r="FX25" s="116">
        <f>COUNTIFS('DRAFT 2'!$D:$D,$B25,'DRAFT 2'!$A:$A,"&gt;="&amp;DATE(2026,7,22),'DRAFT 2'!$A:$A,"&lt;"&amp;DATE(2026,IF(7=12,7+1,7+1),1))</f>
        <v/>
      </c>
      <c r="FY25" s="116">
        <f>SUM(FU25:FX25)</f>
        <v/>
      </c>
      <c r="GI25" s="116">
        <f>IFERROR(LOOKUP(2,1/('DRAFT 2'!$D:$D=$B25)*('DRAFT 2'!$A:$A&gt;=DATE(2026,8,1))*('DRAFT 2'!$A:$A&lt;DATE(2026,IF(8=12,8+1,8+1),1)),'DRAFT 2'!$A:$A),"")</f>
        <v/>
      </c>
      <c r="GJ25" s="116">
        <f>COUNTIFS('DRAFT 2'!$D:$D,$B25,'DRAFT 2'!$A:$A,"&gt;="&amp;DATE(2026,8,1),'DRAFT 2'!$A:$A,"&lt;="&amp;DATE(2026,8,7))</f>
        <v/>
      </c>
      <c r="GK25" s="116">
        <f>COUNTIFS('DRAFT 2'!$D:$D,$B25,'DRAFT 2'!$A:$A,"&gt;="&amp;DATE(2026,8,8),'DRAFT 2'!$A:$A,"&lt;="&amp;DATE(2026,8,14))</f>
        <v/>
      </c>
      <c r="GL25" s="116">
        <f>COUNTIFS('DRAFT 2'!$D:$D,$B25,'DRAFT 2'!$A:$A,"&gt;="&amp;DATE(2026,8,15),'DRAFT 2'!$A:$A,"&lt;="&amp;DATE(2026,8,21))</f>
        <v/>
      </c>
      <c r="GM25" s="116">
        <f>COUNTIFS('DRAFT 2'!$D:$D,$B25,'DRAFT 2'!$A:$A,"&gt;="&amp;DATE(2026,8,22),'DRAFT 2'!$A:$A,"&lt;"&amp;DATE(2026,IF(8=12,8+1,8+1),1))</f>
        <v/>
      </c>
      <c r="GN25" s="116">
        <f>SUM(GJ25:GM25)</f>
        <v/>
      </c>
      <c r="GX25" s="116">
        <f>IFERROR(LOOKUP(2,1/('DRAFT 2'!$D:$D=$B25)*('DRAFT 2'!$A:$A&gt;=DATE(2026,9,1))*('DRAFT 2'!$A:$A&lt;DATE(2026,IF(9=12,9+1,9+1),1)),'DRAFT 2'!$A:$A),"")</f>
        <v/>
      </c>
      <c r="GY25" s="116">
        <f>COUNTIFS('DRAFT 2'!$D:$D,$B25,'DRAFT 2'!$A:$A,"&gt;="&amp;DATE(2026,9,1),'DRAFT 2'!$A:$A,"&lt;="&amp;DATE(2026,9,7))</f>
        <v/>
      </c>
      <c r="GZ25" s="116">
        <f>COUNTIFS('DRAFT 2'!$D:$D,$B25,'DRAFT 2'!$A:$A,"&gt;="&amp;DATE(2026,9,8),'DRAFT 2'!$A:$A,"&lt;="&amp;DATE(2026,9,14))</f>
        <v/>
      </c>
      <c r="HA25" s="116">
        <f>COUNTIFS('DRAFT 2'!$D:$D,$B25,'DRAFT 2'!$A:$A,"&gt;="&amp;DATE(2026,9,15),'DRAFT 2'!$A:$A,"&lt;="&amp;DATE(2026,9,21))</f>
        <v/>
      </c>
      <c r="HB25" s="116">
        <f>COUNTIFS('DRAFT 2'!$D:$D,$B25,'DRAFT 2'!$A:$A,"&gt;="&amp;DATE(2026,9,22),'DRAFT 2'!$A:$A,"&lt;"&amp;DATE(2026,IF(9=12,9+1,9+1),1))</f>
        <v/>
      </c>
      <c r="HC25" s="116">
        <f>SUM(GY25:HB25)</f>
        <v/>
      </c>
      <c r="HN25" s="116">
        <f>IFERROR(LOOKUP(2,1/('DRAFT 2'!$D:$D=$B25)*('DRAFT 2'!$A:$A&gt;=DATE(2026,10,1))*('DRAFT 2'!$A:$A&lt;DATE(2026,IF(10=12,10+1,10+1),1)),'DRAFT 2'!$A:$A),"")</f>
        <v/>
      </c>
      <c r="HO25" s="116">
        <f>COUNTIFS('DRAFT 2'!$D:$D,$B25,'DRAFT 2'!$A:$A,"&gt;="&amp;DATE(2026,10,1),'DRAFT 2'!$A:$A,"&lt;="&amp;DATE(2026,10,7))</f>
        <v/>
      </c>
      <c r="HP25" s="116">
        <f>COUNTIFS('DRAFT 2'!$D:$D,$B25,'DRAFT 2'!$A:$A,"&gt;="&amp;DATE(2026,10,8),'DRAFT 2'!$A:$A,"&lt;="&amp;DATE(2026,10,14))</f>
        <v/>
      </c>
      <c r="HQ25" s="116">
        <f>COUNTIFS('DRAFT 2'!$D:$D,$B25,'DRAFT 2'!$A:$A,"&gt;="&amp;DATE(2026,10,15),'DRAFT 2'!$A:$A,"&lt;="&amp;DATE(2026,10,21))</f>
        <v/>
      </c>
      <c r="HR25" s="116">
        <f>COUNTIFS('DRAFT 2'!$D:$D,$B25,'DRAFT 2'!$A:$A,"&gt;="&amp;DATE(2026,10,22),'DRAFT 2'!$A:$A,"&lt;"&amp;DATE(2026,IF(10=12,10+1,10+1),1))</f>
        <v/>
      </c>
      <c r="HS25" s="116">
        <f>SUM(HO25:HR25)</f>
        <v/>
      </c>
      <c r="IC25" s="116">
        <f>IFERROR(LOOKUP(2,1/('DRAFT 2'!$D:$D=$B25)*('DRAFT 2'!$A:$A&gt;=DATE(2026,11,1))*('DRAFT 2'!$A:$A&lt;DATE(2026,IF(11=12,11+1,11+1),1)),'DRAFT 2'!$A:$A),"")</f>
        <v/>
      </c>
      <c r="ID25" s="116">
        <f>COUNTIFS('DRAFT 2'!$D:$D,$B25,'DRAFT 2'!$A:$A,"&gt;="&amp;DATE(2026,11,1),'DRAFT 2'!$A:$A,"&lt;="&amp;DATE(2026,11,7))</f>
        <v/>
      </c>
      <c r="IE25" s="116">
        <f>COUNTIFS('DRAFT 2'!$D:$D,$B25,'DRAFT 2'!$A:$A,"&gt;="&amp;DATE(2026,11,8),'DRAFT 2'!$A:$A,"&lt;="&amp;DATE(2026,11,14))</f>
        <v/>
      </c>
      <c r="IF25" s="116">
        <f>COUNTIFS('DRAFT 2'!$D:$D,$B25,'DRAFT 2'!$A:$A,"&gt;="&amp;DATE(2026,11,15),'DRAFT 2'!$A:$A,"&lt;="&amp;DATE(2026,11,21))</f>
        <v/>
      </c>
      <c r="IG25" s="116">
        <f>COUNTIFS('DRAFT 2'!$D:$D,$B25,'DRAFT 2'!$A:$A,"&gt;="&amp;DATE(2026,11,22),'DRAFT 2'!$A:$A,"&lt;"&amp;DATE(2026,IF(11=12,11+1,11+1),1))</f>
        <v/>
      </c>
      <c r="IH25" s="116">
        <f>SUM(ID25:IG25)</f>
        <v/>
      </c>
      <c r="IR25" s="116">
        <f>IFERROR(LOOKUP(2,1/('DRAFT 2'!$D:$D=$B25)*('DRAFT 2'!$A:$A&gt;=DATE(2026,12,1))*('DRAFT 2'!$A:$A&lt;DATE(2026,IF(12=12,12+1,12+1),1)),'DRAFT 2'!$A:$A),"")</f>
        <v/>
      </c>
      <c r="IS25" s="116">
        <f>COUNTIFS('DRAFT 2'!$D:$D,$B25,'DRAFT 2'!$A:$A,"&gt;="&amp;DATE(2026,12,1),'DRAFT 2'!$A:$A,"&lt;="&amp;DATE(2026,12,7))</f>
        <v/>
      </c>
      <c r="IT25" s="116">
        <f>COUNTIFS('DRAFT 2'!$D:$D,$B25,'DRAFT 2'!$A:$A,"&gt;="&amp;DATE(2026,12,8),'DRAFT 2'!$A:$A,"&lt;="&amp;DATE(2026,12,14))</f>
        <v/>
      </c>
      <c r="IU25" s="116">
        <f>COUNTIFS('DRAFT 2'!$D:$D,$B25,'DRAFT 2'!$A:$A,"&gt;="&amp;DATE(2026,12,15),'DRAFT 2'!$A:$A,"&lt;="&amp;DATE(2026,12,21))</f>
        <v/>
      </c>
      <c r="IV25" s="116">
        <f>COUNTIFS('DRAFT 2'!$D:$D,$B25,'DRAFT 2'!$A:$A,"&gt;="&amp;DATE(2026,12,22),'DRAFT 2'!$A:$A,"&lt;"&amp;DATE(2026,IF(12=12,12+1,12+1),1))</f>
        <v/>
      </c>
      <c r="IW25" s="116">
        <f>SUM(IS25:IV25)</f>
        <v/>
      </c>
    </row>
    <row r="26">
      <c r="A26" s="116">
        <f>IFERROR(INDEX('DRAFT 1'!$A:$A,MATCH($B26,'DRAFT 1'!$B:$B,0)),"")</f>
        <v/>
      </c>
      <c r="C26" s="116">
        <f>IFERROR(INDEX('DRAFT 1'!$C:$C,MATCH($B26,'DRAFT 1'!$B:$B,0)),"")</f>
        <v/>
      </c>
      <c r="D26" s="116">
        <f>IFERROR(INDEX('DRAFT 1'!$D:$D,MATCH($B26,'DRAFT 1'!$B:$B,0)),"")</f>
        <v/>
      </c>
      <c r="E26" s="116">
        <f>IFERROR(INDEX('DRAFT 1'!$E:$E,MATCH($B26,'DRAFT 1'!$B:$B,0)),"")</f>
        <v/>
      </c>
      <c r="F26" s="116">
        <f>IFERROR(INDEX('DRAFT 1'!$F:$F,MATCH($B26,'DRAFT 1'!$B:$B,0)),"")</f>
        <v/>
      </c>
      <c r="G26" s="116">
        <f>IFERROR(INDEX('DRAFT 1'!$G:$G,MATCH($B26,'DRAFT 1'!$B:$B,0)),"")</f>
        <v/>
      </c>
      <c r="H26" s="116">
        <f>IFERROR(INDEX('DRAFT 1'!$H:$H,MATCH($B26,'DRAFT 1'!$B:$B,0)),"")</f>
        <v/>
      </c>
      <c r="I26" s="116" t="inlineStr">
        <is>
          <t>MUNDO VERDE</t>
        </is>
      </c>
      <c r="K26" s="116">
        <f>IFERROR(INDEX('DRAFT 1'!$AL:$AL,MATCH($B26,'DRAFT 1'!$B:$B,0)),"")</f>
        <v/>
      </c>
      <c r="L26" s="116">
        <f>IFERROR(INDEX('DRAFT 1'!$J:$J,MATCH($B26,'DRAFT 1'!$B:$B,0)),"")</f>
        <v/>
      </c>
      <c r="M26" s="116">
        <f>IFERROR(INDEX('DRAFT 1'!$K:$K,MATCH($B26,'DRAFT 1'!$B:$B,0)),"")</f>
        <v/>
      </c>
      <c r="N26" s="116" t="inlineStr">
        <is>
          <t>EM RISCO</t>
        </is>
      </c>
      <c r="P26" s="116">
        <f>IFERROR(INDEX('DRAFT 1'!$L:$L,MATCH($B26,'DRAFT 1'!$B:$B,0)),"")</f>
        <v/>
      </c>
      <c r="Q26" s="116">
        <f>IFERROR(INDEX('DRAFT 1'!$M:$M,MATCH($B26,'DRAFT 1'!$B:$B,0)),"")</f>
        <v/>
      </c>
      <c r="R26" s="116">
        <f>IFERROR(INDEX('DRAFT 1'!$N:$N,MATCH($B26,'DRAFT 1'!$B:$B,0)),"")</f>
        <v/>
      </c>
      <c r="S26" s="116">
        <f>IFERROR(INDEX('DRAFT 1'!$O:$O,MATCH($B26,'DRAFT 1'!$B:$B,0)),"")</f>
        <v/>
      </c>
      <c r="T26" s="116">
        <f>IFERROR(INDEX('DRAFT 1'!$P:$P,MATCH($B26,'DRAFT 1'!$B:$B,0)),"")</f>
        <v/>
      </c>
      <c r="U26" s="116">
        <f>IFERROR(INDEX('DRAFT 1'!$Q:$Q,MATCH($B26,'DRAFT 1'!$B:$B,0)),"")</f>
        <v/>
      </c>
      <c r="V26" s="116">
        <f>IFERROR(INDEX('DRAFT 1'!$R:$R,MATCH($B26,'DRAFT 1'!$B:$B,0)),"")</f>
        <v/>
      </c>
      <c r="W26" s="116">
        <f>IFERROR(INDEX('DRAFT 1'!$S:$S,MATCH($B26,'DRAFT 1'!$B:$B,0)),"")</f>
        <v/>
      </c>
      <c r="X26" s="116">
        <f>IFERROR(INDEX('DRAFT 1'!$T:$T,MATCH($B26,'DRAFT 1'!$B:$B,0)),"")</f>
        <v/>
      </c>
      <c r="Z26" s="116">
        <f>IFERROR(INDEX('DRAFT 1'!$U:$U,MATCH($B26,'DRAFT 1'!$B:$B,0)),"")</f>
        <v/>
      </c>
      <c r="AA26" s="116">
        <f>IFERROR(INDEX('DRAFT 1'!$V:$V,MATCH($B26,'DRAFT 1'!$B:$B,0)),"")</f>
        <v/>
      </c>
      <c r="AB26" s="116">
        <f>IFERROR(INDEX('DRAFT 1'!$W:$W,MATCH($B26,'DRAFT 1'!$B:$B,0)),"")</f>
        <v/>
      </c>
      <c r="AC26" s="116">
        <f>IFERROR(INDEX('DRAFT 1'!$X:$X,MATCH($B26,'DRAFT 1'!$B:$B,0)),"")</f>
        <v/>
      </c>
      <c r="AD26" s="116">
        <f>IFERROR(INDEX('DRAFT 1'!$Y:$Y,MATCH($B26,'DRAFT 1'!$B:$B,0)),"")</f>
        <v/>
      </c>
      <c r="AE26" s="116">
        <f>IFERROR(INDEX('DRAFT 1'!$Z:$Z,MATCH($B26,'DRAFT 1'!$B:$B,0)),"")</f>
        <v/>
      </c>
      <c r="AF26" s="116">
        <f>IFERROR(INDEX('DRAFT 1'!$AA:$AA,MATCH($B26,'DRAFT 1'!$B:$B,0)),"")</f>
        <v/>
      </c>
      <c r="AG26" s="116">
        <f>IFERROR(INDEX('DRAFT 1'!$AB:$AB,MATCH($B26,'DRAFT 1'!$B:$B,0)),"")</f>
        <v/>
      </c>
      <c r="AH26" s="116">
        <f>IFERROR(INDEX('DRAFT 1'!$AC:$AC,MATCH($B26,'DRAFT 1'!$B:$B,0)),"")</f>
        <v/>
      </c>
      <c r="AI26" s="116">
        <f>IFERROR(INDEX('DRAFT 1'!$AD:$AD,MATCH($B26,'DRAFT 1'!$B:$B,0)),"")</f>
        <v/>
      </c>
      <c r="AJ26" s="116">
        <f>IFERROR(INDEX('DRAFT 1'!$AE:$AE,MATCH($B26,'DRAFT 1'!$B:$B,0)),"")</f>
        <v/>
      </c>
      <c r="AK26" s="116">
        <f>IFERROR(INDEX('DRAFT 1'!$AG:$AG,MATCH($B26,'DRAFT 1'!$B:$B,0)),"")</f>
        <v/>
      </c>
      <c r="AL26" s="116">
        <f>IFERROR(INDEX('DRAFT 1'!$AH:$AH,MATCH($B26,'DRAFT 1'!$B:$B,0)),"")</f>
        <v/>
      </c>
      <c r="AM26" s="116">
        <f>IFERROR(INDEX('DRAFT 1'!$AI:$AI,MATCH($B26,'DRAFT 1'!$B:$B,0)),"")</f>
        <v/>
      </c>
      <c r="AN26" s="116">
        <f>IFERROR(INDEX('DRAFT 1'!$AJ:$AJ,MATCH($B26,'DRAFT 1'!$B:$B,0)),"")</f>
        <v/>
      </c>
      <c r="AO26" s="116">
        <f>IFERROR(Y26/AN26,0)</f>
        <v/>
      </c>
      <c r="AP26" s="116">
        <f>IFERROR(INDEX('DRAFT 1'!$AK:$AK,MATCH($B26,'DRAFT 1'!$B:$B,0)),"")</f>
        <v/>
      </c>
      <c r="AR26" s="116" t="inlineStr">
        <is>
          <t>RECOMPRA</t>
        </is>
      </c>
      <c r="AS26" s="116">
        <f>IFERROR(LOOKUP(2,1/('DRAFT 2'!$D:$D=$B26),'DRAFT 2'!$T:$T),"")</f>
        <v/>
      </c>
      <c r="AT26" s="116">
        <f>IFERROR(LOOKUP(2,1/('DRAFT 2'!$D:$D=$B26),'DRAFT 2'!$A:$A),"")</f>
        <v/>
      </c>
      <c r="AU26" s="116">
        <f>IFERROR(LOOKUP(2,1/('DRAFT 2'!$D:$D=$B26),'DRAFT 2'!$R:$R),"")</f>
        <v/>
      </c>
      <c r="AV26" s="116">
        <f>IFERROR(LOOKUP(2,1/('DRAFT 2'!$D:$D=$B26),'DRAFT 2'!$S:$S),"")</f>
        <v/>
      </c>
      <c r="AW26" s="116" t="inlineStr">
        <is>
          <t>FIDELIZADO</t>
        </is>
      </c>
      <c r="AX26" s="116">
        <f>IFERROR(LOOKUP(2,1/('DRAFT 2'!$D:$D=$B26),'DRAFT 2'!$M:$M),"")</f>
        <v/>
      </c>
      <c r="AY26" s="116">
        <f>IFERROR(LOOKUP(2,1/('DRAFT 2'!$D:$D=$B26),'DRAFT 2'!$K:$K),"")</f>
        <v/>
      </c>
      <c r="BG26" s="116">
        <f>IFERROR(LOOKUP(2,1/('DRAFT 2'!$D:$D=$B26),'DRAFT 2'!$U:$U),"")</f>
        <v/>
      </c>
      <c r="BH26" s="116">
        <f>IFERROR(LOOKUP(2,1/('DRAFT 2'!$D:$D=$B26),'DRAFT 2'!$V:$V),"")</f>
        <v/>
      </c>
      <c r="CE26" s="116">
        <f>IFERROR(AJ26,0)</f>
        <v/>
      </c>
      <c r="CF26" s="116">
        <f>IFERROR(LOOKUP(2,1/('DRAFT 2'!$D:$D=$B26)*('DRAFT 2'!$A:$A&gt;=DATE(2026,1,1))*('DRAFT 2'!$A:$A&lt;DATE(2026,IF(1=12,1+1,1+1),1)),'DRAFT 2'!$A:$A),"")</f>
        <v/>
      </c>
      <c r="CG26" s="116">
        <f>COUNTIFS('DRAFT 2'!$D:$D,$B26,'DRAFT 2'!$A:$A,"&gt;="&amp;DATE(2026,1,1),'DRAFT 2'!$A:$A,"&lt;="&amp;DATE(2026,1,7))</f>
        <v/>
      </c>
      <c r="CH26" s="116">
        <f>COUNTIFS('DRAFT 2'!$D:$D,$B26,'DRAFT 2'!$A:$A,"&gt;="&amp;DATE(2026,1,8),'DRAFT 2'!$A:$A,"&lt;="&amp;DATE(2026,1,14))</f>
        <v/>
      </c>
      <c r="CI26" s="116">
        <f>COUNTIFS('DRAFT 2'!$D:$D,$B26,'DRAFT 2'!$A:$A,"&gt;="&amp;DATE(2026,1,15),'DRAFT 2'!$A:$A,"&lt;="&amp;DATE(2026,1,21))</f>
        <v/>
      </c>
      <c r="CJ26" s="116">
        <f>COUNTIFS('DRAFT 2'!$D:$D,$B26,'DRAFT 2'!$A:$A,"&gt;="&amp;DATE(2026,1,22),'DRAFT 2'!$A:$A,"&lt;"&amp;DATE(2026,IF(1=12,1+1,1+1),1))</f>
        <v/>
      </c>
      <c r="CK26" s="116">
        <f>SUM(CG26:CJ26)</f>
        <v/>
      </c>
      <c r="CT26" s="116" t="n">
        <v>0</v>
      </c>
      <c r="CU26" s="116">
        <f>IFERROR(LOOKUP(2,1/('DRAFT 2'!$D:$D=$B26)*('DRAFT 2'!$A:$A&gt;=DATE(2026,2,1))*('DRAFT 2'!$A:$A&lt;DATE(2026,IF(2=12,2+1,2+1),1)),'DRAFT 2'!$A:$A),"")</f>
        <v/>
      </c>
      <c r="CV26" s="116">
        <f>COUNTIFS('DRAFT 2'!$D:$D,$B26,'DRAFT 2'!$A:$A,"&gt;="&amp;DATE(2026,2,1),'DRAFT 2'!$A:$A,"&lt;="&amp;DATE(2026,2,7))</f>
        <v/>
      </c>
      <c r="CW26" s="116">
        <f>COUNTIFS('DRAFT 2'!$D:$D,$B26,'DRAFT 2'!$A:$A,"&gt;="&amp;DATE(2026,2,8),'DRAFT 2'!$A:$A,"&lt;="&amp;DATE(2026,2,14))</f>
        <v/>
      </c>
      <c r="CX26" s="116">
        <f>COUNTIFS('DRAFT 2'!$D:$D,$B26,'DRAFT 2'!$A:$A,"&gt;="&amp;DATE(2026,2,15),'DRAFT 2'!$A:$A,"&lt;="&amp;DATE(2026,2,21))</f>
        <v/>
      </c>
      <c r="CY26" s="116">
        <f>COUNTIFS('DRAFT 2'!$D:$D,$B26,'DRAFT 2'!$A:$A,"&gt;="&amp;DATE(2026,2,22),'DRAFT 2'!$A:$A,"&lt;"&amp;DATE(2026,IF(2=12,2+1,2+1),1))</f>
        <v/>
      </c>
      <c r="CZ26" s="116">
        <f>SUM(CV26:CY26)</f>
        <v/>
      </c>
      <c r="DJ26" s="116">
        <f>IFERROR(LOOKUP(2,1/('DRAFT 2'!$D:$D=$B26)*('DRAFT 2'!$A:$A&gt;=DATE(2026,3,1))*('DRAFT 2'!$A:$A&lt;DATE(2026,IF(3=12,3+1,3+1),1)),'DRAFT 2'!$A:$A),"")</f>
        <v/>
      </c>
      <c r="DK26" s="116">
        <f>COUNTIFS('DRAFT 2'!$D:$D,$B26,'DRAFT 2'!$A:$A,"&gt;="&amp;DATE(2026,3,1),'DRAFT 2'!$A:$A,"&lt;="&amp;DATE(2026,3,7))</f>
        <v/>
      </c>
      <c r="DL26" s="116">
        <f>COUNTIFS('DRAFT 2'!$D:$D,$B26,'DRAFT 2'!$A:$A,"&gt;="&amp;DATE(2026,3,8),'DRAFT 2'!$A:$A,"&lt;="&amp;DATE(2026,3,14))</f>
        <v/>
      </c>
      <c r="DM26" s="116">
        <f>COUNTIFS('DRAFT 2'!$D:$D,$B26,'DRAFT 2'!$A:$A,"&gt;="&amp;DATE(2026,3,15),'DRAFT 2'!$A:$A,"&lt;="&amp;DATE(2026,3,21))</f>
        <v/>
      </c>
      <c r="DN26" s="116">
        <f>COUNTIFS('DRAFT 2'!$D:$D,$B26,'DRAFT 2'!$A:$A,"&gt;="&amp;DATE(2026,3,22),'DRAFT 2'!$A:$A,"&lt;"&amp;DATE(2026,IF(3=12,3+1,3+1),1))</f>
        <v/>
      </c>
      <c r="DO26" s="116">
        <f>SUM(DK26:DN26)</f>
        <v/>
      </c>
      <c r="DZ26" s="116">
        <f>IFERROR(LOOKUP(2,1/('DRAFT 2'!$D:$D=$B26)*('DRAFT 2'!$A:$A&gt;=DATE(2026,4,1))*('DRAFT 2'!$A:$A&lt;DATE(2026,IF(4=12,4+1,4+1),1)),'DRAFT 2'!$A:$A),"")</f>
        <v/>
      </c>
      <c r="EA26" s="116">
        <f>COUNTIFS('DRAFT 2'!$D:$D,$B26,'DRAFT 2'!$A:$A,"&gt;="&amp;DATE(2026,4,1),'DRAFT 2'!$A:$A,"&lt;="&amp;DATE(2026,4,7))</f>
        <v/>
      </c>
      <c r="EB26" s="116">
        <f>COUNTIFS('DRAFT 2'!$D:$D,$B26,'DRAFT 2'!$A:$A,"&gt;="&amp;DATE(2026,4,8),'DRAFT 2'!$A:$A,"&lt;="&amp;DATE(2026,4,14))</f>
        <v/>
      </c>
      <c r="EC26" s="116">
        <f>COUNTIFS('DRAFT 2'!$D:$D,$B26,'DRAFT 2'!$A:$A,"&gt;="&amp;DATE(2026,4,15),'DRAFT 2'!$A:$A,"&lt;="&amp;DATE(2026,4,21))</f>
        <v/>
      </c>
      <c r="ED26" s="116">
        <f>COUNTIFS('DRAFT 2'!$D:$D,$B26,'DRAFT 2'!$A:$A,"&gt;="&amp;DATE(2026,4,22),'DRAFT 2'!$A:$A,"&lt;"&amp;DATE(2026,IF(4=12,4+1,4+1),1))</f>
        <v/>
      </c>
      <c r="EE26" s="116">
        <f>SUM(EA26:ED26)</f>
        <v/>
      </c>
      <c r="EO26" s="116">
        <f>IFERROR(LOOKUP(2,1/('DRAFT 2'!$D:$D=$B26)*('DRAFT 2'!$A:$A&gt;=DATE(2026,5,1))*('DRAFT 2'!$A:$A&lt;DATE(2026,IF(5=12,5+1,5+1),1)),'DRAFT 2'!$A:$A),"")</f>
        <v/>
      </c>
      <c r="EP26" s="116">
        <f>COUNTIFS('DRAFT 2'!$D:$D,$B26,'DRAFT 2'!$A:$A,"&gt;="&amp;DATE(2026,5,1),'DRAFT 2'!$A:$A,"&lt;="&amp;DATE(2026,5,7))</f>
        <v/>
      </c>
      <c r="EQ26" s="116">
        <f>COUNTIFS('DRAFT 2'!$D:$D,$B26,'DRAFT 2'!$A:$A,"&gt;="&amp;DATE(2026,5,8),'DRAFT 2'!$A:$A,"&lt;="&amp;DATE(2026,5,14))</f>
        <v/>
      </c>
      <c r="ER26" s="116">
        <f>COUNTIFS('DRAFT 2'!$D:$D,$B26,'DRAFT 2'!$A:$A,"&gt;="&amp;DATE(2026,5,15),'DRAFT 2'!$A:$A,"&lt;="&amp;DATE(2026,5,21))</f>
        <v/>
      </c>
      <c r="ES26" s="116">
        <f>COUNTIFS('DRAFT 2'!$D:$D,$B26,'DRAFT 2'!$A:$A,"&gt;="&amp;DATE(2026,5,22),'DRAFT 2'!$A:$A,"&lt;"&amp;DATE(2026,IF(5=12,5+1,5+1),1))</f>
        <v/>
      </c>
      <c r="ET26" s="116">
        <f>SUM(EP26:ES26)</f>
        <v/>
      </c>
      <c r="FD26" s="116">
        <f>IFERROR(LOOKUP(2,1/('DRAFT 2'!$D:$D=$B26)*('DRAFT 2'!$A:$A&gt;=DATE(2026,6,1))*('DRAFT 2'!$A:$A&lt;DATE(2026,IF(6=12,6+1,6+1),1)),'DRAFT 2'!$A:$A),"")</f>
        <v/>
      </c>
      <c r="FE26" s="116">
        <f>COUNTIFS('DRAFT 2'!$D:$D,$B26,'DRAFT 2'!$A:$A,"&gt;="&amp;DATE(2026,6,1),'DRAFT 2'!$A:$A,"&lt;="&amp;DATE(2026,6,7))</f>
        <v/>
      </c>
      <c r="FF26" s="116">
        <f>COUNTIFS('DRAFT 2'!$D:$D,$B26,'DRAFT 2'!$A:$A,"&gt;="&amp;DATE(2026,6,8),'DRAFT 2'!$A:$A,"&lt;="&amp;DATE(2026,6,14))</f>
        <v/>
      </c>
      <c r="FG26" s="116">
        <f>COUNTIFS('DRAFT 2'!$D:$D,$B26,'DRAFT 2'!$A:$A,"&gt;="&amp;DATE(2026,6,15),'DRAFT 2'!$A:$A,"&lt;="&amp;DATE(2026,6,21))</f>
        <v/>
      </c>
      <c r="FH26" s="116">
        <f>COUNTIFS('DRAFT 2'!$D:$D,$B26,'DRAFT 2'!$A:$A,"&gt;="&amp;DATE(2026,6,22),'DRAFT 2'!$A:$A,"&lt;"&amp;DATE(2026,IF(6=12,6+1,6+1),1))</f>
        <v/>
      </c>
      <c r="FI26" s="116">
        <f>SUM(FE26:FH26)</f>
        <v/>
      </c>
      <c r="FT26" s="116">
        <f>IFERROR(LOOKUP(2,1/('DRAFT 2'!$D:$D=$B26)*('DRAFT 2'!$A:$A&gt;=DATE(2026,7,1))*('DRAFT 2'!$A:$A&lt;DATE(2026,IF(7=12,7+1,7+1),1)),'DRAFT 2'!$A:$A),"")</f>
        <v/>
      </c>
      <c r="FU26" s="116">
        <f>COUNTIFS('DRAFT 2'!$D:$D,$B26,'DRAFT 2'!$A:$A,"&gt;="&amp;DATE(2026,7,1),'DRAFT 2'!$A:$A,"&lt;="&amp;DATE(2026,7,7))</f>
        <v/>
      </c>
      <c r="FV26" s="116">
        <f>COUNTIFS('DRAFT 2'!$D:$D,$B26,'DRAFT 2'!$A:$A,"&gt;="&amp;DATE(2026,7,8),'DRAFT 2'!$A:$A,"&lt;="&amp;DATE(2026,7,14))</f>
        <v/>
      </c>
      <c r="FW26" s="116">
        <f>COUNTIFS('DRAFT 2'!$D:$D,$B26,'DRAFT 2'!$A:$A,"&gt;="&amp;DATE(2026,7,15),'DRAFT 2'!$A:$A,"&lt;="&amp;DATE(2026,7,21))</f>
        <v/>
      </c>
      <c r="FX26" s="116">
        <f>COUNTIFS('DRAFT 2'!$D:$D,$B26,'DRAFT 2'!$A:$A,"&gt;="&amp;DATE(2026,7,22),'DRAFT 2'!$A:$A,"&lt;"&amp;DATE(2026,IF(7=12,7+1,7+1),1))</f>
        <v/>
      </c>
      <c r="FY26" s="116">
        <f>SUM(FU26:FX26)</f>
        <v/>
      </c>
      <c r="GI26" s="116">
        <f>IFERROR(LOOKUP(2,1/('DRAFT 2'!$D:$D=$B26)*('DRAFT 2'!$A:$A&gt;=DATE(2026,8,1))*('DRAFT 2'!$A:$A&lt;DATE(2026,IF(8=12,8+1,8+1),1)),'DRAFT 2'!$A:$A),"")</f>
        <v/>
      </c>
      <c r="GJ26" s="116">
        <f>COUNTIFS('DRAFT 2'!$D:$D,$B26,'DRAFT 2'!$A:$A,"&gt;="&amp;DATE(2026,8,1),'DRAFT 2'!$A:$A,"&lt;="&amp;DATE(2026,8,7))</f>
        <v/>
      </c>
      <c r="GK26" s="116">
        <f>COUNTIFS('DRAFT 2'!$D:$D,$B26,'DRAFT 2'!$A:$A,"&gt;="&amp;DATE(2026,8,8),'DRAFT 2'!$A:$A,"&lt;="&amp;DATE(2026,8,14))</f>
        <v/>
      </c>
      <c r="GL26" s="116">
        <f>COUNTIFS('DRAFT 2'!$D:$D,$B26,'DRAFT 2'!$A:$A,"&gt;="&amp;DATE(2026,8,15),'DRAFT 2'!$A:$A,"&lt;="&amp;DATE(2026,8,21))</f>
        <v/>
      </c>
      <c r="GM26" s="116">
        <f>COUNTIFS('DRAFT 2'!$D:$D,$B26,'DRAFT 2'!$A:$A,"&gt;="&amp;DATE(2026,8,22),'DRAFT 2'!$A:$A,"&lt;"&amp;DATE(2026,IF(8=12,8+1,8+1),1))</f>
        <v/>
      </c>
      <c r="GN26" s="116">
        <f>SUM(GJ26:GM26)</f>
        <v/>
      </c>
      <c r="GX26" s="116">
        <f>IFERROR(LOOKUP(2,1/('DRAFT 2'!$D:$D=$B26)*('DRAFT 2'!$A:$A&gt;=DATE(2026,9,1))*('DRAFT 2'!$A:$A&lt;DATE(2026,IF(9=12,9+1,9+1),1)),'DRAFT 2'!$A:$A),"")</f>
        <v/>
      </c>
      <c r="GY26" s="116">
        <f>COUNTIFS('DRAFT 2'!$D:$D,$B26,'DRAFT 2'!$A:$A,"&gt;="&amp;DATE(2026,9,1),'DRAFT 2'!$A:$A,"&lt;="&amp;DATE(2026,9,7))</f>
        <v/>
      </c>
      <c r="GZ26" s="116">
        <f>COUNTIFS('DRAFT 2'!$D:$D,$B26,'DRAFT 2'!$A:$A,"&gt;="&amp;DATE(2026,9,8),'DRAFT 2'!$A:$A,"&lt;="&amp;DATE(2026,9,14))</f>
        <v/>
      </c>
      <c r="HA26" s="116">
        <f>COUNTIFS('DRAFT 2'!$D:$D,$B26,'DRAFT 2'!$A:$A,"&gt;="&amp;DATE(2026,9,15),'DRAFT 2'!$A:$A,"&lt;="&amp;DATE(2026,9,21))</f>
        <v/>
      </c>
      <c r="HB26" s="116">
        <f>COUNTIFS('DRAFT 2'!$D:$D,$B26,'DRAFT 2'!$A:$A,"&gt;="&amp;DATE(2026,9,22),'DRAFT 2'!$A:$A,"&lt;"&amp;DATE(2026,IF(9=12,9+1,9+1),1))</f>
        <v/>
      </c>
      <c r="HC26" s="116">
        <f>SUM(GY26:HB26)</f>
        <v/>
      </c>
      <c r="HN26" s="116">
        <f>IFERROR(LOOKUP(2,1/('DRAFT 2'!$D:$D=$B26)*('DRAFT 2'!$A:$A&gt;=DATE(2026,10,1))*('DRAFT 2'!$A:$A&lt;DATE(2026,IF(10=12,10+1,10+1),1)),'DRAFT 2'!$A:$A),"")</f>
        <v/>
      </c>
      <c r="HO26" s="116">
        <f>COUNTIFS('DRAFT 2'!$D:$D,$B26,'DRAFT 2'!$A:$A,"&gt;="&amp;DATE(2026,10,1),'DRAFT 2'!$A:$A,"&lt;="&amp;DATE(2026,10,7))</f>
        <v/>
      </c>
      <c r="HP26" s="116">
        <f>COUNTIFS('DRAFT 2'!$D:$D,$B26,'DRAFT 2'!$A:$A,"&gt;="&amp;DATE(2026,10,8),'DRAFT 2'!$A:$A,"&lt;="&amp;DATE(2026,10,14))</f>
        <v/>
      </c>
      <c r="HQ26" s="116">
        <f>COUNTIFS('DRAFT 2'!$D:$D,$B26,'DRAFT 2'!$A:$A,"&gt;="&amp;DATE(2026,10,15),'DRAFT 2'!$A:$A,"&lt;="&amp;DATE(2026,10,21))</f>
        <v/>
      </c>
      <c r="HR26" s="116">
        <f>COUNTIFS('DRAFT 2'!$D:$D,$B26,'DRAFT 2'!$A:$A,"&gt;="&amp;DATE(2026,10,22),'DRAFT 2'!$A:$A,"&lt;"&amp;DATE(2026,IF(10=12,10+1,10+1),1))</f>
        <v/>
      </c>
      <c r="HS26" s="116">
        <f>SUM(HO26:HR26)</f>
        <v/>
      </c>
      <c r="IC26" s="116">
        <f>IFERROR(LOOKUP(2,1/('DRAFT 2'!$D:$D=$B26)*('DRAFT 2'!$A:$A&gt;=DATE(2026,11,1))*('DRAFT 2'!$A:$A&lt;DATE(2026,IF(11=12,11+1,11+1),1)),'DRAFT 2'!$A:$A),"")</f>
        <v/>
      </c>
      <c r="ID26" s="116">
        <f>COUNTIFS('DRAFT 2'!$D:$D,$B26,'DRAFT 2'!$A:$A,"&gt;="&amp;DATE(2026,11,1),'DRAFT 2'!$A:$A,"&lt;="&amp;DATE(2026,11,7))</f>
        <v/>
      </c>
      <c r="IE26" s="116">
        <f>COUNTIFS('DRAFT 2'!$D:$D,$B26,'DRAFT 2'!$A:$A,"&gt;="&amp;DATE(2026,11,8),'DRAFT 2'!$A:$A,"&lt;="&amp;DATE(2026,11,14))</f>
        <v/>
      </c>
      <c r="IF26" s="116">
        <f>COUNTIFS('DRAFT 2'!$D:$D,$B26,'DRAFT 2'!$A:$A,"&gt;="&amp;DATE(2026,11,15),'DRAFT 2'!$A:$A,"&lt;="&amp;DATE(2026,11,21))</f>
        <v/>
      </c>
      <c r="IG26" s="116">
        <f>COUNTIFS('DRAFT 2'!$D:$D,$B26,'DRAFT 2'!$A:$A,"&gt;="&amp;DATE(2026,11,22),'DRAFT 2'!$A:$A,"&lt;"&amp;DATE(2026,IF(11=12,11+1,11+1),1))</f>
        <v/>
      </c>
      <c r="IH26" s="116">
        <f>SUM(ID26:IG26)</f>
        <v/>
      </c>
      <c r="IR26" s="116">
        <f>IFERROR(LOOKUP(2,1/('DRAFT 2'!$D:$D=$B26)*('DRAFT 2'!$A:$A&gt;=DATE(2026,12,1))*('DRAFT 2'!$A:$A&lt;DATE(2026,IF(12=12,12+1,12+1),1)),'DRAFT 2'!$A:$A),"")</f>
        <v/>
      </c>
      <c r="IS26" s="116">
        <f>COUNTIFS('DRAFT 2'!$D:$D,$B26,'DRAFT 2'!$A:$A,"&gt;="&amp;DATE(2026,12,1),'DRAFT 2'!$A:$A,"&lt;="&amp;DATE(2026,12,7))</f>
        <v/>
      </c>
      <c r="IT26" s="116">
        <f>COUNTIFS('DRAFT 2'!$D:$D,$B26,'DRAFT 2'!$A:$A,"&gt;="&amp;DATE(2026,12,8),'DRAFT 2'!$A:$A,"&lt;="&amp;DATE(2026,12,14))</f>
        <v/>
      </c>
      <c r="IU26" s="116">
        <f>COUNTIFS('DRAFT 2'!$D:$D,$B26,'DRAFT 2'!$A:$A,"&gt;="&amp;DATE(2026,12,15),'DRAFT 2'!$A:$A,"&lt;="&amp;DATE(2026,12,21))</f>
        <v/>
      </c>
      <c r="IV26" s="116">
        <f>COUNTIFS('DRAFT 2'!$D:$D,$B26,'DRAFT 2'!$A:$A,"&gt;="&amp;DATE(2026,12,22),'DRAFT 2'!$A:$A,"&lt;"&amp;DATE(2026,IF(12=12,12+1,12+1),1))</f>
        <v/>
      </c>
      <c r="IW26" s="116">
        <f>SUM(IS26:IV26)</f>
        <v/>
      </c>
    </row>
    <row r="27">
      <c r="A27" s="116">
        <f>IFERROR(INDEX('DRAFT 1'!$A:$A,MATCH($B27,'DRAFT 1'!$B:$B,0)),"")</f>
        <v/>
      </c>
      <c r="C27" s="116">
        <f>IFERROR(INDEX('DRAFT 1'!$C:$C,MATCH($B27,'DRAFT 1'!$B:$B,0)),"")</f>
        <v/>
      </c>
      <c r="D27" s="116">
        <f>IFERROR(INDEX('DRAFT 1'!$D:$D,MATCH($B27,'DRAFT 1'!$B:$B,0)),"")</f>
        <v/>
      </c>
      <c r="E27" s="116">
        <f>IFERROR(INDEX('DRAFT 1'!$E:$E,MATCH($B27,'DRAFT 1'!$B:$B,0)),"")</f>
        <v/>
      </c>
      <c r="F27" s="116">
        <f>IFERROR(INDEX('DRAFT 1'!$F:$F,MATCH($B27,'DRAFT 1'!$B:$B,0)),"")</f>
        <v/>
      </c>
      <c r="G27" s="116">
        <f>IFERROR(INDEX('DRAFT 1'!$G:$G,MATCH($B27,'DRAFT 1'!$B:$B,0)),"")</f>
        <v/>
      </c>
      <c r="H27" s="116">
        <f>IFERROR(INDEX('DRAFT 1'!$H:$H,MATCH($B27,'DRAFT 1'!$B:$B,0)),"")</f>
        <v/>
      </c>
      <c r="I27" s="116" t="inlineStr">
        <is>
          <t>FIT LAND</t>
        </is>
      </c>
      <c r="K27" s="116">
        <f>IFERROR(INDEX('DRAFT 1'!$AL:$AL,MATCH($B27,'DRAFT 1'!$B:$B,0)),"")</f>
        <v/>
      </c>
      <c r="L27" s="116">
        <f>IFERROR(INDEX('DRAFT 1'!$J:$J,MATCH($B27,'DRAFT 1'!$B:$B,0)),"")</f>
        <v/>
      </c>
      <c r="M27" s="116">
        <f>IFERROR(INDEX('DRAFT 1'!$K:$K,MATCH($B27,'DRAFT 1'!$B:$B,0)),"")</f>
        <v/>
      </c>
      <c r="N27" s="116" t="inlineStr">
        <is>
          <t>ATIVO</t>
        </is>
      </c>
      <c r="P27" s="116">
        <f>IFERROR(INDEX('DRAFT 1'!$L:$L,MATCH($B27,'DRAFT 1'!$B:$B,0)),"")</f>
        <v/>
      </c>
      <c r="Q27" s="116">
        <f>IFERROR(INDEX('DRAFT 1'!$M:$M,MATCH($B27,'DRAFT 1'!$B:$B,0)),"")</f>
        <v/>
      </c>
      <c r="R27" s="116">
        <f>IFERROR(INDEX('DRAFT 1'!$N:$N,MATCH($B27,'DRAFT 1'!$B:$B,0)),"")</f>
        <v/>
      </c>
      <c r="S27" s="116">
        <f>IFERROR(INDEX('DRAFT 1'!$O:$O,MATCH($B27,'DRAFT 1'!$B:$B,0)),"")</f>
        <v/>
      </c>
      <c r="T27" s="116">
        <f>IFERROR(INDEX('DRAFT 1'!$P:$P,MATCH($B27,'DRAFT 1'!$B:$B,0)),"")</f>
        <v/>
      </c>
      <c r="U27" s="116">
        <f>IFERROR(INDEX('DRAFT 1'!$Q:$Q,MATCH($B27,'DRAFT 1'!$B:$B,0)),"")</f>
        <v/>
      </c>
      <c r="V27" s="116">
        <f>IFERROR(INDEX('DRAFT 1'!$R:$R,MATCH($B27,'DRAFT 1'!$B:$B,0)),"")</f>
        <v/>
      </c>
      <c r="W27" s="116">
        <f>IFERROR(INDEX('DRAFT 1'!$S:$S,MATCH($B27,'DRAFT 1'!$B:$B,0)),"")</f>
        <v/>
      </c>
      <c r="X27" s="116">
        <f>IFERROR(INDEX('DRAFT 1'!$T:$T,MATCH($B27,'DRAFT 1'!$B:$B,0)),"")</f>
        <v/>
      </c>
      <c r="Z27" s="116">
        <f>IFERROR(INDEX('DRAFT 1'!$U:$U,MATCH($B27,'DRAFT 1'!$B:$B,0)),"")</f>
        <v/>
      </c>
      <c r="AA27" s="116">
        <f>IFERROR(INDEX('DRAFT 1'!$V:$V,MATCH($B27,'DRAFT 1'!$B:$B,0)),"")</f>
        <v/>
      </c>
      <c r="AB27" s="116">
        <f>IFERROR(INDEX('DRAFT 1'!$W:$W,MATCH($B27,'DRAFT 1'!$B:$B,0)),"")</f>
        <v/>
      </c>
      <c r="AC27" s="116">
        <f>IFERROR(INDEX('DRAFT 1'!$X:$X,MATCH($B27,'DRAFT 1'!$B:$B,0)),"")</f>
        <v/>
      </c>
      <c r="AD27" s="116">
        <f>IFERROR(INDEX('DRAFT 1'!$Y:$Y,MATCH($B27,'DRAFT 1'!$B:$B,0)),"")</f>
        <v/>
      </c>
      <c r="AE27" s="116">
        <f>IFERROR(INDEX('DRAFT 1'!$Z:$Z,MATCH($B27,'DRAFT 1'!$B:$B,0)),"")</f>
        <v/>
      </c>
      <c r="AF27" s="116">
        <f>IFERROR(INDEX('DRAFT 1'!$AA:$AA,MATCH($B27,'DRAFT 1'!$B:$B,0)),"")</f>
        <v/>
      </c>
      <c r="AG27" s="116">
        <f>IFERROR(INDEX('DRAFT 1'!$AB:$AB,MATCH($B27,'DRAFT 1'!$B:$B,0)),"")</f>
        <v/>
      </c>
      <c r="AH27" s="116">
        <f>IFERROR(INDEX('DRAFT 1'!$AC:$AC,MATCH($B27,'DRAFT 1'!$B:$B,0)),"")</f>
        <v/>
      </c>
      <c r="AI27" s="116">
        <f>IFERROR(INDEX('DRAFT 1'!$AD:$AD,MATCH($B27,'DRAFT 1'!$B:$B,0)),"")</f>
        <v/>
      </c>
      <c r="AJ27" s="116">
        <f>IFERROR(INDEX('DRAFT 1'!$AE:$AE,MATCH($B27,'DRAFT 1'!$B:$B,0)),"")</f>
        <v/>
      </c>
      <c r="AK27" s="116">
        <f>IFERROR(INDEX('DRAFT 1'!$AG:$AG,MATCH($B27,'DRAFT 1'!$B:$B,0)),"")</f>
        <v/>
      </c>
      <c r="AL27" s="116">
        <f>IFERROR(INDEX('DRAFT 1'!$AH:$AH,MATCH($B27,'DRAFT 1'!$B:$B,0)),"")</f>
        <v/>
      </c>
      <c r="AM27" s="116">
        <f>IFERROR(INDEX('DRAFT 1'!$AI:$AI,MATCH($B27,'DRAFT 1'!$B:$B,0)),"")</f>
        <v/>
      </c>
      <c r="AN27" s="116">
        <f>IFERROR(INDEX('DRAFT 1'!$AJ:$AJ,MATCH($B27,'DRAFT 1'!$B:$B,0)),"")</f>
        <v/>
      </c>
      <c r="AO27" s="116">
        <f>IFERROR(Y27/AN27,0)</f>
        <v/>
      </c>
      <c r="AP27" s="116">
        <f>IFERROR(INDEX('DRAFT 1'!$AK:$AK,MATCH($B27,'DRAFT 1'!$B:$B,0)),"")</f>
        <v/>
      </c>
      <c r="AR27" s="116" t="inlineStr">
        <is>
          <t>CS</t>
        </is>
      </c>
      <c r="AS27" s="116">
        <f>IFERROR(LOOKUP(2,1/('DRAFT 2'!$D:$D=$B27),'DRAFT 2'!$T:$T),"")</f>
        <v/>
      </c>
      <c r="AT27" s="116">
        <f>IFERROR(LOOKUP(2,1/('DRAFT 2'!$D:$D=$B27),'DRAFT 2'!$A:$A),"")</f>
        <v/>
      </c>
      <c r="AU27" s="116">
        <f>IFERROR(LOOKUP(2,1/('DRAFT 2'!$D:$D=$B27),'DRAFT 2'!$R:$R),"")</f>
        <v/>
      </c>
      <c r="AV27" s="116">
        <f>IFERROR(LOOKUP(2,1/('DRAFT 2'!$D:$D=$B27),'DRAFT 2'!$S:$S),"")</f>
        <v/>
      </c>
      <c r="AW27" s="116" t="inlineStr">
        <is>
          <t>FIDELIZADO</t>
        </is>
      </c>
      <c r="AX27" s="116">
        <f>IFERROR(LOOKUP(2,1/('DRAFT 2'!$D:$D=$B27),'DRAFT 2'!$M:$M),"")</f>
        <v/>
      </c>
      <c r="AY27" s="116">
        <f>IFERROR(LOOKUP(2,1/('DRAFT 2'!$D:$D=$B27),'DRAFT 2'!$K:$K),"")</f>
        <v/>
      </c>
      <c r="BG27" s="116">
        <f>IFERROR(LOOKUP(2,1/('DRAFT 2'!$D:$D=$B27),'DRAFT 2'!$U:$U),"")</f>
        <v/>
      </c>
      <c r="BH27" s="116">
        <f>IFERROR(LOOKUP(2,1/('DRAFT 2'!$D:$D=$B27),'DRAFT 2'!$V:$V),"")</f>
        <v/>
      </c>
      <c r="CE27" s="116">
        <f>IFERROR(AJ27,0)</f>
        <v/>
      </c>
      <c r="CF27" s="116">
        <f>IFERROR(LOOKUP(2,1/('DRAFT 2'!$D:$D=$B27)*('DRAFT 2'!$A:$A&gt;=DATE(2026,1,1))*('DRAFT 2'!$A:$A&lt;DATE(2026,IF(1=12,1+1,1+1),1)),'DRAFT 2'!$A:$A),"")</f>
        <v/>
      </c>
      <c r="CG27" s="116">
        <f>COUNTIFS('DRAFT 2'!$D:$D,$B27,'DRAFT 2'!$A:$A,"&gt;="&amp;DATE(2026,1,1),'DRAFT 2'!$A:$A,"&lt;="&amp;DATE(2026,1,7))</f>
        <v/>
      </c>
      <c r="CH27" s="116">
        <f>COUNTIFS('DRAFT 2'!$D:$D,$B27,'DRAFT 2'!$A:$A,"&gt;="&amp;DATE(2026,1,8),'DRAFT 2'!$A:$A,"&lt;="&amp;DATE(2026,1,14))</f>
        <v/>
      </c>
      <c r="CI27" s="116">
        <f>COUNTIFS('DRAFT 2'!$D:$D,$B27,'DRAFT 2'!$A:$A,"&gt;="&amp;DATE(2026,1,15),'DRAFT 2'!$A:$A,"&lt;="&amp;DATE(2026,1,21))</f>
        <v/>
      </c>
      <c r="CJ27" s="116">
        <f>COUNTIFS('DRAFT 2'!$D:$D,$B27,'DRAFT 2'!$A:$A,"&gt;="&amp;DATE(2026,1,22),'DRAFT 2'!$A:$A,"&lt;"&amp;DATE(2026,IF(1=12,1+1,1+1),1))</f>
        <v/>
      </c>
      <c r="CK27" s="116">
        <f>SUM(CG27:CJ27)</f>
        <v/>
      </c>
      <c r="CT27" s="116" t="n">
        <v>0</v>
      </c>
      <c r="CU27" s="116">
        <f>IFERROR(LOOKUP(2,1/('DRAFT 2'!$D:$D=$B27)*('DRAFT 2'!$A:$A&gt;=DATE(2026,2,1))*('DRAFT 2'!$A:$A&lt;DATE(2026,IF(2=12,2+1,2+1),1)),'DRAFT 2'!$A:$A),"")</f>
        <v/>
      </c>
      <c r="CV27" s="116">
        <f>COUNTIFS('DRAFT 2'!$D:$D,$B27,'DRAFT 2'!$A:$A,"&gt;="&amp;DATE(2026,2,1),'DRAFT 2'!$A:$A,"&lt;="&amp;DATE(2026,2,7))</f>
        <v/>
      </c>
      <c r="CW27" s="116">
        <f>COUNTIFS('DRAFT 2'!$D:$D,$B27,'DRAFT 2'!$A:$A,"&gt;="&amp;DATE(2026,2,8),'DRAFT 2'!$A:$A,"&lt;="&amp;DATE(2026,2,14))</f>
        <v/>
      </c>
      <c r="CX27" s="116">
        <f>COUNTIFS('DRAFT 2'!$D:$D,$B27,'DRAFT 2'!$A:$A,"&gt;="&amp;DATE(2026,2,15),'DRAFT 2'!$A:$A,"&lt;="&amp;DATE(2026,2,21))</f>
        <v/>
      </c>
      <c r="CY27" s="116">
        <f>COUNTIFS('DRAFT 2'!$D:$D,$B27,'DRAFT 2'!$A:$A,"&gt;="&amp;DATE(2026,2,22),'DRAFT 2'!$A:$A,"&lt;"&amp;DATE(2026,IF(2=12,2+1,2+1),1))</f>
        <v/>
      </c>
      <c r="CZ27" s="116">
        <f>SUM(CV27:CY27)</f>
        <v/>
      </c>
      <c r="DJ27" s="116">
        <f>IFERROR(LOOKUP(2,1/('DRAFT 2'!$D:$D=$B27)*('DRAFT 2'!$A:$A&gt;=DATE(2026,3,1))*('DRAFT 2'!$A:$A&lt;DATE(2026,IF(3=12,3+1,3+1),1)),'DRAFT 2'!$A:$A),"")</f>
        <v/>
      </c>
      <c r="DK27" s="116">
        <f>COUNTIFS('DRAFT 2'!$D:$D,$B27,'DRAFT 2'!$A:$A,"&gt;="&amp;DATE(2026,3,1),'DRAFT 2'!$A:$A,"&lt;="&amp;DATE(2026,3,7))</f>
        <v/>
      </c>
      <c r="DL27" s="116">
        <f>COUNTIFS('DRAFT 2'!$D:$D,$B27,'DRAFT 2'!$A:$A,"&gt;="&amp;DATE(2026,3,8),'DRAFT 2'!$A:$A,"&lt;="&amp;DATE(2026,3,14))</f>
        <v/>
      </c>
      <c r="DM27" s="116">
        <f>COUNTIFS('DRAFT 2'!$D:$D,$B27,'DRAFT 2'!$A:$A,"&gt;="&amp;DATE(2026,3,15),'DRAFT 2'!$A:$A,"&lt;="&amp;DATE(2026,3,21))</f>
        <v/>
      </c>
      <c r="DN27" s="116">
        <f>COUNTIFS('DRAFT 2'!$D:$D,$B27,'DRAFT 2'!$A:$A,"&gt;="&amp;DATE(2026,3,22),'DRAFT 2'!$A:$A,"&lt;"&amp;DATE(2026,IF(3=12,3+1,3+1),1))</f>
        <v/>
      </c>
      <c r="DO27" s="116">
        <f>SUM(DK27:DN27)</f>
        <v/>
      </c>
      <c r="DZ27" s="116">
        <f>IFERROR(LOOKUP(2,1/('DRAFT 2'!$D:$D=$B27)*('DRAFT 2'!$A:$A&gt;=DATE(2026,4,1))*('DRAFT 2'!$A:$A&lt;DATE(2026,IF(4=12,4+1,4+1),1)),'DRAFT 2'!$A:$A),"")</f>
        <v/>
      </c>
      <c r="EA27" s="116">
        <f>COUNTIFS('DRAFT 2'!$D:$D,$B27,'DRAFT 2'!$A:$A,"&gt;="&amp;DATE(2026,4,1),'DRAFT 2'!$A:$A,"&lt;="&amp;DATE(2026,4,7))</f>
        <v/>
      </c>
      <c r="EB27" s="116">
        <f>COUNTIFS('DRAFT 2'!$D:$D,$B27,'DRAFT 2'!$A:$A,"&gt;="&amp;DATE(2026,4,8),'DRAFT 2'!$A:$A,"&lt;="&amp;DATE(2026,4,14))</f>
        <v/>
      </c>
      <c r="EC27" s="116">
        <f>COUNTIFS('DRAFT 2'!$D:$D,$B27,'DRAFT 2'!$A:$A,"&gt;="&amp;DATE(2026,4,15),'DRAFT 2'!$A:$A,"&lt;="&amp;DATE(2026,4,21))</f>
        <v/>
      </c>
      <c r="ED27" s="116">
        <f>COUNTIFS('DRAFT 2'!$D:$D,$B27,'DRAFT 2'!$A:$A,"&gt;="&amp;DATE(2026,4,22),'DRAFT 2'!$A:$A,"&lt;"&amp;DATE(2026,IF(4=12,4+1,4+1),1))</f>
        <v/>
      </c>
      <c r="EE27" s="116">
        <f>SUM(EA27:ED27)</f>
        <v/>
      </c>
      <c r="EO27" s="116">
        <f>IFERROR(LOOKUP(2,1/('DRAFT 2'!$D:$D=$B27)*('DRAFT 2'!$A:$A&gt;=DATE(2026,5,1))*('DRAFT 2'!$A:$A&lt;DATE(2026,IF(5=12,5+1,5+1),1)),'DRAFT 2'!$A:$A),"")</f>
        <v/>
      </c>
      <c r="EP27" s="116">
        <f>COUNTIFS('DRAFT 2'!$D:$D,$B27,'DRAFT 2'!$A:$A,"&gt;="&amp;DATE(2026,5,1),'DRAFT 2'!$A:$A,"&lt;="&amp;DATE(2026,5,7))</f>
        <v/>
      </c>
      <c r="EQ27" s="116">
        <f>COUNTIFS('DRAFT 2'!$D:$D,$B27,'DRAFT 2'!$A:$A,"&gt;="&amp;DATE(2026,5,8),'DRAFT 2'!$A:$A,"&lt;="&amp;DATE(2026,5,14))</f>
        <v/>
      </c>
      <c r="ER27" s="116">
        <f>COUNTIFS('DRAFT 2'!$D:$D,$B27,'DRAFT 2'!$A:$A,"&gt;="&amp;DATE(2026,5,15),'DRAFT 2'!$A:$A,"&lt;="&amp;DATE(2026,5,21))</f>
        <v/>
      </c>
      <c r="ES27" s="116">
        <f>COUNTIFS('DRAFT 2'!$D:$D,$B27,'DRAFT 2'!$A:$A,"&gt;="&amp;DATE(2026,5,22),'DRAFT 2'!$A:$A,"&lt;"&amp;DATE(2026,IF(5=12,5+1,5+1),1))</f>
        <v/>
      </c>
      <c r="ET27" s="116">
        <f>SUM(EP27:ES27)</f>
        <v/>
      </c>
      <c r="FD27" s="116">
        <f>IFERROR(LOOKUP(2,1/('DRAFT 2'!$D:$D=$B27)*('DRAFT 2'!$A:$A&gt;=DATE(2026,6,1))*('DRAFT 2'!$A:$A&lt;DATE(2026,IF(6=12,6+1,6+1),1)),'DRAFT 2'!$A:$A),"")</f>
        <v/>
      </c>
      <c r="FE27" s="116">
        <f>COUNTIFS('DRAFT 2'!$D:$D,$B27,'DRAFT 2'!$A:$A,"&gt;="&amp;DATE(2026,6,1),'DRAFT 2'!$A:$A,"&lt;="&amp;DATE(2026,6,7))</f>
        <v/>
      </c>
      <c r="FF27" s="116">
        <f>COUNTIFS('DRAFT 2'!$D:$D,$B27,'DRAFT 2'!$A:$A,"&gt;="&amp;DATE(2026,6,8),'DRAFT 2'!$A:$A,"&lt;="&amp;DATE(2026,6,14))</f>
        <v/>
      </c>
      <c r="FG27" s="116">
        <f>COUNTIFS('DRAFT 2'!$D:$D,$B27,'DRAFT 2'!$A:$A,"&gt;="&amp;DATE(2026,6,15),'DRAFT 2'!$A:$A,"&lt;="&amp;DATE(2026,6,21))</f>
        <v/>
      </c>
      <c r="FH27" s="116">
        <f>COUNTIFS('DRAFT 2'!$D:$D,$B27,'DRAFT 2'!$A:$A,"&gt;="&amp;DATE(2026,6,22),'DRAFT 2'!$A:$A,"&lt;"&amp;DATE(2026,IF(6=12,6+1,6+1),1))</f>
        <v/>
      </c>
      <c r="FI27" s="116">
        <f>SUM(FE27:FH27)</f>
        <v/>
      </c>
      <c r="FT27" s="116">
        <f>IFERROR(LOOKUP(2,1/('DRAFT 2'!$D:$D=$B27)*('DRAFT 2'!$A:$A&gt;=DATE(2026,7,1))*('DRAFT 2'!$A:$A&lt;DATE(2026,IF(7=12,7+1,7+1),1)),'DRAFT 2'!$A:$A),"")</f>
        <v/>
      </c>
      <c r="FU27" s="116">
        <f>COUNTIFS('DRAFT 2'!$D:$D,$B27,'DRAFT 2'!$A:$A,"&gt;="&amp;DATE(2026,7,1),'DRAFT 2'!$A:$A,"&lt;="&amp;DATE(2026,7,7))</f>
        <v/>
      </c>
      <c r="FV27" s="116">
        <f>COUNTIFS('DRAFT 2'!$D:$D,$B27,'DRAFT 2'!$A:$A,"&gt;="&amp;DATE(2026,7,8),'DRAFT 2'!$A:$A,"&lt;="&amp;DATE(2026,7,14))</f>
        <v/>
      </c>
      <c r="FW27" s="116">
        <f>COUNTIFS('DRAFT 2'!$D:$D,$B27,'DRAFT 2'!$A:$A,"&gt;="&amp;DATE(2026,7,15),'DRAFT 2'!$A:$A,"&lt;="&amp;DATE(2026,7,21))</f>
        <v/>
      </c>
      <c r="FX27" s="116">
        <f>COUNTIFS('DRAFT 2'!$D:$D,$B27,'DRAFT 2'!$A:$A,"&gt;="&amp;DATE(2026,7,22),'DRAFT 2'!$A:$A,"&lt;"&amp;DATE(2026,IF(7=12,7+1,7+1),1))</f>
        <v/>
      </c>
      <c r="FY27" s="116">
        <f>SUM(FU27:FX27)</f>
        <v/>
      </c>
      <c r="GI27" s="116">
        <f>IFERROR(LOOKUP(2,1/('DRAFT 2'!$D:$D=$B27)*('DRAFT 2'!$A:$A&gt;=DATE(2026,8,1))*('DRAFT 2'!$A:$A&lt;DATE(2026,IF(8=12,8+1,8+1),1)),'DRAFT 2'!$A:$A),"")</f>
        <v/>
      </c>
      <c r="GJ27" s="116">
        <f>COUNTIFS('DRAFT 2'!$D:$D,$B27,'DRAFT 2'!$A:$A,"&gt;="&amp;DATE(2026,8,1),'DRAFT 2'!$A:$A,"&lt;="&amp;DATE(2026,8,7))</f>
        <v/>
      </c>
      <c r="GK27" s="116">
        <f>COUNTIFS('DRAFT 2'!$D:$D,$B27,'DRAFT 2'!$A:$A,"&gt;="&amp;DATE(2026,8,8),'DRAFT 2'!$A:$A,"&lt;="&amp;DATE(2026,8,14))</f>
        <v/>
      </c>
      <c r="GL27" s="116">
        <f>COUNTIFS('DRAFT 2'!$D:$D,$B27,'DRAFT 2'!$A:$A,"&gt;="&amp;DATE(2026,8,15),'DRAFT 2'!$A:$A,"&lt;="&amp;DATE(2026,8,21))</f>
        <v/>
      </c>
      <c r="GM27" s="116">
        <f>COUNTIFS('DRAFT 2'!$D:$D,$B27,'DRAFT 2'!$A:$A,"&gt;="&amp;DATE(2026,8,22),'DRAFT 2'!$A:$A,"&lt;"&amp;DATE(2026,IF(8=12,8+1,8+1),1))</f>
        <v/>
      </c>
      <c r="GN27" s="116">
        <f>SUM(GJ27:GM27)</f>
        <v/>
      </c>
      <c r="GX27" s="116">
        <f>IFERROR(LOOKUP(2,1/('DRAFT 2'!$D:$D=$B27)*('DRAFT 2'!$A:$A&gt;=DATE(2026,9,1))*('DRAFT 2'!$A:$A&lt;DATE(2026,IF(9=12,9+1,9+1),1)),'DRAFT 2'!$A:$A),"")</f>
        <v/>
      </c>
      <c r="GY27" s="116">
        <f>COUNTIFS('DRAFT 2'!$D:$D,$B27,'DRAFT 2'!$A:$A,"&gt;="&amp;DATE(2026,9,1),'DRAFT 2'!$A:$A,"&lt;="&amp;DATE(2026,9,7))</f>
        <v/>
      </c>
      <c r="GZ27" s="116">
        <f>COUNTIFS('DRAFT 2'!$D:$D,$B27,'DRAFT 2'!$A:$A,"&gt;="&amp;DATE(2026,9,8),'DRAFT 2'!$A:$A,"&lt;="&amp;DATE(2026,9,14))</f>
        <v/>
      </c>
      <c r="HA27" s="116">
        <f>COUNTIFS('DRAFT 2'!$D:$D,$B27,'DRAFT 2'!$A:$A,"&gt;="&amp;DATE(2026,9,15),'DRAFT 2'!$A:$A,"&lt;="&amp;DATE(2026,9,21))</f>
        <v/>
      </c>
      <c r="HB27" s="116">
        <f>COUNTIFS('DRAFT 2'!$D:$D,$B27,'DRAFT 2'!$A:$A,"&gt;="&amp;DATE(2026,9,22),'DRAFT 2'!$A:$A,"&lt;"&amp;DATE(2026,IF(9=12,9+1,9+1),1))</f>
        <v/>
      </c>
      <c r="HC27" s="116">
        <f>SUM(GY27:HB27)</f>
        <v/>
      </c>
      <c r="HN27" s="116">
        <f>IFERROR(LOOKUP(2,1/('DRAFT 2'!$D:$D=$B27)*('DRAFT 2'!$A:$A&gt;=DATE(2026,10,1))*('DRAFT 2'!$A:$A&lt;DATE(2026,IF(10=12,10+1,10+1),1)),'DRAFT 2'!$A:$A),"")</f>
        <v/>
      </c>
      <c r="HO27" s="116">
        <f>COUNTIFS('DRAFT 2'!$D:$D,$B27,'DRAFT 2'!$A:$A,"&gt;="&amp;DATE(2026,10,1),'DRAFT 2'!$A:$A,"&lt;="&amp;DATE(2026,10,7))</f>
        <v/>
      </c>
      <c r="HP27" s="116">
        <f>COUNTIFS('DRAFT 2'!$D:$D,$B27,'DRAFT 2'!$A:$A,"&gt;="&amp;DATE(2026,10,8),'DRAFT 2'!$A:$A,"&lt;="&amp;DATE(2026,10,14))</f>
        <v/>
      </c>
      <c r="HQ27" s="116">
        <f>COUNTIFS('DRAFT 2'!$D:$D,$B27,'DRAFT 2'!$A:$A,"&gt;="&amp;DATE(2026,10,15),'DRAFT 2'!$A:$A,"&lt;="&amp;DATE(2026,10,21))</f>
        <v/>
      </c>
      <c r="HR27" s="116">
        <f>COUNTIFS('DRAFT 2'!$D:$D,$B27,'DRAFT 2'!$A:$A,"&gt;="&amp;DATE(2026,10,22),'DRAFT 2'!$A:$A,"&lt;"&amp;DATE(2026,IF(10=12,10+1,10+1),1))</f>
        <v/>
      </c>
      <c r="HS27" s="116">
        <f>SUM(HO27:HR27)</f>
        <v/>
      </c>
      <c r="IC27" s="116">
        <f>IFERROR(LOOKUP(2,1/('DRAFT 2'!$D:$D=$B27)*('DRAFT 2'!$A:$A&gt;=DATE(2026,11,1))*('DRAFT 2'!$A:$A&lt;DATE(2026,IF(11=12,11+1,11+1),1)),'DRAFT 2'!$A:$A),"")</f>
        <v/>
      </c>
      <c r="ID27" s="116">
        <f>COUNTIFS('DRAFT 2'!$D:$D,$B27,'DRAFT 2'!$A:$A,"&gt;="&amp;DATE(2026,11,1),'DRAFT 2'!$A:$A,"&lt;="&amp;DATE(2026,11,7))</f>
        <v/>
      </c>
      <c r="IE27" s="116">
        <f>COUNTIFS('DRAFT 2'!$D:$D,$B27,'DRAFT 2'!$A:$A,"&gt;="&amp;DATE(2026,11,8),'DRAFT 2'!$A:$A,"&lt;="&amp;DATE(2026,11,14))</f>
        <v/>
      </c>
      <c r="IF27" s="116">
        <f>COUNTIFS('DRAFT 2'!$D:$D,$B27,'DRAFT 2'!$A:$A,"&gt;="&amp;DATE(2026,11,15),'DRAFT 2'!$A:$A,"&lt;="&amp;DATE(2026,11,21))</f>
        <v/>
      </c>
      <c r="IG27" s="116">
        <f>COUNTIFS('DRAFT 2'!$D:$D,$B27,'DRAFT 2'!$A:$A,"&gt;="&amp;DATE(2026,11,22),'DRAFT 2'!$A:$A,"&lt;"&amp;DATE(2026,IF(11=12,11+1,11+1),1))</f>
        <v/>
      </c>
      <c r="IH27" s="116">
        <f>SUM(ID27:IG27)</f>
        <v/>
      </c>
      <c r="IR27" s="116">
        <f>IFERROR(LOOKUP(2,1/('DRAFT 2'!$D:$D=$B27)*('DRAFT 2'!$A:$A&gt;=DATE(2026,12,1))*('DRAFT 2'!$A:$A&lt;DATE(2026,IF(12=12,12+1,12+1),1)),'DRAFT 2'!$A:$A),"")</f>
        <v/>
      </c>
      <c r="IS27" s="116">
        <f>COUNTIFS('DRAFT 2'!$D:$D,$B27,'DRAFT 2'!$A:$A,"&gt;="&amp;DATE(2026,12,1),'DRAFT 2'!$A:$A,"&lt;="&amp;DATE(2026,12,7))</f>
        <v/>
      </c>
      <c r="IT27" s="116">
        <f>COUNTIFS('DRAFT 2'!$D:$D,$B27,'DRAFT 2'!$A:$A,"&gt;="&amp;DATE(2026,12,8),'DRAFT 2'!$A:$A,"&lt;="&amp;DATE(2026,12,14))</f>
        <v/>
      </c>
      <c r="IU27" s="116">
        <f>COUNTIFS('DRAFT 2'!$D:$D,$B27,'DRAFT 2'!$A:$A,"&gt;="&amp;DATE(2026,12,15),'DRAFT 2'!$A:$A,"&lt;="&amp;DATE(2026,12,21))</f>
        <v/>
      </c>
      <c r="IV27" s="116">
        <f>COUNTIFS('DRAFT 2'!$D:$D,$B27,'DRAFT 2'!$A:$A,"&gt;="&amp;DATE(2026,12,22),'DRAFT 2'!$A:$A,"&lt;"&amp;DATE(2026,IF(12=12,12+1,12+1),1))</f>
        <v/>
      </c>
      <c r="IW27" s="116">
        <f>SUM(IS27:IV27)</f>
        <v/>
      </c>
    </row>
    <row r="28">
      <c r="A28" s="116">
        <f>IFERROR(INDEX('DRAFT 1'!$A:$A,MATCH($B28,'DRAFT 1'!$B:$B,0)),"")</f>
        <v/>
      </c>
      <c r="C28" s="116">
        <f>IFERROR(INDEX('DRAFT 1'!$C:$C,MATCH($B28,'DRAFT 1'!$B:$B,0)),"")</f>
        <v/>
      </c>
      <c r="D28" s="116">
        <f>IFERROR(INDEX('DRAFT 1'!$D:$D,MATCH($B28,'DRAFT 1'!$B:$B,0)),"")</f>
        <v/>
      </c>
      <c r="E28" s="116">
        <f>IFERROR(INDEX('DRAFT 1'!$E:$E,MATCH($B28,'DRAFT 1'!$B:$B,0)),"")</f>
        <v/>
      </c>
      <c r="F28" s="116">
        <f>IFERROR(INDEX('DRAFT 1'!$F:$F,MATCH($B28,'DRAFT 1'!$B:$B,0)),"")</f>
        <v/>
      </c>
      <c r="G28" s="116">
        <f>IFERROR(INDEX('DRAFT 1'!$G:$G,MATCH($B28,'DRAFT 1'!$B:$B,0)),"")</f>
        <v/>
      </c>
      <c r="H28" s="116">
        <f>IFERROR(INDEX('DRAFT 1'!$H:$H,MATCH($B28,'DRAFT 1'!$B:$B,0)),"")</f>
        <v/>
      </c>
      <c r="I28" s="116" t="inlineStr">
        <is>
          <t>TUDO EM GRAOS</t>
        </is>
      </c>
      <c r="K28" s="116">
        <f>IFERROR(INDEX('DRAFT 1'!$AL:$AL,MATCH($B28,'DRAFT 1'!$B:$B,0)),"")</f>
        <v/>
      </c>
      <c r="L28" s="116">
        <f>IFERROR(INDEX('DRAFT 1'!$J:$J,MATCH($B28,'DRAFT 1'!$B:$B,0)),"")</f>
        <v/>
      </c>
      <c r="M28" s="116">
        <f>IFERROR(INDEX('DRAFT 1'!$K:$K,MATCH($B28,'DRAFT 1'!$B:$B,0)),"")</f>
        <v/>
      </c>
      <c r="N28" s="116" t="inlineStr">
        <is>
          <t>EM RISCO</t>
        </is>
      </c>
      <c r="P28" s="116">
        <f>IFERROR(INDEX('DRAFT 1'!$L:$L,MATCH($B28,'DRAFT 1'!$B:$B,0)),"")</f>
        <v/>
      </c>
      <c r="Q28" s="116">
        <f>IFERROR(INDEX('DRAFT 1'!$M:$M,MATCH($B28,'DRAFT 1'!$B:$B,0)),"")</f>
        <v/>
      </c>
      <c r="R28" s="116">
        <f>IFERROR(INDEX('DRAFT 1'!$N:$N,MATCH($B28,'DRAFT 1'!$B:$B,0)),"")</f>
        <v/>
      </c>
      <c r="S28" s="116">
        <f>IFERROR(INDEX('DRAFT 1'!$O:$O,MATCH($B28,'DRAFT 1'!$B:$B,0)),"")</f>
        <v/>
      </c>
      <c r="T28" s="116">
        <f>IFERROR(INDEX('DRAFT 1'!$P:$P,MATCH($B28,'DRAFT 1'!$B:$B,0)),"")</f>
        <v/>
      </c>
      <c r="U28" s="116">
        <f>IFERROR(INDEX('DRAFT 1'!$Q:$Q,MATCH($B28,'DRAFT 1'!$B:$B,0)),"")</f>
        <v/>
      </c>
      <c r="V28" s="116">
        <f>IFERROR(INDEX('DRAFT 1'!$R:$R,MATCH($B28,'DRAFT 1'!$B:$B,0)),"")</f>
        <v/>
      </c>
      <c r="W28" s="116">
        <f>IFERROR(INDEX('DRAFT 1'!$S:$S,MATCH($B28,'DRAFT 1'!$B:$B,0)),"")</f>
        <v/>
      </c>
      <c r="X28" s="116">
        <f>IFERROR(INDEX('DRAFT 1'!$T:$T,MATCH($B28,'DRAFT 1'!$B:$B,0)),"")</f>
        <v/>
      </c>
      <c r="Z28" s="116">
        <f>IFERROR(INDEX('DRAFT 1'!$U:$U,MATCH($B28,'DRAFT 1'!$B:$B,0)),"")</f>
        <v/>
      </c>
      <c r="AA28" s="116">
        <f>IFERROR(INDEX('DRAFT 1'!$V:$V,MATCH($B28,'DRAFT 1'!$B:$B,0)),"")</f>
        <v/>
      </c>
      <c r="AB28" s="116">
        <f>IFERROR(INDEX('DRAFT 1'!$W:$W,MATCH($B28,'DRAFT 1'!$B:$B,0)),"")</f>
        <v/>
      </c>
      <c r="AC28" s="116">
        <f>IFERROR(INDEX('DRAFT 1'!$X:$X,MATCH($B28,'DRAFT 1'!$B:$B,0)),"")</f>
        <v/>
      </c>
      <c r="AD28" s="116">
        <f>IFERROR(INDEX('DRAFT 1'!$Y:$Y,MATCH($B28,'DRAFT 1'!$B:$B,0)),"")</f>
        <v/>
      </c>
      <c r="AE28" s="116">
        <f>IFERROR(INDEX('DRAFT 1'!$Z:$Z,MATCH($B28,'DRAFT 1'!$B:$B,0)),"")</f>
        <v/>
      </c>
      <c r="AF28" s="116">
        <f>IFERROR(INDEX('DRAFT 1'!$AA:$AA,MATCH($B28,'DRAFT 1'!$B:$B,0)),"")</f>
        <v/>
      </c>
      <c r="AG28" s="116">
        <f>IFERROR(INDEX('DRAFT 1'!$AB:$AB,MATCH($B28,'DRAFT 1'!$B:$B,0)),"")</f>
        <v/>
      </c>
      <c r="AH28" s="116">
        <f>IFERROR(INDEX('DRAFT 1'!$AC:$AC,MATCH($B28,'DRAFT 1'!$B:$B,0)),"")</f>
        <v/>
      </c>
      <c r="AI28" s="116">
        <f>IFERROR(INDEX('DRAFT 1'!$AD:$AD,MATCH($B28,'DRAFT 1'!$B:$B,0)),"")</f>
        <v/>
      </c>
      <c r="AJ28" s="116">
        <f>IFERROR(INDEX('DRAFT 1'!$AE:$AE,MATCH($B28,'DRAFT 1'!$B:$B,0)),"")</f>
        <v/>
      </c>
      <c r="AK28" s="116">
        <f>IFERROR(INDEX('DRAFT 1'!$AG:$AG,MATCH($B28,'DRAFT 1'!$B:$B,0)),"")</f>
        <v/>
      </c>
      <c r="AL28" s="116">
        <f>IFERROR(INDEX('DRAFT 1'!$AH:$AH,MATCH($B28,'DRAFT 1'!$B:$B,0)),"")</f>
        <v/>
      </c>
      <c r="AM28" s="116">
        <f>IFERROR(INDEX('DRAFT 1'!$AI:$AI,MATCH($B28,'DRAFT 1'!$B:$B,0)),"")</f>
        <v/>
      </c>
      <c r="AN28" s="116">
        <f>IFERROR(INDEX('DRAFT 1'!$AJ:$AJ,MATCH($B28,'DRAFT 1'!$B:$B,0)),"")</f>
        <v/>
      </c>
      <c r="AO28" s="116">
        <f>IFERROR(Y28/AN28,0)</f>
        <v/>
      </c>
      <c r="AP28" s="116">
        <f>IFERROR(INDEX('DRAFT 1'!$AK:$AK,MATCH($B28,'DRAFT 1'!$B:$B,0)),"")</f>
        <v/>
      </c>
      <c r="AR28" s="116" t="inlineStr">
        <is>
          <t>RECOMPRA</t>
        </is>
      </c>
      <c r="AS28" s="116">
        <f>IFERROR(LOOKUP(2,1/('DRAFT 2'!$D:$D=$B28),'DRAFT 2'!$T:$T),"")</f>
        <v/>
      </c>
      <c r="AT28" s="116">
        <f>IFERROR(LOOKUP(2,1/('DRAFT 2'!$D:$D=$B28),'DRAFT 2'!$A:$A),"")</f>
        <v/>
      </c>
      <c r="AU28" s="116">
        <f>IFERROR(LOOKUP(2,1/('DRAFT 2'!$D:$D=$B28),'DRAFT 2'!$R:$R),"")</f>
        <v/>
      </c>
      <c r="AV28" s="116">
        <f>IFERROR(LOOKUP(2,1/('DRAFT 2'!$D:$D=$B28),'DRAFT 2'!$S:$S),"")</f>
        <v/>
      </c>
      <c r="AW28" s="116" t="inlineStr">
        <is>
          <t>PROSPECT</t>
        </is>
      </c>
      <c r="AX28" s="116">
        <f>IFERROR(LOOKUP(2,1/('DRAFT 2'!$D:$D=$B28),'DRAFT 2'!$M:$M),"")</f>
        <v/>
      </c>
      <c r="AY28" s="116">
        <f>IFERROR(LOOKUP(2,1/('DRAFT 2'!$D:$D=$B28),'DRAFT 2'!$K:$K),"")</f>
        <v/>
      </c>
      <c r="BG28" s="116">
        <f>IFERROR(LOOKUP(2,1/('DRAFT 2'!$D:$D=$B28),'DRAFT 2'!$U:$U),"")</f>
        <v/>
      </c>
      <c r="BH28" s="116">
        <f>IFERROR(LOOKUP(2,1/('DRAFT 2'!$D:$D=$B28),'DRAFT 2'!$V:$V),"")</f>
        <v/>
      </c>
      <c r="CE28" s="116">
        <f>IFERROR(AJ28,0)</f>
        <v/>
      </c>
      <c r="CF28" s="116">
        <f>IFERROR(LOOKUP(2,1/('DRAFT 2'!$D:$D=$B28)*('DRAFT 2'!$A:$A&gt;=DATE(2026,1,1))*('DRAFT 2'!$A:$A&lt;DATE(2026,IF(1=12,1+1,1+1),1)),'DRAFT 2'!$A:$A),"")</f>
        <v/>
      </c>
      <c r="CG28" s="116">
        <f>COUNTIFS('DRAFT 2'!$D:$D,$B28,'DRAFT 2'!$A:$A,"&gt;="&amp;DATE(2026,1,1),'DRAFT 2'!$A:$A,"&lt;="&amp;DATE(2026,1,7))</f>
        <v/>
      </c>
      <c r="CH28" s="116">
        <f>COUNTIFS('DRAFT 2'!$D:$D,$B28,'DRAFT 2'!$A:$A,"&gt;="&amp;DATE(2026,1,8),'DRAFT 2'!$A:$A,"&lt;="&amp;DATE(2026,1,14))</f>
        <v/>
      </c>
      <c r="CI28" s="116">
        <f>COUNTIFS('DRAFT 2'!$D:$D,$B28,'DRAFT 2'!$A:$A,"&gt;="&amp;DATE(2026,1,15),'DRAFT 2'!$A:$A,"&lt;="&amp;DATE(2026,1,21))</f>
        <v/>
      </c>
      <c r="CJ28" s="116">
        <f>COUNTIFS('DRAFT 2'!$D:$D,$B28,'DRAFT 2'!$A:$A,"&gt;="&amp;DATE(2026,1,22),'DRAFT 2'!$A:$A,"&lt;"&amp;DATE(2026,IF(1=12,1+1,1+1),1))</f>
        <v/>
      </c>
      <c r="CK28" s="116">
        <f>SUM(CG28:CJ28)</f>
        <v/>
      </c>
      <c r="CT28" s="116" t="n">
        <v>0</v>
      </c>
      <c r="CU28" s="116">
        <f>IFERROR(LOOKUP(2,1/('DRAFT 2'!$D:$D=$B28)*('DRAFT 2'!$A:$A&gt;=DATE(2026,2,1))*('DRAFT 2'!$A:$A&lt;DATE(2026,IF(2=12,2+1,2+1),1)),'DRAFT 2'!$A:$A),"")</f>
        <v/>
      </c>
      <c r="CV28" s="116">
        <f>COUNTIFS('DRAFT 2'!$D:$D,$B28,'DRAFT 2'!$A:$A,"&gt;="&amp;DATE(2026,2,1),'DRAFT 2'!$A:$A,"&lt;="&amp;DATE(2026,2,7))</f>
        <v/>
      </c>
      <c r="CW28" s="116">
        <f>COUNTIFS('DRAFT 2'!$D:$D,$B28,'DRAFT 2'!$A:$A,"&gt;="&amp;DATE(2026,2,8),'DRAFT 2'!$A:$A,"&lt;="&amp;DATE(2026,2,14))</f>
        <v/>
      </c>
      <c r="CX28" s="116">
        <f>COUNTIFS('DRAFT 2'!$D:$D,$B28,'DRAFT 2'!$A:$A,"&gt;="&amp;DATE(2026,2,15),'DRAFT 2'!$A:$A,"&lt;="&amp;DATE(2026,2,21))</f>
        <v/>
      </c>
      <c r="CY28" s="116">
        <f>COUNTIFS('DRAFT 2'!$D:$D,$B28,'DRAFT 2'!$A:$A,"&gt;="&amp;DATE(2026,2,22),'DRAFT 2'!$A:$A,"&lt;"&amp;DATE(2026,IF(2=12,2+1,2+1),1))</f>
        <v/>
      </c>
      <c r="CZ28" s="116">
        <f>SUM(CV28:CY28)</f>
        <v/>
      </c>
      <c r="DJ28" s="116">
        <f>IFERROR(LOOKUP(2,1/('DRAFT 2'!$D:$D=$B28)*('DRAFT 2'!$A:$A&gt;=DATE(2026,3,1))*('DRAFT 2'!$A:$A&lt;DATE(2026,IF(3=12,3+1,3+1),1)),'DRAFT 2'!$A:$A),"")</f>
        <v/>
      </c>
      <c r="DK28" s="116">
        <f>COUNTIFS('DRAFT 2'!$D:$D,$B28,'DRAFT 2'!$A:$A,"&gt;="&amp;DATE(2026,3,1),'DRAFT 2'!$A:$A,"&lt;="&amp;DATE(2026,3,7))</f>
        <v/>
      </c>
      <c r="DL28" s="116">
        <f>COUNTIFS('DRAFT 2'!$D:$D,$B28,'DRAFT 2'!$A:$A,"&gt;="&amp;DATE(2026,3,8),'DRAFT 2'!$A:$A,"&lt;="&amp;DATE(2026,3,14))</f>
        <v/>
      </c>
      <c r="DM28" s="116">
        <f>COUNTIFS('DRAFT 2'!$D:$D,$B28,'DRAFT 2'!$A:$A,"&gt;="&amp;DATE(2026,3,15),'DRAFT 2'!$A:$A,"&lt;="&amp;DATE(2026,3,21))</f>
        <v/>
      </c>
      <c r="DN28" s="116">
        <f>COUNTIFS('DRAFT 2'!$D:$D,$B28,'DRAFT 2'!$A:$A,"&gt;="&amp;DATE(2026,3,22),'DRAFT 2'!$A:$A,"&lt;"&amp;DATE(2026,IF(3=12,3+1,3+1),1))</f>
        <v/>
      </c>
      <c r="DO28" s="116">
        <f>SUM(DK28:DN28)</f>
        <v/>
      </c>
      <c r="DZ28" s="116">
        <f>IFERROR(LOOKUP(2,1/('DRAFT 2'!$D:$D=$B28)*('DRAFT 2'!$A:$A&gt;=DATE(2026,4,1))*('DRAFT 2'!$A:$A&lt;DATE(2026,IF(4=12,4+1,4+1),1)),'DRAFT 2'!$A:$A),"")</f>
        <v/>
      </c>
      <c r="EA28" s="116">
        <f>COUNTIFS('DRAFT 2'!$D:$D,$B28,'DRAFT 2'!$A:$A,"&gt;="&amp;DATE(2026,4,1),'DRAFT 2'!$A:$A,"&lt;="&amp;DATE(2026,4,7))</f>
        <v/>
      </c>
      <c r="EB28" s="116">
        <f>COUNTIFS('DRAFT 2'!$D:$D,$B28,'DRAFT 2'!$A:$A,"&gt;="&amp;DATE(2026,4,8),'DRAFT 2'!$A:$A,"&lt;="&amp;DATE(2026,4,14))</f>
        <v/>
      </c>
      <c r="EC28" s="116">
        <f>COUNTIFS('DRAFT 2'!$D:$D,$B28,'DRAFT 2'!$A:$A,"&gt;="&amp;DATE(2026,4,15),'DRAFT 2'!$A:$A,"&lt;="&amp;DATE(2026,4,21))</f>
        <v/>
      </c>
      <c r="ED28" s="116">
        <f>COUNTIFS('DRAFT 2'!$D:$D,$B28,'DRAFT 2'!$A:$A,"&gt;="&amp;DATE(2026,4,22),'DRAFT 2'!$A:$A,"&lt;"&amp;DATE(2026,IF(4=12,4+1,4+1),1))</f>
        <v/>
      </c>
      <c r="EE28" s="116">
        <f>SUM(EA28:ED28)</f>
        <v/>
      </c>
      <c r="EO28" s="116">
        <f>IFERROR(LOOKUP(2,1/('DRAFT 2'!$D:$D=$B28)*('DRAFT 2'!$A:$A&gt;=DATE(2026,5,1))*('DRAFT 2'!$A:$A&lt;DATE(2026,IF(5=12,5+1,5+1),1)),'DRAFT 2'!$A:$A),"")</f>
        <v/>
      </c>
      <c r="EP28" s="116">
        <f>COUNTIFS('DRAFT 2'!$D:$D,$B28,'DRAFT 2'!$A:$A,"&gt;="&amp;DATE(2026,5,1),'DRAFT 2'!$A:$A,"&lt;="&amp;DATE(2026,5,7))</f>
        <v/>
      </c>
      <c r="EQ28" s="116">
        <f>COUNTIFS('DRAFT 2'!$D:$D,$B28,'DRAFT 2'!$A:$A,"&gt;="&amp;DATE(2026,5,8),'DRAFT 2'!$A:$A,"&lt;="&amp;DATE(2026,5,14))</f>
        <v/>
      </c>
      <c r="ER28" s="116">
        <f>COUNTIFS('DRAFT 2'!$D:$D,$B28,'DRAFT 2'!$A:$A,"&gt;="&amp;DATE(2026,5,15),'DRAFT 2'!$A:$A,"&lt;="&amp;DATE(2026,5,21))</f>
        <v/>
      </c>
      <c r="ES28" s="116">
        <f>COUNTIFS('DRAFT 2'!$D:$D,$B28,'DRAFT 2'!$A:$A,"&gt;="&amp;DATE(2026,5,22),'DRAFT 2'!$A:$A,"&lt;"&amp;DATE(2026,IF(5=12,5+1,5+1),1))</f>
        <v/>
      </c>
      <c r="ET28" s="116">
        <f>SUM(EP28:ES28)</f>
        <v/>
      </c>
      <c r="FD28" s="116">
        <f>IFERROR(LOOKUP(2,1/('DRAFT 2'!$D:$D=$B28)*('DRAFT 2'!$A:$A&gt;=DATE(2026,6,1))*('DRAFT 2'!$A:$A&lt;DATE(2026,IF(6=12,6+1,6+1),1)),'DRAFT 2'!$A:$A),"")</f>
        <v/>
      </c>
      <c r="FE28" s="116">
        <f>COUNTIFS('DRAFT 2'!$D:$D,$B28,'DRAFT 2'!$A:$A,"&gt;="&amp;DATE(2026,6,1),'DRAFT 2'!$A:$A,"&lt;="&amp;DATE(2026,6,7))</f>
        <v/>
      </c>
      <c r="FF28" s="116">
        <f>COUNTIFS('DRAFT 2'!$D:$D,$B28,'DRAFT 2'!$A:$A,"&gt;="&amp;DATE(2026,6,8),'DRAFT 2'!$A:$A,"&lt;="&amp;DATE(2026,6,14))</f>
        <v/>
      </c>
      <c r="FG28" s="116">
        <f>COUNTIFS('DRAFT 2'!$D:$D,$B28,'DRAFT 2'!$A:$A,"&gt;="&amp;DATE(2026,6,15),'DRAFT 2'!$A:$A,"&lt;="&amp;DATE(2026,6,21))</f>
        <v/>
      </c>
      <c r="FH28" s="116">
        <f>COUNTIFS('DRAFT 2'!$D:$D,$B28,'DRAFT 2'!$A:$A,"&gt;="&amp;DATE(2026,6,22),'DRAFT 2'!$A:$A,"&lt;"&amp;DATE(2026,IF(6=12,6+1,6+1),1))</f>
        <v/>
      </c>
      <c r="FI28" s="116">
        <f>SUM(FE28:FH28)</f>
        <v/>
      </c>
      <c r="FT28" s="116">
        <f>IFERROR(LOOKUP(2,1/('DRAFT 2'!$D:$D=$B28)*('DRAFT 2'!$A:$A&gt;=DATE(2026,7,1))*('DRAFT 2'!$A:$A&lt;DATE(2026,IF(7=12,7+1,7+1),1)),'DRAFT 2'!$A:$A),"")</f>
        <v/>
      </c>
      <c r="FU28" s="116">
        <f>COUNTIFS('DRAFT 2'!$D:$D,$B28,'DRAFT 2'!$A:$A,"&gt;="&amp;DATE(2026,7,1),'DRAFT 2'!$A:$A,"&lt;="&amp;DATE(2026,7,7))</f>
        <v/>
      </c>
      <c r="FV28" s="116">
        <f>COUNTIFS('DRAFT 2'!$D:$D,$B28,'DRAFT 2'!$A:$A,"&gt;="&amp;DATE(2026,7,8),'DRAFT 2'!$A:$A,"&lt;="&amp;DATE(2026,7,14))</f>
        <v/>
      </c>
      <c r="FW28" s="116">
        <f>COUNTIFS('DRAFT 2'!$D:$D,$B28,'DRAFT 2'!$A:$A,"&gt;="&amp;DATE(2026,7,15),'DRAFT 2'!$A:$A,"&lt;="&amp;DATE(2026,7,21))</f>
        <v/>
      </c>
      <c r="FX28" s="116">
        <f>COUNTIFS('DRAFT 2'!$D:$D,$B28,'DRAFT 2'!$A:$A,"&gt;="&amp;DATE(2026,7,22),'DRAFT 2'!$A:$A,"&lt;"&amp;DATE(2026,IF(7=12,7+1,7+1),1))</f>
        <v/>
      </c>
      <c r="FY28" s="116">
        <f>SUM(FU28:FX28)</f>
        <v/>
      </c>
      <c r="GI28" s="116">
        <f>IFERROR(LOOKUP(2,1/('DRAFT 2'!$D:$D=$B28)*('DRAFT 2'!$A:$A&gt;=DATE(2026,8,1))*('DRAFT 2'!$A:$A&lt;DATE(2026,IF(8=12,8+1,8+1),1)),'DRAFT 2'!$A:$A),"")</f>
        <v/>
      </c>
      <c r="GJ28" s="116">
        <f>COUNTIFS('DRAFT 2'!$D:$D,$B28,'DRAFT 2'!$A:$A,"&gt;="&amp;DATE(2026,8,1),'DRAFT 2'!$A:$A,"&lt;="&amp;DATE(2026,8,7))</f>
        <v/>
      </c>
      <c r="GK28" s="116">
        <f>COUNTIFS('DRAFT 2'!$D:$D,$B28,'DRAFT 2'!$A:$A,"&gt;="&amp;DATE(2026,8,8),'DRAFT 2'!$A:$A,"&lt;="&amp;DATE(2026,8,14))</f>
        <v/>
      </c>
      <c r="GL28" s="116">
        <f>COUNTIFS('DRAFT 2'!$D:$D,$B28,'DRAFT 2'!$A:$A,"&gt;="&amp;DATE(2026,8,15),'DRAFT 2'!$A:$A,"&lt;="&amp;DATE(2026,8,21))</f>
        <v/>
      </c>
      <c r="GM28" s="116">
        <f>COUNTIFS('DRAFT 2'!$D:$D,$B28,'DRAFT 2'!$A:$A,"&gt;="&amp;DATE(2026,8,22),'DRAFT 2'!$A:$A,"&lt;"&amp;DATE(2026,IF(8=12,8+1,8+1),1))</f>
        <v/>
      </c>
      <c r="GN28" s="116">
        <f>SUM(GJ28:GM28)</f>
        <v/>
      </c>
      <c r="GX28" s="116">
        <f>IFERROR(LOOKUP(2,1/('DRAFT 2'!$D:$D=$B28)*('DRAFT 2'!$A:$A&gt;=DATE(2026,9,1))*('DRAFT 2'!$A:$A&lt;DATE(2026,IF(9=12,9+1,9+1),1)),'DRAFT 2'!$A:$A),"")</f>
        <v/>
      </c>
      <c r="GY28" s="116">
        <f>COUNTIFS('DRAFT 2'!$D:$D,$B28,'DRAFT 2'!$A:$A,"&gt;="&amp;DATE(2026,9,1),'DRAFT 2'!$A:$A,"&lt;="&amp;DATE(2026,9,7))</f>
        <v/>
      </c>
      <c r="GZ28" s="116">
        <f>COUNTIFS('DRAFT 2'!$D:$D,$B28,'DRAFT 2'!$A:$A,"&gt;="&amp;DATE(2026,9,8),'DRAFT 2'!$A:$A,"&lt;="&amp;DATE(2026,9,14))</f>
        <v/>
      </c>
      <c r="HA28" s="116">
        <f>COUNTIFS('DRAFT 2'!$D:$D,$B28,'DRAFT 2'!$A:$A,"&gt;="&amp;DATE(2026,9,15),'DRAFT 2'!$A:$A,"&lt;="&amp;DATE(2026,9,21))</f>
        <v/>
      </c>
      <c r="HB28" s="116">
        <f>COUNTIFS('DRAFT 2'!$D:$D,$B28,'DRAFT 2'!$A:$A,"&gt;="&amp;DATE(2026,9,22),'DRAFT 2'!$A:$A,"&lt;"&amp;DATE(2026,IF(9=12,9+1,9+1),1))</f>
        <v/>
      </c>
      <c r="HC28" s="116">
        <f>SUM(GY28:HB28)</f>
        <v/>
      </c>
      <c r="HN28" s="116">
        <f>IFERROR(LOOKUP(2,1/('DRAFT 2'!$D:$D=$B28)*('DRAFT 2'!$A:$A&gt;=DATE(2026,10,1))*('DRAFT 2'!$A:$A&lt;DATE(2026,IF(10=12,10+1,10+1),1)),'DRAFT 2'!$A:$A),"")</f>
        <v/>
      </c>
      <c r="HO28" s="116">
        <f>COUNTIFS('DRAFT 2'!$D:$D,$B28,'DRAFT 2'!$A:$A,"&gt;="&amp;DATE(2026,10,1),'DRAFT 2'!$A:$A,"&lt;="&amp;DATE(2026,10,7))</f>
        <v/>
      </c>
      <c r="HP28" s="116">
        <f>COUNTIFS('DRAFT 2'!$D:$D,$B28,'DRAFT 2'!$A:$A,"&gt;="&amp;DATE(2026,10,8),'DRAFT 2'!$A:$A,"&lt;="&amp;DATE(2026,10,14))</f>
        <v/>
      </c>
      <c r="HQ28" s="116">
        <f>COUNTIFS('DRAFT 2'!$D:$D,$B28,'DRAFT 2'!$A:$A,"&gt;="&amp;DATE(2026,10,15),'DRAFT 2'!$A:$A,"&lt;="&amp;DATE(2026,10,21))</f>
        <v/>
      </c>
      <c r="HR28" s="116">
        <f>COUNTIFS('DRAFT 2'!$D:$D,$B28,'DRAFT 2'!$A:$A,"&gt;="&amp;DATE(2026,10,22),'DRAFT 2'!$A:$A,"&lt;"&amp;DATE(2026,IF(10=12,10+1,10+1),1))</f>
        <v/>
      </c>
      <c r="HS28" s="116">
        <f>SUM(HO28:HR28)</f>
        <v/>
      </c>
      <c r="IC28" s="116">
        <f>IFERROR(LOOKUP(2,1/('DRAFT 2'!$D:$D=$B28)*('DRAFT 2'!$A:$A&gt;=DATE(2026,11,1))*('DRAFT 2'!$A:$A&lt;DATE(2026,IF(11=12,11+1,11+1),1)),'DRAFT 2'!$A:$A),"")</f>
        <v/>
      </c>
      <c r="ID28" s="116">
        <f>COUNTIFS('DRAFT 2'!$D:$D,$B28,'DRAFT 2'!$A:$A,"&gt;="&amp;DATE(2026,11,1),'DRAFT 2'!$A:$A,"&lt;="&amp;DATE(2026,11,7))</f>
        <v/>
      </c>
      <c r="IE28" s="116">
        <f>COUNTIFS('DRAFT 2'!$D:$D,$B28,'DRAFT 2'!$A:$A,"&gt;="&amp;DATE(2026,11,8),'DRAFT 2'!$A:$A,"&lt;="&amp;DATE(2026,11,14))</f>
        <v/>
      </c>
      <c r="IF28" s="116">
        <f>COUNTIFS('DRAFT 2'!$D:$D,$B28,'DRAFT 2'!$A:$A,"&gt;="&amp;DATE(2026,11,15),'DRAFT 2'!$A:$A,"&lt;="&amp;DATE(2026,11,21))</f>
        <v/>
      </c>
      <c r="IG28" s="116">
        <f>COUNTIFS('DRAFT 2'!$D:$D,$B28,'DRAFT 2'!$A:$A,"&gt;="&amp;DATE(2026,11,22),'DRAFT 2'!$A:$A,"&lt;"&amp;DATE(2026,IF(11=12,11+1,11+1),1))</f>
        <v/>
      </c>
      <c r="IH28" s="116">
        <f>SUM(ID28:IG28)</f>
        <v/>
      </c>
      <c r="IR28" s="116">
        <f>IFERROR(LOOKUP(2,1/('DRAFT 2'!$D:$D=$B28)*('DRAFT 2'!$A:$A&gt;=DATE(2026,12,1))*('DRAFT 2'!$A:$A&lt;DATE(2026,IF(12=12,12+1,12+1),1)),'DRAFT 2'!$A:$A),"")</f>
        <v/>
      </c>
      <c r="IS28" s="116">
        <f>COUNTIFS('DRAFT 2'!$D:$D,$B28,'DRAFT 2'!$A:$A,"&gt;="&amp;DATE(2026,12,1),'DRAFT 2'!$A:$A,"&lt;="&amp;DATE(2026,12,7))</f>
        <v/>
      </c>
      <c r="IT28" s="116">
        <f>COUNTIFS('DRAFT 2'!$D:$D,$B28,'DRAFT 2'!$A:$A,"&gt;="&amp;DATE(2026,12,8),'DRAFT 2'!$A:$A,"&lt;="&amp;DATE(2026,12,14))</f>
        <v/>
      </c>
      <c r="IU28" s="116">
        <f>COUNTIFS('DRAFT 2'!$D:$D,$B28,'DRAFT 2'!$A:$A,"&gt;="&amp;DATE(2026,12,15),'DRAFT 2'!$A:$A,"&lt;="&amp;DATE(2026,12,21))</f>
        <v/>
      </c>
      <c r="IV28" s="116">
        <f>COUNTIFS('DRAFT 2'!$D:$D,$B28,'DRAFT 2'!$A:$A,"&gt;="&amp;DATE(2026,12,22),'DRAFT 2'!$A:$A,"&lt;"&amp;DATE(2026,IF(12=12,12+1,12+1),1))</f>
        <v/>
      </c>
      <c r="IW28" s="116">
        <f>SUM(IS28:IV28)</f>
        <v/>
      </c>
    </row>
    <row r="29">
      <c r="A29" s="116">
        <f>IFERROR(INDEX('DRAFT 1'!$A:$A,MATCH($B29,'DRAFT 1'!$B:$B,0)),"")</f>
        <v/>
      </c>
      <c r="C29" s="116">
        <f>IFERROR(INDEX('DRAFT 1'!$C:$C,MATCH($B29,'DRAFT 1'!$B:$B,0)),"")</f>
        <v/>
      </c>
      <c r="D29" s="116">
        <f>IFERROR(INDEX('DRAFT 1'!$D:$D,MATCH($B29,'DRAFT 1'!$B:$B,0)),"")</f>
        <v/>
      </c>
      <c r="E29" s="116">
        <f>IFERROR(INDEX('DRAFT 1'!$E:$E,MATCH($B29,'DRAFT 1'!$B:$B,0)),"")</f>
        <v/>
      </c>
      <c r="F29" s="116">
        <f>IFERROR(INDEX('DRAFT 1'!$F:$F,MATCH($B29,'DRAFT 1'!$B:$B,0)),"")</f>
        <v/>
      </c>
      <c r="G29" s="116">
        <f>IFERROR(INDEX('DRAFT 1'!$G:$G,MATCH($B29,'DRAFT 1'!$B:$B,0)),"")</f>
        <v/>
      </c>
      <c r="H29" s="116">
        <f>IFERROR(INDEX('DRAFT 1'!$H:$H,MATCH($B29,'DRAFT 1'!$B:$B,0)),"")</f>
        <v/>
      </c>
      <c r="I29" s="116" t="inlineStr">
        <is>
          <t>DEMAIS CLIENTES</t>
        </is>
      </c>
      <c r="K29" s="116">
        <f>IFERROR(INDEX('DRAFT 1'!$AL:$AL,MATCH($B29,'DRAFT 1'!$B:$B,0)),"")</f>
        <v/>
      </c>
      <c r="L29" s="116">
        <f>IFERROR(INDEX('DRAFT 1'!$J:$J,MATCH($B29,'DRAFT 1'!$B:$B,0)),"")</f>
        <v/>
      </c>
      <c r="M29" s="116">
        <f>IFERROR(INDEX('DRAFT 1'!$K:$K,MATCH($B29,'DRAFT 1'!$B:$B,0)),"")</f>
        <v/>
      </c>
      <c r="N29" s="116" t="inlineStr">
        <is>
          <t>INAT.ANT</t>
        </is>
      </c>
      <c r="P29" s="116">
        <f>IFERROR(INDEX('DRAFT 1'!$L:$L,MATCH($B29,'DRAFT 1'!$B:$B,0)),"")</f>
        <v/>
      </c>
      <c r="Q29" s="116">
        <f>IFERROR(INDEX('DRAFT 1'!$M:$M,MATCH($B29,'DRAFT 1'!$B:$B,0)),"")</f>
        <v/>
      </c>
      <c r="R29" s="116">
        <f>IFERROR(INDEX('DRAFT 1'!$N:$N,MATCH($B29,'DRAFT 1'!$B:$B,0)),"")</f>
        <v/>
      </c>
      <c r="S29" s="116">
        <f>IFERROR(INDEX('DRAFT 1'!$O:$O,MATCH($B29,'DRAFT 1'!$B:$B,0)),"")</f>
        <v/>
      </c>
      <c r="T29" s="116">
        <f>IFERROR(INDEX('DRAFT 1'!$P:$P,MATCH($B29,'DRAFT 1'!$B:$B,0)),"")</f>
        <v/>
      </c>
      <c r="U29" s="116">
        <f>IFERROR(INDEX('DRAFT 1'!$Q:$Q,MATCH($B29,'DRAFT 1'!$B:$B,0)),"")</f>
        <v/>
      </c>
      <c r="V29" s="116">
        <f>IFERROR(INDEX('DRAFT 1'!$R:$R,MATCH($B29,'DRAFT 1'!$B:$B,0)),"")</f>
        <v/>
      </c>
      <c r="W29" s="116">
        <f>IFERROR(INDEX('DRAFT 1'!$S:$S,MATCH($B29,'DRAFT 1'!$B:$B,0)),"")</f>
        <v/>
      </c>
      <c r="X29" s="116">
        <f>IFERROR(INDEX('DRAFT 1'!$T:$T,MATCH($B29,'DRAFT 1'!$B:$B,0)),"")</f>
        <v/>
      </c>
      <c r="Z29" s="116">
        <f>IFERROR(INDEX('DRAFT 1'!$U:$U,MATCH($B29,'DRAFT 1'!$B:$B,0)),"")</f>
        <v/>
      </c>
      <c r="AA29" s="116">
        <f>IFERROR(INDEX('DRAFT 1'!$V:$V,MATCH($B29,'DRAFT 1'!$B:$B,0)),"")</f>
        <v/>
      </c>
      <c r="AB29" s="116">
        <f>IFERROR(INDEX('DRAFT 1'!$W:$W,MATCH($B29,'DRAFT 1'!$B:$B,0)),"")</f>
        <v/>
      </c>
      <c r="AC29" s="116">
        <f>IFERROR(INDEX('DRAFT 1'!$X:$X,MATCH($B29,'DRAFT 1'!$B:$B,0)),"")</f>
        <v/>
      </c>
      <c r="AD29" s="116">
        <f>IFERROR(INDEX('DRAFT 1'!$Y:$Y,MATCH($B29,'DRAFT 1'!$B:$B,0)),"")</f>
        <v/>
      </c>
      <c r="AE29" s="116">
        <f>IFERROR(INDEX('DRAFT 1'!$Z:$Z,MATCH($B29,'DRAFT 1'!$B:$B,0)),"")</f>
        <v/>
      </c>
      <c r="AF29" s="116">
        <f>IFERROR(INDEX('DRAFT 1'!$AA:$AA,MATCH($B29,'DRAFT 1'!$B:$B,0)),"")</f>
        <v/>
      </c>
      <c r="AG29" s="116">
        <f>IFERROR(INDEX('DRAFT 1'!$AB:$AB,MATCH($B29,'DRAFT 1'!$B:$B,0)),"")</f>
        <v/>
      </c>
      <c r="AH29" s="116">
        <f>IFERROR(INDEX('DRAFT 1'!$AC:$AC,MATCH($B29,'DRAFT 1'!$B:$B,0)),"")</f>
        <v/>
      </c>
      <c r="AI29" s="116">
        <f>IFERROR(INDEX('DRAFT 1'!$AD:$AD,MATCH($B29,'DRAFT 1'!$B:$B,0)),"")</f>
        <v/>
      </c>
      <c r="AJ29" s="116">
        <f>IFERROR(INDEX('DRAFT 1'!$AE:$AE,MATCH($B29,'DRAFT 1'!$B:$B,0)),"")</f>
        <v/>
      </c>
      <c r="AK29" s="116">
        <f>IFERROR(INDEX('DRAFT 1'!$AG:$AG,MATCH($B29,'DRAFT 1'!$B:$B,0)),"")</f>
        <v/>
      </c>
      <c r="AL29" s="116">
        <f>IFERROR(INDEX('DRAFT 1'!$AH:$AH,MATCH($B29,'DRAFT 1'!$B:$B,0)),"")</f>
        <v/>
      </c>
      <c r="AM29" s="116">
        <f>IFERROR(INDEX('DRAFT 1'!$AI:$AI,MATCH($B29,'DRAFT 1'!$B:$B,0)),"")</f>
        <v/>
      </c>
      <c r="AN29" s="116">
        <f>IFERROR(INDEX('DRAFT 1'!$AJ:$AJ,MATCH($B29,'DRAFT 1'!$B:$B,0)),"")</f>
        <v/>
      </c>
      <c r="AO29" s="116">
        <f>IFERROR(Y29/AN29,0)</f>
        <v/>
      </c>
      <c r="AP29" s="116">
        <f>IFERROR(INDEX('DRAFT 1'!$AK:$AK,MATCH($B29,'DRAFT 1'!$B:$B,0)),"")</f>
        <v/>
      </c>
      <c r="AR29" s="116" t="inlineStr">
        <is>
          <t>SALVAMENTO</t>
        </is>
      </c>
      <c r="AS29" s="116">
        <f>IFERROR(LOOKUP(2,1/('DRAFT 2'!$D:$D=$B29),'DRAFT 2'!$T:$T),"")</f>
        <v/>
      </c>
      <c r="AT29" s="116">
        <f>IFERROR(LOOKUP(2,1/('DRAFT 2'!$D:$D=$B29),'DRAFT 2'!$A:$A),"")</f>
        <v/>
      </c>
      <c r="AU29" s="116">
        <f>IFERROR(LOOKUP(2,1/('DRAFT 2'!$D:$D=$B29),'DRAFT 2'!$R:$R),"")</f>
        <v/>
      </c>
      <c r="AV29" s="116">
        <f>IFERROR(LOOKUP(2,1/('DRAFT 2'!$D:$D=$B29),'DRAFT 2'!$S:$S),"")</f>
        <v/>
      </c>
      <c r="AW29" s="116" t="inlineStr">
        <is>
          <t>LEAD</t>
        </is>
      </c>
      <c r="AX29" s="116">
        <f>IFERROR(LOOKUP(2,1/('DRAFT 2'!$D:$D=$B29),'DRAFT 2'!$M:$M),"")</f>
        <v/>
      </c>
      <c r="AY29" s="116">
        <f>IFERROR(LOOKUP(2,1/('DRAFT 2'!$D:$D=$B29),'DRAFT 2'!$K:$K),"")</f>
        <v/>
      </c>
      <c r="BG29" s="116">
        <f>IFERROR(LOOKUP(2,1/('DRAFT 2'!$D:$D=$B29),'DRAFT 2'!$U:$U),"")</f>
        <v/>
      </c>
      <c r="BH29" s="116">
        <f>IFERROR(LOOKUP(2,1/('DRAFT 2'!$D:$D=$B29),'DRAFT 2'!$V:$V),"")</f>
        <v/>
      </c>
      <c r="CE29" s="116">
        <f>IFERROR(AJ29,0)</f>
        <v/>
      </c>
      <c r="CF29" s="116">
        <f>IFERROR(LOOKUP(2,1/('DRAFT 2'!$D:$D=$B29)*('DRAFT 2'!$A:$A&gt;=DATE(2026,1,1))*('DRAFT 2'!$A:$A&lt;DATE(2026,IF(1=12,1+1,1+1),1)),'DRAFT 2'!$A:$A),"")</f>
        <v/>
      </c>
      <c r="CG29" s="116">
        <f>COUNTIFS('DRAFT 2'!$D:$D,$B29,'DRAFT 2'!$A:$A,"&gt;="&amp;DATE(2026,1,1),'DRAFT 2'!$A:$A,"&lt;="&amp;DATE(2026,1,7))</f>
        <v/>
      </c>
      <c r="CH29" s="116">
        <f>COUNTIFS('DRAFT 2'!$D:$D,$B29,'DRAFT 2'!$A:$A,"&gt;="&amp;DATE(2026,1,8),'DRAFT 2'!$A:$A,"&lt;="&amp;DATE(2026,1,14))</f>
        <v/>
      </c>
      <c r="CI29" s="116">
        <f>COUNTIFS('DRAFT 2'!$D:$D,$B29,'DRAFT 2'!$A:$A,"&gt;="&amp;DATE(2026,1,15),'DRAFT 2'!$A:$A,"&lt;="&amp;DATE(2026,1,21))</f>
        <v/>
      </c>
      <c r="CJ29" s="116">
        <f>COUNTIFS('DRAFT 2'!$D:$D,$B29,'DRAFT 2'!$A:$A,"&gt;="&amp;DATE(2026,1,22),'DRAFT 2'!$A:$A,"&lt;"&amp;DATE(2026,IF(1=12,1+1,1+1),1))</f>
        <v/>
      </c>
      <c r="CK29" s="116">
        <f>SUM(CG29:CJ29)</f>
        <v/>
      </c>
      <c r="CT29" s="116" t="n">
        <v>0</v>
      </c>
      <c r="CU29" s="116">
        <f>IFERROR(LOOKUP(2,1/('DRAFT 2'!$D:$D=$B29)*('DRAFT 2'!$A:$A&gt;=DATE(2026,2,1))*('DRAFT 2'!$A:$A&lt;DATE(2026,IF(2=12,2+1,2+1),1)),'DRAFT 2'!$A:$A),"")</f>
        <v/>
      </c>
      <c r="CV29" s="116">
        <f>COUNTIFS('DRAFT 2'!$D:$D,$B29,'DRAFT 2'!$A:$A,"&gt;="&amp;DATE(2026,2,1),'DRAFT 2'!$A:$A,"&lt;="&amp;DATE(2026,2,7))</f>
        <v/>
      </c>
      <c r="CW29" s="116">
        <f>COUNTIFS('DRAFT 2'!$D:$D,$B29,'DRAFT 2'!$A:$A,"&gt;="&amp;DATE(2026,2,8),'DRAFT 2'!$A:$A,"&lt;="&amp;DATE(2026,2,14))</f>
        <v/>
      </c>
      <c r="CX29" s="116">
        <f>COUNTIFS('DRAFT 2'!$D:$D,$B29,'DRAFT 2'!$A:$A,"&gt;="&amp;DATE(2026,2,15),'DRAFT 2'!$A:$A,"&lt;="&amp;DATE(2026,2,21))</f>
        <v/>
      </c>
      <c r="CY29" s="116">
        <f>COUNTIFS('DRAFT 2'!$D:$D,$B29,'DRAFT 2'!$A:$A,"&gt;="&amp;DATE(2026,2,22),'DRAFT 2'!$A:$A,"&lt;"&amp;DATE(2026,IF(2=12,2+1,2+1),1))</f>
        <v/>
      </c>
      <c r="CZ29" s="116">
        <f>SUM(CV29:CY29)</f>
        <v/>
      </c>
      <c r="DJ29" s="116">
        <f>IFERROR(LOOKUP(2,1/('DRAFT 2'!$D:$D=$B29)*('DRAFT 2'!$A:$A&gt;=DATE(2026,3,1))*('DRAFT 2'!$A:$A&lt;DATE(2026,IF(3=12,3+1,3+1),1)),'DRAFT 2'!$A:$A),"")</f>
        <v/>
      </c>
      <c r="DK29" s="116">
        <f>COUNTIFS('DRAFT 2'!$D:$D,$B29,'DRAFT 2'!$A:$A,"&gt;="&amp;DATE(2026,3,1),'DRAFT 2'!$A:$A,"&lt;="&amp;DATE(2026,3,7))</f>
        <v/>
      </c>
      <c r="DL29" s="116">
        <f>COUNTIFS('DRAFT 2'!$D:$D,$B29,'DRAFT 2'!$A:$A,"&gt;="&amp;DATE(2026,3,8),'DRAFT 2'!$A:$A,"&lt;="&amp;DATE(2026,3,14))</f>
        <v/>
      </c>
      <c r="DM29" s="116">
        <f>COUNTIFS('DRAFT 2'!$D:$D,$B29,'DRAFT 2'!$A:$A,"&gt;="&amp;DATE(2026,3,15),'DRAFT 2'!$A:$A,"&lt;="&amp;DATE(2026,3,21))</f>
        <v/>
      </c>
      <c r="DN29" s="116">
        <f>COUNTIFS('DRAFT 2'!$D:$D,$B29,'DRAFT 2'!$A:$A,"&gt;="&amp;DATE(2026,3,22),'DRAFT 2'!$A:$A,"&lt;"&amp;DATE(2026,IF(3=12,3+1,3+1),1))</f>
        <v/>
      </c>
      <c r="DO29" s="116">
        <f>SUM(DK29:DN29)</f>
        <v/>
      </c>
      <c r="DZ29" s="116">
        <f>IFERROR(LOOKUP(2,1/('DRAFT 2'!$D:$D=$B29)*('DRAFT 2'!$A:$A&gt;=DATE(2026,4,1))*('DRAFT 2'!$A:$A&lt;DATE(2026,IF(4=12,4+1,4+1),1)),'DRAFT 2'!$A:$A),"")</f>
        <v/>
      </c>
      <c r="EA29" s="116">
        <f>COUNTIFS('DRAFT 2'!$D:$D,$B29,'DRAFT 2'!$A:$A,"&gt;="&amp;DATE(2026,4,1),'DRAFT 2'!$A:$A,"&lt;="&amp;DATE(2026,4,7))</f>
        <v/>
      </c>
      <c r="EB29" s="116">
        <f>COUNTIFS('DRAFT 2'!$D:$D,$B29,'DRAFT 2'!$A:$A,"&gt;="&amp;DATE(2026,4,8),'DRAFT 2'!$A:$A,"&lt;="&amp;DATE(2026,4,14))</f>
        <v/>
      </c>
      <c r="EC29" s="116">
        <f>COUNTIFS('DRAFT 2'!$D:$D,$B29,'DRAFT 2'!$A:$A,"&gt;="&amp;DATE(2026,4,15),'DRAFT 2'!$A:$A,"&lt;="&amp;DATE(2026,4,21))</f>
        <v/>
      </c>
      <c r="ED29" s="116">
        <f>COUNTIFS('DRAFT 2'!$D:$D,$B29,'DRAFT 2'!$A:$A,"&gt;="&amp;DATE(2026,4,22),'DRAFT 2'!$A:$A,"&lt;"&amp;DATE(2026,IF(4=12,4+1,4+1),1))</f>
        <v/>
      </c>
      <c r="EE29" s="116">
        <f>SUM(EA29:ED29)</f>
        <v/>
      </c>
      <c r="EO29" s="116">
        <f>IFERROR(LOOKUP(2,1/('DRAFT 2'!$D:$D=$B29)*('DRAFT 2'!$A:$A&gt;=DATE(2026,5,1))*('DRAFT 2'!$A:$A&lt;DATE(2026,IF(5=12,5+1,5+1),1)),'DRAFT 2'!$A:$A),"")</f>
        <v/>
      </c>
      <c r="EP29" s="116">
        <f>COUNTIFS('DRAFT 2'!$D:$D,$B29,'DRAFT 2'!$A:$A,"&gt;="&amp;DATE(2026,5,1),'DRAFT 2'!$A:$A,"&lt;="&amp;DATE(2026,5,7))</f>
        <v/>
      </c>
      <c r="EQ29" s="116">
        <f>COUNTIFS('DRAFT 2'!$D:$D,$B29,'DRAFT 2'!$A:$A,"&gt;="&amp;DATE(2026,5,8),'DRAFT 2'!$A:$A,"&lt;="&amp;DATE(2026,5,14))</f>
        <v/>
      </c>
      <c r="ER29" s="116">
        <f>COUNTIFS('DRAFT 2'!$D:$D,$B29,'DRAFT 2'!$A:$A,"&gt;="&amp;DATE(2026,5,15),'DRAFT 2'!$A:$A,"&lt;="&amp;DATE(2026,5,21))</f>
        <v/>
      </c>
      <c r="ES29" s="116">
        <f>COUNTIFS('DRAFT 2'!$D:$D,$B29,'DRAFT 2'!$A:$A,"&gt;="&amp;DATE(2026,5,22),'DRAFT 2'!$A:$A,"&lt;"&amp;DATE(2026,IF(5=12,5+1,5+1),1))</f>
        <v/>
      </c>
      <c r="ET29" s="116">
        <f>SUM(EP29:ES29)</f>
        <v/>
      </c>
      <c r="FD29" s="116">
        <f>IFERROR(LOOKUP(2,1/('DRAFT 2'!$D:$D=$B29)*('DRAFT 2'!$A:$A&gt;=DATE(2026,6,1))*('DRAFT 2'!$A:$A&lt;DATE(2026,IF(6=12,6+1,6+1),1)),'DRAFT 2'!$A:$A),"")</f>
        <v/>
      </c>
      <c r="FE29" s="116">
        <f>COUNTIFS('DRAFT 2'!$D:$D,$B29,'DRAFT 2'!$A:$A,"&gt;="&amp;DATE(2026,6,1),'DRAFT 2'!$A:$A,"&lt;="&amp;DATE(2026,6,7))</f>
        <v/>
      </c>
      <c r="FF29" s="116">
        <f>COUNTIFS('DRAFT 2'!$D:$D,$B29,'DRAFT 2'!$A:$A,"&gt;="&amp;DATE(2026,6,8),'DRAFT 2'!$A:$A,"&lt;="&amp;DATE(2026,6,14))</f>
        <v/>
      </c>
      <c r="FG29" s="116">
        <f>COUNTIFS('DRAFT 2'!$D:$D,$B29,'DRAFT 2'!$A:$A,"&gt;="&amp;DATE(2026,6,15),'DRAFT 2'!$A:$A,"&lt;="&amp;DATE(2026,6,21))</f>
        <v/>
      </c>
      <c r="FH29" s="116">
        <f>COUNTIFS('DRAFT 2'!$D:$D,$B29,'DRAFT 2'!$A:$A,"&gt;="&amp;DATE(2026,6,22),'DRAFT 2'!$A:$A,"&lt;"&amp;DATE(2026,IF(6=12,6+1,6+1),1))</f>
        <v/>
      </c>
      <c r="FI29" s="116">
        <f>SUM(FE29:FH29)</f>
        <v/>
      </c>
      <c r="FT29" s="116">
        <f>IFERROR(LOOKUP(2,1/('DRAFT 2'!$D:$D=$B29)*('DRAFT 2'!$A:$A&gt;=DATE(2026,7,1))*('DRAFT 2'!$A:$A&lt;DATE(2026,IF(7=12,7+1,7+1),1)),'DRAFT 2'!$A:$A),"")</f>
        <v/>
      </c>
      <c r="FU29" s="116">
        <f>COUNTIFS('DRAFT 2'!$D:$D,$B29,'DRAFT 2'!$A:$A,"&gt;="&amp;DATE(2026,7,1),'DRAFT 2'!$A:$A,"&lt;="&amp;DATE(2026,7,7))</f>
        <v/>
      </c>
      <c r="FV29" s="116">
        <f>COUNTIFS('DRAFT 2'!$D:$D,$B29,'DRAFT 2'!$A:$A,"&gt;="&amp;DATE(2026,7,8),'DRAFT 2'!$A:$A,"&lt;="&amp;DATE(2026,7,14))</f>
        <v/>
      </c>
      <c r="FW29" s="116">
        <f>COUNTIFS('DRAFT 2'!$D:$D,$B29,'DRAFT 2'!$A:$A,"&gt;="&amp;DATE(2026,7,15),'DRAFT 2'!$A:$A,"&lt;="&amp;DATE(2026,7,21))</f>
        <v/>
      </c>
      <c r="FX29" s="116">
        <f>COUNTIFS('DRAFT 2'!$D:$D,$B29,'DRAFT 2'!$A:$A,"&gt;="&amp;DATE(2026,7,22),'DRAFT 2'!$A:$A,"&lt;"&amp;DATE(2026,IF(7=12,7+1,7+1),1))</f>
        <v/>
      </c>
      <c r="FY29" s="116">
        <f>SUM(FU29:FX29)</f>
        <v/>
      </c>
      <c r="GI29" s="116">
        <f>IFERROR(LOOKUP(2,1/('DRAFT 2'!$D:$D=$B29)*('DRAFT 2'!$A:$A&gt;=DATE(2026,8,1))*('DRAFT 2'!$A:$A&lt;DATE(2026,IF(8=12,8+1,8+1),1)),'DRAFT 2'!$A:$A),"")</f>
        <v/>
      </c>
      <c r="GJ29" s="116">
        <f>COUNTIFS('DRAFT 2'!$D:$D,$B29,'DRAFT 2'!$A:$A,"&gt;="&amp;DATE(2026,8,1),'DRAFT 2'!$A:$A,"&lt;="&amp;DATE(2026,8,7))</f>
        <v/>
      </c>
      <c r="GK29" s="116">
        <f>COUNTIFS('DRAFT 2'!$D:$D,$B29,'DRAFT 2'!$A:$A,"&gt;="&amp;DATE(2026,8,8),'DRAFT 2'!$A:$A,"&lt;="&amp;DATE(2026,8,14))</f>
        <v/>
      </c>
      <c r="GL29" s="116">
        <f>COUNTIFS('DRAFT 2'!$D:$D,$B29,'DRAFT 2'!$A:$A,"&gt;="&amp;DATE(2026,8,15),'DRAFT 2'!$A:$A,"&lt;="&amp;DATE(2026,8,21))</f>
        <v/>
      </c>
      <c r="GM29" s="116">
        <f>COUNTIFS('DRAFT 2'!$D:$D,$B29,'DRAFT 2'!$A:$A,"&gt;="&amp;DATE(2026,8,22),'DRAFT 2'!$A:$A,"&lt;"&amp;DATE(2026,IF(8=12,8+1,8+1),1))</f>
        <v/>
      </c>
      <c r="GN29" s="116">
        <f>SUM(GJ29:GM29)</f>
        <v/>
      </c>
      <c r="GX29" s="116">
        <f>IFERROR(LOOKUP(2,1/('DRAFT 2'!$D:$D=$B29)*('DRAFT 2'!$A:$A&gt;=DATE(2026,9,1))*('DRAFT 2'!$A:$A&lt;DATE(2026,IF(9=12,9+1,9+1),1)),'DRAFT 2'!$A:$A),"")</f>
        <v/>
      </c>
      <c r="GY29" s="116">
        <f>COUNTIFS('DRAFT 2'!$D:$D,$B29,'DRAFT 2'!$A:$A,"&gt;="&amp;DATE(2026,9,1),'DRAFT 2'!$A:$A,"&lt;="&amp;DATE(2026,9,7))</f>
        <v/>
      </c>
      <c r="GZ29" s="116">
        <f>COUNTIFS('DRAFT 2'!$D:$D,$B29,'DRAFT 2'!$A:$A,"&gt;="&amp;DATE(2026,9,8),'DRAFT 2'!$A:$A,"&lt;="&amp;DATE(2026,9,14))</f>
        <v/>
      </c>
      <c r="HA29" s="116">
        <f>COUNTIFS('DRAFT 2'!$D:$D,$B29,'DRAFT 2'!$A:$A,"&gt;="&amp;DATE(2026,9,15),'DRAFT 2'!$A:$A,"&lt;="&amp;DATE(2026,9,21))</f>
        <v/>
      </c>
      <c r="HB29" s="116">
        <f>COUNTIFS('DRAFT 2'!$D:$D,$B29,'DRAFT 2'!$A:$A,"&gt;="&amp;DATE(2026,9,22),'DRAFT 2'!$A:$A,"&lt;"&amp;DATE(2026,IF(9=12,9+1,9+1),1))</f>
        <v/>
      </c>
      <c r="HC29" s="116">
        <f>SUM(GY29:HB29)</f>
        <v/>
      </c>
      <c r="HN29" s="116">
        <f>IFERROR(LOOKUP(2,1/('DRAFT 2'!$D:$D=$B29)*('DRAFT 2'!$A:$A&gt;=DATE(2026,10,1))*('DRAFT 2'!$A:$A&lt;DATE(2026,IF(10=12,10+1,10+1),1)),'DRAFT 2'!$A:$A),"")</f>
        <v/>
      </c>
      <c r="HO29" s="116">
        <f>COUNTIFS('DRAFT 2'!$D:$D,$B29,'DRAFT 2'!$A:$A,"&gt;="&amp;DATE(2026,10,1),'DRAFT 2'!$A:$A,"&lt;="&amp;DATE(2026,10,7))</f>
        <v/>
      </c>
      <c r="HP29" s="116">
        <f>COUNTIFS('DRAFT 2'!$D:$D,$B29,'DRAFT 2'!$A:$A,"&gt;="&amp;DATE(2026,10,8),'DRAFT 2'!$A:$A,"&lt;="&amp;DATE(2026,10,14))</f>
        <v/>
      </c>
      <c r="HQ29" s="116">
        <f>COUNTIFS('DRAFT 2'!$D:$D,$B29,'DRAFT 2'!$A:$A,"&gt;="&amp;DATE(2026,10,15),'DRAFT 2'!$A:$A,"&lt;="&amp;DATE(2026,10,21))</f>
        <v/>
      </c>
      <c r="HR29" s="116">
        <f>COUNTIFS('DRAFT 2'!$D:$D,$B29,'DRAFT 2'!$A:$A,"&gt;="&amp;DATE(2026,10,22),'DRAFT 2'!$A:$A,"&lt;"&amp;DATE(2026,IF(10=12,10+1,10+1),1))</f>
        <v/>
      </c>
      <c r="HS29" s="116">
        <f>SUM(HO29:HR29)</f>
        <v/>
      </c>
      <c r="IC29" s="116">
        <f>IFERROR(LOOKUP(2,1/('DRAFT 2'!$D:$D=$B29)*('DRAFT 2'!$A:$A&gt;=DATE(2026,11,1))*('DRAFT 2'!$A:$A&lt;DATE(2026,IF(11=12,11+1,11+1),1)),'DRAFT 2'!$A:$A),"")</f>
        <v/>
      </c>
      <c r="ID29" s="116">
        <f>COUNTIFS('DRAFT 2'!$D:$D,$B29,'DRAFT 2'!$A:$A,"&gt;="&amp;DATE(2026,11,1),'DRAFT 2'!$A:$A,"&lt;="&amp;DATE(2026,11,7))</f>
        <v/>
      </c>
      <c r="IE29" s="116">
        <f>COUNTIFS('DRAFT 2'!$D:$D,$B29,'DRAFT 2'!$A:$A,"&gt;="&amp;DATE(2026,11,8),'DRAFT 2'!$A:$A,"&lt;="&amp;DATE(2026,11,14))</f>
        <v/>
      </c>
      <c r="IF29" s="116">
        <f>COUNTIFS('DRAFT 2'!$D:$D,$B29,'DRAFT 2'!$A:$A,"&gt;="&amp;DATE(2026,11,15),'DRAFT 2'!$A:$A,"&lt;="&amp;DATE(2026,11,21))</f>
        <v/>
      </c>
      <c r="IG29" s="116">
        <f>COUNTIFS('DRAFT 2'!$D:$D,$B29,'DRAFT 2'!$A:$A,"&gt;="&amp;DATE(2026,11,22),'DRAFT 2'!$A:$A,"&lt;"&amp;DATE(2026,IF(11=12,11+1,11+1),1))</f>
        <v/>
      </c>
      <c r="IH29" s="116">
        <f>SUM(ID29:IG29)</f>
        <v/>
      </c>
      <c r="IR29" s="116">
        <f>IFERROR(LOOKUP(2,1/('DRAFT 2'!$D:$D=$B29)*('DRAFT 2'!$A:$A&gt;=DATE(2026,12,1))*('DRAFT 2'!$A:$A&lt;DATE(2026,IF(12=12,12+1,12+1),1)),'DRAFT 2'!$A:$A),"")</f>
        <v/>
      </c>
      <c r="IS29" s="116">
        <f>COUNTIFS('DRAFT 2'!$D:$D,$B29,'DRAFT 2'!$A:$A,"&gt;="&amp;DATE(2026,12,1),'DRAFT 2'!$A:$A,"&lt;="&amp;DATE(2026,12,7))</f>
        <v/>
      </c>
      <c r="IT29" s="116">
        <f>COUNTIFS('DRAFT 2'!$D:$D,$B29,'DRAFT 2'!$A:$A,"&gt;="&amp;DATE(2026,12,8),'DRAFT 2'!$A:$A,"&lt;="&amp;DATE(2026,12,14))</f>
        <v/>
      </c>
      <c r="IU29" s="116">
        <f>COUNTIFS('DRAFT 2'!$D:$D,$B29,'DRAFT 2'!$A:$A,"&gt;="&amp;DATE(2026,12,15),'DRAFT 2'!$A:$A,"&lt;="&amp;DATE(2026,12,21))</f>
        <v/>
      </c>
      <c r="IV29" s="116">
        <f>COUNTIFS('DRAFT 2'!$D:$D,$B29,'DRAFT 2'!$A:$A,"&gt;="&amp;DATE(2026,12,22),'DRAFT 2'!$A:$A,"&lt;"&amp;DATE(2026,IF(12=12,12+1,12+1),1))</f>
        <v/>
      </c>
      <c r="IW29" s="116">
        <f>SUM(IS29:IV29)</f>
        <v/>
      </c>
    </row>
    <row r="30">
      <c r="A30" s="116">
        <f>IFERROR(INDEX('DRAFT 1'!$A:$A,MATCH($B30,'DRAFT 1'!$B:$B,0)),"")</f>
        <v/>
      </c>
      <c r="C30" s="116">
        <f>IFERROR(INDEX('DRAFT 1'!$C:$C,MATCH($B30,'DRAFT 1'!$B:$B,0)),"")</f>
        <v/>
      </c>
      <c r="D30" s="116">
        <f>IFERROR(INDEX('DRAFT 1'!$D:$D,MATCH($B30,'DRAFT 1'!$B:$B,0)),"")</f>
        <v/>
      </c>
      <c r="E30" s="116">
        <f>IFERROR(INDEX('DRAFT 1'!$E:$E,MATCH($B30,'DRAFT 1'!$B:$B,0)),"")</f>
        <v/>
      </c>
      <c r="F30" s="116">
        <f>IFERROR(INDEX('DRAFT 1'!$F:$F,MATCH($B30,'DRAFT 1'!$B:$B,0)),"")</f>
        <v/>
      </c>
      <c r="G30" s="116">
        <f>IFERROR(INDEX('DRAFT 1'!$G:$G,MATCH($B30,'DRAFT 1'!$B:$B,0)),"")</f>
        <v/>
      </c>
      <c r="H30" s="116">
        <f>IFERROR(INDEX('DRAFT 1'!$H:$H,MATCH($B30,'DRAFT 1'!$B:$B,0)),"")</f>
        <v/>
      </c>
      <c r="I30" s="116" t="inlineStr">
        <is>
          <t>TUDO EM GRAOS</t>
        </is>
      </c>
      <c r="K30" s="116">
        <f>IFERROR(INDEX('DRAFT 1'!$AL:$AL,MATCH($B30,'DRAFT 1'!$B:$B,0)),"")</f>
        <v/>
      </c>
      <c r="L30" s="116">
        <f>IFERROR(INDEX('DRAFT 1'!$J:$J,MATCH($B30,'DRAFT 1'!$B:$B,0)),"")</f>
        <v/>
      </c>
      <c r="M30" s="116">
        <f>IFERROR(INDEX('DRAFT 1'!$K:$K,MATCH($B30,'DRAFT 1'!$B:$B,0)),"")</f>
        <v/>
      </c>
      <c r="N30" s="116" t="inlineStr">
        <is>
          <t>PROSPECT</t>
        </is>
      </c>
      <c r="P30" s="116">
        <f>IFERROR(INDEX('DRAFT 1'!$L:$L,MATCH($B30,'DRAFT 1'!$B:$B,0)),"")</f>
        <v/>
      </c>
      <c r="Q30" s="116">
        <f>IFERROR(INDEX('DRAFT 1'!$M:$M,MATCH($B30,'DRAFT 1'!$B:$B,0)),"")</f>
        <v/>
      </c>
      <c r="R30" s="116">
        <f>IFERROR(INDEX('DRAFT 1'!$N:$N,MATCH($B30,'DRAFT 1'!$B:$B,0)),"")</f>
        <v/>
      </c>
      <c r="S30" s="116">
        <f>IFERROR(INDEX('DRAFT 1'!$O:$O,MATCH($B30,'DRAFT 1'!$B:$B,0)),"")</f>
        <v/>
      </c>
      <c r="T30" s="116">
        <f>IFERROR(INDEX('DRAFT 1'!$P:$P,MATCH($B30,'DRAFT 1'!$B:$B,0)),"")</f>
        <v/>
      </c>
      <c r="U30" s="116">
        <f>IFERROR(INDEX('DRAFT 1'!$Q:$Q,MATCH($B30,'DRAFT 1'!$B:$B,0)),"")</f>
        <v/>
      </c>
      <c r="V30" s="116">
        <f>IFERROR(INDEX('DRAFT 1'!$R:$R,MATCH($B30,'DRAFT 1'!$B:$B,0)),"")</f>
        <v/>
      </c>
      <c r="W30" s="116">
        <f>IFERROR(INDEX('DRAFT 1'!$S:$S,MATCH($B30,'DRAFT 1'!$B:$B,0)),"")</f>
        <v/>
      </c>
      <c r="X30" s="116">
        <f>IFERROR(INDEX('DRAFT 1'!$T:$T,MATCH($B30,'DRAFT 1'!$B:$B,0)),"")</f>
        <v/>
      </c>
      <c r="Z30" s="116">
        <f>IFERROR(INDEX('DRAFT 1'!$U:$U,MATCH($B30,'DRAFT 1'!$B:$B,0)),"")</f>
        <v/>
      </c>
      <c r="AA30" s="116">
        <f>IFERROR(INDEX('DRAFT 1'!$V:$V,MATCH($B30,'DRAFT 1'!$B:$B,0)),"")</f>
        <v/>
      </c>
      <c r="AB30" s="116">
        <f>IFERROR(INDEX('DRAFT 1'!$W:$W,MATCH($B30,'DRAFT 1'!$B:$B,0)),"")</f>
        <v/>
      </c>
      <c r="AC30" s="116">
        <f>IFERROR(INDEX('DRAFT 1'!$X:$X,MATCH($B30,'DRAFT 1'!$B:$B,0)),"")</f>
        <v/>
      </c>
      <c r="AD30" s="116">
        <f>IFERROR(INDEX('DRAFT 1'!$Y:$Y,MATCH($B30,'DRAFT 1'!$B:$B,0)),"")</f>
        <v/>
      </c>
      <c r="AE30" s="116">
        <f>IFERROR(INDEX('DRAFT 1'!$Z:$Z,MATCH($B30,'DRAFT 1'!$B:$B,0)),"")</f>
        <v/>
      </c>
      <c r="AF30" s="116">
        <f>IFERROR(INDEX('DRAFT 1'!$AA:$AA,MATCH($B30,'DRAFT 1'!$B:$B,0)),"")</f>
        <v/>
      </c>
      <c r="AG30" s="116">
        <f>IFERROR(INDEX('DRAFT 1'!$AB:$AB,MATCH($B30,'DRAFT 1'!$B:$B,0)),"")</f>
        <v/>
      </c>
      <c r="AH30" s="116">
        <f>IFERROR(INDEX('DRAFT 1'!$AC:$AC,MATCH($B30,'DRAFT 1'!$B:$B,0)),"")</f>
        <v/>
      </c>
      <c r="AI30" s="116">
        <f>IFERROR(INDEX('DRAFT 1'!$AD:$AD,MATCH($B30,'DRAFT 1'!$B:$B,0)),"")</f>
        <v/>
      </c>
      <c r="AJ30" s="116">
        <f>IFERROR(INDEX('DRAFT 1'!$AE:$AE,MATCH($B30,'DRAFT 1'!$B:$B,0)),"")</f>
        <v/>
      </c>
      <c r="AK30" s="116">
        <f>IFERROR(INDEX('DRAFT 1'!$AG:$AG,MATCH($B30,'DRAFT 1'!$B:$B,0)),"")</f>
        <v/>
      </c>
      <c r="AL30" s="116">
        <f>IFERROR(INDEX('DRAFT 1'!$AH:$AH,MATCH($B30,'DRAFT 1'!$B:$B,0)),"")</f>
        <v/>
      </c>
      <c r="AM30" s="116">
        <f>IFERROR(INDEX('DRAFT 1'!$AI:$AI,MATCH($B30,'DRAFT 1'!$B:$B,0)),"")</f>
        <v/>
      </c>
      <c r="AN30" s="116">
        <f>IFERROR(INDEX('DRAFT 1'!$AJ:$AJ,MATCH($B30,'DRAFT 1'!$B:$B,0)),"")</f>
        <v/>
      </c>
      <c r="AO30" s="116">
        <f>IFERROR(Y30/AN30,0)</f>
        <v/>
      </c>
      <c r="AP30" s="116">
        <f>IFERROR(INDEX('DRAFT 1'!$AK:$AK,MATCH($B30,'DRAFT 1'!$B:$B,0)),"")</f>
        <v/>
      </c>
      <c r="AR30" s="116" t="inlineStr">
        <is>
          <t>RECUPERAÇÃO</t>
        </is>
      </c>
      <c r="AS30" s="116">
        <f>IFERROR(LOOKUP(2,1/('DRAFT 2'!$D:$D=$B30),'DRAFT 2'!$T:$T),"")</f>
        <v/>
      </c>
      <c r="AT30" s="116">
        <f>IFERROR(LOOKUP(2,1/('DRAFT 2'!$D:$D=$B30),'DRAFT 2'!$A:$A),"")</f>
        <v/>
      </c>
      <c r="AU30" s="116">
        <f>IFERROR(LOOKUP(2,1/('DRAFT 2'!$D:$D=$B30),'DRAFT 2'!$R:$R),"")</f>
        <v/>
      </c>
      <c r="AV30" s="116">
        <f>IFERROR(LOOKUP(2,1/('DRAFT 2'!$D:$D=$B30),'DRAFT 2'!$S:$S),"")</f>
        <v/>
      </c>
      <c r="AW30" s="116" t="inlineStr">
        <is>
          <t>EM DESENVOLVIMENTO</t>
        </is>
      </c>
      <c r="AX30" s="116">
        <f>IFERROR(LOOKUP(2,1/('DRAFT 2'!$D:$D=$B30),'DRAFT 2'!$M:$M),"")</f>
        <v/>
      </c>
      <c r="AY30" s="116">
        <f>IFERROR(LOOKUP(2,1/('DRAFT 2'!$D:$D=$B30),'DRAFT 2'!$K:$K),"")</f>
        <v/>
      </c>
      <c r="BG30" s="116">
        <f>IFERROR(LOOKUP(2,1/('DRAFT 2'!$D:$D=$B30),'DRAFT 2'!$U:$U),"")</f>
        <v/>
      </c>
      <c r="BH30" s="116">
        <f>IFERROR(LOOKUP(2,1/('DRAFT 2'!$D:$D=$B30),'DRAFT 2'!$V:$V),"")</f>
        <v/>
      </c>
      <c r="CE30" s="116">
        <f>IFERROR(AJ30,0)</f>
        <v/>
      </c>
      <c r="CF30" s="116">
        <f>IFERROR(LOOKUP(2,1/('DRAFT 2'!$D:$D=$B30)*('DRAFT 2'!$A:$A&gt;=DATE(2026,1,1))*('DRAFT 2'!$A:$A&lt;DATE(2026,IF(1=12,1+1,1+1),1)),'DRAFT 2'!$A:$A),"")</f>
        <v/>
      </c>
      <c r="CG30" s="116">
        <f>COUNTIFS('DRAFT 2'!$D:$D,$B30,'DRAFT 2'!$A:$A,"&gt;="&amp;DATE(2026,1,1),'DRAFT 2'!$A:$A,"&lt;="&amp;DATE(2026,1,7))</f>
        <v/>
      </c>
      <c r="CH30" s="116">
        <f>COUNTIFS('DRAFT 2'!$D:$D,$B30,'DRAFT 2'!$A:$A,"&gt;="&amp;DATE(2026,1,8),'DRAFT 2'!$A:$A,"&lt;="&amp;DATE(2026,1,14))</f>
        <v/>
      </c>
      <c r="CI30" s="116">
        <f>COUNTIFS('DRAFT 2'!$D:$D,$B30,'DRAFT 2'!$A:$A,"&gt;="&amp;DATE(2026,1,15),'DRAFT 2'!$A:$A,"&lt;="&amp;DATE(2026,1,21))</f>
        <v/>
      </c>
      <c r="CJ30" s="116">
        <f>COUNTIFS('DRAFT 2'!$D:$D,$B30,'DRAFT 2'!$A:$A,"&gt;="&amp;DATE(2026,1,22),'DRAFT 2'!$A:$A,"&lt;"&amp;DATE(2026,IF(1=12,1+1,1+1),1))</f>
        <v/>
      </c>
      <c r="CK30" s="116">
        <f>SUM(CG30:CJ30)</f>
        <v/>
      </c>
      <c r="CT30" s="116" t="n">
        <v>0</v>
      </c>
      <c r="CU30" s="116">
        <f>IFERROR(LOOKUP(2,1/('DRAFT 2'!$D:$D=$B30)*('DRAFT 2'!$A:$A&gt;=DATE(2026,2,1))*('DRAFT 2'!$A:$A&lt;DATE(2026,IF(2=12,2+1,2+1),1)),'DRAFT 2'!$A:$A),"")</f>
        <v/>
      </c>
      <c r="CV30" s="116">
        <f>COUNTIFS('DRAFT 2'!$D:$D,$B30,'DRAFT 2'!$A:$A,"&gt;="&amp;DATE(2026,2,1),'DRAFT 2'!$A:$A,"&lt;="&amp;DATE(2026,2,7))</f>
        <v/>
      </c>
      <c r="CW30" s="116">
        <f>COUNTIFS('DRAFT 2'!$D:$D,$B30,'DRAFT 2'!$A:$A,"&gt;="&amp;DATE(2026,2,8),'DRAFT 2'!$A:$A,"&lt;="&amp;DATE(2026,2,14))</f>
        <v/>
      </c>
      <c r="CX30" s="116">
        <f>COUNTIFS('DRAFT 2'!$D:$D,$B30,'DRAFT 2'!$A:$A,"&gt;="&amp;DATE(2026,2,15),'DRAFT 2'!$A:$A,"&lt;="&amp;DATE(2026,2,21))</f>
        <v/>
      </c>
      <c r="CY30" s="116">
        <f>COUNTIFS('DRAFT 2'!$D:$D,$B30,'DRAFT 2'!$A:$A,"&gt;="&amp;DATE(2026,2,22),'DRAFT 2'!$A:$A,"&lt;"&amp;DATE(2026,IF(2=12,2+1,2+1),1))</f>
        <v/>
      </c>
      <c r="CZ30" s="116">
        <f>SUM(CV30:CY30)</f>
        <v/>
      </c>
      <c r="DJ30" s="116">
        <f>IFERROR(LOOKUP(2,1/('DRAFT 2'!$D:$D=$B30)*('DRAFT 2'!$A:$A&gt;=DATE(2026,3,1))*('DRAFT 2'!$A:$A&lt;DATE(2026,IF(3=12,3+1,3+1),1)),'DRAFT 2'!$A:$A),"")</f>
        <v/>
      </c>
      <c r="DK30" s="116">
        <f>COUNTIFS('DRAFT 2'!$D:$D,$B30,'DRAFT 2'!$A:$A,"&gt;="&amp;DATE(2026,3,1),'DRAFT 2'!$A:$A,"&lt;="&amp;DATE(2026,3,7))</f>
        <v/>
      </c>
      <c r="DL30" s="116">
        <f>COUNTIFS('DRAFT 2'!$D:$D,$B30,'DRAFT 2'!$A:$A,"&gt;="&amp;DATE(2026,3,8),'DRAFT 2'!$A:$A,"&lt;="&amp;DATE(2026,3,14))</f>
        <v/>
      </c>
      <c r="DM30" s="116">
        <f>COUNTIFS('DRAFT 2'!$D:$D,$B30,'DRAFT 2'!$A:$A,"&gt;="&amp;DATE(2026,3,15),'DRAFT 2'!$A:$A,"&lt;="&amp;DATE(2026,3,21))</f>
        <v/>
      </c>
      <c r="DN30" s="116">
        <f>COUNTIFS('DRAFT 2'!$D:$D,$B30,'DRAFT 2'!$A:$A,"&gt;="&amp;DATE(2026,3,22),'DRAFT 2'!$A:$A,"&lt;"&amp;DATE(2026,IF(3=12,3+1,3+1),1))</f>
        <v/>
      </c>
      <c r="DO30" s="116">
        <f>SUM(DK30:DN30)</f>
        <v/>
      </c>
      <c r="DZ30" s="116">
        <f>IFERROR(LOOKUP(2,1/('DRAFT 2'!$D:$D=$B30)*('DRAFT 2'!$A:$A&gt;=DATE(2026,4,1))*('DRAFT 2'!$A:$A&lt;DATE(2026,IF(4=12,4+1,4+1),1)),'DRAFT 2'!$A:$A),"")</f>
        <v/>
      </c>
      <c r="EA30" s="116">
        <f>COUNTIFS('DRAFT 2'!$D:$D,$B30,'DRAFT 2'!$A:$A,"&gt;="&amp;DATE(2026,4,1),'DRAFT 2'!$A:$A,"&lt;="&amp;DATE(2026,4,7))</f>
        <v/>
      </c>
      <c r="EB30" s="116">
        <f>COUNTIFS('DRAFT 2'!$D:$D,$B30,'DRAFT 2'!$A:$A,"&gt;="&amp;DATE(2026,4,8),'DRAFT 2'!$A:$A,"&lt;="&amp;DATE(2026,4,14))</f>
        <v/>
      </c>
      <c r="EC30" s="116">
        <f>COUNTIFS('DRAFT 2'!$D:$D,$B30,'DRAFT 2'!$A:$A,"&gt;="&amp;DATE(2026,4,15),'DRAFT 2'!$A:$A,"&lt;="&amp;DATE(2026,4,21))</f>
        <v/>
      </c>
      <c r="ED30" s="116">
        <f>COUNTIFS('DRAFT 2'!$D:$D,$B30,'DRAFT 2'!$A:$A,"&gt;="&amp;DATE(2026,4,22),'DRAFT 2'!$A:$A,"&lt;"&amp;DATE(2026,IF(4=12,4+1,4+1),1))</f>
        <v/>
      </c>
      <c r="EE30" s="116">
        <f>SUM(EA30:ED30)</f>
        <v/>
      </c>
      <c r="EO30" s="116">
        <f>IFERROR(LOOKUP(2,1/('DRAFT 2'!$D:$D=$B30)*('DRAFT 2'!$A:$A&gt;=DATE(2026,5,1))*('DRAFT 2'!$A:$A&lt;DATE(2026,IF(5=12,5+1,5+1),1)),'DRAFT 2'!$A:$A),"")</f>
        <v/>
      </c>
      <c r="EP30" s="116">
        <f>COUNTIFS('DRAFT 2'!$D:$D,$B30,'DRAFT 2'!$A:$A,"&gt;="&amp;DATE(2026,5,1),'DRAFT 2'!$A:$A,"&lt;="&amp;DATE(2026,5,7))</f>
        <v/>
      </c>
      <c r="EQ30" s="116">
        <f>COUNTIFS('DRAFT 2'!$D:$D,$B30,'DRAFT 2'!$A:$A,"&gt;="&amp;DATE(2026,5,8),'DRAFT 2'!$A:$A,"&lt;="&amp;DATE(2026,5,14))</f>
        <v/>
      </c>
      <c r="ER30" s="116">
        <f>COUNTIFS('DRAFT 2'!$D:$D,$B30,'DRAFT 2'!$A:$A,"&gt;="&amp;DATE(2026,5,15),'DRAFT 2'!$A:$A,"&lt;="&amp;DATE(2026,5,21))</f>
        <v/>
      </c>
      <c r="ES30" s="116">
        <f>COUNTIFS('DRAFT 2'!$D:$D,$B30,'DRAFT 2'!$A:$A,"&gt;="&amp;DATE(2026,5,22),'DRAFT 2'!$A:$A,"&lt;"&amp;DATE(2026,IF(5=12,5+1,5+1),1))</f>
        <v/>
      </c>
      <c r="ET30" s="116">
        <f>SUM(EP30:ES30)</f>
        <v/>
      </c>
      <c r="FD30" s="116">
        <f>IFERROR(LOOKUP(2,1/('DRAFT 2'!$D:$D=$B30)*('DRAFT 2'!$A:$A&gt;=DATE(2026,6,1))*('DRAFT 2'!$A:$A&lt;DATE(2026,IF(6=12,6+1,6+1),1)),'DRAFT 2'!$A:$A),"")</f>
        <v/>
      </c>
      <c r="FE30" s="116">
        <f>COUNTIFS('DRAFT 2'!$D:$D,$B30,'DRAFT 2'!$A:$A,"&gt;="&amp;DATE(2026,6,1),'DRAFT 2'!$A:$A,"&lt;="&amp;DATE(2026,6,7))</f>
        <v/>
      </c>
      <c r="FF30" s="116">
        <f>COUNTIFS('DRAFT 2'!$D:$D,$B30,'DRAFT 2'!$A:$A,"&gt;="&amp;DATE(2026,6,8),'DRAFT 2'!$A:$A,"&lt;="&amp;DATE(2026,6,14))</f>
        <v/>
      </c>
      <c r="FG30" s="116">
        <f>COUNTIFS('DRAFT 2'!$D:$D,$B30,'DRAFT 2'!$A:$A,"&gt;="&amp;DATE(2026,6,15),'DRAFT 2'!$A:$A,"&lt;="&amp;DATE(2026,6,21))</f>
        <v/>
      </c>
      <c r="FH30" s="116">
        <f>COUNTIFS('DRAFT 2'!$D:$D,$B30,'DRAFT 2'!$A:$A,"&gt;="&amp;DATE(2026,6,22),'DRAFT 2'!$A:$A,"&lt;"&amp;DATE(2026,IF(6=12,6+1,6+1),1))</f>
        <v/>
      </c>
      <c r="FI30" s="116">
        <f>SUM(FE30:FH30)</f>
        <v/>
      </c>
      <c r="FT30" s="116">
        <f>IFERROR(LOOKUP(2,1/('DRAFT 2'!$D:$D=$B30)*('DRAFT 2'!$A:$A&gt;=DATE(2026,7,1))*('DRAFT 2'!$A:$A&lt;DATE(2026,IF(7=12,7+1,7+1),1)),'DRAFT 2'!$A:$A),"")</f>
        <v/>
      </c>
      <c r="FU30" s="116">
        <f>COUNTIFS('DRAFT 2'!$D:$D,$B30,'DRAFT 2'!$A:$A,"&gt;="&amp;DATE(2026,7,1),'DRAFT 2'!$A:$A,"&lt;="&amp;DATE(2026,7,7))</f>
        <v/>
      </c>
      <c r="FV30" s="116">
        <f>COUNTIFS('DRAFT 2'!$D:$D,$B30,'DRAFT 2'!$A:$A,"&gt;="&amp;DATE(2026,7,8),'DRAFT 2'!$A:$A,"&lt;="&amp;DATE(2026,7,14))</f>
        <v/>
      </c>
      <c r="FW30" s="116">
        <f>COUNTIFS('DRAFT 2'!$D:$D,$B30,'DRAFT 2'!$A:$A,"&gt;="&amp;DATE(2026,7,15),'DRAFT 2'!$A:$A,"&lt;="&amp;DATE(2026,7,21))</f>
        <v/>
      </c>
      <c r="FX30" s="116">
        <f>COUNTIFS('DRAFT 2'!$D:$D,$B30,'DRAFT 2'!$A:$A,"&gt;="&amp;DATE(2026,7,22),'DRAFT 2'!$A:$A,"&lt;"&amp;DATE(2026,IF(7=12,7+1,7+1),1))</f>
        <v/>
      </c>
      <c r="FY30" s="116">
        <f>SUM(FU30:FX30)</f>
        <v/>
      </c>
      <c r="GI30" s="116">
        <f>IFERROR(LOOKUP(2,1/('DRAFT 2'!$D:$D=$B30)*('DRAFT 2'!$A:$A&gt;=DATE(2026,8,1))*('DRAFT 2'!$A:$A&lt;DATE(2026,IF(8=12,8+1,8+1),1)),'DRAFT 2'!$A:$A),"")</f>
        <v/>
      </c>
      <c r="GJ30" s="116">
        <f>COUNTIFS('DRAFT 2'!$D:$D,$B30,'DRAFT 2'!$A:$A,"&gt;="&amp;DATE(2026,8,1),'DRAFT 2'!$A:$A,"&lt;="&amp;DATE(2026,8,7))</f>
        <v/>
      </c>
      <c r="GK30" s="116">
        <f>COUNTIFS('DRAFT 2'!$D:$D,$B30,'DRAFT 2'!$A:$A,"&gt;="&amp;DATE(2026,8,8),'DRAFT 2'!$A:$A,"&lt;="&amp;DATE(2026,8,14))</f>
        <v/>
      </c>
      <c r="GL30" s="116">
        <f>COUNTIFS('DRAFT 2'!$D:$D,$B30,'DRAFT 2'!$A:$A,"&gt;="&amp;DATE(2026,8,15),'DRAFT 2'!$A:$A,"&lt;="&amp;DATE(2026,8,21))</f>
        <v/>
      </c>
      <c r="GM30" s="116">
        <f>COUNTIFS('DRAFT 2'!$D:$D,$B30,'DRAFT 2'!$A:$A,"&gt;="&amp;DATE(2026,8,22),'DRAFT 2'!$A:$A,"&lt;"&amp;DATE(2026,IF(8=12,8+1,8+1),1))</f>
        <v/>
      </c>
      <c r="GN30" s="116">
        <f>SUM(GJ30:GM30)</f>
        <v/>
      </c>
      <c r="GX30" s="116">
        <f>IFERROR(LOOKUP(2,1/('DRAFT 2'!$D:$D=$B30)*('DRAFT 2'!$A:$A&gt;=DATE(2026,9,1))*('DRAFT 2'!$A:$A&lt;DATE(2026,IF(9=12,9+1,9+1),1)),'DRAFT 2'!$A:$A),"")</f>
        <v/>
      </c>
      <c r="GY30" s="116">
        <f>COUNTIFS('DRAFT 2'!$D:$D,$B30,'DRAFT 2'!$A:$A,"&gt;="&amp;DATE(2026,9,1),'DRAFT 2'!$A:$A,"&lt;="&amp;DATE(2026,9,7))</f>
        <v/>
      </c>
      <c r="GZ30" s="116">
        <f>COUNTIFS('DRAFT 2'!$D:$D,$B30,'DRAFT 2'!$A:$A,"&gt;="&amp;DATE(2026,9,8),'DRAFT 2'!$A:$A,"&lt;="&amp;DATE(2026,9,14))</f>
        <v/>
      </c>
      <c r="HA30" s="116">
        <f>COUNTIFS('DRAFT 2'!$D:$D,$B30,'DRAFT 2'!$A:$A,"&gt;="&amp;DATE(2026,9,15),'DRAFT 2'!$A:$A,"&lt;="&amp;DATE(2026,9,21))</f>
        <v/>
      </c>
      <c r="HB30" s="116">
        <f>COUNTIFS('DRAFT 2'!$D:$D,$B30,'DRAFT 2'!$A:$A,"&gt;="&amp;DATE(2026,9,22),'DRAFT 2'!$A:$A,"&lt;"&amp;DATE(2026,IF(9=12,9+1,9+1),1))</f>
        <v/>
      </c>
      <c r="HC30" s="116">
        <f>SUM(GY30:HB30)</f>
        <v/>
      </c>
      <c r="HN30" s="116">
        <f>IFERROR(LOOKUP(2,1/('DRAFT 2'!$D:$D=$B30)*('DRAFT 2'!$A:$A&gt;=DATE(2026,10,1))*('DRAFT 2'!$A:$A&lt;DATE(2026,IF(10=12,10+1,10+1),1)),'DRAFT 2'!$A:$A),"")</f>
        <v/>
      </c>
      <c r="HO30" s="116">
        <f>COUNTIFS('DRAFT 2'!$D:$D,$B30,'DRAFT 2'!$A:$A,"&gt;="&amp;DATE(2026,10,1),'DRAFT 2'!$A:$A,"&lt;="&amp;DATE(2026,10,7))</f>
        <v/>
      </c>
      <c r="HP30" s="116">
        <f>COUNTIFS('DRAFT 2'!$D:$D,$B30,'DRAFT 2'!$A:$A,"&gt;="&amp;DATE(2026,10,8),'DRAFT 2'!$A:$A,"&lt;="&amp;DATE(2026,10,14))</f>
        <v/>
      </c>
      <c r="HQ30" s="116">
        <f>COUNTIFS('DRAFT 2'!$D:$D,$B30,'DRAFT 2'!$A:$A,"&gt;="&amp;DATE(2026,10,15),'DRAFT 2'!$A:$A,"&lt;="&amp;DATE(2026,10,21))</f>
        <v/>
      </c>
      <c r="HR30" s="116">
        <f>COUNTIFS('DRAFT 2'!$D:$D,$B30,'DRAFT 2'!$A:$A,"&gt;="&amp;DATE(2026,10,22),'DRAFT 2'!$A:$A,"&lt;"&amp;DATE(2026,IF(10=12,10+1,10+1),1))</f>
        <v/>
      </c>
      <c r="HS30" s="116">
        <f>SUM(HO30:HR30)</f>
        <v/>
      </c>
      <c r="IC30" s="116">
        <f>IFERROR(LOOKUP(2,1/('DRAFT 2'!$D:$D=$B30)*('DRAFT 2'!$A:$A&gt;=DATE(2026,11,1))*('DRAFT 2'!$A:$A&lt;DATE(2026,IF(11=12,11+1,11+1),1)),'DRAFT 2'!$A:$A),"")</f>
        <v/>
      </c>
      <c r="ID30" s="116">
        <f>COUNTIFS('DRAFT 2'!$D:$D,$B30,'DRAFT 2'!$A:$A,"&gt;="&amp;DATE(2026,11,1),'DRAFT 2'!$A:$A,"&lt;="&amp;DATE(2026,11,7))</f>
        <v/>
      </c>
      <c r="IE30" s="116">
        <f>COUNTIFS('DRAFT 2'!$D:$D,$B30,'DRAFT 2'!$A:$A,"&gt;="&amp;DATE(2026,11,8),'DRAFT 2'!$A:$A,"&lt;="&amp;DATE(2026,11,14))</f>
        <v/>
      </c>
      <c r="IF30" s="116">
        <f>COUNTIFS('DRAFT 2'!$D:$D,$B30,'DRAFT 2'!$A:$A,"&gt;="&amp;DATE(2026,11,15),'DRAFT 2'!$A:$A,"&lt;="&amp;DATE(2026,11,21))</f>
        <v/>
      </c>
      <c r="IG30" s="116">
        <f>COUNTIFS('DRAFT 2'!$D:$D,$B30,'DRAFT 2'!$A:$A,"&gt;="&amp;DATE(2026,11,22),'DRAFT 2'!$A:$A,"&lt;"&amp;DATE(2026,IF(11=12,11+1,11+1),1))</f>
        <v/>
      </c>
      <c r="IH30" s="116">
        <f>SUM(ID30:IG30)</f>
        <v/>
      </c>
      <c r="IR30" s="116">
        <f>IFERROR(LOOKUP(2,1/('DRAFT 2'!$D:$D=$B30)*('DRAFT 2'!$A:$A&gt;=DATE(2026,12,1))*('DRAFT 2'!$A:$A&lt;DATE(2026,IF(12=12,12+1,12+1),1)),'DRAFT 2'!$A:$A),"")</f>
        <v/>
      </c>
      <c r="IS30" s="116">
        <f>COUNTIFS('DRAFT 2'!$D:$D,$B30,'DRAFT 2'!$A:$A,"&gt;="&amp;DATE(2026,12,1),'DRAFT 2'!$A:$A,"&lt;="&amp;DATE(2026,12,7))</f>
        <v/>
      </c>
      <c r="IT30" s="116">
        <f>COUNTIFS('DRAFT 2'!$D:$D,$B30,'DRAFT 2'!$A:$A,"&gt;="&amp;DATE(2026,12,8),'DRAFT 2'!$A:$A,"&lt;="&amp;DATE(2026,12,14))</f>
        <v/>
      </c>
      <c r="IU30" s="116">
        <f>COUNTIFS('DRAFT 2'!$D:$D,$B30,'DRAFT 2'!$A:$A,"&gt;="&amp;DATE(2026,12,15),'DRAFT 2'!$A:$A,"&lt;="&amp;DATE(2026,12,21))</f>
        <v/>
      </c>
      <c r="IV30" s="116">
        <f>COUNTIFS('DRAFT 2'!$D:$D,$B30,'DRAFT 2'!$A:$A,"&gt;="&amp;DATE(2026,12,22),'DRAFT 2'!$A:$A,"&lt;"&amp;DATE(2026,IF(12=12,12+1,12+1),1))</f>
        <v/>
      </c>
      <c r="IW30" s="116">
        <f>SUM(IS30:IV30)</f>
        <v/>
      </c>
    </row>
    <row r="31">
      <c r="A31" s="116">
        <f>IFERROR(INDEX('DRAFT 1'!$A:$A,MATCH($B31,'DRAFT 1'!$B:$B,0)),"")</f>
        <v/>
      </c>
      <c r="C31" s="116">
        <f>IFERROR(INDEX('DRAFT 1'!$C:$C,MATCH($B31,'DRAFT 1'!$B:$B,0)),"")</f>
        <v/>
      </c>
      <c r="D31" s="116">
        <f>IFERROR(INDEX('DRAFT 1'!$D:$D,MATCH($B31,'DRAFT 1'!$B:$B,0)),"")</f>
        <v/>
      </c>
      <c r="E31" s="116">
        <f>IFERROR(INDEX('DRAFT 1'!$E:$E,MATCH($B31,'DRAFT 1'!$B:$B,0)),"")</f>
        <v/>
      </c>
      <c r="F31" s="116">
        <f>IFERROR(INDEX('DRAFT 1'!$F:$F,MATCH($B31,'DRAFT 1'!$B:$B,0)),"")</f>
        <v/>
      </c>
      <c r="G31" s="116">
        <f>IFERROR(INDEX('DRAFT 1'!$G:$G,MATCH($B31,'DRAFT 1'!$B:$B,0)),"")</f>
        <v/>
      </c>
      <c r="H31" s="116">
        <f>IFERROR(INDEX('DRAFT 1'!$H:$H,MATCH($B31,'DRAFT 1'!$B:$B,0)),"")</f>
        <v/>
      </c>
      <c r="I31" s="116" t="inlineStr">
        <is>
          <t>BIOMUNDO</t>
        </is>
      </c>
      <c r="K31" s="116">
        <f>IFERROR(INDEX('DRAFT 1'!$AL:$AL,MATCH($B31,'DRAFT 1'!$B:$B,0)),"")</f>
        <v/>
      </c>
      <c r="L31" s="116">
        <f>IFERROR(INDEX('DRAFT 1'!$J:$J,MATCH($B31,'DRAFT 1'!$B:$B,0)),"")</f>
        <v/>
      </c>
      <c r="M31" s="116">
        <f>IFERROR(INDEX('DRAFT 1'!$K:$K,MATCH($B31,'DRAFT 1'!$B:$B,0)),"")</f>
        <v/>
      </c>
      <c r="N31" s="116" t="inlineStr">
        <is>
          <t>INAT.REC</t>
        </is>
      </c>
      <c r="P31" s="116">
        <f>IFERROR(INDEX('DRAFT 1'!$L:$L,MATCH($B31,'DRAFT 1'!$B:$B,0)),"")</f>
        <v/>
      </c>
      <c r="Q31" s="116">
        <f>IFERROR(INDEX('DRAFT 1'!$M:$M,MATCH($B31,'DRAFT 1'!$B:$B,0)),"")</f>
        <v/>
      </c>
      <c r="R31" s="116">
        <f>IFERROR(INDEX('DRAFT 1'!$N:$N,MATCH($B31,'DRAFT 1'!$B:$B,0)),"")</f>
        <v/>
      </c>
      <c r="S31" s="116">
        <f>IFERROR(INDEX('DRAFT 1'!$O:$O,MATCH($B31,'DRAFT 1'!$B:$B,0)),"")</f>
        <v/>
      </c>
      <c r="T31" s="116">
        <f>IFERROR(INDEX('DRAFT 1'!$P:$P,MATCH($B31,'DRAFT 1'!$B:$B,0)),"")</f>
        <v/>
      </c>
      <c r="U31" s="116">
        <f>IFERROR(INDEX('DRAFT 1'!$Q:$Q,MATCH($B31,'DRAFT 1'!$B:$B,0)),"")</f>
        <v/>
      </c>
      <c r="V31" s="116">
        <f>IFERROR(INDEX('DRAFT 1'!$R:$R,MATCH($B31,'DRAFT 1'!$B:$B,0)),"")</f>
        <v/>
      </c>
      <c r="W31" s="116">
        <f>IFERROR(INDEX('DRAFT 1'!$S:$S,MATCH($B31,'DRAFT 1'!$B:$B,0)),"")</f>
        <v/>
      </c>
      <c r="X31" s="116">
        <f>IFERROR(INDEX('DRAFT 1'!$T:$T,MATCH($B31,'DRAFT 1'!$B:$B,0)),"")</f>
        <v/>
      </c>
      <c r="Z31" s="116">
        <f>IFERROR(INDEX('DRAFT 1'!$U:$U,MATCH($B31,'DRAFT 1'!$B:$B,0)),"")</f>
        <v/>
      </c>
      <c r="AA31" s="116">
        <f>IFERROR(INDEX('DRAFT 1'!$V:$V,MATCH($B31,'DRAFT 1'!$B:$B,0)),"")</f>
        <v/>
      </c>
      <c r="AB31" s="116">
        <f>IFERROR(INDEX('DRAFT 1'!$W:$W,MATCH($B31,'DRAFT 1'!$B:$B,0)),"")</f>
        <v/>
      </c>
      <c r="AC31" s="116">
        <f>IFERROR(INDEX('DRAFT 1'!$X:$X,MATCH($B31,'DRAFT 1'!$B:$B,0)),"")</f>
        <v/>
      </c>
      <c r="AD31" s="116">
        <f>IFERROR(INDEX('DRAFT 1'!$Y:$Y,MATCH($B31,'DRAFT 1'!$B:$B,0)),"")</f>
        <v/>
      </c>
      <c r="AE31" s="116">
        <f>IFERROR(INDEX('DRAFT 1'!$Z:$Z,MATCH($B31,'DRAFT 1'!$B:$B,0)),"")</f>
        <v/>
      </c>
      <c r="AF31" s="116">
        <f>IFERROR(INDEX('DRAFT 1'!$AA:$AA,MATCH($B31,'DRAFT 1'!$B:$B,0)),"")</f>
        <v/>
      </c>
      <c r="AG31" s="116">
        <f>IFERROR(INDEX('DRAFT 1'!$AB:$AB,MATCH($B31,'DRAFT 1'!$B:$B,0)),"")</f>
        <v/>
      </c>
      <c r="AH31" s="116">
        <f>IFERROR(INDEX('DRAFT 1'!$AC:$AC,MATCH($B31,'DRAFT 1'!$B:$B,0)),"")</f>
        <v/>
      </c>
      <c r="AI31" s="116">
        <f>IFERROR(INDEX('DRAFT 1'!$AD:$AD,MATCH($B31,'DRAFT 1'!$B:$B,0)),"")</f>
        <v/>
      </c>
      <c r="AJ31" s="116">
        <f>IFERROR(INDEX('DRAFT 1'!$AE:$AE,MATCH($B31,'DRAFT 1'!$B:$B,0)),"")</f>
        <v/>
      </c>
      <c r="AK31" s="116">
        <f>IFERROR(INDEX('DRAFT 1'!$AG:$AG,MATCH($B31,'DRAFT 1'!$B:$B,0)),"")</f>
        <v/>
      </c>
      <c r="AL31" s="116">
        <f>IFERROR(INDEX('DRAFT 1'!$AH:$AH,MATCH($B31,'DRAFT 1'!$B:$B,0)),"")</f>
        <v/>
      </c>
      <c r="AM31" s="116">
        <f>IFERROR(INDEX('DRAFT 1'!$AI:$AI,MATCH($B31,'DRAFT 1'!$B:$B,0)),"")</f>
        <v/>
      </c>
      <c r="AN31" s="116">
        <f>IFERROR(INDEX('DRAFT 1'!$AJ:$AJ,MATCH($B31,'DRAFT 1'!$B:$B,0)),"")</f>
        <v/>
      </c>
      <c r="AO31" s="116">
        <f>IFERROR(Y31/AN31,0)</f>
        <v/>
      </c>
      <c r="AP31" s="116">
        <f>IFERROR(INDEX('DRAFT 1'!$AK:$AK,MATCH($B31,'DRAFT 1'!$B:$B,0)),"")</f>
        <v/>
      </c>
      <c r="AR31" s="116" t="inlineStr">
        <is>
          <t>RECOMPRA</t>
        </is>
      </c>
      <c r="AS31" s="116">
        <f>IFERROR(LOOKUP(2,1/('DRAFT 2'!$D:$D=$B31),'DRAFT 2'!$T:$T),"")</f>
        <v/>
      </c>
      <c r="AT31" s="116">
        <f>IFERROR(LOOKUP(2,1/('DRAFT 2'!$D:$D=$B31),'DRAFT 2'!$A:$A),"")</f>
        <v/>
      </c>
      <c r="AU31" s="116">
        <f>IFERROR(LOOKUP(2,1/('DRAFT 2'!$D:$D=$B31),'DRAFT 2'!$R:$R),"")</f>
        <v/>
      </c>
      <c r="AV31" s="116">
        <f>IFERROR(LOOKUP(2,1/('DRAFT 2'!$D:$D=$B31),'DRAFT 2'!$S:$S),"")</f>
        <v/>
      </c>
      <c r="AW31" s="116" t="inlineStr">
        <is>
          <t>EM DESENVOLVIMENTO</t>
        </is>
      </c>
      <c r="AX31" s="116">
        <f>IFERROR(LOOKUP(2,1/('DRAFT 2'!$D:$D=$B31),'DRAFT 2'!$M:$M),"")</f>
        <v/>
      </c>
      <c r="AY31" s="116">
        <f>IFERROR(LOOKUP(2,1/('DRAFT 2'!$D:$D=$B31),'DRAFT 2'!$K:$K),"")</f>
        <v/>
      </c>
      <c r="BG31" s="116">
        <f>IFERROR(LOOKUP(2,1/('DRAFT 2'!$D:$D=$B31),'DRAFT 2'!$U:$U),"")</f>
        <v/>
      </c>
      <c r="BH31" s="116">
        <f>IFERROR(LOOKUP(2,1/('DRAFT 2'!$D:$D=$B31),'DRAFT 2'!$V:$V),"")</f>
        <v/>
      </c>
      <c r="CE31" s="116">
        <f>IFERROR(AJ31,0)</f>
        <v/>
      </c>
      <c r="CF31" s="116">
        <f>IFERROR(LOOKUP(2,1/('DRAFT 2'!$D:$D=$B31)*('DRAFT 2'!$A:$A&gt;=DATE(2026,1,1))*('DRAFT 2'!$A:$A&lt;DATE(2026,IF(1=12,1+1,1+1),1)),'DRAFT 2'!$A:$A),"")</f>
        <v/>
      </c>
      <c r="CG31" s="116">
        <f>COUNTIFS('DRAFT 2'!$D:$D,$B31,'DRAFT 2'!$A:$A,"&gt;="&amp;DATE(2026,1,1),'DRAFT 2'!$A:$A,"&lt;="&amp;DATE(2026,1,7))</f>
        <v/>
      </c>
      <c r="CH31" s="116">
        <f>COUNTIFS('DRAFT 2'!$D:$D,$B31,'DRAFT 2'!$A:$A,"&gt;="&amp;DATE(2026,1,8),'DRAFT 2'!$A:$A,"&lt;="&amp;DATE(2026,1,14))</f>
        <v/>
      </c>
      <c r="CI31" s="116">
        <f>COUNTIFS('DRAFT 2'!$D:$D,$B31,'DRAFT 2'!$A:$A,"&gt;="&amp;DATE(2026,1,15),'DRAFT 2'!$A:$A,"&lt;="&amp;DATE(2026,1,21))</f>
        <v/>
      </c>
      <c r="CJ31" s="116">
        <f>COUNTIFS('DRAFT 2'!$D:$D,$B31,'DRAFT 2'!$A:$A,"&gt;="&amp;DATE(2026,1,22),'DRAFT 2'!$A:$A,"&lt;"&amp;DATE(2026,IF(1=12,1+1,1+1),1))</f>
        <v/>
      </c>
      <c r="CK31" s="116">
        <f>SUM(CG31:CJ31)</f>
        <v/>
      </c>
      <c r="CT31" s="116" t="n">
        <v>0</v>
      </c>
      <c r="CU31" s="116">
        <f>IFERROR(LOOKUP(2,1/('DRAFT 2'!$D:$D=$B31)*('DRAFT 2'!$A:$A&gt;=DATE(2026,2,1))*('DRAFT 2'!$A:$A&lt;DATE(2026,IF(2=12,2+1,2+1),1)),'DRAFT 2'!$A:$A),"")</f>
        <v/>
      </c>
      <c r="CV31" s="116">
        <f>COUNTIFS('DRAFT 2'!$D:$D,$B31,'DRAFT 2'!$A:$A,"&gt;="&amp;DATE(2026,2,1),'DRAFT 2'!$A:$A,"&lt;="&amp;DATE(2026,2,7))</f>
        <v/>
      </c>
      <c r="CW31" s="116">
        <f>COUNTIFS('DRAFT 2'!$D:$D,$B31,'DRAFT 2'!$A:$A,"&gt;="&amp;DATE(2026,2,8),'DRAFT 2'!$A:$A,"&lt;="&amp;DATE(2026,2,14))</f>
        <v/>
      </c>
      <c r="CX31" s="116">
        <f>COUNTIFS('DRAFT 2'!$D:$D,$B31,'DRAFT 2'!$A:$A,"&gt;="&amp;DATE(2026,2,15),'DRAFT 2'!$A:$A,"&lt;="&amp;DATE(2026,2,21))</f>
        <v/>
      </c>
      <c r="CY31" s="116">
        <f>COUNTIFS('DRAFT 2'!$D:$D,$B31,'DRAFT 2'!$A:$A,"&gt;="&amp;DATE(2026,2,22),'DRAFT 2'!$A:$A,"&lt;"&amp;DATE(2026,IF(2=12,2+1,2+1),1))</f>
        <v/>
      </c>
      <c r="CZ31" s="116">
        <f>SUM(CV31:CY31)</f>
        <v/>
      </c>
      <c r="DJ31" s="116">
        <f>IFERROR(LOOKUP(2,1/('DRAFT 2'!$D:$D=$B31)*('DRAFT 2'!$A:$A&gt;=DATE(2026,3,1))*('DRAFT 2'!$A:$A&lt;DATE(2026,IF(3=12,3+1,3+1),1)),'DRAFT 2'!$A:$A),"")</f>
        <v/>
      </c>
      <c r="DK31" s="116">
        <f>COUNTIFS('DRAFT 2'!$D:$D,$B31,'DRAFT 2'!$A:$A,"&gt;="&amp;DATE(2026,3,1),'DRAFT 2'!$A:$A,"&lt;="&amp;DATE(2026,3,7))</f>
        <v/>
      </c>
      <c r="DL31" s="116">
        <f>COUNTIFS('DRAFT 2'!$D:$D,$B31,'DRAFT 2'!$A:$A,"&gt;="&amp;DATE(2026,3,8),'DRAFT 2'!$A:$A,"&lt;="&amp;DATE(2026,3,14))</f>
        <v/>
      </c>
      <c r="DM31" s="116">
        <f>COUNTIFS('DRAFT 2'!$D:$D,$B31,'DRAFT 2'!$A:$A,"&gt;="&amp;DATE(2026,3,15),'DRAFT 2'!$A:$A,"&lt;="&amp;DATE(2026,3,21))</f>
        <v/>
      </c>
      <c r="DN31" s="116">
        <f>COUNTIFS('DRAFT 2'!$D:$D,$B31,'DRAFT 2'!$A:$A,"&gt;="&amp;DATE(2026,3,22),'DRAFT 2'!$A:$A,"&lt;"&amp;DATE(2026,IF(3=12,3+1,3+1),1))</f>
        <v/>
      </c>
      <c r="DO31" s="116">
        <f>SUM(DK31:DN31)</f>
        <v/>
      </c>
      <c r="DZ31" s="116">
        <f>IFERROR(LOOKUP(2,1/('DRAFT 2'!$D:$D=$B31)*('DRAFT 2'!$A:$A&gt;=DATE(2026,4,1))*('DRAFT 2'!$A:$A&lt;DATE(2026,IF(4=12,4+1,4+1),1)),'DRAFT 2'!$A:$A),"")</f>
        <v/>
      </c>
      <c r="EA31" s="116">
        <f>COUNTIFS('DRAFT 2'!$D:$D,$B31,'DRAFT 2'!$A:$A,"&gt;="&amp;DATE(2026,4,1),'DRAFT 2'!$A:$A,"&lt;="&amp;DATE(2026,4,7))</f>
        <v/>
      </c>
      <c r="EB31" s="116">
        <f>COUNTIFS('DRAFT 2'!$D:$D,$B31,'DRAFT 2'!$A:$A,"&gt;="&amp;DATE(2026,4,8),'DRAFT 2'!$A:$A,"&lt;="&amp;DATE(2026,4,14))</f>
        <v/>
      </c>
      <c r="EC31" s="116">
        <f>COUNTIFS('DRAFT 2'!$D:$D,$B31,'DRAFT 2'!$A:$A,"&gt;="&amp;DATE(2026,4,15),'DRAFT 2'!$A:$A,"&lt;="&amp;DATE(2026,4,21))</f>
        <v/>
      </c>
      <c r="ED31" s="116">
        <f>COUNTIFS('DRAFT 2'!$D:$D,$B31,'DRAFT 2'!$A:$A,"&gt;="&amp;DATE(2026,4,22),'DRAFT 2'!$A:$A,"&lt;"&amp;DATE(2026,IF(4=12,4+1,4+1),1))</f>
        <v/>
      </c>
      <c r="EE31" s="116">
        <f>SUM(EA31:ED31)</f>
        <v/>
      </c>
      <c r="EO31" s="116">
        <f>IFERROR(LOOKUP(2,1/('DRAFT 2'!$D:$D=$B31)*('DRAFT 2'!$A:$A&gt;=DATE(2026,5,1))*('DRAFT 2'!$A:$A&lt;DATE(2026,IF(5=12,5+1,5+1),1)),'DRAFT 2'!$A:$A),"")</f>
        <v/>
      </c>
      <c r="EP31" s="116">
        <f>COUNTIFS('DRAFT 2'!$D:$D,$B31,'DRAFT 2'!$A:$A,"&gt;="&amp;DATE(2026,5,1),'DRAFT 2'!$A:$A,"&lt;="&amp;DATE(2026,5,7))</f>
        <v/>
      </c>
      <c r="EQ31" s="116">
        <f>COUNTIFS('DRAFT 2'!$D:$D,$B31,'DRAFT 2'!$A:$A,"&gt;="&amp;DATE(2026,5,8),'DRAFT 2'!$A:$A,"&lt;="&amp;DATE(2026,5,14))</f>
        <v/>
      </c>
      <c r="ER31" s="116">
        <f>COUNTIFS('DRAFT 2'!$D:$D,$B31,'DRAFT 2'!$A:$A,"&gt;="&amp;DATE(2026,5,15),'DRAFT 2'!$A:$A,"&lt;="&amp;DATE(2026,5,21))</f>
        <v/>
      </c>
      <c r="ES31" s="116">
        <f>COUNTIFS('DRAFT 2'!$D:$D,$B31,'DRAFT 2'!$A:$A,"&gt;="&amp;DATE(2026,5,22),'DRAFT 2'!$A:$A,"&lt;"&amp;DATE(2026,IF(5=12,5+1,5+1),1))</f>
        <v/>
      </c>
      <c r="ET31" s="116">
        <f>SUM(EP31:ES31)</f>
        <v/>
      </c>
      <c r="FD31" s="116">
        <f>IFERROR(LOOKUP(2,1/('DRAFT 2'!$D:$D=$B31)*('DRAFT 2'!$A:$A&gt;=DATE(2026,6,1))*('DRAFT 2'!$A:$A&lt;DATE(2026,IF(6=12,6+1,6+1),1)),'DRAFT 2'!$A:$A),"")</f>
        <v/>
      </c>
      <c r="FE31" s="116">
        <f>COUNTIFS('DRAFT 2'!$D:$D,$B31,'DRAFT 2'!$A:$A,"&gt;="&amp;DATE(2026,6,1),'DRAFT 2'!$A:$A,"&lt;="&amp;DATE(2026,6,7))</f>
        <v/>
      </c>
      <c r="FF31" s="116">
        <f>COUNTIFS('DRAFT 2'!$D:$D,$B31,'DRAFT 2'!$A:$A,"&gt;="&amp;DATE(2026,6,8),'DRAFT 2'!$A:$A,"&lt;="&amp;DATE(2026,6,14))</f>
        <v/>
      </c>
      <c r="FG31" s="116">
        <f>COUNTIFS('DRAFT 2'!$D:$D,$B31,'DRAFT 2'!$A:$A,"&gt;="&amp;DATE(2026,6,15),'DRAFT 2'!$A:$A,"&lt;="&amp;DATE(2026,6,21))</f>
        <v/>
      </c>
      <c r="FH31" s="116">
        <f>COUNTIFS('DRAFT 2'!$D:$D,$B31,'DRAFT 2'!$A:$A,"&gt;="&amp;DATE(2026,6,22),'DRAFT 2'!$A:$A,"&lt;"&amp;DATE(2026,IF(6=12,6+1,6+1),1))</f>
        <v/>
      </c>
      <c r="FI31" s="116">
        <f>SUM(FE31:FH31)</f>
        <v/>
      </c>
      <c r="FT31" s="116">
        <f>IFERROR(LOOKUP(2,1/('DRAFT 2'!$D:$D=$B31)*('DRAFT 2'!$A:$A&gt;=DATE(2026,7,1))*('DRAFT 2'!$A:$A&lt;DATE(2026,IF(7=12,7+1,7+1),1)),'DRAFT 2'!$A:$A),"")</f>
        <v/>
      </c>
      <c r="FU31" s="116">
        <f>COUNTIFS('DRAFT 2'!$D:$D,$B31,'DRAFT 2'!$A:$A,"&gt;="&amp;DATE(2026,7,1),'DRAFT 2'!$A:$A,"&lt;="&amp;DATE(2026,7,7))</f>
        <v/>
      </c>
      <c r="FV31" s="116">
        <f>COUNTIFS('DRAFT 2'!$D:$D,$B31,'DRAFT 2'!$A:$A,"&gt;="&amp;DATE(2026,7,8),'DRAFT 2'!$A:$A,"&lt;="&amp;DATE(2026,7,14))</f>
        <v/>
      </c>
      <c r="FW31" s="116">
        <f>COUNTIFS('DRAFT 2'!$D:$D,$B31,'DRAFT 2'!$A:$A,"&gt;="&amp;DATE(2026,7,15),'DRAFT 2'!$A:$A,"&lt;="&amp;DATE(2026,7,21))</f>
        <v/>
      </c>
      <c r="FX31" s="116">
        <f>COUNTIFS('DRAFT 2'!$D:$D,$B31,'DRAFT 2'!$A:$A,"&gt;="&amp;DATE(2026,7,22),'DRAFT 2'!$A:$A,"&lt;"&amp;DATE(2026,IF(7=12,7+1,7+1),1))</f>
        <v/>
      </c>
      <c r="FY31" s="116">
        <f>SUM(FU31:FX31)</f>
        <v/>
      </c>
      <c r="GI31" s="116">
        <f>IFERROR(LOOKUP(2,1/('DRAFT 2'!$D:$D=$B31)*('DRAFT 2'!$A:$A&gt;=DATE(2026,8,1))*('DRAFT 2'!$A:$A&lt;DATE(2026,IF(8=12,8+1,8+1),1)),'DRAFT 2'!$A:$A),"")</f>
        <v/>
      </c>
      <c r="GJ31" s="116">
        <f>COUNTIFS('DRAFT 2'!$D:$D,$B31,'DRAFT 2'!$A:$A,"&gt;="&amp;DATE(2026,8,1),'DRAFT 2'!$A:$A,"&lt;="&amp;DATE(2026,8,7))</f>
        <v/>
      </c>
      <c r="GK31" s="116">
        <f>COUNTIFS('DRAFT 2'!$D:$D,$B31,'DRAFT 2'!$A:$A,"&gt;="&amp;DATE(2026,8,8),'DRAFT 2'!$A:$A,"&lt;="&amp;DATE(2026,8,14))</f>
        <v/>
      </c>
      <c r="GL31" s="116">
        <f>COUNTIFS('DRAFT 2'!$D:$D,$B31,'DRAFT 2'!$A:$A,"&gt;="&amp;DATE(2026,8,15),'DRAFT 2'!$A:$A,"&lt;="&amp;DATE(2026,8,21))</f>
        <v/>
      </c>
      <c r="GM31" s="116">
        <f>COUNTIFS('DRAFT 2'!$D:$D,$B31,'DRAFT 2'!$A:$A,"&gt;="&amp;DATE(2026,8,22),'DRAFT 2'!$A:$A,"&lt;"&amp;DATE(2026,IF(8=12,8+1,8+1),1))</f>
        <v/>
      </c>
      <c r="GN31" s="116">
        <f>SUM(GJ31:GM31)</f>
        <v/>
      </c>
      <c r="GX31" s="116">
        <f>IFERROR(LOOKUP(2,1/('DRAFT 2'!$D:$D=$B31)*('DRAFT 2'!$A:$A&gt;=DATE(2026,9,1))*('DRAFT 2'!$A:$A&lt;DATE(2026,IF(9=12,9+1,9+1),1)),'DRAFT 2'!$A:$A),"")</f>
        <v/>
      </c>
      <c r="GY31" s="116">
        <f>COUNTIFS('DRAFT 2'!$D:$D,$B31,'DRAFT 2'!$A:$A,"&gt;="&amp;DATE(2026,9,1),'DRAFT 2'!$A:$A,"&lt;="&amp;DATE(2026,9,7))</f>
        <v/>
      </c>
      <c r="GZ31" s="116">
        <f>COUNTIFS('DRAFT 2'!$D:$D,$B31,'DRAFT 2'!$A:$A,"&gt;="&amp;DATE(2026,9,8),'DRAFT 2'!$A:$A,"&lt;="&amp;DATE(2026,9,14))</f>
        <v/>
      </c>
      <c r="HA31" s="116">
        <f>COUNTIFS('DRAFT 2'!$D:$D,$B31,'DRAFT 2'!$A:$A,"&gt;="&amp;DATE(2026,9,15),'DRAFT 2'!$A:$A,"&lt;="&amp;DATE(2026,9,21))</f>
        <v/>
      </c>
      <c r="HB31" s="116">
        <f>COUNTIFS('DRAFT 2'!$D:$D,$B31,'DRAFT 2'!$A:$A,"&gt;="&amp;DATE(2026,9,22),'DRAFT 2'!$A:$A,"&lt;"&amp;DATE(2026,IF(9=12,9+1,9+1),1))</f>
        <v/>
      </c>
      <c r="HC31" s="116">
        <f>SUM(GY31:HB31)</f>
        <v/>
      </c>
      <c r="HN31" s="116">
        <f>IFERROR(LOOKUP(2,1/('DRAFT 2'!$D:$D=$B31)*('DRAFT 2'!$A:$A&gt;=DATE(2026,10,1))*('DRAFT 2'!$A:$A&lt;DATE(2026,IF(10=12,10+1,10+1),1)),'DRAFT 2'!$A:$A),"")</f>
        <v/>
      </c>
      <c r="HO31" s="116">
        <f>COUNTIFS('DRAFT 2'!$D:$D,$B31,'DRAFT 2'!$A:$A,"&gt;="&amp;DATE(2026,10,1),'DRAFT 2'!$A:$A,"&lt;="&amp;DATE(2026,10,7))</f>
        <v/>
      </c>
      <c r="HP31" s="116">
        <f>COUNTIFS('DRAFT 2'!$D:$D,$B31,'DRAFT 2'!$A:$A,"&gt;="&amp;DATE(2026,10,8),'DRAFT 2'!$A:$A,"&lt;="&amp;DATE(2026,10,14))</f>
        <v/>
      </c>
      <c r="HQ31" s="116">
        <f>COUNTIFS('DRAFT 2'!$D:$D,$B31,'DRAFT 2'!$A:$A,"&gt;="&amp;DATE(2026,10,15),'DRAFT 2'!$A:$A,"&lt;="&amp;DATE(2026,10,21))</f>
        <v/>
      </c>
      <c r="HR31" s="116">
        <f>COUNTIFS('DRAFT 2'!$D:$D,$B31,'DRAFT 2'!$A:$A,"&gt;="&amp;DATE(2026,10,22),'DRAFT 2'!$A:$A,"&lt;"&amp;DATE(2026,IF(10=12,10+1,10+1),1))</f>
        <v/>
      </c>
      <c r="HS31" s="116">
        <f>SUM(HO31:HR31)</f>
        <v/>
      </c>
      <c r="IC31" s="116">
        <f>IFERROR(LOOKUP(2,1/('DRAFT 2'!$D:$D=$B31)*('DRAFT 2'!$A:$A&gt;=DATE(2026,11,1))*('DRAFT 2'!$A:$A&lt;DATE(2026,IF(11=12,11+1,11+1),1)),'DRAFT 2'!$A:$A),"")</f>
        <v/>
      </c>
      <c r="ID31" s="116">
        <f>COUNTIFS('DRAFT 2'!$D:$D,$B31,'DRAFT 2'!$A:$A,"&gt;="&amp;DATE(2026,11,1),'DRAFT 2'!$A:$A,"&lt;="&amp;DATE(2026,11,7))</f>
        <v/>
      </c>
      <c r="IE31" s="116">
        <f>COUNTIFS('DRAFT 2'!$D:$D,$B31,'DRAFT 2'!$A:$A,"&gt;="&amp;DATE(2026,11,8),'DRAFT 2'!$A:$A,"&lt;="&amp;DATE(2026,11,14))</f>
        <v/>
      </c>
      <c r="IF31" s="116">
        <f>COUNTIFS('DRAFT 2'!$D:$D,$B31,'DRAFT 2'!$A:$A,"&gt;="&amp;DATE(2026,11,15),'DRAFT 2'!$A:$A,"&lt;="&amp;DATE(2026,11,21))</f>
        <v/>
      </c>
      <c r="IG31" s="116">
        <f>COUNTIFS('DRAFT 2'!$D:$D,$B31,'DRAFT 2'!$A:$A,"&gt;="&amp;DATE(2026,11,22),'DRAFT 2'!$A:$A,"&lt;"&amp;DATE(2026,IF(11=12,11+1,11+1),1))</f>
        <v/>
      </c>
      <c r="IH31" s="116">
        <f>SUM(ID31:IG31)</f>
        <v/>
      </c>
      <c r="IR31" s="116">
        <f>IFERROR(LOOKUP(2,1/('DRAFT 2'!$D:$D=$B31)*('DRAFT 2'!$A:$A&gt;=DATE(2026,12,1))*('DRAFT 2'!$A:$A&lt;DATE(2026,IF(12=12,12+1,12+1),1)),'DRAFT 2'!$A:$A),"")</f>
        <v/>
      </c>
      <c r="IS31" s="116">
        <f>COUNTIFS('DRAFT 2'!$D:$D,$B31,'DRAFT 2'!$A:$A,"&gt;="&amp;DATE(2026,12,1),'DRAFT 2'!$A:$A,"&lt;="&amp;DATE(2026,12,7))</f>
        <v/>
      </c>
      <c r="IT31" s="116">
        <f>COUNTIFS('DRAFT 2'!$D:$D,$B31,'DRAFT 2'!$A:$A,"&gt;="&amp;DATE(2026,12,8),'DRAFT 2'!$A:$A,"&lt;="&amp;DATE(2026,12,14))</f>
        <v/>
      </c>
      <c r="IU31" s="116">
        <f>COUNTIFS('DRAFT 2'!$D:$D,$B31,'DRAFT 2'!$A:$A,"&gt;="&amp;DATE(2026,12,15),'DRAFT 2'!$A:$A,"&lt;="&amp;DATE(2026,12,21))</f>
        <v/>
      </c>
      <c r="IV31" s="116">
        <f>COUNTIFS('DRAFT 2'!$D:$D,$B31,'DRAFT 2'!$A:$A,"&gt;="&amp;DATE(2026,12,22),'DRAFT 2'!$A:$A,"&lt;"&amp;DATE(2026,IF(12=12,12+1,12+1),1))</f>
        <v/>
      </c>
      <c r="IW31" s="116">
        <f>SUM(IS31:IV31)</f>
        <v/>
      </c>
    </row>
    <row r="32">
      <c r="A32" s="116">
        <f>IFERROR(INDEX('DRAFT 1'!$A:$A,MATCH($B32,'DRAFT 1'!$B:$B,0)),"")</f>
        <v/>
      </c>
      <c r="C32" s="116">
        <f>IFERROR(INDEX('DRAFT 1'!$C:$C,MATCH($B32,'DRAFT 1'!$B:$B,0)),"")</f>
        <v/>
      </c>
      <c r="D32" s="116">
        <f>IFERROR(INDEX('DRAFT 1'!$D:$D,MATCH($B32,'DRAFT 1'!$B:$B,0)),"")</f>
        <v/>
      </c>
      <c r="E32" s="116">
        <f>IFERROR(INDEX('DRAFT 1'!$E:$E,MATCH($B32,'DRAFT 1'!$B:$B,0)),"")</f>
        <v/>
      </c>
      <c r="F32" s="116">
        <f>IFERROR(INDEX('DRAFT 1'!$F:$F,MATCH($B32,'DRAFT 1'!$B:$B,0)),"")</f>
        <v/>
      </c>
      <c r="G32" s="116">
        <f>IFERROR(INDEX('DRAFT 1'!$G:$G,MATCH($B32,'DRAFT 1'!$B:$B,0)),"")</f>
        <v/>
      </c>
      <c r="H32" s="116">
        <f>IFERROR(INDEX('DRAFT 1'!$H:$H,MATCH($B32,'DRAFT 1'!$B:$B,0)),"")</f>
        <v/>
      </c>
      <c r="I32" s="116" t="inlineStr">
        <is>
          <t>DEMAIS CLIENTES</t>
        </is>
      </c>
      <c r="K32" s="116">
        <f>IFERROR(INDEX('DRAFT 1'!$AL:$AL,MATCH($B32,'DRAFT 1'!$B:$B,0)),"")</f>
        <v/>
      </c>
      <c r="L32" s="116">
        <f>IFERROR(INDEX('DRAFT 1'!$J:$J,MATCH($B32,'DRAFT 1'!$B:$B,0)),"")</f>
        <v/>
      </c>
      <c r="M32" s="116">
        <f>IFERROR(INDEX('DRAFT 1'!$K:$K,MATCH($B32,'DRAFT 1'!$B:$B,0)),"")</f>
        <v/>
      </c>
      <c r="N32" s="116" t="inlineStr">
        <is>
          <t>INAT.REC</t>
        </is>
      </c>
      <c r="P32" s="116">
        <f>IFERROR(INDEX('DRAFT 1'!$L:$L,MATCH($B32,'DRAFT 1'!$B:$B,0)),"")</f>
        <v/>
      </c>
      <c r="Q32" s="116">
        <f>IFERROR(INDEX('DRAFT 1'!$M:$M,MATCH($B32,'DRAFT 1'!$B:$B,0)),"")</f>
        <v/>
      </c>
      <c r="R32" s="116">
        <f>IFERROR(INDEX('DRAFT 1'!$N:$N,MATCH($B32,'DRAFT 1'!$B:$B,0)),"")</f>
        <v/>
      </c>
      <c r="S32" s="116">
        <f>IFERROR(INDEX('DRAFT 1'!$O:$O,MATCH($B32,'DRAFT 1'!$B:$B,0)),"")</f>
        <v/>
      </c>
      <c r="T32" s="116">
        <f>IFERROR(INDEX('DRAFT 1'!$P:$P,MATCH($B32,'DRAFT 1'!$B:$B,0)),"")</f>
        <v/>
      </c>
      <c r="U32" s="116">
        <f>IFERROR(INDEX('DRAFT 1'!$Q:$Q,MATCH($B32,'DRAFT 1'!$B:$B,0)),"")</f>
        <v/>
      </c>
      <c r="V32" s="116">
        <f>IFERROR(INDEX('DRAFT 1'!$R:$R,MATCH($B32,'DRAFT 1'!$B:$B,0)),"")</f>
        <v/>
      </c>
      <c r="W32" s="116">
        <f>IFERROR(INDEX('DRAFT 1'!$S:$S,MATCH($B32,'DRAFT 1'!$B:$B,0)),"")</f>
        <v/>
      </c>
      <c r="X32" s="116">
        <f>IFERROR(INDEX('DRAFT 1'!$T:$T,MATCH($B32,'DRAFT 1'!$B:$B,0)),"")</f>
        <v/>
      </c>
      <c r="Z32" s="116">
        <f>IFERROR(INDEX('DRAFT 1'!$U:$U,MATCH($B32,'DRAFT 1'!$B:$B,0)),"")</f>
        <v/>
      </c>
      <c r="AA32" s="116">
        <f>IFERROR(INDEX('DRAFT 1'!$V:$V,MATCH($B32,'DRAFT 1'!$B:$B,0)),"")</f>
        <v/>
      </c>
      <c r="AB32" s="116">
        <f>IFERROR(INDEX('DRAFT 1'!$W:$W,MATCH($B32,'DRAFT 1'!$B:$B,0)),"")</f>
        <v/>
      </c>
      <c r="AC32" s="116">
        <f>IFERROR(INDEX('DRAFT 1'!$X:$X,MATCH($B32,'DRAFT 1'!$B:$B,0)),"")</f>
        <v/>
      </c>
      <c r="AD32" s="116">
        <f>IFERROR(INDEX('DRAFT 1'!$Y:$Y,MATCH($B32,'DRAFT 1'!$B:$B,0)),"")</f>
        <v/>
      </c>
      <c r="AE32" s="116">
        <f>IFERROR(INDEX('DRAFT 1'!$Z:$Z,MATCH($B32,'DRAFT 1'!$B:$B,0)),"")</f>
        <v/>
      </c>
      <c r="AF32" s="116">
        <f>IFERROR(INDEX('DRAFT 1'!$AA:$AA,MATCH($B32,'DRAFT 1'!$B:$B,0)),"")</f>
        <v/>
      </c>
      <c r="AG32" s="116">
        <f>IFERROR(INDEX('DRAFT 1'!$AB:$AB,MATCH($B32,'DRAFT 1'!$B:$B,0)),"")</f>
        <v/>
      </c>
      <c r="AH32" s="116">
        <f>IFERROR(INDEX('DRAFT 1'!$AC:$AC,MATCH($B32,'DRAFT 1'!$B:$B,0)),"")</f>
        <v/>
      </c>
      <c r="AI32" s="116">
        <f>IFERROR(INDEX('DRAFT 1'!$AD:$AD,MATCH($B32,'DRAFT 1'!$B:$B,0)),"")</f>
        <v/>
      </c>
      <c r="AJ32" s="116">
        <f>IFERROR(INDEX('DRAFT 1'!$AE:$AE,MATCH($B32,'DRAFT 1'!$B:$B,0)),"")</f>
        <v/>
      </c>
      <c r="AK32" s="116">
        <f>IFERROR(INDEX('DRAFT 1'!$AG:$AG,MATCH($B32,'DRAFT 1'!$B:$B,0)),"")</f>
        <v/>
      </c>
      <c r="AL32" s="116">
        <f>IFERROR(INDEX('DRAFT 1'!$AH:$AH,MATCH($B32,'DRAFT 1'!$B:$B,0)),"")</f>
        <v/>
      </c>
      <c r="AM32" s="116">
        <f>IFERROR(INDEX('DRAFT 1'!$AI:$AI,MATCH($B32,'DRAFT 1'!$B:$B,0)),"")</f>
        <v/>
      </c>
      <c r="AN32" s="116">
        <f>IFERROR(INDEX('DRAFT 1'!$AJ:$AJ,MATCH($B32,'DRAFT 1'!$B:$B,0)),"")</f>
        <v/>
      </c>
      <c r="AO32" s="116">
        <f>IFERROR(Y32/AN32,0)</f>
        <v/>
      </c>
      <c r="AP32" s="116">
        <f>IFERROR(INDEX('DRAFT 1'!$AK:$AK,MATCH($B32,'DRAFT 1'!$B:$B,0)),"")</f>
        <v/>
      </c>
      <c r="AR32" s="116" t="inlineStr">
        <is>
          <t>RECOMPRA</t>
        </is>
      </c>
      <c r="AS32" s="116">
        <f>IFERROR(LOOKUP(2,1/('DRAFT 2'!$D:$D=$B32),'DRAFT 2'!$T:$T),"")</f>
        <v/>
      </c>
      <c r="AT32" s="116">
        <f>IFERROR(LOOKUP(2,1/('DRAFT 2'!$D:$D=$B32),'DRAFT 2'!$A:$A),"")</f>
        <v/>
      </c>
      <c r="AU32" s="116">
        <f>IFERROR(LOOKUP(2,1/('DRAFT 2'!$D:$D=$B32),'DRAFT 2'!$R:$R),"")</f>
        <v/>
      </c>
      <c r="AV32" s="116">
        <f>IFERROR(LOOKUP(2,1/('DRAFT 2'!$D:$D=$B32),'DRAFT 2'!$S:$S),"")</f>
        <v/>
      </c>
      <c r="AW32" s="116" t="inlineStr">
        <is>
          <t>PROSPECT</t>
        </is>
      </c>
      <c r="AX32" s="116">
        <f>IFERROR(LOOKUP(2,1/('DRAFT 2'!$D:$D=$B32),'DRAFT 2'!$M:$M),"")</f>
        <v/>
      </c>
      <c r="AY32" s="116">
        <f>IFERROR(LOOKUP(2,1/('DRAFT 2'!$D:$D=$B32),'DRAFT 2'!$K:$K),"")</f>
        <v/>
      </c>
      <c r="BG32" s="116">
        <f>IFERROR(LOOKUP(2,1/('DRAFT 2'!$D:$D=$B32),'DRAFT 2'!$U:$U),"")</f>
        <v/>
      </c>
      <c r="BH32" s="116">
        <f>IFERROR(LOOKUP(2,1/('DRAFT 2'!$D:$D=$B32),'DRAFT 2'!$V:$V),"")</f>
        <v/>
      </c>
      <c r="CE32" s="116">
        <f>IFERROR(AJ32,0)</f>
        <v/>
      </c>
      <c r="CF32" s="116">
        <f>IFERROR(LOOKUP(2,1/('DRAFT 2'!$D:$D=$B32)*('DRAFT 2'!$A:$A&gt;=DATE(2026,1,1))*('DRAFT 2'!$A:$A&lt;DATE(2026,IF(1=12,1+1,1+1),1)),'DRAFT 2'!$A:$A),"")</f>
        <v/>
      </c>
      <c r="CG32" s="116">
        <f>COUNTIFS('DRAFT 2'!$D:$D,$B32,'DRAFT 2'!$A:$A,"&gt;="&amp;DATE(2026,1,1),'DRAFT 2'!$A:$A,"&lt;="&amp;DATE(2026,1,7))</f>
        <v/>
      </c>
      <c r="CH32" s="116">
        <f>COUNTIFS('DRAFT 2'!$D:$D,$B32,'DRAFT 2'!$A:$A,"&gt;="&amp;DATE(2026,1,8),'DRAFT 2'!$A:$A,"&lt;="&amp;DATE(2026,1,14))</f>
        <v/>
      </c>
      <c r="CI32" s="116">
        <f>COUNTIFS('DRAFT 2'!$D:$D,$B32,'DRAFT 2'!$A:$A,"&gt;="&amp;DATE(2026,1,15),'DRAFT 2'!$A:$A,"&lt;="&amp;DATE(2026,1,21))</f>
        <v/>
      </c>
      <c r="CJ32" s="116">
        <f>COUNTIFS('DRAFT 2'!$D:$D,$B32,'DRAFT 2'!$A:$A,"&gt;="&amp;DATE(2026,1,22),'DRAFT 2'!$A:$A,"&lt;"&amp;DATE(2026,IF(1=12,1+1,1+1),1))</f>
        <v/>
      </c>
      <c r="CK32" s="116">
        <f>SUM(CG32:CJ32)</f>
        <v/>
      </c>
      <c r="CT32" s="116" t="n">
        <v>0</v>
      </c>
      <c r="CU32" s="116">
        <f>IFERROR(LOOKUP(2,1/('DRAFT 2'!$D:$D=$B32)*('DRAFT 2'!$A:$A&gt;=DATE(2026,2,1))*('DRAFT 2'!$A:$A&lt;DATE(2026,IF(2=12,2+1,2+1),1)),'DRAFT 2'!$A:$A),"")</f>
        <v/>
      </c>
      <c r="CV32" s="116">
        <f>COUNTIFS('DRAFT 2'!$D:$D,$B32,'DRAFT 2'!$A:$A,"&gt;="&amp;DATE(2026,2,1),'DRAFT 2'!$A:$A,"&lt;="&amp;DATE(2026,2,7))</f>
        <v/>
      </c>
      <c r="CW32" s="116">
        <f>COUNTIFS('DRAFT 2'!$D:$D,$B32,'DRAFT 2'!$A:$A,"&gt;="&amp;DATE(2026,2,8),'DRAFT 2'!$A:$A,"&lt;="&amp;DATE(2026,2,14))</f>
        <v/>
      </c>
      <c r="CX32" s="116">
        <f>COUNTIFS('DRAFT 2'!$D:$D,$B32,'DRAFT 2'!$A:$A,"&gt;="&amp;DATE(2026,2,15),'DRAFT 2'!$A:$A,"&lt;="&amp;DATE(2026,2,21))</f>
        <v/>
      </c>
      <c r="CY32" s="116">
        <f>COUNTIFS('DRAFT 2'!$D:$D,$B32,'DRAFT 2'!$A:$A,"&gt;="&amp;DATE(2026,2,22),'DRAFT 2'!$A:$A,"&lt;"&amp;DATE(2026,IF(2=12,2+1,2+1),1))</f>
        <v/>
      </c>
      <c r="CZ32" s="116">
        <f>SUM(CV32:CY32)</f>
        <v/>
      </c>
      <c r="DJ32" s="116">
        <f>IFERROR(LOOKUP(2,1/('DRAFT 2'!$D:$D=$B32)*('DRAFT 2'!$A:$A&gt;=DATE(2026,3,1))*('DRAFT 2'!$A:$A&lt;DATE(2026,IF(3=12,3+1,3+1),1)),'DRAFT 2'!$A:$A),"")</f>
        <v/>
      </c>
      <c r="DK32" s="116">
        <f>COUNTIFS('DRAFT 2'!$D:$D,$B32,'DRAFT 2'!$A:$A,"&gt;="&amp;DATE(2026,3,1),'DRAFT 2'!$A:$A,"&lt;="&amp;DATE(2026,3,7))</f>
        <v/>
      </c>
      <c r="DL32" s="116">
        <f>COUNTIFS('DRAFT 2'!$D:$D,$B32,'DRAFT 2'!$A:$A,"&gt;="&amp;DATE(2026,3,8),'DRAFT 2'!$A:$A,"&lt;="&amp;DATE(2026,3,14))</f>
        <v/>
      </c>
      <c r="DM32" s="116">
        <f>COUNTIFS('DRAFT 2'!$D:$D,$B32,'DRAFT 2'!$A:$A,"&gt;="&amp;DATE(2026,3,15),'DRAFT 2'!$A:$A,"&lt;="&amp;DATE(2026,3,21))</f>
        <v/>
      </c>
      <c r="DN32" s="116">
        <f>COUNTIFS('DRAFT 2'!$D:$D,$B32,'DRAFT 2'!$A:$A,"&gt;="&amp;DATE(2026,3,22),'DRAFT 2'!$A:$A,"&lt;"&amp;DATE(2026,IF(3=12,3+1,3+1),1))</f>
        <v/>
      </c>
      <c r="DO32" s="116">
        <f>SUM(DK32:DN32)</f>
        <v/>
      </c>
      <c r="DZ32" s="116">
        <f>IFERROR(LOOKUP(2,1/('DRAFT 2'!$D:$D=$B32)*('DRAFT 2'!$A:$A&gt;=DATE(2026,4,1))*('DRAFT 2'!$A:$A&lt;DATE(2026,IF(4=12,4+1,4+1),1)),'DRAFT 2'!$A:$A),"")</f>
        <v/>
      </c>
      <c r="EA32" s="116">
        <f>COUNTIFS('DRAFT 2'!$D:$D,$B32,'DRAFT 2'!$A:$A,"&gt;="&amp;DATE(2026,4,1),'DRAFT 2'!$A:$A,"&lt;="&amp;DATE(2026,4,7))</f>
        <v/>
      </c>
      <c r="EB32" s="116">
        <f>COUNTIFS('DRAFT 2'!$D:$D,$B32,'DRAFT 2'!$A:$A,"&gt;="&amp;DATE(2026,4,8),'DRAFT 2'!$A:$A,"&lt;="&amp;DATE(2026,4,14))</f>
        <v/>
      </c>
      <c r="EC32" s="116">
        <f>COUNTIFS('DRAFT 2'!$D:$D,$B32,'DRAFT 2'!$A:$A,"&gt;="&amp;DATE(2026,4,15),'DRAFT 2'!$A:$A,"&lt;="&amp;DATE(2026,4,21))</f>
        <v/>
      </c>
      <c r="ED32" s="116">
        <f>COUNTIFS('DRAFT 2'!$D:$D,$B32,'DRAFT 2'!$A:$A,"&gt;="&amp;DATE(2026,4,22),'DRAFT 2'!$A:$A,"&lt;"&amp;DATE(2026,IF(4=12,4+1,4+1),1))</f>
        <v/>
      </c>
      <c r="EE32" s="116">
        <f>SUM(EA32:ED32)</f>
        <v/>
      </c>
      <c r="EO32" s="116">
        <f>IFERROR(LOOKUP(2,1/('DRAFT 2'!$D:$D=$B32)*('DRAFT 2'!$A:$A&gt;=DATE(2026,5,1))*('DRAFT 2'!$A:$A&lt;DATE(2026,IF(5=12,5+1,5+1),1)),'DRAFT 2'!$A:$A),"")</f>
        <v/>
      </c>
      <c r="EP32" s="116">
        <f>COUNTIFS('DRAFT 2'!$D:$D,$B32,'DRAFT 2'!$A:$A,"&gt;="&amp;DATE(2026,5,1),'DRAFT 2'!$A:$A,"&lt;="&amp;DATE(2026,5,7))</f>
        <v/>
      </c>
      <c r="EQ32" s="116">
        <f>COUNTIFS('DRAFT 2'!$D:$D,$B32,'DRAFT 2'!$A:$A,"&gt;="&amp;DATE(2026,5,8),'DRAFT 2'!$A:$A,"&lt;="&amp;DATE(2026,5,14))</f>
        <v/>
      </c>
      <c r="ER32" s="116">
        <f>COUNTIFS('DRAFT 2'!$D:$D,$B32,'DRAFT 2'!$A:$A,"&gt;="&amp;DATE(2026,5,15),'DRAFT 2'!$A:$A,"&lt;="&amp;DATE(2026,5,21))</f>
        <v/>
      </c>
      <c r="ES32" s="116">
        <f>COUNTIFS('DRAFT 2'!$D:$D,$B32,'DRAFT 2'!$A:$A,"&gt;="&amp;DATE(2026,5,22),'DRAFT 2'!$A:$A,"&lt;"&amp;DATE(2026,IF(5=12,5+1,5+1),1))</f>
        <v/>
      </c>
      <c r="ET32" s="116">
        <f>SUM(EP32:ES32)</f>
        <v/>
      </c>
      <c r="FD32" s="116">
        <f>IFERROR(LOOKUP(2,1/('DRAFT 2'!$D:$D=$B32)*('DRAFT 2'!$A:$A&gt;=DATE(2026,6,1))*('DRAFT 2'!$A:$A&lt;DATE(2026,IF(6=12,6+1,6+1),1)),'DRAFT 2'!$A:$A),"")</f>
        <v/>
      </c>
      <c r="FE32" s="116">
        <f>COUNTIFS('DRAFT 2'!$D:$D,$B32,'DRAFT 2'!$A:$A,"&gt;="&amp;DATE(2026,6,1),'DRAFT 2'!$A:$A,"&lt;="&amp;DATE(2026,6,7))</f>
        <v/>
      </c>
      <c r="FF32" s="116">
        <f>COUNTIFS('DRAFT 2'!$D:$D,$B32,'DRAFT 2'!$A:$A,"&gt;="&amp;DATE(2026,6,8),'DRAFT 2'!$A:$A,"&lt;="&amp;DATE(2026,6,14))</f>
        <v/>
      </c>
      <c r="FG32" s="116">
        <f>COUNTIFS('DRAFT 2'!$D:$D,$B32,'DRAFT 2'!$A:$A,"&gt;="&amp;DATE(2026,6,15),'DRAFT 2'!$A:$A,"&lt;="&amp;DATE(2026,6,21))</f>
        <v/>
      </c>
      <c r="FH32" s="116">
        <f>COUNTIFS('DRAFT 2'!$D:$D,$B32,'DRAFT 2'!$A:$A,"&gt;="&amp;DATE(2026,6,22),'DRAFT 2'!$A:$A,"&lt;"&amp;DATE(2026,IF(6=12,6+1,6+1),1))</f>
        <v/>
      </c>
      <c r="FI32" s="116">
        <f>SUM(FE32:FH32)</f>
        <v/>
      </c>
      <c r="FT32" s="116">
        <f>IFERROR(LOOKUP(2,1/('DRAFT 2'!$D:$D=$B32)*('DRAFT 2'!$A:$A&gt;=DATE(2026,7,1))*('DRAFT 2'!$A:$A&lt;DATE(2026,IF(7=12,7+1,7+1),1)),'DRAFT 2'!$A:$A),"")</f>
        <v/>
      </c>
      <c r="FU32" s="116">
        <f>COUNTIFS('DRAFT 2'!$D:$D,$B32,'DRAFT 2'!$A:$A,"&gt;="&amp;DATE(2026,7,1),'DRAFT 2'!$A:$A,"&lt;="&amp;DATE(2026,7,7))</f>
        <v/>
      </c>
      <c r="FV32" s="116">
        <f>COUNTIFS('DRAFT 2'!$D:$D,$B32,'DRAFT 2'!$A:$A,"&gt;="&amp;DATE(2026,7,8),'DRAFT 2'!$A:$A,"&lt;="&amp;DATE(2026,7,14))</f>
        <v/>
      </c>
      <c r="FW32" s="116">
        <f>COUNTIFS('DRAFT 2'!$D:$D,$B32,'DRAFT 2'!$A:$A,"&gt;="&amp;DATE(2026,7,15),'DRAFT 2'!$A:$A,"&lt;="&amp;DATE(2026,7,21))</f>
        <v/>
      </c>
      <c r="FX32" s="116">
        <f>COUNTIFS('DRAFT 2'!$D:$D,$B32,'DRAFT 2'!$A:$A,"&gt;="&amp;DATE(2026,7,22),'DRAFT 2'!$A:$A,"&lt;"&amp;DATE(2026,IF(7=12,7+1,7+1),1))</f>
        <v/>
      </c>
      <c r="FY32" s="116">
        <f>SUM(FU32:FX32)</f>
        <v/>
      </c>
      <c r="GI32" s="116">
        <f>IFERROR(LOOKUP(2,1/('DRAFT 2'!$D:$D=$B32)*('DRAFT 2'!$A:$A&gt;=DATE(2026,8,1))*('DRAFT 2'!$A:$A&lt;DATE(2026,IF(8=12,8+1,8+1),1)),'DRAFT 2'!$A:$A),"")</f>
        <v/>
      </c>
      <c r="GJ32" s="116">
        <f>COUNTIFS('DRAFT 2'!$D:$D,$B32,'DRAFT 2'!$A:$A,"&gt;="&amp;DATE(2026,8,1),'DRAFT 2'!$A:$A,"&lt;="&amp;DATE(2026,8,7))</f>
        <v/>
      </c>
      <c r="GK32" s="116">
        <f>COUNTIFS('DRAFT 2'!$D:$D,$B32,'DRAFT 2'!$A:$A,"&gt;="&amp;DATE(2026,8,8),'DRAFT 2'!$A:$A,"&lt;="&amp;DATE(2026,8,14))</f>
        <v/>
      </c>
      <c r="GL32" s="116">
        <f>COUNTIFS('DRAFT 2'!$D:$D,$B32,'DRAFT 2'!$A:$A,"&gt;="&amp;DATE(2026,8,15),'DRAFT 2'!$A:$A,"&lt;="&amp;DATE(2026,8,21))</f>
        <v/>
      </c>
      <c r="GM32" s="116">
        <f>COUNTIFS('DRAFT 2'!$D:$D,$B32,'DRAFT 2'!$A:$A,"&gt;="&amp;DATE(2026,8,22),'DRAFT 2'!$A:$A,"&lt;"&amp;DATE(2026,IF(8=12,8+1,8+1),1))</f>
        <v/>
      </c>
      <c r="GN32" s="116">
        <f>SUM(GJ32:GM32)</f>
        <v/>
      </c>
      <c r="GX32" s="116">
        <f>IFERROR(LOOKUP(2,1/('DRAFT 2'!$D:$D=$B32)*('DRAFT 2'!$A:$A&gt;=DATE(2026,9,1))*('DRAFT 2'!$A:$A&lt;DATE(2026,IF(9=12,9+1,9+1),1)),'DRAFT 2'!$A:$A),"")</f>
        <v/>
      </c>
      <c r="GY32" s="116">
        <f>COUNTIFS('DRAFT 2'!$D:$D,$B32,'DRAFT 2'!$A:$A,"&gt;="&amp;DATE(2026,9,1),'DRAFT 2'!$A:$A,"&lt;="&amp;DATE(2026,9,7))</f>
        <v/>
      </c>
      <c r="GZ32" s="116">
        <f>COUNTIFS('DRAFT 2'!$D:$D,$B32,'DRAFT 2'!$A:$A,"&gt;="&amp;DATE(2026,9,8),'DRAFT 2'!$A:$A,"&lt;="&amp;DATE(2026,9,14))</f>
        <v/>
      </c>
      <c r="HA32" s="116">
        <f>COUNTIFS('DRAFT 2'!$D:$D,$B32,'DRAFT 2'!$A:$A,"&gt;="&amp;DATE(2026,9,15),'DRAFT 2'!$A:$A,"&lt;="&amp;DATE(2026,9,21))</f>
        <v/>
      </c>
      <c r="HB32" s="116">
        <f>COUNTIFS('DRAFT 2'!$D:$D,$B32,'DRAFT 2'!$A:$A,"&gt;="&amp;DATE(2026,9,22),'DRAFT 2'!$A:$A,"&lt;"&amp;DATE(2026,IF(9=12,9+1,9+1),1))</f>
        <v/>
      </c>
      <c r="HC32" s="116">
        <f>SUM(GY32:HB32)</f>
        <v/>
      </c>
      <c r="HN32" s="116">
        <f>IFERROR(LOOKUP(2,1/('DRAFT 2'!$D:$D=$B32)*('DRAFT 2'!$A:$A&gt;=DATE(2026,10,1))*('DRAFT 2'!$A:$A&lt;DATE(2026,IF(10=12,10+1,10+1),1)),'DRAFT 2'!$A:$A),"")</f>
        <v/>
      </c>
      <c r="HO32" s="116">
        <f>COUNTIFS('DRAFT 2'!$D:$D,$B32,'DRAFT 2'!$A:$A,"&gt;="&amp;DATE(2026,10,1),'DRAFT 2'!$A:$A,"&lt;="&amp;DATE(2026,10,7))</f>
        <v/>
      </c>
      <c r="HP32" s="116">
        <f>COUNTIFS('DRAFT 2'!$D:$D,$B32,'DRAFT 2'!$A:$A,"&gt;="&amp;DATE(2026,10,8),'DRAFT 2'!$A:$A,"&lt;="&amp;DATE(2026,10,14))</f>
        <v/>
      </c>
      <c r="HQ32" s="116">
        <f>COUNTIFS('DRAFT 2'!$D:$D,$B32,'DRAFT 2'!$A:$A,"&gt;="&amp;DATE(2026,10,15),'DRAFT 2'!$A:$A,"&lt;="&amp;DATE(2026,10,21))</f>
        <v/>
      </c>
      <c r="HR32" s="116">
        <f>COUNTIFS('DRAFT 2'!$D:$D,$B32,'DRAFT 2'!$A:$A,"&gt;="&amp;DATE(2026,10,22),'DRAFT 2'!$A:$A,"&lt;"&amp;DATE(2026,IF(10=12,10+1,10+1),1))</f>
        <v/>
      </c>
      <c r="HS32" s="116">
        <f>SUM(HO32:HR32)</f>
        <v/>
      </c>
      <c r="IC32" s="116">
        <f>IFERROR(LOOKUP(2,1/('DRAFT 2'!$D:$D=$B32)*('DRAFT 2'!$A:$A&gt;=DATE(2026,11,1))*('DRAFT 2'!$A:$A&lt;DATE(2026,IF(11=12,11+1,11+1),1)),'DRAFT 2'!$A:$A),"")</f>
        <v/>
      </c>
      <c r="ID32" s="116">
        <f>COUNTIFS('DRAFT 2'!$D:$D,$B32,'DRAFT 2'!$A:$A,"&gt;="&amp;DATE(2026,11,1),'DRAFT 2'!$A:$A,"&lt;="&amp;DATE(2026,11,7))</f>
        <v/>
      </c>
      <c r="IE32" s="116">
        <f>COUNTIFS('DRAFT 2'!$D:$D,$B32,'DRAFT 2'!$A:$A,"&gt;="&amp;DATE(2026,11,8),'DRAFT 2'!$A:$A,"&lt;="&amp;DATE(2026,11,14))</f>
        <v/>
      </c>
      <c r="IF32" s="116">
        <f>COUNTIFS('DRAFT 2'!$D:$D,$B32,'DRAFT 2'!$A:$A,"&gt;="&amp;DATE(2026,11,15),'DRAFT 2'!$A:$A,"&lt;="&amp;DATE(2026,11,21))</f>
        <v/>
      </c>
      <c r="IG32" s="116">
        <f>COUNTIFS('DRAFT 2'!$D:$D,$B32,'DRAFT 2'!$A:$A,"&gt;="&amp;DATE(2026,11,22),'DRAFT 2'!$A:$A,"&lt;"&amp;DATE(2026,IF(11=12,11+1,11+1),1))</f>
        <v/>
      </c>
      <c r="IH32" s="116">
        <f>SUM(ID32:IG32)</f>
        <v/>
      </c>
      <c r="IR32" s="116">
        <f>IFERROR(LOOKUP(2,1/('DRAFT 2'!$D:$D=$B32)*('DRAFT 2'!$A:$A&gt;=DATE(2026,12,1))*('DRAFT 2'!$A:$A&lt;DATE(2026,IF(12=12,12+1,12+1),1)),'DRAFT 2'!$A:$A),"")</f>
        <v/>
      </c>
      <c r="IS32" s="116">
        <f>COUNTIFS('DRAFT 2'!$D:$D,$B32,'DRAFT 2'!$A:$A,"&gt;="&amp;DATE(2026,12,1),'DRAFT 2'!$A:$A,"&lt;="&amp;DATE(2026,12,7))</f>
        <v/>
      </c>
      <c r="IT32" s="116">
        <f>COUNTIFS('DRAFT 2'!$D:$D,$B32,'DRAFT 2'!$A:$A,"&gt;="&amp;DATE(2026,12,8),'DRAFT 2'!$A:$A,"&lt;="&amp;DATE(2026,12,14))</f>
        <v/>
      </c>
      <c r="IU32" s="116">
        <f>COUNTIFS('DRAFT 2'!$D:$D,$B32,'DRAFT 2'!$A:$A,"&gt;="&amp;DATE(2026,12,15),'DRAFT 2'!$A:$A,"&lt;="&amp;DATE(2026,12,21))</f>
        <v/>
      </c>
      <c r="IV32" s="116">
        <f>COUNTIFS('DRAFT 2'!$D:$D,$B32,'DRAFT 2'!$A:$A,"&gt;="&amp;DATE(2026,12,22),'DRAFT 2'!$A:$A,"&lt;"&amp;DATE(2026,IF(12=12,12+1,12+1),1))</f>
        <v/>
      </c>
      <c r="IW32" s="116">
        <f>SUM(IS32:IV32)</f>
        <v/>
      </c>
    </row>
    <row r="33">
      <c r="A33" s="116">
        <f>IFERROR(INDEX('DRAFT 1'!$A:$A,MATCH($B33,'DRAFT 1'!$B:$B,0)),"")</f>
        <v/>
      </c>
      <c r="C33" s="116">
        <f>IFERROR(INDEX('DRAFT 1'!$C:$C,MATCH($B33,'DRAFT 1'!$B:$B,0)),"")</f>
        <v/>
      </c>
      <c r="D33" s="116">
        <f>IFERROR(INDEX('DRAFT 1'!$D:$D,MATCH($B33,'DRAFT 1'!$B:$B,0)),"")</f>
        <v/>
      </c>
      <c r="E33" s="116">
        <f>IFERROR(INDEX('DRAFT 1'!$E:$E,MATCH($B33,'DRAFT 1'!$B:$B,0)),"")</f>
        <v/>
      </c>
      <c r="F33" s="116">
        <f>IFERROR(INDEX('DRAFT 1'!$F:$F,MATCH($B33,'DRAFT 1'!$B:$B,0)),"")</f>
        <v/>
      </c>
      <c r="G33" s="116">
        <f>IFERROR(INDEX('DRAFT 1'!$G:$G,MATCH($B33,'DRAFT 1'!$B:$B,0)),"")</f>
        <v/>
      </c>
      <c r="H33" s="116">
        <f>IFERROR(INDEX('DRAFT 1'!$H:$H,MATCH($B33,'DRAFT 1'!$B:$B,0)),"")</f>
        <v/>
      </c>
      <c r="I33" s="116" t="inlineStr">
        <is>
          <t>DIVINA TERRA</t>
        </is>
      </c>
      <c r="K33" s="116">
        <f>IFERROR(INDEX('DRAFT 1'!$AL:$AL,MATCH($B33,'DRAFT 1'!$B:$B,0)),"")</f>
        <v/>
      </c>
      <c r="L33" s="116">
        <f>IFERROR(INDEX('DRAFT 1'!$J:$J,MATCH($B33,'DRAFT 1'!$B:$B,0)),"")</f>
        <v/>
      </c>
      <c r="M33" s="116">
        <f>IFERROR(INDEX('DRAFT 1'!$K:$K,MATCH($B33,'DRAFT 1'!$B:$B,0)),"")</f>
        <v/>
      </c>
      <c r="N33" s="116" t="inlineStr">
        <is>
          <t>ATIVO</t>
        </is>
      </c>
      <c r="P33" s="116">
        <f>IFERROR(INDEX('DRAFT 1'!$L:$L,MATCH($B33,'DRAFT 1'!$B:$B,0)),"")</f>
        <v/>
      </c>
      <c r="Q33" s="116">
        <f>IFERROR(INDEX('DRAFT 1'!$M:$M,MATCH($B33,'DRAFT 1'!$B:$B,0)),"")</f>
        <v/>
      </c>
      <c r="R33" s="116">
        <f>IFERROR(INDEX('DRAFT 1'!$N:$N,MATCH($B33,'DRAFT 1'!$B:$B,0)),"")</f>
        <v/>
      </c>
      <c r="S33" s="116">
        <f>IFERROR(INDEX('DRAFT 1'!$O:$O,MATCH($B33,'DRAFT 1'!$B:$B,0)),"")</f>
        <v/>
      </c>
      <c r="T33" s="116">
        <f>IFERROR(INDEX('DRAFT 1'!$P:$P,MATCH($B33,'DRAFT 1'!$B:$B,0)),"")</f>
        <v/>
      </c>
      <c r="U33" s="116">
        <f>IFERROR(INDEX('DRAFT 1'!$Q:$Q,MATCH($B33,'DRAFT 1'!$B:$B,0)),"")</f>
        <v/>
      </c>
      <c r="V33" s="116">
        <f>IFERROR(INDEX('DRAFT 1'!$R:$R,MATCH($B33,'DRAFT 1'!$B:$B,0)),"")</f>
        <v/>
      </c>
      <c r="W33" s="116">
        <f>IFERROR(INDEX('DRAFT 1'!$S:$S,MATCH($B33,'DRAFT 1'!$B:$B,0)),"")</f>
        <v/>
      </c>
      <c r="X33" s="116">
        <f>IFERROR(INDEX('DRAFT 1'!$T:$T,MATCH($B33,'DRAFT 1'!$B:$B,0)),"")</f>
        <v/>
      </c>
      <c r="Z33" s="116">
        <f>IFERROR(INDEX('DRAFT 1'!$U:$U,MATCH($B33,'DRAFT 1'!$B:$B,0)),"")</f>
        <v/>
      </c>
      <c r="AA33" s="116">
        <f>IFERROR(INDEX('DRAFT 1'!$V:$V,MATCH($B33,'DRAFT 1'!$B:$B,0)),"")</f>
        <v/>
      </c>
      <c r="AB33" s="116">
        <f>IFERROR(INDEX('DRAFT 1'!$W:$W,MATCH($B33,'DRAFT 1'!$B:$B,0)),"")</f>
        <v/>
      </c>
      <c r="AC33" s="116">
        <f>IFERROR(INDEX('DRAFT 1'!$X:$X,MATCH($B33,'DRAFT 1'!$B:$B,0)),"")</f>
        <v/>
      </c>
      <c r="AD33" s="116">
        <f>IFERROR(INDEX('DRAFT 1'!$Y:$Y,MATCH($B33,'DRAFT 1'!$B:$B,0)),"")</f>
        <v/>
      </c>
      <c r="AE33" s="116">
        <f>IFERROR(INDEX('DRAFT 1'!$Z:$Z,MATCH($B33,'DRAFT 1'!$B:$B,0)),"")</f>
        <v/>
      </c>
      <c r="AF33" s="116">
        <f>IFERROR(INDEX('DRAFT 1'!$AA:$AA,MATCH($B33,'DRAFT 1'!$B:$B,0)),"")</f>
        <v/>
      </c>
      <c r="AG33" s="116">
        <f>IFERROR(INDEX('DRAFT 1'!$AB:$AB,MATCH($B33,'DRAFT 1'!$B:$B,0)),"")</f>
        <v/>
      </c>
      <c r="AH33" s="116">
        <f>IFERROR(INDEX('DRAFT 1'!$AC:$AC,MATCH($B33,'DRAFT 1'!$B:$B,0)),"")</f>
        <v/>
      </c>
      <c r="AI33" s="116">
        <f>IFERROR(INDEX('DRAFT 1'!$AD:$AD,MATCH($B33,'DRAFT 1'!$B:$B,0)),"")</f>
        <v/>
      </c>
      <c r="AJ33" s="116">
        <f>IFERROR(INDEX('DRAFT 1'!$AE:$AE,MATCH($B33,'DRAFT 1'!$B:$B,0)),"")</f>
        <v/>
      </c>
      <c r="AK33" s="116">
        <f>IFERROR(INDEX('DRAFT 1'!$AG:$AG,MATCH($B33,'DRAFT 1'!$B:$B,0)),"")</f>
        <v/>
      </c>
      <c r="AL33" s="116">
        <f>IFERROR(INDEX('DRAFT 1'!$AH:$AH,MATCH($B33,'DRAFT 1'!$B:$B,0)),"")</f>
        <v/>
      </c>
      <c r="AM33" s="116">
        <f>IFERROR(INDEX('DRAFT 1'!$AI:$AI,MATCH($B33,'DRAFT 1'!$B:$B,0)),"")</f>
        <v/>
      </c>
      <c r="AN33" s="116">
        <f>IFERROR(INDEX('DRAFT 1'!$AJ:$AJ,MATCH($B33,'DRAFT 1'!$B:$B,0)),"")</f>
        <v/>
      </c>
      <c r="AO33" s="116">
        <f>IFERROR(Y33/AN33,0)</f>
        <v/>
      </c>
      <c r="AP33" s="116">
        <f>IFERROR(INDEX('DRAFT 1'!$AK:$AK,MATCH($B33,'DRAFT 1'!$B:$B,0)),"")</f>
        <v/>
      </c>
      <c r="AR33" s="116" t="inlineStr">
        <is>
          <t>CS</t>
        </is>
      </c>
      <c r="AS33" s="116">
        <f>IFERROR(LOOKUP(2,1/('DRAFT 2'!$D:$D=$B33),'DRAFT 2'!$T:$T),"")</f>
        <v/>
      </c>
      <c r="AT33" s="116">
        <f>IFERROR(LOOKUP(2,1/('DRAFT 2'!$D:$D=$B33),'DRAFT 2'!$A:$A),"")</f>
        <v/>
      </c>
      <c r="AU33" s="116">
        <f>IFERROR(LOOKUP(2,1/('DRAFT 2'!$D:$D=$B33),'DRAFT 2'!$R:$R),"")</f>
        <v/>
      </c>
      <c r="AV33" s="116">
        <f>IFERROR(LOOKUP(2,1/('DRAFT 2'!$D:$D=$B33),'DRAFT 2'!$S:$S),"")</f>
        <v/>
      </c>
      <c r="AW33" s="116" t="inlineStr">
        <is>
          <t>NOVO</t>
        </is>
      </c>
      <c r="AX33" s="116">
        <f>IFERROR(LOOKUP(2,1/('DRAFT 2'!$D:$D=$B33),'DRAFT 2'!$M:$M),"")</f>
        <v/>
      </c>
      <c r="AY33" s="116">
        <f>IFERROR(LOOKUP(2,1/('DRAFT 2'!$D:$D=$B33),'DRAFT 2'!$K:$K),"")</f>
        <v/>
      </c>
      <c r="BG33" s="116">
        <f>IFERROR(LOOKUP(2,1/('DRAFT 2'!$D:$D=$B33),'DRAFT 2'!$U:$U),"")</f>
        <v/>
      </c>
      <c r="BH33" s="116">
        <f>IFERROR(LOOKUP(2,1/('DRAFT 2'!$D:$D=$B33),'DRAFT 2'!$V:$V),"")</f>
        <v/>
      </c>
      <c r="CE33" s="116">
        <f>IFERROR(AJ33,0)</f>
        <v/>
      </c>
      <c r="CF33" s="116">
        <f>IFERROR(LOOKUP(2,1/('DRAFT 2'!$D:$D=$B33)*('DRAFT 2'!$A:$A&gt;=DATE(2026,1,1))*('DRAFT 2'!$A:$A&lt;DATE(2026,IF(1=12,1+1,1+1),1)),'DRAFT 2'!$A:$A),"")</f>
        <v/>
      </c>
      <c r="CG33" s="116">
        <f>COUNTIFS('DRAFT 2'!$D:$D,$B33,'DRAFT 2'!$A:$A,"&gt;="&amp;DATE(2026,1,1),'DRAFT 2'!$A:$A,"&lt;="&amp;DATE(2026,1,7))</f>
        <v/>
      </c>
      <c r="CH33" s="116">
        <f>COUNTIFS('DRAFT 2'!$D:$D,$B33,'DRAFT 2'!$A:$A,"&gt;="&amp;DATE(2026,1,8),'DRAFT 2'!$A:$A,"&lt;="&amp;DATE(2026,1,14))</f>
        <v/>
      </c>
      <c r="CI33" s="116">
        <f>COUNTIFS('DRAFT 2'!$D:$D,$B33,'DRAFT 2'!$A:$A,"&gt;="&amp;DATE(2026,1,15),'DRAFT 2'!$A:$A,"&lt;="&amp;DATE(2026,1,21))</f>
        <v/>
      </c>
      <c r="CJ33" s="116">
        <f>COUNTIFS('DRAFT 2'!$D:$D,$B33,'DRAFT 2'!$A:$A,"&gt;="&amp;DATE(2026,1,22),'DRAFT 2'!$A:$A,"&lt;"&amp;DATE(2026,IF(1=12,1+1,1+1),1))</f>
        <v/>
      </c>
      <c r="CK33" s="116">
        <f>SUM(CG33:CJ33)</f>
        <v/>
      </c>
      <c r="CT33" s="116" t="n">
        <v>0</v>
      </c>
      <c r="CU33" s="116">
        <f>IFERROR(LOOKUP(2,1/('DRAFT 2'!$D:$D=$B33)*('DRAFT 2'!$A:$A&gt;=DATE(2026,2,1))*('DRAFT 2'!$A:$A&lt;DATE(2026,IF(2=12,2+1,2+1),1)),'DRAFT 2'!$A:$A),"")</f>
        <v/>
      </c>
      <c r="CV33" s="116">
        <f>COUNTIFS('DRAFT 2'!$D:$D,$B33,'DRAFT 2'!$A:$A,"&gt;="&amp;DATE(2026,2,1),'DRAFT 2'!$A:$A,"&lt;="&amp;DATE(2026,2,7))</f>
        <v/>
      </c>
      <c r="CW33" s="116">
        <f>COUNTIFS('DRAFT 2'!$D:$D,$B33,'DRAFT 2'!$A:$A,"&gt;="&amp;DATE(2026,2,8),'DRAFT 2'!$A:$A,"&lt;="&amp;DATE(2026,2,14))</f>
        <v/>
      </c>
      <c r="CX33" s="116">
        <f>COUNTIFS('DRAFT 2'!$D:$D,$B33,'DRAFT 2'!$A:$A,"&gt;="&amp;DATE(2026,2,15),'DRAFT 2'!$A:$A,"&lt;="&amp;DATE(2026,2,21))</f>
        <v/>
      </c>
      <c r="CY33" s="116">
        <f>COUNTIFS('DRAFT 2'!$D:$D,$B33,'DRAFT 2'!$A:$A,"&gt;="&amp;DATE(2026,2,22),'DRAFT 2'!$A:$A,"&lt;"&amp;DATE(2026,IF(2=12,2+1,2+1),1))</f>
        <v/>
      </c>
      <c r="CZ33" s="116">
        <f>SUM(CV33:CY33)</f>
        <v/>
      </c>
      <c r="DJ33" s="116">
        <f>IFERROR(LOOKUP(2,1/('DRAFT 2'!$D:$D=$B33)*('DRAFT 2'!$A:$A&gt;=DATE(2026,3,1))*('DRAFT 2'!$A:$A&lt;DATE(2026,IF(3=12,3+1,3+1),1)),'DRAFT 2'!$A:$A),"")</f>
        <v/>
      </c>
      <c r="DK33" s="116">
        <f>COUNTIFS('DRAFT 2'!$D:$D,$B33,'DRAFT 2'!$A:$A,"&gt;="&amp;DATE(2026,3,1),'DRAFT 2'!$A:$A,"&lt;="&amp;DATE(2026,3,7))</f>
        <v/>
      </c>
      <c r="DL33" s="116">
        <f>COUNTIFS('DRAFT 2'!$D:$D,$B33,'DRAFT 2'!$A:$A,"&gt;="&amp;DATE(2026,3,8),'DRAFT 2'!$A:$A,"&lt;="&amp;DATE(2026,3,14))</f>
        <v/>
      </c>
      <c r="DM33" s="116">
        <f>COUNTIFS('DRAFT 2'!$D:$D,$B33,'DRAFT 2'!$A:$A,"&gt;="&amp;DATE(2026,3,15),'DRAFT 2'!$A:$A,"&lt;="&amp;DATE(2026,3,21))</f>
        <v/>
      </c>
      <c r="DN33" s="116">
        <f>COUNTIFS('DRAFT 2'!$D:$D,$B33,'DRAFT 2'!$A:$A,"&gt;="&amp;DATE(2026,3,22),'DRAFT 2'!$A:$A,"&lt;"&amp;DATE(2026,IF(3=12,3+1,3+1),1))</f>
        <v/>
      </c>
      <c r="DO33" s="116">
        <f>SUM(DK33:DN33)</f>
        <v/>
      </c>
      <c r="DZ33" s="116">
        <f>IFERROR(LOOKUP(2,1/('DRAFT 2'!$D:$D=$B33)*('DRAFT 2'!$A:$A&gt;=DATE(2026,4,1))*('DRAFT 2'!$A:$A&lt;DATE(2026,IF(4=12,4+1,4+1),1)),'DRAFT 2'!$A:$A),"")</f>
        <v/>
      </c>
      <c r="EA33" s="116">
        <f>COUNTIFS('DRAFT 2'!$D:$D,$B33,'DRAFT 2'!$A:$A,"&gt;="&amp;DATE(2026,4,1),'DRAFT 2'!$A:$A,"&lt;="&amp;DATE(2026,4,7))</f>
        <v/>
      </c>
      <c r="EB33" s="116">
        <f>COUNTIFS('DRAFT 2'!$D:$D,$B33,'DRAFT 2'!$A:$A,"&gt;="&amp;DATE(2026,4,8),'DRAFT 2'!$A:$A,"&lt;="&amp;DATE(2026,4,14))</f>
        <v/>
      </c>
      <c r="EC33" s="116">
        <f>COUNTIFS('DRAFT 2'!$D:$D,$B33,'DRAFT 2'!$A:$A,"&gt;="&amp;DATE(2026,4,15),'DRAFT 2'!$A:$A,"&lt;="&amp;DATE(2026,4,21))</f>
        <v/>
      </c>
      <c r="ED33" s="116">
        <f>COUNTIFS('DRAFT 2'!$D:$D,$B33,'DRAFT 2'!$A:$A,"&gt;="&amp;DATE(2026,4,22),'DRAFT 2'!$A:$A,"&lt;"&amp;DATE(2026,IF(4=12,4+1,4+1),1))</f>
        <v/>
      </c>
      <c r="EE33" s="116">
        <f>SUM(EA33:ED33)</f>
        <v/>
      </c>
      <c r="EO33" s="116">
        <f>IFERROR(LOOKUP(2,1/('DRAFT 2'!$D:$D=$B33)*('DRAFT 2'!$A:$A&gt;=DATE(2026,5,1))*('DRAFT 2'!$A:$A&lt;DATE(2026,IF(5=12,5+1,5+1),1)),'DRAFT 2'!$A:$A),"")</f>
        <v/>
      </c>
      <c r="EP33" s="116">
        <f>COUNTIFS('DRAFT 2'!$D:$D,$B33,'DRAFT 2'!$A:$A,"&gt;="&amp;DATE(2026,5,1),'DRAFT 2'!$A:$A,"&lt;="&amp;DATE(2026,5,7))</f>
        <v/>
      </c>
      <c r="EQ33" s="116">
        <f>COUNTIFS('DRAFT 2'!$D:$D,$B33,'DRAFT 2'!$A:$A,"&gt;="&amp;DATE(2026,5,8),'DRAFT 2'!$A:$A,"&lt;="&amp;DATE(2026,5,14))</f>
        <v/>
      </c>
      <c r="ER33" s="116">
        <f>COUNTIFS('DRAFT 2'!$D:$D,$B33,'DRAFT 2'!$A:$A,"&gt;="&amp;DATE(2026,5,15),'DRAFT 2'!$A:$A,"&lt;="&amp;DATE(2026,5,21))</f>
        <v/>
      </c>
      <c r="ES33" s="116">
        <f>COUNTIFS('DRAFT 2'!$D:$D,$B33,'DRAFT 2'!$A:$A,"&gt;="&amp;DATE(2026,5,22),'DRAFT 2'!$A:$A,"&lt;"&amp;DATE(2026,IF(5=12,5+1,5+1),1))</f>
        <v/>
      </c>
      <c r="ET33" s="116">
        <f>SUM(EP33:ES33)</f>
        <v/>
      </c>
      <c r="FD33" s="116">
        <f>IFERROR(LOOKUP(2,1/('DRAFT 2'!$D:$D=$B33)*('DRAFT 2'!$A:$A&gt;=DATE(2026,6,1))*('DRAFT 2'!$A:$A&lt;DATE(2026,IF(6=12,6+1,6+1),1)),'DRAFT 2'!$A:$A),"")</f>
        <v/>
      </c>
      <c r="FE33" s="116">
        <f>COUNTIFS('DRAFT 2'!$D:$D,$B33,'DRAFT 2'!$A:$A,"&gt;="&amp;DATE(2026,6,1),'DRAFT 2'!$A:$A,"&lt;="&amp;DATE(2026,6,7))</f>
        <v/>
      </c>
      <c r="FF33" s="116">
        <f>COUNTIFS('DRAFT 2'!$D:$D,$B33,'DRAFT 2'!$A:$A,"&gt;="&amp;DATE(2026,6,8),'DRAFT 2'!$A:$A,"&lt;="&amp;DATE(2026,6,14))</f>
        <v/>
      </c>
      <c r="FG33" s="116">
        <f>COUNTIFS('DRAFT 2'!$D:$D,$B33,'DRAFT 2'!$A:$A,"&gt;="&amp;DATE(2026,6,15),'DRAFT 2'!$A:$A,"&lt;="&amp;DATE(2026,6,21))</f>
        <v/>
      </c>
      <c r="FH33" s="116">
        <f>COUNTIFS('DRAFT 2'!$D:$D,$B33,'DRAFT 2'!$A:$A,"&gt;="&amp;DATE(2026,6,22),'DRAFT 2'!$A:$A,"&lt;"&amp;DATE(2026,IF(6=12,6+1,6+1),1))</f>
        <v/>
      </c>
      <c r="FI33" s="116">
        <f>SUM(FE33:FH33)</f>
        <v/>
      </c>
      <c r="FT33" s="116">
        <f>IFERROR(LOOKUP(2,1/('DRAFT 2'!$D:$D=$B33)*('DRAFT 2'!$A:$A&gt;=DATE(2026,7,1))*('DRAFT 2'!$A:$A&lt;DATE(2026,IF(7=12,7+1,7+1),1)),'DRAFT 2'!$A:$A),"")</f>
        <v/>
      </c>
      <c r="FU33" s="116">
        <f>COUNTIFS('DRAFT 2'!$D:$D,$B33,'DRAFT 2'!$A:$A,"&gt;="&amp;DATE(2026,7,1),'DRAFT 2'!$A:$A,"&lt;="&amp;DATE(2026,7,7))</f>
        <v/>
      </c>
      <c r="FV33" s="116">
        <f>COUNTIFS('DRAFT 2'!$D:$D,$B33,'DRAFT 2'!$A:$A,"&gt;="&amp;DATE(2026,7,8),'DRAFT 2'!$A:$A,"&lt;="&amp;DATE(2026,7,14))</f>
        <v/>
      </c>
      <c r="FW33" s="116">
        <f>COUNTIFS('DRAFT 2'!$D:$D,$B33,'DRAFT 2'!$A:$A,"&gt;="&amp;DATE(2026,7,15),'DRAFT 2'!$A:$A,"&lt;="&amp;DATE(2026,7,21))</f>
        <v/>
      </c>
      <c r="FX33" s="116">
        <f>COUNTIFS('DRAFT 2'!$D:$D,$B33,'DRAFT 2'!$A:$A,"&gt;="&amp;DATE(2026,7,22),'DRAFT 2'!$A:$A,"&lt;"&amp;DATE(2026,IF(7=12,7+1,7+1),1))</f>
        <v/>
      </c>
      <c r="FY33" s="116">
        <f>SUM(FU33:FX33)</f>
        <v/>
      </c>
      <c r="GI33" s="116">
        <f>IFERROR(LOOKUP(2,1/('DRAFT 2'!$D:$D=$B33)*('DRAFT 2'!$A:$A&gt;=DATE(2026,8,1))*('DRAFT 2'!$A:$A&lt;DATE(2026,IF(8=12,8+1,8+1),1)),'DRAFT 2'!$A:$A),"")</f>
        <v/>
      </c>
      <c r="GJ33" s="116">
        <f>COUNTIFS('DRAFT 2'!$D:$D,$B33,'DRAFT 2'!$A:$A,"&gt;="&amp;DATE(2026,8,1),'DRAFT 2'!$A:$A,"&lt;="&amp;DATE(2026,8,7))</f>
        <v/>
      </c>
      <c r="GK33" s="116">
        <f>COUNTIFS('DRAFT 2'!$D:$D,$B33,'DRAFT 2'!$A:$A,"&gt;="&amp;DATE(2026,8,8),'DRAFT 2'!$A:$A,"&lt;="&amp;DATE(2026,8,14))</f>
        <v/>
      </c>
      <c r="GL33" s="116">
        <f>COUNTIFS('DRAFT 2'!$D:$D,$B33,'DRAFT 2'!$A:$A,"&gt;="&amp;DATE(2026,8,15),'DRAFT 2'!$A:$A,"&lt;="&amp;DATE(2026,8,21))</f>
        <v/>
      </c>
      <c r="GM33" s="116">
        <f>COUNTIFS('DRAFT 2'!$D:$D,$B33,'DRAFT 2'!$A:$A,"&gt;="&amp;DATE(2026,8,22),'DRAFT 2'!$A:$A,"&lt;"&amp;DATE(2026,IF(8=12,8+1,8+1),1))</f>
        <v/>
      </c>
      <c r="GN33" s="116">
        <f>SUM(GJ33:GM33)</f>
        <v/>
      </c>
      <c r="GX33" s="116">
        <f>IFERROR(LOOKUP(2,1/('DRAFT 2'!$D:$D=$B33)*('DRAFT 2'!$A:$A&gt;=DATE(2026,9,1))*('DRAFT 2'!$A:$A&lt;DATE(2026,IF(9=12,9+1,9+1),1)),'DRAFT 2'!$A:$A),"")</f>
        <v/>
      </c>
      <c r="GY33" s="116">
        <f>COUNTIFS('DRAFT 2'!$D:$D,$B33,'DRAFT 2'!$A:$A,"&gt;="&amp;DATE(2026,9,1),'DRAFT 2'!$A:$A,"&lt;="&amp;DATE(2026,9,7))</f>
        <v/>
      </c>
      <c r="GZ33" s="116">
        <f>COUNTIFS('DRAFT 2'!$D:$D,$B33,'DRAFT 2'!$A:$A,"&gt;="&amp;DATE(2026,9,8),'DRAFT 2'!$A:$A,"&lt;="&amp;DATE(2026,9,14))</f>
        <v/>
      </c>
      <c r="HA33" s="116">
        <f>COUNTIFS('DRAFT 2'!$D:$D,$B33,'DRAFT 2'!$A:$A,"&gt;="&amp;DATE(2026,9,15),'DRAFT 2'!$A:$A,"&lt;="&amp;DATE(2026,9,21))</f>
        <v/>
      </c>
      <c r="HB33" s="116">
        <f>COUNTIFS('DRAFT 2'!$D:$D,$B33,'DRAFT 2'!$A:$A,"&gt;="&amp;DATE(2026,9,22),'DRAFT 2'!$A:$A,"&lt;"&amp;DATE(2026,IF(9=12,9+1,9+1),1))</f>
        <v/>
      </c>
      <c r="HC33" s="116">
        <f>SUM(GY33:HB33)</f>
        <v/>
      </c>
      <c r="HN33" s="116">
        <f>IFERROR(LOOKUP(2,1/('DRAFT 2'!$D:$D=$B33)*('DRAFT 2'!$A:$A&gt;=DATE(2026,10,1))*('DRAFT 2'!$A:$A&lt;DATE(2026,IF(10=12,10+1,10+1),1)),'DRAFT 2'!$A:$A),"")</f>
        <v/>
      </c>
      <c r="HO33" s="116">
        <f>COUNTIFS('DRAFT 2'!$D:$D,$B33,'DRAFT 2'!$A:$A,"&gt;="&amp;DATE(2026,10,1),'DRAFT 2'!$A:$A,"&lt;="&amp;DATE(2026,10,7))</f>
        <v/>
      </c>
      <c r="HP33" s="116">
        <f>COUNTIFS('DRAFT 2'!$D:$D,$B33,'DRAFT 2'!$A:$A,"&gt;="&amp;DATE(2026,10,8),'DRAFT 2'!$A:$A,"&lt;="&amp;DATE(2026,10,14))</f>
        <v/>
      </c>
      <c r="HQ33" s="116">
        <f>COUNTIFS('DRAFT 2'!$D:$D,$B33,'DRAFT 2'!$A:$A,"&gt;="&amp;DATE(2026,10,15),'DRAFT 2'!$A:$A,"&lt;="&amp;DATE(2026,10,21))</f>
        <v/>
      </c>
      <c r="HR33" s="116">
        <f>COUNTIFS('DRAFT 2'!$D:$D,$B33,'DRAFT 2'!$A:$A,"&gt;="&amp;DATE(2026,10,22),'DRAFT 2'!$A:$A,"&lt;"&amp;DATE(2026,IF(10=12,10+1,10+1),1))</f>
        <v/>
      </c>
      <c r="HS33" s="116">
        <f>SUM(HO33:HR33)</f>
        <v/>
      </c>
      <c r="IC33" s="116">
        <f>IFERROR(LOOKUP(2,1/('DRAFT 2'!$D:$D=$B33)*('DRAFT 2'!$A:$A&gt;=DATE(2026,11,1))*('DRAFT 2'!$A:$A&lt;DATE(2026,IF(11=12,11+1,11+1),1)),'DRAFT 2'!$A:$A),"")</f>
        <v/>
      </c>
      <c r="ID33" s="116">
        <f>COUNTIFS('DRAFT 2'!$D:$D,$B33,'DRAFT 2'!$A:$A,"&gt;="&amp;DATE(2026,11,1),'DRAFT 2'!$A:$A,"&lt;="&amp;DATE(2026,11,7))</f>
        <v/>
      </c>
      <c r="IE33" s="116">
        <f>COUNTIFS('DRAFT 2'!$D:$D,$B33,'DRAFT 2'!$A:$A,"&gt;="&amp;DATE(2026,11,8),'DRAFT 2'!$A:$A,"&lt;="&amp;DATE(2026,11,14))</f>
        <v/>
      </c>
      <c r="IF33" s="116">
        <f>COUNTIFS('DRAFT 2'!$D:$D,$B33,'DRAFT 2'!$A:$A,"&gt;="&amp;DATE(2026,11,15),'DRAFT 2'!$A:$A,"&lt;="&amp;DATE(2026,11,21))</f>
        <v/>
      </c>
      <c r="IG33" s="116">
        <f>COUNTIFS('DRAFT 2'!$D:$D,$B33,'DRAFT 2'!$A:$A,"&gt;="&amp;DATE(2026,11,22),'DRAFT 2'!$A:$A,"&lt;"&amp;DATE(2026,IF(11=12,11+1,11+1),1))</f>
        <v/>
      </c>
      <c r="IH33" s="116">
        <f>SUM(ID33:IG33)</f>
        <v/>
      </c>
      <c r="IR33" s="116">
        <f>IFERROR(LOOKUP(2,1/('DRAFT 2'!$D:$D=$B33)*('DRAFT 2'!$A:$A&gt;=DATE(2026,12,1))*('DRAFT 2'!$A:$A&lt;DATE(2026,IF(12=12,12+1,12+1),1)),'DRAFT 2'!$A:$A),"")</f>
        <v/>
      </c>
      <c r="IS33" s="116">
        <f>COUNTIFS('DRAFT 2'!$D:$D,$B33,'DRAFT 2'!$A:$A,"&gt;="&amp;DATE(2026,12,1),'DRAFT 2'!$A:$A,"&lt;="&amp;DATE(2026,12,7))</f>
        <v/>
      </c>
      <c r="IT33" s="116">
        <f>COUNTIFS('DRAFT 2'!$D:$D,$B33,'DRAFT 2'!$A:$A,"&gt;="&amp;DATE(2026,12,8),'DRAFT 2'!$A:$A,"&lt;="&amp;DATE(2026,12,14))</f>
        <v/>
      </c>
      <c r="IU33" s="116">
        <f>COUNTIFS('DRAFT 2'!$D:$D,$B33,'DRAFT 2'!$A:$A,"&gt;="&amp;DATE(2026,12,15),'DRAFT 2'!$A:$A,"&lt;="&amp;DATE(2026,12,21))</f>
        <v/>
      </c>
      <c r="IV33" s="116">
        <f>COUNTIFS('DRAFT 2'!$D:$D,$B33,'DRAFT 2'!$A:$A,"&gt;="&amp;DATE(2026,12,22),'DRAFT 2'!$A:$A,"&lt;"&amp;DATE(2026,IF(12=12,12+1,12+1),1))</f>
        <v/>
      </c>
      <c r="IW33" s="116">
        <f>SUM(IS33:IV33)</f>
        <v/>
      </c>
    </row>
    <row r="34">
      <c r="A34" s="116">
        <f>IFERROR(INDEX('DRAFT 1'!$A:$A,MATCH($B34,'DRAFT 1'!$B:$B,0)),"")</f>
        <v/>
      </c>
      <c r="C34" s="116">
        <f>IFERROR(INDEX('DRAFT 1'!$C:$C,MATCH($B34,'DRAFT 1'!$B:$B,0)),"")</f>
        <v/>
      </c>
      <c r="D34" s="116">
        <f>IFERROR(INDEX('DRAFT 1'!$D:$D,MATCH($B34,'DRAFT 1'!$B:$B,0)),"")</f>
        <v/>
      </c>
      <c r="E34" s="116">
        <f>IFERROR(INDEX('DRAFT 1'!$E:$E,MATCH($B34,'DRAFT 1'!$B:$B,0)),"")</f>
        <v/>
      </c>
      <c r="F34" s="116">
        <f>IFERROR(INDEX('DRAFT 1'!$F:$F,MATCH($B34,'DRAFT 1'!$B:$B,0)),"")</f>
        <v/>
      </c>
      <c r="G34" s="116">
        <f>IFERROR(INDEX('DRAFT 1'!$G:$G,MATCH($B34,'DRAFT 1'!$B:$B,0)),"")</f>
        <v/>
      </c>
      <c r="H34" s="116">
        <f>IFERROR(INDEX('DRAFT 1'!$H:$H,MATCH($B34,'DRAFT 1'!$B:$B,0)),"")</f>
        <v/>
      </c>
      <c r="I34" s="116" t="inlineStr">
        <is>
          <t>DEMAIS CLIENTES</t>
        </is>
      </c>
      <c r="K34" s="116">
        <f>IFERROR(INDEX('DRAFT 1'!$AL:$AL,MATCH($B34,'DRAFT 1'!$B:$B,0)),"")</f>
        <v/>
      </c>
      <c r="L34" s="116">
        <f>IFERROR(INDEX('DRAFT 1'!$J:$J,MATCH($B34,'DRAFT 1'!$B:$B,0)),"")</f>
        <v/>
      </c>
      <c r="M34" s="116">
        <f>IFERROR(INDEX('DRAFT 1'!$K:$K,MATCH($B34,'DRAFT 1'!$B:$B,0)),"")</f>
        <v/>
      </c>
      <c r="N34" s="116" t="inlineStr">
        <is>
          <t>ATIVO</t>
        </is>
      </c>
      <c r="P34" s="116">
        <f>IFERROR(INDEX('DRAFT 1'!$L:$L,MATCH($B34,'DRAFT 1'!$B:$B,0)),"")</f>
        <v/>
      </c>
      <c r="Q34" s="116">
        <f>IFERROR(INDEX('DRAFT 1'!$M:$M,MATCH($B34,'DRAFT 1'!$B:$B,0)),"")</f>
        <v/>
      </c>
      <c r="R34" s="116">
        <f>IFERROR(INDEX('DRAFT 1'!$N:$N,MATCH($B34,'DRAFT 1'!$B:$B,0)),"")</f>
        <v/>
      </c>
      <c r="S34" s="116">
        <f>IFERROR(INDEX('DRAFT 1'!$O:$O,MATCH($B34,'DRAFT 1'!$B:$B,0)),"")</f>
        <v/>
      </c>
      <c r="T34" s="116">
        <f>IFERROR(INDEX('DRAFT 1'!$P:$P,MATCH($B34,'DRAFT 1'!$B:$B,0)),"")</f>
        <v/>
      </c>
      <c r="U34" s="116">
        <f>IFERROR(INDEX('DRAFT 1'!$Q:$Q,MATCH($B34,'DRAFT 1'!$B:$B,0)),"")</f>
        <v/>
      </c>
      <c r="V34" s="116">
        <f>IFERROR(INDEX('DRAFT 1'!$R:$R,MATCH($B34,'DRAFT 1'!$B:$B,0)),"")</f>
        <v/>
      </c>
      <c r="W34" s="116">
        <f>IFERROR(INDEX('DRAFT 1'!$S:$S,MATCH($B34,'DRAFT 1'!$B:$B,0)),"")</f>
        <v/>
      </c>
      <c r="X34" s="116">
        <f>IFERROR(INDEX('DRAFT 1'!$T:$T,MATCH($B34,'DRAFT 1'!$B:$B,0)),"")</f>
        <v/>
      </c>
      <c r="Z34" s="116">
        <f>IFERROR(INDEX('DRAFT 1'!$U:$U,MATCH($B34,'DRAFT 1'!$B:$B,0)),"")</f>
        <v/>
      </c>
      <c r="AA34" s="116">
        <f>IFERROR(INDEX('DRAFT 1'!$V:$V,MATCH($B34,'DRAFT 1'!$B:$B,0)),"")</f>
        <v/>
      </c>
      <c r="AB34" s="116">
        <f>IFERROR(INDEX('DRAFT 1'!$W:$W,MATCH($B34,'DRAFT 1'!$B:$B,0)),"")</f>
        <v/>
      </c>
      <c r="AC34" s="116">
        <f>IFERROR(INDEX('DRAFT 1'!$X:$X,MATCH($B34,'DRAFT 1'!$B:$B,0)),"")</f>
        <v/>
      </c>
      <c r="AD34" s="116">
        <f>IFERROR(INDEX('DRAFT 1'!$Y:$Y,MATCH($B34,'DRAFT 1'!$B:$B,0)),"")</f>
        <v/>
      </c>
      <c r="AE34" s="116">
        <f>IFERROR(INDEX('DRAFT 1'!$Z:$Z,MATCH($B34,'DRAFT 1'!$B:$B,0)),"")</f>
        <v/>
      </c>
      <c r="AF34" s="116">
        <f>IFERROR(INDEX('DRAFT 1'!$AA:$AA,MATCH($B34,'DRAFT 1'!$B:$B,0)),"")</f>
        <v/>
      </c>
      <c r="AG34" s="116">
        <f>IFERROR(INDEX('DRAFT 1'!$AB:$AB,MATCH($B34,'DRAFT 1'!$B:$B,0)),"")</f>
        <v/>
      </c>
      <c r="AH34" s="116">
        <f>IFERROR(INDEX('DRAFT 1'!$AC:$AC,MATCH($B34,'DRAFT 1'!$B:$B,0)),"")</f>
        <v/>
      </c>
      <c r="AI34" s="116">
        <f>IFERROR(INDEX('DRAFT 1'!$AD:$AD,MATCH($B34,'DRAFT 1'!$B:$B,0)),"")</f>
        <v/>
      </c>
      <c r="AJ34" s="116">
        <f>IFERROR(INDEX('DRAFT 1'!$AE:$AE,MATCH($B34,'DRAFT 1'!$B:$B,0)),"")</f>
        <v/>
      </c>
      <c r="AK34" s="116">
        <f>IFERROR(INDEX('DRAFT 1'!$AG:$AG,MATCH($B34,'DRAFT 1'!$B:$B,0)),"")</f>
        <v/>
      </c>
      <c r="AL34" s="116">
        <f>IFERROR(INDEX('DRAFT 1'!$AH:$AH,MATCH($B34,'DRAFT 1'!$B:$B,0)),"")</f>
        <v/>
      </c>
      <c r="AM34" s="116">
        <f>IFERROR(INDEX('DRAFT 1'!$AI:$AI,MATCH($B34,'DRAFT 1'!$B:$B,0)),"")</f>
        <v/>
      </c>
      <c r="AN34" s="116">
        <f>IFERROR(INDEX('DRAFT 1'!$AJ:$AJ,MATCH($B34,'DRAFT 1'!$B:$B,0)),"")</f>
        <v/>
      </c>
      <c r="AO34" s="116">
        <f>IFERROR(Y34/AN34,0)</f>
        <v/>
      </c>
      <c r="AP34" s="116">
        <f>IFERROR(INDEX('DRAFT 1'!$AK:$AK,MATCH($B34,'DRAFT 1'!$B:$B,0)),"")</f>
        <v/>
      </c>
      <c r="AR34" s="116" t="inlineStr">
        <is>
          <t>PROSPECÇÃO</t>
        </is>
      </c>
      <c r="AS34" s="116">
        <f>IFERROR(LOOKUP(2,1/('DRAFT 2'!$D:$D=$B34),'DRAFT 2'!$T:$T),"")</f>
        <v/>
      </c>
      <c r="AT34" s="116">
        <f>IFERROR(LOOKUP(2,1/('DRAFT 2'!$D:$D=$B34),'DRAFT 2'!$A:$A),"")</f>
        <v/>
      </c>
      <c r="AU34" s="116">
        <f>IFERROR(LOOKUP(2,1/('DRAFT 2'!$D:$D=$B34),'DRAFT 2'!$R:$R),"")</f>
        <v/>
      </c>
      <c r="AV34" s="116">
        <f>IFERROR(LOOKUP(2,1/('DRAFT 2'!$D:$D=$B34),'DRAFT 2'!$S:$S),"")</f>
        <v/>
      </c>
      <c r="AW34" s="116" t="inlineStr">
        <is>
          <t>FIDELIZADO</t>
        </is>
      </c>
      <c r="AX34" s="116">
        <f>IFERROR(LOOKUP(2,1/('DRAFT 2'!$D:$D=$B34),'DRAFT 2'!$M:$M),"")</f>
        <v/>
      </c>
      <c r="AY34" s="116">
        <f>IFERROR(LOOKUP(2,1/('DRAFT 2'!$D:$D=$B34),'DRAFT 2'!$K:$K),"")</f>
        <v/>
      </c>
      <c r="BG34" s="116">
        <f>IFERROR(LOOKUP(2,1/('DRAFT 2'!$D:$D=$B34),'DRAFT 2'!$U:$U),"")</f>
        <v/>
      </c>
      <c r="BH34" s="116">
        <f>IFERROR(LOOKUP(2,1/('DRAFT 2'!$D:$D=$B34),'DRAFT 2'!$V:$V),"")</f>
        <v/>
      </c>
      <c r="CE34" s="116">
        <f>IFERROR(AJ34,0)</f>
        <v/>
      </c>
      <c r="CF34" s="116">
        <f>IFERROR(LOOKUP(2,1/('DRAFT 2'!$D:$D=$B34)*('DRAFT 2'!$A:$A&gt;=DATE(2026,1,1))*('DRAFT 2'!$A:$A&lt;DATE(2026,IF(1=12,1+1,1+1),1)),'DRAFT 2'!$A:$A),"")</f>
        <v/>
      </c>
      <c r="CG34" s="116">
        <f>COUNTIFS('DRAFT 2'!$D:$D,$B34,'DRAFT 2'!$A:$A,"&gt;="&amp;DATE(2026,1,1),'DRAFT 2'!$A:$A,"&lt;="&amp;DATE(2026,1,7))</f>
        <v/>
      </c>
      <c r="CH34" s="116">
        <f>COUNTIFS('DRAFT 2'!$D:$D,$B34,'DRAFT 2'!$A:$A,"&gt;="&amp;DATE(2026,1,8),'DRAFT 2'!$A:$A,"&lt;="&amp;DATE(2026,1,14))</f>
        <v/>
      </c>
      <c r="CI34" s="116">
        <f>COUNTIFS('DRAFT 2'!$D:$D,$B34,'DRAFT 2'!$A:$A,"&gt;="&amp;DATE(2026,1,15),'DRAFT 2'!$A:$A,"&lt;="&amp;DATE(2026,1,21))</f>
        <v/>
      </c>
      <c r="CJ34" s="116">
        <f>COUNTIFS('DRAFT 2'!$D:$D,$B34,'DRAFT 2'!$A:$A,"&gt;="&amp;DATE(2026,1,22),'DRAFT 2'!$A:$A,"&lt;"&amp;DATE(2026,IF(1=12,1+1,1+1),1))</f>
        <v/>
      </c>
      <c r="CK34" s="116">
        <f>SUM(CG34:CJ34)</f>
        <v/>
      </c>
      <c r="CT34" s="116" t="n">
        <v>0</v>
      </c>
      <c r="CU34" s="116">
        <f>IFERROR(LOOKUP(2,1/('DRAFT 2'!$D:$D=$B34)*('DRAFT 2'!$A:$A&gt;=DATE(2026,2,1))*('DRAFT 2'!$A:$A&lt;DATE(2026,IF(2=12,2+1,2+1),1)),'DRAFT 2'!$A:$A),"")</f>
        <v/>
      </c>
      <c r="CV34" s="116">
        <f>COUNTIFS('DRAFT 2'!$D:$D,$B34,'DRAFT 2'!$A:$A,"&gt;="&amp;DATE(2026,2,1),'DRAFT 2'!$A:$A,"&lt;="&amp;DATE(2026,2,7))</f>
        <v/>
      </c>
      <c r="CW34" s="116">
        <f>COUNTIFS('DRAFT 2'!$D:$D,$B34,'DRAFT 2'!$A:$A,"&gt;="&amp;DATE(2026,2,8),'DRAFT 2'!$A:$A,"&lt;="&amp;DATE(2026,2,14))</f>
        <v/>
      </c>
      <c r="CX34" s="116">
        <f>COUNTIFS('DRAFT 2'!$D:$D,$B34,'DRAFT 2'!$A:$A,"&gt;="&amp;DATE(2026,2,15),'DRAFT 2'!$A:$A,"&lt;="&amp;DATE(2026,2,21))</f>
        <v/>
      </c>
      <c r="CY34" s="116">
        <f>COUNTIFS('DRAFT 2'!$D:$D,$B34,'DRAFT 2'!$A:$A,"&gt;="&amp;DATE(2026,2,22),'DRAFT 2'!$A:$A,"&lt;"&amp;DATE(2026,IF(2=12,2+1,2+1),1))</f>
        <v/>
      </c>
      <c r="CZ34" s="116">
        <f>SUM(CV34:CY34)</f>
        <v/>
      </c>
      <c r="DJ34" s="116">
        <f>IFERROR(LOOKUP(2,1/('DRAFT 2'!$D:$D=$B34)*('DRAFT 2'!$A:$A&gt;=DATE(2026,3,1))*('DRAFT 2'!$A:$A&lt;DATE(2026,IF(3=12,3+1,3+1),1)),'DRAFT 2'!$A:$A),"")</f>
        <v/>
      </c>
      <c r="DK34" s="116">
        <f>COUNTIFS('DRAFT 2'!$D:$D,$B34,'DRAFT 2'!$A:$A,"&gt;="&amp;DATE(2026,3,1),'DRAFT 2'!$A:$A,"&lt;="&amp;DATE(2026,3,7))</f>
        <v/>
      </c>
      <c r="DL34" s="116">
        <f>COUNTIFS('DRAFT 2'!$D:$D,$B34,'DRAFT 2'!$A:$A,"&gt;="&amp;DATE(2026,3,8),'DRAFT 2'!$A:$A,"&lt;="&amp;DATE(2026,3,14))</f>
        <v/>
      </c>
      <c r="DM34" s="116">
        <f>COUNTIFS('DRAFT 2'!$D:$D,$B34,'DRAFT 2'!$A:$A,"&gt;="&amp;DATE(2026,3,15),'DRAFT 2'!$A:$A,"&lt;="&amp;DATE(2026,3,21))</f>
        <v/>
      </c>
      <c r="DN34" s="116">
        <f>COUNTIFS('DRAFT 2'!$D:$D,$B34,'DRAFT 2'!$A:$A,"&gt;="&amp;DATE(2026,3,22),'DRAFT 2'!$A:$A,"&lt;"&amp;DATE(2026,IF(3=12,3+1,3+1),1))</f>
        <v/>
      </c>
      <c r="DO34" s="116">
        <f>SUM(DK34:DN34)</f>
        <v/>
      </c>
      <c r="DZ34" s="116">
        <f>IFERROR(LOOKUP(2,1/('DRAFT 2'!$D:$D=$B34)*('DRAFT 2'!$A:$A&gt;=DATE(2026,4,1))*('DRAFT 2'!$A:$A&lt;DATE(2026,IF(4=12,4+1,4+1),1)),'DRAFT 2'!$A:$A),"")</f>
        <v/>
      </c>
      <c r="EA34" s="116">
        <f>COUNTIFS('DRAFT 2'!$D:$D,$B34,'DRAFT 2'!$A:$A,"&gt;="&amp;DATE(2026,4,1),'DRAFT 2'!$A:$A,"&lt;="&amp;DATE(2026,4,7))</f>
        <v/>
      </c>
      <c r="EB34" s="116">
        <f>COUNTIFS('DRAFT 2'!$D:$D,$B34,'DRAFT 2'!$A:$A,"&gt;="&amp;DATE(2026,4,8),'DRAFT 2'!$A:$A,"&lt;="&amp;DATE(2026,4,14))</f>
        <v/>
      </c>
      <c r="EC34" s="116">
        <f>COUNTIFS('DRAFT 2'!$D:$D,$B34,'DRAFT 2'!$A:$A,"&gt;="&amp;DATE(2026,4,15),'DRAFT 2'!$A:$A,"&lt;="&amp;DATE(2026,4,21))</f>
        <v/>
      </c>
      <c r="ED34" s="116">
        <f>COUNTIFS('DRAFT 2'!$D:$D,$B34,'DRAFT 2'!$A:$A,"&gt;="&amp;DATE(2026,4,22),'DRAFT 2'!$A:$A,"&lt;"&amp;DATE(2026,IF(4=12,4+1,4+1),1))</f>
        <v/>
      </c>
      <c r="EE34" s="116">
        <f>SUM(EA34:ED34)</f>
        <v/>
      </c>
      <c r="EO34" s="116">
        <f>IFERROR(LOOKUP(2,1/('DRAFT 2'!$D:$D=$B34)*('DRAFT 2'!$A:$A&gt;=DATE(2026,5,1))*('DRAFT 2'!$A:$A&lt;DATE(2026,IF(5=12,5+1,5+1),1)),'DRAFT 2'!$A:$A),"")</f>
        <v/>
      </c>
      <c r="EP34" s="116">
        <f>COUNTIFS('DRAFT 2'!$D:$D,$B34,'DRAFT 2'!$A:$A,"&gt;="&amp;DATE(2026,5,1),'DRAFT 2'!$A:$A,"&lt;="&amp;DATE(2026,5,7))</f>
        <v/>
      </c>
      <c r="EQ34" s="116">
        <f>COUNTIFS('DRAFT 2'!$D:$D,$B34,'DRAFT 2'!$A:$A,"&gt;="&amp;DATE(2026,5,8),'DRAFT 2'!$A:$A,"&lt;="&amp;DATE(2026,5,14))</f>
        <v/>
      </c>
      <c r="ER34" s="116">
        <f>COUNTIFS('DRAFT 2'!$D:$D,$B34,'DRAFT 2'!$A:$A,"&gt;="&amp;DATE(2026,5,15),'DRAFT 2'!$A:$A,"&lt;="&amp;DATE(2026,5,21))</f>
        <v/>
      </c>
      <c r="ES34" s="116">
        <f>COUNTIFS('DRAFT 2'!$D:$D,$B34,'DRAFT 2'!$A:$A,"&gt;="&amp;DATE(2026,5,22),'DRAFT 2'!$A:$A,"&lt;"&amp;DATE(2026,IF(5=12,5+1,5+1),1))</f>
        <v/>
      </c>
      <c r="ET34" s="116">
        <f>SUM(EP34:ES34)</f>
        <v/>
      </c>
      <c r="FD34" s="116">
        <f>IFERROR(LOOKUP(2,1/('DRAFT 2'!$D:$D=$B34)*('DRAFT 2'!$A:$A&gt;=DATE(2026,6,1))*('DRAFT 2'!$A:$A&lt;DATE(2026,IF(6=12,6+1,6+1),1)),'DRAFT 2'!$A:$A),"")</f>
        <v/>
      </c>
      <c r="FE34" s="116">
        <f>COUNTIFS('DRAFT 2'!$D:$D,$B34,'DRAFT 2'!$A:$A,"&gt;="&amp;DATE(2026,6,1),'DRAFT 2'!$A:$A,"&lt;="&amp;DATE(2026,6,7))</f>
        <v/>
      </c>
      <c r="FF34" s="116">
        <f>COUNTIFS('DRAFT 2'!$D:$D,$B34,'DRAFT 2'!$A:$A,"&gt;="&amp;DATE(2026,6,8),'DRAFT 2'!$A:$A,"&lt;="&amp;DATE(2026,6,14))</f>
        <v/>
      </c>
      <c r="FG34" s="116">
        <f>COUNTIFS('DRAFT 2'!$D:$D,$B34,'DRAFT 2'!$A:$A,"&gt;="&amp;DATE(2026,6,15),'DRAFT 2'!$A:$A,"&lt;="&amp;DATE(2026,6,21))</f>
        <v/>
      </c>
      <c r="FH34" s="116">
        <f>COUNTIFS('DRAFT 2'!$D:$D,$B34,'DRAFT 2'!$A:$A,"&gt;="&amp;DATE(2026,6,22),'DRAFT 2'!$A:$A,"&lt;"&amp;DATE(2026,IF(6=12,6+1,6+1),1))</f>
        <v/>
      </c>
      <c r="FI34" s="116">
        <f>SUM(FE34:FH34)</f>
        <v/>
      </c>
      <c r="FT34" s="116">
        <f>IFERROR(LOOKUP(2,1/('DRAFT 2'!$D:$D=$B34)*('DRAFT 2'!$A:$A&gt;=DATE(2026,7,1))*('DRAFT 2'!$A:$A&lt;DATE(2026,IF(7=12,7+1,7+1),1)),'DRAFT 2'!$A:$A),"")</f>
        <v/>
      </c>
      <c r="FU34" s="116">
        <f>COUNTIFS('DRAFT 2'!$D:$D,$B34,'DRAFT 2'!$A:$A,"&gt;="&amp;DATE(2026,7,1),'DRAFT 2'!$A:$A,"&lt;="&amp;DATE(2026,7,7))</f>
        <v/>
      </c>
      <c r="FV34" s="116">
        <f>COUNTIFS('DRAFT 2'!$D:$D,$B34,'DRAFT 2'!$A:$A,"&gt;="&amp;DATE(2026,7,8),'DRAFT 2'!$A:$A,"&lt;="&amp;DATE(2026,7,14))</f>
        <v/>
      </c>
      <c r="FW34" s="116">
        <f>COUNTIFS('DRAFT 2'!$D:$D,$B34,'DRAFT 2'!$A:$A,"&gt;="&amp;DATE(2026,7,15),'DRAFT 2'!$A:$A,"&lt;="&amp;DATE(2026,7,21))</f>
        <v/>
      </c>
      <c r="FX34" s="116">
        <f>COUNTIFS('DRAFT 2'!$D:$D,$B34,'DRAFT 2'!$A:$A,"&gt;="&amp;DATE(2026,7,22),'DRAFT 2'!$A:$A,"&lt;"&amp;DATE(2026,IF(7=12,7+1,7+1),1))</f>
        <v/>
      </c>
      <c r="FY34" s="116">
        <f>SUM(FU34:FX34)</f>
        <v/>
      </c>
      <c r="GI34" s="116">
        <f>IFERROR(LOOKUP(2,1/('DRAFT 2'!$D:$D=$B34)*('DRAFT 2'!$A:$A&gt;=DATE(2026,8,1))*('DRAFT 2'!$A:$A&lt;DATE(2026,IF(8=12,8+1,8+1),1)),'DRAFT 2'!$A:$A),"")</f>
        <v/>
      </c>
      <c r="GJ34" s="116">
        <f>COUNTIFS('DRAFT 2'!$D:$D,$B34,'DRAFT 2'!$A:$A,"&gt;="&amp;DATE(2026,8,1),'DRAFT 2'!$A:$A,"&lt;="&amp;DATE(2026,8,7))</f>
        <v/>
      </c>
      <c r="GK34" s="116">
        <f>COUNTIFS('DRAFT 2'!$D:$D,$B34,'DRAFT 2'!$A:$A,"&gt;="&amp;DATE(2026,8,8),'DRAFT 2'!$A:$A,"&lt;="&amp;DATE(2026,8,14))</f>
        <v/>
      </c>
      <c r="GL34" s="116">
        <f>COUNTIFS('DRAFT 2'!$D:$D,$B34,'DRAFT 2'!$A:$A,"&gt;="&amp;DATE(2026,8,15),'DRAFT 2'!$A:$A,"&lt;="&amp;DATE(2026,8,21))</f>
        <v/>
      </c>
      <c r="GM34" s="116">
        <f>COUNTIFS('DRAFT 2'!$D:$D,$B34,'DRAFT 2'!$A:$A,"&gt;="&amp;DATE(2026,8,22),'DRAFT 2'!$A:$A,"&lt;"&amp;DATE(2026,IF(8=12,8+1,8+1),1))</f>
        <v/>
      </c>
      <c r="GN34" s="116">
        <f>SUM(GJ34:GM34)</f>
        <v/>
      </c>
      <c r="GX34" s="116">
        <f>IFERROR(LOOKUP(2,1/('DRAFT 2'!$D:$D=$B34)*('DRAFT 2'!$A:$A&gt;=DATE(2026,9,1))*('DRAFT 2'!$A:$A&lt;DATE(2026,IF(9=12,9+1,9+1),1)),'DRAFT 2'!$A:$A),"")</f>
        <v/>
      </c>
      <c r="GY34" s="116">
        <f>COUNTIFS('DRAFT 2'!$D:$D,$B34,'DRAFT 2'!$A:$A,"&gt;="&amp;DATE(2026,9,1),'DRAFT 2'!$A:$A,"&lt;="&amp;DATE(2026,9,7))</f>
        <v/>
      </c>
      <c r="GZ34" s="116">
        <f>COUNTIFS('DRAFT 2'!$D:$D,$B34,'DRAFT 2'!$A:$A,"&gt;="&amp;DATE(2026,9,8),'DRAFT 2'!$A:$A,"&lt;="&amp;DATE(2026,9,14))</f>
        <v/>
      </c>
      <c r="HA34" s="116">
        <f>COUNTIFS('DRAFT 2'!$D:$D,$B34,'DRAFT 2'!$A:$A,"&gt;="&amp;DATE(2026,9,15),'DRAFT 2'!$A:$A,"&lt;="&amp;DATE(2026,9,21))</f>
        <v/>
      </c>
      <c r="HB34" s="116">
        <f>COUNTIFS('DRAFT 2'!$D:$D,$B34,'DRAFT 2'!$A:$A,"&gt;="&amp;DATE(2026,9,22),'DRAFT 2'!$A:$A,"&lt;"&amp;DATE(2026,IF(9=12,9+1,9+1),1))</f>
        <v/>
      </c>
      <c r="HC34" s="116">
        <f>SUM(GY34:HB34)</f>
        <v/>
      </c>
      <c r="HN34" s="116">
        <f>IFERROR(LOOKUP(2,1/('DRAFT 2'!$D:$D=$B34)*('DRAFT 2'!$A:$A&gt;=DATE(2026,10,1))*('DRAFT 2'!$A:$A&lt;DATE(2026,IF(10=12,10+1,10+1),1)),'DRAFT 2'!$A:$A),"")</f>
        <v/>
      </c>
      <c r="HO34" s="116">
        <f>COUNTIFS('DRAFT 2'!$D:$D,$B34,'DRAFT 2'!$A:$A,"&gt;="&amp;DATE(2026,10,1),'DRAFT 2'!$A:$A,"&lt;="&amp;DATE(2026,10,7))</f>
        <v/>
      </c>
      <c r="HP34" s="116">
        <f>COUNTIFS('DRAFT 2'!$D:$D,$B34,'DRAFT 2'!$A:$A,"&gt;="&amp;DATE(2026,10,8),'DRAFT 2'!$A:$A,"&lt;="&amp;DATE(2026,10,14))</f>
        <v/>
      </c>
      <c r="HQ34" s="116">
        <f>COUNTIFS('DRAFT 2'!$D:$D,$B34,'DRAFT 2'!$A:$A,"&gt;="&amp;DATE(2026,10,15),'DRAFT 2'!$A:$A,"&lt;="&amp;DATE(2026,10,21))</f>
        <v/>
      </c>
      <c r="HR34" s="116">
        <f>COUNTIFS('DRAFT 2'!$D:$D,$B34,'DRAFT 2'!$A:$A,"&gt;="&amp;DATE(2026,10,22),'DRAFT 2'!$A:$A,"&lt;"&amp;DATE(2026,IF(10=12,10+1,10+1),1))</f>
        <v/>
      </c>
      <c r="HS34" s="116">
        <f>SUM(HO34:HR34)</f>
        <v/>
      </c>
      <c r="IC34" s="116">
        <f>IFERROR(LOOKUP(2,1/('DRAFT 2'!$D:$D=$B34)*('DRAFT 2'!$A:$A&gt;=DATE(2026,11,1))*('DRAFT 2'!$A:$A&lt;DATE(2026,IF(11=12,11+1,11+1),1)),'DRAFT 2'!$A:$A),"")</f>
        <v/>
      </c>
      <c r="ID34" s="116">
        <f>COUNTIFS('DRAFT 2'!$D:$D,$B34,'DRAFT 2'!$A:$A,"&gt;="&amp;DATE(2026,11,1),'DRAFT 2'!$A:$A,"&lt;="&amp;DATE(2026,11,7))</f>
        <v/>
      </c>
      <c r="IE34" s="116">
        <f>COUNTIFS('DRAFT 2'!$D:$D,$B34,'DRAFT 2'!$A:$A,"&gt;="&amp;DATE(2026,11,8),'DRAFT 2'!$A:$A,"&lt;="&amp;DATE(2026,11,14))</f>
        <v/>
      </c>
      <c r="IF34" s="116">
        <f>COUNTIFS('DRAFT 2'!$D:$D,$B34,'DRAFT 2'!$A:$A,"&gt;="&amp;DATE(2026,11,15),'DRAFT 2'!$A:$A,"&lt;="&amp;DATE(2026,11,21))</f>
        <v/>
      </c>
      <c r="IG34" s="116">
        <f>COUNTIFS('DRAFT 2'!$D:$D,$B34,'DRAFT 2'!$A:$A,"&gt;="&amp;DATE(2026,11,22),'DRAFT 2'!$A:$A,"&lt;"&amp;DATE(2026,IF(11=12,11+1,11+1),1))</f>
        <v/>
      </c>
      <c r="IH34" s="116">
        <f>SUM(ID34:IG34)</f>
        <v/>
      </c>
      <c r="IR34" s="116">
        <f>IFERROR(LOOKUP(2,1/('DRAFT 2'!$D:$D=$B34)*('DRAFT 2'!$A:$A&gt;=DATE(2026,12,1))*('DRAFT 2'!$A:$A&lt;DATE(2026,IF(12=12,12+1,12+1),1)),'DRAFT 2'!$A:$A),"")</f>
        <v/>
      </c>
      <c r="IS34" s="116">
        <f>COUNTIFS('DRAFT 2'!$D:$D,$B34,'DRAFT 2'!$A:$A,"&gt;="&amp;DATE(2026,12,1),'DRAFT 2'!$A:$A,"&lt;="&amp;DATE(2026,12,7))</f>
        <v/>
      </c>
      <c r="IT34" s="116">
        <f>COUNTIFS('DRAFT 2'!$D:$D,$B34,'DRAFT 2'!$A:$A,"&gt;="&amp;DATE(2026,12,8),'DRAFT 2'!$A:$A,"&lt;="&amp;DATE(2026,12,14))</f>
        <v/>
      </c>
      <c r="IU34" s="116">
        <f>COUNTIFS('DRAFT 2'!$D:$D,$B34,'DRAFT 2'!$A:$A,"&gt;="&amp;DATE(2026,12,15),'DRAFT 2'!$A:$A,"&lt;="&amp;DATE(2026,12,21))</f>
        <v/>
      </c>
      <c r="IV34" s="116">
        <f>COUNTIFS('DRAFT 2'!$D:$D,$B34,'DRAFT 2'!$A:$A,"&gt;="&amp;DATE(2026,12,22),'DRAFT 2'!$A:$A,"&lt;"&amp;DATE(2026,IF(12=12,12+1,12+1),1))</f>
        <v/>
      </c>
      <c r="IW34" s="116">
        <f>SUM(IS34:IV34)</f>
        <v/>
      </c>
    </row>
    <row r="35">
      <c r="A35" s="116">
        <f>IFERROR(INDEX('DRAFT 1'!$A:$A,MATCH($B35,'DRAFT 1'!$B:$B,0)),"")</f>
        <v/>
      </c>
      <c r="C35" s="116">
        <f>IFERROR(INDEX('DRAFT 1'!$C:$C,MATCH($B35,'DRAFT 1'!$B:$B,0)),"")</f>
        <v/>
      </c>
      <c r="D35" s="116">
        <f>IFERROR(INDEX('DRAFT 1'!$D:$D,MATCH($B35,'DRAFT 1'!$B:$B,0)),"")</f>
        <v/>
      </c>
      <c r="E35" s="116">
        <f>IFERROR(INDEX('DRAFT 1'!$E:$E,MATCH($B35,'DRAFT 1'!$B:$B,0)),"")</f>
        <v/>
      </c>
      <c r="F35" s="116">
        <f>IFERROR(INDEX('DRAFT 1'!$F:$F,MATCH($B35,'DRAFT 1'!$B:$B,0)),"")</f>
        <v/>
      </c>
      <c r="G35" s="116">
        <f>IFERROR(INDEX('DRAFT 1'!$G:$G,MATCH($B35,'DRAFT 1'!$B:$B,0)),"")</f>
        <v/>
      </c>
      <c r="H35" s="116">
        <f>IFERROR(INDEX('DRAFT 1'!$H:$H,MATCH($B35,'DRAFT 1'!$B:$B,0)),"")</f>
        <v/>
      </c>
      <c r="I35" s="116" t="inlineStr">
        <is>
          <t>CIA DA SAUDE</t>
        </is>
      </c>
      <c r="K35" s="116">
        <f>IFERROR(INDEX('DRAFT 1'!$AL:$AL,MATCH($B35,'DRAFT 1'!$B:$B,0)),"")</f>
        <v/>
      </c>
      <c r="L35" s="116">
        <f>IFERROR(INDEX('DRAFT 1'!$J:$J,MATCH($B35,'DRAFT 1'!$B:$B,0)),"")</f>
        <v/>
      </c>
      <c r="M35" s="116">
        <f>IFERROR(INDEX('DRAFT 1'!$K:$K,MATCH($B35,'DRAFT 1'!$B:$B,0)),"")</f>
        <v/>
      </c>
      <c r="N35" s="116" t="inlineStr">
        <is>
          <t>ATIVO</t>
        </is>
      </c>
      <c r="P35" s="116">
        <f>IFERROR(INDEX('DRAFT 1'!$L:$L,MATCH($B35,'DRAFT 1'!$B:$B,0)),"")</f>
        <v/>
      </c>
      <c r="Q35" s="116">
        <f>IFERROR(INDEX('DRAFT 1'!$M:$M,MATCH($B35,'DRAFT 1'!$B:$B,0)),"")</f>
        <v/>
      </c>
      <c r="R35" s="116">
        <f>IFERROR(INDEX('DRAFT 1'!$N:$N,MATCH($B35,'DRAFT 1'!$B:$B,0)),"")</f>
        <v/>
      </c>
      <c r="S35" s="116">
        <f>IFERROR(INDEX('DRAFT 1'!$O:$O,MATCH($B35,'DRAFT 1'!$B:$B,0)),"")</f>
        <v/>
      </c>
      <c r="T35" s="116">
        <f>IFERROR(INDEX('DRAFT 1'!$P:$P,MATCH($B35,'DRAFT 1'!$B:$B,0)),"")</f>
        <v/>
      </c>
      <c r="U35" s="116">
        <f>IFERROR(INDEX('DRAFT 1'!$Q:$Q,MATCH($B35,'DRAFT 1'!$B:$B,0)),"")</f>
        <v/>
      </c>
      <c r="V35" s="116">
        <f>IFERROR(INDEX('DRAFT 1'!$R:$R,MATCH($B35,'DRAFT 1'!$B:$B,0)),"")</f>
        <v/>
      </c>
      <c r="W35" s="116">
        <f>IFERROR(INDEX('DRAFT 1'!$S:$S,MATCH($B35,'DRAFT 1'!$B:$B,0)),"")</f>
        <v/>
      </c>
      <c r="X35" s="116">
        <f>IFERROR(INDEX('DRAFT 1'!$T:$T,MATCH($B35,'DRAFT 1'!$B:$B,0)),"")</f>
        <v/>
      </c>
      <c r="Z35" s="116">
        <f>IFERROR(INDEX('DRAFT 1'!$U:$U,MATCH($B35,'DRAFT 1'!$B:$B,0)),"")</f>
        <v/>
      </c>
      <c r="AA35" s="116">
        <f>IFERROR(INDEX('DRAFT 1'!$V:$V,MATCH($B35,'DRAFT 1'!$B:$B,0)),"")</f>
        <v/>
      </c>
      <c r="AB35" s="116">
        <f>IFERROR(INDEX('DRAFT 1'!$W:$W,MATCH($B35,'DRAFT 1'!$B:$B,0)),"")</f>
        <v/>
      </c>
      <c r="AC35" s="116">
        <f>IFERROR(INDEX('DRAFT 1'!$X:$X,MATCH($B35,'DRAFT 1'!$B:$B,0)),"")</f>
        <v/>
      </c>
      <c r="AD35" s="116">
        <f>IFERROR(INDEX('DRAFT 1'!$Y:$Y,MATCH($B35,'DRAFT 1'!$B:$B,0)),"")</f>
        <v/>
      </c>
      <c r="AE35" s="116">
        <f>IFERROR(INDEX('DRAFT 1'!$Z:$Z,MATCH($B35,'DRAFT 1'!$B:$B,0)),"")</f>
        <v/>
      </c>
      <c r="AF35" s="116">
        <f>IFERROR(INDEX('DRAFT 1'!$AA:$AA,MATCH($B35,'DRAFT 1'!$B:$B,0)),"")</f>
        <v/>
      </c>
      <c r="AG35" s="116">
        <f>IFERROR(INDEX('DRAFT 1'!$AB:$AB,MATCH($B35,'DRAFT 1'!$B:$B,0)),"")</f>
        <v/>
      </c>
      <c r="AH35" s="116">
        <f>IFERROR(INDEX('DRAFT 1'!$AC:$AC,MATCH($B35,'DRAFT 1'!$B:$B,0)),"")</f>
        <v/>
      </c>
      <c r="AI35" s="116">
        <f>IFERROR(INDEX('DRAFT 1'!$AD:$AD,MATCH($B35,'DRAFT 1'!$B:$B,0)),"")</f>
        <v/>
      </c>
      <c r="AJ35" s="116">
        <f>IFERROR(INDEX('DRAFT 1'!$AE:$AE,MATCH($B35,'DRAFT 1'!$B:$B,0)),"")</f>
        <v/>
      </c>
      <c r="AK35" s="116">
        <f>IFERROR(INDEX('DRAFT 1'!$AG:$AG,MATCH($B35,'DRAFT 1'!$B:$B,0)),"")</f>
        <v/>
      </c>
      <c r="AL35" s="116">
        <f>IFERROR(INDEX('DRAFT 1'!$AH:$AH,MATCH($B35,'DRAFT 1'!$B:$B,0)),"")</f>
        <v/>
      </c>
      <c r="AM35" s="116">
        <f>IFERROR(INDEX('DRAFT 1'!$AI:$AI,MATCH($B35,'DRAFT 1'!$B:$B,0)),"")</f>
        <v/>
      </c>
      <c r="AN35" s="116">
        <f>IFERROR(INDEX('DRAFT 1'!$AJ:$AJ,MATCH($B35,'DRAFT 1'!$B:$B,0)),"")</f>
        <v/>
      </c>
      <c r="AO35" s="116">
        <f>IFERROR(Y35/AN35,0)</f>
        <v/>
      </c>
      <c r="AP35" s="116">
        <f>IFERROR(INDEX('DRAFT 1'!$AK:$AK,MATCH($B35,'DRAFT 1'!$B:$B,0)),"")</f>
        <v/>
      </c>
      <c r="AR35" s="116" t="inlineStr">
        <is>
          <t>RECOMPRA</t>
        </is>
      </c>
      <c r="AS35" s="116">
        <f>IFERROR(LOOKUP(2,1/('DRAFT 2'!$D:$D=$B35),'DRAFT 2'!$T:$T),"")</f>
        <v/>
      </c>
      <c r="AT35" s="116">
        <f>IFERROR(LOOKUP(2,1/('DRAFT 2'!$D:$D=$B35),'DRAFT 2'!$A:$A),"")</f>
        <v/>
      </c>
      <c r="AU35" s="116">
        <f>IFERROR(LOOKUP(2,1/('DRAFT 2'!$D:$D=$B35),'DRAFT 2'!$R:$R),"")</f>
        <v/>
      </c>
      <c r="AV35" s="116">
        <f>IFERROR(LOOKUP(2,1/('DRAFT 2'!$D:$D=$B35),'DRAFT 2'!$S:$S),"")</f>
        <v/>
      </c>
      <c r="AW35" s="116" t="inlineStr">
        <is>
          <t>FIDELIZADO</t>
        </is>
      </c>
      <c r="AX35" s="116">
        <f>IFERROR(LOOKUP(2,1/('DRAFT 2'!$D:$D=$B35),'DRAFT 2'!$M:$M),"")</f>
        <v/>
      </c>
      <c r="AY35" s="116">
        <f>IFERROR(LOOKUP(2,1/('DRAFT 2'!$D:$D=$B35),'DRAFT 2'!$K:$K),"")</f>
        <v/>
      </c>
      <c r="BG35" s="116">
        <f>IFERROR(LOOKUP(2,1/('DRAFT 2'!$D:$D=$B35),'DRAFT 2'!$U:$U),"")</f>
        <v/>
      </c>
      <c r="BH35" s="116">
        <f>IFERROR(LOOKUP(2,1/('DRAFT 2'!$D:$D=$B35),'DRAFT 2'!$V:$V),"")</f>
        <v/>
      </c>
      <c r="CE35" s="116">
        <f>IFERROR(AJ35,0)</f>
        <v/>
      </c>
      <c r="CF35" s="116">
        <f>IFERROR(LOOKUP(2,1/('DRAFT 2'!$D:$D=$B35)*('DRAFT 2'!$A:$A&gt;=DATE(2026,1,1))*('DRAFT 2'!$A:$A&lt;DATE(2026,IF(1=12,1+1,1+1),1)),'DRAFT 2'!$A:$A),"")</f>
        <v/>
      </c>
      <c r="CG35" s="116">
        <f>COUNTIFS('DRAFT 2'!$D:$D,$B35,'DRAFT 2'!$A:$A,"&gt;="&amp;DATE(2026,1,1),'DRAFT 2'!$A:$A,"&lt;="&amp;DATE(2026,1,7))</f>
        <v/>
      </c>
      <c r="CH35" s="116">
        <f>COUNTIFS('DRAFT 2'!$D:$D,$B35,'DRAFT 2'!$A:$A,"&gt;="&amp;DATE(2026,1,8),'DRAFT 2'!$A:$A,"&lt;="&amp;DATE(2026,1,14))</f>
        <v/>
      </c>
      <c r="CI35" s="116">
        <f>COUNTIFS('DRAFT 2'!$D:$D,$B35,'DRAFT 2'!$A:$A,"&gt;="&amp;DATE(2026,1,15),'DRAFT 2'!$A:$A,"&lt;="&amp;DATE(2026,1,21))</f>
        <v/>
      </c>
      <c r="CJ35" s="116">
        <f>COUNTIFS('DRAFT 2'!$D:$D,$B35,'DRAFT 2'!$A:$A,"&gt;="&amp;DATE(2026,1,22),'DRAFT 2'!$A:$A,"&lt;"&amp;DATE(2026,IF(1=12,1+1,1+1),1))</f>
        <v/>
      </c>
      <c r="CK35" s="116">
        <f>SUM(CG35:CJ35)</f>
        <v/>
      </c>
      <c r="CT35" s="116" t="n">
        <v>0</v>
      </c>
      <c r="CU35" s="116">
        <f>IFERROR(LOOKUP(2,1/('DRAFT 2'!$D:$D=$B35)*('DRAFT 2'!$A:$A&gt;=DATE(2026,2,1))*('DRAFT 2'!$A:$A&lt;DATE(2026,IF(2=12,2+1,2+1),1)),'DRAFT 2'!$A:$A),"")</f>
        <v/>
      </c>
      <c r="CV35" s="116">
        <f>COUNTIFS('DRAFT 2'!$D:$D,$B35,'DRAFT 2'!$A:$A,"&gt;="&amp;DATE(2026,2,1),'DRAFT 2'!$A:$A,"&lt;="&amp;DATE(2026,2,7))</f>
        <v/>
      </c>
      <c r="CW35" s="116">
        <f>COUNTIFS('DRAFT 2'!$D:$D,$B35,'DRAFT 2'!$A:$A,"&gt;="&amp;DATE(2026,2,8),'DRAFT 2'!$A:$A,"&lt;="&amp;DATE(2026,2,14))</f>
        <v/>
      </c>
      <c r="CX35" s="116">
        <f>COUNTIFS('DRAFT 2'!$D:$D,$B35,'DRAFT 2'!$A:$A,"&gt;="&amp;DATE(2026,2,15),'DRAFT 2'!$A:$A,"&lt;="&amp;DATE(2026,2,21))</f>
        <v/>
      </c>
      <c r="CY35" s="116">
        <f>COUNTIFS('DRAFT 2'!$D:$D,$B35,'DRAFT 2'!$A:$A,"&gt;="&amp;DATE(2026,2,22),'DRAFT 2'!$A:$A,"&lt;"&amp;DATE(2026,IF(2=12,2+1,2+1),1))</f>
        <v/>
      </c>
      <c r="CZ35" s="116">
        <f>SUM(CV35:CY35)</f>
        <v/>
      </c>
      <c r="DJ35" s="116">
        <f>IFERROR(LOOKUP(2,1/('DRAFT 2'!$D:$D=$B35)*('DRAFT 2'!$A:$A&gt;=DATE(2026,3,1))*('DRAFT 2'!$A:$A&lt;DATE(2026,IF(3=12,3+1,3+1),1)),'DRAFT 2'!$A:$A),"")</f>
        <v/>
      </c>
      <c r="DK35" s="116">
        <f>COUNTIFS('DRAFT 2'!$D:$D,$B35,'DRAFT 2'!$A:$A,"&gt;="&amp;DATE(2026,3,1),'DRAFT 2'!$A:$A,"&lt;="&amp;DATE(2026,3,7))</f>
        <v/>
      </c>
      <c r="DL35" s="116">
        <f>COUNTIFS('DRAFT 2'!$D:$D,$B35,'DRAFT 2'!$A:$A,"&gt;="&amp;DATE(2026,3,8),'DRAFT 2'!$A:$A,"&lt;="&amp;DATE(2026,3,14))</f>
        <v/>
      </c>
      <c r="DM35" s="116">
        <f>COUNTIFS('DRAFT 2'!$D:$D,$B35,'DRAFT 2'!$A:$A,"&gt;="&amp;DATE(2026,3,15),'DRAFT 2'!$A:$A,"&lt;="&amp;DATE(2026,3,21))</f>
        <v/>
      </c>
      <c r="DN35" s="116">
        <f>COUNTIFS('DRAFT 2'!$D:$D,$B35,'DRAFT 2'!$A:$A,"&gt;="&amp;DATE(2026,3,22),'DRAFT 2'!$A:$A,"&lt;"&amp;DATE(2026,IF(3=12,3+1,3+1),1))</f>
        <v/>
      </c>
      <c r="DO35" s="116">
        <f>SUM(DK35:DN35)</f>
        <v/>
      </c>
      <c r="DZ35" s="116">
        <f>IFERROR(LOOKUP(2,1/('DRAFT 2'!$D:$D=$B35)*('DRAFT 2'!$A:$A&gt;=DATE(2026,4,1))*('DRAFT 2'!$A:$A&lt;DATE(2026,IF(4=12,4+1,4+1),1)),'DRAFT 2'!$A:$A),"")</f>
        <v/>
      </c>
      <c r="EA35" s="116">
        <f>COUNTIFS('DRAFT 2'!$D:$D,$B35,'DRAFT 2'!$A:$A,"&gt;="&amp;DATE(2026,4,1),'DRAFT 2'!$A:$A,"&lt;="&amp;DATE(2026,4,7))</f>
        <v/>
      </c>
      <c r="EB35" s="116">
        <f>COUNTIFS('DRAFT 2'!$D:$D,$B35,'DRAFT 2'!$A:$A,"&gt;="&amp;DATE(2026,4,8),'DRAFT 2'!$A:$A,"&lt;="&amp;DATE(2026,4,14))</f>
        <v/>
      </c>
      <c r="EC35" s="116">
        <f>COUNTIFS('DRAFT 2'!$D:$D,$B35,'DRAFT 2'!$A:$A,"&gt;="&amp;DATE(2026,4,15),'DRAFT 2'!$A:$A,"&lt;="&amp;DATE(2026,4,21))</f>
        <v/>
      </c>
      <c r="ED35" s="116">
        <f>COUNTIFS('DRAFT 2'!$D:$D,$B35,'DRAFT 2'!$A:$A,"&gt;="&amp;DATE(2026,4,22),'DRAFT 2'!$A:$A,"&lt;"&amp;DATE(2026,IF(4=12,4+1,4+1),1))</f>
        <v/>
      </c>
      <c r="EE35" s="116">
        <f>SUM(EA35:ED35)</f>
        <v/>
      </c>
      <c r="EO35" s="116">
        <f>IFERROR(LOOKUP(2,1/('DRAFT 2'!$D:$D=$B35)*('DRAFT 2'!$A:$A&gt;=DATE(2026,5,1))*('DRAFT 2'!$A:$A&lt;DATE(2026,IF(5=12,5+1,5+1),1)),'DRAFT 2'!$A:$A),"")</f>
        <v/>
      </c>
      <c r="EP35" s="116">
        <f>COUNTIFS('DRAFT 2'!$D:$D,$B35,'DRAFT 2'!$A:$A,"&gt;="&amp;DATE(2026,5,1),'DRAFT 2'!$A:$A,"&lt;="&amp;DATE(2026,5,7))</f>
        <v/>
      </c>
      <c r="EQ35" s="116">
        <f>COUNTIFS('DRAFT 2'!$D:$D,$B35,'DRAFT 2'!$A:$A,"&gt;="&amp;DATE(2026,5,8),'DRAFT 2'!$A:$A,"&lt;="&amp;DATE(2026,5,14))</f>
        <v/>
      </c>
      <c r="ER35" s="116">
        <f>COUNTIFS('DRAFT 2'!$D:$D,$B35,'DRAFT 2'!$A:$A,"&gt;="&amp;DATE(2026,5,15),'DRAFT 2'!$A:$A,"&lt;="&amp;DATE(2026,5,21))</f>
        <v/>
      </c>
      <c r="ES35" s="116">
        <f>COUNTIFS('DRAFT 2'!$D:$D,$B35,'DRAFT 2'!$A:$A,"&gt;="&amp;DATE(2026,5,22),'DRAFT 2'!$A:$A,"&lt;"&amp;DATE(2026,IF(5=12,5+1,5+1),1))</f>
        <v/>
      </c>
      <c r="ET35" s="116">
        <f>SUM(EP35:ES35)</f>
        <v/>
      </c>
      <c r="FD35" s="116">
        <f>IFERROR(LOOKUP(2,1/('DRAFT 2'!$D:$D=$B35)*('DRAFT 2'!$A:$A&gt;=DATE(2026,6,1))*('DRAFT 2'!$A:$A&lt;DATE(2026,IF(6=12,6+1,6+1),1)),'DRAFT 2'!$A:$A),"")</f>
        <v/>
      </c>
      <c r="FE35" s="116">
        <f>COUNTIFS('DRAFT 2'!$D:$D,$B35,'DRAFT 2'!$A:$A,"&gt;="&amp;DATE(2026,6,1),'DRAFT 2'!$A:$A,"&lt;="&amp;DATE(2026,6,7))</f>
        <v/>
      </c>
      <c r="FF35" s="116">
        <f>COUNTIFS('DRAFT 2'!$D:$D,$B35,'DRAFT 2'!$A:$A,"&gt;="&amp;DATE(2026,6,8),'DRAFT 2'!$A:$A,"&lt;="&amp;DATE(2026,6,14))</f>
        <v/>
      </c>
      <c r="FG35" s="116">
        <f>COUNTIFS('DRAFT 2'!$D:$D,$B35,'DRAFT 2'!$A:$A,"&gt;="&amp;DATE(2026,6,15),'DRAFT 2'!$A:$A,"&lt;="&amp;DATE(2026,6,21))</f>
        <v/>
      </c>
      <c r="FH35" s="116">
        <f>COUNTIFS('DRAFT 2'!$D:$D,$B35,'DRAFT 2'!$A:$A,"&gt;="&amp;DATE(2026,6,22),'DRAFT 2'!$A:$A,"&lt;"&amp;DATE(2026,IF(6=12,6+1,6+1),1))</f>
        <v/>
      </c>
      <c r="FI35" s="116">
        <f>SUM(FE35:FH35)</f>
        <v/>
      </c>
      <c r="FT35" s="116">
        <f>IFERROR(LOOKUP(2,1/('DRAFT 2'!$D:$D=$B35)*('DRAFT 2'!$A:$A&gt;=DATE(2026,7,1))*('DRAFT 2'!$A:$A&lt;DATE(2026,IF(7=12,7+1,7+1),1)),'DRAFT 2'!$A:$A),"")</f>
        <v/>
      </c>
      <c r="FU35" s="116">
        <f>COUNTIFS('DRAFT 2'!$D:$D,$B35,'DRAFT 2'!$A:$A,"&gt;="&amp;DATE(2026,7,1),'DRAFT 2'!$A:$A,"&lt;="&amp;DATE(2026,7,7))</f>
        <v/>
      </c>
      <c r="FV35" s="116">
        <f>COUNTIFS('DRAFT 2'!$D:$D,$B35,'DRAFT 2'!$A:$A,"&gt;="&amp;DATE(2026,7,8),'DRAFT 2'!$A:$A,"&lt;="&amp;DATE(2026,7,14))</f>
        <v/>
      </c>
      <c r="FW35" s="116">
        <f>COUNTIFS('DRAFT 2'!$D:$D,$B35,'DRAFT 2'!$A:$A,"&gt;="&amp;DATE(2026,7,15),'DRAFT 2'!$A:$A,"&lt;="&amp;DATE(2026,7,21))</f>
        <v/>
      </c>
      <c r="FX35" s="116">
        <f>COUNTIFS('DRAFT 2'!$D:$D,$B35,'DRAFT 2'!$A:$A,"&gt;="&amp;DATE(2026,7,22),'DRAFT 2'!$A:$A,"&lt;"&amp;DATE(2026,IF(7=12,7+1,7+1),1))</f>
        <v/>
      </c>
      <c r="FY35" s="116">
        <f>SUM(FU35:FX35)</f>
        <v/>
      </c>
      <c r="GI35" s="116">
        <f>IFERROR(LOOKUP(2,1/('DRAFT 2'!$D:$D=$B35)*('DRAFT 2'!$A:$A&gt;=DATE(2026,8,1))*('DRAFT 2'!$A:$A&lt;DATE(2026,IF(8=12,8+1,8+1),1)),'DRAFT 2'!$A:$A),"")</f>
        <v/>
      </c>
      <c r="GJ35" s="116">
        <f>COUNTIFS('DRAFT 2'!$D:$D,$B35,'DRAFT 2'!$A:$A,"&gt;="&amp;DATE(2026,8,1),'DRAFT 2'!$A:$A,"&lt;="&amp;DATE(2026,8,7))</f>
        <v/>
      </c>
      <c r="GK35" s="116">
        <f>COUNTIFS('DRAFT 2'!$D:$D,$B35,'DRAFT 2'!$A:$A,"&gt;="&amp;DATE(2026,8,8),'DRAFT 2'!$A:$A,"&lt;="&amp;DATE(2026,8,14))</f>
        <v/>
      </c>
      <c r="GL35" s="116">
        <f>COUNTIFS('DRAFT 2'!$D:$D,$B35,'DRAFT 2'!$A:$A,"&gt;="&amp;DATE(2026,8,15),'DRAFT 2'!$A:$A,"&lt;="&amp;DATE(2026,8,21))</f>
        <v/>
      </c>
      <c r="GM35" s="116">
        <f>COUNTIFS('DRAFT 2'!$D:$D,$B35,'DRAFT 2'!$A:$A,"&gt;="&amp;DATE(2026,8,22),'DRAFT 2'!$A:$A,"&lt;"&amp;DATE(2026,IF(8=12,8+1,8+1),1))</f>
        <v/>
      </c>
      <c r="GN35" s="116">
        <f>SUM(GJ35:GM35)</f>
        <v/>
      </c>
      <c r="GX35" s="116">
        <f>IFERROR(LOOKUP(2,1/('DRAFT 2'!$D:$D=$B35)*('DRAFT 2'!$A:$A&gt;=DATE(2026,9,1))*('DRAFT 2'!$A:$A&lt;DATE(2026,IF(9=12,9+1,9+1),1)),'DRAFT 2'!$A:$A),"")</f>
        <v/>
      </c>
      <c r="GY35" s="116">
        <f>COUNTIFS('DRAFT 2'!$D:$D,$B35,'DRAFT 2'!$A:$A,"&gt;="&amp;DATE(2026,9,1),'DRAFT 2'!$A:$A,"&lt;="&amp;DATE(2026,9,7))</f>
        <v/>
      </c>
      <c r="GZ35" s="116">
        <f>COUNTIFS('DRAFT 2'!$D:$D,$B35,'DRAFT 2'!$A:$A,"&gt;="&amp;DATE(2026,9,8),'DRAFT 2'!$A:$A,"&lt;="&amp;DATE(2026,9,14))</f>
        <v/>
      </c>
      <c r="HA35" s="116">
        <f>COUNTIFS('DRAFT 2'!$D:$D,$B35,'DRAFT 2'!$A:$A,"&gt;="&amp;DATE(2026,9,15),'DRAFT 2'!$A:$A,"&lt;="&amp;DATE(2026,9,21))</f>
        <v/>
      </c>
      <c r="HB35" s="116">
        <f>COUNTIFS('DRAFT 2'!$D:$D,$B35,'DRAFT 2'!$A:$A,"&gt;="&amp;DATE(2026,9,22),'DRAFT 2'!$A:$A,"&lt;"&amp;DATE(2026,IF(9=12,9+1,9+1),1))</f>
        <v/>
      </c>
      <c r="HC35" s="116">
        <f>SUM(GY35:HB35)</f>
        <v/>
      </c>
      <c r="HN35" s="116">
        <f>IFERROR(LOOKUP(2,1/('DRAFT 2'!$D:$D=$B35)*('DRAFT 2'!$A:$A&gt;=DATE(2026,10,1))*('DRAFT 2'!$A:$A&lt;DATE(2026,IF(10=12,10+1,10+1),1)),'DRAFT 2'!$A:$A),"")</f>
        <v/>
      </c>
      <c r="HO35" s="116">
        <f>COUNTIFS('DRAFT 2'!$D:$D,$B35,'DRAFT 2'!$A:$A,"&gt;="&amp;DATE(2026,10,1),'DRAFT 2'!$A:$A,"&lt;="&amp;DATE(2026,10,7))</f>
        <v/>
      </c>
      <c r="HP35" s="116">
        <f>COUNTIFS('DRAFT 2'!$D:$D,$B35,'DRAFT 2'!$A:$A,"&gt;="&amp;DATE(2026,10,8),'DRAFT 2'!$A:$A,"&lt;="&amp;DATE(2026,10,14))</f>
        <v/>
      </c>
      <c r="HQ35" s="116">
        <f>COUNTIFS('DRAFT 2'!$D:$D,$B35,'DRAFT 2'!$A:$A,"&gt;="&amp;DATE(2026,10,15),'DRAFT 2'!$A:$A,"&lt;="&amp;DATE(2026,10,21))</f>
        <v/>
      </c>
      <c r="HR35" s="116">
        <f>COUNTIFS('DRAFT 2'!$D:$D,$B35,'DRAFT 2'!$A:$A,"&gt;="&amp;DATE(2026,10,22),'DRAFT 2'!$A:$A,"&lt;"&amp;DATE(2026,IF(10=12,10+1,10+1),1))</f>
        <v/>
      </c>
      <c r="HS35" s="116">
        <f>SUM(HO35:HR35)</f>
        <v/>
      </c>
      <c r="IC35" s="116">
        <f>IFERROR(LOOKUP(2,1/('DRAFT 2'!$D:$D=$B35)*('DRAFT 2'!$A:$A&gt;=DATE(2026,11,1))*('DRAFT 2'!$A:$A&lt;DATE(2026,IF(11=12,11+1,11+1),1)),'DRAFT 2'!$A:$A),"")</f>
        <v/>
      </c>
      <c r="ID35" s="116">
        <f>COUNTIFS('DRAFT 2'!$D:$D,$B35,'DRAFT 2'!$A:$A,"&gt;="&amp;DATE(2026,11,1),'DRAFT 2'!$A:$A,"&lt;="&amp;DATE(2026,11,7))</f>
        <v/>
      </c>
      <c r="IE35" s="116">
        <f>COUNTIFS('DRAFT 2'!$D:$D,$B35,'DRAFT 2'!$A:$A,"&gt;="&amp;DATE(2026,11,8),'DRAFT 2'!$A:$A,"&lt;="&amp;DATE(2026,11,14))</f>
        <v/>
      </c>
      <c r="IF35" s="116">
        <f>COUNTIFS('DRAFT 2'!$D:$D,$B35,'DRAFT 2'!$A:$A,"&gt;="&amp;DATE(2026,11,15),'DRAFT 2'!$A:$A,"&lt;="&amp;DATE(2026,11,21))</f>
        <v/>
      </c>
      <c r="IG35" s="116">
        <f>COUNTIFS('DRAFT 2'!$D:$D,$B35,'DRAFT 2'!$A:$A,"&gt;="&amp;DATE(2026,11,22),'DRAFT 2'!$A:$A,"&lt;"&amp;DATE(2026,IF(11=12,11+1,11+1),1))</f>
        <v/>
      </c>
      <c r="IH35" s="116">
        <f>SUM(ID35:IG35)</f>
        <v/>
      </c>
      <c r="IR35" s="116">
        <f>IFERROR(LOOKUP(2,1/('DRAFT 2'!$D:$D=$B35)*('DRAFT 2'!$A:$A&gt;=DATE(2026,12,1))*('DRAFT 2'!$A:$A&lt;DATE(2026,IF(12=12,12+1,12+1),1)),'DRAFT 2'!$A:$A),"")</f>
        <v/>
      </c>
      <c r="IS35" s="116">
        <f>COUNTIFS('DRAFT 2'!$D:$D,$B35,'DRAFT 2'!$A:$A,"&gt;="&amp;DATE(2026,12,1),'DRAFT 2'!$A:$A,"&lt;="&amp;DATE(2026,12,7))</f>
        <v/>
      </c>
      <c r="IT35" s="116">
        <f>COUNTIFS('DRAFT 2'!$D:$D,$B35,'DRAFT 2'!$A:$A,"&gt;="&amp;DATE(2026,12,8),'DRAFT 2'!$A:$A,"&lt;="&amp;DATE(2026,12,14))</f>
        <v/>
      </c>
      <c r="IU35" s="116">
        <f>COUNTIFS('DRAFT 2'!$D:$D,$B35,'DRAFT 2'!$A:$A,"&gt;="&amp;DATE(2026,12,15),'DRAFT 2'!$A:$A,"&lt;="&amp;DATE(2026,12,21))</f>
        <v/>
      </c>
      <c r="IV35" s="116">
        <f>COUNTIFS('DRAFT 2'!$D:$D,$B35,'DRAFT 2'!$A:$A,"&gt;="&amp;DATE(2026,12,22),'DRAFT 2'!$A:$A,"&lt;"&amp;DATE(2026,IF(12=12,12+1,12+1),1))</f>
        <v/>
      </c>
      <c r="IW35" s="116">
        <f>SUM(IS35:IV35)</f>
        <v/>
      </c>
    </row>
    <row r="36">
      <c r="A36" s="116">
        <f>IFERROR(INDEX('DRAFT 1'!$A:$A,MATCH($B36,'DRAFT 1'!$B:$B,0)),"")</f>
        <v/>
      </c>
      <c r="C36" s="116">
        <f>IFERROR(INDEX('DRAFT 1'!$C:$C,MATCH($B36,'DRAFT 1'!$B:$B,0)),"")</f>
        <v/>
      </c>
      <c r="D36" s="116">
        <f>IFERROR(INDEX('DRAFT 1'!$D:$D,MATCH($B36,'DRAFT 1'!$B:$B,0)),"")</f>
        <v/>
      </c>
      <c r="E36" s="116">
        <f>IFERROR(INDEX('DRAFT 1'!$E:$E,MATCH($B36,'DRAFT 1'!$B:$B,0)),"")</f>
        <v/>
      </c>
      <c r="F36" s="116">
        <f>IFERROR(INDEX('DRAFT 1'!$F:$F,MATCH($B36,'DRAFT 1'!$B:$B,0)),"")</f>
        <v/>
      </c>
      <c r="G36" s="116">
        <f>IFERROR(INDEX('DRAFT 1'!$G:$G,MATCH($B36,'DRAFT 1'!$B:$B,0)),"")</f>
        <v/>
      </c>
      <c r="H36" s="116">
        <f>IFERROR(INDEX('DRAFT 1'!$H:$H,MATCH($B36,'DRAFT 1'!$B:$B,0)),"")</f>
        <v/>
      </c>
      <c r="I36" s="116" t="inlineStr">
        <is>
          <t>CIA DA SAUDE</t>
        </is>
      </c>
      <c r="K36" s="116">
        <f>IFERROR(INDEX('DRAFT 1'!$AL:$AL,MATCH($B36,'DRAFT 1'!$B:$B,0)),"")</f>
        <v/>
      </c>
      <c r="L36" s="116">
        <f>IFERROR(INDEX('DRAFT 1'!$J:$J,MATCH($B36,'DRAFT 1'!$B:$B,0)),"")</f>
        <v/>
      </c>
      <c r="M36" s="116">
        <f>IFERROR(INDEX('DRAFT 1'!$K:$K,MATCH($B36,'DRAFT 1'!$B:$B,0)),"")</f>
        <v/>
      </c>
      <c r="N36" s="116" t="inlineStr">
        <is>
          <t>EM RISCO</t>
        </is>
      </c>
      <c r="P36" s="116">
        <f>IFERROR(INDEX('DRAFT 1'!$L:$L,MATCH($B36,'DRAFT 1'!$B:$B,0)),"")</f>
        <v/>
      </c>
      <c r="Q36" s="116">
        <f>IFERROR(INDEX('DRAFT 1'!$M:$M,MATCH($B36,'DRAFT 1'!$B:$B,0)),"")</f>
        <v/>
      </c>
      <c r="R36" s="116">
        <f>IFERROR(INDEX('DRAFT 1'!$N:$N,MATCH($B36,'DRAFT 1'!$B:$B,0)),"")</f>
        <v/>
      </c>
      <c r="S36" s="116">
        <f>IFERROR(INDEX('DRAFT 1'!$O:$O,MATCH($B36,'DRAFT 1'!$B:$B,0)),"")</f>
        <v/>
      </c>
      <c r="T36" s="116">
        <f>IFERROR(INDEX('DRAFT 1'!$P:$P,MATCH($B36,'DRAFT 1'!$B:$B,0)),"")</f>
        <v/>
      </c>
      <c r="U36" s="116">
        <f>IFERROR(INDEX('DRAFT 1'!$Q:$Q,MATCH($B36,'DRAFT 1'!$B:$B,0)),"")</f>
        <v/>
      </c>
      <c r="V36" s="116">
        <f>IFERROR(INDEX('DRAFT 1'!$R:$R,MATCH($B36,'DRAFT 1'!$B:$B,0)),"")</f>
        <v/>
      </c>
      <c r="W36" s="116">
        <f>IFERROR(INDEX('DRAFT 1'!$S:$S,MATCH($B36,'DRAFT 1'!$B:$B,0)),"")</f>
        <v/>
      </c>
      <c r="X36" s="116">
        <f>IFERROR(INDEX('DRAFT 1'!$T:$T,MATCH($B36,'DRAFT 1'!$B:$B,0)),"")</f>
        <v/>
      </c>
      <c r="Z36" s="116">
        <f>IFERROR(INDEX('DRAFT 1'!$U:$U,MATCH($B36,'DRAFT 1'!$B:$B,0)),"")</f>
        <v/>
      </c>
      <c r="AA36" s="116">
        <f>IFERROR(INDEX('DRAFT 1'!$V:$V,MATCH($B36,'DRAFT 1'!$B:$B,0)),"")</f>
        <v/>
      </c>
      <c r="AB36" s="116">
        <f>IFERROR(INDEX('DRAFT 1'!$W:$W,MATCH($B36,'DRAFT 1'!$B:$B,0)),"")</f>
        <v/>
      </c>
      <c r="AC36" s="116">
        <f>IFERROR(INDEX('DRAFT 1'!$X:$X,MATCH($B36,'DRAFT 1'!$B:$B,0)),"")</f>
        <v/>
      </c>
      <c r="AD36" s="116">
        <f>IFERROR(INDEX('DRAFT 1'!$Y:$Y,MATCH($B36,'DRAFT 1'!$B:$B,0)),"")</f>
        <v/>
      </c>
      <c r="AE36" s="116">
        <f>IFERROR(INDEX('DRAFT 1'!$Z:$Z,MATCH($B36,'DRAFT 1'!$B:$B,0)),"")</f>
        <v/>
      </c>
      <c r="AF36" s="116">
        <f>IFERROR(INDEX('DRAFT 1'!$AA:$AA,MATCH($B36,'DRAFT 1'!$B:$B,0)),"")</f>
        <v/>
      </c>
      <c r="AG36" s="116">
        <f>IFERROR(INDEX('DRAFT 1'!$AB:$AB,MATCH($B36,'DRAFT 1'!$B:$B,0)),"")</f>
        <v/>
      </c>
      <c r="AH36" s="116">
        <f>IFERROR(INDEX('DRAFT 1'!$AC:$AC,MATCH($B36,'DRAFT 1'!$B:$B,0)),"")</f>
        <v/>
      </c>
      <c r="AI36" s="116">
        <f>IFERROR(INDEX('DRAFT 1'!$AD:$AD,MATCH($B36,'DRAFT 1'!$B:$B,0)),"")</f>
        <v/>
      </c>
      <c r="AJ36" s="116">
        <f>IFERROR(INDEX('DRAFT 1'!$AE:$AE,MATCH($B36,'DRAFT 1'!$B:$B,0)),"")</f>
        <v/>
      </c>
      <c r="AK36" s="116">
        <f>IFERROR(INDEX('DRAFT 1'!$AG:$AG,MATCH($B36,'DRAFT 1'!$B:$B,0)),"")</f>
        <v/>
      </c>
      <c r="AL36" s="116">
        <f>IFERROR(INDEX('DRAFT 1'!$AH:$AH,MATCH($B36,'DRAFT 1'!$B:$B,0)),"")</f>
        <v/>
      </c>
      <c r="AM36" s="116">
        <f>IFERROR(INDEX('DRAFT 1'!$AI:$AI,MATCH($B36,'DRAFT 1'!$B:$B,0)),"")</f>
        <v/>
      </c>
      <c r="AN36" s="116">
        <f>IFERROR(INDEX('DRAFT 1'!$AJ:$AJ,MATCH($B36,'DRAFT 1'!$B:$B,0)),"")</f>
        <v/>
      </c>
      <c r="AO36" s="116">
        <f>IFERROR(Y36/AN36,0)</f>
        <v/>
      </c>
      <c r="AP36" s="116">
        <f>IFERROR(INDEX('DRAFT 1'!$AK:$AK,MATCH($B36,'DRAFT 1'!$B:$B,0)),"")</f>
        <v/>
      </c>
      <c r="AR36" s="116" t="inlineStr">
        <is>
          <t>CS</t>
        </is>
      </c>
      <c r="AS36" s="116">
        <f>IFERROR(LOOKUP(2,1/('DRAFT 2'!$D:$D=$B36),'DRAFT 2'!$T:$T),"")</f>
        <v/>
      </c>
      <c r="AT36" s="116">
        <f>IFERROR(LOOKUP(2,1/('DRAFT 2'!$D:$D=$B36),'DRAFT 2'!$A:$A),"")</f>
        <v/>
      </c>
      <c r="AU36" s="116">
        <f>IFERROR(LOOKUP(2,1/('DRAFT 2'!$D:$D=$B36),'DRAFT 2'!$R:$R),"")</f>
        <v/>
      </c>
      <c r="AV36" s="116">
        <f>IFERROR(LOOKUP(2,1/('DRAFT 2'!$D:$D=$B36),'DRAFT 2'!$S:$S),"")</f>
        <v/>
      </c>
      <c r="AW36" s="116" t="inlineStr">
        <is>
          <t>FIDELIZADO</t>
        </is>
      </c>
      <c r="AX36" s="116">
        <f>IFERROR(LOOKUP(2,1/('DRAFT 2'!$D:$D=$B36),'DRAFT 2'!$M:$M),"")</f>
        <v/>
      </c>
      <c r="AY36" s="116">
        <f>IFERROR(LOOKUP(2,1/('DRAFT 2'!$D:$D=$B36),'DRAFT 2'!$K:$K),"")</f>
        <v/>
      </c>
      <c r="BG36" s="116">
        <f>IFERROR(LOOKUP(2,1/('DRAFT 2'!$D:$D=$B36),'DRAFT 2'!$U:$U),"")</f>
        <v/>
      </c>
      <c r="BH36" s="116">
        <f>IFERROR(LOOKUP(2,1/('DRAFT 2'!$D:$D=$B36),'DRAFT 2'!$V:$V),"")</f>
        <v/>
      </c>
      <c r="CE36" s="116">
        <f>IFERROR(AJ36,0)</f>
        <v/>
      </c>
      <c r="CF36" s="116">
        <f>IFERROR(LOOKUP(2,1/('DRAFT 2'!$D:$D=$B36)*('DRAFT 2'!$A:$A&gt;=DATE(2026,1,1))*('DRAFT 2'!$A:$A&lt;DATE(2026,IF(1=12,1+1,1+1),1)),'DRAFT 2'!$A:$A),"")</f>
        <v/>
      </c>
      <c r="CG36" s="116">
        <f>COUNTIFS('DRAFT 2'!$D:$D,$B36,'DRAFT 2'!$A:$A,"&gt;="&amp;DATE(2026,1,1),'DRAFT 2'!$A:$A,"&lt;="&amp;DATE(2026,1,7))</f>
        <v/>
      </c>
      <c r="CH36" s="116">
        <f>COUNTIFS('DRAFT 2'!$D:$D,$B36,'DRAFT 2'!$A:$A,"&gt;="&amp;DATE(2026,1,8),'DRAFT 2'!$A:$A,"&lt;="&amp;DATE(2026,1,14))</f>
        <v/>
      </c>
      <c r="CI36" s="116">
        <f>COUNTIFS('DRAFT 2'!$D:$D,$B36,'DRAFT 2'!$A:$A,"&gt;="&amp;DATE(2026,1,15),'DRAFT 2'!$A:$A,"&lt;="&amp;DATE(2026,1,21))</f>
        <v/>
      </c>
      <c r="CJ36" s="116">
        <f>COUNTIFS('DRAFT 2'!$D:$D,$B36,'DRAFT 2'!$A:$A,"&gt;="&amp;DATE(2026,1,22),'DRAFT 2'!$A:$A,"&lt;"&amp;DATE(2026,IF(1=12,1+1,1+1),1))</f>
        <v/>
      </c>
      <c r="CK36" s="116">
        <f>SUM(CG36:CJ36)</f>
        <v/>
      </c>
      <c r="CT36" s="116" t="n">
        <v>0</v>
      </c>
      <c r="CU36" s="116">
        <f>IFERROR(LOOKUP(2,1/('DRAFT 2'!$D:$D=$B36)*('DRAFT 2'!$A:$A&gt;=DATE(2026,2,1))*('DRAFT 2'!$A:$A&lt;DATE(2026,IF(2=12,2+1,2+1),1)),'DRAFT 2'!$A:$A),"")</f>
        <v/>
      </c>
      <c r="CV36" s="116">
        <f>COUNTIFS('DRAFT 2'!$D:$D,$B36,'DRAFT 2'!$A:$A,"&gt;="&amp;DATE(2026,2,1),'DRAFT 2'!$A:$A,"&lt;="&amp;DATE(2026,2,7))</f>
        <v/>
      </c>
      <c r="CW36" s="116">
        <f>COUNTIFS('DRAFT 2'!$D:$D,$B36,'DRAFT 2'!$A:$A,"&gt;="&amp;DATE(2026,2,8),'DRAFT 2'!$A:$A,"&lt;="&amp;DATE(2026,2,14))</f>
        <v/>
      </c>
      <c r="CX36" s="116">
        <f>COUNTIFS('DRAFT 2'!$D:$D,$B36,'DRAFT 2'!$A:$A,"&gt;="&amp;DATE(2026,2,15),'DRAFT 2'!$A:$A,"&lt;="&amp;DATE(2026,2,21))</f>
        <v/>
      </c>
      <c r="CY36" s="116">
        <f>COUNTIFS('DRAFT 2'!$D:$D,$B36,'DRAFT 2'!$A:$A,"&gt;="&amp;DATE(2026,2,22),'DRAFT 2'!$A:$A,"&lt;"&amp;DATE(2026,IF(2=12,2+1,2+1),1))</f>
        <v/>
      </c>
      <c r="CZ36" s="116">
        <f>SUM(CV36:CY36)</f>
        <v/>
      </c>
      <c r="DJ36" s="116">
        <f>IFERROR(LOOKUP(2,1/('DRAFT 2'!$D:$D=$B36)*('DRAFT 2'!$A:$A&gt;=DATE(2026,3,1))*('DRAFT 2'!$A:$A&lt;DATE(2026,IF(3=12,3+1,3+1),1)),'DRAFT 2'!$A:$A),"")</f>
        <v/>
      </c>
      <c r="DK36" s="116">
        <f>COUNTIFS('DRAFT 2'!$D:$D,$B36,'DRAFT 2'!$A:$A,"&gt;="&amp;DATE(2026,3,1),'DRAFT 2'!$A:$A,"&lt;="&amp;DATE(2026,3,7))</f>
        <v/>
      </c>
      <c r="DL36" s="116">
        <f>COUNTIFS('DRAFT 2'!$D:$D,$B36,'DRAFT 2'!$A:$A,"&gt;="&amp;DATE(2026,3,8),'DRAFT 2'!$A:$A,"&lt;="&amp;DATE(2026,3,14))</f>
        <v/>
      </c>
      <c r="DM36" s="116">
        <f>COUNTIFS('DRAFT 2'!$D:$D,$B36,'DRAFT 2'!$A:$A,"&gt;="&amp;DATE(2026,3,15),'DRAFT 2'!$A:$A,"&lt;="&amp;DATE(2026,3,21))</f>
        <v/>
      </c>
      <c r="DN36" s="116">
        <f>COUNTIFS('DRAFT 2'!$D:$D,$B36,'DRAFT 2'!$A:$A,"&gt;="&amp;DATE(2026,3,22),'DRAFT 2'!$A:$A,"&lt;"&amp;DATE(2026,IF(3=12,3+1,3+1),1))</f>
        <v/>
      </c>
      <c r="DO36" s="116">
        <f>SUM(DK36:DN36)</f>
        <v/>
      </c>
      <c r="DZ36" s="116">
        <f>IFERROR(LOOKUP(2,1/('DRAFT 2'!$D:$D=$B36)*('DRAFT 2'!$A:$A&gt;=DATE(2026,4,1))*('DRAFT 2'!$A:$A&lt;DATE(2026,IF(4=12,4+1,4+1),1)),'DRAFT 2'!$A:$A),"")</f>
        <v/>
      </c>
      <c r="EA36" s="116">
        <f>COUNTIFS('DRAFT 2'!$D:$D,$B36,'DRAFT 2'!$A:$A,"&gt;="&amp;DATE(2026,4,1),'DRAFT 2'!$A:$A,"&lt;="&amp;DATE(2026,4,7))</f>
        <v/>
      </c>
      <c r="EB36" s="116">
        <f>COUNTIFS('DRAFT 2'!$D:$D,$B36,'DRAFT 2'!$A:$A,"&gt;="&amp;DATE(2026,4,8),'DRAFT 2'!$A:$A,"&lt;="&amp;DATE(2026,4,14))</f>
        <v/>
      </c>
      <c r="EC36" s="116">
        <f>COUNTIFS('DRAFT 2'!$D:$D,$B36,'DRAFT 2'!$A:$A,"&gt;="&amp;DATE(2026,4,15),'DRAFT 2'!$A:$A,"&lt;="&amp;DATE(2026,4,21))</f>
        <v/>
      </c>
      <c r="ED36" s="116">
        <f>COUNTIFS('DRAFT 2'!$D:$D,$B36,'DRAFT 2'!$A:$A,"&gt;="&amp;DATE(2026,4,22),'DRAFT 2'!$A:$A,"&lt;"&amp;DATE(2026,IF(4=12,4+1,4+1),1))</f>
        <v/>
      </c>
      <c r="EE36" s="116">
        <f>SUM(EA36:ED36)</f>
        <v/>
      </c>
      <c r="EO36" s="116">
        <f>IFERROR(LOOKUP(2,1/('DRAFT 2'!$D:$D=$B36)*('DRAFT 2'!$A:$A&gt;=DATE(2026,5,1))*('DRAFT 2'!$A:$A&lt;DATE(2026,IF(5=12,5+1,5+1),1)),'DRAFT 2'!$A:$A),"")</f>
        <v/>
      </c>
      <c r="EP36" s="116">
        <f>COUNTIFS('DRAFT 2'!$D:$D,$B36,'DRAFT 2'!$A:$A,"&gt;="&amp;DATE(2026,5,1),'DRAFT 2'!$A:$A,"&lt;="&amp;DATE(2026,5,7))</f>
        <v/>
      </c>
      <c r="EQ36" s="116">
        <f>COUNTIFS('DRAFT 2'!$D:$D,$B36,'DRAFT 2'!$A:$A,"&gt;="&amp;DATE(2026,5,8),'DRAFT 2'!$A:$A,"&lt;="&amp;DATE(2026,5,14))</f>
        <v/>
      </c>
      <c r="ER36" s="116">
        <f>COUNTIFS('DRAFT 2'!$D:$D,$B36,'DRAFT 2'!$A:$A,"&gt;="&amp;DATE(2026,5,15),'DRAFT 2'!$A:$A,"&lt;="&amp;DATE(2026,5,21))</f>
        <v/>
      </c>
      <c r="ES36" s="116">
        <f>COUNTIFS('DRAFT 2'!$D:$D,$B36,'DRAFT 2'!$A:$A,"&gt;="&amp;DATE(2026,5,22),'DRAFT 2'!$A:$A,"&lt;"&amp;DATE(2026,IF(5=12,5+1,5+1),1))</f>
        <v/>
      </c>
      <c r="ET36" s="116">
        <f>SUM(EP36:ES36)</f>
        <v/>
      </c>
      <c r="FD36" s="116">
        <f>IFERROR(LOOKUP(2,1/('DRAFT 2'!$D:$D=$B36)*('DRAFT 2'!$A:$A&gt;=DATE(2026,6,1))*('DRAFT 2'!$A:$A&lt;DATE(2026,IF(6=12,6+1,6+1),1)),'DRAFT 2'!$A:$A),"")</f>
        <v/>
      </c>
      <c r="FE36" s="116">
        <f>COUNTIFS('DRAFT 2'!$D:$D,$B36,'DRAFT 2'!$A:$A,"&gt;="&amp;DATE(2026,6,1),'DRAFT 2'!$A:$A,"&lt;="&amp;DATE(2026,6,7))</f>
        <v/>
      </c>
      <c r="FF36" s="116">
        <f>COUNTIFS('DRAFT 2'!$D:$D,$B36,'DRAFT 2'!$A:$A,"&gt;="&amp;DATE(2026,6,8),'DRAFT 2'!$A:$A,"&lt;="&amp;DATE(2026,6,14))</f>
        <v/>
      </c>
      <c r="FG36" s="116">
        <f>COUNTIFS('DRAFT 2'!$D:$D,$B36,'DRAFT 2'!$A:$A,"&gt;="&amp;DATE(2026,6,15),'DRAFT 2'!$A:$A,"&lt;="&amp;DATE(2026,6,21))</f>
        <v/>
      </c>
      <c r="FH36" s="116">
        <f>COUNTIFS('DRAFT 2'!$D:$D,$B36,'DRAFT 2'!$A:$A,"&gt;="&amp;DATE(2026,6,22),'DRAFT 2'!$A:$A,"&lt;"&amp;DATE(2026,IF(6=12,6+1,6+1),1))</f>
        <v/>
      </c>
      <c r="FI36" s="116">
        <f>SUM(FE36:FH36)</f>
        <v/>
      </c>
      <c r="FT36" s="116">
        <f>IFERROR(LOOKUP(2,1/('DRAFT 2'!$D:$D=$B36)*('DRAFT 2'!$A:$A&gt;=DATE(2026,7,1))*('DRAFT 2'!$A:$A&lt;DATE(2026,IF(7=12,7+1,7+1),1)),'DRAFT 2'!$A:$A),"")</f>
        <v/>
      </c>
      <c r="FU36" s="116">
        <f>COUNTIFS('DRAFT 2'!$D:$D,$B36,'DRAFT 2'!$A:$A,"&gt;="&amp;DATE(2026,7,1),'DRAFT 2'!$A:$A,"&lt;="&amp;DATE(2026,7,7))</f>
        <v/>
      </c>
      <c r="FV36" s="116">
        <f>COUNTIFS('DRAFT 2'!$D:$D,$B36,'DRAFT 2'!$A:$A,"&gt;="&amp;DATE(2026,7,8),'DRAFT 2'!$A:$A,"&lt;="&amp;DATE(2026,7,14))</f>
        <v/>
      </c>
      <c r="FW36" s="116">
        <f>COUNTIFS('DRAFT 2'!$D:$D,$B36,'DRAFT 2'!$A:$A,"&gt;="&amp;DATE(2026,7,15),'DRAFT 2'!$A:$A,"&lt;="&amp;DATE(2026,7,21))</f>
        <v/>
      </c>
      <c r="FX36" s="116">
        <f>COUNTIFS('DRAFT 2'!$D:$D,$B36,'DRAFT 2'!$A:$A,"&gt;="&amp;DATE(2026,7,22),'DRAFT 2'!$A:$A,"&lt;"&amp;DATE(2026,IF(7=12,7+1,7+1),1))</f>
        <v/>
      </c>
      <c r="FY36" s="116">
        <f>SUM(FU36:FX36)</f>
        <v/>
      </c>
      <c r="GI36" s="116">
        <f>IFERROR(LOOKUP(2,1/('DRAFT 2'!$D:$D=$B36)*('DRAFT 2'!$A:$A&gt;=DATE(2026,8,1))*('DRAFT 2'!$A:$A&lt;DATE(2026,IF(8=12,8+1,8+1),1)),'DRAFT 2'!$A:$A),"")</f>
        <v/>
      </c>
      <c r="GJ36" s="116">
        <f>COUNTIFS('DRAFT 2'!$D:$D,$B36,'DRAFT 2'!$A:$A,"&gt;="&amp;DATE(2026,8,1),'DRAFT 2'!$A:$A,"&lt;="&amp;DATE(2026,8,7))</f>
        <v/>
      </c>
      <c r="GK36" s="116">
        <f>COUNTIFS('DRAFT 2'!$D:$D,$B36,'DRAFT 2'!$A:$A,"&gt;="&amp;DATE(2026,8,8),'DRAFT 2'!$A:$A,"&lt;="&amp;DATE(2026,8,14))</f>
        <v/>
      </c>
      <c r="GL36" s="116">
        <f>COUNTIFS('DRAFT 2'!$D:$D,$B36,'DRAFT 2'!$A:$A,"&gt;="&amp;DATE(2026,8,15),'DRAFT 2'!$A:$A,"&lt;="&amp;DATE(2026,8,21))</f>
        <v/>
      </c>
      <c r="GM36" s="116">
        <f>COUNTIFS('DRAFT 2'!$D:$D,$B36,'DRAFT 2'!$A:$A,"&gt;="&amp;DATE(2026,8,22),'DRAFT 2'!$A:$A,"&lt;"&amp;DATE(2026,IF(8=12,8+1,8+1),1))</f>
        <v/>
      </c>
      <c r="GN36" s="116">
        <f>SUM(GJ36:GM36)</f>
        <v/>
      </c>
      <c r="GX36" s="116">
        <f>IFERROR(LOOKUP(2,1/('DRAFT 2'!$D:$D=$B36)*('DRAFT 2'!$A:$A&gt;=DATE(2026,9,1))*('DRAFT 2'!$A:$A&lt;DATE(2026,IF(9=12,9+1,9+1),1)),'DRAFT 2'!$A:$A),"")</f>
        <v/>
      </c>
      <c r="GY36" s="116">
        <f>COUNTIFS('DRAFT 2'!$D:$D,$B36,'DRAFT 2'!$A:$A,"&gt;="&amp;DATE(2026,9,1),'DRAFT 2'!$A:$A,"&lt;="&amp;DATE(2026,9,7))</f>
        <v/>
      </c>
      <c r="GZ36" s="116">
        <f>COUNTIFS('DRAFT 2'!$D:$D,$B36,'DRAFT 2'!$A:$A,"&gt;="&amp;DATE(2026,9,8),'DRAFT 2'!$A:$A,"&lt;="&amp;DATE(2026,9,14))</f>
        <v/>
      </c>
      <c r="HA36" s="116">
        <f>COUNTIFS('DRAFT 2'!$D:$D,$B36,'DRAFT 2'!$A:$A,"&gt;="&amp;DATE(2026,9,15),'DRAFT 2'!$A:$A,"&lt;="&amp;DATE(2026,9,21))</f>
        <v/>
      </c>
      <c r="HB36" s="116">
        <f>COUNTIFS('DRAFT 2'!$D:$D,$B36,'DRAFT 2'!$A:$A,"&gt;="&amp;DATE(2026,9,22),'DRAFT 2'!$A:$A,"&lt;"&amp;DATE(2026,IF(9=12,9+1,9+1),1))</f>
        <v/>
      </c>
      <c r="HC36" s="116">
        <f>SUM(GY36:HB36)</f>
        <v/>
      </c>
      <c r="HN36" s="116">
        <f>IFERROR(LOOKUP(2,1/('DRAFT 2'!$D:$D=$B36)*('DRAFT 2'!$A:$A&gt;=DATE(2026,10,1))*('DRAFT 2'!$A:$A&lt;DATE(2026,IF(10=12,10+1,10+1),1)),'DRAFT 2'!$A:$A),"")</f>
        <v/>
      </c>
      <c r="HO36" s="116">
        <f>COUNTIFS('DRAFT 2'!$D:$D,$B36,'DRAFT 2'!$A:$A,"&gt;="&amp;DATE(2026,10,1),'DRAFT 2'!$A:$A,"&lt;="&amp;DATE(2026,10,7))</f>
        <v/>
      </c>
      <c r="HP36" s="116">
        <f>COUNTIFS('DRAFT 2'!$D:$D,$B36,'DRAFT 2'!$A:$A,"&gt;="&amp;DATE(2026,10,8),'DRAFT 2'!$A:$A,"&lt;="&amp;DATE(2026,10,14))</f>
        <v/>
      </c>
      <c r="HQ36" s="116">
        <f>COUNTIFS('DRAFT 2'!$D:$D,$B36,'DRAFT 2'!$A:$A,"&gt;="&amp;DATE(2026,10,15),'DRAFT 2'!$A:$A,"&lt;="&amp;DATE(2026,10,21))</f>
        <v/>
      </c>
      <c r="HR36" s="116">
        <f>COUNTIFS('DRAFT 2'!$D:$D,$B36,'DRAFT 2'!$A:$A,"&gt;="&amp;DATE(2026,10,22),'DRAFT 2'!$A:$A,"&lt;"&amp;DATE(2026,IF(10=12,10+1,10+1),1))</f>
        <v/>
      </c>
      <c r="HS36" s="116">
        <f>SUM(HO36:HR36)</f>
        <v/>
      </c>
      <c r="IC36" s="116">
        <f>IFERROR(LOOKUP(2,1/('DRAFT 2'!$D:$D=$B36)*('DRAFT 2'!$A:$A&gt;=DATE(2026,11,1))*('DRAFT 2'!$A:$A&lt;DATE(2026,IF(11=12,11+1,11+1),1)),'DRAFT 2'!$A:$A),"")</f>
        <v/>
      </c>
      <c r="ID36" s="116">
        <f>COUNTIFS('DRAFT 2'!$D:$D,$B36,'DRAFT 2'!$A:$A,"&gt;="&amp;DATE(2026,11,1),'DRAFT 2'!$A:$A,"&lt;="&amp;DATE(2026,11,7))</f>
        <v/>
      </c>
      <c r="IE36" s="116">
        <f>COUNTIFS('DRAFT 2'!$D:$D,$B36,'DRAFT 2'!$A:$A,"&gt;="&amp;DATE(2026,11,8),'DRAFT 2'!$A:$A,"&lt;="&amp;DATE(2026,11,14))</f>
        <v/>
      </c>
      <c r="IF36" s="116">
        <f>COUNTIFS('DRAFT 2'!$D:$D,$B36,'DRAFT 2'!$A:$A,"&gt;="&amp;DATE(2026,11,15),'DRAFT 2'!$A:$A,"&lt;="&amp;DATE(2026,11,21))</f>
        <v/>
      </c>
      <c r="IG36" s="116">
        <f>COUNTIFS('DRAFT 2'!$D:$D,$B36,'DRAFT 2'!$A:$A,"&gt;="&amp;DATE(2026,11,22),'DRAFT 2'!$A:$A,"&lt;"&amp;DATE(2026,IF(11=12,11+1,11+1),1))</f>
        <v/>
      </c>
      <c r="IH36" s="116">
        <f>SUM(ID36:IG36)</f>
        <v/>
      </c>
      <c r="IR36" s="116">
        <f>IFERROR(LOOKUP(2,1/('DRAFT 2'!$D:$D=$B36)*('DRAFT 2'!$A:$A&gt;=DATE(2026,12,1))*('DRAFT 2'!$A:$A&lt;DATE(2026,IF(12=12,12+1,12+1),1)),'DRAFT 2'!$A:$A),"")</f>
        <v/>
      </c>
      <c r="IS36" s="116">
        <f>COUNTIFS('DRAFT 2'!$D:$D,$B36,'DRAFT 2'!$A:$A,"&gt;="&amp;DATE(2026,12,1),'DRAFT 2'!$A:$A,"&lt;="&amp;DATE(2026,12,7))</f>
        <v/>
      </c>
      <c r="IT36" s="116">
        <f>COUNTIFS('DRAFT 2'!$D:$D,$B36,'DRAFT 2'!$A:$A,"&gt;="&amp;DATE(2026,12,8),'DRAFT 2'!$A:$A,"&lt;="&amp;DATE(2026,12,14))</f>
        <v/>
      </c>
      <c r="IU36" s="116">
        <f>COUNTIFS('DRAFT 2'!$D:$D,$B36,'DRAFT 2'!$A:$A,"&gt;="&amp;DATE(2026,12,15),'DRAFT 2'!$A:$A,"&lt;="&amp;DATE(2026,12,21))</f>
        <v/>
      </c>
      <c r="IV36" s="116">
        <f>COUNTIFS('DRAFT 2'!$D:$D,$B36,'DRAFT 2'!$A:$A,"&gt;="&amp;DATE(2026,12,22),'DRAFT 2'!$A:$A,"&lt;"&amp;DATE(2026,IF(12=12,12+1,12+1),1))</f>
        <v/>
      </c>
      <c r="IW36" s="116">
        <f>SUM(IS36:IV36)</f>
        <v/>
      </c>
    </row>
    <row r="37">
      <c r="A37" s="116">
        <f>IFERROR(INDEX('DRAFT 1'!$A:$A,MATCH($B37,'DRAFT 1'!$B:$B,0)),"")</f>
        <v/>
      </c>
      <c r="C37" s="116">
        <f>IFERROR(INDEX('DRAFT 1'!$C:$C,MATCH($B37,'DRAFT 1'!$B:$B,0)),"")</f>
        <v/>
      </c>
      <c r="D37" s="116">
        <f>IFERROR(INDEX('DRAFT 1'!$D:$D,MATCH($B37,'DRAFT 1'!$B:$B,0)),"")</f>
        <v/>
      </c>
      <c r="E37" s="116">
        <f>IFERROR(INDEX('DRAFT 1'!$E:$E,MATCH($B37,'DRAFT 1'!$B:$B,0)),"")</f>
        <v/>
      </c>
      <c r="F37" s="116">
        <f>IFERROR(INDEX('DRAFT 1'!$F:$F,MATCH($B37,'DRAFT 1'!$B:$B,0)),"")</f>
        <v/>
      </c>
      <c r="G37" s="116">
        <f>IFERROR(INDEX('DRAFT 1'!$G:$G,MATCH($B37,'DRAFT 1'!$B:$B,0)),"")</f>
        <v/>
      </c>
      <c r="H37" s="116">
        <f>IFERROR(INDEX('DRAFT 1'!$H:$H,MATCH($B37,'DRAFT 1'!$B:$B,0)),"")</f>
        <v/>
      </c>
      <c r="I37" s="116" t="inlineStr">
        <is>
          <t>MUNDO VERDE</t>
        </is>
      </c>
      <c r="K37" s="116">
        <f>IFERROR(INDEX('DRAFT 1'!$AL:$AL,MATCH($B37,'DRAFT 1'!$B:$B,0)),"")</f>
        <v/>
      </c>
      <c r="L37" s="116">
        <f>IFERROR(INDEX('DRAFT 1'!$J:$J,MATCH($B37,'DRAFT 1'!$B:$B,0)),"")</f>
        <v/>
      </c>
      <c r="M37" s="116">
        <f>IFERROR(INDEX('DRAFT 1'!$K:$K,MATCH($B37,'DRAFT 1'!$B:$B,0)),"")</f>
        <v/>
      </c>
      <c r="N37" s="116" t="inlineStr">
        <is>
          <t>NOVO</t>
        </is>
      </c>
      <c r="P37" s="116">
        <f>IFERROR(INDEX('DRAFT 1'!$L:$L,MATCH($B37,'DRAFT 1'!$B:$B,0)),"")</f>
        <v/>
      </c>
      <c r="Q37" s="116">
        <f>IFERROR(INDEX('DRAFT 1'!$M:$M,MATCH($B37,'DRAFT 1'!$B:$B,0)),"")</f>
        <v/>
      </c>
      <c r="R37" s="116">
        <f>IFERROR(INDEX('DRAFT 1'!$N:$N,MATCH($B37,'DRAFT 1'!$B:$B,0)),"")</f>
        <v/>
      </c>
      <c r="S37" s="116">
        <f>IFERROR(INDEX('DRAFT 1'!$O:$O,MATCH($B37,'DRAFT 1'!$B:$B,0)),"")</f>
        <v/>
      </c>
      <c r="T37" s="116">
        <f>IFERROR(INDEX('DRAFT 1'!$P:$P,MATCH($B37,'DRAFT 1'!$B:$B,0)),"")</f>
        <v/>
      </c>
      <c r="U37" s="116">
        <f>IFERROR(INDEX('DRAFT 1'!$Q:$Q,MATCH($B37,'DRAFT 1'!$B:$B,0)),"")</f>
        <v/>
      </c>
      <c r="V37" s="116">
        <f>IFERROR(INDEX('DRAFT 1'!$R:$R,MATCH($B37,'DRAFT 1'!$B:$B,0)),"")</f>
        <v/>
      </c>
      <c r="W37" s="116">
        <f>IFERROR(INDEX('DRAFT 1'!$S:$S,MATCH($B37,'DRAFT 1'!$B:$B,0)),"")</f>
        <v/>
      </c>
      <c r="X37" s="116">
        <f>IFERROR(INDEX('DRAFT 1'!$T:$T,MATCH($B37,'DRAFT 1'!$B:$B,0)),"")</f>
        <v/>
      </c>
      <c r="Z37" s="116">
        <f>IFERROR(INDEX('DRAFT 1'!$U:$U,MATCH($B37,'DRAFT 1'!$B:$B,0)),"")</f>
        <v/>
      </c>
      <c r="AA37" s="116">
        <f>IFERROR(INDEX('DRAFT 1'!$V:$V,MATCH($B37,'DRAFT 1'!$B:$B,0)),"")</f>
        <v/>
      </c>
      <c r="AB37" s="116">
        <f>IFERROR(INDEX('DRAFT 1'!$W:$W,MATCH($B37,'DRAFT 1'!$B:$B,0)),"")</f>
        <v/>
      </c>
      <c r="AC37" s="116">
        <f>IFERROR(INDEX('DRAFT 1'!$X:$X,MATCH($B37,'DRAFT 1'!$B:$B,0)),"")</f>
        <v/>
      </c>
      <c r="AD37" s="116">
        <f>IFERROR(INDEX('DRAFT 1'!$Y:$Y,MATCH($B37,'DRAFT 1'!$B:$B,0)),"")</f>
        <v/>
      </c>
      <c r="AE37" s="116">
        <f>IFERROR(INDEX('DRAFT 1'!$Z:$Z,MATCH($B37,'DRAFT 1'!$B:$B,0)),"")</f>
        <v/>
      </c>
      <c r="AF37" s="116">
        <f>IFERROR(INDEX('DRAFT 1'!$AA:$AA,MATCH($B37,'DRAFT 1'!$B:$B,0)),"")</f>
        <v/>
      </c>
      <c r="AG37" s="116">
        <f>IFERROR(INDEX('DRAFT 1'!$AB:$AB,MATCH($B37,'DRAFT 1'!$B:$B,0)),"")</f>
        <v/>
      </c>
      <c r="AH37" s="116">
        <f>IFERROR(INDEX('DRAFT 1'!$AC:$AC,MATCH($B37,'DRAFT 1'!$B:$B,0)),"")</f>
        <v/>
      </c>
      <c r="AI37" s="116">
        <f>IFERROR(INDEX('DRAFT 1'!$AD:$AD,MATCH($B37,'DRAFT 1'!$B:$B,0)),"")</f>
        <v/>
      </c>
      <c r="AJ37" s="116">
        <f>IFERROR(INDEX('DRAFT 1'!$AE:$AE,MATCH($B37,'DRAFT 1'!$B:$B,0)),"")</f>
        <v/>
      </c>
      <c r="AK37" s="116">
        <f>IFERROR(INDEX('DRAFT 1'!$AG:$AG,MATCH($B37,'DRAFT 1'!$B:$B,0)),"")</f>
        <v/>
      </c>
      <c r="AL37" s="116">
        <f>IFERROR(INDEX('DRAFT 1'!$AH:$AH,MATCH($B37,'DRAFT 1'!$B:$B,0)),"")</f>
        <v/>
      </c>
      <c r="AM37" s="116">
        <f>IFERROR(INDEX('DRAFT 1'!$AI:$AI,MATCH($B37,'DRAFT 1'!$B:$B,0)),"")</f>
        <v/>
      </c>
      <c r="AN37" s="116">
        <f>IFERROR(INDEX('DRAFT 1'!$AJ:$AJ,MATCH($B37,'DRAFT 1'!$B:$B,0)),"")</f>
        <v/>
      </c>
      <c r="AO37" s="116">
        <f>IFERROR(Y37/AN37,0)</f>
        <v/>
      </c>
      <c r="AP37" s="116">
        <f>IFERROR(INDEX('DRAFT 1'!$AK:$AK,MATCH($B37,'DRAFT 1'!$B:$B,0)),"")</f>
        <v/>
      </c>
      <c r="AR37" s="116" t="inlineStr">
        <is>
          <t>RECOMPRA</t>
        </is>
      </c>
      <c r="AS37" s="116">
        <f>IFERROR(LOOKUP(2,1/('DRAFT 2'!$D:$D=$B37),'DRAFT 2'!$T:$T),"")</f>
        <v/>
      </c>
      <c r="AT37" s="116">
        <f>IFERROR(LOOKUP(2,1/('DRAFT 2'!$D:$D=$B37),'DRAFT 2'!$A:$A),"")</f>
        <v/>
      </c>
      <c r="AU37" s="116">
        <f>IFERROR(LOOKUP(2,1/('DRAFT 2'!$D:$D=$B37),'DRAFT 2'!$R:$R),"")</f>
        <v/>
      </c>
      <c r="AV37" s="116">
        <f>IFERROR(LOOKUP(2,1/('DRAFT 2'!$D:$D=$B37),'DRAFT 2'!$S:$S),"")</f>
        <v/>
      </c>
      <c r="AW37" s="116" t="inlineStr">
        <is>
          <t>LEAD</t>
        </is>
      </c>
      <c r="AX37" s="116">
        <f>IFERROR(LOOKUP(2,1/('DRAFT 2'!$D:$D=$B37),'DRAFT 2'!$M:$M),"")</f>
        <v/>
      </c>
      <c r="AY37" s="116">
        <f>IFERROR(LOOKUP(2,1/('DRAFT 2'!$D:$D=$B37),'DRAFT 2'!$K:$K),"")</f>
        <v/>
      </c>
      <c r="BG37" s="116">
        <f>IFERROR(LOOKUP(2,1/('DRAFT 2'!$D:$D=$B37),'DRAFT 2'!$U:$U),"")</f>
        <v/>
      </c>
      <c r="BH37" s="116">
        <f>IFERROR(LOOKUP(2,1/('DRAFT 2'!$D:$D=$B37),'DRAFT 2'!$V:$V),"")</f>
        <v/>
      </c>
      <c r="CE37" s="116">
        <f>IFERROR(AJ37,0)</f>
        <v/>
      </c>
      <c r="CF37" s="116">
        <f>IFERROR(LOOKUP(2,1/('DRAFT 2'!$D:$D=$B37)*('DRAFT 2'!$A:$A&gt;=DATE(2026,1,1))*('DRAFT 2'!$A:$A&lt;DATE(2026,IF(1=12,1+1,1+1),1)),'DRAFT 2'!$A:$A),"")</f>
        <v/>
      </c>
      <c r="CG37" s="116">
        <f>COUNTIFS('DRAFT 2'!$D:$D,$B37,'DRAFT 2'!$A:$A,"&gt;="&amp;DATE(2026,1,1),'DRAFT 2'!$A:$A,"&lt;="&amp;DATE(2026,1,7))</f>
        <v/>
      </c>
      <c r="CH37" s="116">
        <f>COUNTIFS('DRAFT 2'!$D:$D,$B37,'DRAFT 2'!$A:$A,"&gt;="&amp;DATE(2026,1,8),'DRAFT 2'!$A:$A,"&lt;="&amp;DATE(2026,1,14))</f>
        <v/>
      </c>
      <c r="CI37" s="116">
        <f>COUNTIFS('DRAFT 2'!$D:$D,$B37,'DRAFT 2'!$A:$A,"&gt;="&amp;DATE(2026,1,15),'DRAFT 2'!$A:$A,"&lt;="&amp;DATE(2026,1,21))</f>
        <v/>
      </c>
      <c r="CJ37" s="116">
        <f>COUNTIFS('DRAFT 2'!$D:$D,$B37,'DRAFT 2'!$A:$A,"&gt;="&amp;DATE(2026,1,22),'DRAFT 2'!$A:$A,"&lt;"&amp;DATE(2026,IF(1=12,1+1,1+1),1))</f>
        <v/>
      </c>
      <c r="CK37" s="116">
        <f>SUM(CG37:CJ37)</f>
        <v/>
      </c>
      <c r="CT37" s="116" t="n">
        <v>0</v>
      </c>
      <c r="CU37" s="116">
        <f>IFERROR(LOOKUP(2,1/('DRAFT 2'!$D:$D=$B37)*('DRAFT 2'!$A:$A&gt;=DATE(2026,2,1))*('DRAFT 2'!$A:$A&lt;DATE(2026,IF(2=12,2+1,2+1),1)),'DRAFT 2'!$A:$A),"")</f>
        <v/>
      </c>
      <c r="CV37" s="116">
        <f>COUNTIFS('DRAFT 2'!$D:$D,$B37,'DRAFT 2'!$A:$A,"&gt;="&amp;DATE(2026,2,1),'DRAFT 2'!$A:$A,"&lt;="&amp;DATE(2026,2,7))</f>
        <v/>
      </c>
      <c r="CW37" s="116">
        <f>COUNTIFS('DRAFT 2'!$D:$D,$B37,'DRAFT 2'!$A:$A,"&gt;="&amp;DATE(2026,2,8),'DRAFT 2'!$A:$A,"&lt;="&amp;DATE(2026,2,14))</f>
        <v/>
      </c>
      <c r="CX37" s="116">
        <f>COUNTIFS('DRAFT 2'!$D:$D,$B37,'DRAFT 2'!$A:$A,"&gt;="&amp;DATE(2026,2,15),'DRAFT 2'!$A:$A,"&lt;="&amp;DATE(2026,2,21))</f>
        <v/>
      </c>
      <c r="CY37" s="116">
        <f>COUNTIFS('DRAFT 2'!$D:$D,$B37,'DRAFT 2'!$A:$A,"&gt;="&amp;DATE(2026,2,22),'DRAFT 2'!$A:$A,"&lt;"&amp;DATE(2026,IF(2=12,2+1,2+1),1))</f>
        <v/>
      </c>
      <c r="CZ37" s="116">
        <f>SUM(CV37:CY37)</f>
        <v/>
      </c>
      <c r="DJ37" s="116">
        <f>IFERROR(LOOKUP(2,1/('DRAFT 2'!$D:$D=$B37)*('DRAFT 2'!$A:$A&gt;=DATE(2026,3,1))*('DRAFT 2'!$A:$A&lt;DATE(2026,IF(3=12,3+1,3+1),1)),'DRAFT 2'!$A:$A),"")</f>
        <v/>
      </c>
      <c r="DK37" s="116">
        <f>COUNTIFS('DRAFT 2'!$D:$D,$B37,'DRAFT 2'!$A:$A,"&gt;="&amp;DATE(2026,3,1),'DRAFT 2'!$A:$A,"&lt;="&amp;DATE(2026,3,7))</f>
        <v/>
      </c>
      <c r="DL37" s="116">
        <f>COUNTIFS('DRAFT 2'!$D:$D,$B37,'DRAFT 2'!$A:$A,"&gt;="&amp;DATE(2026,3,8),'DRAFT 2'!$A:$A,"&lt;="&amp;DATE(2026,3,14))</f>
        <v/>
      </c>
      <c r="DM37" s="116">
        <f>COUNTIFS('DRAFT 2'!$D:$D,$B37,'DRAFT 2'!$A:$A,"&gt;="&amp;DATE(2026,3,15),'DRAFT 2'!$A:$A,"&lt;="&amp;DATE(2026,3,21))</f>
        <v/>
      </c>
      <c r="DN37" s="116">
        <f>COUNTIFS('DRAFT 2'!$D:$D,$B37,'DRAFT 2'!$A:$A,"&gt;="&amp;DATE(2026,3,22),'DRAFT 2'!$A:$A,"&lt;"&amp;DATE(2026,IF(3=12,3+1,3+1),1))</f>
        <v/>
      </c>
      <c r="DO37" s="116">
        <f>SUM(DK37:DN37)</f>
        <v/>
      </c>
      <c r="DZ37" s="116">
        <f>IFERROR(LOOKUP(2,1/('DRAFT 2'!$D:$D=$B37)*('DRAFT 2'!$A:$A&gt;=DATE(2026,4,1))*('DRAFT 2'!$A:$A&lt;DATE(2026,IF(4=12,4+1,4+1),1)),'DRAFT 2'!$A:$A),"")</f>
        <v/>
      </c>
      <c r="EA37" s="116">
        <f>COUNTIFS('DRAFT 2'!$D:$D,$B37,'DRAFT 2'!$A:$A,"&gt;="&amp;DATE(2026,4,1),'DRAFT 2'!$A:$A,"&lt;="&amp;DATE(2026,4,7))</f>
        <v/>
      </c>
      <c r="EB37" s="116">
        <f>COUNTIFS('DRAFT 2'!$D:$D,$B37,'DRAFT 2'!$A:$A,"&gt;="&amp;DATE(2026,4,8),'DRAFT 2'!$A:$A,"&lt;="&amp;DATE(2026,4,14))</f>
        <v/>
      </c>
      <c r="EC37" s="116">
        <f>COUNTIFS('DRAFT 2'!$D:$D,$B37,'DRAFT 2'!$A:$A,"&gt;="&amp;DATE(2026,4,15),'DRAFT 2'!$A:$A,"&lt;="&amp;DATE(2026,4,21))</f>
        <v/>
      </c>
      <c r="ED37" s="116">
        <f>COUNTIFS('DRAFT 2'!$D:$D,$B37,'DRAFT 2'!$A:$A,"&gt;="&amp;DATE(2026,4,22),'DRAFT 2'!$A:$A,"&lt;"&amp;DATE(2026,IF(4=12,4+1,4+1),1))</f>
        <v/>
      </c>
      <c r="EE37" s="116">
        <f>SUM(EA37:ED37)</f>
        <v/>
      </c>
      <c r="EO37" s="116">
        <f>IFERROR(LOOKUP(2,1/('DRAFT 2'!$D:$D=$B37)*('DRAFT 2'!$A:$A&gt;=DATE(2026,5,1))*('DRAFT 2'!$A:$A&lt;DATE(2026,IF(5=12,5+1,5+1),1)),'DRAFT 2'!$A:$A),"")</f>
        <v/>
      </c>
      <c r="EP37" s="116">
        <f>COUNTIFS('DRAFT 2'!$D:$D,$B37,'DRAFT 2'!$A:$A,"&gt;="&amp;DATE(2026,5,1),'DRAFT 2'!$A:$A,"&lt;="&amp;DATE(2026,5,7))</f>
        <v/>
      </c>
      <c r="EQ37" s="116">
        <f>COUNTIFS('DRAFT 2'!$D:$D,$B37,'DRAFT 2'!$A:$A,"&gt;="&amp;DATE(2026,5,8),'DRAFT 2'!$A:$A,"&lt;="&amp;DATE(2026,5,14))</f>
        <v/>
      </c>
      <c r="ER37" s="116">
        <f>COUNTIFS('DRAFT 2'!$D:$D,$B37,'DRAFT 2'!$A:$A,"&gt;="&amp;DATE(2026,5,15),'DRAFT 2'!$A:$A,"&lt;="&amp;DATE(2026,5,21))</f>
        <v/>
      </c>
      <c r="ES37" s="116">
        <f>COUNTIFS('DRAFT 2'!$D:$D,$B37,'DRAFT 2'!$A:$A,"&gt;="&amp;DATE(2026,5,22),'DRAFT 2'!$A:$A,"&lt;"&amp;DATE(2026,IF(5=12,5+1,5+1),1))</f>
        <v/>
      </c>
      <c r="ET37" s="116">
        <f>SUM(EP37:ES37)</f>
        <v/>
      </c>
      <c r="FD37" s="116">
        <f>IFERROR(LOOKUP(2,1/('DRAFT 2'!$D:$D=$B37)*('DRAFT 2'!$A:$A&gt;=DATE(2026,6,1))*('DRAFT 2'!$A:$A&lt;DATE(2026,IF(6=12,6+1,6+1),1)),'DRAFT 2'!$A:$A),"")</f>
        <v/>
      </c>
      <c r="FE37" s="116">
        <f>COUNTIFS('DRAFT 2'!$D:$D,$B37,'DRAFT 2'!$A:$A,"&gt;="&amp;DATE(2026,6,1),'DRAFT 2'!$A:$A,"&lt;="&amp;DATE(2026,6,7))</f>
        <v/>
      </c>
      <c r="FF37" s="116">
        <f>COUNTIFS('DRAFT 2'!$D:$D,$B37,'DRAFT 2'!$A:$A,"&gt;="&amp;DATE(2026,6,8),'DRAFT 2'!$A:$A,"&lt;="&amp;DATE(2026,6,14))</f>
        <v/>
      </c>
      <c r="FG37" s="116">
        <f>COUNTIFS('DRAFT 2'!$D:$D,$B37,'DRAFT 2'!$A:$A,"&gt;="&amp;DATE(2026,6,15),'DRAFT 2'!$A:$A,"&lt;="&amp;DATE(2026,6,21))</f>
        <v/>
      </c>
      <c r="FH37" s="116">
        <f>COUNTIFS('DRAFT 2'!$D:$D,$B37,'DRAFT 2'!$A:$A,"&gt;="&amp;DATE(2026,6,22),'DRAFT 2'!$A:$A,"&lt;"&amp;DATE(2026,IF(6=12,6+1,6+1),1))</f>
        <v/>
      </c>
      <c r="FI37" s="116">
        <f>SUM(FE37:FH37)</f>
        <v/>
      </c>
      <c r="FT37" s="116">
        <f>IFERROR(LOOKUP(2,1/('DRAFT 2'!$D:$D=$B37)*('DRAFT 2'!$A:$A&gt;=DATE(2026,7,1))*('DRAFT 2'!$A:$A&lt;DATE(2026,IF(7=12,7+1,7+1),1)),'DRAFT 2'!$A:$A),"")</f>
        <v/>
      </c>
      <c r="FU37" s="116">
        <f>COUNTIFS('DRAFT 2'!$D:$D,$B37,'DRAFT 2'!$A:$A,"&gt;="&amp;DATE(2026,7,1),'DRAFT 2'!$A:$A,"&lt;="&amp;DATE(2026,7,7))</f>
        <v/>
      </c>
      <c r="FV37" s="116">
        <f>COUNTIFS('DRAFT 2'!$D:$D,$B37,'DRAFT 2'!$A:$A,"&gt;="&amp;DATE(2026,7,8),'DRAFT 2'!$A:$A,"&lt;="&amp;DATE(2026,7,14))</f>
        <v/>
      </c>
      <c r="FW37" s="116">
        <f>COUNTIFS('DRAFT 2'!$D:$D,$B37,'DRAFT 2'!$A:$A,"&gt;="&amp;DATE(2026,7,15),'DRAFT 2'!$A:$A,"&lt;="&amp;DATE(2026,7,21))</f>
        <v/>
      </c>
      <c r="FX37" s="116">
        <f>COUNTIFS('DRAFT 2'!$D:$D,$B37,'DRAFT 2'!$A:$A,"&gt;="&amp;DATE(2026,7,22),'DRAFT 2'!$A:$A,"&lt;"&amp;DATE(2026,IF(7=12,7+1,7+1),1))</f>
        <v/>
      </c>
      <c r="FY37" s="116">
        <f>SUM(FU37:FX37)</f>
        <v/>
      </c>
      <c r="GI37" s="116">
        <f>IFERROR(LOOKUP(2,1/('DRAFT 2'!$D:$D=$B37)*('DRAFT 2'!$A:$A&gt;=DATE(2026,8,1))*('DRAFT 2'!$A:$A&lt;DATE(2026,IF(8=12,8+1,8+1),1)),'DRAFT 2'!$A:$A),"")</f>
        <v/>
      </c>
      <c r="GJ37" s="116">
        <f>COUNTIFS('DRAFT 2'!$D:$D,$B37,'DRAFT 2'!$A:$A,"&gt;="&amp;DATE(2026,8,1),'DRAFT 2'!$A:$A,"&lt;="&amp;DATE(2026,8,7))</f>
        <v/>
      </c>
      <c r="GK37" s="116">
        <f>COUNTIFS('DRAFT 2'!$D:$D,$B37,'DRAFT 2'!$A:$A,"&gt;="&amp;DATE(2026,8,8),'DRAFT 2'!$A:$A,"&lt;="&amp;DATE(2026,8,14))</f>
        <v/>
      </c>
      <c r="GL37" s="116">
        <f>COUNTIFS('DRAFT 2'!$D:$D,$B37,'DRAFT 2'!$A:$A,"&gt;="&amp;DATE(2026,8,15),'DRAFT 2'!$A:$A,"&lt;="&amp;DATE(2026,8,21))</f>
        <v/>
      </c>
      <c r="GM37" s="116">
        <f>COUNTIFS('DRAFT 2'!$D:$D,$B37,'DRAFT 2'!$A:$A,"&gt;="&amp;DATE(2026,8,22),'DRAFT 2'!$A:$A,"&lt;"&amp;DATE(2026,IF(8=12,8+1,8+1),1))</f>
        <v/>
      </c>
      <c r="GN37" s="116">
        <f>SUM(GJ37:GM37)</f>
        <v/>
      </c>
      <c r="GX37" s="116">
        <f>IFERROR(LOOKUP(2,1/('DRAFT 2'!$D:$D=$B37)*('DRAFT 2'!$A:$A&gt;=DATE(2026,9,1))*('DRAFT 2'!$A:$A&lt;DATE(2026,IF(9=12,9+1,9+1),1)),'DRAFT 2'!$A:$A),"")</f>
        <v/>
      </c>
      <c r="GY37" s="116">
        <f>COUNTIFS('DRAFT 2'!$D:$D,$B37,'DRAFT 2'!$A:$A,"&gt;="&amp;DATE(2026,9,1),'DRAFT 2'!$A:$A,"&lt;="&amp;DATE(2026,9,7))</f>
        <v/>
      </c>
      <c r="GZ37" s="116">
        <f>COUNTIFS('DRAFT 2'!$D:$D,$B37,'DRAFT 2'!$A:$A,"&gt;="&amp;DATE(2026,9,8),'DRAFT 2'!$A:$A,"&lt;="&amp;DATE(2026,9,14))</f>
        <v/>
      </c>
      <c r="HA37" s="116">
        <f>COUNTIFS('DRAFT 2'!$D:$D,$B37,'DRAFT 2'!$A:$A,"&gt;="&amp;DATE(2026,9,15),'DRAFT 2'!$A:$A,"&lt;="&amp;DATE(2026,9,21))</f>
        <v/>
      </c>
      <c r="HB37" s="116">
        <f>COUNTIFS('DRAFT 2'!$D:$D,$B37,'DRAFT 2'!$A:$A,"&gt;="&amp;DATE(2026,9,22),'DRAFT 2'!$A:$A,"&lt;"&amp;DATE(2026,IF(9=12,9+1,9+1),1))</f>
        <v/>
      </c>
      <c r="HC37" s="116">
        <f>SUM(GY37:HB37)</f>
        <v/>
      </c>
      <c r="HN37" s="116">
        <f>IFERROR(LOOKUP(2,1/('DRAFT 2'!$D:$D=$B37)*('DRAFT 2'!$A:$A&gt;=DATE(2026,10,1))*('DRAFT 2'!$A:$A&lt;DATE(2026,IF(10=12,10+1,10+1),1)),'DRAFT 2'!$A:$A),"")</f>
        <v/>
      </c>
      <c r="HO37" s="116">
        <f>COUNTIFS('DRAFT 2'!$D:$D,$B37,'DRAFT 2'!$A:$A,"&gt;="&amp;DATE(2026,10,1),'DRAFT 2'!$A:$A,"&lt;="&amp;DATE(2026,10,7))</f>
        <v/>
      </c>
      <c r="HP37" s="116">
        <f>COUNTIFS('DRAFT 2'!$D:$D,$B37,'DRAFT 2'!$A:$A,"&gt;="&amp;DATE(2026,10,8),'DRAFT 2'!$A:$A,"&lt;="&amp;DATE(2026,10,14))</f>
        <v/>
      </c>
      <c r="HQ37" s="116">
        <f>COUNTIFS('DRAFT 2'!$D:$D,$B37,'DRAFT 2'!$A:$A,"&gt;="&amp;DATE(2026,10,15),'DRAFT 2'!$A:$A,"&lt;="&amp;DATE(2026,10,21))</f>
        <v/>
      </c>
      <c r="HR37" s="116">
        <f>COUNTIFS('DRAFT 2'!$D:$D,$B37,'DRAFT 2'!$A:$A,"&gt;="&amp;DATE(2026,10,22),'DRAFT 2'!$A:$A,"&lt;"&amp;DATE(2026,IF(10=12,10+1,10+1),1))</f>
        <v/>
      </c>
      <c r="HS37" s="116">
        <f>SUM(HO37:HR37)</f>
        <v/>
      </c>
      <c r="IC37" s="116">
        <f>IFERROR(LOOKUP(2,1/('DRAFT 2'!$D:$D=$B37)*('DRAFT 2'!$A:$A&gt;=DATE(2026,11,1))*('DRAFT 2'!$A:$A&lt;DATE(2026,IF(11=12,11+1,11+1),1)),'DRAFT 2'!$A:$A),"")</f>
        <v/>
      </c>
      <c r="ID37" s="116">
        <f>COUNTIFS('DRAFT 2'!$D:$D,$B37,'DRAFT 2'!$A:$A,"&gt;="&amp;DATE(2026,11,1),'DRAFT 2'!$A:$A,"&lt;="&amp;DATE(2026,11,7))</f>
        <v/>
      </c>
      <c r="IE37" s="116">
        <f>COUNTIFS('DRAFT 2'!$D:$D,$B37,'DRAFT 2'!$A:$A,"&gt;="&amp;DATE(2026,11,8),'DRAFT 2'!$A:$A,"&lt;="&amp;DATE(2026,11,14))</f>
        <v/>
      </c>
      <c r="IF37" s="116">
        <f>COUNTIFS('DRAFT 2'!$D:$D,$B37,'DRAFT 2'!$A:$A,"&gt;="&amp;DATE(2026,11,15),'DRAFT 2'!$A:$A,"&lt;="&amp;DATE(2026,11,21))</f>
        <v/>
      </c>
      <c r="IG37" s="116">
        <f>COUNTIFS('DRAFT 2'!$D:$D,$B37,'DRAFT 2'!$A:$A,"&gt;="&amp;DATE(2026,11,22),'DRAFT 2'!$A:$A,"&lt;"&amp;DATE(2026,IF(11=12,11+1,11+1),1))</f>
        <v/>
      </c>
      <c r="IH37" s="116">
        <f>SUM(ID37:IG37)</f>
        <v/>
      </c>
      <c r="IR37" s="116">
        <f>IFERROR(LOOKUP(2,1/('DRAFT 2'!$D:$D=$B37)*('DRAFT 2'!$A:$A&gt;=DATE(2026,12,1))*('DRAFT 2'!$A:$A&lt;DATE(2026,IF(12=12,12+1,12+1),1)),'DRAFT 2'!$A:$A),"")</f>
        <v/>
      </c>
      <c r="IS37" s="116">
        <f>COUNTIFS('DRAFT 2'!$D:$D,$B37,'DRAFT 2'!$A:$A,"&gt;="&amp;DATE(2026,12,1),'DRAFT 2'!$A:$A,"&lt;="&amp;DATE(2026,12,7))</f>
        <v/>
      </c>
      <c r="IT37" s="116">
        <f>COUNTIFS('DRAFT 2'!$D:$D,$B37,'DRAFT 2'!$A:$A,"&gt;="&amp;DATE(2026,12,8),'DRAFT 2'!$A:$A,"&lt;="&amp;DATE(2026,12,14))</f>
        <v/>
      </c>
      <c r="IU37" s="116">
        <f>COUNTIFS('DRAFT 2'!$D:$D,$B37,'DRAFT 2'!$A:$A,"&gt;="&amp;DATE(2026,12,15),'DRAFT 2'!$A:$A,"&lt;="&amp;DATE(2026,12,21))</f>
        <v/>
      </c>
      <c r="IV37" s="116">
        <f>COUNTIFS('DRAFT 2'!$D:$D,$B37,'DRAFT 2'!$A:$A,"&gt;="&amp;DATE(2026,12,22),'DRAFT 2'!$A:$A,"&lt;"&amp;DATE(2026,IF(12=12,12+1,12+1),1))</f>
        <v/>
      </c>
      <c r="IW37" s="116">
        <f>SUM(IS37:IV37)</f>
        <v/>
      </c>
    </row>
    <row r="38">
      <c r="A38" s="116">
        <f>IFERROR(INDEX('DRAFT 1'!$A:$A,MATCH($B38,'DRAFT 1'!$B:$B,0)),"")</f>
        <v/>
      </c>
      <c r="C38" s="116">
        <f>IFERROR(INDEX('DRAFT 1'!$C:$C,MATCH($B38,'DRAFT 1'!$B:$B,0)),"")</f>
        <v/>
      </c>
      <c r="D38" s="116">
        <f>IFERROR(INDEX('DRAFT 1'!$D:$D,MATCH($B38,'DRAFT 1'!$B:$B,0)),"")</f>
        <v/>
      </c>
      <c r="E38" s="116">
        <f>IFERROR(INDEX('DRAFT 1'!$E:$E,MATCH($B38,'DRAFT 1'!$B:$B,0)),"")</f>
        <v/>
      </c>
      <c r="F38" s="116">
        <f>IFERROR(INDEX('DRAFT 1'!$F:$F,MATCH($B38,'DRAFT 1'!$B:$B,0)),"")</f>
        <v/>
      </c>
      <c r="G38" s="116">
        <f>IFERROR(INDEX('DRAFT 1'!$G:$G,MATCH($B38,'DRAFT 1'!$B:$B,0)),"")</f>
        <v/>
      </c>
      <c r="H38" s="116">
        <f>IFERROR(INDEX('DRAFT 1'!$H:$H,MATCH($B38,'DRAFT 1'!$B:$B,0)),"")</f>
        <v/>
      </c>
      <c r="I38" s="116" t="inlineStr">
        <is>
          <t>CIA DA SAUDE</t>
        </is>
      </c>
      <c r="K38" s="116">
        <f>IFERROR(INDEX('DRAFT 1'!$AL:$AL,MATCH($B38,'DRAFT 1'!$B:$B,0)),"")</f>
        <v/>
      </c>
      <c r="L38" s="116">
        <f>IFERROR(INDEX('DRAFT 1'!$J:$J,MATCH($B38,'DRAFT 1'!$B:$B,0)),"")</f>
        <v/>
      </c>
      <c r="M38" s="116">
        <f>IFERROR(INDEX('DRAFT 1'!$K:$K,MATCH($B38,'DRAFT 1'!$B:$B,0)),"")</f>
        <v/>
      </c>
      <c r="N38" s="116" t="inlineStr">
        <is>
          <t>ATIVO</t>
        </is>
      </c>
      <c r="P38" s="116">
        <f>IFERROR(INDEX('DRAFT 1'!$L:$L,MATCH($B38,'DRAFT 1'!$B:$B,0)),"")</f>
        <v/>
      </c>
      <c r="Q38" s="116">
        <f>IFERROR(INDEX('DRAFT 1'!$M:$M,MATCH($B38,'DRAFT 1'!$B:$B,0)),"")</f>
        <v/>
      </c>
      <c r="R38" s="116">
        <f>IFERROR(INDEX('DRAFT 1'!$N:$N,MATCH($B38,'DRAFT 1'!$B:$B,0)),"")</f>
        <v/>
      </c>
      <c r="S38" s="116">
        <f>IFERROR(INDEX('DRAFT 1'!$O:$O,MATCH($B38,'DRAFT 1'!$B:$B,0)),"")</f>
        <v/>
      </c>
      <c r="T38" s="116">
        <f>IFERROR(INDEX('DRAFT 1'!$P:$P,MATCH($B38,'DRAFT 1'!$B:$B,0)),"")</f>
        <v/>
      </c>
      <c r="U38" s="116">
        <f>IFERROR(INDEX('DRAFT 1'!$Q:$Q,MATCH($B38,'DRAFT 1'!$B:$B,0)),"")</f>
        <v/>
      </c>
      <c r="V38" s="116">
        <f>IFERROR(INDEX('DRAFT 1'!$R:$R,MATCH($B38,'DRAFT 1'!$B:$B,0)),"")</f>
        <v/>
      </c>
      <c r="W38" s="116">
        <f>IFERROR(INDEX('DRAFT 1'!$S:$S,MATCH($B38,'DRAFT 1'!$B:$B,0)),"")</f>
        <v/>
      </c>
      <c r="X38" s="116">
        <f>IFERROR(INDEX('DRAFT 1'!$T:$T,MATCH($B38,'DRAFT 1'!$B:$B,0)),"")</f>
        <v/>
      </c>
      <c r="Z38" s="116">
        <f>IFERROR(INDEX('DRAFT 1'!$U:$U,MATCH($B38,'DRAFT 1'!$B:$B,0)),"")</f>
        <v/>
      </c>
      <c r="AA38" s="116">
        <f>IFERROR(INDEX('DRAFT 1'!$V:$V,MATCH($B38,'DRAFT 1'!$B:$B,0)),"")</f>
        <v/>
      </c>
      <c r="AB38" s="116">
        <f>IFERROR(INDEX('DRAFT 1'!$W:$W,MATCH($B38,'DRAFT 1'!$B:$B,0)),"")</f>
        <v/>
      </c>
      <c r="AC38" s="116">
        <f>IFERROR(INDEX('DRAFT 1'!$X:$X,MATCH($B38,'DRAFT 1'!$B:$B,0)),"")</f>
        <v/>
      </c>
      <c r="AD38" s="116">
        <f>IFERROR(INDEX('DRAFT 1'!$Y:$Y,MATCH($B38,'DRAFT 1'!$B:$B,0)),"")</f>
        <v/>
      </c>
      <c r="AE38" s="116">
        <f>IFERROR(INDEX('DRAFT 1'!$Z:$Z,MATCH($B38,'DRAFT 1'!$B:$B,0)),"")</f>
        <v/>
      </c>
      <c r="AF38" s="116">
        <f>IFERROR(INDEX('DRAFT 1'!$AA:$AA,MATCH($B38,'DRAFT 1'!$B:$B,0)),"")</f>
        <v/>
      </c>
      <c r="AG38" s="116">
        <f>IFERROR(INDEX('DRAFT 1'!$AB:$AB,MATCH($B38,'DRAFT 1'!$B:$B,0)),"")</f>
        <v/>
      </c>
      <c r="AH38" s="116">
        <f>IFERROR(INDEX('DRAFT 1'!$AC:$AC,MATCH($B38,'DRAFT 1'!$B:$B,0)),"")</f>
        <v/>
      </c>
      <c r="AI38" s="116">
        <f>IFERROR(INDEX('DRAFT 1'!$AD:$AD,MATCH($B38,'DRAFT 1'!$B:$B,0)),"")</f>
        <v/>
      </c>
      <c r="AJ38" s="116">
        <f>IFERROR(INDEX('DRAFT 1'!$AE:$AE,MATCH($B38,'DRAFT 1'!$B:$B,0)),"")</f>
        <v/>
      </c>
      <c r="AK38" s="116">
        <f>IFERROR(INDEX('DRAFT 1'!$AG:$AG,MATCH($B38,'DRAFT 1'!$B:$B,0)),"")</f>
        <v/>
      </c>
      <c r="AL38" s="116">
        <f>IFERROR(INDEX('DRAFT 1'!$AH:$AH,MATCH($B38,'DRAFT 1'!$B:$B,0)),"")</f>
        <v/>
      </c>
      <c r="AM38" s="116">
        <f>IFERROR(INDEX('DRAFT 1'!$AI:$AI,MATCH($B38,'DRAFT 1'!$B:$B,0)),"")</f>
        <v/>
      </c>
      <c r="AN38" s="116">
        <f>IFERROR(INDEX('DRAFT 1'!$AJ:$AJ,MATCH($B38,'DRAFT 1'!$B:$B,0)),"")</f>
        <v/>
      </c>
      <c r="AO38" s="116">
        <f>IFERROR(Y38/AN38,0)</f>
        <v/>
      </c>
      <c r="AP38" s="116">
        <f>IFERROR(INDEX('DRAFT 1'!$AK:$AK,MATCH($B38,'DRAFT 1'!$B:$B,0)),"")</f>
        <v/>
      </c>
      <c r="AR38" s="116" t="inlineStr">
        <is>
          <t>CS</t>
        </is>
      </c>
      <c r="AS38" s="116">
        <f>IFERROR(LOOKUP(2,1/('DRAFT 2'!$D:$D=$B38),'DRAFT 2'!$T:$T),"")</f>
        <v/>
      </c>
      <c r="AT38" s="116">
        <f>IFERROR(LOOKUP(2,1/('DRAFT 2'!$D:$D=$B38),'DRAFT 2'!$A:$A),"")</f>
        <v/>
      </c>
      <c r="AU38" s="116">
        <f>IFERROR(LOOKUP(2,1/('DRAFT 2'!$D:$D=$B38),'DRAFT 2'!$R:$R),"")</f>
        <v/>
      </c>
      <c r="AV38" s="116">
        <f>IFERROR(LOOKUP(2,1/('DRAFT 2'!$D:$D=$B38),'DRAFT 2'!$S:$S),"")</f>
        <v/>
      </c>
      <c r="AW38" s="116" t="inlineStr">
        <is>
          <t>PROSPECT</t>
        </is>
      </c>
      <c r="AX38" s="116">
        <f>IFERROR(LOOKUP(2,1/('DRAFT 2'!$D:$D=$B38),'DRAFT 2'!$M:$M),"")</f>
        <v/>
      </c>
      <c r="AY38" s="116">
        <f>IFERROR(LOOKUP(2,1/('DRAFT 2'!$D:$D=$B38),'DRAFT 2'!$K:$K),"")</f>
        <v/>
      </c>
      <c r="BG38" s="116">
        <f>IFERROR(LOOKUP(2,1/('DRAFT 2'!$D:$D=$B38),'DRAFT 2'!$U:$U),"")</f>
        <v/>
      </c>
      <c r="BH38" s="116">
        <f>IFERROR(LOOKUP(2,1/('DRAFT 2'!$D:$D=$B38),'DRAFT 2'!$V:$V),"")</f>
        <v/>
      </c>
      <c r="CE38" s="116">
        <f>IFERROR(AJ38,0)</f>
        <v/>
      </c>
      <c r="CF38" s="116">
        <f>IFERROR(LOOKUP(2,1/('DRAFT 2'!$D:$D=$B38)*('DRAFT 2'!$A:$A&gt;=DATE(2026,1,1))*('DRAFT 2'!$A:$A&lt;DATE(2026,IF(1=12,1+1,1+1),1)),'DRAFT 2'!$A:$A),"")</f>
        <v/>
      </c>
      <c r="CG38" s="116">
        <f>COUNTIFS('DRAFT 2'!$D:$D,$B38,'DRAFT 2'!$A:$A,"&gt;="&amp;DATE(2026,1,1),'DRAFT 2'!$A:$A,"&lt;="&amp;DATE(2026,1,7))</f>
        <v/>
      </c>
      <c r="CH38" s="116">
        <f>COUNTIFS('DRAFT 2'!$D:$D,$B38,'DRAFT 2'!$A:$A,"&gt;="&amp;DATE(2026,1,8),'DRAFT 2'!$A:$A,"&lt;="&amp;DATE(2026,1,14))</f>
        <v/>
      </c>
      <c r="CI38" s="116">
        <f>COUNTIFS('DRAFT 2'!$D:$D,$B38,'DRAFT 2'!$A:$A,"&gt;="&amp;DATE(2026,1,15),'DRAFT 2'!$A:$A,"&lt;="&amp;DATE(2026,1,21))</f>
        <v/>
      </c>
      <c r="CJ38" s="116">
        <f>COUNTIFS('DRAFT 2'!$D:$D,$B38,'DRAFT 2'!$A:$A,"&gt;="&amp;DATE(2026,1,22),'DRAFT 2'!$A:$A,"&lt;"&amp;DATE(2026,IF(1=12,1+1,1+1),1))</f>
        <v/>
      </c>
      <c r="CK38" s="116">
        <f>SUM(CG38:CJ38)</f>
        <v/>
      </c>
      <c r="CT38" s="116" t="n">
        <v>0</v>
      </c>
      <c r="CU38" s="116">
        <f>IFERROR(LOOKUP(2,1/('DRAFT 2'!$D:$D=$B38)*('DRAFT 2'!$A:$A&gt;=DATE(2026,2,1))*('DRAFT 2'!$A:$A&lt;DATE(2026,IF(2=12,2+1,2+1),1)),'DRAFT 2'!$A:$A),"")</f>
        <v/>
      </c>
      <c r="CV38" s="116">
        <f>COUNTIFS('DRAFT 2'!$D:$D,$B38,'DRAFT 2'!$A:$A,"&gt;="&amp;DATE(2026,2,1),'DRAFT 2'!$A:$A,"&lt;="&amp;DATE(2026,2,7))</f>
        <v/>
      </c>
      <c r="CW38" s="116">
        <f>COUNTIFS('DRAFT 2'!$D:$D,$B38,'DRAFT 2'!$A:$A,"&gt;="&amp;DATE(2026,2,8),'DRAFT 2'!$A:$A,"&lt;="&amp;DATE(2026,2,14))</f>
        <v/>
      </c>
      <c r="CX38" s="116">
        <f>COUNTIFS('DRAFT 2'!$D:$D,$B38,'DRAFT 2'!$A:$A,"&gt;="&amp;DATE(2026,2,15),'DRAFT 2'!$A:$A,"&lt;="&amp;DATE(2026,2,21))</f>
        <v/>
      </c>
      <c r="CY38" s="116">
        <f>COUNTIFS('DRAFT 2'!$D:$D,$B38,'DRAFT 2'!$A:$A,"&gt;="&amp;DATE(2026,2,22),'DRAFT 2'!$A:$A,"&lt;"&amp;DATE(2026,IF(2=12,2+1,2+1),1))</f>
        <v/>
      </c>
      <c r="CZ38" s="116">
        <f>SUM(CV38:CY38)</f>
        <v/>
      </c>
      <c r="DJ38" s="116">
        <f>IFERROR(LOOKUP(2,1/('DRAFT 2'!$D:$D=$B38)*('DRAFT 2'!$A:$A&gt;=DATE(2026,3,1))*('DRAFT 2'!$A:$A&lt;DATE(2026,IF(3=12,3+1,3+1),1)),'DRAFT 2'!$A:$A),"")</f>
        <v/>
      </c>
      <c r="DK38" s="116">
        <f>COUNTIFS('DRAFT 2'!$D:$D,$B38,'DRAFT 2'!$A:$A,"&gt;="&amp;DATE(2026,3,1),'DRAFT 2'!$A:$A,"&lt;="&amp;DATE(2026,3,7))</f>
        <v/>
      </c>
      <c r="DL38" s="116">
        <f>COUNTIFS('DRAFT 2'!$D:$D,$B38,'DRAFT 2'!$A:$A,"&gt;="&amp;DATE(2026,3,8),'DRAFT 2'!$A:$A,"&lt;="&amp;DATE(2026,3,14))</f>
        <v/>
      </c>
      <c r="DM38" s="116">
        <f>COUNTIFS('DRAFT 2'!$D:$D,$B38,'DRAFT 2'!$A:$A,"&gt;="&amp;DATE(2026,3,15),'DRAFT 2'!$A:$A,"&lt;="&amp;DATE(2026,3,21))</f>
        <v/>
      </c>
      <c r="DN38" s="116">
        <f>COUNTIFS('DRAFT 2'!$D:$D,$B38,'DRAFT 2'!$A:$A,"&gt;="&amp;DATE(2026,3,22),'DRAFT 2'!$A:$A,"&lt;"&amp;DATE(2026,IF(3=12,3+1,3+1),1))</f>
        <v/>
      </c>
      <c r="DO38" s="116">
        <f>SUM(DK38:DN38)</f>
        <v/>
      </c>
      <c r="DZ38" s="116">
        <f>IFERROR(LOOKUP(2,1/('DRAFT 2'!$D:$D=$B38)*('DRAFT 2'!$A:$A&gt;=DATE(2026,4,1))*('DRAFT 2'!$A:$A&lt;DATE(2026,IF(4=12,4+1,4+1),1)),'DRAFT 2'!$A:$A),"")</f>
        <v/>
      </c>
      <c r="EA38" s="116">
        <f>COUNTIFS('DRAFT 2'!$D:$D,$B38,'DRAFT 2'!$A:$A,"&gt;="&amp;DATE(2026,4,1),'DRAFT 2'!$A:$A,"&lt;="&amp;DATE(2026,4,7))</f>
        <v/>
      </c>
      <c r="EB38" s="116">
        <f>COUNTIFS('DRAFT 2'!$D:$D,$B38,'DRAFT 2'!$A:$A,"&gt;="&amp;DATE(2026,4,8),'DRAFT 2'!$A:$A,"&lt;="&amp;DATE(2026,4,14))</f>
        <v/>
      </c>
      <c r="EC38" s="116">
        <f>COUNTIFS('DRAFT 2'!$D:$D,$B38,'DRAFT 2'!$A:$A,"&gt;="&amp;DATE(2026,4,15),'DRAFT 2'!$A:$A,"&lt;="&amp;DATE(2026,4,21))</f>
        <v/>
      </c>
      <c r="ED38" s="116">
        <f>COUNTIFS('DRAFT 2'!$D:$D,$B38,'DRAFT 2'!$A:$A,"&gt;="&amp;DATE(2026,4,22),'DRAFT 2'!$A:$A,"&lt;"&amp;DATE(2026,IF(4=12,4+1,4+1),1))</f>
        <v/>
      </c>
      <c r="EE38" s="116">
        <f>SUM(EA38:ED38)</f>
        <v/>
      </c>
      <c r="EO38" s="116">
        <f>IFERROR(LOOKUP(2,1/('DRAFT 2'!$D:$D=$B38)*('DRAFT 2'!$A:$A&gt;=DATE(2026,5,1))*('DRAFT 2'!$A:$A&lt;DATE(2026,IF(5=12,5+1,5+1),1)),'DRAFT 2'!$A:$A),"")</f>
        <v/>
      </c>
      <c r="EP38" s="116">
        <f>COUNTIFS('DRAFT 2'!$D:$D,$B38,'DRAFT 2'!$A:$A,"&gt;="&amp;DATE(2026,5,1),'DRAFT 2'!$A:$A,"&lt;="&amp;DATE(2026,5,7))</f>
        <v/>
      </c>
      <c r="EQ38" s="116">
        <f>COUNTIFS('DRAFT 2'!$D:$D,$B38,'DRAFT 2'!$A:$A,"&gt;="&amp;DATE(2026,5,8),'DRAFT 2'!$A:$A,"&lt;="&amp;DATE(2026,5,14))</f>
        <v/>
      </c>
      <c r="ER38" s="116">
        <f>COUNTIFS('DRAFT 2'!$D:$D,$B38,'DRAFT 2'!$A:$A,"&gt;="&amp;DATE(2026,5,15),'DRAFT 2'!$A:$A,"&lt;="&amp;DATE(2026,5,21))</f>
        <v/>
      </c>
      <c r="ES38" s="116">
        <f>COUNTIFS('DRAFT 2'!$D:$D,$B38,'DRAFT 2'!$A:$A,"&gt;="&amp;DATE(2026,5,22),'DRAFT 2'!$A:$A,"&lt;"&amp;DATE(2026,IF(5=12,5+1,5+1),1))</f>
        <v/>
      </c>
      <c r="ET38" s="116">
        <f>SUM(EP38:ES38)</f>
        <v/>
      </c>
      <c r="FD38" s="116">
        <f>IFERROR(LOOKUP(2,1/('DRAFT 2'!$D:$D=$B38)*('DRAFT 2'!$A:$A&gt;=DATE(2026,6,1))*('DRAFT 2'!$A:$A&lt;DATE(2026,IF(6=12,6+1,6+1),1)),'DRAFT 2'!$A:$A),"")</f>
        <v/>
      </c>
      <c r="FE38" s="116">
        <f>COUNTIFS('DRAFT 2'!$D:$D,$B38,'DRAFT 2'!$A:$A,"&gt;="&amp;DATE(2026,6,1),'DRAFT 2'!$A:$A,"&lt;="&amp;DATE(2026,6,7))</f>
        <v/>
      </c>
      <c r="FF38" s="116">
        <f>COUNTIFS('DRAFT 2'!$D:$D,$B38,'DRAFT 2'!$A:$A,"&gt;="&amp;DATE(2026,6,8),'DRAFT 2'!$A:$A,"&lt;="&amp;DATE(2026,6,14))</f>
        <v/>
      </c>
      <c r="FG38" s="116">
        <f>COUNTIFS('DRAFT 2'!$D:$D,$B38,'DRAFT 2'!$A:$A,"&gt;="&amp;DATE(2026,6,15),'DRAFT 2'!$A:$A,"&lt;="&amp;DATE(2026,6,21))</f>
        <v/>
      </c>
      <c r="FH38" s="116">
        <f>COUNTIFS('DRAFT 2'!$D:$D,$B38,'DRAFT 2'!$A:$A,"&gt;="&amp;DATE(2026,6,22),'DRAFT 2'!$A:$A,"&lt;"&amp;DATE(2026,IF(6=12,6+1,6+1),1))</f>
        <v/>
      </c>
      <c r="FI38" s="116">
        <f>SUM(FE38:FH38)</f>
        <v/>
      </c>
      <c r="FT38" s="116">
        <f>IFERROR(LOOKUP(2,1/('DRAFT 2'!$D:$D=$B38)*('DRAFT 2'!$A:$A&gt;=DATE(2026,7,1))*('DRAFT 2'!$A:$A&lt;DATE(2026,IF(7=12,7+1,7+1),1)),'DRAFT 2'!$A:$A),"")</f>
        <v/>
      </c>
      <c r="FU38" s="116">
        <f>COUNTIFS('DRAFT 2'!$D:$D,$B38,'DRAFT 2'!$A:$A,"&gt;="&amp;DATE(2026,7,1),'DRAFT 2'!$A:$A,"&lt;="&amp;DATE(2026,7,7))</f>
        <v/>
      </c>
      <c r="FV38" s="116">
        <f>COUNTIFS('DRAFT 2'!$D:$D,$B38,'DRAFT 2'!$A:$A,"&gt;="&amp;DATE(2026,7,8),'DRAFT 2'!$A:$A,"&lt;="&amp;DATE(2026,7,14))</f>
        <v/>
      </c>
      <c r="FW38" s="116">
        <f>COUNTIFS('DRAFT 2'!$D:$D,$B38,'DRAFT 2'!$A:$A,"&gt;="&amp;DATE(2026,7,15),'DRAFT 2'!$A:$A,"&lt;="&amp;DATE(2026,7,21))</f>
        <v/>
      </c>
      <c r="FX38" s="116">
        <f>COUNTIFS('DRAFT 2'!$D:$D,$B38,'DRAFT 2'!$A:$A,"&gt;="&amp;DATE(2026,7,22),'DRAFT 2'!$A:$A,"&lt;"&amp;DATE(2026,IF(7=12,7+1,7+1),1))</f>
        <v/>
      </c>
      <c r="FY38" s="116">
        <f>SUM(FU38:FX38)</f>
        <v/>
      </c>
      <c r="GI38" s="116">
        <f>IFERROR(LOOKUP(2,1/('DRAFT 2'!$D:$D=$B38)*('DRAFT 2'!$A:$A&gt;=DATE(2026,8,1))*('DRAFT 2'!$A:$A&lt;DATE(2026,IF(8=12,8+1,8+1),1)),'DRAFT 2'!$A:$A),"")</f>
        <v/>
      </c>
      <c r="GJ38" s="116">
        <f>COUNTIFS('DRAFT 2'!$D:$D,$B38,'DRAFT 2'!$A:$A,"&gt;="&amp;DATE(2026,8,1),'DRAFT 2'!$A:$A,"&lt;="&amp;DATE(2026,8,7))</f>
        <v/>
      </c>
      <c r="GK38" s="116">
        <f>COUNTIFS('DRAFT 2'!$D:$D,$B38,'DRAFT 2'!$A:$A,"&gt;="&amp;DATE(2026,8,8),'DRAFT 2'!$A:$A,"&lt;="&amp;DATE(2026,8,14))</f>
        <v/>
      </c>
      <c r="GL38" s="116">
        <f>COUNTIFS('DRAFT 2'!$D:$D,$B38,'DRAFT 2'!$A:$A,"&gt;="&amp;DATE(2026,8,15),'DRAFT 2'!$A:$A,"&lt;="&amp;DATE(2026,8,21))</f>
        <v/>
      </c>
      <c r="GM38" s="116">
        <f>COUNTIFS('DRAFT 2'!$D:$D,$B38,'DRAFT 2'!$A:$A,"&gt;="&amp;DATE(2026,8,22),'DRAFT 2'!$A:$A,"&lt;"&amp;DATE(2026,IF(8=12,8+1,8+1),1))</f>
        <v/>
      </c>
      <c r="GN38" s="116">
        <f>SUM(GJ38:GM38)</f>
        <v/>
      </c>
      <c r="GX38" s="116">
        <f>IFERROR(LOOKUP(2,1/('DRAFT 2'!$D:$D=$B38)*('DRAFT 2'!$A:$A&gt;=DATE(2026,9,1))*('DRAFT 2'!$A:$A&lt;DATE(2026,IF(9=12,9+1,9+1),1)),'DRAFT 2'!$A:$A),"")</f>
        <v/>
      </c>
      <c r="GY38" s="116">
        <f>COUNTIFS('DRAFT 2'!$D:$D,$B38,'DRAFT 2'!$A:$A,"&gt;="&amp;DATE(2026,9,1),'DRAFT 2'!$A:$A,"&lt;="&amp;DATE(2026,9,7))</f>
        <v/>
      </c>
      <c r="GZ38" s="116">
        <f>COUNTIFS('DRAFT 2'!$D:$D,$B38,'DRAFT 2'!$A:$A,"&gt;="&amp;DATE(2026,9,8),'DRAFT 2'!$A:$A,"&lt;="&amp;DATE(2026,9,14))</f>
        <v/>
      </c>
      <c r="HA38" s="116">
        <f>COUNTIFS('DRAFT 2'!$D:$D,$B38,'DRAFT 2'!$A:$A,"&gt;="&amp;DATE(2026,9,15),'DRAFT 2'!$A:$A,"&lt;="&amp;DATE(2026,9,21))</f>
        <v/>
      </c>
      <c r="HB38" s="116">
        <f>COUNTIFS('DRAFT 2'!$D:$D,$B38,'DRAFT 2'!$A:$A,"&gt;="&amp;DATE(2026,9,22),'DRAFT 2'!$A:$A,"&lt;"&amp;DATE(2026,IF(9=12,9+1,9+1),1))</f>
        <v/>
      </c>
      <c r="HC38" s="116">
        <f>SUM(GY38:HB38)</f>
        <v/>
      </c>
      <c r="HN38" s="116">
        <f>IFERROR(LOOKUP(2,1/('DRAFT 2'!$D:$D=$B38)*('DRAFT 2'!$A:$A&gt;=DATE(2026,10,1))*('DRAFT 2'!$A:$A&lt;DATE(2026,IF(10=12,10+1,10+1),1)),'DRAFT 2'!$A:$A),"")</f>
        <v/>
      </c>
      <c r="HO38" s="116">
        <f>COUNTIFS('DRAFT 2'!$D:$D,$B38,'DRAFT 2'!$A:$A,"&gt;="&amp;DATE(2026,10,1),'DRAFT 2'!$A:$A,"&lt;="&amp;DATE(2026,10,7))</f>
        <v/>
      </c>
      <c r="HP38" s="116">
        <f>COUNTIFS('DRAFT 2'!$D:$D,$B38,'DRAFT 2'!$A:$A,"&gt;="&amp;DATE(2026,10,8),'DRAFT 2'!$A:$A,"&lt;="&amp;DATE(2026,10,14))</f>
        <v/>
      </c>
      <c r="HQ38" s="116">
        <f>COUNTIFS('DRAFT 2'!$D:$D,$B38,'DRAFT 2'!$A:$A,"&gt;="&amp;DATE(2026,10,15),'DRAFT 2'!$A:$A,"&lt;="&amp;DATE(2026,10,21))</f>
        <v/>
      </c>
      <c r="HR38" s="116">
        <f>COUNTIFS('DRAFT 2'!$D:$D,$B38,'DRAFT 2'!$A:$A,"&gt;="&amp;DATE(2026,10,22),'DRAFT 2'!$A:$A,"&lt;"&amp;DATE(2026,IF(10=12,10+1,10+1),1))</f>
        <v/>
      </c>
      <c r="HS38" s="116">
        <f>SUM(HO38:HR38)</f>
        <v/>
      </c>
      <c r="IC38" s="116">
        <f>IFERROR(LOOKUP(2,1/('DRAFT 2'!$D:$D=$B38)*('DRAFT 2'!$A:$A&gt;=DATE(2026,11,1))*('DRAFT 2'!$A:$A&lt;DATE(2026,IF(11=12,11+1,11+1),1)),'DRAFT 2'!$A:$A),"")</f>
        <v/>
      </c>
      <c r="ID38" s="116">
        <f>COUNTIFS('DRAFT 2'!$D:$D,$B38,'DRAFT 2'!$A:$A,"&gt;="&amp;DATE(2026,11,1),'DRAFT 2'!$A:$A,"&lt;="&amp;DATE(2026,11,7))</f>
        <v/>
      </c>
      <c r="IE38" s="116">
        <f>COUNTIFS('DRAFT 2'!$D:$D,$B38,'DRAFT 2'!$A:$A,"&gt;="&amp;DATE(2026,11,8),'DRAFT 2'!$A:$A,"&lt;="&amp;DATE(2026,11,14))</f>
        <v/>
      </c>
      <c r="IF38" s="116">
        <f>COUNTIFS('DRAFT 2'!$D:$D,$B38,'DRAFT 2'!$A:$A,"&gt;="&amp;DATE(2026,11,15),'DRAFT 2'!$A:$A,"&lt;="&amp;DATE(2026,11,21))</f>
        <v/>
      </c>
      <c r="IG38" s="116">
        <f>COUNTIFS('DRAFT 2'!$D:$D,$B38,'DRAFT 2'!$A:$A,"&gt;="&amp;DATE(2026,11,22),'DRAFT 2'!$A:$A,"&lt;"&amp;DATE(2026,IF(11=12,11+1,11+1),1))</f>
        <v/>
      </c>
      <c r="IH38" s="116">
        <f>SUM(ID38:IG38)</f>
        <v/>
      </c>
      <c r="IR38" s="116">
        <f>IFERROR(LOOKUP(2,1/('DRAFT 2'!$D:$D=$B38)*('DRAFT 2'!$A:$A&gt;=DATE(2026,12,1))*('DRAFT 2'!$A:$A&lt;DATE(2026,IF(12=12,12+1,12+1),1)),'DRAFT 2'!$A:$A),"")</f>
        <v/>
      </c>
      <c r="IS38" s="116">
        <f>COUNTIFS('DRAFT 2'!$D:$D,$B38,'DRAFT 2'!$A:$A,"&gt;="&amp;DATE(2026,12,1),'DRAFT 2'!$A:$A,"&lt;="&amp;DATE(2026,12,7))</f>
        <v/>
      </c>
      <c r="IT38" s="116">
        <f>COUNTIFS('DRAFT 2'!$D:$D,$B38,'DRAFT 2'!$A:$A,"&gt;="&amp;DATE(2026,12,8),'DRAFT 2'!$A:$A,"&lt;="&amp;DATE(2026,12,14))</f>
        <v/>
      </c>
      <c r="IU38" s="116">
        <f>COUNTIFS('DRAFT 2'!$D:$D,$B38,'DRAFT 2'!$A:$A,"&gt;="&amp;DATE(2026,12,15),'DRAFT 2'!$A:$A,"&lt;="&amp;DATE(2026,12,21))</f>
        <v/>
      </c>
      <c r="IV38" s="116">
        <f>COUNTIFS('DRAFT 2'!$D:$D,$B38,'DRAFT 2'!$A:$A,"&gt;="&amp;DATE(2026,12,22),'DRAFT 2'!$A:$A,"&lt;"&amp;DATE(2026,IF(12=12,12+1,12+1),1))</f>
        <v/>
      </c>
      <c r="IW38" s="116">
        <f>SUM(IS38:IV38)</f>
        <v/>
      </c>
    </row>
    <row r="39">
      <c r="A39" s="116">
        <f>IFERROR(INDEX('DRAFT 1'!$A:$A,MATCH($B39,'DRAFT 1'!$B:$B,0)),"")</f>
        <v/>
      </c>
      <c r="C39" s="116">
        <f>IFERROR(INDEX('DRAFT 1'!$C:$C,MATCH($B39,'DRAFT 1'!$B:$B,0)),"")</f>
        <v/>
      </c>
      <c r="D39" s="116">
        <f>IFERROR(INDEX('DRAFT 1'!$D:$D,MATCH($B39,'DRAFT 1'!$B:$B,0)),"")</f>
        <v/>
      </c>
      <c r="E39" s="116">
        <f>IFERROR(INDEX('DRAFT 1'!$E:$E,MATCH($B39,'DRAFT 1'!$B:$B,0)),"")</f>
        <v/>
      </c>
      <c r="F39" s="116">
        <f>IFERROR(INDEX('DRAFT 1'!$F:$F,MATCH($B39,'DRAFT 1'!$B:$B,0)),"")</f>
        <v/>
      </c>
      <c r="G39" s="116">
        <f>IFERROR(INDEX('DRAFT 1'!$G:$G,MATCH($B39,'DRAFT 1'!$B:$B,0)),"")</f>
        <v/>
      </c>
      <c r="H39" s="116">
        <f>IFERROR(INDEX('DRAFT 1'!$H:$H,MATCH($B39,'DRAFT 1'!$B:$B,0)),"")</f>
        <v/>
      </c>
      <c r="I39" s="116" t="inlineStr">
        <is>
          <t>MUNDO VERDE</t>
        </is>
      </c>
      <c r="K39" s="116">
        <f>IFERROR(INDEX('DRAFT 1'!$AL:$AL,MATCH($B39,'DRAFT 1'!$B:$B,0)),"")</f>
        <v/>
      </c>
      <c r="L39" s="116">
        <f>IFERROR(INDEX('DRAFT 1'!$J:$J,MATCH($B39,'DRAFT 1'!$B:$B,0)),"")</f>
        <v/>
      </c>
      <c r="M39" s="116">
        <f>IFERROR(INDEX('DRAFT 1'!$K:$K,MATCH($B39,'DRAFT 1'!$B:$B,0)),"")</f>
        <v/>
      </c>
      <c r="N39" s="116" t="inlineStr">
        <is>
          <t>INAT.REC</t>
        </is>
      </c>
      <c r="P39" s="116">
        <f>IFERROR(INDEX('DRAFT 1'!$L:$L,MATCH($B39,'DRAFT 1'!$B:$B,0)),"")</f>
        <v/>
      </c>
      <c r="Q39" s="116">
        <f>IFERROR(INDEX('DRAFT 1'!$M:$M,MATCH($B39,'DRAFT 1'!$B:$B,0)),"")</f>
        <v/>
      </c>
      <c r="R39" s="116">
        <f>IFERROR(INDEX('DRAFT 1'!$N:$N,MATCH($B39,'DRAFT 1'!$B:$B,0)),"")</f>
        <v/>
      </c>
      <c r="S39" s="116">
        <f>IFERROR(INDEX('DRAFT 1'!$O:$O,MATCH($B39,'DRAFT 1'!$B:$B,0)),"")</f>
        <v/>
      </c>
      <c r="T39" s="116">
        <f>IFERROR(INDEX('DRAFT 1'!$P:$P,MATCH($B39,'DRAFT 1'!$B:$B,0)),"")</f>
        <v/>
      </c>
      <c r="U39" s="116">
        <f>IFERROR(INDEX('DRAFT 1'!$Q:$Q,MATCH($B39,'DRAFT 1'!$B:$B,0)),"")</f>
        <v/>
      </c>
      <c r="V39" s="116">
        <f>IFERROR(INDEX('DRAFT 1'!$R:$R,MATCH($B39,'DRAFT 1'!$B:$B,0)),"")</f>
        <v/>
      </c>
      <c r="W39" s="116">
        <f>IFERROR(INDEX('DRAFT 1'!$S:$S,MATCH($B39,'DRAFT 1'!$B:$B,0)),"")</f>
        <v/>
      </c>
      <c r="X39" s="116">
        <f>IFERROR(INDEX('DRAFT 1'!$T:$T,MATCH($B39,'DRAFT 1'!$B:$B,0)),"")</f>
        <v/>
      </c>
      <c r="Z39" s="116">
        <f>IFERROR(INDEX('DRAFT 1'!$U:$U,MATCH($B39,'DRAFT 1'!$B:$B,0)),"")</f>
        <v/>
      </c>
      <c r="AA39" s="116">
        <f>IFERROR(INDEX('DRAFT 1'!$V:$V,MATCH($B39,'DRAFT 1'!$B:$B,0)),"")</f>
        <v/>
      </c>
      <c r="AB39" s="116">
        <f>IFERROR(INDEX('DRAFT 1'!$W:$W,MATCH($B39,'DRAFT 1'!$B:$B,0)),"")</f>
        <v/>
      </c>
      <c r="AC39" s="116">
        <f>IFERROR(INDEX('DRAFT 1'!$X:$X,MATCH($B39,'DRAFT 1'!$B:$B,0)),"")</f>
        <v/>
      </c>
      <c r="AD39" s="116">
        <f>IFERROR(INDEX('DRAFT 1'!$Y:$Y,MATCH($B39,'DRAFT 1'!$B:$B,0)),"")</f>
        <v/>
      </c>
      <c r="AE39" s="116">
        <f>IFERROR(INDEX('DRAFT 1'!$Z:$Z,MATCH($B39,'DRAFT 1'!$B:$B,0)),"")</f>
        <v/>
      </c>
      <c r="AF39" s="116">
        <f>IFERROR(INDEX('DRAFT 1'!$AA:$AA,MATCH($B39,'DRAFT 1'!$B:$B,0)),"")</f>
        <v/>
      </c>
      <c r="AG39" s="116">
        <f>IFERROR(INDEX('DRAFT 1'!$AB:$AB,MATCH($B39,'DRAFT 1'!$B:$B,0)),"")</f>
        <v/>
      </c>
      <c r="AH39" s="116">
        <f>IFERROR(INDEX('DRAFT 1'!$AC:$AC,MATCH($B39,'DRAFT 1'!$B:$B,0)),"")</f>
        <v/>
      </c>
      <c r="AI39" s="116">
        <f>IFERROR(INDEX('DRAFT 1'!$AD:$AD,MATCH($B39,'DRAFT 1'!$B:$B,0)),"")</f>
        <v/>
      </c>
      <c r="AJ39" s="116">
        <f>IFERROR(INDEX('DRAFT 1'!$AE:$AE,MATCH($B39,'DRAFT 1'!$B:$B,0)),"")</f>
        <v/>
      </c>
      <c r="AK39" s="116">
        <f>IFERROR(INDEX('DRAFT 1'!$AG:$AG,MATCH($B39,'DRAFT 1'!$B:$B,0)),"")</f>
        <v/>
      </c>
      <c r="AL39" s="116">
        <f>IFERROR(INDEX('DRAFT 1'!$AH:$AH,MATCH($B39,'DRAFT 1'!$B:$B,0)),"")</f>
        <v/>
      </c>
      <c r="AM39" s="116">
        <f>IFERROR(INDEX('DRAFT 1'!$AI:$AI,MATCH($B39,'DRAFT 1'!$B:$B,0)),"")</f>
        <v/>
      </c>
      <c r="AN39" s="116">
        <f>IFERROR(INDEX('DRAFT 1'!$AJ:$AJ,MATCH($B39,'DRAFT 1'!$B:$B,0)),"")</f>
        <v/>
      </c>
      <c r="AO39" s="116">
        <f>IFERROR(Y39/AN39,0)</f>
        <v/>
      </c>
      <c r="AP39" s="116">
        <f>IFERROR(INDEX('DRAFT 1'!$AK:$AK,MATCH($B39,'DRAFT 1'!$B:$B,0)),"")</f>
        <v/>
      </c>
      <c r="AR39" s="116" t="inlineStr">
        <is>
          <t>PÓS-VENDA</t>
        </is>
      </c>
      <c r="AS39" s="116">
        <f>IFERROR(LOOKUP(2,1/('DRAFT 2'!$D:$D=$B39),'DRAFT 2'!$T:$T),"")</f>
        <v/>
      </c>
      <c r="AT39" s="116">
        <f>IFERROR(LOOKUP(2,1/('DRAFT 2'!$D:$D=$B39),'DRAFT 2'!$A:$A),"")</f>
        <v/>
      </c>
      <c r="AU39" s="116">
        <f>IFERROR(LOOKUP(2,1/('DRAFT 2'!$D:$D=$B39),'DRAFT 2'!$R:$R),"")</f>
        <v/>
      </c>
      <c r="AV39" s="116">
        <f>IFERROR(LOOKUP(2,1/('DRAFT 2'!$D:$D=$B39),'DRAFT 2'!$S:$S),"")</f>
        <v/>
      </c>
      <c r="AW39" s="116" t="inlineStr">
        <is>
          <t>FIDELIZADO</t>
        </is>
      </c>
      <c r="AX39" s="116">
        <f>IFERROR(LOOKUP(2,1/('DRAFT 2'!$D:$D=$B39),'DRAFT 2'!$M:$M),"")</f>
        <v/>
      </c>
      <c r="AY39" s="116">
        <f>IFERROR(LOOKUP(2,1/('DRAFT 2'!$D:$D=$B39),'DRAFT 2'!$K:$K),"")</f>
        <v/>
      </c>
      <c r="BG39" s="116">
        <f>IFERROR(LOOKUP(2,1/('DRAFT 2'!$D:$D=$B39),'DRAFT 2'!$U:$U),"")</f>
        <v/>
      </c>
      <c r="BH39" s="116">
        <f>IFERROR(LOOKUP(2,1/('DRAFT 2'!$D:$D=$B39),'DRAFT 2'!$V:$V),"")</f>
        <v/>
      </c>
      <c r="CE39" s="116">
        <f>IFERROR(AJ39,0)</f>
        <v/>
      </c>
      <c r="CF39" s="116">
        <f>IFERROR(LOOKUP(2,1/('DRAFT 2'!$D:$D=$B39)*('DRAFT 2'!$A:$A&gt;=DATE(2026,1,1))*('DRAFT 2'!$A:$A&lt;DATE(2026,IF(1=12,1+1,1+1),1)),'DRAFT 2'!$A:$A),"")</f>
        <v/>
      </c>
      <c r="CG39" s="116">
        <f>COUNTIFS('DRAFT 2'!$D:$D,$B39,'DRAFT 2'!$A:$A,"&gt;="&amp;DATE(2026,1,1),'DRAFT 2'!$A:$A,"&lt;="&amp;DATE(2026,1,7))</f>
        <v/>
      </c>
      <c r="CH39" s="116">
        <f>COUNTIFS('DRAFT 2'!$D:$D,$B39,'DRAFT 2'!$A:$A,"&gt;="&amp;DATE(2026,1,8),'DRAFT 2'!$A:$A,"&lt;="&amp;DATE(2026,1,14))</f>
        <v/>
      </c>
      <c r="CI39" s="116">
        <f>COUNTIFS('DRAFT 2'!$D:$D,$B39,'DRAFT 2'!$A:$A,"&gt;="&amp;DATE(2026,1,15),'DRAFT 2'!$A:$A,"&lt;="&amp;DATE(2026,1,21))</f>
        <v/>
      </c>
      <c r="CJ39" s="116">
        <f>COUNTIFS('DRAFT 2'!$D:$D,$B39,'DRAFT 2'!$A:$A,"&gt;="&amp;DATE(2026,1,22),'DRAFT 2'!$A:$A,"&lt;"&amp;DATE(2026,IF(1=12,1+1,1+1),1))</f>
        <v/>
      </c>
      <c r="CK39" s="116">
        <f>SUM(CG39:CJ39)</f>
        <v/>
      </c>
      <c r="CT39" s="116" t="n">
        <v>0</v>
      </c>
      <c r="CU39" s="116">
        <f>IFERROR(LOOKUP(2,1/('DRAFT 2'!$D:$D=$B39)*('DRAFT 2'!$A:$A&gt;=DATE(2026,2,1))*('DRAFT 2'!$A:$A&lt;DATE(2026,IF(2=12,2+1,2+1),1)),'DRAFT 2'!$A:$A),"")</f>
        <v/>
      </c>
      <c r="CV39" s="116">
        <f>COUNTIFS('DRAFT 2'!$D:$D,$B39,'DRAFT 2'!$A:$A,"&gt;="&amp;DATE(2026,2,1),'DRAFT 2'!$A:$A,"&lt;="&amp;DATE(2026,2,7))</f>
        <v/>
      </c>
      <c r="CW39" s="116">
        <f>COUNTIFS('DRAFT 2'!$D:$D,$B39,'DRAFT 2'!$A:$A,"&gt;="&amp;DATE(2026,2,8),'DRAFT 2'!$A:$A,"&lt;="&amp;DATE(2026,2,14))</f>
        <v/>
      </c>
      <c r="CX39" s="116">
        <f>COUNTIFS('DRAFT 2'!$D:$D,$B39,'DRAFT 2'!$A:$A,"&gt;="&amp;DATE(2026,2,15),'DRAFT 2'!$A:$A,"&lt;="&amp;DATE(2026,2,21))</f>
        <v/>
      </c>
      <c r="CY39" s="116">
        <f>COUNTIFS('DRAFT 2'!$D:$D,$B39,'DRAFT 2'!$A:$A,"&gt;="&amp;DATE(2026,2,22),'DRAFT 2'!$A:$A,"&lt;"&amp;DATE(2026,IF(2=12,2+1,2+1),1))</f>
        <v/>
      </c>
      <c r="CZ39" s="116">
        <f>SUM(CV39:CY39)</f>
        <v/>
      </c>
      <c r="DJ39" s="116">
        <f>IFERROR(LOOKUP(2,1/('DRAFT 2'!$D:$D=$B39)*('DRAFT 2'!$A:$A&gt;=DATE(2026,3,1))*('DRAFT 2'!$A:$A&lt;DATE(2026,IF(3=12,3+1,3+1),1)),'DRAFT 2'!$A:$A),"")</f>
        <v/>
      </c>
      <c r="DK39" s="116">
        <f>COUNTIFS('DRAFT 2'!$D:$D,$B39,'DRAFT 2'!$A:$A,"&gt;="&amp;DATE(2026,3,1),'DRAFT 2'!$A:$A,"&lt;="&amp;DATE(2026,3,7))</f>
        <v/>
      </c>
      <c r="DL39" s="116">
        <f>COUNTIFS('DRAFT 2'!$D:$D,$B39,'DRAFT 2'!$A:$A,"&gt;="&amp;DATE(2026,3,8),'DRAFT 2'!$A:$A,"&lt;="&amp;DATE(2026,3,14))</f>
        <v/>
      </c>
      <c r="DM39" s="116">
        <f>COUNTIFS('DRAFT 2'!$D:$D,$B39,'DRAFT 2'!$A:$A,"&gt;="&amp;DATE(2026,3,15),'DRAFT 2'!$A:$A,"&lt;="&amp;DATE(2026,3,21))</f>
        <v/>
      </c>
      <c r="DN39" s="116">
        <f>COUNTIFS('DRAFT 2'!$D:$D,$B39,'DRAFT 2'!$A:$A,"&gt;="&amp;DATE(2026,3,22),'DRAFT 2'!$A:$A,"&lt;"&amp;DATE(2026,IF(3=12,3+1,3+1),1))</f>
        <v/>
      </c>
      <c r="DO39" s="116">
        <f>SUM(DK39:DN39)</f>
        <v/>
      </c>
      <c r="DZ39" s="116">
        <f>IFERROR(LOOKUP(2,1/('DRAFT 2'!$D:$D=$B39)*('DRAFT 2'!$A:$A&gt;=DATE(2026,4,1))*('DRAFT 2'!$A:$A&lt;DATE(2026,IF(4=12,4+1,4+1),1)),'DRAFT 2'!$A:$A),"")</f>
        <v/>
      </c>
      <c r="EA39" s="116">
        <f>COUNTIFS('DRAFT 2'!$D:$D,$B39,'DRAFT 2'!$A:$A,"&gt;="&amp;DATE(2026,4,1),'DRAFT 2'!$A:$A,"&lt;="&amp;DATE(2026,4,7))</f>
        <v/>
      </c>
      <c r="EB39" s="116">
        <f>COUNTIFS('DRAFT 2'!$D:$D,$B39,'DRAFT 2'!$A:$A,"&gt;="&amp;DATE(2026,4,8),'DRAFT 2'!$A:$A,"&lt;="&amp;DATE(2026,4,14))</f>
        <v/>
      </c>
      <c r="EC39" s="116">
        <f>COUNTIFS('DRAFT 2'!$D:$D,$B39,'DRAFT 2'!$A:$A,"&gt;="&amp;DATE(2026,4,15),'DRAFT 2'!$A:$A,"&lt;="&amp;DATE(2026,4,21))</f>
        <v/>
      </c>
      <c r="ED39" s="116">
        <f>COUNTIFS('DRAFT 2'!$D:$D,$B39,'DRAFT 2'!$A:$A,"&gt;="&amp;DATE(2026,4,22),'DRAFT 2'!$A:$A,"&lt;"&amp;DATE(2026,IF(4=12,4+1,4+1),1))</f>
        <v/>
      </c>
      <c r="EE39" s="116">
        <f>SUM(EA39:ED39)</f>
        <v/>
      </c>
      <c r="EO39" s="116">
        <f>IFERROR(LOOKUP(2,1/('DRAFT 2'!$D:$D=$B39)*('DRAFT 2'!$A:$A&gt;=DATE(2026,5,1))*('DRAFT 2'!$A:$A&lt;DATE(2026,IF(5=12,5+1,5+1),1)),'DRAFT 2'!$A:$A),"")</f>
        <v/>
      </c>
      <c r="EP39" s="116">
        <f>COUNTIFS('DRAFT 2'!$D:$D,$B39,'DRAFT 2'!$A:$A,"&gt;="&amp;DATE(2026,5,1),'DRAFT 2'!$A:$A,"&lt;="&amp;DATE(2026,5,7))</f>
        <v/>
      </c>
      <c r="EQ39" s="116">
        <f>COUNTIFS('DRAFT 2'!$D:$D,$B39,'DRAFT 2'!$A:$A,"&gt;="&amp;DATE(2026,5,8),'DRAFT 2'!$A:$A,"&lt;="&amp;DATE(2026,5,14))</f>
        <v/>
      </c>
      <c r="ER39" s="116">
        <f>COUNTIFS('DRAFT 2'!$D:$D,$B39,'DRAFT 2'!$A:$A,"&gt;="&amp;DATE(2026,5,15),'DRAFT 2'!$A:$A,"&lt;="&amp;DATE(2026,5,21))</f>
        <v/>
      </c>
      <c r="ES39" s="116">
        <f>COUNTIFS('DRAFT 2'!$D:$D,$B39,'DRAFT 2'!$A:$A,"&gt;="&amp;DATE(2026,5,22),'DRAFT 2'!$A:$A,"&lt;"&amp;DATE(2026,IF(5=12,5+1,5+1),1))</f>
        <v/>
      </c>
      <c r="ET39" s="116">
        <f>SUM(EP39:ES39)</f>
        <v/>
      </c>
      <c r="FD39" s="116">
        <f>IFERROR(LOOKUP(2,1/('DRAFT 2'!$D:$D=$B39)*('DRAFT 2'!$A:$A&gt;=DATE(2026,6,1))*('DRAFT 2'!$A:$A&lt;DATE(2026,IF(6=12,6+1,6+1),1)),'DRAFT 2'!$A:$A),"")</f>
        <v/>
      </c>
      <c r="FE39" s="116">
        <f>COUNTIFS('DRAFT 2'!$D:$D,$B39,'DRAFT 2'!$A:$A,"&gt;="&amp;DATE(2026,6,1),'DRAFT 2'!$A:$A,"&lt;="&amp;DATE(2026,6,7))</f>
        <v/>
      </c>
      <c r="FF39" s="116">
        <f>COUNTIFS('DRAFT 2'!$D:$D,$B39,'DRAFT 2'!$A:$A,"&gt;="&amp;DATE(2026,6,8),'DRAFT 2'!$A:$A,"&lt;="&amp;DATE(2026,6,14))</f>
        <v/>
      </c>
      <c r="FG39" s="116">
        <f>COUNTIFS('DRAFT 2'!$D:$D,$B39,'DRAFT 2'!$A:$A,"&gt;="&amp;DATE(2026,6,15),'DRAFT 2'!$A:$A,"&lt;="&amp;DATE(2026,6,21))</f>
        <v/>
      </c>
      <c r="FH39" s="116">
        <f>COUNTIFS('DRAFT 2'!$D:$D,$B39,'DRAFT 2'!$A:$A,"&gt;="&amp;DATE(2026,6,22),'DRAFT 2'!$A:$A,"&lt;"&amp;DATE(2026,IF(6=12,6+1,6+1),1))</f>
        <v/>
      </c>
      <c r="FI39" s="116">
        <f>SUM(FE39:FH39)</f>
        <v/>
      </c>
      <c r="FT39" s="116">
        <f>IFERROR(LOOKUP(2,1/('DRAFT 2'!$D:$D=$B39)*('DRAFT 2'!$A:$A&gt;=DATE(2026,7,1))*('DRAFT 2'!$A:$A&lt;DATE(2026,IF(7=12,7+1,7+1),1)),'DRAFT 2'!$A:$A),"")</f>
        <v/>
      </c>
      <c r="FU39" s="116">
        <f>COUNTIFS('DRAFT 2'!$D:$D,$B39,'DRAFT 2'!$A:$A,"&gt;="&amp;DATE(2026,7,1),'DRAFT 2'!$A:$A,"&lt;="&amp;DATE(2026,7,7))</f>
        <v/>
      </c>
      <c r="FV39" s="116">
        <f>COUNTIFS('DRAFT 2'!$D:$D,$B39,'DRAFT 2'!$A:$A,"&gt;="&amp;DATE(2026,7,8),'DRAFT 2'!$A:$A,"&lt;="&amp;DATE(2026,7,14))</f>
        <v/>
      </c>
      <c r="FW39" s="116">
        <f>COUNTIFS('DRAFT 2'!$D:$D,$B39,'DRAFT 2'!$A:$A,"&gt;="&amp;DATE(2026,7,15),'DRAFT 2'!$A:$A,"&lt;="&amp;DATE(2026,7,21))</f>
        <v/>
      </c>
      <c r="FX39" s="116">
        <f>COUNTIFS('DRAFT 2'!$D:$D,$B39,'DRAFT 2'!$A:$A,"&gt;="&amp;DATE(2026,7,22),'DRAFT 2'!$A:$A,"&lt;"&amp;DATE(2026,IF(7=12,7+1,7+1),1))</f>
        <v/>
      </c>
      <c r="FY39" s="116">
        <f>SUM(FU39:FX39)</f>
        <v/>
      </c>
      <c r="GI39" s="116">
        <f>IFERROR(LOOKUP(2,1/('DRAFT 2'!$D:$D=$B39)*('DRAFT 2'!$A:$A&gt;=DATE(2026,8,1))*('DRAFT 2'!$A:$A&lt;DATE(2026,IF(8=12,8+1,8+1),1)),'DRAFT 2'!$A:$A),"")</f>
        <v/>
      </c>
      <c r="GJ39" s="116">
        <f>COUNTIFS('DRAFT 2'!$D:$D,$B39,'DRAFT 2'!$A:$A,"&gt;="&amp;DATE(2026,8,1),'DRAFT 2'!$A:$A,"&lt;="&amp;DATE(2026,8,7))</f>
        <v/>
      </c>
      <c r="GK39" s="116">
        <f>COUNTIFS('DRAFT 2'!$D:$D,$B39,'DRAFT 2'!$A:$A,"&gt;="&amp;DATE(2026,8,8),'DRAFT 2'!$A:$A,"&lt;="&amp;DATE(2026,8,14))</f>
        <v/>
      </c>
      <c r="GL39" s="116">
        <f>COUNTIFS('DRAFT 2'!$D:$D,$B39,'DRAFT 2'!$A:$A,"&gt;="&amp;DATE(2026,8,15),'DRAFT 2'!$A:$A,"&lt;="&amp;DATE(2026,8,21))</f>
        <v/>
      </c>
      <c r="GM39" s="116">
        <f>COUNTIFS('DRAFT 2'!$D:$D,$B39,'DRAFT 2'!$A:$A,"&gt;="&amp;DATE(2026,8,22),'DRAFT 2'!$A:$A,"&lt;"&amp;DATE(2026,IF(8=12,8+1,8+1),1))</f>
        <v/>
      </c>
      <c r="GN39" s="116">
        <f>SUM(GJ39:GM39)</f>
        <v/>
      </c>
      <c r="GX39" s="116">
        <f>IFERROR(LOOKUP(2,1/('DRAFT 2'!$D:$D=$B39)*('DRAFT 2'!$A:$A&gt;=DATE(2026,9,1))*('DRAFT 2'!$A:$A&lt;DATE(2026,IF(9=12,9+1,9+1),1)),'DRAFT 2'!$A:$A),"")</f>
        <v/>
      </c>
      <c r="GY39" s="116">
        <f>COUNTIFS('DRAFT 2'!$D:$D,$B39,'DRAFT 2'!$A:$A,"&gt;="&amp;DATE(2026,9,1),'DRAFT 2'!$A:$A,"&lt;="&amp;DATE(2026,9,7))</f>
        <v/>
      </c>
      <c r="GZ39" s="116">
        <f>COUNTIFS('DRAFT 2'!$D:$D,$B39,'DRAFT 2'!$A:$A,"&gt;="&amp;DATE(2026,9,8),'DRAFT 2'!$A:$A,"&lt;="&amp;DATE(2026,9,14))</f>
        <v/>
      </c>
      <c r="HA39" s="116">
        <f>COUNTIFS('DRAFT 2'!$D:$D,$B39,'DRAFT 2'!$A:$A,"&gt;="&amp;DATE(2026,9,15),'DRAFT 2'!$A:$A,"&lt;="&amp;DATE(2026,9,21))</f>
        <v/>
      </c>
      <c r="HB39" s="116">
        <f>COUNTIFS('DRAFT 2'!$D:$D,$B39,'DRAFT 2'!$A:$A,"&gt;="&amp;DATE(2026,9,22),'DRAFT 2'!$A:$A,"&lt;"&amp;DATE(2026,IF(9=12,9+1,9+1),1))</f>
        <v/>
      </c>
      <c r="HC39" s="116">
        <f>SUM(GY39:HB39)</f>
        <v/>
      </c>
      <c r="HN39" s="116">
        <f>IFERROR(LOOKUP(2,1/('DRAFT 2'!$D:$D=$B39)*('DRAFT 2'!$A:$A&gt;=DATE(2026,10,1))*('DRAFT 2'!$A:$A&lt;DATE(2026,IF(10=12,10+1,10+1),1)),'DRAFT 2'!$A:$A),"")</f>
        <v/>
      </c>
      <c r="HO39" s="116">
        <f>COUNTIFS('DRAFT 2'!$D:$D,$B39,'DRAFT 2'!$A:$A,"&gt;="&amp;DATE(2026,10,1),'DRAFT 2'!$A:$A,"&lt;="&amp;DATE(2026,10,7))</f>
        <v/>
      </c>
      <c r="HP39" s="116">
        <f>COUNTIFS('DRAFT 2'!$D:$D,$B39,'DRAFT 2'!$A:$A,"&gt;="&amp;DATE(2026,10,8),'DRAFT 2'!$A:$A,"&lt;="&amp;DATE(2026,10,14))</f>
        <v/>
      </c>
      <c r="HQ39" s="116">
        <f>COUNTIFS('DRAFT 2'!$D:$D,$B39,'DRAFT 2'!$A:$A,"&gt;="&amp;DATE(2026,10,15),'DRAFT 2'!$A:$A,"&lt;="&amp;DATE(2026,10,21))</f>
        <v/>
      </c>
      <c r="HR39" s="116">
        <f>COUNTIFS('DRAFT 2'!$D:$D,$B39,'DRAFT 2'!$A:$A,"&gt;="&amp;DATE(2026,10,22),'DRAFT 2'!$A:$A,"&lt;"&amp;DATE(2026,IF(10=12,10+1,10+1),1))</f>
        <v/>
      </c>
      <c r="HS39" s="116">
        <f>SUM(HO39:HR39)</f>
        <v/>
      </c>
      <c r="IC39" s="116">
        <f>IFERROR(LOOKUP(2,1/('DRAFT 2'!$D:$D=$B39)*('DRAFT 2'!$A:$A&gt;=DATE(2026,11,1))*('DRAFT 2'!$A:$A&lt;DATE(2026,IF(11=12,11+1,11+1),1)),'DRAFT 2'!$A:$A),"")</f>
        <v/>
      </c>
      <c r="ID39" s="116">
        <f>COUNTIFS('DRAFT 2'!$D:$D,$B39,'DRAFT 2'!$A:$A,"&gt;="&amp;DATE(2026,11,1),'DRAFT 2'!$A:$A,"&lt;="&amp;DATE(2026,11,7))</f>
        <v/>
      </c>
      <c r="IE39" s="116">
        <f>COUNTIFS('DRAFT 2'!$D:$D,$B39,'DRAFT 2'!$A:$A,"&gt;="&amp;DATE(2026,11,8),'DRAFT 2'!$A:$A,"&lt;="&amp;DATE(2026,11,14))</f>
        <v/>
      </c>
      <c r="IF39" s="116">
        <f>COUNTIFS('DRAFT 2'!$D:$D,$B39,'DRAFT 2'!$A:$A,"&gt;="&amp;DATE(2026,11,15),'DRAFT 2'!$A:$A,"&lt;="&amp;DATE(2026,11,21))</f>
        <v/>
      </c>
      <c r="IG39" s="116">
        <f>COUNTIFS('DRAFT 2'!$D:$D,$B39,'DRAFT 2'!$A:$A,"&gt;="&amp;DATE(2026,11,22),'DRAFT 2'!$A:$A,"&lt;"&amp;DATE(2026,IF(11=12,11+1,11+1),1))</f>
        <v/>
      </c>
      <c r="IH39" s="116">
        <f>SUM(ID39:IG39)</f>
        <v/>
      </c>
      <c r="IR39" s="116">
        <f>IFERROR(LOOKUP(2,1/('DRAFT 2'!$D:$D=$B39)*('DRAFT 2'!$A:$A&gt;=DATE(2026,12,1))*('DRAFT 2'!$A:$A&lt;DATE(2026,IF(12=12,12+1,12+1),1)),'DRAFT 2'!$A:$A),"")</f>
        <v/>
      </c>
      <c r="IS39" s="116">
        <f>COUNTIFS('DRAFT 2'!$D:$D,$B39,'DRAFT 2'!$A:$A,"&gt;="&amp;DATE(2026,12,1),'DRAFT 2'!$A:$A,"&lt;="&amp;DATE(2026,12,7))</f>
        <v/>
      </c>
      <c r="IT39" s="116">
        <f>COUNTIFS('DRAFT 2'!$D:$D,$B39,'DRAFT 2'!$A:$A,"&gt;="&amp;DATE(2026,12,8),'DRAFT 2'!$A:$A,"&lt;="&amp;DATE(2026,12,14))</f>
        <v/>
      </c>
      <c r="IU39" s="116">
        <f>COUNTIFS('DRAFT 2'!$D:$D,$B39,'DRAFT 2'!$A:$A,"&gt;="&amp;DATE(2026,12,15),'DRAFT 2'!$A:$A,"&lt;="&amp;DATE(2026,12,21))</f>
        <v/>
      </c>
      <c r="IV39" s="116">
        <f>COUNTIFS('DRAFT 2'!$D:$D,$B39,'DRAFT 2'!$A:$A,"&gt;="&amp;DATE(2026,12,22),'DRAFT 2'!$A:$A,"&lt;"&amp;DATE(2026,IF(12=12,12+1,12+1),1))</f>
        <v/>
      </c>
      <c r="IW39" s="116">
        <f>SUM(IS39:IV39)</f>
        <v/>
      </c>
    </row>
    <row r="40">
      <c r="A40" s="116">
        <f>IFERROR(INDEX('DRAFT 1'!$A:$A,MATCH($B40,'DRAFT 1'!$B:$B,0)),"")</f>
        <v/>
      </c>
      <c r="C40" s="116">
        <f>IFERROR(INDEX('DRAFT 1'!$C:$C,MATCH($B40,'DRAFT 1'!$B:$B,0)),"")</f>
        <v/>
      </c>
      <c r="D40" s="116">
        <f>IFERROR(INDEX('DRAFT 1'!$D:$D,MATCH($B40,'DRAFT 1'!$B:$B,0)),"")</f>
        <v/>
      </c>
      <c r="E40" s="116">
        <f>IFERROR(INDEX('DRAFT 1'!$E:$E,MATCH($B40,'DRAFT 1'!$B:$B,0)),"")</f>
        <v/>
      </c>
      <c r="F40" s="116">
        <f>IFERROR(INDEX('DRAFT 1'!$F:$F,MATCH($B40,'DRAFT 1'!$B:$B,0)),"")</f>
        <v/>
      </c>
      <c r="G40" s="116">
        <f>IFERROR(INDEX('DRAFT 1'!$G:$G,MATCH($B40,'DRAFT 1'!$B:$B,0)),"")</f>
        <v/>
      </c>
      <c r="H40" s="116">
        <f>IFERROR(INDEX('DRAFT 1'!$H:$H,MATCH($B40,'DRAFT 1'!$B:$B,0)),"")</f>
        <v/>
      </c>
      <c r="I40" s="116" t="inlineStr">
        <is>
          <t>DIVINA TERRA</t>
        </is>
      </c>
      <c r="K40" s="116">
        <f>IFERROR(INDEX('DRAFT 1'!$AL:$AL,MATCH($B40,'DRAFT 1'!$B:$B,0)),"")</f>
        <v/>
      </c>
      <c r="L40" s="116">
        <f>IFERROR(INDEX('DRAFT 1'!$J:$J,MATCH($B40,'DRAFT 1'!$B:$B,0)),"")</f>
        <v/>
      </c>
      <c r="M40" s="116">
        <f>IFERROR(INDEX('DRAFT 1'!$K:$K,MATCH($B40,'DRAFT 1'!$B:$B,0)),"")</f>
        <v/>
      </c>
      <c r="N40" s="116" t="inlineStr">
        <is>
          <t>ATIVO</t>
        </is>
      </c>
      <c r="P40" s="116">
        <f>IFERROR(INDEX('DRAFT 1'!$L:$L,MATCH($B40,'DRAFT 1'!$B:$B,0)),"")</f>
        <v/>
      </c>
      <c r="Q40" s="116">
        <f>IFERROR(INDEX('DRAFT 1'!$M:$M,MATCH($B40,'DRAFT 1'!$B:$B,0)),"")</f>
        <v/>
      </c>
      <c r="R40" s="116">
        <f>IFERROR(INDEX('DRAFT 1'!$N:$N,MATCH($B40,'DRAFT 1'!$B:$B,0)),"")</f>
        <v/>
      </c>
      <c r="S40" s="116">
        <f>IFERROR(INDEX('DRAFT 1'!$O:$O,MATCH($B40,'DRAFT 1'!$B:$B,0)),"")</f>
        <v/>
      </c>
      <c r="T40" s="116">
        <f>IFERROR(INDEX('DRAFT 1'!$P:$P,MATCH($B40,'DRAFT 1'!$B:$B,0)),"")</f>
        <v/>
      </c>
      <c r="U40" s="116">
        <f>IFERROR(INDEX('DRAFT 1'!$Q:$Q,MATCH($B40,'DRAFT 1'!$B:$B,0)),"")</f>
        <v/>
      </c>
      <c r="V40" s="116">
        <f>IFERROR(INDEX('DRAFT 1'!$R:$R,MATCH($B40,'DRAFT 1'!$B:$B,0)),"")</f>
        <v/>
      </c>
      <c r="W40" s="116">
        <f>IFERROR(INDEX('DRAFT 1'!$S:$S,MATCH($B40,'DRAFT 1'!$B:$B,0)),"")</f>
        <v/>
      </c>
      <c r="X40" s="116">
        <f>IFERROR(INDEX('DRAFT 1'!$T:$T,MATCH($B40,'DRAFT 1'!$B:$B,0)),"")</f>
        <v/>
      </c>
      <c r="Z40" s="116">
        <f>IFERROR(INDEX('DRAFT 1'!$U:$U,MATCH($B40,'DRAFT 1'!$B:$B,0)),"")</f>
        <v/>
      </c>
      <c r="AA40" s="116">
        <f>IFERROR(INDEX('DRAFT 1'!$V:$V,MATCH($B40,'DRAFT 1'!$B:$B,0)),"")</f>
        <v/>
      </c>
      <c r="AB40" s="116">
        <f>IFERROR(INDEX('DRAFT 1'!$W:$W,MATCH($B40,'DRAFT 1'!$B:$B,0)),"")</f>
        <v/>
      </c>
      <c r="AC40" s="116">
        <f>IFERROR(INDEX('DRAFT 1'!$X:$X,MATCH($B40,'DRAFT 1'!$B:$B,0)),"")</f>
        <v/>
      </c>
      <c r="AD40" s="116">
        <f>IFERROR(INDEX('DRAFT 1'!$Y:$Y,MATCH($B40,'DRAFT 1'!$B:$B,0)),"")</f>
        <v/>
      </c>
      <c r="AE40" s="116">
        <f>IFERROR(INDEX('DRAFT 1'!$Z:$Z,MATCH($B40,'DRAFT 1'!$B:$B,0)),"")</f>
        <v/>
      </c>
      <c r="AF40" s="116">
        <f>IFERROR(INDEX('DRAFT 1'!$AA:$AA,MATCH($B40,'DRAFT 1'!$B:$B,0)),"")</f>
        <v/>
      </c>
      <c r="AG40" s="116">
        <f>IFERROR(INDEX('DRAFT 1'!$AB:$AB,MATCH($B40,'DRAFT 1'!$B:$B,0)),"")</f>
        <v/>
      </c>
      <c r="AH40" s="116">
        <f>IFERROR(INDEX('DRAFT 1'!$AC:$AC,MATCH($B40,'DRAFT 1'!$B:$B,0)),"")</f>
        <v/>
      </c>
      <c r="AI40" s="116">
        <f>IFERROR(INDEX('DRAFT 1'!$AD:$AD,MATCH($B40,'DRAFT 1'!$B:$B,0)),"")</f>
        <v/>
      </c>
      <c r="AJ40" s="116">
        <f>IFERROR(INDEX('DRAFT 1'!$AE:$AE,MATCH($B40,'DRAFT 1'!$B:$B,0)),"")</f>
        <v/>
      </c>
      <c r="AK40" s="116">
        <f>IFERROR(INDEX('DRAFT 1'!$AG:$AG,MATCH($B40,'DRAFT 1'!$B:$B,0)),"")</f>
        <v/>
      </c>
      <c r="AL40" s="116">
        <f>IFERROR(INDEX('DRAFT 1'!$AH:$AH,MATCH($B40,'DRAFT 1'!$B:$B,0)),"")</f>
        <v/>
      </c>
      <c r="AM40" s="116">
        <f>IFERROR(INDEX('DRAFT 1'!$AI:$AI,MATCH($B40,'DRAFT 1'!$B:$B,0)),"")</f>
        <v/>
      </c>
      <c r="AN40" s="116">
        <f>IFERROR(INDEX('DRAFT 1'!$AJ:$AJ,MATCH($B40,'DRAFT 1'!$B:$B,0)),"")</f>
        <v/>
      </c>
      <c r="AO40" s="116">
        <f>IFERROR(Y40/AN40,0)</f>
        <v/>
      </c>
      <c r="AP40" s="116">
        <f>IFERROR(INDEX('DRAFT 1'!$AK:$AK,MATCH($B40,'DRAFT 1'!$B:$B,0)),"")</f>
        <v/>
      </c>
      <c r="AR40" s="116" t="inlineStr">
        <is>
          <t>RECOMPRA</t>
        </is>
      </c>
      <c r="AS40" s="116">
        <f>IFERROR(LOOKUP(2,1/('DRAFT 2'!$D:$D=$B40),'DRAFT 2'!$T:$T),"")</f>
        <v/>
      </c>
      <c r="AT40" s="116">
        <f>IFERROR(LOOKUP(2,1/('DRAFT 2'!$D:$D=$B40),'DRAFT 2'!$A:$A),"")</f>
        <v/>
      </c>
      <c r="AU40" s="116">
        <f>IFERROR(LOOKUP(2,1/('DRAFT 2'!$D:$D=$B40),'DRAFT 2'!$R:$R),"")</f>
        <v/>
      </c>
      <c r="AV40" s="116">
        <f>IFERROR(LOOKUP(2,1/('DRAFT 2'!$D:$D=$B40),'DRAFT 2'!$S:$S),"")</f>
        <v/>
      </c>
      <c r="AW40" s="116" t="inlineStr">
        <is>
          <t>RECORRENTE</t>
        </is>
      </c>
      <c r="AX40" s="116">
        <f>IFERROR(LOOKUP(2,1/('DRAFT 2'!$D:$D=$B40),'DRAFT 2'!$M:$M),"")</f>
        <v/>
      </c>
      <c r="AY40" s="116">
        <f>IFERROR(LOOKUP(2,1/('DRAFT 2'!$D:$D=$B40),'DRAFT 2'!$K:$K),"")</f>
        <v/>
      </c>
      <c r="BG40" s="116">
        <f>IFERROR(LOOKUP(2,1/('DRAFT 2'!$D:$D=$B40),'DRAFT 2'!$U:$U),"")</f>
        <v/>
      </c>
      <c r="BH40" s="116">
        <f>IFERROR(LOOKUP(2,1/('DRAFT 2'!$D:$D=$B40),'DRAFT 2'!$V:$V),"")</f>
        <v/>
      </c>
      <c r="CE40" s="116">
        <f>IFERROR(AJ40,0)</f>
        <v/>
      </c>
      <c r="CF40" s="116">
        <f>IFERROR(LOOKUP(2,1/('DRAFT 2'!$D:$D=$B40)*('DRAFT 2'!$A:$A&gt;=DATE(2026,1,1))*('DRAFT 2'!$A:$A&lt;DATE(2026,IF(1=12,1+1,1+1),1)),'DRAFT 2'!$A:$A),"")</f>
        <v/>
      </c>
      <c r="CG40" s="116">
        <f>COUNTIFS('DRAFT 2'!$D:$D,$B40,'DRAFT 2'!$A:$A,"&gt;="&amp;DATE(2026,1,1),'DRAFT 2'!$A:$A,"&lt;="&amp;DATE(2026,1,7))</f>
        <v/>
      </c>
      <c r="CH40" s="116">
        <f>COUNTIFS('DRAFT 2'!$D:$D,$B40,'DRAFT 2'!$A:$A,"&gt;="&amp;DATE(2026,1,8),'DRAFT 2'!$A:$A,"&lt;="&amp;DATE(2026,1,14))</f>
        <v/>
      </c>
      <c r="CI40" s="116">
        <f>COUNTIFS('DRAFT 2'!$D:$D,$B40,'DRAFT 2'!$A:$A,"&gt;="&amp;DATE(2026,1,15),'DRAFT 2'!$A:$A,"&lt;="&amp;DATE(2026,1,21))</f>
        <v/>
      </c>
      <c r="CJ40" s="116">
        <f>COUNTIFS('DRAFT 2'!$D:$D,$B40,'DRAFT 2'!$A:$A,"&gt;="&amp;DATE(2026,1,22),'DRAFT 2'!$A:$A,"&lt;"&amp;DATE(2026,IF(1=12,1+1,1+1),1))</f>
        <v/>
      </c>
      <c r="CK40" s="116">
        <f>SUM(CG40:CJ40)</f>
        <v/>
      </c>
      <c r="CT40" s="116" t="n">
        <v>0</v>
      </c>
      <c r="CU40" s="116">
        <f>IFERROR(LOOKUP(2,1/('DRAFT 2'!$D:$D=$B40)*('DRAFT 2'!$A:$A&gt;=DATE(2026,2,1))*('DRAFT 2'!$A:$A&lt;DATE(2026,IF(2=12,2+1,2+1),1)),'DRAFT 2'!$A:$A),"")</f>
        <v/>
      </c>
      <c r="CV40" s="116">
        <f>COUNTIFS('DRAFT 2'!$D:$D,$B40,'DRAFT 2'!$A:$A,"&gt;="&amp;DATE(2026,2,1),'DRAFT 2'!$A:$A,"&lt;="&amp;DATE(2026,2,7))</f>
        <v/>
      </c>
      <c r="CW40" s="116">
        <f>COUNTIFS('DRAFT 2'!$D:$D,$B40,'DRAFT 2'!$A:$A,"&gt;="&amp;DATE(2026,2,8),'DRAFT 2'!$A:$A,"&lt;="&amp;DATE(2026,2,14))</f>
        <v/>
      </c>
      <c r="CX40" s="116">
        <f>COUNTIFS('DRAFT 2'!$D:$D,$B40,'DRAFT 2'!$A:$A,"&gt;="&amp;DATE(2026,2,15),'DRAFT 2'!$A:$A,"&lt;="&amp;DATE(2026,2,21))</f>
        <v/>
      </c>
      <c r="CY40" s="116">
        <f>COUNTIFS('DRAFT 2'!$D:$D,$B40,'DRAFT 2'!$A:$A,"&gt;="&amp;DATE(2026,2,22),'DRAFT 2'!$A:$A,"&lt;"&amp;DATE(2026,IF(2=12,2+1,2+1),1))</f>
        <v/>
      </c>
      <c r="CZ40" s="116">
        <f>SUM(CV40:CY40)</f>
        <v/>
      </c>
      <c r="DJ40" s="116">
        <f>IFERROR(LOOKUP(2,1/('DRAFT 2'!$D:$D=$B40)*('DRAFT 2'!$A:$A&gt;=DATE(2026,3,1))*('DRAFT 2'!$A:$A&lt;DATE(2026,IF(3=12,3+1,3+1),1)),'DRAFT 2'!$A:$A),"")</f>
        <v/>
      </c>
      <c r="DK40" s="116">
        <f>COUNTIFS('DRAFT 2'!$D:$D,$B40,'DRAFT 2'!$A:$A,"&gt;="&amp;DATE(2026,3,1),'DRAFT 2'!$A:$A,"&lt;="&amp;DATE(2026,3,7))</f>
        <v/>
      </c>
      <c r="DL40" s="116">
        <f>COUNTIFS('DRAFT 2'!$D:$D,$B40,'DRAFT 2'!$A:$A,"&gt;="&amp;DATE(2026,3,8),'DRAFT 2'!$A:$A,"&lt;="&amp;DATE(2026,3,14))</f>
        <v/>
      </c>
      <c r="DM40" s="116">
        <f>COUNTIFS('DRAFT 2'!$D:$D,$B40,'DRAFT 2'!$A:$A,"&gt;="&amp;DATE(2026,3,15),'DRAFT 2'!$A:$A,"&lt;="&amp;DATE(2026,3,21))</f>
        <v/>
      </c>
      <c r="DN40" s="116">
        <f>COUNTIFS('DRAFT 2'!$D:$D,$B40,'DRAFT 2'!$A:$A,"&gt;="&amp;DATE(2026,3,22),'DRAFT 2'!$A:$A,"&lt;"&amp;DATE(2026,IF(3=12,3+1,3+1),1))</f>
        <v/>
      </c>
      <c r="DO40" s="116">
        <f>SUM(DK40:DN40)</f>
        <v/>
      </c>
      <c r="DZ40" s="116">
        <f>IFERROR(LOOKUP(2,1/('DRAFT 2'!$D:$D=$B40)*('DRAFT 2'!$A:$A&gt;=DATE(2026,4,1))*('DRAFT 2'!$A:$A&lt;DATE(2026,IF(4=12,4+1,4+1),1)),'DRAFT 2'!$A:$A),"")</f>
        <v/>
      </c>
      <c r="EA40" s="116">
        <f>COUNTIFS('DRAFT 2'!$D:$D,$B40,'DRAFT 2'!$A:$A,"&gt;="&amp;DATE(2026,4,1),'DRAFT 2'!$A:$A,"&lt;="&amp;DATE(2026,4,7))</f>
        <v/>
      </c>
      <c r="EB40" s="116">
        <f>COUNTIFS('DRAFT 2'!$D:$D,$B40,'DRAFT 2'!$A:$A,"&gt;="&amp;DATE(2026,4,8),'DRAFT 2'!$A:$A,"&lt;="&amp;DATE(2026,4,14))</f>
        <v/>
      </c>
      <c r="EC40" s="116">
        <f>COUNTIFS('DRAFT 2'!$D:$D,$B40,'DRAFT 2'!$A:$A,"&gt;="&amp;DATE(2026,4,15),'DRAFT 2'!$A:$A,"&lt;="&amp;DATE(2026,4,21))</f>
        <v/>
      </c>
      <c r="ED40" s="116">
        <f>COUNTIFS('DRAFT 2'!$D:$D,$B40,'DRAFT 2'!$A:$A,"&gt;="&amp;DATE(2026,4,22),'DRAFT 2'!$A:$A,"&lt;"&amp;DATE(2026,IF(4=12,4+1,4+1),1))</f>
        <v/>
      </c>
      <c r="EE40" s="116">
        <f>SUM(EA40:ED40)</f>
        <v/>
      </c>
      <c r="EO40" s="116">
        <f>IFERROR(LOOKUP(2,1/('DRAFT 2'!$D:$D=$B40)*('DRAFT 2'!$A:$A&gt;=DATE(2026,5,1))*('DRAFT 2'!$A:$A&lt;DATE(2026,IF(5=12,5+1,5+1),1)),'DRAFT 2'!$A:$A),"")</f>
        <v/>
      </c>
      <c r="EP40" s="116">
        <f>COUNTIFS('DRAFT 2'!$D:$D,$B40,'DRAFT 2'!$A:$A,"&gt;="&amp;DATE(2026,5,1),'DRAFT 2'!$A:$A,"&lt;="&amp;DATE(2026,5,7))</f>
        <v/>
      </c>
      <c r="EQ40" s="116">
        <f>COUNTIFS('DRAFT 2'!$D:$D,$B40,'DRAFT 2'!$A:$A,"&gt;="&amp;DATE(2026,5,8),'DRAFT 2'!$A:$A,"&lt;="&amp;DATE(2026,5,14))</f>
        <v/>
      </c>
      <c r="ER40" s="116">
        <f>COUNTIFS('DRAFT 2'!$D:$D,$B40,'DRAFT 2'!$A:$A,"&gt;="&amp;DATE(2026,5,15),'DRAFT 2'!$A:$A,"&lt;="&amp;DATE(2026,5,21))</f>
        <v/>
      </c>
      <c r="ES40" s="116">
        <f>COUNTIFS('DRAFT 2'!$D:$D,$B40,'DRAFT 2'!$A:$A,"&gt;="&amp;DATE(2026,5,22),'DRAFT 2'!$A:$A,"&lt;"&amp;DATE(2026,IF(5=12,5+1,5+1),1))</f>
        <v/>
      </c>
      <c r="ET40" s="116">
        <f>SUM(EP40:ES40)</f>
        <v/>
      </c>
      <c r="FD40" s="116">
        <f>IFERROR(LOOKUP(2,1/('DRAFT 2'!$D:$D=$B40)*('DRAFT 2'!$A:$A&gt;=DATE(2026,6,1))*('DRAFT 2'!$A:$A&lt;DATE(2026,IF(6=12,6+1,6+1),1)),'DRAFT 2'!$A:$A),"")</f>
        <v/>
      </c>
      <c r="FE40" s="116">
        <f>COUNTIFS('DRAFT 2'!$D:$D,$B40,'DRAFT 2'!$A:$A,"&gt;="&amp;DATE(2026,6,1),'DRAFT 2'!$A:$A,"&lt;="&amp;DATE(2026,6,7))</f>
        <v/>
      </c>
      <c r="FF40" s="116">
        <f>COUNTIFS('DRAFT 2'!$D:$D,$B40,'DRAFT 2'!$A:$A,"&gt;="&amp;DATE(2026,6,8),'DRAFT 2'!$A:$A,"&lt;="&amp;DATE(2026,6,14))</f>
        <v/>
      </c>
      <c r="FG40" s="116">
        <f>COUNTIFS('DRAFT 2'!$D:$D,$B40,'DRAFT 2'!$A:$A,"&gt;="&amp;DATE(2026,6,15),'DRAFT 2'!$A:$A,"&lt;="&amp;DATE(2026,6,21))</f>
        <v/>
      </c>
      <c r="FH40" s="116">
        <f>COUNTIFS('DRAFT 2'!$D:$D,$B40,'DRAFT 2'!$A:$A,"&gt;="&amp;DATE(2026,6,22),'DRAFT 2'!$A:$A,"&lt;"&amp;DATE(2026,IF(6=12,6+1,6+1),1))</f>
        <v/>
      </c>
      <c r="FI40" s="116">
        <f>SUM(FE40:FH40)</f>
        <v/>
      </c>
      <c r="FT40" s="116">
        <f>IFERROR(LOOKUP(2,1/('DRAFT 2'!$D:$D=$B40)*('DRAFT 2'!$A:$A&gt;=DATE(2026,7,1))*('DRAFT 2'!$A:$A&lt;DATE(2026,IF(7=12,7+1,7+1),1)),'DRAFT 2'!$A:$A),"")</f>
        <v/>
      </c>
      <c r="FU40" s="116">
        <f>COUNTIFS('DRAFT 2'!$D:$D,$B40,'DRAFT 2'!$A:$A,"&gt;="&amp;DATE(2026,7,1),'DRAFT 2'!$A:$A,"&lt;="&amp;DATE(2026,7,7))</f>
        <v/>
      </c>
      <c r="FV40" s="116">
        <f>COUNTIFS('DRAFT 2'!$D:$D,$B40,'DRAFT 2'!$A:$A,"&gt;="&amp;DATE(2026,7,8),'DRAFT 2'!$A:$A,"&lt;="&amp;DATE(2026,7,14))</f>
        <v/>
      </c>
      <c r="FW40" s="116">
        <f>COUNTIFS('DRAFT 2'!$D:$D,$B40,'DRAFT 2'!$A:$A,"&gt;="&amp;DATE(2026,7,15),'DRAFT 2'!$A:$A,"&lt;="&amp;DATE(2026,7,21))</f>
        <v/>
      </c>
      <c r="FX40" s="116">
        <f>COUNTIFS('DRAFT 2'!$D:$D,$B40,'DRAFT 2'!$A:$A,"&gt;="&amp;DATE(2026,7,22),'DRAFT 2'!$A:$A,"&lt;"&amp;DATE(2026,IF(7=12,7+1,7+1),1))</f>
        <v/>
      </c>
      <c r="FY40" s="116">
        <f>SUM(FU40:FX40)</f>
        <v/>
      </c>
      <c r="GI40" s="116">
        <f>IFERROR(LOOKUP(2,1/('DRAFT 2'!$D:$D=$B40)*('DRAFT 2'!$A:$A&gt;=DATE(2026,8,1))*('DRAFT 2'!$A:$A&lt;DATE(2026,IF(8=12,8+1,8+1),1)),'DRAFT 2'!$A:$A),"")</f>
        <v/>
      </c>
      <c r="GJ40" s="116">
        <f>COUNTIFS('DRAFT 2'!$D:$D,$B40,'DRAFT 2'!$A:$A,"&gt;="&amp;DATE(2026,8,1),'DRAFT 2'!$A:$A,"&lt;="&amp;DATE(2026,8,7))</f>
        <v/>
      </c>
      <c r="GK40" s="116">
        <f>COUNTIFS('DRAFT 2'!$D:$D,$B40,'DRAFT 2'!$A:$A,"&gt;="&amp;DATE(2026,8,8),'DRAFT 2'!$A:$A,"&lt;="&amp;DATE(2026,8,14))</f>
        <v/>
      </c>
      <c r="GL40" s="116">
        <f>COUNTIFS('DRAFT 2'!$D:$D,$B40,'DRAFT 2'!$A:$A,"&gt;="&amp;DATE(2026,8,15),'DRAFT 2'!$A:$A,"&lt;="&amp;DATE(2026,8,21))</f>
        <v/>
      </c>
      <c r="GM40" s="116">
        <f>COUNTIFS('DRAFT 2'!$D:$D,$B40,'DRAFT 2'!$A:$A,"&gt;="&amp;DATE(2026,8,22),'DRAFT 2'!$A:$A,"&lt;"&amp;DATE(2026,IF(8=12,8+1,8+1),1))</f>
        <v/>
      </c>
      <c r="GN40" s="116">
        <f>SUM(GJ40:GM40)</f>
        <v/>
      </c>
      <c r="GX40" s="116">
        <f>IFERROR(LOOKUP(2,1/('DRAFT 2'!$D:$D=$B40)*('DRAFT 2'!$A:$A&gt;=DATE(2026,9,1))*('DRAFT 2'!$A:$A&lt;DATE(2026,IF(9=12,9+1,9+1),1)),'DRAFT 2'!$A:$A),"")</f>
        <v/>
      </c>
      <c r="GY40" s="116">
        <f>COUNTIFS('DRAFT 2'!$D:$D,$B40,'DRAFT 2'!$A:$A,"&gt;="&amp;DATE(2026,9,1),'DRAFT 2'!$A:$A,"&lt;="&amp;DATE(2026,9,7))</f>
        <v/>
      </c>
      <c r="GZ40" s="116">
        <f>COUNTIFS('DRAFT 2'!$D:$D,$B40,'DRAFT 2'!$A:$A,"&gt;="&amp;DATE(2026,9,8),'DRAFT 2'!$A:$A,"&lt;="&amp;DATE(2026,9,14))</f>
        <v/>
      </c>
      <c r="HA40" s="116">
        <f>COUNTIFS('DRAFT 2'!$D:$D,$B40,'DRAFT 2'!$A:$A,"&gt;="&amp;DATE(2026,9,15),'DRAFT 2'!$A:$A,"&lt;="&amp;DATE(2026,9,21))</f>
        <v/>
      </c>
      <c r="HB40" s="116">
        <f>COUNTIFS('DRAFT 2'!$D:$D,$B40,'DRAFT 2'!$A:$A,"&gt;="&amp;DATE(2026,9,22),'DRAFT 2'!$A:$A,"&lt;"&amp;DATE(2026,IF(9=12,9+1,9+1),1))</f>
        <v/>
      </c>
      <c r="HC40" s="116">
        <f>SUM(GY40:HB40)</f>
        <v/>
      </c>
      <c r="HN40" s="116">
        <f>IFERROR(LOOKUP(2,1/('DRAFT 2'!$D:$D=$B40)*('DRAFT 2'!$A:$A&gt;=DATE(2026,10,1))*('DRAFT 2'!$A:$A&lt;DATE(2026,IF(10=12,10+1,10+1),1)),'DRAFT 2'!$A:$A),"")</f>
        <v/>
      </c>
      <c r="HO40" s="116">
        <f>COUNTIFS('DRAFT 2'!$D:$D,$B40,'DRAFT 2'!$A:$A,"&gt;="&amp;DATE(2026,10,1),'DRAFT 2'!$A:$A,"&lt;="&amp;DATE(2026,10,7))</f>
        <v/>
      </c>
      <c r="HP40" s="116">
        <f>COUNTIFS('DRAFT 2'!$D:$D,$B40,'DRAFT 2'!$A:$A,"&gt;="&amp;DATE(2026,10,8),'DRAFT 2'!$A:$A,"&lt;="&amp;DATE(2026,10,14))</f>
        <v/>
      </c>
      <c r="HQ40" s="116">
        <f>COUNTIFS('DRAFT 2'!$D:$D,$B40,'DRAFT 2'!$A:$A,"&gt;="&amp;DATE(2026,10,15),'DRAFT 2'!$A:$A,"&lt;="&amp;DATE(2026,10,21))</f>
        <v/>
      </c>
      <c r="HR40" s="116">
        <f>COUNTIFS('DRAFT 2'!$D:$D,$B40,'DRAFT 2'!$A:$A,"&gt;="&amp;DATE(2026,10,22),'DRAFT 2'!$A:$A,"&lt;"&amp;DATE(2026,IF(10=12,10+1,10+1),1))</f>
        <v/>
      </c>
      <c r="HS40" s="116">
        <f>SUM(HO40:HR40)</f>
        <v/>
      </c>
      <c r="IC40" s="116">
        <f>IFERROR(LOOKUP(2,1/('DRAFT 2'!$D:$D=$B40)*('DRAFT 2'!$A:$A&gt;=DATE(2026,11,1))*('DRAFT 2'!$A:$A&lt;DATE(2026,IF(11=12,11+1,11+1),1)),'DRAFT 2'!$A:$A),"")</f>
        <v/>
      </c>
      <c r="ID40" s="116">
        <f>COUNTIFS('DRAFT 2'!$D:$D,$B40,'DRAFT 2'!$A:$A,"&gt;="&amp;DATE(2026,11,1),'DRAFT 2'!$A:$A,"&lt;="&amp;DATE(2026,11,7))</f>
        <v/>
      </c>
      <c r="IE40" s="116">
        <f>COUNTIFS('DRAFT 2'!$D:$D,$B40,'DRAFT 2'!$A:$A,"&gt;="&amp;DATE(2026,11,8),'DRAFT 2'!$A:$A,"&lt;="&amp;DATE(2026,11,14))</f>
        <v/>
      </c>
      <c r="IF40" s="116">
        <f>COUNTIFS('DRAFT 2'!$D:$D,$B40,'DRAFT 2'!$A:$A,"&gt;="&amp;DATE(2026,11,15),'DRAFT 2'!$A:$A,"&lt;="&amp;DATE(2026,11,21))</f>
        <v/>
      </c>
      <c r="IG40" s="116">
        <f>COUNTIFS('DRAFT 2'!$D:$D,$B40,'DRAFT 2'!$A:$A,"&gt;="&amp;DATE(2026,11,22),'DRAFT 2'!$A:$A,"&lt;"&amp;DATE(2026,IF(11=12,11+1,11+1),1))</f>
        <v/>
      </c>
      <c r="IH40" s="116">
        <f>SUM(ID40:IG40)</f>
        <v/>
      </c>
      <c r="IR40" s="116">
        <f>IFERROR(LOOKUP(2,1/('DRAFT 2'!$D:$D=$B40)*('DRAFT 2'!$A:$A&gt;=DATE(2026,12,1))*('DRAFT 2'!$A:$A&lt;DATE(2026,IF(12=12,12+1,12+1),1)),'DRAFT 2'!$A:$A),"")</f>
        <v/>
      </c>
      <c r="IS40" s="116">
        <f>COUNTIFS('DRAFT 2'!$D:$D,$B40,'DRAFT 2'!$A:$A,"&gt;="&amp;DATE(2026,12,1),'DRAFT 2'!$A:$A,"&lt;="&amp;DATE(2026,12,7))</f>
        <v/>
      </c>
      <c r="IT40" s="116">
        <f>COUNTIFS('DRAFT 2'!$D:$D,$B40,'DRAFT 2'!$A:$A,"&gt;="&amp;DATE(2026,12,8),'DRAFT 2'!$A:$A,"&lt;="&amp;DATE(2026,12,14))</f>
        <v/>
      </c>
      <c r="IU40" s="116">
        <f>COUNTIFS('DRAFT 2'!$D:$D,$B40,'DRAFT 2'!$A:$A,"&gt;="&amp;DATE(2026,12,15),'DRAFT 2'!$A:$A,"&lt;="&amp;DATE(2026,12,21))</f>
        <v/>
      </c>
      <c r="IV40" s="116">
        <f>COUNTIFS('DRAFT 2'!$D:$D,$B40,'DRAFT 2'!$A:$A,"&gt;="&amp;DATE(2026,12,22),'DRAFT 2'!$A:$A,"&lt;"&amp;DATE(2026,IF(12=12,12+1,12+1),1))</f>
        <v/>
      </c>
      <c r="IW40" s="116">
        <f>SUM(IS40:IV40)</f>
        <v/>
      </c>
    </row>
    <row r="41">
      <c r="A41" s="116">
        <f>IFERROR(INDEX('DRAFT 1'!$A:$A,MATCH($B41,'DRAFT 1'!$B:$B,0)),"")</f>
        <v/>
      </c>
      <c r="C41" s="116">
        <f>IFERROR(INDEX('DRAFT 1'!$C:$C,MATCH($B41,'DRAFT 1'!$B:$B,0)),"")</f>
        <v/>
      </c>
      <c r="D41" s="116">
        <f>IFERROR(INDEX('DRAFT 1'!$D:$D,MATCH($B41,'DRAFT 1'!$B:$B,0)),"")</f>
        <v/>
      </c>
      <c r="E41" s="116">
        <f>IFERROR(INDEX('DRAFT 1'!$E:$E,MATCH($B41,'DRAFT 1'!$B:$B,0)),"")</f>
        <v/>
      </c>
      <c r="F41" s="116">
        <f>IFERROR(INDEX('DRAFT 1'!$F:$F,MATCH($B41,'DRAFT 1'!$B:$B,0)),"")</f>
        <v/>
      </c>
      <c r="G41" s="116">
        <f>IFERROR(INDEX('DRAFT 1'!$G:$G,MATCH($B41,'DRAFT 1'!$B:$B,0)),"")</f>
        <v/>
      </c>
      <c r="H41" s="116">
        <f>IFERROR(INDEX('DRAFT 1'!$H:$H,MATCH($B41,'DRAFT 1'!$B:$B,0)),"")</f>
        <v/>
      </c>
      <c r="I41" s="116" t="inlineStr">
        <is>
          <t>FIT LAND</t>
        </is>
      </c>
      <c r="K41" s="116">
        <f>IFERROR(INDEX('DRAFT 1'!$AL:$AL,MATCH($B41,'DRAFT 1'!$B:$B,0)),"")</f>
        <v/>
      </c>
      <c r="L41" s="116">
        <f>IFERROR(INDEX('DRAFT 1'!$J:$J,MATCH($B41,'DRAFT 1'!$B:$B,0)),"")</f>
        <v/>
      </c>
      <c r="M41" s="116">
        <f>IFERROR(INDEX('DRAFT 1'!$K:$K,MATCH($B41,'DRAFT 1'!$B:$B,0)),"")</f>
        <v/>
      </c>
      <c r="N41" s="116" t="inlineStr">
        <is>
          <t>PROSPECT</t>
        </is>
      </c>
      <c r="P41" s="116">
        <f>IFERROR(INDEX('DRAFT 1'!$L:$L,MATCH($B41,'DRAFT 1'!$B:$B,0)),"")</f>
        <v/>
      </c>
      <c r="Q41" s="116">
        <f>IFERROR(INDEX('DRAFT 1'!$M:$M,MATCH($B41,'DRAFT 1'!$B:$B,0)),"")</f>
        <v/>
      </c>
      <c r="R41" s="116">
        <f>IFERROR(INDEX('DRAFT 1'!$N:$N,MATCH($B41,'DRAFT 1'!$B:$B,0)),"")</f>
        <v/>
      </c>
      <c r="S41" s="116">
        <f>IFERROR(INDEX('DRAFT 1'!$O:$O,MATCH($B41,'DRAFT 1'!$B:$B,0)),"")</f>
        <v/>
      </c>
      <c r="T41" s="116">
        <f>IFERROR(INDEX('DRAFT 1'!$P:$P,MATCH($B41,'DRAFT 1'!$B:$B,0)),"")</f>
        <v/>
      </c>
      <c r="U41" s="116">
        <f>IFERROR(INDEX('DRAFT 1'!$Q:$Q,MATCH($B41,'DRAFT 1'!$B:$B,0)),"")</f>
        <v/>
      </c>
      <c r="V41" s="116">
        <f>IFERROR(INDEX('DRAFT 1'!$R:$R,MATCH($B41,'DRAFT 1'!$B:$B,0)),"")</f>
        <v/>
      </c>
      <c r="W41" s="116">
        <f>IFERROR(INDEX('DRAFT 1'!$S:$S,MATCH($B41,'DRAFT 1'!$B:$B,0)),"")</f>
        <v/>
      </c>
      <c r="X41" s="116">
        <f>IFERROR(INDEX('DRAFT 1'!$T:$T,MATCH($B41,'DRAFT 1'!$B:$B,0)),"")</f>
        <v/>
      </c>
      <c r="Z41" s="116">
        <f>IFERROR(INDEX('DRAFT 1'!$U:$U,MATCH($B41,'DRAFT 1'!$B:$B,0)),"")</f>
        <v/>
      </c>
      <c r="AA41" s="116">
        <f>IFERROR(INDEX('DRAFT 1'!$V:$V,MATCH($B41,'DRAFT 1'!$B:$B,0)),"")</f>
        <v/>
      </c>
      <c r="AB41" s="116">
        <f>IFERROR(INDEX('DRAFT 1'!$W:$W,MATCH($B41,'DRAFT 1'!$B:$B,0)),"")</f>
        <v/>
      </c>
      <c r="AC41" s="116">
        <f>IFERROR(INDEX('DRAFT 1'!$X:$X,MATCH($B41,'DRAFT 1'!$B:$B,0)),"")</f>
        <v/>
      </c>
      <c r="AD41" s="116">
        <f>IFERROR(INDEX('DRAFT 1'!$Y:$Y,MATCH($B41,'DRAFT 1'!$B:$B,0)),"")</f>
        <v/>
      </c>
      <c r="AE41" s="116">
        <f>IFERROR(INDEX('DRAFT 1'!$Z:$Z,MATCH($B41,'DRAFT 1'!$B:$B,0)),"")</f>
        <v/>
      </c>
      <c r="AF41" s="116">
        <f>IFERROR(INDEX('DRAFT 1'!$AA:$AA,MATCH($B41,'DRAFT 1'!$B:$B,0)),"")</f>
        <v/>
      </c>
      <c r="AG41" s="116">
        <f>IFERROR(INDEX('DRAFT 1'!$AB:$AB,MATCH($B41,'DRAFT 1'!$B:$B,0)),"")</f>
        <v/>
      </c>
      <c r="AH41" s="116">
        <f>IFERROR(INDEX('DRAFT 1'!$AC:$AC,MATCH($B41,'DRAFT 1'!$B:$B,0)),"")</f>
        <v/>
      </c>
      <c r="AI41" s="116">
        <f>IFERROR(INDEX('DRAFT 1'!$AD:$AD,MATCH($B41,'DRAFT 1'!$B:$B,0)),"")</f>
        <v/>
      </c>
      <c r="AJ41" s="116">
        <f>IFERROR(INDEX('DRAFT 1'!$AE:$AE,MATCH($B41,'DRAFT 1'!$B:$B,0)),"")</f>
        <v/>
      </c>
      <c r="AK41" s="116">
        <f>IFERROR(INDEX('DRAFT 1'!$AG:$AG,MATCH($B41,'DRAFT 1'!$B:$B,0)),"")</f>
        <v/>
      </c>
      <c r="AL41" s="116">
        <f>IFERROR(INDEX('DRAFT 1'!$AH:$AH,MATCH($B41,'DRAFT 1'!$B:$B,0)),"")</f>
        <v/>
      </c>
      <c r="AM41" s="116">
        <f>IFERROR(INDEX('DRAFT 1'!$AI:$AI,MATCH($B41,'DRAFT 1'!$B:$B,0)),"")</f>
        <v/>
      </c>
      <c r="AN41" s="116">
        <f>IFERROR(INDEX('DRAFT 1'!$AJ:$AJ,MATCH($B41,'DRAFT 1'!$B:$B,0)),"")</f>
        <v/>
      </c>
      <c r="AO41" s="116">
        <f>IFERROR(Y41/AN41,0)</f>
        <v/>
      </c>
      <c r="AP41" s="116">
        <f>IFERROR(INDEX('DRAFT 1'!$AK:$AK,MATCH($B41,'DRAFT 1'!$B:$B,0)),"")</f>
        <v/>
      </c>
      <c r="AR41" s="116" t="inlineStr">
        <is>
          <t>PROSPECÇÃO</t>
        </is>
      </c>
      <c r="AS41" s="116">
        <f>IFERROR(LOOKUP(2,1/('DRAFT 2'!$D:$D=$B41),'DRAFT 2'!$T:$T),"")</f>
        <v/>
      </c>
      <c r="AT41" s="116">
        <f>IFERROR(LOOKUP(2,1/('DRAFT 2'!$D:$D=$B41),'DRAFT 2'!$A:$A),"")</f>
        <v/>
      </c>
      <c r="AU41" s="116">
        <f>IFERROR(LOOKUP(2,1/('DRAFT 2'!$D:$D=$B41),'DRAFT 2'!$R:$R),"")</f>
        <v/>
      </c>
      <c r="AV41" s="116">
        <f>IFERROR(LOOKUP(2,1/('DRAFT 2'!$D:$D=$B41),'DRAFT 2'!$S:$S),"")</f>
        <v/>
      </c>
      <c r="AW41" s="116" t="inlineStr">
        <is>
          <t>FIDELIZADO</t>
        </is>
      </c>
      <c r="AX41" s="116">
        <f>IFERROR(LOOKUP(2,1/('DRAFT 2'!$D:$D=$B41),'DRAFT 2'!$M:$M),"")</f>
        <v/>
      </c>
      <c r="AY41" s="116">
        <f>IFERROR(LOOKUP(2,1/('DRAFT 2'!$D:$D=$B41),'DRAFT 2'!$K:$K),"")</f>
        <v/>
      </c>
      <c r="BG41" s="116">
        <f>IFERROR(LOOKUP(2,1/('DRAFT 2'!$D:$D=$B41),'DRAFT 2'!$U:$U),"")</f>
        <v/>
      </c>
      <c r="BH41" s="116">
        <f>IFERROR(LOOKUP(2,1/('DRAFT 2'!$D:$D=$B41),'DRAFT 2'!$V:$V),"")</f>
        <v/>
      </c>
      <c r="CE41" s="116">
        <f>IFERROR(AJ41,0)</f>
        <v/>
      </c>
      <c r="CF41" s="116">
        <f>IFERROR(LOOKUP(2,1/('DRAFT 2'!$D:$D=$B41)*('DRAFT 2'!$A:$A&gt;=DATE(2026,1,1))*('DRAFT 2'!$A:$A&lt;DATE(2026,IF(1=12,1+1,1+1),1)),'DRAFT 2'!$A:$A),"")</f>
        <v/>
      </c>
      <c r="CG41" s="116">
        <f>COUNTIFS('DRAFT 2'!$D:$D,$B41,'DRAFT 2'!$A:$A,"&gt;="&amp;DATE(2026,1,1),'DRAFT 2'!$A:$A,"&lt;="&amp;DATE(2026,1,7))</f>
        <v/>
      </c>
      <c r="CH41" s="116">
        <f>COUNTIFS('DRAFT 2'!$D:$D,$B41,'DRAFT 2'!$A:$A,"&gt;="&amp;DATE(2026,1,8),'DRAFT 2'!$A:$A,"&lt;="&amp;DATE(2026,1,14))</f>
        <v/>
      </c>
      <c r="CI41" s="116">
        <f>COUNTIFS('DRAFT 2'!$D:$D,$B41,'DRAFT 2'!$A:$A,"&gt;="&amp;DATE(2026,1,15),'DRAFT 2'!$A:$A,"&lt;="&amp;DATE(2026,1,21))</f>
        <v/>
      </c>
      <c r="CJ41" s="116">
        <f>COUNTIFS('DRAFT 2'!$D:$D,$B41,'DRAFT 2'!$A:$A,"&gt;="&amp;DATE(2026,1,22),'DRAFT 2'!$A:$A,"&lt;"&amp;DATE(2026,IF(1=12,1+1,1+1),1))</f>
        <v/>
      </c>
      <c r="CK41" s="116">
        <f>SUM(CG41:CJ41)</f>
        <v/>
      </c>
      <c r="CT41" s="116" t="n">
        <v>0</v>
      </c>
      <c r="CU41" s="116">
        <f>IFERROR(LOOKUP(2,1/('DRAFT 2'!$D:$D=$B41)*('DRAFT 2'!$A:$A&gt;=DATE(2026,2,1))*('DRAFT 2'!$A:$A&lt;DATE(2026,IF(2=12,2+1,2+1),1)),'DRAFT 2'!$A:$A),"")</f>
        <v/>
      </c>
      <c r="CV41" s="116">
        <f>COUNTIFS('DRAFT 2'!$D:$D,$B41,'DRAFT 2'!$A:$A,"&gt;="&amp;DATE(2026,2,1),'DRAFT 2'!$A:$A,"&lt;="&amp;DATE(2026,2,7))</f>
        <v/>
      </c>
      <c r="CW41" s="116">
        <f>COUNTIFS('DRAFT 2'!$D:$D,$B41,'DRAFT 2'!$A:$A,"&gt;="&amp;DATE(2026,2,8),'DRAFT 2'!$A:$A,"&lt;="&amp;DATE(2026,2,14))</f>
        <v/>
      </c>
      <c r="CX41" s="116">
        <f>COUNTIFS('DRAFT 2'!$D:$D,$B41,'DRAFT 2'!$A:$A,"&gt;="&amp;DATE(2026,2,15),'DRAFT 2'!$A:$A,"&lt;="&amp;DATE(2026,2,21))</f>
        <v/>
      </c>
      <c r="CY41" s="116">
        <f>COUNTIFS('DRAFT 2'!$D:$D,$B41,'DRAFT 2'!$A:$A,"&gt;="&amp;DATE(2026,2,22),'DRAFT 2'!$A:$A,"&lt;"&amp;DATE(2026,IF(2=12,2+1,2+1),1))</f>
        <v/>
      </c>
      <c r="CZ41" s="116">
        <f>SUM(CV41:CY41)</f>
        <v/>
      </c>
      <c r="DJ41" s="116">
        <f>IFERROR(LOOKUP(2,1/('DRAFT 2'!$D:$D=$B41)*('DRAFT 2'!$A:$A&gt;=DATE(2026,3,1))*('DRAFT 2'!$A:$A&lt;DATE(2026,IF(3=12,3+1,3+1),1)),'DRAFT 2'!$A:$A),"")</f>
        <v/>
      </c>
      <c r="DK41" s="116">
        <f>COUNTIFS('DRAFT 2'!$D:$D,$B41,'DRAFT 2'!$A:$A,"&gt;="&amp;DATE(2026,3,1),'DRAFT 2'!$A:$A,"&lt;="&amp;DATE(2026,3,7))</f>
        <v/>
      </c>
      <c r="DL41" s="116">
        <f>COUNTIFS('DRAFT 2'!$D:$D,$B41,'DRAFT 2'!$A:$A,"&gt;="&amp;DATE(2026,3,8),'DRAFT 2'!$A:$A,"&lt;="&amp;DATE(2026,3,14))</f>
        <v/>
      </c>
      <c r="DM41" s="116">
        <f>COUNTIFS('DRAFT 2'!$D:$D,$B41,'DRAFT 2'!$A:$A,"&gt;="&amp;DATE(2026,3,15),'DRAFT 2'!$A:$A,"&lt;="&amp;DATE(2026,3,21))</f>
        <v/>
      </c>
      <c r="DN41" s="116">
        <f>COUNTIFS('DRAFT 2'!$D:$D,$B41,'DRAFT 2'!$A:$A,"&gt;="&amp;DATE(2026,3,22),'DRAFT 2'!$A:$A,"&lt;"&amp;DATE(2026,IF(3=12,3+1,3+1),1))</f>
        <v/>
      </c>
      <c r="DO41" s="116">
        <f>SUM(DK41:DN41)</f>
        <v/>
      </c>
      <c r="DZ41" s="116">
        <f>IFERROR(LOOKUP(2,1/('DRAFT 2'!$D:$D=$B41)*('DRAFT 2'!$A:$A&gt;=DATE(2026,4,1))*('DRAFT 2'!$A:$A&lt;DATE(2026,IF(4=12,4+1,4+1),1)),'DRAFT 2'!$A:$A),"")</f>
        <v/>
      </c>
      <c r="EA41" s="116">
        <f>COUNTIFS('DRAFT 2'!$D:$D,$B41,'DRAFT 2'!$A:$A,"&gt;="&amp;DATE(2026,4,1),'DRAFT 2'!$A:$A,"&lt;="&amp;DATE(2026,4,7))</f>
        <v/>
      </c>
      <c r="EB41" s="116">
        <f>COUNTIFS('DRAFT 2'!$D:$D,$B41,'DRAFT 2'!$A:$A,"&gt;="&amp;DATE(2026,4,8),'DRAFT 2'!$A:$A,"&lt;="&amp;DATE(2026,4,14))</f>
        <v/>
      </c>
      <c r="EC41" s="116">
        <f>COUNTIFS('DRAFT 2'!$D:$D,$B41,'DRAFT 2'!$A:$A,"&gt;="&amp;DATE(2026,4,15),'DRAFT 2'!$A:$A,"&lt;="&amp;DATE(2026,4,21))</f>
        <v/>
      </c>
      <c r="ED41" s="116">
        <f>COUNTIFS('DRAFT 2'!$D:$D,$B41,'DRAFT 2'!$A:$A,"&gt;="&amp;DATE(2026,4,22),'DRAFT 2'!$A:$A,"&lt;"&amp;DATE(2026,IF(4=12,4+1,4+1),1))</f>
        <v/>
      </c>
      <c r="EE41" s="116">
        <f>SUM(EA41:ED41)</f>
        <v/>
      </c>
      <c r="EO41" s="116">
        <f>IFERROR(LOOKUP(2,1/('DRAFT 2'!$D:$D=$B41)*('DRAFT 2'!$A:$A&gt;=DATE(2026,5,1))*('DRAFT 2'!$A:$A&lt;DATE(2026,IF(5=12,5+1,5+1),1)),'DRAFT 2'!$A:$A),"")</f>
        <v/>
      </c>
      <c r="EP41" s="116">
        <f>COUNTIFS('DRAFT 2'!$D:$D,$B41,'DRAFT 2'!$A:$A,"&gt;="&amp;DATE(2026,5,1),'DRAFT 2'!$A:$A,"&lt;="&amp;DATE(2026,5,7))</f>
        <v/>
      </c>
      <c r="EQ41" s="116">
        <f>COUNTIFS('DRAFT 2'!$D:$D,$B41,'DRAFT 2'!$A:$A,"&gt;="&amp;DATE(2026,5,8),'DRAFT 2'!$A:$A,"&lt;="&amp;DATE(2026,5,14))</f>
        <v/>
      </c>
      <c r="ER41" s="116">
        <f>COUNTIFS('DRAFT 2'!$D:$D,$B41,'DRAFT 2'!$A:$A,"&gt;="&amp;DATE(2026,5,15),'DRAFT 2'!$A:$A,"&lt;="&amp;DATE(2026,5,21))</f>
        <v/>
      </c>
      <c r="ES41" s="116">
        <f>COUNTIFS('DRAFT 2'!$D:$D,$B41,'DRAFT 2'!$A:$A,"&gt;="&amp;DATE(2026,5,22),'DRAFT 2'!$A:$A,"&lt;"&amp;DATE(2026,IF(5=12,5+1,5+1),1))</f>
        <v/>
      </c>
      <c r="ET41" s="116">
        <f>SUM(EP41:ES41)</f>
        <v/>
      </c>
      <c r="FD41" s="116">
        <f>IFERROR(LOOKUP(2,1/('DRAFT 2'!$D:$D=$B41)*('DRAFT 2'!$A:$A&gt;=DATE(2026,6,1))*('DRAFT 2'!$A:$A&lt;DATE(2026,IF(6=12,6+1,6+1),1)),'DRAFT 2'!$A:$A),"")</f>
        <v/>
      </c>
      <c r="FE41" s="116">
        <f>COUNTIFS('DRAFT 2'!$D:$D,$B41,'DRAFT 2'!$A:$A,"&gt;="&amp;DATE(2026,6,1),'DRAFT 2'!$A:$A,"&lt;="&amp;DATE(2026,6,7))</f>
        <v/>
      </c>
      <c r="FF41" s="116">
        <f>COUNTIFS('DRAFT 2'!$D:$D,$B41,'DRAFT 2'!$A:$A,"&gt;="&amp;DATE(2026,6,8),'DRAFT 2'!$A:$A,"&lt;="&amp;DATE(2026,6,14))</f>
        <v/>
      </c>
      <c r="FG41" s="116">
        <f>COUNTIFS('DRAFT 2'!$D:$D,$B41,'DRAFT 2'!$A:$A,"&gt;="&amp;DATE(2026,6,15),'DRAFT 2'!$A:$A,"&lt;="&amp;DATE(2026,6,21))</f>
        <v/>
      </c>
      <c r="FH41" s="116">
        <f>COUNTIFS('DRAFT 2'!$D:$D,$B41,'DRAFT 2'!$A:$A,"&gt;="&amp;DATE(2026,6,22),'DRAFT 2'!$A:$A,"&lt;"&amp;DATE(2026,IF(6=12,6+1,6+1),1))</f>
        <v/>
      </c>
      <c r="FI41" s="116">
        <f>SUM(FE41:FH41)</f>
        <v/>
      </c>
      <c r="FT41" s="116">
        <f>IFERROR(LOOKUP(2,1/('DRAFT 2'!$D:$D=$B41)*('DRAFT 2'!$A:$A&gt;=DATE(2026,7,1))*('DRAFT 2'!$A:$A&lt;DATE(2026,IF(7=12,7+1,7+1),1)),'DRAFT 2'!$A:$A),"")</f>
        <v/>
      </c>
      <c r="FU41" s="116">
        <f>COUNTIFS('DRAFT 2'!$D:$D,$B41,'DRAFT 2'!$A:$A,"&gt;="&amp;DATE(2026,7,1),'DRAFT 2'!$A:$A,"&lt;="&amp;DATE(2026,7,7))</f>
        <v/>
      </c>
      <c r="FV41" s="116">
        <f>COUNTIFS('DRAFT 2'!$D:$D,$B41,'DRAFT 2'!$A:$A,"&gt;="&amp;DATE(2026,7,8),'DRAFT 2'!$A:$A,"&lt;="&amp;DATE(2026,7,14))</f>
        <v/>
      </c>
      <c r="FW41" s="116">
        <f>COUNTIFS('DRAFT 2'!$D:$D,$B41,'DRAFT 2'!$A:$A,"&gt;="&amp;DATE(2026,7,15),'DRAFT 2'!$A:$A,"&lt;="&amp;DATE(2026,7,21))</f>
        <v/>
      </c>
      <c r="FX41" s="116">
        <f>COUNTIFS('DRAFT 2'!$D:$D,$B41,'DRAFT 2'!$A:$A,"&gt;="&amp;DATE(2026,7,22),'DRAFT 2'!$A:$A,"&lt;"&amp;DATE(2026,IF(7=12,7+1,7+1),1))</f>
        <v/>
      </c>
      <c r="FY41" s="116">
        <f>SUM(FU41:FX41)</f>
        <v/>
      </c>
      <c r="GI41" s="116">
        <f>IFERROR(LOOKUP(2,1/('DRAFT 2'!$D:$D=$B41)*('DRAFT 2'!$A:$A&gt;=DATE(2026,8,1))*('DRAFT 2'!$A:$A&lt;DATE(2026,IF(8=12,8+1,8+1),1)),'DRAFT 2'!$A:$A),"")</f>
        <v/>
      </c>
      <c r="GJ41" s="116">
        <f>COUNTIFS('DRAFT 2'!$D:$D,$B41,'DRAFT 2'!$A:$A,"&gt;="&amp;DATE(2026,8,1),'DRAFT 2'!$A:$A,"&lt;="&amp;DATE(2026,8,7))</f>
        <v/>
      </c>
      <c r="GK41" s="116">
        <f>COUNTIFS('DRAFT 2'!$D:$D,$B41,'DRAFT 2'!$A:$A,"&gt;="&amp;DATE(2026,8,8),'DRAFT 2'!$A:$A,"&lt;="&amp;DATE(2026,8,14))</f>
        <v/>
      </c>
      <c r="GL41" s="116">
        <f>COUNTIFS('DRAFT 2'!$D:$D,$B41,'DRAFT 2'!$A:$A,"&gt;="&amp;DATE(2026,8,15),'DRAFT 2'!$A:$A,"&lt;="&amp;DATE(2026,8,21))</f>
        <v/>
      </c>
      <c r="GM41" s="116">
        <f>COUNTIFS('DRAFT 2'!$D:$D,$B41,'DRAFT 2'!$A:$A,"&gt;="&amp;DATE(2026,8,22),'DRAFT 2'!$A:$A,"&lt;"&amp;DATE(2026,IF(8=12,8+1,8+1),1))</f>
        <v/>
      </c>
      <c r="GN41" s="116">
        <f>SUM(GJ41:GM41)</f>
        <v/>
      </c>
      <c r="GX41" s="116">
        <f>IFERROR(LOOKUP(2,1/('DRAFT 2'!$D:$D=$B41)*('DRAFT 2'!$A:$A&gt;=DATE(2026,9,1))*('DRAFT 2'!$A:$A&lt;DATE(2026,IF(9=12,9+1,9+1),1)),'DRAFT 2'!$A:$A),"")</f>
        <v/>
      </c>
      <c r="GY41" s="116">
        <f>COUNTIFS('DRAFT 2'!$D:$D,$B41,'DRAFT 2'!$A:$A,"&gt;="&amp;DATE(2026,9,1),'DRAFT 2'!$A:$A,"&lt;="&amp;DATE(2026,9,7))</f>
        <v/>
      </c>
      <c r="GZ41" s="116">
        <f>COUNTIFS('DRAFT 2'!$D:$D,$B41,'DRAFT 2'!$A:$A,"&gt;="&amp;DATE(2026,9,8),'DRAFT 2'!$A:$A,"&lt;="&amp;DATE(2026,9,14))</f>
        <v/>
      </c>
      <c r="HA41" s="116">
        <f>COUNTIFS('DRAFT 2'!$D:$D,$B41,'DRAFT 2'!$A:$A,"&gt;="&amp;DATE(2026,9,15),'DRAFT 2'!$A:$A,"&lt;="&amp;DATE(2026,9,21))</f>
        <v/>
      </c>
      <c r="HB41" s="116">
        <f>COUNTIFS('DRAFT 2'!$D:$D,$B41,'DRAFT 2'!$A:$A,"&gt;="&amp;DATE(2026,9,22),'DRAFT 2'!$A:$A,"&lt;"&amp;DATE(2026,IF(9=12,9+1,9+1),1))</f>
        <v/>
      </c>
      <c r="HC41" s="116">
        <f>SUM(GY41:HB41)</f>
        <v/>
      </c>
      <c r="HN41" s="116">
        <f>IFERROR(LOOKUP(2,1/('DRAFT 2'!$D:$D=$B41)*('DRAFT 2'!$A:$A&gt;=DATE(2026,10,1))*('DRAFT 2'!$A:$A&lt;DATE(2026,IF(10=12,10+1,10+1),1)),'DRAFT 2'!$A:$A),"")</f>
        <v/>
      </c>
      <c r="HO41" s="116">
        <f>COUNTIFS('DRAFT 2'!$D:$D,$B41,'DRAFT 2'!$A:$A,"&gt;="&amp;DATE(2026,10,1),'DRAFT 2'!$A:$A,"&lt;="&amp;DATE(2026,10,7))</f>
        <v/>
      </c>
      <c r="HP41" s="116">
        <f>COUNTIFS('DRAFT 2'!$D:$D,$B41,'DRAFT 2'!$A:$A,"&gt;="&amp;DATE(2026,10,8),'DRAFT 2'!$A:$A,"&lt;="&amp;DATE(2026,10,14))</f>
        <v/>
      </c>
      <c r="HQ41" s="116">
        <f>COUNTIFS('DRAFT 2'!$D:$D,$B41,'DRAFT 2'!$A:$A,"&gt;="&amp;DATE(2026,10,15),'DRAFT 2'!$A:$A,"&lt;="&amp;DATE(2026,10,21))</f>
        <v/>
      </c>
      <c r="HR41" s="116">
        <f>COUNTIFS('DRAFT 2'!$D:$D,$B41,'DRAFT 2'!$A:$A,"&gt;="&amp;DATE(2026,10,22),'DRAFT 2'!$A:$A,"&lt;"&amp;DATE(2026,IF(10=12,10+1,10+1),1))</f>
        <v/>
      </c>
      <c r="HS41" s="116">
        <f>SUM(HO41:HR41)</f>
        <v/>
      </c>
      <c r="IC41" s="116">
        <f>IFERROR(LOOKUP(2,1/('DRAFT 2'!$D:$D=$B41)*('DRAFT 2'!$A:$A&gt;=DATE(2026,11,1))*('DRAFT 2'!$A:$A&lt;DATE(2026,IF(11=12,11+1,11+1),1)),'DRAFT 2'!$A:$A),"")</f>
        <v/>
      </c>
      <c r="ID41" s="116">
        <f>COUNTIFS('DRAFT 2'!$D:$D,$B41,'DRAFT 2'!$A:$A,"&gt;="&amp;DATE(2026,11,1),'DRAFT 2'!$A:$A,"&lt;="&amp;DATE(2026,11,7))</f>
        <v/>
      </c>
      <c r="IE41" s="116">
        <f>COUNTIFS('DRAFT 2'!$D:$D,$B41,'DRAFT 2'!$A:$A,"&gt;="&amp;DATE(2026,11,8),'DRAFT 2'!$A:$A,"&lt;="&amp;DATE(2026,11,14))</f>
        <v/>
      </c>
      <c r="IF41" s="116">
        <f>COUNTIFS('DRAFT 2'!$D:$D,$B41,'DRAFT 2'!$A:$A,"&gt;="&amp;DATE(2026,11,15),'DRAFT 2'!$A:$A,"&lt;="&amp;DATE(2026,11,21))</f>
        <v/>
      </c>
      <c r="IG41" s="116">
        <f>COUNTIFS('DRAFT 2'!$D:$D,$B41,'DRAFT 2'!$A:$A,"&gt;="&amp;DATE(2026,11,22),'DRAFT 2'!$A:$A,"&lt;"&amp;DATE(2026,IF(11=12,11+1,11+1),1))</f>
        <v/>
      </c>
      <c r="IH41" s="116">
        <f>SUM(ID41:IG41)</f>
        <v/>
      </c>
      <c r="IR41" s="116">
        <f>IFERROR(LOOKUP(2,1/('DRAFT 2'!$D:$D=$B41)*('DRAFT 2'!$A:$A&gt;=DATE(2026,12,1))*('DRAFT 2'!$A:$A&lt;DATE(2026,IF(12=12,12+1,12+1),1)),'DRAFT 2'!$A:$A),"")</f>
        <v/>
      </c>
      <c r="IS41" s="116">
        <f>COUNTIFS('DRAFT 2'!$D:$D,$B41,'DRAFT 2'!$A:$A,"&gt;="&amp;DATE(2026,12,1),'DRAFT 2'!$A:$A,"&lt;="&amp;DATE(2026,12,7))</f>
        <v/>
      </c>
      <c r="IT41" s="116">
        <f>COUNTIFS('DRAFT 2'!$D:$D,$B41,'DRAFT 2'!$A:$A,"&gt;="&amp;DATE(2026,12,8),'DRAFT 2'!$A:$A,"&lt;="&amp;DATE(2026,12,14))</f>
        <v/>
      </c>
      <c r="IU41" s="116">
        <f>COUNTIFS('DRAFT 2'!$D:$D,$B41,'DRAFT 2'!$A:$A,"&gt;="&amp;DATE(2026,12,15),'DRAFT 2'!$A:$A,"&lt;="&amp;DATE(2026,12,21))</f>
        <v/>
      </c>
      <c r="IV41" s="116">
        <f>COUNTIFS('DRAFT 2'!$D:$D,$B41,'DRAFT 2'!$A:$A,"&gt;="&amp;DATE(2026,12,22),'DRAFT 2'!$A:$A,"&lt;"&amp;DATE(2026,IF(12=12,12+1,12+1),1))</f>
        <v/>
      </c>
      <c r="IW41" s="116">
        <f>SUM(IS41:IV41)</f>
        <v/>
      </c>
    </row>
    <row r="42">
      <c r="A42" s="116">
        <f>IFERROR(INDEX('DRAFT 1'!$A:$A,MATCH($B42,'DRAFT 1'!$B:$B,0)),"")</f>
        <v/>
      </c>
      <c r="C42" s="116">
        <f>IFERROR(INDEX('DRAFT 1'!$C:$C,MATCH($B42,'DRAFT 1'!$B:$B,0)),"")</f>
        <v/>
      </c>
      <c r="D42" s="116">
        <f>IFERROR(INDEX('DRAFT 1'!$D:$D,MATCH($B42,'DRAFT 1'!$B:$B,0)),"")</f>
        <v/>
      </c>
      <c r="E42" s="116">
        <f>IFERROR(INDEX('DRAFT 1'!$E:$E,MATCH($B42,'DRAFT 1'!$B:$B,0)),"")</f>
        <v/>
      </c>
      <c r="F42" s="116">
        <f>IFERROR(INDEX('DRAFT 1'!$F:$F,MATCH($B42,'DRAFT 1'!$B:$B,0)),"")</f>
        <v/>
      </c>
      <c r="G42" s="116">
        <f>IFERROR(INDEX('DRAFT 1'!$G:$G,MATCH($B42,'DRAFT 1'!$B:$B,0)),"")</f>
        <v/>
      </c>
      <c r="H42" s="116">
        <f>IFERROR(INDEX('DRAFT 1'!$H:$H,MATCH($B42,'DRAFT 1'!$B:$B,0)),"")</f>
        <v/>
      </c>
      <c r="I42" s="116" t="inlineStr">
        <is>
          <t>MUNDO VERDE</t>
        </is>
      </c>
      <c r="K42" s="116">
        <f>IFERROR(INDEX('DRAFT 1'!$AL:$AL,MATCH($B42,'DRAFT 1'!$B:$B,0)),"")</f>
        <v/>
      </c>
      <c r="L42" s="116">
        <f>IFERROR(INDEX('DRAFT 1'!$J:$J,MATCH($B42,'DRAFT 1'!$B:$B,0)),"")</f>
        <v/>
      </c>
      <c r="M42" s="116">
        <f>IFERROR(INDEX('DRAFT 1'!$K:$K,MATCH($B42,'DRAFT 1'!$B:$B,0)),"")</f>
        <v/>
      </c>
      <c r="N42" s="116" t="inlineStr">
        <is>
          <t>INAT.ANT</t>
        </is>
      </c>
      <c r="P42" s="116">
        <f>IFERROR(INDEX('DRAFT 1'!$L:$L,MATCH($B42,'DRAFT 1'!$B:$B,0)),"")</f>
        <v/>
      </c>
      <c r="Q42" s="116">
        <f>IFERROR(INDEX('DRAFT 1'!$M:$M,MATCH($B42,'DRAFT 1'!$B:$B,0)),"")</f>
        <v/>
      </c>
      <c r="R42" s="116">
        <f>IFERROR(INDEX('DRAFT 1'!$N:$N,MATCH($B42,'DRAFT 1'!$B:$B,0)),"")</f>
        <v/>
      </c>
      <c r="S42" s="116">
        <f>IFERROR(INDEX('DRAFT 1'!$O:$O,MATCH($B42,'DRAFT 1'!$B:$B,0)),"")</f>
        <v/>
      </c>
      <c r="T42" s="116">
        <f>IFERROR(INDEX('DRAFT 1'!$P:$P,MATCH($B42,'DRAFT 1'!$B:$B,0)),"")</f>
        <v/>
      </c>
      <c r="U42" s="116">
        <f>IFERROR(INDEX('DRAFT 1'!$Q:$Q,MATCH($B42,'DRAFT 1'!$B:$B,0)),"")</f>
        <v/>
      </c>
      <c r="V42" s="116">
        <f>IFERROR(INDEX('DRAFT 1'!$R:$R,MATCH($B42,'DRAFT 1'!$B:$B,0)),"")</f>
        <v/>
      </c>
      <c r="W42" s="116">
        <f>IFERROR(INDEX('DRAFT 1'!$S:$S,MATCH($B42,'DRAFT 1'!$B:$B,0)),"")</f>
        <v/>
      </c>
      <c r="X42" s="116">
        <f>IFERROR(INDEX('DRAFT 1'!$T:$T,MATCH($B42,'DRAFT 1'!$B:$B,0)),"")</f>
        <v/>
      </c>
      <c r="Z42" s="116">
        <f>IFERROR(INDEX('DRAFT 1'!$U:$U,MATCH($B42,'DRAFT 1'!$B:$B,0)),"")</f>
        <v/>
      </c>
      <c r="AA42" s="116">
        <f>IFERROR(INDEX('DRAFT 1'!$V:$V,MATCH($B42,'DRAFT 1'!$B:$B,0)),"")</f>
        <v/>
      </c>
      <c r="AB42" s="116">
        <f>IFERROR(INDEX('DRAFT 1'!$W:$W,MATCH($B42,'DRAFT 1'!$B:$B,0)),"")</f>
        <v/>
      </c>
      <c r="AC42" s="116">
        <f>IFERROR(INDEX('DRAFT 1'!$X:$X,MATCH($B42,'DRAFT 1'!$B:$B,0)),"")</f>
        <v/>
      </c>
      <c r="AD42" s="116">
        <f>IFERROR(INDEX('DRAFT 1'!$Y:$Y,MATCH($B42,'DRAFT 1'!$B:$B,0)),"")</f>
        <v/>
      </c>
      <c r="AE42" s="116">
        <f>IFERROR(INDEX('DRAFT 1'!$Z:$Z,MATCH($B42,'DRAFT 1'!$B:$B,0)),"")</f>
        <v/>
      </c>
      <c r="AF42" s="116">
        <f>IFERROR(INDEX('DRAFT 1'!$AA:$AA,MATCH($B42,'DRAFT 1'!$B:$B,0)),"")</f>
        <v/>
      </c>
      <c r="AG42" s="116">
        <f>IFERROR(INDEX('DRAFT 1'!$AB:$AB,MATCH($B42,'DRAFT 1'!$B:$B,0)),"")</f>
        <v/>
      </c>
      <c r="AH42" s="116">
        <f>IFERROR(INDEX('DRAFT 1'!$AC:$AC,MATCH($B42,'DRAFT 1'!$B:$B,0)),"")</f>
        <v/>
      </c>
      <c r="AI42" s="116">
        <f>IFERROR(INDEX('DRAFT 1'!$AD:$AD,MATCH($B42,'DRAFT 1'!$B:$B,0)),"")</f>
        <v/>
      </c>
      <c r="AJ42" s="116">
        <f>IFERROR(INDEX('DRAFT 1'!$AE:$AE,MATCH($B42,'DRAFT 1'!$B:$B,0)),"")</f>
        <v/>
      </c>
      <c r="AK42" s="116">
        <f>IFERROR(INDEX('DRAFT 1'!$AG:$AG,MATCH($B42,'DRAFT 1'!$B:$B,0)),"")</f>
        <v/>
      </c>
      <c r="AL42" s="116">
        <f>IFERROR(INDEX('DRAFT 1'!$AH:$AH,MATCH($B42,'DRAFT 1'!$B:$B,0)),"")</f>
        <v/>
      </c>
      <c r="AM42" s="116">
        <f>IFERROR(INDEX('DRAFT 1'!$AI:$AI,MATCH($B42,'DRAFT 1'!$B:$B,0)),"")</f>
        <v/>
      </c>
      <c r="AN42" s="116">
        <f>IFERROR(INDEX('DRAFT 1'!$AJ:$AJ,MATCH($B42,'DRAFT 1'!$B:$B,0)),"")</f>
        <v/>
      </c>
      <c r="AO42" s="116">
        <f>IFERROR(Y42/AN42,0)</f>
        <v/>
      </c>
      <c r="AP42" s="116">
        <f>IFERROR(INDEX('DRAFT 1'!$AK:$AK,MATCH($B42,'DRAFT 1'!$B:$B,0)),"")</f>
        <v/>
      </c>
      <c r="AR42" s="116" t="inlineStr">
        <is>
          <t>RECUPERAÇÃO</t>
        </is>
      </c>
      <c r="AS42" s="116">
        <f>IFERROR(LOOKUP(2,1/('DRAFT 2'!$D:$D=$B42),'DRAFT 2'!$T:$T),"")</f>
        <v/>
      </c>
      <c r="AT42" s="116">
        <f>IFERROR(LOOKUP(2,1/('DRAFT 2'!$D:$D=$B42),'DRAFT 2'!$A:$A),"")</f>
        <v/>
      </c>
      <c r="AU42" s="116">
        <f>IFERROR(LOOKUP(2,1/('DRAFT 2'!$D:$D=$B42),'DRAFT 2'!$R:$R),"")</f>
        <v/>
      </c>
      <c r="AV42" s="116">
        <f>IFERROR(LOOKUP(2,1/('DRAFT 2'!$D:$D=$B42),'DRAFT 2'!$S:$S),"")</f>
        <v/>
      </c>
      <c r="AW42" s="116" t="inlineStr">
        <is>
          <t>PROSPECT</t>
        </is>
      </c>
      <c r="AX42" s="116">
        <f>IFERROR(LOOKUP(2,1/('DRAFT 2'!$D:$D=$B42),'DRAFT 2'!$M:$M),"")</f>
        <v/>
      </c>
      <c r="AY42" s="116">
        <f>IFERROR(LOOKUP(2,1/('DRAFT 2'!$D:$D=$B42),'DRAFT 2'!$K:$K),"")</f>
        <v/>
      </c>
      <c r="BG42" s="116">
        <f>IFERROR(LOOKUP(2,1/('DRAFT 2'!$D:$D=$B42),'DRAFT 2'!$U:$U),"")</f>
        <v/>
      </c>
      <c r="BH42" s="116">
        <f>IFERROR(LOOKUP(2,1/('DRAFT 2'!$D:$D=$B42),'DRAFT 2'!$V:$V),"")</f>
        <v/>
      </c>
      <c r="CE42" s="116">
        <f>IFERROR(AJ42,0)</f>
        <v/>
      </c>
      <c r="CF42" s="116">
        <f>IFERROR(LOOKUP(2,1/('DRAFT 2'!$D:$D=$B42)*('DRAFT 2'!$A:$A&gt;=DATE(2026,1,1))*('DRAFT 2'!$A:$A&lt;DATE(2026,IF(1=12,1+1,1+1),1)),'DRAFT 2'!$A:$A),"")</f>
        <v/>
      </c>
      <c r="CG42" s="116">
        <f>COUNTIFS('DRAFT 2'!$D:$D,$B42,'DRAFT 2'!$A:$A,"&gt;="&amp;DATE(2026,1,1),'DRAFT 2'!$A:$A,"&lt;="&amp;DATE(2026,1,7))</f>
        <v/>
      </c>
      <c r="CH42" s="116">
        <f>COUNTIFS('DRAFT 2'!$D:$D,$B42,'DRAFT 2'!$A:$A,"&gt;="&amp;DATE(2026,1,8),'DRAFT 2'!$A:$A,"&lt;="&amp;DATE(2026,1,14))</f>
        <v/>
      </c>
      <c r="CI42" s="116">
        <f>COUNTIFS('DRAFT 2'!$D:$D,$B42,'DRAFT 2'!$A:$A,"&gt;="&amp;DATE(2026,1,15),'DRAFT 2'!$A:$A,"&lt;="&amp;DATE(2026,1,21))</f>
        <v/>
      </c>
      <c r="CJ42" s="116">
        <f>COUNTIFS('DRAFT 2'!$D:$D,$B42,'DRAFT 2'!$A:$A,"&gt;="&amp;DATE(2026,1,22),'DRAFT 2'!$A:$A,"&lt;"&amp;DATE(2026,IF(1=12,1+1,1+1),1))</f>
        <v/>
      </c>
      <c r="CK42" s="116">
        <f>SUM(CG42:CJ42)</f>
        <v/>
      </c>
      <c r="CT42" s="116" t="n">
        <v>0</v>
      </c>
      <c r="CU42" s="116">
        <f>IFERROR(LOOKUP(2,1/('DRAFT 2'!$D:$D=$B42)*('DRAFT 2'!$A:$A&gt;=DATE(2026,2,1))*('DRAFT 2'!$A:$A&lt;DATE(2026,IF(2=12,2+1,2+1),1)),'DRAFT 2'!$A:$A),"")</f>
        <v/>
      </c>
      <c r="CV42" s="116">
        <f>COUNTIFS('DRAFT 2'!$D:$D,$B42,'DRAFT 2'!$A:$A,"&gt;="&amp;DATE(2026,2,1),'DRAFT 2'!$A:$A,"&lt;="&amp;DATE(2026,2,7))</f>
        <v/>
      </c>
      <c r="CW42" s="116">
        <f>COUNTIFS('DRAFT 2'!$D:$D,$B42,'DRAFT 2'!$A:$A,"&gt;="&amp;DATE(2026,2,8),'DRAFT 2'!$A:$A,"&lt;="&amp;DATE(2026,2,14))</f>
        <v/>
      </c>
      <c r="CX42" s="116">
        <f>COUNTIFS('DRAFT 2'!$D:$D,$B42,'DRAFT 2'!$A:$A,"&gt;="&amp;DATE(2026,2,15),'DRAFT 2'!$A:$A,"&lt;="&amp;DATE(2026,2,21))</f>
        <v/>
      </c>
      <c r="CY42" s="116">
        <f>COUNTIFS('DRAFT 2'!$D:$D,$B42,'DRAFT 2'!$A:$A,"&gt;="&amp;DATE(2026,2,22),'DRAFT 2'!$A:$A,"&lt;"&amp;DATE(2026,IF(2=12,2+1,2+1),1))</f>
        <v/>
      </c>
      <c r="CZ42" s="116">
        <f>SUM(CV42:CY42)</f>
        <v/>
      </c>
      <c r="DJ42" s="116">
        <f>IFERROR(LOOKUP(2,1/('DRAFT 2'!$D:$D=$B42)*('DRAFT 2'!$A:$A&gt;=DATE(2026,3,1))*('DRAFT 2'!$A:$A&lt;DATE(2026,IF(3=12,3+1,3+1),1)),'DRAFT 2'!$A:$A),"")</f>
        <v/>
      </c>
      <c r="DK42" s="116">
        <f>COUNTIFS('DRAFT 2'!$D:$D,$B42,'DRAFT 2'!$A:$A,"&gt;="&amp;DATE(2026,3,1),'DRAFT 2'!$A:$A,"&lt;="&amp;DATE(2026,3,7))</f>
        <v/>
      </c>
      <c r="DL42" s="116">
        <f>COUNTIFS('DRAFT 2'!$D:$D,$B42,'DRAFT 2'!$A:$A,"&gt;="&amp;DATE(2026,3,8),'DRAFT 2'!$A:$A,"&lt;="&amp;DATE(2026,3,14))</f>
        <v/>
      </c>
      <c r="DM42" s="116">
        <f>COUNTIFS('DRAFT 2'!$D:$D,$B42,'DRAFT 2'!$A:$A,"&gt;="&amp;DATE(2026,3,15),'DRAFT 2'!$A:$A,"&lt;="&amp;DATE(2026,3,21))</f>
        <v/>
      </c>
      <c r="DN42" s="116">
        <f>COUNTIFS('DRAFT 2'!$D:$D,$B42,'DRAFT 2'!$A:$A,"&gt;="&amp;DATE(2026,3,22),'DRAFT 2'!$A:$A,"&lt;"&amp;DATE(2026,IF(3=12,3+1,3+1),1))</f>
        <v/>
      </c>
      <c r="DO42" s="116">
        <f>SUM(DK42:DN42)</f>
        <v/>
      </c>
      <c r="DZ42" s="116">
        <f>IFERROR(LOOKUP(2,1/('DRAFT 2'!$D:$D=$B42)*('DRAFT 2'!$A:$A&gt;=DATE(2026,4,1))*('DRAFT 2'!$A:$A&lt;DATE(2026,IF(4=12,4+1,4+1),1)),'DRAFT 2'!$A:$A),"")</f>
        <v/>
      </c>
      <c r="EA42" s="116">
        <f>COUNTIFS('DRAFT 2'!$D:$D,$B42,'DRAFT 2'!$A:$A,"&gt;="&amp;DATE(2026,4,1),'DRAFT 2'!$A:$A,"&lt;="&amp;DATE(2026,4,7))</f>
        <v/>
      </c>
      <c r="EB42" s="116">
        <f>COUNTIFS('DRAFT 2'!$D:$D,$B42,'DRAFT 2'!$A:$A,"&gt;="&amp;DATE(2026,4,8),'DRAFT 2'!$A:$A,"&lt;="&amp;DATE(2026,4,14))</f>
        <v/>
      </c>
      <c r="EC42" s="116">
        <f>COUNTIFS('DRAFT 2'!$D:$D,$B42,'DRAFT 2'!$A:$A,"&gt;="&amp;DATE(2026,4,15),'DRAFT 2'!$A:$A,"&lt;="&amp;DATE(2026,4,21))</f>
        <v/>
      </c>
      <c r="ED42" s="116">
        <f>COUNTIFS('DRAFT 2'!$D:$D,$B42,'DRAFT 2'!$A:$A,"&gt;="&amp;DATE(2026,4,22),'DRAFT 2'!$A:$A,"&lt;"&amp;DATE(2026,IF(4=12,4+1,4+1),1))</f>
        <v/>
      </c>
      <c r="EE42" s="116">
        <f>SUM(EA42:ED42)</f>
        <v/>
      </c>
      <c r="EO42" s="116">
        <f>IFERROR(LOOKUP(2,1/('DRAFT 2'!$D:$D=$B42)*('DRAFT 2'!$A:$A&gt;=DATE(2026,5,1))*('DRAFT 2'!$A:$A&lt;DATE(2026,IF(5=12,5+1,5+1),1)),'DRAFT 2'!$A:$A),"")</f>
        <v/>
      </c>
      <c r="EP42" s="116">
        <f>COUNTIFS('DRAFT 2'!$D:$D,$B42,'DRAFT 2'!$A:$A,"&gt;="&amp;DATE(2026,5,1),'DRAFT 2'!$A:$A,"&lt;="&amp;DATE(2026,5,7))</f>
        <v/>
      </c>
      <c r="EQ42" s="116">
        <f>COUNTIFS('DRAFT 2'!$D:$D,$B42,'DRAFT 2'!$A:$A,"&gt;="&amp;DATE(2026,5,8),'DRAFT 2'!$A:$A,"&lt;="&amp;DATE(2026,5,14))</f>
        <v/>
      </c>
      <c r="ER42" s="116">
        <f>COUNTIFS('DRAFT 2'!$D:$D,$B42,'DRAFT 2'!$A:$A,"&gt;="&amp;DATE(2026,5,15),'DRAFT 2'!$A:$A,"&lt;="&amp;DATE(2026,5,21))</f>
        <v/>
      </c>
      <c r="ES42" s="116">
        <f>COUNTIFS('DRAFT 2'!$D:$D,$B42,'DRAFT 2'!$A:$A,"&gt;="&amp;DATE(2026,5,22),'DRAFT 2'!$A:$A,"&lt;"&amp;DATE(2026,IF(5=12,5+1,5+1),1))</f>
        <v/>
      </c>
      <c r="ET42" s="116">
        <f>SUM(EP42:ES42)</f>
        <v/>
      </c>
      <c r="FD42" s="116">
        <f>IFERROR(LOOKUP(2,1/('DRAFT 2'!$D:$D=$B42)*('DRAFT 2'!$A:$A&gt;=DATE(2026,6,1))*('DRAFT 2'!$A:$A&lt;DATE(2026,IF(6=12,6+1,6+1),1)),'DRAFT 2'!$A:$A),"")</f>
        <v/>
      </c>
      <c r="FE42" s="116">
        <f>COUNTIFS('DRAFT 2'!$D:$D,$B42,'DRAFT 2'!$A:$A,"&gt;="&amp;DATE(2026,6,1),'DRAFT 2'!$A:$A,"&lt;="&amp;DATE(2026,6,7))</f>
        <v/>
      </c>
      <c r="FF42" s="116">
        <f>COUNTIFS('DRAFT 2'!$D:$D,$B42,'DRAFT 2'!$A:$A,"&gt;="&amp;DATE(2026,6,8),'DRAFT 2'!$A:$A,"&lt;="&amp;DATE(2026,6,14))</f>
        <v/>
      </c>
      <c r="FG42" s="116">
        <f>COUNTIFS('DRAFT 2'!$D:$D,$B42,'DRAFT 2'!$A:$A,"&gt;="&amp;DATE(2026,6,15),'DRAFT 2'!$A:$A,"&lt;="&amp;DATE(2026,6,21))</f>
        <v/>
      </c>
      <c r="FH42" s="116">
        <f>COUNTIFS('DRAFT 2'!$D:$D,$B42,'DRAFT 2'!$A:$A,"&gt;="&amp;DATE(2026,6,22),'DRAFT 2'!$A:$A,"&lt;"&amp;DATE(2026,IF(6=12,6+1,6+1),1))</f>
        <v/>
      </c>
      <c r="FI42" s="116">
        <f>SUM(FE42:FH42)</f>
        <v/>
      </c>
      <c r="FT42" s="116">
        <f>IFERROR(LOOKUP(2,1/('DRAFT 2'!$D:$D=$B42)*('DRAFT 2'!$A:$A&gt;=DATE(2026,7,1))*('DRAFT 2'!$A:$A&lt;DATE(2026,IF(7=12,7+1,7+1),1)),'DRAFT 2'!$A:$A),"")</f>
        <v/>
      </c>
      <c r="FU42" s="116">
        <f>COUNTIFS('DRAFT 2'!$D:$D,$B42,'DRAFT 2'!$A:$A,"&gt;="&amp;DATE(2026,7,1),'DRAFT 2'!$A:$A,"&lt;="&amp;DATE(2026,7,7))</f>
        <v/>
      </c>
      <c r="FV42" s="116">
        <f>COUNTIFS('DRAFT 2'!$D:$D,$B42,'DRAFT 2'!$A:$A,"&gt;="&amp;DATE(2026,7,8),'DRAFT 2'!$A:$A,"&lt;="&amp;DATE(2026,7,14))</f>
        <v/>
      </c>
      <c r="FW42" s="116">
        <f>COUNTIFS('DRAFT 2'!$D:$D,$B42,'DRAFT 2'!$A:$A,"&gt;="&amp;DATE(2026,7,15),'DRAFT 2'!$A:$A,"&lt;="&amp;DATE(2026,7,21))</f>
        <v/>
      </c>
      <c r="FX42" s="116">
        <f>COUNTIFS('DRAFT 2'!$D:$D,$B42,'DRAFT 2'!$A:$A,"&gt;="&amp;DATE(2026,7,22),'DRAFT 2'!$A:$A,"&lt;"&amp;DATE(2026,IF(7=12,7+1,7+1),1))</f>
        <v/>
      </c>
      <c r="FY42" s="116">
        <f>SUM(FU42:FX42)</f>
        <v/>
      </c>
      <c r="GI42" s="116">
        <f>IFERROR(LOOKUP(2,1/('DRAFT 2'!$D:$D=$B42)*('DRAFT 2'!$A:$A&gt;=DATE(2026,8,1))*('DRAFT 2'!$A:$A&lt;DATE(2026,IF(8=12,8+1,8+1),1)),'DRAFT 2'!$A:$A),"")</f>
        <v/>
      </c>
      <c r="GJ42" s="116">
        <f>COUNTIFS('DRAFT 2'!$D:$D,$B42,'DRAFT 2'!$A:$A,"&gt;="&amp;DATE(2026,8,1),'DRAFT 2'!$A:$A,"&lt;="&amp;DATE(2026,8,7))</f>
        <v/>
      </c>
      <c r="GK42" s="116">
        <f>COUNTIFS('DRAFT 2'!$D:$D,$B42,'DRAFT 2'!$A:$A,"&gt;="&amp;DATE(2026,8,8),'DRAFT 2'!$A:$A,"&lt;="&amp;DATE(2026,8,14))</f>
        <v/>
      </c>
      <c r="GL42" s="116">
        <f>COUNTIFS('DRAFT 2'!$D:$D,$B42,'DRAFT 2'!$A:$A,"&gt;="&amp;DATE(2026,8,15),'DRAFT 2'!$A:$A,"&lt;="&amp;DATE(2026,8,21))</f>
        <v/>
      </c>
      <c r="GM42" s="116">
        <f>COUNTIFS('DRAFT 2'!$D:$D,$B42,'DRAFT 2'!$A:$A,"&gt;="&amp;DATE(2026,8,22),'DRAFT 2'!$A:$A,"&lt;"&amp;DATE(2026,IF(8=12,8+1,8+1),1))</f>
        <v/>
      </c>
      <c r="GN42" s="116">
        <f>SUM(GJ42:GM42)</f>
        <v/>
      </c>
      <c r="GX42" s="116">
        <f>IFERROR(LOOKUP(2,1/('DRAFT 2'!$D:$D=$B42)*('DRAFT 2'!$A:$A&gt;=DATE(2026,9,1))*('DRAFT 2'!$A:$A&lt;DATE(2026,IF(9=12,9+1,9+1),1)),'DRAFT 2'!$A:$A),"")</f>
        <v/>
      </c>
      <c r="GY42" s="116">
        <f>COUNTIFS('DRAFT 2'!$D:$D,$B42,'DRAFT 2'!$A:$A,"&gt;="&amp;DATE(2026,9,1),'DRAFT 2'!$A:$A,"&lt;="&amp;DATE(2026,9,7))</f>
        <v/>
      </c>
      <c r="GZ42" s="116">
        <f>COUNTIFS('DRAFT 2'!$D:$D,$B42,'DRAFT 2'!$A:$A,"&gt;="&amp;DATE(2026,9,8),'DRAFT 2'!$A:$A,"&lt;="&amp;DATE(2026,9,14))</f>
        <v/>
      </c>
      <c r="HA42" s="116">
        <f>COUNTIFS('DRAFT 2'!$D:$D,$B42,'DRAFT 2'!$A:$A,"&gt;="&amp;DATE(2026,9,15),'DRAFT 2'!$A:$A,"&lt;="&amp;DATE(2026,9,21))</f>
        <v/>
      </c>
      <c r="HB42" s="116">
        <f>COUNTIFS('DRAFT 2'!$D:$D,$B42,'DRAFT 2'!$A:$A,"&gt;="&amp;DATE(2026,9,22),'DRAFT 2'!$A:$A,"&lt;"&amp;DATE(2026,IF(9=12,9+1,9+1),1))</f>
        <v/>
      </c>
      <c r="HC42" s="116">
        <f>SUM(GY42:HB42)</f>
        <v/>
      </c>
      <c r="HN42" s="116">
        <f>IFERROR(LOOKUP(2,1/('DRAFT 2'!$D:$D=$B42)*('DRAFT 2'!$A:$A&gt;=DATE(2026,10,1))*('DRAFT 2'!$A:$A&lt;DATE(2026,IF(10=12,10+1,10+1),1)),'DRAFT 2'!$A:$A),"")</f>
        <v/>
      </c>
      <c r="HO42" s="116">
        <f>COUNTIFS('DRAFT 2'!$D:$D,$B42,'DRAFT 2'!$A:$A,"&gt;="&amp;DATE(2026,10,1),'DRAFT 2'!$A:$A,"&lt;="&amp;DATE(2026,10,7))</f>
        <v/>
      </c>
      <c r="HP42" s="116">
        <f>COUNTIFS('DRAFT 2'!$D:$D,$B42,'DRAFT 2'!$A:$A,"&gt;="&amp;DATE(2026,10,8),'DRAFT 2'!$A:$A,"&lt;="&amp;DATE(2026,10,14))</f>
        <v/>
      </c>
      <c r="HQ42" s="116">
        <f>COUNTIFS('DRAFT 2'!$D:$D,$B42,'DRAFT 2'!$A:$A,"&gt;="&amp;DATE(2026,10,15),'DRAFT 2'!$A:$A,"&lt;="&amp;DATE(2026,10,21))</f>
        <v/>
      </c>
      <c r="HR42" s="116">
        <f>COUNTIFS('DRAFT 2'!$D:$D,$B42,'DRAFT 2'!$A:$A,"&gt;="&amp;DATE(2026,10,22),'DRAFT 2'!$A:$A,"&lt;"&amp;DATE(2026,IF(10=12,10+1,10+1),1))</f>
        <v/>
      </c>
      <c r="HS42" s="116">
        <f>SUM(HO42:HR42)</f>
        <v/>
      </c>
      <c r="IC42" s="116">
        <f>IFERROR(LOOKUP(2,1/('DRAFT 2'!$D:$D=$B42)*('DRAFT 2'!$A:$A&gt;=DATE(2026,11,1))*('DRAFT 2'!$A:$A&lt;DATE(2026,IF(11=12,11+1,11+1),1)),'DRAFT 2'!$A:$A),"")</f>
        <v/>
      </c>
      <c r="ID42" s="116">
        <f>COUNTIFS('DRAFT 2'!$D:$D,$B42,'DRAFT 2'!$A:$A,"&gt;="&amp;DATE(2026,11,1),'DRAFT 2'!$A:$A,"&lt;="&amp;DATE(2026,11,7))</f>
        <v/>
      </c>
      <c r="IE42" s="116">
        <f>COUNTIFS('DRAFT 2'!$D:$D,$B42,'DRAFT 2'!$A:$A,"&gt;="&amp;DATE(2026,11,8),'DRAFT 2'!$A:$A,"&lt;="&amp;DATE(2026,11,14))</f>
        <v/>
      </c>
      <c r="IF42" s="116">
        <f>COUNTIFS('DRAFT 2'!$D:$D,$B42,'DRAFT 2'!$A:$A,"&gt;="&amp;DATE(2026,11,15),'DRAFT 2'!$A:$A,"&lt;="&amp;DATE(2026,11,21))</f>
        <v/>
      </c>
      <c r="IG42" s="116">
        <f>COUNTIFS('DRAFT 2'!$D:$D,$B42,'DRAFT 2'!$A:$A,"&gt;="&amp;DATE(2026,11,22),'DRAFT 2'!$A:$A,"&lt;"&amp;DATE(2026,IF(11=12,11+1,11+1),1))</f>
        <v/>
      </c>
      <c r="IH42" s="116">
        <f>SUM(ID42:IG42)</f>
        <v/>
      </c>
      <c r="IR42" s="116">
        <f>IFERROR(LOOKUP(2,1/('DRAFT 2'!$D:$D=$B42)*('DRAFT 2'!$A:$A&gt;=DATE(2026,12,1))*('DRAFT 2'!$A:$A&lt;DATE(2026,IF(12=12,12+1,12+1),1)),'DRAFT 2'!$A:$A),"")</f>
        <v/>
      </c>
      <c r="IS42" s="116">
        <f>COUNTIFS('DRAFT 2'!$D:$D,$B42,'DRAFT 2'!$A:$A,"&gt;="&amp;DATE(2026,12,1),'DRAFT 2'!$A:$A,"&lt;="&amp;DATE(2026,12,7))</f>
        <v/>
      </c>
      <c r="IT42" s="116">
        <f>COUNTIFS('DRAFT 2'!$D:$D,$B42,'DRAFT 2'!$A:$A,"&gt;="&amp;DATE(2026,12,8),'DRAFT 2'!$A:$A,"&lt;="&amp;DATE(2026,12,14))</f>
        <v/>
      </c>
      <c r="IU42" s="116">
        <f>COUNTIFS('DRAFT 2'!$D:$D,$B42,'DRAFT 2'!$A:$A,"&gt;="&amp;DATE(2026,12,15),'DRAFT 2'!$A:$A,"&lt;="&amp;DATE(2026,12,21))</f>
        <v/>
      </c>
      <c r="IV42" s="116">
        <f>COUNTIFS('DRAFT 2'!$D:$D,$B42,'DRAFT 2'!$A:$A,"&gt;="&amp;DATE(2026,12,22),'DRAFT 2'!$A:$A,"&lt;"&amp;DATE(2026,IF(12=12,12+1,12+1),1))</f>
        <v/>
      </c>
      <c r="IW42" s="116">
        <f>SUM(IS42:IV42)</f>
        <v/>
      </c>
    </row>
    <row r="43">
      <c r="A43" s="116">
        <f>IFERROR(INDEX('DRAFT 1'!$A:$A,MATCH($B43,'DRAFT 1'!$B:$B,0)),"")</f>
        <v/>
      </c>
      <c r="C43" s="116">
        <f>IFERROR(INDEX('DRAFT 1'!$C:$C,MATCH($B43,'DRAFT 1'!$B:$B,0)),"")</f>
        <v/>
      </c>
      <c r="D43" s="116">
        <f>IFERROR(INDEX('DRAFT 1'!$D:$D,MATCH($B43,'DRAFT 1'!$B:$B,0)),"")</f>
        <v/>
      </c>
      <c r="E43" s="116">
        <f>IFERROR(INDEX('DRAFT 1'!$E:$E,MATCH($B43,'DRAFT 1'!$B:$B,0)),"")</f>
        <v/>
      </c>
      <c r="F43" s="116">
        <f>IFERROR(INDEX('DRAFT 1'!$F:$F,MATCH($B43,'DRAFT 1'!$B:$B,0)),"")</f>
        <v/>
      </c>
      <c r="G43" s="116">
        <f>IFERROR(INDEX('DRAFT 1'!$G:$G,MATCH($B43,'DRAFT 1'!$B:$B,0)),"")</f>
        <v/>
      </c>
      <c r="H43" s="116">
        <f>IFERROR(INDEX('DRAFT 1'!$H:$H,MATCH($B43,'DRAFT 1'!$B:$B,0)),"")</f>
        <v/>
      </c>
      <c r="I43" s="116" t="inlineStr">
        <is>
          <t>MUNDO VERDE</t>
        </is>
      </c>
      <c r="K43" s="116">
        <f>IFERROR(INDEX('DRAFT 1'!$AL:$AL,MATCH($B43,'DRAFT 1'!$B:$B,0)),"")</f>
        <v/>
      </c>
      <c r="L43" s="116">
        <f>IFERROR(INDEX('DRAFT 1'!$J:$J,MATCH($B43,'DRAFT 1'!$B:$B,0)),"")</f>
        <v/>
      </c>
      <c r="M43" s="116">
        <f>IFERROR(INDEX('DRAFT 1'!$K:$K,MATCH($B43,'DRAFT 1'!$B:$B,0)),"")</f>
        <v/>
      </c>
      <c r="N43" s="116" t="inlineStr">
        <is>
          <t>INAT.ANT</t>
        </is>
      </c>
      <c r="P43" s="116">
        <f>IFERROR(INDEX('DRAFT 1'!$L:$L,MATCH($B43,'DRAFT 1'!$B:$B,0)),"")</f>
        <v/>
      </c>
      <c r="Q43" s="116">
        <f>IFERROR(INDEX('DRAFT 1'!$M:$M,MATCH($B43,'DRAFT 1'!$B:$B,0)),"")</f>
        <v/>
      </c>
      <c r="R43" s="116">
        <f>IFERROR(INDEX('DRAFT 1'!$N:$N,MATCH($B43,'DRAFT 1'!$B:$B,0)),"")</f>
        <v/>
      </c>
      <c r="S43" s="116">
        <f>IFERROR(INDEX('DRAFT 1'!$O:$O,MATCH($B43,'DRAFT 1'!$B:$B,0)),"")</f>
        <v/>
      </c>
      <c r="T43" s="116">
        <f>IFERROR(INDEX('DRAFT 1'!$P:$P,MATCH($B43,'DRAFT 1'!$B:$B,0)),"")</f>
        <v/>
      </c>
      <c r="U43" s="116">
        <f>IFERROR(INDEX('DRAFT 1'!$Q:$Q,MATCH($B43,'DRAFT 1'!$B:$B,0)),"")</f>
        <v/>
      </c>
      <c r="V43" s="116">
        <f>IFERROR(INDEX('DRAFT 1'!$R:$R,MATCH($B43,'DRAFT 1'!$B:$B,0)),"")</f>
        <v/>
      </c>
      <c r="W43" s="116">
        <f>IFERROR(INDEX('DRAFT 1'!$S:$S,MATCH($B43,'DRAFT 1'!$B:$B,0)),"")</f>
        <v/>
      </c>
      <c r="X43" s="116">
        <f>IFERROR(INDEX('DRAFT 1'!$T:$T,MATCH($B43,'DRAFT 1'!$B:$B,0)),"")</f>
        <v/>
      </c>
      <c r="Z43" s="116">
        <f>IFERROR(INDEX('DRAFT 1'!$U:$U,MATCH($B43,'DRAFT 1'!$B:$B,0)),"")</f>
        <v/>
      </c>
      <c r="AA43" s="116">
        <f>IFERROR(INDEX('DRAFT 1'!$V:$V,MATCH($B43,'DRAFT 1'!$B:$B,0)),"")</f>
        <v/>
      </c>
      <c r="AB43" s="116">
        <f>IFERROR(INDEX('DRAFT 1'!$W:$W,MATCH($B43,'DRAFT 1'!$B:$B,0)),"")</f>
        <v/>
      </c>
      <c r="AC43" s="116">
        <f>IFERROR(INDEX('DRAFT 1'!$X:$X,MATCH($B43,'DRAFT 1'!$B:$B,0)),"")</f>
        <v/>
      </c>
      <c r="AD43" s="116">
        <f>IFERROR(INDEX('DRAFT 1'!$Y:$Y,MATCH($B43,'DRAFT 1'!$B:$B,0)),"")</f>
        <v/>
      </c>
      <c r="AE43" s="116">
        <f>IFERROR(INDEX('DRAFT 1'!$Z:$Z,MATCH($B43,'DRAFT 1'!$B:$B,0)),"")</f>
        <v/>
      </c>
      <c r="AF43" s="116">
        <f>IFERROR(INDEX('DRAFT 1'!$AA:$AA,MATCH($B43,'DRAFT 1'!$B:$B,0)),"")</f>
        <v/>
      </c>
      <c r="AG43" s="116">
        <f>IFERROR(INDEX('DRAFT 1'!$AB:$AB,MATCH($B43,'DRAFT 1'!$B:$B,0)),"")</f>
        <v/>
      </c>
      <c r="AH43" s="116">
        <f>IFERROR(INDEX('DRAFT 1'!$AC:$AC,MATCH($B43,'DRAFT 1'!$B:$B,0)),"")</f>
        <v/>
      </c>
      <c r="AI43" s="116">
        <f>IFERROR(INDEX('DRAFT 1'!$AD:$AD,MATCH($B43,'DRAFT 1'!$B:$B,0)),"")</f>
        <v/>
      </c>
      <c r="AJ43" s="116">
        <f>IFERROR(INDEX('DRAFT 1'!$AE:$AE,MATCH($B43,'DRAFT 1'!$B:$B,0)),"")</f>
        <v/>
      </c>
      <c r="AK43" s="116">
        <f>IFERROR(INDEX('DRAFT 1'!$AG:$AG,MATCH($B43,'DRAFT 1'!$B:$B,0)),"")</f>
        <v/>
      </c>
      <c r="AL43" s="116">
        <f>IFERROR(INDEX('DRAFT 1'!$AH:$AH,MATCH($B43,'DRAFT 1'!$B:$B,0)),"")</f>
        <v/>
      </c>
      <c r="AM43" s="116">
        <f>IFERROR(INDEX('DRAFT 1'!$AI:$AI,MATCH($B43,'DRAFT 1'!$B:$B,0)),"")</f>
        <v/>
      </c>
      <c r="AN43" s="116">
        <f>IFERROR(INDEX('DRAFT 1'!$AJ:$AJ,MATCH($B43,'DRAFT 1'!$B:$B,0)),"")</f>
        <v/>
      </c>
      <c r="AO43" s="116">
        <f>IFERROR(Y43/AN43,0)</f>
        <v/>
      </c>
      <c r="AP43" s="116">
        <f>IFERROR(INDEX('DRAFT 1'!$AK:$AK,MATCH($B43,'DRAFT 1'!$B:$B,0)),"")</f>
        <v/>
      </c>
      <c r="AR43" s="116" t="inlineStr">
        <is>
          <t>PÓS-VENDA</t>
        </is>
      </c>
      <c r="AS43" s="116">
        <f>IFERROR(LOOKUP(2,1/('DRAFT 2'!$D:$D=$B43),'DRAFT 2'!$T:$T),"")</f>
        <v/>
      </c>
      <c r="AT43" s="116">
        <f>IFERROR(LOOKUP(2,1/('DRAFT 2'!$D:$D=$B43),'DRAFT 2'!$A:$A),"")</f>
        <v/>
      </c>
      <c r="AU43" s="116">
        <f>IFERROR(LOOKUP(2,1/('DRAFT 2'!$D:$D=$B43),'DRAFT 2'!$R:$R),"")</f>
        <v/>
      </c>
      <c r="AV43" s="116">
        <f>IFERROR(LOOKUP(2,1/('DRAFT 2'!$D:$D=$B43),'DRAFT 2'!$S:$S),"")</f>
        <v/>
      </c>
      <c r="AW43" s="116" t="inlineStr">
        <is>
          <t>NOVO</t>
        </is>
      </c>
      <c r="AX43" s="116">
        <f>IFERROR(LOOKUP(2,1/('DRAFT 2'!$D:$D=$B43),'DRAFT 2'!$M:$M),"")</f>
        <v/>
      </c>
      <c r="AY43" s="116">
        <f>IFERROR(LOOKUP(2,1/('DRAFT 2'!$D:$D=$B43),'DRAFT 2'!$K:$K),"")</f>
        <v/>
      </c>
      <c r="BG43" s="116">
        <f>IFERROR(LOOKUP(2,1/('DRAFT 2'!$D:$D=$B43),'DRAFT 2'!$U:$U),"")</f>
        <v/>
      </c>
      <c r="BH43" s="116">
        <f>IFERROR(LOOKUP(2,1/('DRAFT 2'!$D:$D=$B43),'DRAFT 2'!$V:$V),"")</f>
        <v/>
      </c>
      <c r="CE43" s="116">
        <f>IFERROR(AJ43,0)</f>
        <v/>
      </c>
      <c r="CF43" s="116">
        <f>IFERROR(LOOKUP(2,1/('DRAFT 2'!$D:$D=$B43)*('DRAFT 2'!$A:$A&gt;=DATE(2026,1,1))*('DRAFT 2'!$A:$A&lt;DATE(2026,IF(1=12,1+1,1+1),1)),'DRAFT 2'!$A:$A),"")</f>
        <v/>
      </c>
      <c r="CG43" s="116">
        <f>COUNTIFS('DRAFT 2'!$D:$D,$B43,'DRAFT 2'!$A:$A,"&gt;="&amp;DATE(2026,1,1),'DRAFT 2'!$A:$A,"&lt;="&amp;DATE(2026,1,7))</f>
        <v/>
      </c>
      <c r="CH43" s="116">
        <f>COUNTIFS('DRAFT 2'!$D:$D,$B43,'DRAFT 2'!$A:$A,"&gt;="&amp;DATE(2026,1,8),'DRAFT 2'!$A:$A,"&lt;="&amp;DATE(2026,1,14))</f>
        <v/>
      </c>
      <c r="CI43" s="116">
        <f>COUNTIFS('DRAFT 2'!$D:$D,$B43,'DRAFT 2'!$A:$A,"&gt;="&amp;DATE(2026,1,15),'DRAFT 2'!$A:$A,"&lt;="&amp;DATE(2026,1,21))</f>
        <v/>
      </c>
      <c r="CJ43" s="116">
        <f>COUNTIFS('DRAFT 2'!$D:$D,$B43,'DRAFT 2'!$A:$A,"&gt;="&amp;DATE(2026,1,22),'DRAFT 2'!$A:$A,"&lt;"&amp;DATE(2026,IF(1=12,1+1,1+1),1))</f>
        <v/>
      </c>
      <c r="CK43" s="116">
        <f>SUM(CG43:CJ43)</f>
        <v/>
      </c>
      <c r="CT43" s="116" t="n">
        <v>0</v>
      </c>
      <c r="CU43" s="116">
        <f>IFERROR(LOOKUP(2,1/('DRAFT 2'!$D:$D=$B43)*('DRAFT 2'!$A:$A&gt;=DATE(2026,2,1))*('DRAFT 2'!$A:$A&lt;DATE(2026,IF(2=12,2+1,2+1),1)),'DRAFT 2'!$A:$A),"")</f>
        <v/>
      </c>
      <c r="CV43" s="116">
        <f>COUNTIFS('DRAFT 2'!$D:$D,$B43,'DRAFT 2'!$A:$A,"&gt;="&amp;DATE(2026,2,1),'DRAFT 2'!$A:$A,"&lt;="&amp;DATE(2026,2,7))</f>
        <v/>
      </c>
      <c r="CW43" s="116">
        <f>COUNTIFS('DRAFT 2'!$D:$D,$B43,'DRAFT 2'!$A:$A,"&gt;="&amp;DATE(2026,2,8),'DRAFT 2'!$A:$A,"&lt;="&amp;DATE(2026,2,14))</f>
        <v/>
      </c>
      <c r="CX43" s="116">
        <f>COUNTIFS('DRAFT 2'!$D:$D,$B43,'DRAFT 2'!$A:$A,"&gt;="&amp;DATE(2026,2,15),'DRAFT 2'!$A:$A,"&lt;="&amp;DATE(2026,2,21))</f>
        <v/>
      </c>
      <c r="CY43" s="116">
        <f>COUNTIFS('DRAFT 2'!$D:$D,$B43,'DRAFT 2'!$A:$A,"&gt;="&amp;DATE(2026,2,22),'DRAFT 2'!$A:$A,"&lt;"&amp;DATE(2026,IF(2=12,2+1,2+1),1))</f>
        <v/>
      </c>
      <c r="CZ43" s="116">
        <f>SUM(CV43:CY43)</f>
        <v/>
      </c>
      <c r="DJ43" s="116">
        <f>IFERROR(LOOKUP(2,1/('DRAFT 2'!$D:$D=$B43)*('DRAFT 2'!$A:$A&gt;=DATE(2026,3,1))*('DRAFT 2'!$A:$A&lt;DATE(2026,IF(3=12,3+1,3+1),1)),'DRAFT 2'!$A:$A),"")</f>
        <v/>
      </c>
      <c r="DK43" s="116">
        <f>COUNTIFS('DRAFT 2'!$D:$D,$B43,'DRAFT 2'!$A:$A,"&gt;="&amp;DATE(2026,3,1),'DRAFT 2'!$A:$A,"&lt;="&amp;DATE(2026,3,7))</f>
        <v/>
      </c>
      <c r="DL43" s="116">
        <f>COUNTIFS('DRAFT 2'!$D:$D,$B43,'DRAFT 2'!$A:$A,"&gt;="&amp;DATE(2026,3,8),'DRAFT 2'!$A:$A,"&lt;="&amp;DATE(2026,3,14))</f>
        <v/>
      </c>
      <c r="DM43" s="116">
        <f>COUNTIFS('DRAFT 2'!$D:$D,$B43,'DRAFT 2'!$A:$A,"&gt;="&amp;DATE(2026,3,15),'DRAFT 2'!$A:$A,"&lt;="&amp;DATE(2026,3,21))</f>
        <v/>
      </c>
      <c r="DN43" s="116">
        <f>COUNTIFS('DRAFT 2'!$D:$D,$B43,'DRAFT 2'!$A:$A,"&gt;="&amp;DATE(2026,3,22),'DRAFT 2'!$A:$A,"&lt;"&amp;DATE(2026,IF(3=12,3+1,3+1),1))</f>
        <v/>
      </c>
      <c r="DO43" s="116">
        <f>SUM(DK43:DN43)</f>
        <v/>
      </c>
      <c r="DZ43" s="116">
        <f>IFERROR(LOOKUP(2,1/('DRAFT 2'!$D:$D=$B43)*('DRAFT 2'!$A:$A&gt;=DATE(2026,4,1))*('DRAFT 2'!$A:$A&lt;DATE(2026,IF(4=12,4+1,4+1),1)),'DRAFT 2'!$A:$A),"")</f>
        <v/>
      </c>
      <c r="EA43" s="116">
        <f>COUNTIFS('DRAFT 2'!$D:$D,$B43,'DRAFT 2'!$A:$A,"&gt;="&amp;DATE(2026,4,1),'DRAFT 2'!$A:$A,"&lt;="&amp;DATE(2026,4,7))</f>
        <v/>
      </c>
      <c r="EB43" s="116">
        <f>COUNTIFS('DRAFT 2'!$D:$D,$B43,'DRAFT 2'!$A:$A,"&gt;="&amp;DATE(2026,4,8),'DRAFT 2'!$A:$A,"&lt;="&amp;DATE(2026,4,14))</f>
        <v/>
      </c>
      <c r="EC43" s="116">
        <f>COUNTIFS('DRAFT 2'!$D:$D,$B43,'DRAFT 2'!$A:$A,"&gt;="&amp;DATE(2026,4,15),'DRAFT 2'!$A:$A,"&lt;="&amp;DATE(2026,4,21))</f>
        <v/>
      </c>
      <c r="ED43" s="116">
        <f>COUNTIFS('DRAFT 2'!$D:$D,$B43,'DRAFT 2'!$A:$A,"&gt;="&amp;DATE(2026,4,22),'DRAFT 2'!$A:$A,"&lt;"&amp;DATE(2026,IF(4=12,4+1,4+1),1))</f>
        <v/>
      </c>
      <c r="EE43" s="116">
        <f>SUM(EA43:ED43)</f>
        <v/>
      </c>
      <c r="EO43" s="116">
        <f>IFERROR(LOOKUP(2,1/('DRAFT 2'!$D:$D=$B43)*('DRAFT 2'!$A:$A&gt;=DATE(2026,5,1))*('DRAFT 2'!$A:$A&lt;DATE(2026,IF(5=12,5+1,5+1),1)),'DRAFT 2'!$A:$A),"")</f>
        <v/>
      </c>
      <c r="EP43" s="116">
        <f>COUNTIFS('DRAFT 2'!$D:$D,$B43,'DRAFT 2'!$A:$A,"&gt;="&amp;DATE(2026,5,1),'DRAFT 2'!$A:$A,"&lt;="&amp;DATE(2026,5,7))</f>
        <v/>
      </c>
      <c r="EQ43" s="116">
        <f>COUNTIFS('DRAFT 2'!$D:$D,$B43,'DRAFT 2'!$A:$A,"&gt;="&amp;DATE(2026,5,8),'DRAFT 2'!$A:$A,"&lt;="&amp;DATE(2026,5,14))</f>
        <v/>
      </c>
      <c r="ER43" s="116">
        <f>COUNTIFS('DRAFT 2'!$D:$D,$B43,'DRAFT 2'!$A:$A,"&gt;="&amp;DATE(2026,5,15),'DRAFT 2'!$A:$A,"&lt;="&amp;DATE(2026,5,21))</f>
        <v/>
      </c>
      <c r="ES43" s="116">
        <f>COUNTIFS('DRAFT 2'!$D:$D,$B43,'DRAFT 2'!$A:$A,"&gt;="&amp;DATE(2026,5,22),'DRAFT 2'!$A:$A,"&lt;"&amp;DATE(2026,IF(5=12,5+1,5+1),1))</f>
        <v/>
      </c>
      <c r="ET43" s="116">
        <f>SUM(EP43:ES43)</f>
        <v/>
      </c>
      <c r="FD43" s="116">
        <f>IFERROR(LOOKUP(2,1/('DRAFT 2'!$D:$D=$B43)*('DRAFT 2'!$A:$A&gt;=DATE(2026,6,1))*('DRAFT 2'!$A:$A&lt;DATE(2026,IF(6=12,6+1,6+1),1)),'DRAFT 2'!$A:$A),"")</f>
        <v/>
      </c>
      <c r="FE43" s="116">
        <f>COUNTIFS('DRAFT 2'!$D:$D,$B43,'DRAFT 2'!$A:$A,"&gt;="&amp;DATE(2026,6,1),'DRAFT 2'!$A:$A,"&lt;="&amp;DATE(2026,6,7))</f>
        <v/>
      </c>
      <c r="FF43" s="116">
        <f>COUNTIFS('DRAFT 2'!$D:$D,$B43,'DRAFT 2'!$A:$A,"&gt;="&amp;DATE(2026,6,8),'DRAFT 2'!$A:$A,"&lt;="&amp;DATE(2026,6,14))</f>
        <v/>
      </c>
      <c r="FG43" s="116">
        <f>COUNTIFS('DRAFT 2'!$D:$D,$B43,'DRAFT 2'!$A:$A,"&gt;="&amp;DATE(2026,6,15),'DRAFT 2'!$A:$A,"&lt;="&amp;DATE(2026,6,21))</f>
        <v/>
      </c>
      <c r="FH43" s="116">
        <f>COUNTIFS('DRAFT 2'!$D:$D,$B43,'DRAFT 2'!$A:$A,"&gt;="&amp;DATE(2026,6,22),'DRAFT 2'!$A:$A,"&lt;"&amp;DATE(2026,IF(6=12,6+1,6+1),1))</f>
        <v/>
      </c>
      <c r="FI43" s="116">
        <f>SUM(FE43:FH43)</f>
        <v/>
      </c>
      <c r="FT43" s="116">
        <f>IFERROR(LOOKUP(2,1/('DRAFT 2'!$D:$D=$B43)*('DRAFT 2'!$A:$A&gt;=DATE(2026,7,1))*('DRAFT 2'!$A:$A&lt;DATE(2026,IF(7=12,7+1,7+1),1)),'DRAFT 2'!$A:$A),"")</f>
        <v/>
      </c>
      <c r="FU43" s="116">
        <f>COUNTIFS('DRAFT 2'!$D:$D,$B43,'DRAFT 2'!$A:$A,"&gt;="&amp;DATE(2026,7,1),'DRAFT 2'!$A:$A,"&lt;="&amp;DATE(2026,7,7))</f>
        <v/>
      </c>
      <c r="FV43" s="116">
        <f>COUNTIFS('DRAFT 2'!$D:$D,$B43,'DRAFT 2'!$A:$A,"&gt;="&amp;DATE(2026,7,8),'DRAFT 2'!$A:$A,"&lt;="&amp;DATE(2026,7,14))</f>
        <v/>
      </c>
      <c r="FW43" s="116">
        <f>COUNTIFS('DRAFT 2'!$D:$D,$B43,'DRAFT 2'!$A:$A,"&gt;="&amp;DATE(2026,7,15),'DRAFT 2'!$A:$A,"&lt;="&amp;DATE(2026,7,21))</f>
        <v/>
      </c>
      <c r="FX43" s="116">
        <f>COUNTIFS('DRAFT 2'!$D:$D,$B43,'DRAFT 2'!$A:$A,"&gt;="&amp;DATE(2026,7,22),'DRAFT 2'!$A:$A,"&lt;"&amp;DATE(2026,IF(7=12,7+1,7+1),1))</f>
        <v/>
      </c>
      <c r="FY43" s="116">
        <f>SUM(FU43:FX43)</f>
        <v/>
      </c>
      <c r="GI43" s="116">
        <f>IFERROR(LOOKUP(2,1/('DRAFT 2'!$D:$D=$B43)*('DRAFT 2'!$A:$A&gt;=DATE(2026,8,1))*('DRAFT 2'!$A:$A&lt;DATE(2026,IF(8=12,8+1,8+1),1)),'DRAFT 2'!$A:$A),"")</f>
        <v/>
      </c>
      <c r="GJ43" s="116">
        <f>COUNTIFS('DRAFT 2'!$D:$D,$B43,'DRAFT 2'!$A:$A,"&gt;="&amp;DATE(2026,8,1),'DRAFT 2'!$A:$A,"&lt;="&amp;DATE(2026,8,7))</f>
        <v/>
      </c>
      <c r="GK43" s="116">
        <f>COUNTIFS('DRAFT 2'!$D:$D,$B43,'DRAFT 2'!$A:$A,"&gt;="&amp;DATE(2026,8,8),'DRAFT 2'!$A:$A,"&lt;="&amp;DATE(2026,8,14))</f>
        <v/>
      </c>
      <c r="GL43" s="116">
        <f>COUNTIFS('DRAFT 2'!$D:$D,$B43,'DRAFT 2'!$A:$A,"&gt;="&amp;DATE(2026,8,15),'DRAFT 2'!$A:$A,"&lt;="&amp;DATE(2026,8,21))</f>
        <v/>
      </c>
      <c r="GM43" s="116">
        <f>COUNTIFS('DRAFT 2'!$D:$D,$B43,'DRAFT 2'!$A:$A,"&gt;="&amp;DATE(2026,8,22),'DRAFT 2'!$A:$A,"&lt;"&amp;DATE(2026,IF(8=12,8+1,8+1),1))</f>
        <v/>
      </c>
      <c r="GN43" s="116">
        <f>SUM(GJ43:GM43)</f>
        <v/>
      </c>
      <c r="GX43" s="116">
        <f>IFERROR(LOOKUP(2,1/('DRAFT 2'!$D:$D=$B43)*('DRAFT 2'!$A:$A&gt;=DATE(2026,9,1))*('DRAFT 2'!$A:$A&lt;DATE(2026,IF(9=12,9+1,9+1),1)),'DRAFT 2'!$A:$A),"")</f>
        <v/>
      </c>
      <c r="GY43" s="116">
        <f>COUNTIFS('DRAFT 2'!$D:$D,$B43,'DRAFT 2'!$A:$A,"&gt;="&amp;DATE(2026,9,1),'DRAFT 2'!$A:$A,"&lt;="&amp;DATE(2026,9,7))</f>
        <v/>
      </c>
      <c r="GZ43" s="116">
        <f>COUNTIFS('DRAFT 2'!$D:$D,$B43,'DRAFT 2'!$A:$A,"&gt;="&amp;DATE(2026,9,8),'DRAFT 2'!$A:$A,"&lt;="&amp;DATE(2026,9,14))</f>
        <v/>
      </c>
      <c r="HA43" s="116">
        <f>COUNTIFS('DRAFT 2'!$D:$D,$B43,'DRAFT 2'!$A:$A,"&gt;="&amp;DATE(2026,9,15),'DRAFT 2'!$A:$A,"&lt;="&amp;DATE(2026,9,21))</f>
        <v/>
      </c>
      <c r="HB43" s="116">
        <f>COUNTIFS('DRAFT 2'!$D:$D,$B43,'DRAFT 2'!$A:$A,"&gt;="&amp;DATE(2026,9,22),'DRAFT 2'!$A:$A,"&lt;"&amp;DATE(2026,IF(9=12,9+1,9+1),1))</f>
        <v/>
      </c>
      <c r="HC43" s="116">
        <f>SUM(GY43:HB43)</f>
        <v/>
      </c>
      <c r="HN43" s="116">
        <f>IFERROR(LOOKUP(2,1/('DRAFT 2'!$D:$D=$B43)*('DRAFT 2'!$A:$A&gt;=DATE(2026,10,1))*('DRAFT 2'!$A:$A&lt;DATE(2026,IF(10=12,10+1,10+1),1)),'DRAFT 2'!$A:$A),"")</f>
        <v/>
      </c>
      <c r="HO43" s="116">
        <f>COUNTIFS('DRAFT 2'!$D:$D,$B43,'DRAFT 2'!$A:$A,"&gt;="&amp;DATE(2026,10,1),'DRAFT 2'!$A:$A,"&lt;="&amp;DATE(2026,10,7))</f>
        <v/>
      </c>
      <c r="HP43" s="116">
        <f>COUNTIFS('DRAFT 2'!$D:$D,$B43,'DRAFT 2'!$A:$A,"&gt;="&amp;DATE(2026,10,8),'DRAFT 2'!$A:$A,"&lt;="&amp;DATE(2026,10,14))</f>
        <v/>
      </c>
      <c r="HQ43" s="116">
        <f>COUNTIFS('DRAFT 2'!$D:$D,$B43,'DRAFT 2'!$A:$A,"&gt;="&amp;DATE(2026,10,15),'DRAFT 2'!$A:$A,"&lt;="&amp;DATE(2026,10,21))</f>
        <v/>
      </c>
      <c r="HR43" s="116">
        <f>COUNTIFS('DRAFT 2'!$D:$D,$B43,'DRAFT 2'!$A:$A,"&gt;="&amp;DATE(2026,10,22),'DRAFT 2'!$A:$A,"&lt;"&amp;DATE(2026,IF(10=12,10+1,10+1),1))</f>
        <v/>
      </c>
      <c r="HS43" s="116">
        <f>SUM(HO43:HR43)</f>
        <v/>
      </c>
      <c r="IC43" s="116">
        <f>IFERROR(LOOKUP(2,1/('DRAFT 2'!$D:$D=$B43)*('DRAFT 2'!$A:$A&gt;=DATE(2026,11,1))*('DRAFT 2'!$A:$A&lt;DATE(2026,IF(11=12,11+1,11+1),1)),'DRAFT 2'!$A:$A),"")</f>
        <v/>
      </c>
      <c r="ID43" s="116">
        <f>COUNTIFS('DRAFT 2'!$D:$D,$B43,'DRAFT 2'!$A:$A,"&gt;="&amp;DATE(2026,11,1),'DRAFT 2'!$A:$A,"&lt;="&amp;DATE(2026,11,7))</f>
        <v/>
      </c>
      <c r="IE43" s="116">
        <f>COUNTIFS('DRAFT 2'!$D:$D,$B43,'DRAFT 2'!$A:$A,"&gt;="&amp;DATE(2026,11,8),'DRAFT 2'!$A:$A,"&lt;="&amp;DATE(2026,11,14))</f>
        <v/>
      </c>
      <c r="IF43" s="116">
        <f>COUNTIFS('DRAFT 2'!$D:$D,$B43,'DRAFT 2'!$A:$A,"&gt;="&amp;DATE(2026,11,15),'DRAFT 2'!$A:$A,"&lt;="&amp;DATE(2026,11,21))</f>
        <v/>
      </c>
      <c r="IG43" s="116">
        <f>COUNTIFS('DRAFT 2'!$D:$D,$B43,'DRAFT 2'!$A:$A,"&gt;="&amp;DATE(2026,11,22),'DRAFT 2'!$A:$A,"&lt;"&amp;DATE(2026,IF(11=12,11+1,11+1),1))</f>
        <v/>
      </c>
      <c r="IH43" s="116">
        <f>SUM(ID43:IG43)</f>
        <v/>
      </c>
      <c r="IR43" s="116">
        <f>IFERROR(LOOKUP(2,1/('DRAFT 2'!$D:$D=$B43)*('DRAFT 2'!$A:$A&gt;=DATE(2026,12,1))*('DRAFT 2'!$A:$A&lt;DATE(2026,IF(12=12,12+1,12+1),1)),'DRAFT 2'!$A:$A),"")</f>
        <v/>
      </c>
      <c r="IS43" s="116">
        <f>COUNTIFS('DRAFT 2'!$D:$D,$B43,'DRAFT 2'!$A:$A,"&gt;="&amp;DATE(2026,12,1),'DRAFT 2'!$A:$A,"&lt;="&amp;DATE(2026,12,7))</f>
        <v/>
      </c>
      <c r="IT43" s="116">
        <f>COUNTIFS('DRAFT 2'!$D:$D,$B43,'DRAFT 2'!$A:$A,"&gt;="&amp;DATE(2026,12,8),'DRAFT 2'!$A:$A,"&lt;="&amp;DATE(2026,12,14))</f>
        <v/>
      </c>
      <c r="IU43" s="116">
        <f>COUNTIFS('DRAFT 2'!$D:$D,$B43,'DRAFT 2'!$A:$A,"&gt;="&amp;DATE(2026,12,15),'DRAFT 2'!$A:$A,"&lt;="&amp;DATE(2026,12,21))</f>
        <v/>
      </c>
      <c r="IV43" s="116">
        <f>COUNTIFS('DRAFT 2'!$D:$D,$B43,'DRAFT 2'!$A:$A,"&gt;="&amp;DATE(2026,12,22),'DRAFT 2'!$A:$A,"&lt;"&amp;DATE(2026,IF(12=12,12+1,12+1),1))</f>
        <v/>
      </c>
      <c r="IW43" s="116">
        <f>SUM(IS43:IV43)</f>
        <v/>
      </c>
    </row>
    <row r="44">
      <c r="A44" s="116">
        <f>IFERROR(INDEX('DRAFT 1'!$A:$A,MATCH($B44,'DRAFT 1'!$B:$B,0)),"")</f>
        <v/>
      </c>
      <c r="C44" s="116">
        <f>IFERROR(INDEX('DRAFT 1'!$C:$C,MATCH($B44,'DRAFT 1'!$B:$B,0)),"")</f>
        <v/>
      </c>
      <c r="D44" s="116">
        <f>IFERROR(INDEX('DRAFT 1'!$D:$D,MATCH($B44,'DRAFT 1'!$B:$B,0)),"")</f>
        <v/>
      </c>
      <c r="E44" s="116">
        <f>IFERROR(INDEX('DRAFT 1'!$E:$E,MATCH($B44,'DRAFT 1'!$B:$B,0)),"")</f>
        <v/>
      </c>
      <c r="F44" s="116">
        <f>IFERROR(INDEX('DRAFT 1'!$F:$F,MATCH($B44,'DRAFT 1'!$B:$B,0)),"")</f>
        <v/>
      </c>
      <c r="G44" s="116">
        <f>IFERROR(INDEX('DRAFT 1'!$G:$G,MATCH($B44,'DRAFT 1'!$B:$B,0)),"")</f>
        <v/>
      </c>
      <c r="H44" s="116">
        <f>IFERROR(INDEX('DRAFT 1'!$H:$H,MATCH($B44,'DRAFT 1'!$B:$B,0)),"")</f>
        <v/>
      </c>
      <c r="I44" s="116" t="inlineStr">
        <is>
          <t>VIDA LEVE</t>
        </is>
      </c>
      <c r="K44" s="116">
        <f>IFERROR(INDEX('DRAFT 1'!$AL:$AL,MATCH($B44,'DRAFT 1'!$B:$B,0)),"")</f>
        <v/>
      </c>
      <c r="L44" s="116">
        <f>IFERROR(INDEX('DRAFT 1'!$J:$J,MATCH($B44,'DRAFT 1'!$B:$B,0)),"")</f>
        <v/>
      </c>
      <c r="M44" s="116">
        <f>IFERROR(INDEX('DRAFT 1'!$K:$K,MATCH($B44,'DRAFT 1'!$B:$B,0)),"")</f>
        <v/>
      </c>
      <c r="N44" s="116" t="inlineStr">
        <is>
          <t>EM RISCO</t>
        </is>
      </c>
      <c r="P44" s="116">
        <f>IFERROR(INDEX('DRAFT 1'!$L:$L,MATCH($B44,'DRAFT 1'!$B:$B,0)),"")</f>
        <v/>
      </c>
      <c r="Q44" s="116">
        <f>IFERROR(INDEX('DRAFT 1'!$M:$M,MATCH($B44,'DRAFT 1'!$B:$B,0)),"")</f>
        <v/>
      </c>
      <c r="R44" s="116">
        <f>IFERROR(INDEX('DRAFT 1'!$N:$N,MATCH($B44,'DRAFT 1'!$B:$B,0)),"")</f>
        <v/>
      </c>
      <c r="S44" s="116">
        <f>IFERROR(INDEX('DRAFT 1'!$O:$O,MATCH($B44,'DRAFT 1'!$B:$B,0)),"")</f>
        <v/>
      </c>
      <c r="T44" s="116">
        <f>IFERROR(INDEX('DRAFT 1'!$P:$P,MATCH($B44,'DRAFT 1'!$B:$B,0)),"")</f>
        <v/>
      </c>
      <c r="U44" s="116">
        <f>IFERROR(INDEX('DRAFT 1'!$Q:$Q,MATCH($B44,'DRAFT 1'!$B:$B,0)),"")</f>
        <v/>
      </c>
      <c r="V44" s="116">
        <f>IFERROR(INDEX('DRAFT 1'!$R:$R,MATCH($B44,'DRAFT 1'!$B:$B,0)),"")</f>
        <v/>
      </c>
      <c r="W44" s="116">
        <f>IFERROR(INDEX('DRAFT 1'!$S:$S,MATCH($B44,'DRAFT 1'!$B:$B,0)),"")</f>
        <v/>
      </c>
      <c r="X44" s="116">
        <f>IFERROR(INDEX('DRAFT 1'!$T:$T,MATCH($B44,'DRAFT 1'!$B:$B,0)),"")</f>
        <v/>
      </c>
      <c r="Z44" s="116">
        <f>IFERROR(INDEX('DRAFT 1'!$U:$U,MATCH($B44,'DRAFT 1'!$B:$B,0)),"")</f>
        <v/>
      </c>
      <c r="AA44" s="116">
        <f>IFERROR(INDEX('DRAFT 1'!$V:$V,MATCH($B44,'DRAFT 1'!$B:$B,0)),"")</f>
        <v/>
      </c>
      <c r="AB44" s="116">
        <f>IFERROR(INDEX('DRAFT 1'!$W:$W,MATCH($B44,'DRAFT 1'!$B:$B,0)),"")</f>
        <v/>
      </c>
      <c r="AC44" s="116">
        <f>IFERROR(INDEX('DRAFT 1'!$X:$X,MATCH($B44,'DRAFT 1'!$B:$B,0)),"")</f>
        <v/>
      </c>
      <c r="AD44" s="116">
        <f>IFERROR(INDEX('DRAFT 1'!$Y:$Y,MATCH($B44,'DRAFT 1'!$B:$B,0)),"")</f>
        <v/>
      </c>
      <c r="AE44" s="116">
        <f>IFERROR(INDEX('DRAFT 1'!$Z:$Z,MATCH($B44,'DRAFT 1'!$B:$B,0)),"")</f>
        <v/>
      </c>
      <c r="AF44" s="116">
        <f>IFERROR(INDEX('DRAFT 1'!$AA:$AA,MATCH($B44,'DRAFT 1'!$B:$B,0)),"")</f>
        <v/>
      </c>
      <c r="AG44" s="116">
        <f>IFERROR(INDEX('DRAFT 1'!$AB:$AB,MATCH($B44,'DRAFT 1'!$B:$B,0)),"")</f>
        <v/>
      </c>
      <c r="AH44" s="116">
        <f>IFERROR(INDEX('DRAFT 1'!$AC:$AC,MATCH($B44,'DRAFT 1'!$B:$B,0)),"")</f>
        <v/>
      </c>
      <c r="AI44" s="116">
        <f>IFERROR(INDEX('DRAFT 1'!$AD:$AD,MATCH($B44,'DRAFT 1'!$B:$B,0)),"")</f>
        <v/>
      </c>
      <c r="AJ44" s="116">
        <f>IFERROR(INDEX('DRAFT 1'!$AE:$AE,MATCH($B44,'DRAFT 1'!$B:$B,0)),"")</f>
        <v/>
      </c>
      <c r="AK44" s="116">
        <f>IFERROR(INDEX('DRAFT 1'!$AG:$AG,MATCH($B44,'DRAFT 1'!$B:$B,0)),"")</f>
        <v/>
      </c>
      <c r="AL44" s="116">
        <f>IFERROR(INDEX('DRAFT 1'!$AH:$AH,MATCH($B44,'DRAFT 1'!$B:$B,0)),"")</f>
        <v/>
      </c>
      <c r="AM44" s="116">
        <f>IFERROR(INDEX('DRAFT 1'!$AI:$AI,MATCH($B44,'DRAFT 1'!$B:$B,0)),"")</f>
        <v/>
      </c>
      <c r="AN44" s="116">
        <f>IFERROR(INDEX('DRAFT 1'!$AJ:$AJ,MATCH($B44,'DRAFT 1'!$B:$B,0)),"")</f>
        <v/>
      </c>
      <c r="AO44" s="116">
        <f>IFERROR(Y44/AN44,0)</f>
        <v/>
      </c>
      <c r="AP44" s="116">
        <f>IFERROR(INDEX('DRAFT 1'!$AK:$AK,MATCH($B44,'DRAFT 1'!$B:$B,0)),"")</f>
        <v/>
      </c>
      <c r="AR44" s="116" t="inlineStr">
        <is>
          <t>NUTRIÇÃO</t>
        </is>
      </c>
      <c r="AS44" s="116">
        <f>IFERROR(LOOKUP(2,1/('DRAFT 2'!$D:$D=$B44),'DRAFT 2'!$T:$T),"")</f>
        <v/>
      </c>
      <c r="AT44" s="116">
        <f>IFERROR(LOOKUP(2,1/('DRAFT 2'!$D:$D=$B44),'DRAFT 2'!$A:$A),"")</f>
        <v/>
      </c>
      <c r="AU44" s="116">
        <f>IFERROR(LOOKUP(2,1/('DRAFT 2'!$D:$D=$B44),'DRAFT 2'!$R:$R),"")</f>
        <v/>
      </c>
      <c r="AV44" s="116">
        <f>IFERROR(LOOKUP(2,1/('DRAFT 2'!$D:$D=$B44),'DRAFT 2'!$S:$S),"")</f>
        <v/>
      </c>
      <c r="AW44" s="116" t="inlineStr">
        <is>
          <t>RECORRENTE</t>
        </is>
      </c>
      <c r="AX44" s="116">
        <f>IFERROR(LOOKUP(2,1/('DRAFT 2'!$D:$D=$B44),'DRAFT 2'!$M:$M),"")</f>
        <v/>
      </c>
      <c r="AY44" s="116">
        <f>IFERROR(LOOKUP(2,1/('DRAFT 2'!$D:$D=$B44),'DRAFT 2'!$K:$K),"")</f>
        <v/>
      </c>
      <c r="BG44" s="116">
        <f>IFERROR(LOOKUP(2,1/('DRAFT 2'!$D:$D=$B44),'DRAFT 2'!$U:$U),"")</f>
        <v/>
      </c>
      <c r="BH44" s="116">
        <f>IFERROR(LOOKUP(2,1/('DRAFT 2'!$D:$D=$B44),'DRAFT 2'!$V:$V),"")</f>
        <v/>
      </c>
      <c r="CE44" s="116">
        <f>IFERROR(AJ44,0)</f>
        <v/>
      </c>
      <c r="CF44" s="116">
        <f>IFERROR(LOOKUP(2,1/('DRAFT 2'!$D:$D=$B44)*('DRAFT 2'!$A:$A&gt;=DATE(2026,1,1))*('DRAFT 2'!$A:$A&lt;DATE(2026,IF(1=12,1+1,1+1),1)),'DRAFT 2'!$A:$A),"")</f>
        <v/>
      </c>
      <c r="CG44" s="116">
        <f>COUNTIFS('DRAFT 2'!$D:$D,$B44,'DRAFT 2'!$A:$A,"&gt;="&amp;DATE(2026,1,1),'DRAFT 2'!$A:$A,"&lt;="&amp;DATE(2026,1,7))</f>
        <v/>
      </c>
      <c r="CH44" s="116">
        <f>COUNTIFS('DRAFT 2'!$D:$D,$B44,'DRAFT 2'!$A:$A,"&gt;="&amp;DATE(2026,1,8),'DRAFT 2'!$A:$A,"&lt;="&amp;DATE(2026,1,14))</f>
        <v/>
      </c>
      <c r="CI44" s="116">
        <f>COUNTIFS('DRAFT 2'!$D:$D,$B44,'DRAFT 2'!$A:$A,"&gt;="&amp;DATE(2026,1,15),'DRAFT 2'!$A:$A,"&lt;="&amp;DATE(2026,1,21))</f>
        <v/>
      </c>
      <c r="CJ44" s="116">
        <f>COUNTIFS('DRAFT 2'!$D:$D,$B44,'DRAFT 2'!$A:$A,"&gt;="&amp;DATE(2026,1,22),'DRAFT 2'!$A:$A,"&lt;"&amp;DATE(2026,IF(1=12,1+1,1+1),1))</f>
        <v/>
      </c>
      <c r="CK44" s="116">
        <f>SUM(CG44:CJ44)</f>
        <v/>
      </c>
      <c r="CT44" s="116" t="n">
        <v>0</v>
      </c>
      <c r="CU44" s="116">
        <f>IFERROR(LOOKUP(2,1/('DRAFT 2'!$D:$D=$B44)*('DRAFT 2'!$A:$A&gt;=DATE(2026,2,1))*('DRAFT 2'!$A:$A&lt;DATE(2026,IF(2=12,2+1,2+1),1)),'DRAFT 2'!$A:$A),"")</f>
        <v/>
      </c>
      <c r="CV44" s="116">
        <f>COUNTIFS('DRAFT 2'!$D:$D,$B44,'DRAFT 2'!$A:$A,"&gt;="&amp;DATE(2026,2,1),'DRAFT 2'!$A:$A,"&lt;="&amp;DATE(2026,2,7))</f>
        <v/>
      </c>
      <c r="CW44" s="116">
        <f>COUNTIFS('DRAFT 2'!$D:$D,$B44,'DRAFT 2'!$A:$A,"&gt;="&amp;DATE(2026,2,8),'DRAFT 2'!$A:$A,"&lt;="&amp;DATE(2026,2,14))</f>
        <v/>
      </c>
      <c r="CX44" s="116">
        <f>COUNTIFS('DRAFT 2'!$D:$D,$B44,'DRAFT 2'!$A:$A,"&gt;="&amp;DATE(2026,2,15),'DRAFT 2'!$A:$A,"&lt;="&amp;DATE(2026,2,21))</f>
        <v/>
      </c>
      <c r="CY44" s="116">
        <f>COUNTIFS('DRAFT 2'!$D:$D,$B44,'DRAFT 2'!$A:$A,"&gt;="&amp;DATE(2026,2,22),'DRAFT 2'!$A:$A,"&lt;"&amp;DATE(2026,IF(2=12,2+1,2+1),1))</f>
        <v/>
      </c>
      <c r="CZ44" s="116">
        <f>SUM(CV44:CY44)</f>
        <v/>
      </c>
      <c r="DJ44" s="116">
        <f>IFERROR(LOOKUP(2,1/('DRAFT 2'!$D:$D=$B44)*('DRAFT 2'!$A:$A&gt;=DATE(2026,3,1))*('DRAFT 2'!$A:$A&lt;DATE(2026,IF(3=12,3+1,3+1),1)),'DRAFT 2'!$A:$A),"")</f>
        <v/>
      </c>
      <c r="DK44" s="116">
        <f>COUNTIFS('DRAFT 2'!$D:$D,$B44,'DRAFT 2'!$A:$A,"&gt;="&amp;DATE(2026,3,1),'DRAFT 2'!$A:$A,"&lt;="&amp;DATE(2026,3,7))</f>
        <v/>
      </c>
      <c r="DL44" s="116">
        <f>COUNTIFS('DRAFT 2'!$D:$D,$B44,'DRAFT 2'!$A:$A,"&gt;="&amp;DATE(2026,3,8),'DRAFT 2'!$A:$A,"&lt;="&amp;DATE(2026,3,14))</f>
        <v/>
      </c>
      <c r="DM44" s="116">
        <f>COUNTIFS('DRAFT 2'!$D:$D,$B44,'DRAFT 2'!$A:$A,"&gt;="&amp;DATE(2026,3,15),'DRAFT 2'!$A:$A,"&lt;="&amp;DATE(2026,3,21))</f>
        <v/>
      </c>
      <c r="DN44" s="116">
        <f>COUNTIFS('DRAFT 2'!$D:$D,$B44,'DRAFT 2'!$A:$A,"&gt;="&amp;DATE(2026,3,22),'DRAFT 2'!$A:$A,"&lt;"&amp;DATE(2026,IF(3=12,3+1,3+1),1))</f>
        <v/>
      </c>
      <c r="DO44" s="116">
        <f>SUM(DK44:DN44)</f>
        <v/>
      </c>
      <c r="DZ44" s="116">
        <f>IFERROR(LOOKUP(2,1/('DRAFT 2'!$D:$D=$B44)*('DRAFT 2'!$A:$A&gt;=DATE(2026,4,1))*('DRAFT 2'!$A:$A&lt;DATE(2026,IF(4=12,4+1,4+1),1)),'DRAFT 2'!$A:$A),"")</f>
        <v/>
      </c>
      <c r="EA44" s="116">
        <f>COUNTIFS('DRAFT 2'!$D:$D,$B44,'DRAFT 2'!$A:$A,"&gt;="&amp;DATE(2026,4,1),'DRAFT 2'!$A:$A,"&lt;="&amp;DATE(2026,4,7))</f>
        <v/>
      </c>
      <c r="EB44" s="116">
        <f>COUNTIFS('DRAFT 2'!$D:$D,$B44,'DRAFT 2'!$A:$A,"&gt;="&amp;DATE(2026,4,8),'DRAFT 2'!$A:$A,"&lt;="&amp;DATE(2026,4,14))</f>
        <v/>
      </c>
      <c r="EC44" s="116">
        <f>COUNTIFS('DRAFT 2'!$D:$D,$B44,'DRAFT 2'!$A:$A,"&gt;="&amp;DATE(2026,4,15),'DRAFT 2'!$A:$A,"&lt;="&amp;DATE(2026,4,21))</f>
        <v/>
      </c>
      <c r="ED44" s="116">
        <f>COUNTIFS('DRAFT 2'!$D:$D,$B44,'DRAFT 2'!$A:$A,"&gt;="&amp;DATE(2026,4,22),'DRAFT 2'!$A:$A,"&lt;"&amp;DATE(2026,IF(4=12,4+1,4+1),1))</f>
        <v/>
      </c>
      <c r="EE44" s="116">
        <f>SUM(EA44:ED44)</f>
        <v/>
      </c>
      <c r="EO44" s="116">
        <f>IFERROR(LOOKUP(2,1/('DRAFT 2'!$D:$D=$B44)*('DRAFT 2'!$A:$A&gt;=DATE(2026,5,1))*('DRAFT 2'!$A:$A&lt;DATE(2026,IF(5=12,5+1,5+1),1)),'DRAFT 2'!$A:$A),"")</f>
        <v/>
      </c>
      <c r="EP44" s="116">
        <f>COUNTIFS('DRAFT 2'!$D:$D,$B44,'DRAFT 2'!$A:$A,"&gt;="&amp;DATE(2026,5,1),'DRAFT 2'!$A:$A,"&lt;="&amp;DATE(2026,5,7))</f>
        <v/>
      </c>
      <c r="EQ44" s="116">
        <f>COUNTIFS('DRAFT 2'!$D:$D,$B44,'DRAFT 2'!$A:$A,"&gt;="&amp;DATE(2026,5,8),'DRAFT 2'!$A:$A,"&lt;="&amp;DATE(2026,5,14))</f>
        <v/>
      </c>
      <c r="ER44" s="116">
        <f>COUNTIFS('DRAFT 2'!$D:$D,$B44,'DRAFT 2'!$A:$A,"&gt;="&amp;DATE(2026,5,15),'DRAFT 2'!$A:$A,"&lt;="&amp;DATE(2026,5,21))</f>
        <v/>
      </c>
      <c r="ES44" s="116">
        <f>COUNTIFS('DRAFT 2'!$D:$D,$B44,'DRAFT 2'!$A:$A,"&gt;="&amp;DATE(2026,5,22),'DRAFT 2'!$A:$A,"&lt;"&amp;DATE(2026,IF(5=12,5+1,5+1),1))</f>
        <v/>
      </c>
      <c r="ET44" s="116">
        <f>SUM(EP44:ES44)</f>
        <v/>
      </c>
      <c r="FD44" s="116">
        <f>IFERROR(LOOKUP(2,1/('DRAFT 2'!$D:$D=$B44)*('DRAFT 2'!$A:$A&gt;=DATE(2026,6,1))*('DRAFT 2'!$A:$A&lt;DATE(2026,IF(6=12,6+1,6+1),1)),'DRAFT 2'!$A:$A),"")</f>
        <v/>
      </c>
      <c r="FE44" s="116">
        <f>COUNTIFS('DRAFT 2'!$D:$D,$B44,'DRAFT 2'!$A:$A,"&gt;="&amp;DATE(2026,6,1),'DRAFT 2'!$A:$A,"&lt;="&amp;DATE(2026,6,7))</f>
        <v/>
      </c>
      <c r="FF44" s="116">
        <f>COUNTIFS('DRAFT 2'!$D:$D,$B44,'DRAFT 2'!$A:$A,"&gt;="&amp;DATE(2026,6,8),'DRAFT 2'!$A:$A,"&lt;="&amp;DATE(2026,6,14))</f>
        <v/>
      </c>
      <c r="FG44" s="116">
        <f>COUNTIFS('DRAFT 2'!$D:$D,$B44,'DRAFT 2'!$A:$A,"&gt;="&amp;DATE(2026,6,15),'DRAFT 2'!$A:$A,"&lt;="&amp;DATE(2026,6,21))</f>
        <v/>
      </c>
      <c r="FH44" s="116">
        <f>COUNTIFS('DRAFT 2'!$D:$D,$B44,'DRAFT 2'!$A:$A,"&gt;="&amp;DATE(2026,6,22),'DRAFT 2'!$A:$A,"&lt;"&amp;DATE(2026,IF(6=12,6+1,6+1),1))</f>
        <v/>
      </c>
      <c r="FI44" s="116">
        <f>SUM(FE44:FH44)</f>
        <v/>
      </c>
      <c r="FT44" s="116">
        <f>IFERROR(LOOKUP(2,1/('DRAFT 2'!$D:$D=$B44)*('DRAFT 2'!$A:$A&gt;=DATE(2026,7,1))*('DRAFT 2'!$A:$A&lt;DATE(2026,IF(7=12,7+1,7+1),1)),'DRAFT 2'!$A:$A),"")</f>
        <v/>
      </c>
      <c r="FU44" s="116">
        <f>COUNTIFS('DRAFT 2'!$D:$D,$B44,'DRAFT 2'!$A:$A,"&gt;="&amp;DATE(2026,7,1),'DRAFT 2'!$A:$A,"&lt;="&amp;DATE(2026,7,7))</f>
        <v/>
      </c>
      <c r="FV44" s="116">
        <f>COUNTIFS('DRAFT 2'!$D:$D,$B44,'DRAFT 2'!$A:$A,"&gt;="&amp;DATE(2026,7,8),'DRAFT 2'!$A:$A,"&lt;="&amp;DATE(2026,7,14))</f>
        <v/>
      </c>
      <c r="FW44" s="116">
        <f>COUNTIFS('DRAFT 2'!$D:$D,$B44,'DRAFT 2'!$A:$A,"&gt;="&amp;DATE(2026,7,15),'DRAFT 2'!$A:$A,"&lt;="&amp;DATE(2026,7,21))</f>
        <v/>
      </c>
      <c r="FX44" s="116">
        <f>COUNTIFS('DRAFT 2'!$D:$D,$B44,'DRAFT 2'!$A:$A,"&gt;="&amp;DATE(2026,7,22),'DRAFT 2'!$A:$A,"&lt;"&amp;DATE(2026,IF(7=12,7+1,7+1),1))</f>
        <v/>
      </c>
      <c r="FY44" s="116">
        <f>SUM(FU44:FX44)</f>
        <v/>
      </c>
      <c r="GI44" s="116">
        <f>IFERROR(LOOKUP(2,1/('DRAFT 2'!$D:$D=$B44)*('DRAFT 2'!$A:$A&gt;=DATE(2026,8,1))*('DRAFT 2'!$A:$A&lt;DATE(2026,IF(8=12,8+1,8+1),1)),'DRAFT 2'!$A:$A),"")</f>
        <v/>
      </c>
      <c r="GJ44" s="116">
        <f>COUNTIFS('DRAFT 2'!$D:$D,$B44,'DRAFT 2'!$A:$A,"&gt;="&amp;DATE(2026,8,1),'DRAFT 2'!$A:$A,"&lt;="&amp;DATE(2026,8,7))</f>
        <v/>
      </c>
      <c r="GK44" s="116">
        <f>COUNTIFS('DRAFT 2'!$D:$D,$B44,'DRAFT 2'!$A:$A,"&gt;="&amp;DATE(2026,8,8),'DRAFT 2'!$A:$A,"&lt;="&amp;DATE(2026,8,14))</f>
        <v/>
      </c>
      <c r="GL44" s="116">
        <f>COUNTIFS('DRAFT 2'!$D:$D,$B44,'DRAFT 2'!$A:$A,"&gt;="&amp;DATE(2026,8,15),'DRAFT 2'!$A:$A,"&lt;="&amp;DATE(2026,8,21))</f>
        <v/>
      </c>
      <c r="GM44" s="116">
        <f>COUNTIFS('DRAFT 2'!$D:$D,$B44,'DRAFT 2'!$A:$A,"&gt;="&amp;DATE(2026,8,22),'DRAFT 2'!$A:$A,"&lt;"&amp;DATE(2026,IF(8=12,8+1,8+1),1))</f>
        <v/>
      </c>
      <c r="GN44" s="116">
        <f>SUM(GJ44:GM44)</f>
        <v/>
      </c>
      <c r="GX44" s="116">
        <f>IFERROR(LOOKUP(2,1/('DRAFT 2'!$D:$D=$B44)*('DRAFT 2'!$A:$A&gt;=DATE(2026,9,1))*('DRAFT 2'!$A:$A&lt;DATE(2026,IF(9=12,9+1,9+1),1)),'DRAFT 2'!$A:$A),"")</f>
        <v/>
      </c>
      <c r="GY44" s="116">
        <f>COUNTIFS('DRAFT 2'!$D:$D,$B44,'DRAFT 2'!$A:$A,"&gt;="&amp;DATE(2026,9,1),'DRAFT 2'!$A:$A,"&lt;="&amp;DATE(2026,9,7))</f>
        <v/>
      </c>
      <c r="GZ44" s="116">
        <f>COUNTIFS('DRAFT 2'!$D:$D,$B44,'DRAFT 2'!$A:$A,"&gt;="&amp;DATE(2026,9,8),'DRAFT 2'!$A:$A,"&lt;="&amp;DATE(2026,9,14))</f>
        <v/>
      </c>
      <c r="HA44" s="116">
        <f>COUNTIFS('DRAFT 2'!$D:$D,$B44,'DRAFT 2'!$A:$A,"&gt;="&amp;DATE(2026,9,15),'DRAFT 2'!$A:$A,"&lt;="&amp;DATE(2026,9,21))</f>
        <v/>
      </c>
      <c r="HB44" s="116">
        <f>COUNTIFS('DRAFT 2'!$D:$D,$B44,'DRAFT 2'!$A:$A,"&gt;="&amp;DATE(2026,9,22),'DRAFT 2'!$A:$A,"&lt;"&amp;DATE(2026,IF(9=12,9+1,9+1),1))</f>
        <v/>
      </c>
      <c r="HC44" s="116">
        <f>SUM(GY44:HB44)</f>
        <v/>
      </c>
      <c r="HN44" s="116">
        <f>IFERROR(LOOKUP(2,1/('DRAFT 2'!$D:$D=$B44)*('DRAFT 2'!$A:$A&gt;=DATE(2026,10,1))*('DRAFT 2'!$A:$A&lt;DATE(2026,IF(10=12,10+1,10+1),1)),'DRAFT 2'!$A:$A),"")</f>
        <v/>
      </c>
      <c r="HO44" s="116">
        <f>COUNTIFS('DRAFT 2'!$D:$D,$B44,'DRAFT 2'!$A:$A,"&gt;="&amp;DATE(2026,10,1),'DRAFT 2'!$A:$A,"&lt;="&amp;DATE(2026,10,7))</f>
        <v/>
      </c>
      <c r="HP44" s="116">
        <f>COUNTIFS('DRAFT 2'!$D:$D,$B44,'DRAFT 2'!$A:$A,"&gt;="&amp;DATE(2026,10,8),'DRAFT 2'!$A:$A,"&lt;="&amp;DATE(2026,10,14))</f>
        <v/>
      </c>
      <c r="HQ44" s="116">
        <f>COUNTIFS('DRAFT 2'!$D:$D,$B44,'DRAFT 2'!$A:$A,"&gt;="&amp;DATE(2026,10,15),'DRAFT 2'!$A:$A,"&lt;="&amp;DATE(2026,10,21))</f>
        <v/>
      </c>
      <c r="HR44" s="116">
        <f>COUNTIFS('DRAFT 2'!$D:$D,$B44,'DRAFT 2'!$A:$A,"&gt;="&amp;DATE(2026,10,22),'DRAFT 2'!$A:$A,"&lt;"&amp;DATE(2026,IF(10=12,10+1,10+1),1))</f>
        <v/>
      </c>
      <c r="HS44" s="116">
        <f>SUM(HO44:HR44)</f>
        <v/>
      </c>
      <c r="IC44" s="116">
        <f>IFERROR(LOOKUP(2,1/('DRAFT 2'!$D:$D=$B44)*('DRAFT 2'!$A:$A&gt;=DATE(2026,11,1))*('DRAFT 2'!$A:$A&lt;DATE(2026,IF(11=12,11+1,11+1),1)),'DRAFT 2'!$A:$A),"")</f>
        <v/>
      </c>
      <c r="ID44" s="116">
        <f>COUNTIFS('DRAFT 2'!$D:$D,$B44,'DRAFT 2'!$A:$A,"&gt;="&amp;DATE(2026,11,1),'DRAFT 2'!$A:$A,"&lt;="&amp;DATE(2026,11,7))</f>
        <v/>
      </c>
      <c r="IE44" s="116">
        <f>COUNTIFS('DRAFT 2'!$D:$D,$B44,'DRAFT 2'!$A:$A,"&gt;="&amp;DATE(2026,11,8),'DRAFT 2'!$A:$A,"&lt;="&amp;DATE(2026,11,14))</f>
        <v/>
      </c>
      <c r="IF44" s="116">
        <f>COUNTIFS('DRAFT 2'!$D:$D,$B44,'DRAFT 2'!$A:$A,"&gt;="&amp;DATE(2026,11,15),'DRAFT 2'!$A:$A,"&lt;="&amp;DATE(2026,11,21))</f>
        <v/>
      </c>
      <c r="IG44" s="116">
        <f>COUNTIFS('DRAFT 2'!$D:$D,$B44,'DRAFT 2'!$A:$A,"&gt;="&amp;DATE(2026,11,22),'DRAFT 2'!$A:$A,"&lt;"&amp;DATE(2026,IF(11=12,11+1,11+1),1))</f>
        <v/>
      </c>
      <c r="IH44" s="116">
        <f>SUM(ID44:IG44)</f>
        <v/>
      </c>
      <c r="IR44" s="116">
        <f>IFERROR(LOOKUP(2,1/('DRAFT 2'!$D:$D=$B44)*('DRAFT 2'!$A:$A&gt;=DATE(2026,12,1))*('DRAFT 2'!$A:$A&lt;DATE(2026,IF(12=12,12+1,12+1),1)),'DRAFT 2'!$A:$A),"")</f>
        <v/>
      </c>
      <c r="IS44" s="116">
        <f>COUNTIFS('DRAFT 2'!$D:$D,$B44,'DRAFT 2'!$A:$A,"&gt;="&amp;DATE(2026,12,1),'DRAFT 2'!$A:$A,"&lt;="&amp;DATE(2026,12,7))</f>
        <v/>
      </c>
      <c r="IT44" s="116">
        <f>COUNTIFS('DRAFT 2'!$D:$D,$B44,'DRAFT 2'!$A:$A,"&gt;="&amp;DATE(2026,12,8),'DRAFT 2'!$A:$A,"&lt;="&amp;DATE(2026,12,14))</f>
        <v/>
      </c>
      <c r="IU44" s="116">
        <f>COUNTIFS('DRAFT 2'!$D:$D,$B44,'DRAFT 2'!$A:$A,"&gt;="&amp;DATE(2026,12,15),'DRAFT 2'!$A:$A,"&lt;="&amp;DATE(2026,12,21))</f>
        <v/>
      </c>
      <c r="IV44" s="116">
        <f>COUNTIFS('DRAFT 2'!$D:$D,$B44,'DRAFT 2'!$A:$A,"&gt;="&amp;DATE(2026,12,22),'DRAFT 2'!$A:$A,"&lt;"&amp;DATE(2026,IF(12=12,12+1,12+1),1))</f>
        <v/>
      </c>
      <c r="IW44" s="116">
        <f>SUM(IS44:IV44)</f>
        <v/>
      </c>
    </row>
    <row r="45">
      <c r="A45" s="116">
        <f>IFERROR(INDEX('DRAFT 1'!$A:$A,MATCH($B45,'DRAFT 1'!$B:$B,0)),"")</f>
        <v/>
      </c>
      <c r="C45" s="116">
        <f>IFERROR(INDEX('DRAFT 1'!$C:$C,MATCH($B45,'DRAFT 1'!$B:$B,0)),"")</f>
        <v/>
      </c>
      <c r="D45" s="116">
        <f>IFERROR(INDEX('DRAFT 1'!$D:$D,MATCH($B45,'DRAFT 1'!$B:$B,0)),"")</f>
        <v/>
      </c>
      <c r="E45" s="116">
        <f>IFERROR(INDEX('DRAFT 1'!$E:$E,MATCH($B45,'DRAFT 1'!$B:$B,0)),"")</f>
        <v/>
      </c>
      <c r="F45" s="116">
        <f>IFERROR(INDEX('DRAFT 1'!$F:$F,MATCH($B45,'DRAFT 1'!$B:$B,0)),"")</f>
        <v/>
      </c>
      <c r="G45" s="116">
        <f>IFERROR(INDEX('DRAFT 1'!$G:$G,MATCH($B45,'DRAFT 1'!$B:$B,0)),"")</f>
        <v/>
      </c>
      <c r="H45" s="116">
        <f>IFERROR(INDEX('DRAFT 1'!$H:$H,MATCH($B45,'DRAFT 1'!$B:$B,0)),"")</f>
        <v/>
      </c>
      <c r="I45" s="116" t="inlineStr">
        <is>
          <t>MUNDO VERDE</t>
        </is>
      </c>
      <c r="K45" s="116">
        <f>IFERROR(INDEX('DRAFT 1'!$AL:$AL,MATCH($B45,'DRAFT 1'!$B:$B,0)),"")</f>
        <v/>
      </c>
      <c r="L45" s="116">
        <f>IFERROR(INDEX('DRAFT 1'!$J:$J,MATCH($B45,'DRAFT 1'!$B:$B,0)),"")</f>
        <v/>
      </c>
      <c r="M45" s="116">
        <f>IFERROR(INDEX('DRAFT 1'!$K:$K,MATCH($B45,'DRAFT 1'!$B:$B,0)),"")</f>
        <v/>
      </c>
      <c r="N45" s="116" t="inlineStr">
        <is>
          <t>INAT.ANT</t>
        </is>
      </c>
      <c r="P45" s="116">
        <f>IFERROR(INDEX('DRAFT 1'!$L:$L,MATCH($B45,'DRAFT 1'!$B:$B,0)),"")</f>
        <v/>
      </c>
      <c r="Q45" s="116">
        <f>IFERROR(INDEX('DRAFT 1'!$M:$M,MATCH($B45,'DRAFT 1'!$B:$B,0)),"")</f>
        <v/>
      </c>
      <c r="R45" s="116">
        <f>IFERROR(INDEX('DRAFT 1'!$N:$N,MATCH($B45,'DRAFT 1'!$B:$B,0)),"")</f>
        <v/>
      </c>
      <c r="S45" s="116">
        <f>IFERROR(INDEX('DRAFT 1'!$O:$O,MATCH($B45,'DRAFT 1'!$B:$B,0)),"")</f>
        <v/>
      </c>
      <c r="T45" s="116">
        <f>IFERROR(INDEX('DRAFT 1'!$P:$P,MATCH($B45,'DRAFT 1'!$B:$B,0)),"")</f>
        <v/>
      </c>
      <c r="U45" s="116">
        <f>IFERROR(INDEX('DRAFT 1'!$Q:$Q,MATCH($B45,'DRAFT 1'!$B:$B,0)),"")</f>
        <v/>
      </c>
      <c r="V45" s="116">
        <f>IFERROR(INDEX('DRAFT 1'!$R:$R,MATCH($B45,'DRAFT 1'!$B:$B,0)),"")</f>
        <v/>
      </c>
      <c r="W45" s="116">
        <f>IFERROR(INDEX('DRAFT 1'!$S:$S,MATCH($B45,'DRAFT 1'!$B:$B,0)),"")</f>
        <v/>
      </c>
      <c r="X45" s="116">
        <f>IFERROR(INDEX('DRAFT 1'!$T:$T,MATCH($B45,'DRAFT 1'!$B:$B,0)),"")</f>
        <v/>
      </c>
      <c r="Z45" s="116">
        <f>IFERROR(INDEX('DRAFT 1'!$U:$U,MATCH($B45,'DRAFT 1'!$B:$B,0)),"")</f>
        <v/>
      </c>
      <c r="AA45" s="116">
        <f>IFERROR(INDEX('DRAFT 1'!$V:$V,MATCH($B45,'DRAFT 1'!$B:$B,0)),"")</f>
        <v/>
      </c>
      <c r="AB45" s="116">
        <f>IFERROR(INDEX('DRAFT 1'!$W:$W,MATCH($B45,'DRAFT 1'!$B:$B,0)),"")</f>
        <v/>
      </c>
      <c r="AC45" s="116">
        <f>IFERROR(INDEX('DRAFT 1'!$X:$X,MATCH($B45,'DRAFT 1'!$B:$B,0)),"")</f>
        <v/>
      </c>
      <c r="AD45" s="116">
        <f>IFERROR(INDEX('DRAFT 1'!$Y:$Y,MATCH($B45,'DRAFT 1'!$B:$B,0)),"")</f>
        <v/>
      </c>
      <c r="AE45" s="116">
        <f>IFERROR(INDEX('DRAFT 1'!$Z:$Z,MATCH($B45,'DRAFT 1'!$B:$B,0)),"")</f>
        <v/>
      </c>
      <c r="AF45" s="116">
        <f>IFERROR(INDEX('DRAFT 1'!$AA:$AA,MATCH($B45,'DRAFT 1'!$B:$B,0)),"")</f>
        <v/>
      </c>
      <c r="AG45" s="116">
        <f>IFERROR(INDEX('DRAFT 1'!$AB:$AB,MATCH($B45,'DRAFT 1'!$B:$B,0)),"")</f>
        <v/>
      </c>
      <c r="AH45" s="116">
        <f>IFERROR(INDEX('DRAFT 1'!$AC:$AC,MATCH($B45,'DRAFT 1'!$B:$B,0)),"")</f>
        <v/>
      </c>
      <c r="AI45" s="116">
        <f>IFERROR(INDEX('DRAFT 1'!$AD:$AD,MATCH($B45,'DRAFT 1'!$B:$B,0)),"")</f>
        <v/>
      </c>
      <c r="AJ45" s="116">
        <f>IFERROR(INDEX('DRAFT 1'!$AE:$AE,MATCH($B45,'DRAFT 1'!$B:$B,0)),"")</f>
        <v/>
      </c>
      <c r="AK45" s="116">
        <f>IFERROR(INDEX('DRAFT 1'!$AG:$AG,MATCH($B45,'DRAFT 1'!$B:$B,0)),"")</f>
        <v/>
      </c>
      <c r="AL45" s="116">
        <f>IFERROR(INDEX('DRAFT 1'!$AH:$AH,MATCH($B45,'DRAFT 1'!$B:$B,0)),"")</f>
        <v/>
      </c>
      <c r="AM45" s="116">
        <f>IFERROR(INDEX('DRAFT 1'!$AI:$AI,MATCH($B45,'DRAFT 1'!$B:$B,0)),"")</f>
        <v/>
      </c>
      <c r="AN45" s="116">
        <f>IFERROR(INDEX('DRAFT 1'!$AJ:$AJ,MATCH($B45,'DRAFT 1'!$B:$B,0)),"")</f>
        <v/>
      </c>
      <c r="AO45" s="116">
        <f>IFERROR(Y45/AN45,0)</f>
        <v/>
      </c>
      <c r="AP45" s="116">
        <f>IFERROR(INDEX('DRAFT 1'!$AK:$AK,MATCH($B45,'DRAFT 1'!$B:$B,0)),"")</f>
        <v/>
      </c>
      <c r="AR45" s="116" t="inlineStr">
        <is>
          <t>RECOMPRA</t>
        </is>
      </c>
      <c r="AS45" s="116">
        <f>IFERROR(LOOKUP(2,1/('DRAFT 2'!$D:$D=$B45),'DRAFT 2'!$T:$T),"")</f>
        <v/>
      </c>
      <c r="AT45" s="116">
        <f>IFERROR(LOOKUP(2,1/('DRAFT 2'!$D:$D=$B45),'DRAFT 2'!$A:$A),"")</f>
        <v/>
      </c>
      <c r="AU45" s="116">
        <f>IFERROR(LOOKUP(2,1/('DRAFT 2'!$D:$D=$B45),'DRAFT 2'!$R:$R),"")</f>
        <v/>
      </c>
      <c r="AV45" s="116">
        <f>IFERROR(LOOKUP(2,1/('DRAFT 2'!$D:$D=$B45),'DRAFT 2'!$S:$S),"")</f>
        <v/>
      </c>
      <c r="AW45" s="116" t="inlineStr">
        <is>
          <t>RECORRENTE</t>
        </is>
      </c>
      <c r="AX45" s="116">
        <f>IFERROR(LOOKUP(2,1/('DRAFT 2'!$D:$D=$B45),'DRAFT 2'!$M:$M),"")</f>
        <v/>
      </c>
      <c r="AY45" s="116">
        <f>IFERROR(LOOKUP(2,1/('DRAFT 2'!$D:$D=$B45),'DRAFT 2'!$K:$K),"")</f>
        <v/>
      </c>
      <c r="BG45" s="116">
        <f>IFERROR(LOOKUP(2,1/('DRAFT 2'!$D:$D=$B45),'DRAFT 2'!$U:$U),"")</f>
        <v/>
      </c>
      <c r="BH45" s="116">
        <f>IFERROR(LOOKUP(2,1/('DRAFT 2'!$D:$D=$B45),'DRAFT 2'!$V:$V),"")</f>
        <v/>
      </c>
      <c r="CE45" s="116">
        <f>IFERROR(AJ45,0)</f>
        <v/>
      </c>
      <c r="CF45" s="116">
        <f>IFERROR(LOOKUP(2,1/('DRAFT 2'!$D:$D=$B45)*('DRAFT 2'!$A:$A&gt;=DATE(2026,1,1))*('DRAFT 2'!$A:$A&lt;DATE(2026,IF(1=12,1+1,1+1),1)),'DRAFT 2'!$A:$A),"")</f>
        <v/>
      </c>
      <c r="CG45" s="116">
        <f>COUNTIFS('DRAFT 2'!$D:$D,$B45,'DRAFT 2'!$A:$A,"&gt;="&amp;DATE(2026,1,1),'DRAFT 2'!$A:$A,"&lt;="&amp;DATE(2026,1,7))</f>
        <v/>
      </c>
      <c r="CH45" s="116">
        <f>COUNTIFS('DRAFT 2'!$D:$D,$B45,'DRAFT 2'!$A:$A,"&gt;="&amp;DATE(2026,1,8),'DRAFT 2'!$A:$A,"&lt;="&amp;DATE(2026,1,14))</f>
        <v/>
      </c>
      <c r="CI45" s="116">
        <f>COUNTIFS('DRAFT 2'!$D:$D,$B45,'DRAFT 2'!$A:$A,"&gt;="&amp;DATE(2026,1,15),'DRAFT 2'!$A:$A,"&lt;="&amp;DATE(2026,1,21))</f>
        <v/>
      </c>
      <c r="CJ45" s="116">
        <f>COUNTIFS('DRAFT 2'!$D:$D,$B45,'DRAFT 2'!$A:$A,"&gt;="&amp;DATE(2026,1,22),'DRAFT 2'!$A:$A,"&lt;"&amp;DATE(2026,IF(1=12,1+1,1+1),1))</f>
        <v/>
      </c>
      <c r="CK45" s="116">
        <f>SUM(CG45:CJ45)</f>
        <v/>
      </c>
      <c r="CT45" s="116" t="n">
        <v>0</v>
      </c>
      <c r="CU45" s="116">
        <f>IFERROR(LOOKUP(2,1/('DRAFT 2'!$D:$D=$B45)*('DRAFT 2'!$A:$A&gt;=DATE(2026,2,1))*('DRAFT 2'!$A:$A&lt;DATE(2026,IF(2=12,2+1,2+1),1)),'DRAFT 2'!$A:$A),"")</f>
        <v/>
      </c>
      <c r="CV45" s="116">
        <f>COUNTIFS('DRAFT 2'!$D:$D,$B45,'DRAFT 2'!$A:$A,"&gt;="&amp;DATE(2026,2,1),'DRAFT 2'!$A:$A,"&lt;="&amp;DATE(2026,2,7))</f>
        <v/>
      </c>
      <c r="CW45" s="116">
        <f>COUNTIFS('DRAFT 2'!$D:$D,$B45,'DRAFT 2'!$A:$A,"&gt;="&amp;DATE(2026,2,8),'DRAFT 2'!$A:$A,"&lt;="&amp;DATE(2026,2,14))</f>
        <v/>
      </c>
      <c r="CX45" s="116">
        <f>COUNTIFS('DRAFT 2'!$D:$D,$B45,'DRAFT 2'!$A:$A,"&gt;="&amp;DATE(2026,2,15),'DRAFT 2'!$A:$A,"&lt;="&amp;DATE(2026,2,21))</f>
        <v/>
      </c>
      <c r="CY45" s="116">
        <f>COUNTIFS('DRAFT 2'!$D:$D,$B45,'DRAFT 2'!$A:$A,"&gt;="&amp;DATE(2026,2,22),'DRAFT 2'!$A:$A,"&lt;"&amp;DATE(2026,IF(2=12,2+1,2+1),1))</f>
        <v/>
      </c>
      <c r="CZ45" s="116">
        <f>SUM(CV45:CY45)</f>
        <v/>
      </c>
      <c r="DJ45" s="116">
        <f>IFERROR(LOOKUP(2,1/('DRAFT 2'!$D:$D=$B45)*('DRAFT 2'!$A:$A&gt;=DATE(2026,3,1))*('DRAFT 2'!$A:$A&lt;DATE(2026,IF(3=12,3+1,3+1),1)),'DRAFT 2'!$A:$A),"")</f>
        <v/>
      </c>
      <c r="DK45" s="116">
        <f>COUNTIFS('DRAFT 2'!$D:$D,$B45,'DRAFT 2'!$A:$A,"&gt;="&amp;DATE(2026,3,1),'DRAFT 2'!$A:$A,"&lt;="&amp;DATE(2026,3,7))</f>
        <v/>
      </c>
      <c r="DL45" s="116">
        <f>COUNTIFS('DRAFT 2'!$D:$D,$B45,'DRAFT 2'!$A:$A,"&gt;="&amp;DATE(2026,3,8),'DRAFT 2'!$A:$A,"&lt;="&amp;DATE(2026,3,14))</f>
        <v/>
      </c>
      <c r="DM45" s="116">
        <f>COUNTIFS('DRAFT 2'!$D:$D,$B45,'DRAFT 2'!$A:$A,"&gt;="&amp;DATE(2026,3,15),'DRAFT 2'!$A:$A,"&lt;="&amp;DATE(2026,3,21))</f>
        <v/>
      </c>
      <c r="DN45" s="116">
        <f>COUNTIFS('DRAFT 2'!$D:$D,$B45,'DRAFT 2'!$A:$A,"&gt;="&amp;DATE(2026,3,22),'DRAFT 2'!$A:$A,"&lt;"&amp;DATE(2026,IF(3=12,3+1,3+1),1))</f>
        <v/>
      </c>
      <c r="DO45" s="116">
        <f>SUM(DK45:DN45)</f>
        <v/>
      </c>
      <c r="DZ45" s="116">
        <f>IFERROR(LOOKUP(2,1/('DRAFT 2'!$D:$D=$B45)*('DRAFT 2'!$A:$A&gt;=DATE(2026,4,1))*('DRAFT 2'!$A:$A&lt;DATE(2026,IF(4=12,4+1,4+1),1)),'DRAFT 2'!$A:$A),"")</f>
        <v/>
      </c>
      <c r="EA45" s="116">
        <f>COUNTIFS('DRAFT 2'!$D:$D,$B45,'DRAFT 2'!$A:$A,"&gt;="&amp;DATE(2026,4,1),'DRAFT 2'!$A:$A,"&lt;="&amp;DATE(2026,4,7))</f>
        <v/>
      </c>
      <c r="EB45" s="116">
        <f>COUNTIFS('DRAFT 2'!$D:$D,$B45,'DRAFT 2'!$A:$A,"&gt;="&amp;DATE(2026,4,8),'DRAFT 2'!$A:$A,"&lt;="&amp;DATE(2026,4,14))</f>
        <v/>
      </c>
      <c r="EC45" s="116">
        <f>COUNTIFS('DRAFT 2'!$D:$D,$B45,'DRAFT 2'!$A:$A,"&gt;="&amp;DATE(2026,4,15),'DRAFT 2'!$A:$A,"&lt;="&amp;DATE(2026,4,21))</f>
        <v/>
      </c>
      <c r="ED45" s="116">
        <f>COUNTIFS('DRAFT 2'!$D:$D,$B45,'DRAFT 2'!$A:$A,"&gt;="&amp;DATE(2026,4,22),'DRAFT 2'!$A:$A,"&lt;"&amp;DATE(2026,IF(4=12,4+1,4+1),1))</f>
        <v/>
      </c>
      <c r="EE45" s="116">
        <f>SUM(EA45:ED45)</f>
        <v/>
      </c>
      <c r="EO45" s="116">
        <f>IFERROR(LOOKUP(2,1/('DRAFT 2'!$D:$D=$B45)*('DRAFT 2'!$A:$A&gt;=DATE(2026,5,1))*('DRAFT 2'!$A:$A&lt;DATE(2026,IF(5=12,5+1,5+1),1)),'DRAFT 2'!$A:$A),"")</f>
        <v/>
      </c>
      <c r="EP45" s="116">
        <f>COUNTIFS('DRAFT 2'!$D:$D,$B45,'DRAFT 2'!$A:$A,"&gt;="&amp;DATE(2026,5,1),'DRAFT 2'!$A:$A,"&lt;="&amp;DATE(2026,5,7))</f>
        <v/>
      </c>
      <c r="EQ45" s="116">
        <f>COUNTIFS('DRAFT 2'!$D:$D,$B45,'DRAFT 2'!$A:$A,"&gt;="&amp;DATE(2026,5,8),'DRAFT 2'!$A:$A,"&lt;="&amp;DATE(2026,5,14))</f>
        <v/>
      </c>
      <c r="ER45" s="116">
        <f>COUNTIFS('DRAFT 2'!$D:$D,$B45,'DRAFT 2'!$A:$A,"&gt;="&amp;DATE(2026,5,15),'DRAFT 2'!$A:$A,"&lt;="&amp;DATE(2026,5,21))</f>
        <v/>
      </c>
      <c r="ES45" s="116">
        <f>COUNTIFS('DRAFT 2'!$D:$D,$B45,'DRAFT 2'!$A:$A,"&gt;="&amp;DATE(2026,5,22),'DRAFT 2'!$A:$A,"&lt;"&amp;DATE(2026,IF(5=12,5+1,5+1),1))</f>
        <v/>
      </c>
      <c r="ET45" s="116">
        <f>SUM(EP45:ES45)</f>
        <v/>
      </c>
      <c r="FD45" s="116">
        <f>IFERROR(LOOKUP(2,1/('DRAFT 2'!$D:$D=$B45)*('DRAFT 2'!$A:$A&gt;=DATE(2026,6,1))*('DRAFT 2'!$A:$A&lt;DATE(2026,IF(6=12,6+1,6+1),1)),'DRAFT 2'!$A:$A),"")</f>
        <v/>
      </c>
      <c r="FE45" s="116">
        <f>COUNTIFS('DRAFT 2'!$D:$D,$B45,'DRAFT 2'!$A:$A,"&gt;="&amp;DATE(2026,6,1),'DRAFT 2'!$A:$A,"&lt;="&amp;DATE(2026,6,7))</f>
        <v/>
      </c>
      <c r="FF45" s="116">
        <f>COUNTIFS('DRAFT 2'!$D:$D,$B45,'DRAFT 2'!$A:$A,"&gt;="&amp;DATE(2026,6,8),'DRAFT 2'!$A:$A,"&lt;="&amp;DATE(2026,6,14))</f>
        <v/>
      </c>
      <c r="FG45" s="116">
        <f>COUNTIFS('DRAFT 2'!$D:$D,$B45,'DRAFT 2'!$A:$A,"&gt;="&amp;DATE(2026,6,15),'DRAFT 2'!$A:$A,"&lt;="&amp;DATE(2026,6,21))</f>
        <v/>
      </c>
      <c r="FH45" s="116">
        <f>COUNTIFS('DRAFT 2'!$D:$D,$B45,'DRAFT 2'!$A:$A,"&gt;="&amp;DATE(2026,6,22),'DRAFT 2'!$A:$A,"&lt;"&amp;DATE(2026,IF(6=12,6+1,6+1),1))</f>
        <v/>
      </c>
      <c r="FI45" s="116">
        <f>SUM(FE45:FH45)</f>
        <v/>
      </c>
      <c r="FT45" s="116">
        <f>IFERROR(LOOKUP(2,1/('DRAFT 2'!$D:$D=$B45)*('DRAFT 2'!$A:$A&gt;=DATE(2026,7,1))*('DRAFT 2'!$A:$A&lt;DATE(2026,IF(7=12,7+1,7+1),1)),'DRAFT 2'!$A:$A),"")</f>
        <v/>
      </c>
      <c r="FU45" s="116">
        <f>COUNTIFS('DRAFT 2'!$D:$D,$B45,'DRAFT 2'!$A:$A,"&gt;="&amp;DATE(2026,7,1),'DRAFT 2'!$A:$A,"&lt;="&amp;DATE(2026,7,7))</f>
        <v/>
      </c>
      <c r="FV45" s="116">
        <f>COUNTIFS('DRAFT 2'!$D:$D,$B45,'DRAFT 2'!$A:$A,"&gt;="&amp;DATE(2026,7,8),'DRAFT 2'!$A:$A,"&lt;="&amp;DATE(2026,7,14))</f>
        <v/>
      </c>
      <c r="FW45" s="116">
        <f>COUNTIFS('DRAFT 2'!$D:$D,$B45,'DRAFT 2'!$A:$A,"&gt;="&amp;DATE(2026,7,15),'DRAFT 2'!$A:$A,"&lt;="&amp;DATE(2026,7,21))</f>
        <v/>
      </c>
      <c r="FX45" s="116">
        <f>COUNTIFS('DRAFT 2'!$D:$D,$B45,'DRAFT 2'!$A:$A,"&gt;="&amp;DATE(2026,7,22),'DRAFT 2'!$A:$A,"&lt;"&amp;DATE(2026,IF(7=12,7+1,7+1),1))</f>
        <v/>
      </c>
      <c r="FY45" s="116">
        <f>SUM(FU45:FX45)</f>
        <v/>
      </c>
      <c r="GI45" s="116">
        <f>IFERROR(LOOKUP(2,1/('DRAFT 2'!$D:$D=$B45)*('DRAFT 2'!$A:$A&gt;=DATE(2026,8,1))*('DRAFT 2'!$A:$A&lt;DATE(2026,IF(8=12,8+1,8+1),1)),'DRAFT 2'!$A:$A),"")</f>
        <v/>
      </c>
      <c r="GJ45" s="116">
        <f>COUNTIFS('DRAFT 2'!$D:$D,$B45,'DRAFT 2'!$A:$A,"&gt;="&amp;DATE(2026,8,1),'DRAFT 2'!$A:$A,"&lt;="&amp;DATE(2026,8,7))</f>
        <v/>
      </c>
      <c r="GK45" s="116">
        <f>COUNTIFS('DRAFT 2'!$D:$D,$B45,'DRAFT 2'!$A:$A,"&gt;="&amp;DATE(2026,8,8),'DRAFT 2'!$A:$A,"&lt;="&amp;DATE(2026,8,14))</f>
        <v/>
      </c>
      <c r="GL45" s="116">
        <f>COUNTIFS('DRAFT 2'!$D:$D,$B45,'DRAFT 2'!$A:$A,"&gt;="&amp;DATE(2026,8,15),'DRAFT 2'!$A:$A,"&lt;="&amp;DATE(2026,8,21))</f>
        <v/>
      </c>
      <c r="GM45" s="116">
        <f>COUNTIFS('DRAFT 2'!$D:$D,$B45,'DRAFT 2'!$A:$A,"&gt;="&amp;DATE(2026,8,22),'DRAFT 2'!$A:$A,"&lt;"&amp;DATE(2026,IF(8=12,8+1,8+1),1))</f>
        <v/>
      </c>
      <c r="GN45" s="116">
        <f>SUM(GJ45:GM45)</f>
        <v/>
      </c>
      <c r="GX45" s="116">
        <f>IFERROR(LOOKUP(2,1/('DRAFT 2'!$D:$D=$B45)*('DRAFT 2'!$A:$A&gt;=DATE(2026,9,1))*('DRAFT 2'!$A:$A&lt;DATE(2026,IF(9=12,9+1,9+1),1)),'DRAFT 2'!$A:$A),"")</f>
        <v/>
      </c>
      <c r="GY45" s="116">
        <f>COUNTIFS('DRAFT 2'!$D:$D,$B45,'DRAFT 2'!$A:$A,"&gt;="&amp;DATE(2026,9,1),'DRAFT 2'!$A:$A,"&lt;="&amp;DATE(2026,9,7))</f>
        <v/>
      </c>
      <c r="GZ45" s="116">
        <f>COUNTIFS('DRAFT 2'!$D:$D,$B45,'DRAFT 2'!$A:$A,"&gt;="&amp;DATE(2026,9,8),'DRAFT 2'!$A:$A,"&lt;="&amp;DATE(2026,9,14))</f>
        <v/>
      </c>
      <c r="HA45" s="116">
        <f>COUNTIFS('DRAFT 2'!$D:$D,$B45,'DRAFT 2'!$A:$A,"&gt;="&amp;DATE(2026,9,15),'DRAFT 2'!$A:$A,"&lt;="&amp;DATE(2026,9,21))</f>
        <v/>
      </c>
      <c r="HB45" s="116">
        <f>COUNTIFS('DRAFT 2'!$D:$D,$B45,'DRAFT 2'!$A:$A,"&gt;="&amp;DATE(2026,9,22),'DRAFT 2'!$A:$A,"&lt;"&amp;DATE(2026,IF(9=12,9+1,9+1),1))</f>
        <v/>
      </c>
      <c r="HC45" s="116">
        <f>SUM(GY45:HB45)</f>
        <v/>
      </c>
      <c r="HN45" s="116">
        <f>IFERROR(LOOKUP(2,1/('DRAFT 2'!$D:$D=$B45)*('DRAFT 2'!$A:$A&gt;=DATE(2026,10,1))*('DRAFT 2'!$A:$A&lt;DATE(2026,IF(10=12,10+1,10+1),1)),'DRAFT 2'!$A:$A),"")</f>
        <v/>
      </c>
      <c r="HO45" s="116">
        <f>COUNTIFS('DRAFT 2'!$D:$D,$B45,'DRAFT 2'!$A:$A,"&gt;="&amp;DATE(2026,10,1),'DRAFT 2'!$A:$A,"&lt;="&amp;DATE(2026,10,7))</f>
        <v/>
      </c>
      <c r="HP45" s="116">
        <f>COUNTIFS('DRAFT 2'!$D:$D,$B45,'DRAFT 2'!$A:$A,"&gt;="&amp;DATE(2026,10,8),'DRAFT 2'!$A:$A,"&lt;="&amp;DATE(2026,10,14))</f>
        <v/>
      </c>
      <c r="HQ45" s="116">
        <f>COUNTIFS('DRAFT 2'!$D:$D,$B45,'DRAFT 2'!$A:$A,"&gt;="&amp;DATE(2026,10,15),'DRAFT 2'!$A:$A,"&lt;="&amp;DATE(2026,10,21))</f>
        <v/>
      </c>
      <c r="HR45" s="116">
        <f>COUNTIFS('DRAFT 2'!$D:$D,$B45,'DRAFT 2'!$A:$A,"&gt;="&amp;DATE(2026,10,22),'DRAFT 2'!$A:$A,"&lt;"&amp;DATE(2026,IF(10=12,10+1,10+1),1))</f>
        <v/>
      </c>
      <c r="HS45" s="116">
        <f>SUM(HO45:HR45)</f>
        <v/>
      </c>
      <c r="IC45" s="116">
        <f>IFERROR(LOOKUP(2,1/('DRAFT 2'!$D:$D=$B45)*('DRAFT 2'!$A:$A&gt;=DATE(2026,11,1))*('DRAFT 2'!$A:$A&lt;DATE(2026,IF(11=12,11+1,11+1),1)),'DRAFT 2'!$A:$A),"")</f>
        <v/>
      </c>
      <c r="ID45" s="116">
        <f>COUNTIFS('DRAFT 2'!$D:$D,$B45,'DRAFT 2'!$A:$A,"&gt;="&amp;DATE(2026,11,1),'DRAFT 2'!$A:$A,"&lt;="&amp;DATE(2026,11,7))</f>
        <v/>
      </c>
      <c r="IE45" s="116">
        <f>COUNTIFS('DRAFT 2'!$D:$D,$B45,'DRAFT 2'!$A:$A,"&gt;="&amp;DATE(2026,11,8),'DRAFT 2'!$A:$A,"&lt;="&amp;DATE(2026,11,14))</f>
        <v/>
      </c>
      <c r="IF45" s="116">
        <f>COUNTIFS('DRAFT 2'!$D:$D,$B45,'DRAFT 2'!$A:$A,"&gt;="&amp;DATE(2026,11,15),'DRAFT 2'!$A:$A,"&lt;="&amp;DATE(2026,11,21))</f>
        <v/>
      </c>
      <c r="IG45" s="116">
        <f>COUNTIFS('DRAFT 2'!$D:$D,$B45,'DRAFT 2'!$A:$A,"&gt;="&amp;DATE(2026,11,22),'DRAFT 2'!$A:$A,"&lt;"&amp;DATE(2026,IF(11=12,11+1,11+1),1))</f>
        <v/>
      </c>
      <c r="IH45" s="116">
        <f>SUM(ID45:IG45)</f>
        <v/>
      </c>
      <c r="IR45" s="116">
        <f>IFERROR(LOOKUP(2,1/('DRAFT 2'!$D:$D=$B45)*('DRAFT 2'!$A:$A&gt;=DATE(2026,12,1))*('DRAFT 2'!$A:$A&lt;DATE(2026,IF(12=12,12+1,12+1),1)),'DRAFT 2'!$A:$A),"")</f>
        <v/>
      </c>
      <c r="IS45" s="116">
        <f>COUNTIFS('DRAFT 2'!$D:$D,$B45,'DRAFT 2'!$A:$A,"&gt;="&amp;DATE(2026,12,1),'DRAFT 2'!$A:$A,"&lt;="&amp;DATE(2026,12,7))</f>
        <v/>
      </c>
      <c r="IT45" s="116">
        <f>COUNTIFS('DRAFT 2'!$D:$D,$B45,'DRAFT 2'!$A:$A,"&gt;="&amp;DATE(2026,12,8),'DRAFT 2'!$A:$A,"&lt;="&amp;DATE(2026,12,14))</f>
        <v/>
      </c>
      <c r="IU45" s="116">
        <f>COUNTIFS('DRAFT 2'!$D:$D,$B45,'DRAFT 2'!$A:$A,"&gt;="&amp;DATE(2026,12,15),'DRAFT 2'!$A:$A,"&lt;="&amp;DATE(2026,12,21))</f>
        <v/>
      </c>
      <c r="IV45" s="116">
        <f>COUNTIFS('DRAFT 2'!$D:$D,$B45,'DRAFT 2'!$A:$A,"&gt;="&amp;DATE(2026,12,22),'DRAFT 2'!$A:$A,"&lt;"&amp;DATE(2026,IF(12=12,12+1,12+1),1))</f>
        <v/>
      </c>
      <c r="IW45" s="116">
        <f>SUM(IS45:IV45)</f>
        <v/>
      </c>
    </row>
    <row r="46">
      <c r="A46" s="116">
        <f>IFERROR(INDEX('DRAFT 1'!$A:$A,MATCH($B46,'DRAFT 1'!$B:$B,0)),"")</f>
        <v/>
      </c>
      <c r="C46" s="116">
        <f>IFERROR(INDEX('DRAFT 1'!$C:$C,MATCH($B46,'DRAFT 1'!$B:$B,0)),"")</f>
        <v/>
      </c>
      <c r="D46" s="116">
        <f>IFERROR(INDEX('DRAFT 1'!$D:$D,MATCH($B46,'DRAFT 1'!$B:$B,0)),"")</f>
        <v/>
      </c>
      <c r="E46" s="116">
        <f>IFERROR(INDEX('DRAFT 1'!$E:$E,MATCH($B46,'DRAFT 1'!$B:$B,0)),"")</f>
        <v/>
      </c>
      <c r="F46" s="116">
        <f>IFERROR(INDEX('DRAFT 1'!$F:$F,MATCH($B46,'DRAFT 1'!$B:$B,0)),"")</f>
        <v/>
      </c>
      <c r="G46" s="116">
        <f>IFERROR(INDEX('DRAFT 1'!$G:$G,MATCH($B46,'DRAFT 1'!$B:$B,0)),"")</f>
        <v/>
      </c>
      <c r="H46" s="116">
        <f>IFERROR(INDEX('DRAFT 1'!$H:$H,MATCH($B46,'DRAFT 1'!$B:$B,0)),"")</f>
        <v/>
      </c>
      <c r="I46" s="116" t="inlineStr">
        <is>
          <t>MUNDO VERDE</t>
        </is>
      </c>
      <c r="K46" s="116">
        <f>IFERROR(INDEX('DRAFT 1'!$AL:$AL,MATCH($B46,'DRAFT 1'!$B:$B,0)),"")</f>
        <v/>
      </c>
      <c r="L46" s="116">
        <f>IFERROR(INDEX('DRAFT 1'!$J:$J,MATCH($B46,'DRAFT 1'!$B:$B,0)),"")</f>
        <v/>
      </c>
      <c r="M46" s="116">
        <f>IFERROR(INDEX('DRAFT 1'!$K:$K,MATCH($B46,'DRAFT 1'!$B:$B,0)),"")</f>
        <v/>
      </c>
      <c r="N46" s="116" t="inlineStr">
        <is>
          <t>ATIVO</t>
        </is>
      </c>
      <c r="P46" s="116">
        <f>IFERROR(INDEX('DRAFT 1'!$L:$L,MATCH($B46,'DRAFT 1'!$B:$B,0)),"")</f>
        <v/>
      </c>
      <c r="Q46" s="116">
        <f>IFERROR(INDEX('DRAFT 1'!$M:$M,MATCH($B46,'DRAFT 1'!$B:$B,0)),"")</f>
        <v/>
      </c>
      <c r="R46" s="116">
        <f>IFERROR(INDEX('DRAFT 1'!$N:$N,MATCH($B46,'DRAFT 1'!$B:$B,0)),"")</f>
        <v/>
      </c>
      <c r="S46" s="116">
        <f>IFERROR(INDEX('DRAFT 1'!$O:$O,MATCH($B46,'DRAFT 1'!$B:$B,0)),"")</f>
        <v/>
      </c>
      <c r="T46" s="116">
        <f>IFERROR(INDEX('DRAFT 1'!$P:$P,MATCH($B46,'DRAFT 1'!$B:$B,0)),"")</f>
        <v/>
      </c>
      <c r="U46" s="116">
        <f>IFERROR(INDEX('DRAFT 1'!$Q:$Q,MATCH($B46,'DRAFT 1'!$B:$B,0)),"")</f>
        <v/>
      </c>
      <c r="V46" s="116">
        <f>IFERROR(INDEX('DRAFT 1'!$R:$R,MATCH($B46,'DRAFT 1'!$B:$B,0)),"")</f>
        <v/>
      </c>
      <c r="W46" s="116">
        <f>IFERROR(INDEX('DRAFT 1'!$S:$S,MATCH($B46,'DRAFT 1'!$B:$B,0)),"")</f>
        <v/>
      </c>
      <c r="X46" s="116">
        <f>IFERROR(INDEX('DRAFT 1'!$T:$T,MATCH($B46,'DRAFT 1'!$B:$B,0)),"")</f>
        <v/>
      </c>
      <c r="Z46" s="116">
        <f>IFERROR(INDEX('DRAFT 1'!$U:$U,MATCH($B46,'DRAFT 1'!$B:$B,0)),"")</f>
        <v/>
      </c>
      <c r="AA46" s="116">
        <f>IFERROR(INDEX('DRAFT 1'!$V:$V,MATCH($B46,'DRAFT 1'!$B:$B,0)),"")</f>
        <v/>
      </c>
      <c r="AB46" s="116">
        <f>IFERROR(INDEX('DRAFT 1'!$W:$W,MATCH($B46,'DRAFT 1'!$B:$B,0)),"")</f>
        <v/>
      </c>
      <c r="AC46" s="116">
        <f>IFERROR(INDEX('DRAFT 1'!$X:$X,MATCH($B46,'DRAFT 1'!$B:$B,0)),"")</f>
        <v/>
      </c>
      <c r="AD46" s="116">
        <f>IFERROR(INDEX('DRAFT 1'!$Y:$Y,MATCH($B46,'DRAFT 1'!$B:$B,0)),"")</f>
        <v/>
      </c>
      <c r="AE46" s="116">
        <f>IFERROR(INDEX('DRAFT 1'!$Z:$Z,MATCH($B46,'DRAFT 1'!$B:$B,0)),"")</f>
        <v/>
      </c>
      <c r="AF46" s="116">
        <f>IFERROR(INDEX('DRAFT 1'!$AA:$AA,MATCH($B46,'DRAFT 1'!$B:$B,0)),"")</f>
        <v/>
      </c>
      <c r="AG46" s="116">
        <f>IFERROR(INDEX('DRAFT 1'!$AB:$AB,MATCH($B46,'DRAFT 1'!$B:$B,0)),"")</f>
        <v/>
      </c>
      <c r="AH46" s="116">
        <f>IFERROR(INDEX('DRAFT 1'!$AC:$AC,MATCH($B46,'DRAFT 1'!$B:$B,0)),"")</f>
        <v/>
      </c>
      <c r="AI46" s="116">
        <f>IFERROR(INDEX('DRAFT 1'!$AD:$AD,MATCH($B46,'DRAFT 1'!$B:$B,0)),"")</f>
        <v/>
      </c>
      <c r="AJ46" s="116">
        <f>IFERROR(INDEX('DRAFT 1'!$AE:$AE,MATCH($B46,'DRAFT 1'!$B:$B,0)),"")</f>
        <v/>
      </c>
      <c r="AK46" s="116">
        <f>IFERROR(INDEX('DRAFT 1'!$AG:$AG,MATCH($B46,'DRAFT 1'!$B:$B,0)),"")</f>
        <v/>
      </c>
      <c r="AL46" s="116">
        <f>IFERROR(INDEX('DRAFT 1'!$AH:$AH,MATCH($B46,'DRAFT 1'!$B:$B,0)),"")</f>
        <v/>
      </c>
      <c r="AM46" s="116">
        <f>IFERROR(INDEX('DRAFT 1'!$AI:$AI,MATCH($B46,'DRAFT 1'!$B:$B,0)),"")</f>
        <v/>
      </c>
      <c r="AN46" s="116">
        <f>IFERROR(INDEX('DRAFT 1'!$AJ:$AJ,MATCH($B46,'DRAFT 1'!$B:$B,0)),"")</f>
        <v/>
      </c>
      <c r="AO46" s="116">
        <f>IFERROR(Y46/AN46,0)</f>
        <v/>
      </c>
      <c r="AP46" s="116">
        <f>IFERROR(INDEX('DRAFT 1'!$AK:$AK,MATCH($B46,'DRAFT 1'!$B:$B,0)),"")</f>
        <v/>
      </c>
      <c r="AR46" s="116" t="inlineStr">
        <is>
          <t>PÓS-VENDA</t>
        </is>
      </c>
      <c r="AS46" s="116">
        <f>IFERROR(LOOKUP(2,1/('DRAFT 2'!$D:$D=$B46),'DRAFT 2'!$T:$T),"")</f>
        <v/>
      </c>
      <c r="AT46" s="116">
        <f>IFERROR(LOOKUP(2,1/('DRAFT 2'!$D:$D=$B46),'DRAFT 2'!$A:$A),"")</f>
        <v/>
      </c>
      <c r="AU46" s="116">
        <f>IFERROR(LOOKUP(2,1/('DRAFT 2'!$D:$D=$B46),'DRAFT 2'!$R:$R),"")</f>
        <v/>
      </c>
      <c r="AV46" s="116">
        <f>IFERROR(LOOKUP(2,1/('DRAFT 2'!$D:$D=$B46),'DRAFT 2'!$S:$S),"")</f>
        <v/>
      </c>
      <c r="AW46" s="116" t="inlineStr">
        <is>
          <t>NOVO</t>
        </is>
      </c>
      <c r="AX46" s="116">
        <f>IFERROR(LOOKUP(2,1/('DRAFT 2'!$D:$D=$B46),'DRAFT 2'!$M:$M),"")</f>
        <v/>
      </c>
      <c r="AY46" s="116">
        <f>IFERROR(LOOKUP(2,1/('DRAFT 2'!$D:$D=$B46),'DRAFT 2'!$K:$K),"")</f>
        <v/>
      </c>
      <c r="BG46" s="116">
        <f>IFERROR(LOOKUP(2,1/('DRAFT 2'!$D:$D=$B46),'DRAFT 2'!$U:$U),"")</f>
        <v/>
      </c>
      <c r="BH46" s="116">
        <f>IFERROR(LOOKUP(2,1/('DRAFT 2'!$D:$D=$B46),'DRAFT 2'!$V:$V),"")</f>
        <v/>
      </c>
      <c r="CE46" s="116">
        <f>IFERROR(AJ46,0)</f>
        <v/>
      </c>
      <c r="CF46" s="116">
        <f>IFERROR(LOOKUP(2,1/('DRAFT 2'!$D:$D=$B46)*('DRAFT 2'!$A:$A&gt;=DATE(2026,1,1))*('DRAFT 2'!$A:$A&lt;DATE(2026,IF(1=12,1+1,1+1),1)),'DRAFT 2'!$A:$A),"")</f>
        <v/>
      </c>
      <c r="CG46" s="116">
        <f>COUNTIFS('DRAFT 2'!$D:$D,$B46,'DRAFT 2'!$A:$A,"&gt;="&amp;DATE(2026,1,1),'DRAFT 2'!$A:$A,"&lt;="&amp;DATE(2026,1,7))</f>
        <v/>
      </c>
      <c r="CH46" s="116">
        <f>COUNTIFS('DRAFT 2'!$D:$D,$B46,'DRAFT 2'!$A:$A,"&gt;="&amp;DATE(2026,1,8),'DRAFT 2'!$A:$A,"&lt;="&amp;DATE(2026,1,14))</f>
        <v/>
      </c>
      <c r="CI46" s="116">
        <f>COUNTIFS('DRAFT 2'!$D:$D,$B46,'DRAFT 2'!$A:$A,"&gt;="&amp;DATE(2026,1,15),'DRAFT 2'!$A:$A,"&lt;="&amp;DATE(2026,1,21))</f>
        <v/>
      </c>
      <c r="CJ46" s="116">
        <f>COUNTIFS('DRAFT 2'!$D:$D,$B46,'DRAFT 2'!$A:$A,"&gt;="&amp;DATE(2026,1,22),'DRAFT 2'!$A:$A,"&lt;"&amp;DATE(2026,IF(1=12,1+1,1+1),1))</f>
        <v/>
      </c>
      <c r="CK46" s="116">
        <f>SUM(CG46:CJ46)</f>
        <v/>
      </c>
      <c r="CT46" s="116" t="n">
        <v>0</v>
      </c>
      <c r="CU46" s="116">
        <f>IFERROR(LOOKUP(2,1/('DRAFT 2'!$D:$D=$B46)*('DRAFT 2'!$A:$A&gt;=DATE(2026,2,1))*('DRAFT 2'!$A:$A&lt;DATE(2026,IF(2=12,2+1,2+1),1)),'DRAFT 2'!$A:$A),"")</f>
        <v/>
      </c>
      <c r="CV46" s="116">
        <f>COUNTIFS('DRAFT 2'!$D:$D,$B46,'DRAFT 2'!$A:$A,"&gt;="&amp;DATE(2026,2,1),'DRAFT 2'!$A:$A,"&lt;="&amp;DATE(2026,2,7))</f>
        <v/>
      </c>
      <c r="CW46" s="116">
        <f>COUNTIFS('DRAFT 2'!$D:$D,$B46,'DRAFT 2'!$A:$A,"&gt;="&amp;DATE(2026,2,8),'DRAFT 2'!$A:$A,"&lt;="&amp;DATE(2026,2,14))</f>
        <v/>
      </c>
      <c r="CX46" s="116">
        <f>COUNTIFS('DRAFT 2'!$D:$D,$B46,'DRAFT 2'!$A:$A,"&gt;="&amp;DATE(2026,2,15),'DRAFT 2'!$A:$A,"&lt;="&amp;DATE(2026,2,21))</f>
        <v/>
      </c>
      <c r="CY46" s="116">
        <f>COUNTIFS('DRAFT 2'!$D:$D,$B46,'DRAFT 2'!$A:$A,"&gt;="&amp;DATE(2026,2,22),'DRAFT 2'!$A:$A,"&lt;"&amp;DATE(2026,IF(2=12,2+1,2+1),1))</f>
        <v/>
      </c>
      <c r="CZ46" s="116">
        <f>SUM(CV46:CY46)</f>
        <v/>
      </c>
      <c r="DJ46" s="116">
        <f>IFERROR(LOOKUP(2,1/('DRAFT 2'!$D:$D=$B46)*('DRAFT 2'!$A:$A&gt;=DATE(2026,3,1))*('DRAFT 2'!$A:$A&lt;DATE(2026,IF(3=12,3+1,3+1),1)),'DRAFT 2'!$A:$A),"")</f>
        <v/>
      </c>
      <c r="DK46" s="116">
        <f>COUNTIFS('DRAFT 2'!$D:$D,$B46,'DRAFT 2'!$A:$A,"&gt;="&amp;DATE(2026,3,1),'DRAFT 2'!$A:$A,"&lt;="&amp;DATE(2026,3,7))</f>
        <v/>
      </c>
      <c r="DL46" s="116">
        <f>COUNTIFS('DRAFT 2'!$D:$D,$B46,'DRAFT 2'!$A:$A,"&gt;="&amp;DATE(2026,3,8),'DRAFT 2'!$A:$A,"&lt;="&amp;DATE(2026,3,14))</f>
        <v/>
      </c>
      <c r="DM46" s="116">
        <f>COUNTIFS('DRAFT 2'!$D:$D,$B46,'DRAFT 2'!$A:$A,"&gt;="&amp;DATE(2026,3,15),'DRAFT 2'!$A:$A,"&lt;="&amp;DATE(2026,3,21))</f>
        <v/>
      </c>
      <c r="DN46" s="116">
        <f>COUNTIFS('DRAFT 2'!$D:$D,$B46,'DRAFT 2'!$A:$A,"&gt;="&amp;DATE(2026,3,22),'DRAFT 2'!$A:$A,"&lt;"&amp;DATE(2026,IF(3=12,3+1,3+1),1))</f>
        <v/>
      </c>
      <c r="DO46" s="116">
        <f>SUM(DK46:DN46)</f>
        <v/>
      </c>
      <c r="DZ46" s="116">
        <f>IFERROR(LOOKUP(2,1/('DRAFT 2'!$D:$D=$B46)*('DRAFT 2'!$A:$A&gt;=DATE(2026,4,1))*('DRAFT 2'!$A:$A&lt;DATE(2026,IF(4=12,4+1,4+1),1)),'DRAFT 2'!$A:$A),"")</f>
        <v/>
      </c>
      <c r="EA46" s="116">
        <f>COUNTIFS('DRAFT 2'!$D:$D,$B46,'DRAFT 2'!$A:$A,"&gt;="&amp;DATE(2026,4,1),'DRAFT 2'!$A:$A,"&lt;="&amp;DATE(2026,4,7))</f>
        <v/>
      </c>
      <c r="EB46" s="116">
        <f>COUNTIFS('DRAFT 2'!$D:$D,$B46,'DRAFT 2'!$A:$A,"&gt;="&amp;DATE(2026,4,8),'DRAFT 2'!$A:$A,"&lt;="&amp;DATE(2026,4,14))</f>
        <v/>
      </c>
      <c r="EC46" s="116">
        <f>COUNTIFS('DRAFT 2'!$D:$D,$B46,'DRAFT 2'!$A:$A,"&gt;="&amp;DATE(2026,4,15),'DRAFT 2'!$A:$A,"&lt;="&amp;DATE(2026,4,21))</f>
        <v/>
      </c>
      <c r="ED46" s="116">
        <f>COUNTIFS('DRAFT 2'!$D:$D,$B46,'DRAFT 2'!$A:$A,"&gt;="&amp;DATE(2026,4,22),'DRAFT 2'!$A:$A,"&lt;"&amp;DATE(2026,IF(4=12,4+1,4+1),1))</f>
        <v/>
      </c>
      <c r="EE46" s="116">
        <f>SUM(EA46:ED46)</f>
        <v/>
      </c>
      <c r="EO46" s="116">
        <f>IFERROR(LOOKUP(2,1/('DRAFT 2'!$D:$D=$B46)*('DRAFT 2'!$A:$A&gt;=DATE(2026,5,1))*('DRAFT 2'!$A:$A&lt;DATE(2026,IF(5=12,5+1,5+1),1)),'DRAFT 2'!$A:$A),"")</f>
        <v/>
      </c>
      <c r="EP46" s="116">
        <f>COUNTIFS('DRAFT 2'!$D:$D,$B46,'DRAFT 2'!$A:$A,"&gt;="&amp;DATE(2026,5,1),'DRAFT 2'!$A:$A,"&lt;="&amp;DATE(2026,5,7))</f>
        <v/>
      </c>
      <c r="EQ46" s="116">
        <f>COUNTIFS('DRAFT 2'!$D:$D,$B46,'DRAFT 2'!$A:$A,"&gt;="&amp;DATE(2026,5,8),'DRAFT 2'!$A:$A,"&lt;="&amp;DATE(2026,5,14))</f>
        <v/>
      </c>
      <c r="ER46" s="116">
        <f>COUNTIFS('DRAFT 2'!$D:$D,$B46,'DRAFT 2'!$A:$A,"&gt;="&amp;DATE(2026,5,15),'DRAFT 2'!$A:$A,"&lt;="&amp;DATE(2026,5,21))</f>
        <v/>
      </c>
      <c r="ES46" s="116">
        <f>COUNTIFS('DRAFT 2'!$D:$D,$B46,'DRAFT 2'!$A:$A,"&gt;="&amp;DATE(2026,5,22),'DRAFT 2'!$A:$A,"&lt;"&amp;DATE(2026,IF(5=12,5+1,5+1),1))</f>
        <v/>
      </c>
      <c r="ET46" s="116">
        <f>SUM(EP46:ES46)</f>
        <v/>
      </c>
      <c r="FD46" s="116">
        <f>IFERROR(LOOKUP(2,1/('DRAFT 2'!$D:$D=$B46)*('DRAFT 2'!$A:$A&gt;=DATE(2026,6,1))*('DRAFT 2'!$A:$A&lt;DATE(2026,IF(6=12,6+1,6+1),1)),'DRAFT 2'!$A:$A),"")</f>
        <v/>
      </c>
      <c r="FE46" s="116">
        <f>COUNTIFS('DRAFT 2'!$D:$D,$B46,'DRAFT 2'!$A:$A,"&gt;="&amp;DATE(2026,6,1),'DRAFT 2'!$A:$A,"&lt;="&amp;DATE(2026,6,7))</f>
        <v/>
      </c>
      <c r="FF46" s="116">
        <f>COUNTIFS('DRAFT 2'!$D:$D,$B46,'DRAFT 2'!$A:$A,"&gt;="&amp;DATE(2026,6,8),'DRAFT 2'!$A:$A,"&lt;="&amp;DATE(2026,6,14))</f>
        <v/>
      </c>
      <c r="FG46" s="116">
        <f>COUNTIFS('DRAFT 2'!$D:$D,$B46,'DRAFT 2'!$A:$A,"&gt;="&amp;DATE(2026,6,15),'DRAFT 2'!$A:$A,"&lt;="&amp;DATE(2026,6,21))</f>
        <v/>
      </c>
      <c r="FH46" s="116">
        <f>COUNTIFS('DRAFT 2'!$D:$D,$B46,'DRAFT 2'!$A:$A,"&gt;="&amp;DATE(2026,6,22),'DRAFT 2'!$A:$A,"&lt;"&amp;DATE(2026,IF(6=12,6+1,6+1),1))</f>
        <v/>
      </c>
      <c r="FI46" s="116">
        <f>SUM(FE46:FH46)</f>
        <v/>
      </c>
      <c r="FT46" s="116">
        <f>IFERROR(LOOKUP(2,1/('DRAFT 2'!$D:$D=$B46)*('DRAFT 2'!$A:$A&gt;=DATE(2026,7,1))*('DRAFT 2'!$A:$A&lt;DATE(2026,IF(7=12,7+1,7+1),1)),'DRAFT 2'!$A:$A),"")</f>
        <v/>
      </c>
      <c r="FU46" s="116">
        <f>COUNTIFS('DRAFT 2'!$D:$D,$B46,'DRAFT 2'!$A:$A,"&gt;="&amp;DATE(2026,7,1),'DRAFT 2'!$A:$A,"&lt;="&amp;DATE(2026,7,7))</f>
        <v/>
      </c>
      <c r="FV46" s="116">
        <f>COUNTIFS('DRAFT 2'!$D:$D,$B46,'DRAFT 2'!$A:$A,"&gt;="&amp;DATE(2026,7,8),'DRAFT 2'!$A:$A,"&lt;="&amp;DATE(2026,7,14))</f>
        <v/>
      </c>
      <c r="FW46" s="116">
        <f>COUNTIFS('DRAFT 2'!$D:$D,$B46,'DRAFT 2'!$A:$A,"&gt;="&amp;DATE(2026,7,15),'DRAFT 2'!$A:$A,"&lt;="&amp;DATE(2026,7,21))</f>
        <v/>
      </c>
      <c r="FX46" s="116">
        <f>COUNTIFS('DRAFT 2'!$D:$D,$B46,'DRAFT 2'!$A:$A,"&gt;="&amp;DATE(2026,7,22),'DRAFT 2'!$A:$A,"&lt;"&amp;DATE(2026,IF(7=12,7+1,7+1),1))</f>
        <v/>
      </c>
      <c r="FY46" s="116">
        <f>SUM(FU46:FX46)</f>
        <v/>
      </c>
      <c r="GI46" s="116">
        <f>IFERROR(LOOKUP(2,1/('DRAFT 2'!$D:$D=$B46)*('DRAFT 2'!$A:$A&gt;=DATE(2026,8,1))*('DRAFT 2'!$A:$A&lt;DATE(2026,IF(8=12,8+1,8+1),1)),'DRAFT 2'!$A:$A),"")</f>
        <v/>
      </c>
      <c r="GJ46" s="116">
        <f>COUNTIFS('DRAFT 2'!$D:$D,$B46,'DRAFT 2'!$A:$A,"&gt;="&amp;DATE(2026,8,1),'DRAFT 2'!$A:$A,"&lt;="&amp;DATE(2026,8,7))</f>
        <v/>
      </c>
      <c r="GK46" s="116">
        <f>COUNTIFS('DRAFT 2'!$D:$D,$B46,'DRAFT 2'!$A:$A,"&gt;="&amp;DATE(2026,8,8),'DRAFT 2'!$A:$A,"&lt;="&amp;DATE(2026,8,14))</f>
        <v/>
      </c>
      <c r="GL46" s="116">
        <f>COUNTIFS('DRAFT 2'!$D:$D,$B46,'DRAFT 2'!$A:$A,"&gt;="&amp;DATE(2026,8,15),'DRAFT 2'!$A:$A,"&lt;="&amp;DATE(2026,8,21))</f>
        <v/>
      </c>
      <c r="GM46" s="116">
        <f>COUNTIFS('DRAFT 2'!$D:$D,$B46,'DRAFT 2'!$A:$A,"&gt;="&amp;DATE(2026,8,22),'DRAFT 2'!$A:$A,"&lt;"&amp;DATE(2026,IF(8=12,8+1,8+1),1))</f>
        <v/>
      </c>
      <c r="GN46" s="116">
        <f>SUM(GJ46:GM46)</f>
        <v/>
      </c>
      <c r="GX46" s="116">
        <f>IFERROR(LOOKUP(2,1/('DRAFT 2'!$D:$D=$B46)*('DRAFT 2'!$A:$A&gt;=DATE(2026,9,1))*('DRAFT 2'!$A:$A&lt;DATE(2026,IF(9=12,9+1,9+1),1)),'DRAFT 2'!$A:$A),"")</f>
        <v/>
      </c>
      <c r="GY46" s="116">
        <f>COUNTIFS('DRAFT 2'!$D:$D,$B46,'DRAFT 2'!$A:$A,"&gt;="&amp;DATE(2026,9,1),'DRAFT 2'!$A:$A,"&lt;="&amp;DATE(2026,9,7))</f>
        <v/>
      </c>
      <c r="GZ46" s="116">
        <f>COUNTIFS('DRAFT 2'!$D:$D,$B46,'DRAFT 2'!$A:$A,"&gt;="&amp;DATE(2026,9,8),'DRAFT 2'!$A:$A,"&lt;="&amp;DATE(2026,9,14))</f>
        <v/>
      </c>
      <c r="HA46" s="116">
        <f>COUNTIFS('DRAFT 2'!$D:$D,$B46,'DRAFT 2'!$A:$A,"&gt;="&amp;DATE(2026,9,15),'DRAFT 2'!$A:$A,"&lt;="&amp;DATE(2026,9,21))</f>
        <v/>
      </c>
      <c r="HB46" s="116">
        <f>COUNTIFS('DRAFT 2'!$D:$D,$B46,'DRAFT 2'!$A:$A,"&gt;="&amp;DATE(2026,9,22),'DRAFT 2'!$A:$A,"&lt;"&amp;DATE(2026,IF(9=12,9+1,9+1),1))</f>
        <v/>
      </c>
      <c r="HC46" s="116">
        <f>SUM(GY46:HB46)</f>
        <v/>
      </c>
      <c r="HN46" s="116">
        <f>IFERROR(LOOKUP(2,1/('DRAFT 2'!$D:$D=$B46)*('DRAFT 2'!$A:$A&gt;=DATE(2026,10,1))*('DRAFT 2'!$A:$A&lt;DATE(2026,IF(10=12,10+1,10+1),1)),'DRAFT 2'!$A:$A),"")</f>
        <v/>
      </c>
      <c r="HO46" s="116">
        <f>COUNTIFS('DRAFT 2'!$D:$D,$B46,'DRAFT 2'!$A:$A,"&gt;="&amp;DATE(2026,10,1),'DRAFT 2'!$A:$A,"&lt;="&amp;DATE(2026,10,7))</f>
        <v/>
      </c>
      <c r="HP46" s="116">
        <f>COUNTIFS('DRAFT 2'!$D:$D,$B46,'DRAFT 2'!$A:$A,"&gt;="&amp;DATE(2026,10,8),'DRAFT 2'!$A:$A,"&lt;="&amp;DATE(2026,10,14))</f>
        <v/>
      </c>
      <c r="HQ46" s="116">
        <f>COUNTIFS('DRAFT 2'!$D:$D,$B46,'DRAFT 2'!$A:$A,"&gt;="&amp;DATE(2026,10,15),'DRAFT 2'!$A:$A,"&lt;="&amp;DATE(2026,10,21))</f>
        <v/>
      </c>
      <c r="HR46" s="116">
        <f>COUNTIFS('DRAFT 2'!$D:$D,$B46,'DRAFT 2'!$A:$A,"&gt;="&amp;DATE(2026,10,22),'DRAFT 2'!$A:$A,"&lt;"&amp;DATE(2026,IF(10=12,10+1,10+1),1))</f>
        <v/>
      </c>
      <c r="HS46" s="116">
        <f>SUM(HO46:HR46)</f>
        <v/>
      </c>
      <c r="IC46" s="116">
        <f>IFERROR(LOOKUP(2,1/('DRAFT 2'!$D:$D=$B46)*('DRAFT 2'!$A:$A&gt;=DATE(2026,11,1))*('DRAFT 2'!$A:$A&lt;DATE(2026,IF(11=12,11+1,11+1),1)),'DRAFT 2'!$A:$A),"")</f>
        <v/>
      </c>
      <c r="ID46" s="116">
        <f>COUNTIFS('DRAFT 2'!$D:$D,$B46,'DRAFT 2'!$A:$A,"&gt;="&amp;DATE(2026,11,1),'DRAFT 2'!$A:$A,"&lt;="&amp;DATE(2026,11,7))</f>
        <v/>
      </c>
      <c r="IE46" s="116">
        <f>COUNTIFS('DRAFT 2'!$D:$D,$B46,'DRAFT 2'!$A:$A,"&gt;="&amp;DATE(2026,11,8),'DRAFT 2'!$A:$A,"&lt;="&amp;DATE(2026,11,14))</f>
        <v/>
      </c>
      <c r="IF46" s="116">
        <f>COUNTIFS('DRAFT 2'!$D:$D,$B46,'DRAFT 2'!$A:$A,"&gt;="&amp;DATE(2026,11,15),'DRAFT 2'!$A:$A,"&lt;="&amp;DATE(2026,11,21))</f>
        <v/>
      </c>
      <c r="IG46" s="116">
        <f>COUNTIFS('DRAFT 2'!$D:$D,$B46,'DRAFT 2'!$A:$A,"&gt;="&amp;DATE(2026,11,22),'DRAFT 2'!$A:$A,"&lt;"&amp;DATE(2026,IF(11=12,11+1,11+1),1))</f>
        <v/>
      </c>
      <c r="IH46" s="116">
        <f>SUM(ID46:IG46)</f>
        <v/>
      </c>
      <c r="IR46" s="116">
        <f>IFERROR(LOOKUP(2,1/('DRAFT 2'!$D:$D=$B46)*('DRAFT 2'!$A:$A&gt;=DATE(2026,12,1))*('DRAFT 2'!$A:$A&lt;DATE(2026,IF(12=12,12+1,12+1),1)),'DRAFT 2'!$A:$A),"")</f>
        <v/>
      </c>
      <c r="IS46" s="116">
        <f>COUNTIFS('DRAFT 2'!$D:$D,$B46,'DRAFT 2'!$A:$A,"&gt;="&amp;DATE(2026,12,1),'DRAFT 2'!$A:$A,"&lt;="&amp;DATE(2026,12,7))</f>
        <v/>
      </c>
      <c r="IT46" s="116">
        <f>COUNTIFS('DRAFT 2'!$D:$D,$B46,'DRAFT 2'!$A:$A,"&gt;="&amp;DATE(2026,12,8),'DRAFT 2'!$A:$A,"&lt;="&amp;DATE(2026,12,14))</f>
        <v/>
      </c>
      <c r="IU46" s="116">
        <f>COUNTIFS('DRAFT 2'!$D:$D,$B46,'DRAFT 2'!$A:$A,"&gt;="&amp;DATE(2026,12,15),'DRAFT 2'!$A:$A,"&lt;="&amp;DATE(2026,12,21))</f>
        <v/>
      </c>
      <c r="IV46" s="116">
        <f>COUNTIFS('DRAFT 2'!$D:$D,$B46,'DRAFT 2'!$A:$A,"&gt;="&amp;DATE(2026,12,22),'DRAFT 2'!$A:$A,"&lt;"&amp;DATE(2026,IF(12=12,12+1,12+1),1))</f>
        <v/>
      </c>
      <c r="IW46" s="116">
        <f>SUM(IS46:IV46)</f>
        <v/>
      </c>
    </row>
    <row r="47">
      <c r="A47" s="116">
        <f>IFERROR(INDEX('DRAFT 1'!$A:$A,MATCH($B47,'DRAFT 1'!$B:$B,0)),"")</f>
        <v/>
      </c>
      <c r="C47" s="116">
        <f>IFERROR(INDEX('DRAFT 1'!$C:$C,MATCH($B47,'DRAFT 1'!$B:$B,0)),"")</f>
        <v/>
      </c>
      <c r="D47" s="116">
        <f>IFERROR(INDEX('DRAFT 1'!$D:$D,MATCH($B47,'DRAFT 1'!$B:$B,0)),"")</f>
        <v/>
      </c>
      <c r="E47" s="116">
        <f>IFERROR(INDEX('DRAFT 1'!$E:$E,MATCH($B47,'DRAFT 1'!$B:$B,0)),"")</f>
        <v/>
      </c>
      <c r="F47" s="116">
        <f>IFERROR(INDEX('DRAFT 1'!$F:$F,MATCH($B47,'DRAFT 1'!$B:$B,0)),"")</f>
        <v/>
      </c>
      <c r="G47" s="116">
        <f>IFERROR(INDEX('DRAFT 1'!$G:$G,MATCH($B47,'DRAFT 1'!$B:$B,0)),"")</f>
        <v/>
      </c>
      <c r="H47" s="116">
        <f>IFERROR(INDEX('DRAFT 1'!$H:$H,MATCH($B47,'DRAFT 1'!$B:$B,0)),"")</f>
        <v/>
      </c>
      <c r="I47" s="116" t="inlineStr">
        <is>
          <t>DEMAIS CLIENTES</t>
        </is>
      </c>
      <c r="K47" s="116">
        <f>IFERROR(INDEX('DRAFT 1'!$AL:$AL,MATCH($B47,'DRAFT 1'!$B:$B,0)),"")</f>
        <v/>
      </c>
      <c r="L47" s="116">
        <f>IFERROR(INDEX('DRAFT 1'!$J:$J,MATCH($B47,'DRAFT 1'!$B:$B,0)),"")</f>
        <v/>
      </c>
      <c r="M47" s="116">
        <f>IFERROR(INDEX('DRAFT 1'!$K:$K,MATCH($B47,'DRAFT 1'!$B:$B,0)),"")</f>
        <v/>
      </c>
      <c r="N47" s="116" t="inlineStr">
        <is>
          <t>ATIVO</t>
        </is>
      </c>
      <c r="P47" s="116">
        <f>IFERROR(INDEX('DRAFT 1'!$L:$L,MATCH($B47,'DRAFT 1'!$B:$B,0)),"")</f>
        <v/>
      </c>
      <c r="Q47" s="116">
        <f>IFERROR(INDEX('DRAFT 1'!$M:$M,MATCH($B47,'DRAFT 1'!$B:$B,0)),"")</f>
        <v/>
      </c>
      <c r="R47" s="116">
        <f>IFERROR(INDEX('DRAFT 1'!$N:$N,MATCH($B47,'DRAFT 1'!$B:$B,0)),"")</f>
        <v/>
      </c>
      <c r="S47" s="116">
        <f>IFERROR(INDEX('DRAFT 1'!$O:$O,MATCH($B47,'DRAFT 1'!$B:$B,0)),"")</f>
        <v/>
      </c>
      <c r="T47" s="116">
        <f>IFERROR(INDEX('DRAFT 1'!$P:$P,MATCH($B47,'DRAFT 1'!$B:$B,0)),"")</f>
        <v/>
      </c>
      <c r="U47" s="116">
        <f>IFERROR(INDEX('DRAFT 1'!$Q:$Q,MATCH($B47,'DRAFT 1'!$B:$B,0)),"")</f>
        <v/>
      </c>
      <c r="V47" s="116">
        <f>IFERROR(INDEX('DRAFT 1'!$R:$R,MATCH($B47,'DRAFT 1'!$B:$B,0)),"")</f>
        <v/>
      </c>
      <c r="W47" s="116">
        <f>IFERROR(INDEX('DRAFT 1'!$S:$S,MATCH($B47,'DRAFT 1'!$B:$B,0)),"")</f>
        <v/>
      </c>
      <c r="X47" s="116">
        <f>IFERROR(INDEX('DRAFT 1'!$T:$T,MATCH($B47,'DRAFT 1'!$B:$B,0)),"")</f>
        <v/>
      </c>
      <c r="Z47" s="116">
        <f>IFERROR(INDEX('DRAFT 1'!$U:$U,MATCH($B47,'DRAFT 1'!$B:$B,0)),"")</f>
        <v/>
      </c>
      <c r="AA47" s="116">
        <f>IFERROR(INDEX('DRAFT 1'!$V:$V,MATCH($B47,'DRAFT 1'!$B:$B,0)),"")</f>
        <v/>
      </c>
      <c r="AB47" s="116">
        <f>IFERROR(INDEX('DRAFT 1'!$W:$W,MATCH($B47,'DRAFT 1'!$B:$B,0)),"")</f>
        <v/>
      </c>
      <c r="AC47" s="116">
        <f>IFERROR(INDEX('DRAFT 1'!$X:$X,MATCH($B47,'DRAFT 1'!$B:$B,0)),"")</f>
        <v/>
      </c>
      <c r="AD47" s="116">
        <f>IFERROR(INDEX('DRAFT 1'!$Y:$Y,MATCH($B47,'DRAFT 1'!$B:$B,0)),"")</f>
        <v/>
      </c>
      <c r="AE47" s="116">
        <f>IFERROR(INDEX('DRAFT 1'!$Z:$Z,MATCH($B47,'DRAFT 1'!$B:$B,0)),"")</f>
        <v/>
      </c>
      <c r="AF47" s="116">
        <f>IFERROR(INDEX('DRAFT 1'!$AA:$AA,MATCH($B47,'DRAFT 1'!$B:$B,0)),"")</f>
        <v/>
      </c>
      <c r="AG47" s="116">
        <f>IFERROR(INDEX('DRAFT 1'!$AB:$AB,MATCH($B47,'DRAFT 1'!$B:$B,0)),"")</f>
        <v/>
      </c>
      <c r="AH47" s="116">
        <f>IFERROR(INDEX('DRAFT 1'!$AC:$AC,MATCH($B47,'DRAFT 1'!$B:$B,0)),"")</f>
        <v/>
      </c>
      <c r="AI47" s="116">
        <f>IFERROR(INDEX('DRAFT 1'!$AD:$AD,MATCH($B47,'DRAFT 1'!$B:$B,0)),"")</f>
        <v/>
      </c>
      <c r="AJ47" s="116">
        <f>IFERROR(INDEX('DRAFT 1'!$AE:$AE,MATCH($B47,'DRAFT 1'!$B:$B,0)),"")</f>
        <v/>
      </c>
      <c r="AK47" s="116">
        <f>IFERROR(INDEX('DRAFT 1'!$AG:$AG,MATCH($B47,'DRAFT 1'!$B:$B,0)),"")</f>
        <v/>
      </c>
      <c r="AL47" s="116">
        <f>IFERROR(INDEX('DRAFT 1'!$AH:$AH,MATCH($B47,'DRAFT 1'!$B:$B,0)),"")</f>
        <v/>
      </c>
      <c r="AM47" s="116">
        <f>IFERROR(INDEX('DRAFT 1'!$AI:$AI,MATCH($B47,'DRAFT 1'!$B:$B,0)),"")</f>
        <v/>
      </c>
      <c r="AN47" s="116">
        <f>IFERROR(INDEX('DRAFT 1'!$AJ:$AJ,MATCH($B47,'DRAFT 1'!$B:$B,0)),"")</f>
        <v/>
      </c>
      <c r="AO47" s="116">
        <f>IFERROR(Y47/AN47,0)</f>
        <v/>
      </c>
      <c r="AP47" s="116">
        <f>IFERROR(INDEX('DRAFT 1'!$AK:$AK,MATCH($B47,'DRAFT 1'!$B:$B,0)),"")</f>
        <v/>
      </c>
      <c r="AR47" s="116" t="inlineStr">
        <is>
          <t>SALVAMENTO</t>
        </is>
      </c>
      <c r="AS47" s="116">
        <f>IFERROR(LOOKUP(2,1/('DRAFT 2'!$D:$D=$B47),'DRAFT 2'!$T:$T),"")</f>
        <v/>
      </c>
      <c r="AT47" s="116">
        <f>IFERROR(LOOKUP(2,1/('DRAFT 2'!$D:$D=$B47),'DRAFT 2'!$A:$A),"")</f>
        <v/>
      </c>
      <c r="AU47" s="116">
        <f>IFERROR(LOOKUP(2,1/('DRAFT 2'!$D:$D=$B47),'DRAFT 2'!$R:$R),"")</f>
        <v/>
      </c>
      <c r="AV47" s="116">
        <f>IFERROR(LOOKUP(2,1/('DRAFT 2'!$D:$D=$B47),'DRAFT 2'!$S:$S),"")</f>
        <v/>
      </c>
      <c r="AW47" s="116" t="inlineStr">
        <is>
          <t>NOVO</t>
        </is>
      </c>
      <c r="AX47" s="116">
        <f>IFERROR(LOOKUP(2,1/('DRAFT 2'!$D:$D=$B47),'DRAFT 2'!$M:$M),"")</f>
        <v/>
      </c>
      <c r="AY47" s="116">
        <f>IFERROR(LOOKUP(2,1/('DRAFT 2'!$D:$D=$B47),'DRAFT 2'!$K:$K),"")</f>
        <v/>
      </c>
      <c r="BG47" s="116">
        <f>IFERROR(LOOKUP(2,1/('DRAFT 2'!$D:$D=$B47),'DRAFT 2'!$U:$U),"")</f>
        <v/>
      </c>
      <c r="BH47" s="116">
        <f>IFERROR(LOOKUP(2,1/('DRAFT 2'!$D:$D=$B47),'DRAFT 2'!$V:$V),"")</f>
        <v/>
      </c>
      <c r="CE47" s="116">
        <f>IFERROR(AJ47,0)</f>
        <v/>
      </c>
      <c r="CF47" s="116">
        <f>IFERROR(LOOKUP(2,1/('DRAFT 2'!$D:$D=$B47)*('DRAFT 2'!$A:$A&gt;=DATE(2026,1,1))*('DRAFT 2'!$A:$A&lt;DATE(2026,IF(1=12,1+1,1+1),1)),'DRAFT 2'!$A:$A),"")</f>
        <v/>
      </c>
      <c r="CG47" s="116">
        <f>COUNTIFS('DRAFT 2'!$D:$D,$B47,'DRAFT 2'!$A:$A,"&gt;="&amp;DATE(2026,1,1),'DRAFT 2'!$A:$A,"&lt;="&amp;DATE(2026,1,7))</f>
        <v/>
      </c>
      <c r="CH47" s="116">
        <f>COUNTIFS('DRAFT 2'!$D:$D,$B47,'DRAFT 2'!$A:$A,"&gt;="&amp;DATE(2026,1,8),'DRAFT 2'!$A:$A,"&lt;="&amp;DATE(2026,1,14))</f>
        <v/>
      </c>
      <c r="CI47" s="116">
        <f>COUNTIFS('DRAFT 2'!$D:$D,$B47,'DRAFT 2'!$A:$A,"&gt;="&amp;DATE(2026,1,15),'DRAFT 2'!$A:$A,"&lt;="&amp;DATE(2026,1,21))</f>
        <v/>
      </c>
      <c r="CJ47" s="116">
        <f>COUNTIFS('DRAFT 2'!$D:$D,$B47,'DRAFT 2'!$A:$A,"&gt;="&amp;DATE(2026,1,22),'DRAFT 2'!$A:$A,"&lt;"&amp;DATE(2026,IF(1=12,1+1,1+1),1))</f>
        <v/>
      </c>
      <c r="CK47" s="116">
        <f>SUM(CG47:CJ47)</f>
        <v/>
      </c>
      <c r="CT47" s="116" t="n">
        <v>0</v>
      </c>
      <c r="CU47" s="116">
        <f>IFERROR(LOOKUP(2,1/('DRAFT 2'!$D:$D=$B47)*('DRAFT 2'!$A:$A&gt;=DATE(2026,2,1))*('DRAFT 2'!$A:$A&lt;DATE(2026,IF(2=12,2+1,2+1),1)),'DRAFT 2'!$A:$A),"")</f>
        <v/>
      </c>
      <c r="CV47" s="116">
        <f>COUNTIFS('DRAFT 2'!$D:$D,$B47,'DRAFT 2'!$A:$A,"&gt;="&amp;DATE(2026,2,1),'DRAFT 2'!$A:$A,"&lt;="&amp;DATE(2026,2,7))</f>
        <v/>
      </c>
      <c r="CW47" s="116">
        <f>COUNTIFS('DRAFT 2'!$D:$D,$B47,'DRAFT 2'!$A:$A,"&gt;="&amp;DATE(2026,2,8),'DRAFT 2'!$A:$A,"&lt;="&amp;DATE(2026,2,14))</f>
        <v/>
      </c>
      <c r="CX47" s="116">
        <f>COUNTIFS('DRAFT 2'!$D:$D,$B47,'DRAFT 2'!$A:$A,"&gt;="&amp;DATE(2026,2,15),'DRAFT 2'!$A:$A,"&lt;="&amp;DATE(2026,2,21))</f>
        <v/>
      </c>
      <c r="CY47" s="116">
        <f>COUNTIFS('DRAFT 2'!$D:$D,$B47,'DRAFT 2'!$A:$A,"&gt;="&amp;DATE(2026,2,22),'DRAFT 2'!$A:$A,"&lt;"&amp;DATE(2026,IF(2=12,2+1,2+1),1))</f>
        <v/>
      </c>
      <c r="CZ47" s="116">
        <f>SUM(CV47:CY47)</f>
        <v/>
      </c>
      <c r="DJ47" s="116">
        <f>IFERROR(LOOKUP(2,1/('DRAFT 2'!$D:$D=$B47)*('DRAFT 2'!$A:$A&gt;=DATE(2026,3,1))*('DRAFT 2'!$A:$A&lt;DATE(2026,IF(3=12,3+1,3+1),1)),'DRAFT 2'!$A:$A),"")</f>
        <v/>
      </c>
      <c r="DK47" s="116">
        <f>COUNTIFS('DRAFT 2'!$D:$D,$B47,'DRAFT 2'!$A:$A,"&gt;="&amp;DATE(2026,3,1),'DRAFT 2'!$A:$A,"&lt;="&amp;DATE(2026,3,7))</f>
        <v/>
      </c>
      <c r="DL47" s="116">
        <f>COUNTIFS('DRAFT 2'!$D:$D,$B47,'DRAFT 2'!$A:$A,"&gt;="&amp;DATE(2026,3,8),'DRAFT 2'!$A:$A,"&lt;="&amp;DATE(2026,3,14))</f>
        <v/>
      </c>
      <c r="DM47" s="116">
        <f>COUNTIFS('DRAFT 2'!$D:$D,$B47,'DRAFT 2'!$A:$A,"&gt;="&amp;DATE(2026,3,15),'DRAFT 2'!$A:$A,"&lt;="&amp;DATE(2026,3,21))</f>
        <v/>
      </c>
      <c r="DN47" s="116">
        <f>COUNTIFS('DRAFT 2'!$D:$D,$B47,'DRAFT 2'!$A:$A,"&gt;="&amp;DATE(2026,3,22),'DRAFT 2'!$A:$A,"&lt;"&amp;DATE(2026,IF(3=12,3+1,3+1),1))</f>
        <v/>
      </c>
      <c r="DO47" s="116">
        <f>SUM(DK47:DN47)</f>
        <v/>
      </c>
      <c r="DZ47" s="116">
        <f>IFERROR(LOOKUP(2,1/('DRAFT 2'!$D:$D=$B47)*('DRAFT 2'!$A:$A&gt;=DATE(2026,4,1))*('DRAFT 2'!$A:$A&lt;DATE(2026,IF(4=12,4+1,4+1),1)),'DRAFT 2'!$A:$A),"")</f>
        <v/>
      </c>
      <c r="EA47" s="116">
        <f>COUNTIFS('DRAFT 2'!$D:$D,$B47,'DRAFT 2'!$A:$A,"&gt;="&amp;DATE(2026,4,1),'DRAFT 2'!$A:$A,"&lt;="&amp;DATE(2026,4,7))</f>
        <v/>
      </c>
      <c r="EB47" s="116">
        <f>COUNTIFS('DRAFT 2'!$D:$D,$B47,'DRAFT 2'!$A:$A,"&gt;="&amp;DATE(2026,4,8),'DRAFT 2'!$A:$A,"&lt;="&amp;DATE(2026,4,14))</f>
        <v/>
      </c>
      <c r="EC47" s="116">
        <f>COUNTIFS('DRAFT 2'!$D:$D,$B47,'DRAFT 2'!$A:$A,"&gt;="&amp;DATE(2026,4,15),'DRAFT 2'!$A:$A,"&lt;="&amp;DATE(2026,4,21))</f>
        <v/>
      </c>
      <c r="ED47" s="116">
        <f>COUNTIFS('DRAFT 2'!$D:$D,$B47,'DRAFT 2'!$A:$A,"&gt;="&amp;DATE(2026,4,22),'DRAFT 2'!$A:$A,"&lt;"&amp;DATE(2026,IF(4=12,4+1,4+1),1))</f>
        <v/>
      </c>
      <c r="EE47" s="116">
        <f>SUM(EA47:ED47)</f>
        <v/>
      </c>
      <c r="EO47" s="116">
        <f>IFERROR(LOOKUP(2,1/('DRAFT 2'!$D:$D=$B47)*('DRAFT 2'!$A:$A&gt;=DATE(2026,5,1))*('DRAFT 2'!$A:$A&lt;DATE(2026,IF(5=12,5+1,5+1),1)),'DRAFT 2'!$A:$A),"")</f>
        <v/>
      </c>
      <c r="EP47" s="116">
        <f>COUNTIFS('DRAFT 2'!$D:$D,$B47,'DRAFT 2'!$A:$A,"&gt;="&amp;DATE(2026,5,1),'DRAFT 2'!$A:$A,"&lt;="&amp;DATE(2026,5,7))</f>
        <v/>
      </c>
      <c r="EQ47" s="116">
        <f>COUNTIFS('DRAFT 2'!$D:$D,$B47,'DRAFT 2'!$A:$A,"&gt;="&amp;DATE(2026,5,8),'DRAFT 2'!$A:$A,"&lt;="&amp;DATE(2026,5,14))</f>
        <v/>
      </c>
      <c r="ER47" s="116">
        <f>COUNTIFS('DRAFT 2'!$D:$D,$B47,'DRAFT 2'!$A:$A,"&gt;="&amp;DATE(2026,5,15),'DRAFT 2'!$A:$A,"&lt;="&amp;DATE(2026,5,21))</f>
        <v/>
      </c>
      <c r="ES47" s="116">
        <f>COUNTIFS('DRAFT 2'!$D:$D,$B47,'DRAFT 2'!$A:$A,"&gt;="&amp;DATE(2026,5,22),'DRAFT 2'!$A:$A,"&lt;"&amp;DATE(2026,IF(5=12,5+1,5+1),1))</f>
        <v/>
      </c>
      <c r="ET47" s="116">
        <f>SUM(EP47:ES47)</f>
        <v/>
      </c>
      <c r="FD47" s="116">
        <f>IFERROR(LOOKUP(2,1/('DRAFT 2'!$D:$D=$B47)*('DRAFT 2'!$A:$A&gt;=DATE(2026,6,1))*('DRAFT 2'!$A:$A&lt;DATE(2026,IF(6=12,6+1,6+1),1)),'DRAFT 2'!$A:$A),"")</f>
        <v/>
      </c>
      <c r="FE47" s="116">
        <f>COUNTIFS('DRAFT 2'!$D:$D,$B47,'DRAFT 2'!$A:$A,"&gt;="&amp;DATE(2026,6,1),'DRAFT 2'!$A:$A,"&lt;="&amp;DATE(2026,6,7))</f>
        <v/>
      </c>
      <c r="FF47" s="116">
        <f>COUNTIFS('DRAFT 2'!$D:$D,$B47,'DRAFT 2'!$A:$A,"&gt;="&amp;DATE(2026,6,8),'DRAFT 2'!$A:$A,"&lt;="&amp;DATE(2026,6,14))</f>
        <v/>
      </c>
      <c r="FG47" s="116">
        <f>COUNTIFS('DRAFT 2'!$D:$D,$B47,'DRAFT 2'!$A:$A,"&gt;="&amp;DATE(2026,6,15),'DRAFT 2'!$A:$A,"&lt;="&amp;DATE(2026,6,21))</f>
        <v/>
      </c>
      <c r="FH47" s="116">
        <f>COUNTIFS('DRAFT 2'!$D:$D,$B47,'DRAFT 2'!$A:$A,"&gt;="&amp;DATE(2026,6,22),'DRAFT 2'!$A:$A,"&lt;"&amp;DATE(2026,IF(6=12,6+1,6+1),1))</f>
        <v/>
      </c>
      <c r="FI47" s="116">
        <f>SUM(FE47:FH47)</f>
        <v/>
      </c>
      <c r="FT47" s="116">
        <f>IFERROR(LOOKUP(2,1/('DRAFT 2'!$D:$D=$B47)*('DRAFT 2'!$A:$A&gt;=DATE(2026,7,1))*('DRAFT 2'!$A:$A&lt;DATE(2026,IF(7=12,7+1,7+1),1)),'DRAFT 2'!$A:$A),"")</f>
        <v/>
      </c>
      <c r="FU47" s="116">
        <f>COUNTIFS('DRAFT 2'!$D:$D,$B47,'DRAFT 2'!$A:$A,"&gt;="&amp;DATE(2026,7,1),'DRAFT 2'!$A:$A,"&lt;="&amp;DATE(2026,7,7))</f>
        <v/>
      </c>
      <c r="FV47" s="116">
        <f>COUNTIFS('DRAFT 2'!$D:$D,$B47,'DRAFT 2'!$A:$A,"&gt;="&amp;DATE(2026,7,8),'DRAFT 2'!$A:$A,"&lt;="&amp;DATE(2026,7,14))</f>
        <v/>
      </c>
      <c r="FW47" s="116">
        <f>COUNTIFS('DRAFT 2'!$D:$D,$B47,'DRAFT 2'!$A:$A,"&gt;="&amp;DATE(2026,7,15),'DRAFT 2'!$A:$A,"&lt;="&amp;DATE(2026,7,21))</f>
        <v/>
      </c>
      <c r="FX47" s="116">
        <f>COUNTIFS('DRAFT 2'!$D:$D,$B47,'DRAFT 2'!$A:$A,"&gt;="&amp;DATE(2026,7,22),'DRAFT 2'!$A:$A,"&lt;"&amp;DATE(2026,IF(7=12,7+1,7+1),1))</f>
        <v/>
      </c>
      <c r="FY47" s="116">
        <f>SUM(FU47:FX47)</f>
        <v/>
      </c>
      <c r="GI47" s="116">
        <f>IFERROR(LOOKUP(2,1/('DRAFT 2'!$D:$D=$B47)*('DRAFT 2'!$A:$A&gt;=DATE(2026,8,1))*('DRAFT 2'!$A:$A&lt;DATE(2026,IF(8=12,8+1,8+1),1)),'DRAFT 2'!$A:$A),"")</f>
        <v/>
      </c>
      <c r="GJ47" s="116">
        <f>COUNTIFS('DRAFT 2'!$D:$D,$B47,'DRAFT 2'!$A:$A,"&gt;="&amp;DATE(2026,8,1),'DRAFT 2'!$A:$A,"&lt;="&amp;DATE(2026,8,7))</f>
        <v/>
      </c>
      <c r="GK47" s="116">
        <f>COUNTIFS('DRAFT 2'!$D:$D,$B47,'DRAFT 2'!$A:$A,"&gt;="&amp;DATE(2026,8,8),'DRAFT 2'!$A:$A,"&lt;="&amp;DATE(2026,8,14))</f>
        <v/>
      </c>
      <c r="GL47" s="116">
        <f>COUNTIFS('DRAFT 2'!$D:$D,$B47,'DRAFT 2'!$A:$A,"&gt;="&amp;DATE(2026,8,15),'DRAFT 2'!$A:$A,"&lt;="&amp;DATE(2026,8,21))</f>
        <v/>
      </c>
      <c r="GM47" s="116">
        <f>COUNTIFS('DRAFT 2'!$D:$D,$B47,'DRAFT 2'!$A:$A,"&gt;="&amp;DATE(2026,8,22),'DRAFT 2'!$A:$A,"&lt;"&amp;DATE(2026,IF(8=12,8+1,8+1),1))</f>
        <v/>
      </c>
      <c r="GN47" s="116">
        <f>SUM(GJ47:GM47)</f>
        <v/>
      </c>
      <c r="GX47" s="116">
        <f>IFERROR(LOOKUP(2,1/('DRAFT 2'!$D:$D=$B47)*('DRAFT 2'!$A:$A&gt;=DATE(2026,9,1))*('DRAFT 2'!$A:$A&lt;DATE(2026,IF(9=12,9+1,9+1),1)),'DRAFT 2'!$A:$A),"")</f>
        <v/>
      </c>
      <c r="GY47" s="116">
        <f>COUNTIFS('DRAFT 2'!$D:$D,$B47,'DRAFT 2'!$A:$A,"&gt;="&amp;DATE(2026,9,1),'DRAFT 2'!$A:$A,"&lt;="&amp;DATE(2026,9,7))</f>
        <v/>
      </c>
      <c r="GZ47" s="116">
        <f>COUNTIFS('DRAFT 2'!$D:$D,$B47,'DRAFT 2'!$A:$A,"&gt;="&amp;DATE(2026,9,8),'DRAFT 2'!$A:$A,"&lt;="&amp;DATE(2026,9,14))</f>
        <v/>
      </c>
      <c r="HA47" s="116">
        <f>COUNTIFS('DRAFT 2'!$D:$D,$B47,'DRAFT 2'!$A:$A,"&gt;="&amp;DATE(2026,9,15),'DRAFT 2'!$A:$A,"&lt;="&amp;DATE(2026,9,21))</f>
        <v/>
      </c>
      <c r="HB47" s="116">
        <f>COUNTIFS('DRAFT 2'!$D:$D,$B47,'DRAFT 2'!$A:$A,"&gt;="&amp;DATE(2026,9,22),'DRAFT 2'!$A:$A,"&lt;"&amp;DATE(2026,IF(9=12,9+1,9+1),1))</f>
        <v/>
      </c>
      <c r="HC47" s="116">
        <f>SUM(GY47:HB47)</f>
        <v/>
      </c>
      <c r="HN47" s="116">
        <f>IFERROR(LOOKUP(2,1/('DRAFT 2'!$D:$D=$B47)*('DRAFT 2'!$A:$A&gt;=DATE(2026,10,1))*('DRAFT 2'!$A:$A&lt;DATE(2026,IF(10=12,10+1,10+1),1)),'DRAFT 2'!$A:$A),"")</f>
        <v/>
      </c>
      <c r="HO47" s="116">
        <f>COUNTIFS('DRAFT 2'!$D:$D,$B47,'DRAFT 2'!$A:$A,"&gt;="&amp;DATE(2026,10,1),'DRAFT 2'!$A:$A,"&lt;="&amp;DATE(2026,10,7))</f>
        <v/>
      </c>
      <c r="HP47" s="116">
        <f>COUNTIFS('DRAFT 2'!$D:$D,$B47,'DRAFT 2'!$A:$A,"&gt;="&amp;DATE(2026,10,8),'DRAFT 2'!$A:$A,"&lt;="&amp;DATE(2026,10,14))</f>
        <v/>
      </c>
      <c r="HQ47" s="116">
        <f>COUNTIFS('DRAFT 2'!$D:$D,$B47,'DRAFT 2'!$A:$A,"&gt;="&amp;DATE(2026,10,15),'DRAFT 2'!$A:$A,"&lt;="&amp;DATE(2026,10,21))</f>
        <v/>
      </c>
      <c r="HR47" s="116">
        <f>COUNTIFS('DRAFT 2'!$D:$D,$B47,'DRAFT 2'!$A:$A,"&gt;="&amp;DATE(2026,10,22),'DRAFT 2'!$A:$A,"&lt;"&amp;DATE(2026,IF(10=12,10+1,10+1),1))</f>
        <v/>
      </c>
      <c r="HS47" s="116">
        <f>SUM(HO47:HR47)</f>
        <v/>
      </c>
      <c r="IC47" s="116">
        <f>IFERROR(LOOKUP(2,1/('DRAFT 2'!$D:$D=$B47)*('DRAFT 2'!$A:$A&gt;=DATE(2026,11,1))*('DRAFT 2'!$A:$A&lt;DATE(2026,IF(11=12,11+1,11+1),1)),'DRAFT 2'!$A:$A),"")</f>
        <v/>
      </c>
      <c r="ID47" s="116">
        <f>COUNTIFS('DRAFT 2'!$D:$D,$B47,'DRAFT 2'!$A:$A,"&gt;="&amp;DATE(2026,11,1),'DRAFT 2'!$A:$A,"&lt;="&amp;DATE(2026,11,7))</f>
        <v/>
      </c>
      <c r="IE47" s="116">
        <f>COUNTIFS('DRAFT 2'!$D:$D,$B47,'DRAFT 2'!$A:$A,"&gt;="&amp;DATE(2026,11,8),'DRAFT 2'!$A:$A,"&lt;="&amp;DATE(2026,11,14))</f>
        <v/>
      </c>
      <c r="IF47" s="116">
        <f>COUNTIFS('DRAFT 2'!$D:$D,$B47,'DRAFT 2'!$A:$A,"&gt;="&amp;DATE(2026,11,15),'DRAFT 2'!$A:$A,"&lt;="&amp;DATE(2026,11,21))</f>
        <v/>
      </c>
      <c r="IG47" s="116">
        <f>COUNTIFS('DRAFT 2'!$D:$D,$B47,'DRAFT 2'!$A:$A,"&gt;="&amp;DATE(2026,11,22),'DRAFT 2'!$A:$A,"&lt;"&amp;DATE(2026,IF(11=12,11+1,11+1),1))</f>
        <v/>
      </c>
      <c r="IH47" s="116">
        <f>SUM(ID47:IG47)</f>
        <v/>
      </c>
      <c r="IR47" s="116">
        <f>IFERROR(LOOKUP(2,1/('DRAFT 2'!$D:$D=$B47)*('DRAFT 2'!$A:$A&gt;=DATE(2026,12,1))*('DRAFT 2'!$A:$A&lt;DATE(2026,IF(12=12,12+1,12+1),1)),'DRAFT 2'!$A:$A),"")</f>
        <v/>
      </c>
      <c r="IS47" s="116">
        <f>COUNTIFS('DRAFT 2'!$D:$D,$B47,'DRAFT 2'!$A:$A,"&gt;="&amp;DATE(2026,12,1),'DRAFT 2'!$A:$A,"&lt;="&amp;DATE(2026,12,7))</f>
        <v/>
      </c>
      <c r="IT47" s="116">
        <f>COUNTIFS('DRAFT 2'!$D:$D,$B47,'DRAFT 2'!$A:$A,"&gt;="&amp;DATE(2026,12,8),'DRAFT 2'!$A:$A,"&lt;="&amp;DATE(2026,12,14))</f>
        <v/>
      </c>
      <c r="IU47" s="116">
        <f>COUNTIFS('DRAFT 2'!$D:$D,$B47,'DRAFT 2'!$A:$A,"&gt;="&amp;DATE(2026,12,15),'DRAFT 2'!$A:$A,"&lt;="&amp;DATE(2026,12,21))</f>
        <v/>
      </c>
      <c r="IV47" s="116">
        <f>COUNTIFS('DRAFT 2'!$D:$D,$B47,'DRAFT 2'!$A:$A,"&gt;="&amp;DATE(2026,12,22),'DRAFT 2'!$A:$A,"&lt;"&amp;DATE(2026,IF(12=12,12+1,12+1),1))</f>
        <v/>
      </c>
      <c r="IW47" s="116">
        <f>SUM(IS47:IV47)</f>
        <v/>
      </c>
    </row>
    <row r="48">
      <c r="A48" s="116">
        <f>IFERROR(INDEX('DRAFT 1'!$A:$A,MATCH($B48,'DRAFT 1'!$B:$B,0)),"")</f>
        <v/>
      </c>
      <c r="C48" s="116">
        <f>IFERROR(INDEX('DRAFT 1'!$C:$C,MATCH($B48,'DRAFT 1'!$B:$B,0)),"")</f>
        <v/>
      </c>
      <c r="D48" s="116">
        <f>IFERROR(INDEX('DRAFT 1'!$D:$D,MATCH($B48,'DRAFT 1'!$B:$B,0)),"")</f>
        <v/>
      </c>
      <c r="E48" s="116">
        <f>IFERROR(INDEX('DRAFT 1'!$E:$E,MATCH($B48,'DRAFT 1'!$B:$B,0)),"")</f>
        <v/>
      </c>
      <c r="F48" s="116">
        <f>IFERROR(INDEX('DRAFT 1'!$F:$F,MATCH($B48,'DRAFT 1'!$B:$B,0)),"")</f>
        <v/>
      </c>
      <c r="G48" s="116">
        <f>IFERROR(INDEX('DRAFT 1'!$G:$G,MATCH($B48,'DRAFT 1'!$B:$B,0)),"")</f>
        <v/>
      </c>
      <c r="H48" s="116">
        <f>IFERROR(INDEX('DRAFT 1'!$H:$H,MATCH($B48,'DRAFT 1'!$B:$B,0)),"")</f>
        <v/>
      </c>
      <c r="I48" s="116" t="inlineStr">
        <is>
          <t>MUNDO VERDE</t>
        </is>
      </c>
      <c r="K48" s="116">
        <f>IFERROR(INDEX('DRAFT 1'!$AL:$AL,MATCH($B48,'DRAFT 1'!$B:$B,0)),"")</f>
        <v/>
      </c>
      <c r="L48" s="116">
        <f>IFERROR(INDEX('DRAFT 1'!$J:$J,MATCH($B48,'DRAFT 1'!$B:$B,0)),"")</f>
        <v/>
      </c>
      <c r="M48" s="116">
        <f>IFERROR(INDEX('DRAFT 1'!$K:$K,MATCH($B48,'DRAFT 1'!$B:$B,0)),"")</f>
        <v/>
      </c>
      <c r="N48" s="116" t="inlineStr">
        <is>
          <t>PROSPECT</t>
        </is>
      </c>
      <c r="P48" s="116">
        <f>IFERROR(INDEX('DRAFT 1'!$L:$L,MATCH($B48,'DRAFT 1'!$B:$B,0)),"")</f>
        <v/>
      </c>
      <c r="Q48" s="116">
        <f>IFERROR(INDEX('DRAFT 1'!$M:$M,MATCH($B48,'DRAFT 1'!$B:$B,0)),"")</f>
        <v/>
      </c>
      <c r="R48" s="116">
        <f>IFERROR(INDEX('DRAFT 1'!$N:$N,MATCH($B48,'DRAFT 1'!$B:$B,0)),"")</f>
        <v/>
      </c>
      <c r="S48" s="116">
        <f>IFERROR(INDEX('DRAFT 1'!$O:$O,MATCH($B48,'DRAFT 1'!$B:$B,0)),"")</f>
        <v/>
      </c>
      <c r="T48" s="116">
        <f>IFERROR(INDEX('DRAFT 1'!$P:$P,MATCH($B48,'DRAFT 1'!$B:$B,0)),"")</f>
        <v/>
      </c>
      <c r="U48" s="116">
        <f>IFERROR(INDEX('DRAFT 1'!$Q:$Q,MATCH($B48,'DRAFT 1'!$B:$B,0)),"")</f>
        <v/>
      </c>
      <c r="V48" s="116">
        <f>IFERROR(INDEX('DRAFT 1'!$R:$R,MATCH($B48,'DRAFT 1'!$B:$B,0)),"")</f>
        <v/>
      </c>
      <c r="W48" s="116">
        <f>IFERROR(INDEX('DRAFT 1'!$S:$S,MATCH($B48,'DRAFT 1'!$B:$B,0)),"")</f>
        <v/>
      </c>
      <c r="X48" s="116">
        <f>IFERROR(INDEX('DRAFT 1'!$T:$T,MATCH($B48,'DRAFT 1'!$B:$B,0)),"")</f>
        <v/>
      </c>
      <c r="Z48" s="116">
        <f>IFERROR(INDEX('DRAFT 1'!$U:$U,MATCH($B48,'DRAFT 1'!$B:$B,0)),"")</f>
        <v/>
      </c>
      <c r="AA48" s="116">
        <f>IFERROR(INDEX('DRAFT 1'!$V:$V,MATCH($B48,'DRAFT 1'!$B:$B,0)),"")</f>
        <v/>
      </c>
      <c r="AB48" s="116">
        <f>IFERROR(INDEX('DRAFT 1'!$W:$W,MATCH($B48,'DRAFT 1'!$B:$B,0)),"")</f>
        <v/>
      </c>
      <c r="AC48" s="116">
        <f>IFERROR(INDEX('DRAFT 1'!$X:$X,MATCH($B48,'DRAFT 1'!$B:$B,0)),"")</f>
        <v/>
      </c>
      <c r="AD48" s="116">
        <f>IFERROR(INDEX('DRAFT 1'!$Y:$Y,MATCH($B48,'DRAFT 1'!$B:$B,0)),"")</f>
        <v/>
      </c>
      <c r="AE48" s="116">
        <f>IFERROR(INDEX('DRAFT 1'!$Z:$Z,MATCH($B48,'DRAFT 1'!$B:$B,0)),"")</f>
        <v/>
      </c>
      <c r="AF48" s="116">
        <f>IFERROR(INDEX('DRAFT 1'!$AA:$AA,MATCH($B48,'DRAFT 1'!$B:$B,0)),"")</f>
        <v/>
      </c>
      <c r="AG48" s="116">
        <f>IFERROR(INDEX('DRAFT 1'!$AB:$AB,MATCH($B48,'DRAFT 1'!$B:$B,0)),"")</f>
        <v/>
      </c>
      <c r="AH48" s="116">
        <f>IFERROR(INDEX('DRAFT 1'!$AC:$AC,MATCH($B48,'DRAFT 1'!$B:$B,0)),"")</f>
        <v/>
      </c>
      <c r="AI48" s="116">
        <f>IFERROR(INDEX('DRAFT 1'!$AD:$AD,MATCH($B48,'DRAFT 1'!$B:$B,0)),"")</f>
        <v/>
      </c>
      <c r="AJ48" s="116">
        <f>IFERROR(INDEX('DRAFT 1'!$AE:$AE,MATCH($B48,'DRAFT 1'!$B:$B,0)),"")</f>
        <v/>
      </c>
      <c r="AK48" s="116">
        <f>IFERROR(INDEX('DRAFT 1'!$AG:$AG,MATCH($B48,'DRAFT 1'!$B:$B,0)),"")</f>
        <v/>
      </c>
      <c r="AL48" s="116">
        <f>IFERROR(INDEX('DRAFT 1'!$AH:$AH,MATCH($B48,'DRAFT 1'!$B:$B,0)),"")</f>
        <v/>
      </c>
      <c r="AM48" s="116">
        <f>IFERROR(INDEX('DRAFT 1'!$AI:$AI,MATCH($B48,'DRAFT 1'!$B:$B,0)),"")</f>
        <v/>
      </c>
      <c r="AN48" s="116">
        <f>IFERROR(INDEX('DRAFT 1'!$AJ:$AJ,MATCH($B48,'DRAFT 1'!$B:$B,0)),"")</f>
        <v/>
      </c>
      <c r="AO48" s="116">
        <f>IFERROR(Y48/AN48,0)</f>
        <v/>
      </c>
      <c r="AP48" s="116">
        <f>IFERROR(INDEX('DRAFT 1'!$AK:$AK,MATCH($B48,'DRAFT 1'!$B:$B,0)),"")</f>
        <v/>
      </c>
      <c r="AR48" s="116" t="inlineStr">
        <is>
          <t>RECOMPRA</t>
        </is>
      </c>
      <c r="AS48" s="116">
        <f>IFERROR(LOOKUP(2,1/('DRAFT 2'!$D:$D=$B48),'DRAFT 2'!$T:$T),"")</f>
        <v/>
      </c>
      <c r="AT48" s="116">
        <f>IFERROR(LOOKUP(2,1/('DRAFT 2'!$D:$D=$B48),'DRAFT 2'!$A:$A),"")</f>
        <v/>
      </c>
      <c r="AU48" s="116">
        <f>IFERROR(LOOKUP(2,1/('DRAFT 2'!$D:$D=$B48),'DRAFT 2'!$R:$R),"")</f>
        <v/>
      </c>
      <c r="AV48" s="116">
        <f>IFERROR(LOOKUP(2,1/('DRAFT 2'!$D:$D=$B48),'DRAFT 2'!$S:$S),"")</f>
        <v/>
      </c>
      <c r="AW48" s="116" t="inlineStr">
        <is>
          <t>PROSPECT</t>
        </is>
      </c>
      <c r="AX48" s="116">
        <f>IFERROR(LOOKUP(2,1/('DRAFT 2'!$D:$D=$B48),'DRAFT 2'!$M:$M),"")</f>
        <v/>
      </c>
      <c r="AY48" s="116">
        <f>IFERROR(LOOKUP(2,1/('DRAFT 2'!$D:$D=$B48),'DRAFT 2'!$K:$K),"")</f>
        <v/>
      </c>
      <c r="BG48" s="116">
        <f>IFERROR(LOOKUP(2,1/('DRAFT 2'!$D:$D=$B48),'DRAFT 2'!$U:$U),"")</f>
        <v/>
      </c>
      <c r="BH48" s="116">
        <f>IFERROR(LOOKUP(2,1/('DRAFT 2'!$D:$D=$B48),'DRAFT 2'!$V:$V),"")</f>
        <v/>
      </c>
      <c r="CE48" s="116">
        <f>IFERROR(AJ48,0)</f>
        <v/>
      </c>
      <c r="CF48" s="116">
        <f>IFERROR(LOOKUP(2,1/('DRAFT 2'!$D:$D=$B48)*('DRAFT 2'!$A:$A&gt;=DATE(2026,1,1))*('DRAFT 2'!$A:$A&lt;DATE(2026,IF(1=12,1+1,1+1),1)),'DRAFT 2'!$A:$A),"")</f>
        <v/>
      </c>
      <c r="CG48" s="116">
        <f>COUNTIFS('DRAFT 2'!$D:$D,$B48,'DRAFT 2'!$A:$A,"&gt;="&amp;DATE(2026,1,1),'DRAFT 2'!$A:$A,"&lt;="&amp;DATE(2026,1,7))</f>
        <v/>
      </c>
      <c r="CH48" s="116">
        <f>COUNTIFS('DRAFT 2'!$D:$D,$B48,'DRAFT 2'!$A:$A,"&gt;="&amp;DATE(2026,1,8),'DRAFT 2'!$A:$A,"&lt;="&amp;DATE(2026,1,14))</f>
        <v/>
      </c>
      <c r="CI48" s="116">
        <f>COUNTIFS('DRAFT 2'!$D:$D,$B48,'DRAFT 2'!$A:$A,"&gt;="&amp;DATE(2026,1,15),'DRAFT 2'!$A:$A,"&lt;="&amp;DATE(2026,1,21))</f>
        <v/>
      </c>
      <c r="CJ48" s="116">
        <f>COUNTIFS('DRAFT 2'!$D:$D,$B48,'DRAFT 2'!$A:$A,"&gt;="&amp;DATE(2026,1,22),'DRAFT 2'!$A:$A,"&lt;"&amp;DATE(2026,IF(1=12,1+1,1+1),1))</f>
        <v/>
      </c>
      <c r="CK48" s="116">
        <f>SUM(CG48:CJ48)</f>
        <v/>
      </c>
      <c r="CT48" s="116" t="n">
        <v>0</v>
      </c>
      <c r="CU48" s="116">
        <f>IFERROR(LOOKUP(2,1/('DRAFT 2'!$D:$D=$B48)*('DRAFT 2'!$A:$A&gt;=DATE(2026,2,1))*('DRAFT 2'!$A:$A&lt;DATE(2026,IF(2=12,2+1,2+1),1)),'DRAFT 2'!$A:$A),"")</f>
        <v/>
      </c>
      <c r="CV48" s="116">
        <f>COUNTIFS('DRAFT 2'!$D:$D,$B48,'DRAFT 2'!$A:$A,"&gt;="&amp;DATE(2026,2,1),'DRAFT 2'!$A:$A,"&lt;="&amp;DATE(2026,2,7))</f>
        <v/>
      </c>
      <c r="CW48" s="116">
        <f>COUNTIFS('DRAFT 2'!$D:$D,$B48,'DRAFT 2'!$A:$A,"&gt;="&amp;DATE(2026,2,8),'DRAFT 2'!$A:$A,"&lt;="&amp;DATE(2026,2,14))</f>
        <v/>
      </c>
      <c r="CX48" s="116">
        <f>COUNTIFS('DRAFT 2'!$D:$D,$B48,'DRAFT 2'!$A:$A,"&gt;="&amp;DATE(2026,2,15),'DRAFT 2'!$A:$A,"&lt;="&amp;DATE(2026,2,21))</f>
        <v/>
      </c>
      <c r="CY48" s="116">
        <f>COUNTIFS('DRAFT 2'!$D:$D,$B48,'DRAFT 2'!$A:$A,"&gt;="&amp;DATE(2026,2,22),'DRAFT 2'!$A:$A,"&lt;"&amp;DATE(2026,IF(2=12,2+1,2+1),1))</f>
        <v/>
      </c>
      <c r="CZ48" s="116">
        <f>SUM(CV48:CY48)</f>
        <v/>
      </c>
      <c r="DJ48" s="116">
        <f>IFERROR(LOOKUP(2,1/('DRAFT 2'!$D:$D=$B48)*('DRAFT 2'!$A:$A&gt;=DATE(2026,3,1))*('DRAFT 2'!$A:$A&lt;DATE(2026,IF(3=12,3+1,3+1),1)),'DRAFT 2'!$A:$A),"")</f>
        <v/>
      </c>
      <c r="DK48" s="116">
        <f>COUNTIFS('DRAFT 2'!$D:$D,$B48,'DRAFT 2'!$A:$A,"&gt;="&amp;DATE(2026,3,1),'DRAFT 2'!$A:$A,"&lt;="&amp;DATE(2026,3,7))</f>
        <v/>
      </c>
      <c r="DL48" s="116">
        <f>COUNTIFS('DRAFT 2'!$D:$D,$B48,'DRAFT 2'!$A:$A,"&gt;="&amp;DATE(2026,3,8),'DRAFT 2'!$A:$A,"&lt;="&amp;DATE(2026,3,14))</f>
        <v/>
      </c>
      <c r="DM48" s="116">
        <f>COUNTIFS('DRAFT 2'!$D:$D,$B48,'DRAFT 2'!$A:$A,"&gt;="&amp;DATE(2026,3,15),'DRAFT 2'!$A:$A,"&lt;="&amp;DATE(2026,3,21))</f>
        <v/>
      </c>
      <c r="DN48" s="116">
        <f>COUNTIFS('DRAFT 2'!$D:$D,$B48,'DRAFT 2'!$A:$A,"&gt;="&amp;DATE(2026,3,22),'DRAFT 2'!$A:$A,"&lt;"&amp;DATE(2026,IF(3=12,3+1,3+1),1))</f>
        <v/>
      </c>
      <c r="DO48" s="116">
        <f>SUM(DK48:DN48)</f>
        <v/>
      </c>
      <c r="DZ48" s="116">
        <f>IFERROR(LOOKUP(2,1/('DRAFT 2'!$D:$D=$B48)*('DRAFT 2'!$A:$A&gt;=DATE(2026,4,1))*('DRAFT 2'!$A:$A&lt;DATE(2026,IF(4=12,4+1,4+1),1)),'DRAFT 2'!$A:$A),"")</f>
        <v/>
      </c>
      <c r="EA48" s="116">
        <f>COUNTIFS('DRAFT 2'!$D:$D,$B48,'DRAFT 2'!$A:$A,"&gt;="&amp;DATE(2026,4,1),'DRAFT 2'!$A:$A,"&lt;="&amp;DATE(2026,4,7))</f>
        <v/>
      </c>
      <c r="EB48" s="116">
        <f>COUNTIFS('DRAFT 2'!$D:$D,$B48,'DRAFT 2'!$A:$A,"&gt;="&amp;DATE(2026,4,8),'DRAFT 2'!$A:$A,"&lt;="&amp;DATE(2026,4,14))</f>
        <v/>
      </c>
      <c r="EC48" s="116">
        <f>COUNTIFS('DRAFT 2'!$D:$D,$B48,'DRAFT 2'!$A:$A,"&gt;="&amp;DATE(2026,4,15),'DRAFT 2'!$A:$A,"&lt;="&amp;DATE(2026,4,21))</f>
        <v/>
      </c>
      <c r="ED48" s="116">
        <f>COUNTIFS('DRAFT 2'!$D:$D,$B48,'DRAFT 2'!$A:$A,"&gt;="&amp;DATE(2026,4,22),'DRAFT 2'!$A:$A,"&lt;"&amp;DATE(2026,IF(4=12,4+1,4+1),1))</f>
        <v/>
      </c>
      <c r="EE48" s="116">
        <f>SUM(EA48:ED48)</f>
        <v/>
      </c>
      <c r="EO48" s="116">
        <f>IFERROR(LOOKUP(2,1/('DRAFT 2'!$D:$D=$B48)*('DRAFT 2'!$A:$A&gt;=DATE(2026,5,1))*('DRAFT 2'!$A:$A&lt;DATE(2026,IF(5=12,5+1,5+1),1)),'DRAFT 2'!$A:$A),"")</f>
        <v/>
      </c>
      <c r="EP48" s="116">
        <f>COUNTIFS('DRAFT 2'!$D:$D,$B48,'DRAFT 2'!$A:$A,"&gt;="&amp;DATE(2026,5,1),'DRAFT 2'!$A:$A,"&lt;="&amp;DATE(2026,5,7))</f>
        <v/>
      </c>
      <c r="EQ48" s="116">
        <f>COUNTIFS('DRAFT 2'!$D:$D,$B48,'DRAFT 2'!$A:$A,"&gt;="&amp;DATE(2026,5,8),'DRAFT 2'!$A:$A,"&lt;="&amp;DATE(2026,5,14))</f>
        <v/>
      </c>
      <c r="ER48" s="116">
        <f>COUNTIFS('DRAFT 2'!$D:$D,$B48,'DRAFT 2'!$A:$A,"&gt;="&amp;DATE(2026,5,15),'DRAFT 2'!$A:$A,"&lt;="&amp;DATE(2026,5,21))</f>
        <v/>
      </c>
      <c r="ES48" s="116">
        <f>COUNTIFS('DRAFT 2'!$D:$D,$B48,'DRAFT 2'!$A:$A,"&gt;="&amp;DATE(2026,5,22),'DRAFT 2'!$A:$A,"&lt;"&amp;DATE(2026,IF(5=12,5+1,5+1),1))</f>
        <v/>
      </c>
      <c r="ET48" s="116">
        <f>SUM(EP48:ES48)</f>
        <v/>
      </c>
      <c r="FD48" s="116">
        <f>IFERROR(LOOKUP(2,1/('DRAFT 2'!$D:$D=$B48)*('DRAFT 2'!$A:$A&gt;=DATE(2026,6,1))*('DRAFT 2'!$A:$A&lt;DATE(2026,IF(6=12,6+1,6+1),1)),'DRAFT 2'!$A:$A),"")</f>
        <v/>
      </c>
      <c r="FE48" s="116">
        <f>COUNTIFS('DRAFT 2'!$D:$D,$B48,'DRAFT 2'!$A:$A,"&gt;="&amp;DATE(2026,6,1),'DRAFT 2'!$A:$A,"&lt;="&amp;DATE(2026,6,7))</f>
        <v/>
      </c>
      <c r="FF48" s="116">
        <f>COUNTIFS('DRAFT 2'!$D:$D,$B48,'DRAFT 2'!$A:$A,"&gt;="&amp;DATE(2026,6,8),'DRAFT 2'!$A:$A,"&lt;="&amp;DATE(2026,6,14))</f>
        <v/>
      </c>
      <c r="FG48" s="116">
        <f>COUNTIFS('DRAFT 2'!$D:$D,$B48,'DRAFT 2'!$A:$A,"&gt;="&amp;DATE(2026,6,15),'DRAFT 2'!$A:$A,"&lt;="&amp;DATE(2026,6,21))</f>
        <v/>
      </c>
      <c r="FH48" s="116">
        <f>COUNTIFS('DRAFT 2'!$D:$D,$B48,'DRAFT 2'!$A:$A,"&gt;="&amp;DATE(2026,6,22),'DRAFT 2'!$A:$A,"&lt;"&amp;DATE(2026,IF(6=12,6+1,6+1),1))</f>
        <v/>
      </c>
      <c r="FI48" s="116">
        <f>SUM(FE48:FH48)</f>
        <v/>
      </c>
      <c r="FT48" s="116">
        <f>IFERROR(LOOKUP(2,1/('DRAFT 2'!$D:$D=$B48)*('DRAFT 2'!$A:$A&gt;=DATE(2026,7,1))*('DRAFT 2'!$A:$A&lt;DATE(2026,IF(7=12,7+1,7+1),1)),'DRAFT 2'!$A:$A),"")</f>
        <v/>
      </c>
      <c r="FU48" s="116">
        <f>COUNTIFS('DRAFT 2'!$D:$D,$B48,'DRAFT 2'!$A:$A,"&gt;="&amp;DATE(2026,7,1),'DRAFT 2'!$A:$A,"&lt;="&amp;DATE(2026,7,7))</f>
        <v/>
      </c>
      <c r="FV48" s="116">
        <f>COUNTIFS('DRAFT 2'!$D:$D,$B48,'DRAFT 2'!$A:$A,"&gt;="&amp;DATE(2026,7,8),'DRAFT 2'!$A:$A,"&lt;="&amp;DATE(2026,7,14))</f>
        <v/>
      </c>
      <c r="FW48" s="116">
        <f>COUNTIFS('DRAFT 2'!$D:$D,$B48,'DRAFT 2'!$A:$A,"&gt;="&amp;DATE(2026,7,15),'DRAFT 2'!$A:$A,"&lt;="&amp;DATE(2026,7,21))</f>
        <v/>
      </c>
      <c r="FX48" s="116">
        <f>COUNTIFS('DRAFT 2'!$D:$D,$B48,'DRAFT 2'!$A:$A,"&gt;="&amp;DATE(2026,7,22),'DRAFT 2'!$A:$A,"&lt;"&amp;DATE(2026,IF(7=12,7+1,7+1),1))</f>
        <v/>
      </c>
      <c r="FY48" s="116">
        <f>SUM(FU48:FX48)</f>
        <v/>
      </c>
      <c r="GI48" s="116">
        <f>IFERROR(LOOKUP(2,1/('DRAFT 2'!$D:$D=$B48)*('DRAFT 2'!$A:$A&gt;=DATE(2026,8,1))*('DRAFT 2'!$A:$A&lt;DATE(2026,IF(8=12,8+1,8+1),1)),'DRAFT 2'!$A:$A),"")</f>
        <v/>
      </c>
      <c r="GJ48" s="116">
        <f>COUNTIFS('DRAFT 2'!$D:$D,$B48,'DRAFT 2'!$A:$A,"&gt;="&amp;DATE(2026,8,1),'DRAFT 2'!$A:$A,"&lt;="&amp;DATE(2026,8,7))</f>
        <v/>
      </c>
      <c r="GK48" s="116">
        <f>COUNTIFS('DRAFT 2'!$D:$D,$B48,'DRAFT 2'!$A:$A,"&gt;="&amp;DATE(2026,8,8),'DRAFT 2'!$A:$A,"&lt;="&amp;DATE(2026,8,14))</f>
        <v/>
      </c>
      <c r="GL48" s="116">
        <f>COUNTIFS('DRAFT 2'!$D:$D,$B48,'DRAFT 2'!$A:$A,"&gt;="&amp;DATE(2026,8,15),'DRAFT 2'!$A:$A,"&lt;="&amp;DATE(2026,8,21))</f>
        <v/>
      </c>
      <c r="GM48" s="116">
        <f>COUNTIFS('DRAFT 2'!$D:$D,$B48,'DRAFT 2'!$A:$A,"&gt;="&amp;DATE(2026,8,22),'DRAFT 2'!$A:$A,"&lt;"&amp;DATE(2026,IF(8=12,8+1,8+1),1))</f>
        <v/>
      </c>
      <c r="GN48" s="116">
        <f>SUM(GJ48:GM48)</f>
        <v/>
      </c>
      <c r="GX48" s="116">
        <f>IFERROR(LOOKUP(2,1/('DRAFT 2'!$D:$D=$B48)*('DRAFT 2'!$A:$A&gt;=DATE(2026,9,1))*('DRAFT 2'!$A:$A&lt;DATE(2026,IF(9=12,9+1,9+1),1)),'DRAFT 2'!$A:$A),"")</f>
        <v/>
      </c>
      <c r="GY48" s="116">
        <f>COUNTIFS('DRAFT 2'!$D:$D,$B48,'DRAFT 2'!$A:$A,"&gt;="&amp;DATE(2026,9,1),'DRAFT 2'!$A:$A,"&lt;="&amp;DATE(2026,9,7))</f>
        <v/>
      </c>
      <c r="GZ48" s="116">
        <f>COUNTIFS('DRAFT 2'!$D:$D,$B48,'DRAFT 2'!$A:$A,"&gt;="&amp;DATE(2026,9,8),'DRAFT 2'!$A:$A,"&lt;="&amp;DATE(2026,9,14))</f>
        <v/>
      </c>
      <c r="HA48" s="116">
        <f>COUNTIFS('DRAFT 2'!$D:$D,$B48,'DRAFT 2'!$A:$A,"&gt;="&amp;DATE(2026,9,15),'DRAFT 2'!$A:$A,"&lt;="&amp;DATE(2026,9,21))</f>
        <v/>
      </c>
      <c r="HB48" s="116">
        <f>COUNTIFS('DRAFT 2'!$D:$D,$B48,'DRAFT 2'!$A:$A,"&gt;="&amp;DATE(2026,9,22),'DRAFT 2'!$A:$A,"&lt;"&amp;DATE(2026,IF(9=12,9+1,9+1),1))</f>
        <v/>
      </c>
      <c r="HC48" s="116">
        <f>SUM(GY48:HB48)</f>
        <v/>
      </c>
      <c r="HN48" s="116">
        <f>IFERROR(LOOKUP(2,1/('DRAFT 2'!$D:$D=$B48)*('DRAFT 2'!$A:$A&gt;=DATE(2026,10,1))*('DRAFT 2'!$A:$A&lt;DATE(2026,IF(10=12,10+1,10+1),1)),'DRAFT 2'!$A:$A),"")</f>
        <v/>
      </c>
      <c r="HO48" s="116">
        <f>COUNTIFS('DRAFT 2'!$D:$D,$B48,'DRAFT 2'!$A:$A,"&gt;="&amp;DATE(2026,10,1),'DRAFT 2'!$A:$A,"&lt;="&amp;DATE(2026,10,7))</f>
        <v/>
      </c>
      <c r="HP48" s="116">
        <f>COUNTIFS('DRAFT 2'!$D:$D,$B48,'DRAFT 2'!$A:$A,"&gt;="&amp;DATE(2026,10,8),'DRAFT 2'!$A:$A,"&lt;="&amp;DATE(2026,10,14))</f>
        <v/>
      </c>
      <c r="HQ48" s="116">
        <f>COUNTIFS('DRAFT 2'!$D:$D,$B48,'DRAFT 2'!$A:$A,"&gt;="&amp;DATE(2026,10,15),'DRAFT 2'!$A:$A,"&lt;="&amp;DATE(2026,10,21))</f>
        <v/>
      </c>
      <c r="HR48" s="116">
        <f>COUNTIFS('DRAFT 2'!$D:$D,$B48,'DRAFT 2'!$A:$A,"&gt;="&amp;DATE(2026,10,22),'DRAFT 2'!$A:$A,"&lt;"&amp;DATE(2026,IF(10=12,10+1,10+1),1))</f>
        <v/>
      </c>
      <c r="HS48" s="116">
        <f>SUM(HO48:HR48)</f>
        <v/>
      </c>
      <c r="IC48" s="116">
        <f>IFERROR(LOOKUP(2,1/('DRAFT 2'!$D:$D=$B48)*('DRAFT 2'!$A:$A&gt;=DATE(2026,11,1))*('DRAFT 2'!$A:$A&lt;DATE(2026,IF(11=12,11+1,11+1),1)),'DRAFT 2'!$A:$A),"")</f>
        <v/>
      </c>
      <c r="ID48" s="116">
        <f>COUNTIFS('DRAFT 2'!$D:$D,$B48,'DRAFT 2'!$A:$A,"&gt;="&amp;DATE(2026,11,1),'DRAFT 2'!$A:$A,"&lt;="&amp;DATE(2026,11,7))</f>
        <v/>
      </c>
      <c r="IE48" s="116">
        <f>COUNTIFS('DRAFT 2'!$D:$D,$B48,'DRAFT 2'!$A:$A,"&gt;="&amp;DATE(2026,11,8),'DRAFT 2'!$A:$A,"&lt;="&amp;DATE(2026,11,14))</f>
        <v/>
      </c>
      <c r="IF48" s="116">
        <f>COUNTIFS('DRAFT 2'!$D:$D,$B48,'DRAFT 2'!$A:$A,"&gt;="&amp;DATE(2026,11,15),'DRAFT 2'!$A:$A,"&lt;="&amp;DATE(2026,11,21))</f>
        <v/>
      </c>
      <c r="IG48" s="116">
        <f>COUNTIFS('DRAFT 2'!$D:$D,$B48,'DRAFT 2'!$A:$A,"&gt;="&amp;DATE(2026,11,22),'DRAFT 2'!$A:$A,"&lt;"&amp;DATE(2026,IF(11=12,11+1,11+1),1))</f>
        <v/>
      </c>
      <c r="IH48" s="116">
        <f>SUM(ID48:IG48)</f>
        <v/>
      </c>
      <c r="IR48" s="116">
        <f>IFERROR(LOOKUP(2,1/('DRAFT 2'!$D:$D=$B48)*('DRAFT 2'!$A:$A&gt;=DATE(2026,12,1))*('DRAFT 2'!$A:$A&lt;DATE(2026,IF(12=12,12+1,12+1),1)),'DRAFT 2'!$A:$A),"")</f>
        <v/>
      </c>
      <c r="IS48" s="116">
        <f>COUNTIFS('DRAFT 2'!$D:$D,$B48,'DRAFT 2'!$A:$A,"&gt;="&amp;DATE(2026,12,1),'DRAFT 2'!$A:$A,"&lt;="&amp;DATE(2026,12,7))</f>
        <v/>
      </c>
      <c r="IT48" s="116">
        <f>COUNTIFS('DRAFT 2'!$D:$D,$B48,'DRAFT 2'!$A:$A,"&gt;="&amp;DATE(2026,12,8),'DRAFT 2'!$A:$A,"&lt;="&amp;DATE(2026,12,14))</f>
        <v/>
      </c>
      <c r="IU48" s="116">
        <f>COUNTIFS('DRAFT 2'!$D:$D,$B48,'DRAFT 2'!$A:$A,"&gt;="&amp;DATE(2026,12,15),'DRAFT 2'!$A:$A,"&lt;="&amp;DATE(2026,12,21))</f>
        <v/>
      </c>
      <c r="IV48" s="116">
        <f>COUNTIFS('DRAFT 2'!$D:$D,$B48,'DRAFT 2'!$A:$A,"&gt;="&amp;DATE(2026,12,22),'DRAFT 2'!$A:$A,"&lt;"&amp;DATE(2026,IF(12=12,12+1,12+1),1))</f>
        <v/>
      </c>
      <c r="IW48" s="116">
        <f>SUM(IS48:IV48)</f>
        <v/>
      </c>
    </row>
    <row r="49">
      <c r="A49" s="116">
        <f>IFERROR(INDEX('DRAFT 1'!$A:$A,MATCH($B49,'DRAFT 1'!$B:$B,0)),"")</f>
        <v/>
      </c>
      <c r="C49" s="116">
        <f>IFERROR(INDEX('DRAFT 1'!$C:$C,MATCH($B49,'DRAFT 1'!$B:$B,0)),"")</f>
        <v/>
      </c>
      <c r="D49" s="116">
        <f>IFERROR(INDEX('DRAFT 1'!$D:$D,MATCH($B49,'DRAFT 1'!$B:$B,0)),"")</f>
        <v/>
      </c>
      <c r="E49" s="116">
        <f>IFERROR(INDEX('DRAFT 1'!$E:$E,MATCH($B49,'DRAFT 1'!$B:$B,0)),"")</f>
        <v/>
      </c>
      <c r="F49" s="116">
        <f>IFERROR(INDEX('DRAFT 1'!$F:$F,MATCH($B49,'DRAFT 1'!$B:$B,0)),"")</f>
        <v/>
      </c>
      <c r="G49" s="116">
        <f>IFERROR(INDEX('DRAFT 1'!$G:$G,MATCH($B49,'DRAFT 1'!$B:$B,0)),"")</f>
        <v/>
      </c>
      <c r="H49" s="116">
        <f>IFERROR(INDEX('DRAFT 1'!$H:$H,MATCH($B49,'DRAFT 1'!$B:$B,0)),"")</f>
        <v/>
      </c>
      <c r="I49" s="116" t="inlineStr">
        <is>
          <t>DEMAIS CLIENTES</t>
        </is>
      </c>
      <c r="K49" s="116">
        <f>IFERROR(INDEX('DRAFT 1'!$AL:$AL,MATCH($B49,'DRAFT 1'!$B:$B,0)),"")</f>
        <v/>
      </c>
      <c r="L49" s="116">
        <f>IFERROR(INDEX('DRAFT 1'!$J:$J,MATCH($B49,'DRAFT 1'!$B:$B,0)),"")</f>
        <v/>
      </c>
      <c r="M49" s="116">
        <f>IFERROR(INDEX('DRAFT 1'!$K:$K,MATCH($B49,'DRAFT 1'!$B:$B,0)),"")</f>
        <v/>
      </c>
      <c r="N49" s="116" t="inlineStr">
        <is>
          <t>INAT.REC</t>
        </is>
      </c>
      <c r="P49" s="116">
        <f>IFERROR(INDEX('DRAFT 1'!$L:$L,MATCH($B49,'DRAFT 1'!$B:$B,0)),"")</f>
        <v/>
      </c>
      <c r="Q49" s="116">
        <f>IFERROR(INDEX('DRAFT 1'!$M:$M,MATCH($B49,'DRAFT 1'!$B:$B,0)),"")</f>
        <v/>
      </c>
      <c r="R49" s="116">
        <f>IFERROR(INDEX('DRAFT 1'!$N:$N,MATCH($B49,'DRAFT 1'!$B:$B,0)),"")</f>
        <v/>
      </c>
      <c r="S49" s="116">
        <f>IFERROR(INDEX('DRAFT 1'!$O:$O,MATCH($B49,'DRAFT 1'!$B:$B,0)),"")</f>
        <v/>
      </c>
      <c r="T49" s="116">
        <f>IFERROR(INDEX('DRAFT 1'!$P:$P,MATCH($B49,'DRAFT 1'!$B:$B,0)),"")</f>
        <v/>
      </c>
      <c r="U49" s="116">
        <f>IFERROR(INDEX('DRAFT 1'!$Q:$Q,MATCH($B49,'DRAFT 1'!$B:$B,0)),"")</f>
        <v/>
      </c>
      <c r="V49" s="116">
        <f>IFERROR(INDEX('DRAFT 1'!$R:$R,MATCH($B49,'DRAFT 1'!$B:$B,0)),"")</f>
        <v/>
      </c>
      <c r="W49" s="116">
        <f>IFERROR(INDEX('DRAFT 1'!$S:$S,MATCH($B49,'DRAFT 1'!$B:$B,0)),"")</f>
        <v/>
      </c>
      <c r="X49" s="116">
        <f>IFERROR(INDEX('DRAFT 1'!$T:$T,MATCH($B49,'DRAFT 1'!$B:$B,0)),"")</f>
        <v/>
      </c>
      <c r="Z49" s="116">
        <f>IFERROR(INDEX('DRAFT 1'!$U:$U,MATCH($B49,'DRAFT 1'!$B:$B,0)),"")</f>
        <v/>
      </c>
      <c r="AA49" s="116">
        <f>IFERROR(INDEX('DRAFT 1'!$V:$V,MATCH($B49,'DRAFT 1'!$B:$B,0)),"")</f>
        <v/>
      </c>
      <c r="AB49" s="116">
        <f>IFERROR(INDEX('DRAFT 1'!$W:$W,MATCH($B49,'DRAFT 1'!$B:$B,0)),"")</f>
        <v/>
      </c>
      <c r="AC49" s="116">
        <f>IFERROR(INDEX('DRAFT 1'!$X:$X,MATCH($B49,'DRAFT 1'!$B:$B,0)),"")</f>
        <v/>
      </c>
      <c r="AD49" s="116">
        <f>IFERROR(INDEX('DRAFT 1'!$Y:$Y,MATCH($B49,'DRAFT 1'!$B:$B,0)),"")</f>
        <v/>
      </c>
      <c r="AE49" s="116">
        <f>IFERROR(INDEX('DRAFT 1'!$Z:$Z,MATCH($B49,'DRAFT 1'!$B:$B,0)),"")</f>
        <v/>
      </c>
      <c r="AF49" s="116">
        <f>IFERROR(INDEX('DRAFT 1'!$AA:$AA,MATCH($B49,'DRAFT 1'!$B:$B,0)),"")</f>
        <v/>
      </c>
      <c r="AG49" s="116">
        <f>IFERROR(INDEX('DRAFT 1'!$AB:$AB,MATCH($B49,'DRAFT 1'!$B:$B,0)),"")</f>
        <v/>
      </c>
      <c r="AH49" s="116">
        <f>IFERROR(INDEX('DRAFT 1'!$AC:$AC,MATCH($B49,'DRAFT 1'!$B:$B,0)),"")</f>
        <v/>
      </c>
      <c r="AI49" s="116">
        <f>IFERROR(INDEX('DRAFT 1'!$AD:$AD,MATCH($B49,'DRAFT 1'!$B:$B,0)),"")</f>
        <v/>
      </c>
      <c r="AJ49" s="116">
        <f>IFERROR(INDEX('DRAFT 1'!$AE:$AE,MATCH($B49,'DRAFT 1'!$B:$B,0)),"")</f>
        <v/>
      </c>
      <c r="AK49" s="116">
        <f>IFERROR(INDEX('DRAFT 1'!$AG:$AG,MATCH($B49,'DRAFT 1'!$B:$B,0)),"")</f>
        <v/>
      </c>
      <c r="AL49" s="116">
        <f>IFERROR(INDEX('DRAFT 1'!$AH:$AH,MATCH($B49,'DRAFT 1'!$B:$B,0)),"")</f>
        <v/>
      </c>
      <c r="AM49" s="116">
        <f>IFERROR(INDEX('DRAFT 1'!$AI:$AI,MATCH($B49,'DRAFT 1'!$B:$B,0)),"")</f>
        <v/>
      </c>
      <c r="AN49" s="116">
        <f>IFERROR(INDEX('DRAFT 1'!$AJ:$AJ,MATCH($B49,'DRAFT 1'!$B:$B,0)),"")</f>
        <v/>
      </c>
      <c r="AO49" s="116">
        <f>IFERROR(Y49/AN49,0)</f>
        <v/>
      </c>
      <c r="AP49" s="116">
        <f>IFERROR(INDEX('DRAFT 1'!$AK:$AK,MATCH($B49,'DRAFT 1'!$B:$B,0)),"")</f>
        <v/>
      </c>
      <c r="AR49" s="116" t="inlineStr">
        <is>
          <t>RECUPERAÇÃO</t>
        </is>
      </c>
      <c r="AS49" s="116">
        <f>IFERROR(LOOKUP(2,1/('DRAFT 2'!$D:$D=$B49),'DRAFT 2'!$T:$T),"")</f>
        <v/>
      </c>
      <c r="AT49" s="116">
        <f>IFERROR(LOOKUP(2,1/('DRAFT 2'!$D:$D=$B49),'DRAFT 2'!$A:$A),"")</f>
        <v/>
      </c>
      <c r="AU49" s="116">
        <f>IFERROR(LOOKUP(2,1/('DRAFT 2'!$D:$D=$B49),'DRAFT 2'!$R:$R),"")</f>
        <v/>
      </c>
      <c r="AV49" s="116">
        <f>IFERROR(LOOKUP(2,1/('DRAFT 2'!$D:$D=$B49),'DRAFT 2'!$S:$S),"")</f>
        <v/>
      </c>
      <c r="AW49" s="116" t="inlineStr">
        <is>
          <t>EM DESENVOLVIMENTO</t>
        </is>
      </c>
      <c r="AX49" s="116">
        <f>IFERROR(LOOKUP(2,1/('DRAFT 2'!$D:$D=$B49),'DRAFT 2'!$M:$M),"")</f>
        <v/>
      </c>
      <c r="AY49" s="116">
        <f>IFERROR(LOOKUP(2,1/('DRAFT 2'!$D:$D=$B49),'DRAFT 2'!$K:$K),"")</f>
        <v/>
      </c>
      <c r="BG49" s="116">
        <f>IFERROR(LOOKUP(2,1/('DRAFT 2'!$D:$D=$B49),'DRAFT 2'!$U:$U),"")</f>
        <v/>
      </c>
      <c r="BH49" s="116">
        <f>IFERROR(LOOKUP(2,1/('DRAFT 2'!$D:$D=$B49),'DRAFT 2'!$V:$V),"")</f>
        <v/>
      </c>
      <c r="CE49" s="116">
        <f>IFERROR(AJ49,0)</f>
        <v/>
      </c>
      <c r="CF49" s="116">
        <f>IFERROR(LOOKUP(2,1/('DRAFT 2'!$D:$D=$B49)*('DRAFT 2'!$A:$A&gt;=DATE(2026,1,1))*('DRAFT 2'!$A:$A&lt;DATE(2026,IF(1=12,1+1,1+1),1)),'DRAFT 2'!$A:$A),"")</f>
        <v/>
      </c>
      <c r="CG49" s="116">
        <f>COUNTIFS('DRAFT 2'!$D:$D,$B49,'DRAFT 2'!$A:$A,"&gt;="&amp;DATE(2026,1,1),'DRAFT 2'!$A:$A,"&lt;="&amp;DATE(2026,1,7))</f>
        <v/>
      </c>
      <c r="CH49" s="116">
        <f>COUNTIFS('DRAFT 2'!$D:$D,$B49,'DRAFT 2'!$A:$A,"&gt;="&amp;DATE(2026,1,8),'DRAFT 2'!$A:$A,"&lt;="&amp;DATE(2026,1,14))</f>
        <v/>
      </c>
      <c r="CI49" s="116">
        <f>COUNTIFS('DRAFT 2'!$D:$D,$B49,'DRAFT 2'!$A:$A,"&gt;="&amp;DATE(2026,1,15),'DRAFT 2'!$A:$A,"&lt;="&amp;DATE(2026,1,21))</f>
        <v/>
      </c>
      <c r="CJ49" s="116">
        <f>COUNTIFS('DRAFT 2'!$D:$D,$B49,'DRAFT 2'!$A:$A,"&gt;="&amp;DATE(2026,1,22),'DRAFT 2'!$A:$A,"&lt;"&amp;DATE(2026,IF(1=12,1+1,1+1),1))</f>
        <v/>
      </c>
      <c r="CK49" s="116">
        <f>SUM(CG49:CJ49)</f>
        <v/>
      </c>
      <c r="CT49" s="116" t="n">
        <v>0</v>
      </c>
      <c r="CU49" s="116">
        <f>IFERROR(LOOKUP(2,1/('DRAFT 2'!$D:$D=$B49)*('DRAFT 2'!$A:$A&gt;=DATE(2026,2,1))*('DRAFT 2'!$A:$A&lt;DATE(2026,IF(2=12,2+1,2+1),1)),'DRAFT 2'!$A:$A),"")</f>
        <v/>
      </c>
      <c r="CV49" s="116">
        <f>COUNTIFS('DRAFT 2'!$D:$D,$B49,'DRAFT 2'!$A:$A,"&gt;="&amp;DATE(2026,2,1),'DRAFT 2'!$A:$A,"&lt;="&amp;DATE(2026,2,7))</f>
        <v/>
      </c>
      <c r="CW49" s="116">
        <f>COUNTIFS('DRAFT 2'!$D:$D,$B49,'DRAFT 2'!$A:$A,"&gt;="&amp;DATE(2026,2,8),'DRAFT 2'!$A:$A,"&lt;="&amp;DATE(2026,2,14))</f>
        <v/>
      </c>
      <c r="CX49" s="116">
        <f>COUNTIFS('DRAFT 2'!$D:$D,$B49,'DRAFT 2'!$A:$A,"&gt;="&amp;DATE(2026,2,15),'DRAFT 2'!$A:$A,"&lt;="&amp;DATE(2026,2,21))</f>
        <v/>
      </c>
      <c r="CY49" s="116">
        <f>COUNTIFS('DRAFT 2'!$D:$D,$B49,'DRAFT 2'!$A:$A,"&gt;="&amp;DATE(2026,2,22),'DRAFT 2'!$A:$A,"&lt;"&amp;DATE(2026,IF(2=12,2+1,2+1),1))</f>
        <v/>
      </c>
      <c r="CZ49" s="116">
        <f>SUM(CV49:CY49)</f>
        <v/>
      </c>
      <c r="DJ49" s="116">
        <f>IFERROR(LOOKUP(2,1/('DRAFT 2'!$D:$D=$B49)*('DRAFT 2'!$A:$A&gt;=DATE(2026,3,1))*('DRAFT 2'!$A:$A&lt;DATE(2026,IF(3=12,3+1,3+1),1)),'DRAFT 2'!$A:$A),"")</f>
        <v/>
      </c>
      <c r="DK49" s="116">
        <f>COUNTIFS('DRAFT 2'!$D:$D,$B49,'DRAFT 2'!$A:$A,"&gt;="&amp;DATE(2026,3,1),'DRAFT 2'!$A:$A,"&lt;="&amp;DATE(2026,3,7))</f>
        <v/>
      </c>
      <c r="DL49" s="116">
        <f>COUNTIFS('DRAFT 2'!$D:$D,$B49,'DRAFT 2'!$A:$A,"&gt;="&amp;DATE(2026,3,8),'DRAFT 2'!$A:$A,"&lt;="&amp;DATE(2026,3,14))</f>
        <v/>
      </c>
      <c r="DM49" s="116">
        <f>COUNTIFS('DRAFT 2'!$D:$D,$B49,'DRAFT 2'!$A:$A,"&gt;="&amp;DATE(2026,3,15),'DRAFT 2'!$A:$A,"&lt;="&amp;DATE(2026,3,21))</f>
        <v/>
      </c>
      <c r="DN49" s="116">
        <f>COUNTIFS('DRAFT 2'!$D:$D,$B49,'DRAFT 2'!$A:$A,"&gt;="&amp;DATE(2026,3,22),'DRAFT 2'!$A:$A,"&lt;"&amp;DATE(2026,IF(3=12,3+1,3+1),1))</f>
        <v/>
      </c>
      <c r="DO49" s="116">
        <f>SUM(DK49:DN49)</f>
        <v/>
      </c>
      <c r="DZ49" s="116">
        <f>IFERROR(LOOKUP(2,1/('DRAFT 2'!$D:$D=$B49)*('DRAFT 2'!$A:$A&gt;=DATE(2026,4,1))*('DRAFT 2'!$A:$A&lt;DATE(2026,IF(4=12,4+1,4+1),1)),'DRAFT 2'!$A:$A),"")</f>
        <v/>
      </c>
      <c r="EA49" s="116">
        <f>COUNTIFS('DRAFT 2'!$D:$D,$B49,'DRAFT 2'!$A:$A,"&gt;="&amp;DATE(2026,4,1),'DRAFT 2'!$A:$A,"&lt;="&amp;DATE(2026,4,7))</f>
        <v/>
      </c>
      <c r="EB49" s="116">
        <f>COUNTIFS('DRAFT 2'!$D:$D,$B49,'DRAFT 2'!$A:$A,"&gt;="&amp;DATE(2026,4,8),'DRAFT 2'!$A:$A,"&lt;="&amp;DATE(2026,4,14))</f>
        <v/>
      </c>
      <c r="EC49" s="116">
        <f>COUNTIFS('DRAFT 2'!$D:$D,$B49,'DRAFT 2'!$A:$A,"&gt;="&amp;DATE(2026,4,15),'DRAFT 2'!$A:$A,"&lt;="&amp;DATE(2026,4,21))</f>
        <v/>
      </c>
      <c r="ED49" s="116">
        <f>COUNTIFS('DRAFT 2'!$D:$D,$B49,'DRAFT 2'!$A:$A,"&gt;="&amp;DATE(2026,4,22),'DRAFT 2'!$A:$A,"&lt;"&amp;DATE(2026,IF(4=12,4+1,4+1),1))</f>
        <v/>
      </c>
      <c r="EE49" s="116">
        <f>SUM(EA49:ED49)</f>
        <v/>
      </c>
      <c r="EO49" s="116">
        <f>IFERROR(LOOKUP(2,1/('DRAFT 2'!$D:$D=$B49)*('DRAFT 2'!$A:$A&gt;=DATE(2026,5,1))*('DRAFT 2'!$A:$A&lt;DATE(2026,IF(5=12,5+1,5+1),1)),'DRAFT 2'!$A:$A),"")</f>
        <v/>
      </c>
      <c r="EP49" s="116">
        <f>COUNTIFS('DRAFT 2'!$D:$D,$B49,'DRAFT 2'!$A:$A,"&gt;="&amp;DATE(2026,5,1),'DRAFT 2'!$A:$A,"&lt;="&amp;DATE(2026,5,7))</f>
        <v/>
      </c>
      <c r="EQ49" s="116">
        <f>COUNTIFS('DRAFT 2'!$D:$D,$B49,'DRAFT 2'!$A:$A,"&gt;="&amp;DATE(2026,5,8),'DRAFT 2'!$A:$A,"&lt;="&amp;DATE(2026,5,14))</f>
        <v/>
      </c>
      <c r="ER49" s="116">
        <f>COUNTIFS('DRAFT 2'!$D:$D,$B49,'DRAFT 2'!$A:$A,"&gt;="&amp;DATE(2026,5,15),'DRAFT 2'!$A:$A,"&lt;="&amp;DATE(2026,5,21))</f>
        <v/>
      </c>
      <c r="ES49" s="116">
        <f>COUNTIFS('DRAFT 2'!$D:$D,$B49,'DRAFT 2'!$A:$A,"&gt;="&amp;DATE(2026,5,22),'DRAFT 2'!$A:$A,"&lt;"&amp;DATE(2026,IF(5=12,5+1,5+1),1))</f>
        <v/>
      </c>
      <c r="ET49" s="116">
        <f>SUM(EP49:ES49)</f>
        <v/>
      </c>
      <c r="FD49" s="116">
        <f>IFERROR(LOOKUP(2,1/('DRAFT 2'!$D:$D=$B49)*('DRAFT 2'!$A:$A&gt;=DATE(2026,6,1))*('DRAFT 2'!$A:$A&lt;DATE(2026,IF(6=12,6+1,6+1),1)),'DRAFT 2'!$A:$A),"")</f>
        <v/>
      </c>
      <c r="FE49" s="116">
        <f>COUNTIFS('DRAFT 2'!$D:$D,$B49,'DRAFT 2'!$A:$A,"&gt;="&amp;DATE(2026,6,1),'DRAFT 2'!$A:$A,"&lt;="&amp;DATE(2026,6,7))</f>
        <v/>
      </c>
      <c r="FF49" s="116">
        <f>COUNTIFS('DRAFT 2'!$D:$D,$B49,'DRAFT 2'!$A:$A,"&gt;="&amp;DATE(2026,6,8),'DRAFT 2'!$A:$A,"&lt;="&amp;DATE(2026,6,14))</f>
        <v/>
      </c>
      <c r="FG49" s="116">
        <f>COUNTIFS('DRAFT 2'!$D:$D,$B49,'DRAFT 2'!$A:$A,"&gt;="&amp;DATE(2026,6,15),'DRAFT 2'!$A:$A,"&lt;="&amp;DATE(2026,6,21))</f>
        <v/>
      </c>
      <c r="FH49" s="116">
        <f>COUNTIFS('DRAFT 2'!$D:$D,$B49,'DRAFT 2'!$A:$A,"&gt;="&amp;DATE(2026,6,22),'DRAFT 2'!$A:$A,"&lt;"&amp;DATE(2026,IF(6=12,6+1,6+1),1))</f>
        <v/>
      </c>
      <c r="FI49" s="116">
        <f>SUM(FE49:FH49)</f>
        <v/>
      </c>
      <c r="FT49" s="116">
        <f>IFERROR(LOOKUP(2,1/('DRAFT 2'!$D:$D=$B49)*('DRAFT 2'!$A:$A&gt;=DATE(2026,7,1))*('DRAFT 2'!$A:$A&lt;DATE(2026,IF(7=12,7+1,7+1),1)),'DRAFT 2'!$A:$A),"")</f>
        <v/>
      </c>
      <c r="FU49" s="116">
        <f>COUNTIFS('DRAFT 2'!$D:$D,$B49,'DRAFT 2'!$A:$A,"&gt;="&amp;DATE(2026,7,1),'DRAFT 2'!$A:$A,"&lt;="&amp;DATE(2026,7,7))</f>
        <v/>
      </c>
      <c r="FV49" s="116">
        <f>COUNTIFS('DRAFT 2'!$D:$D,$B49,'DRAFT 2'!$A:$A,"&gt;="&amp;DATE(2026,7,8),'DRAFT 2'!$A:$A,"&lt;="&amp;DATE(2026,7,14))</f>
        <v/>
      </c>
      <c r="FW49" s="116">
        <f>COUNTIFS('DRAFT 2'!$D:$D,$B49,'DRAFT 2'!$A:$A,"&gt;="&amp;DATE(2026,7,15),'DRAFT 2'!$A:$A,"&lt;="&amp;DATE(2026,7,21))</f>
        <v/>
      </c>
      <c r="FX49" s="116">
        <f>COUNTIFS('DRAFT 2'!$D:$D,$B49,'DRAFT 2'!$A:$A,"&gt;="&amp;DATE(2026,7,22),'DRAFT 2'!$A:$A,"&lt;"&amp;DATE(2026,IF(7=12,7+1,7+1),1))</f>
        <v/>
      </c>
      <c r="FY49" s="116">
        <f>SUM(FU49:FX49)</f>
        <v/>
      </c>
      <c r="GI49" s="116">
        <f>IFERROR(LOOKUP(2,1/('DRAFT 2'!$D:$D=$B49)*('DRAFT 2'!$A:$A&gt;=DATE(2026,8,1))*('DRAFT 2'!$A:$A&lt;DATE(2026,IF(8=12,8+1,8+1),1)),'DRAFT 2'!$A:$A),"")</f>
        <v/>
      </c>
      <c r="GJ49" s="116">
        <f>COUNTIFS('DRAFT 2'!$D:$D,$B49,'DRAFT 2'!$A:$A,"&gt;="&amp;DATE(2026,8,1),'DRAFT 2'!$A:$A,"&lt;="&amp;DATE(2026,8,7))</f>
        <v/>
      </c>
      <c r="GK49" s="116">
        <f>COUNTIFS('DRAFT 2'!$D:$D,$B49,'DRAFT 2'!$A:$A,"&gt;="&amp;DATE(2026,8,8),'DRAFT 2'!$A:$A,"&lt;="&amp;DATE(2026,8,14))</f>
        <v/>
      </c>
      <c r="GL49" s="116">
        <f>COUNTIFS('DRAFT 2'!$D:$D,$B49,'DRAFT 2'!$A:$A,"&gt;="&amp;DATE(2026,8,15),'DRAFT 2'!$A:$A,"&lt;="&amp;DATE(2026,8,21))</f>
        <v/>
      </c>
      <c r="GM49" s="116">
        <f>COUNTIFS('DRAFT 2'!$D:$D,$B49,'DRAFT 2'!$A:$A,"&gt;="&amp;DATE(2026,8,22),'DRAFT 2'!$A:$A,"&lt;"&amp;DATE(2026,IF(8=12,8+1,8+1),1))</f>
        <v/>
      </c>
      <c r="GN49" s="116">
        <f>SUM(GJ49:GM49)</f>
        <v/>
      </c>
      <c r="GX49" s="116">
        <f>IFERROR(LOOKUP(2,1/('DRAFT 2'!$D:$D=$B49)*('DRAFT 2'!$A:$A&gt;=DATE(2026,9,1))*('DRAFT 2'!$A:$A&lt;DATE(2026,IF(9=12,9+1,9+1),1)),'DRAFT 2'!$A:$A),"")</f>
        <v/>
      </c>
      <c r="GY49" s="116">
        <f>COUNTIFS('DRAFT 2'!$D:$D,$B49,'DRAFT 2'!$A:$A,"&gt;="&amp;DATE(2026,9,1),'DRAFT 2'!$A:$A,"&lt;="&amp;DATE(2026,9,7))</f>
        <v/>
      </c>
      <c r="GZ49" s="116">
        <f>COUNTIFS('DRAFT 2'!$D:$D,$B49,'DRAFT 2'!$A:$A,"&gt;="&amp;DATE(2026,9,8),'DRAFT 2'!$A:$A,"&lt;="&amp;DATE(2026,9,14))</f>
        <v/>
      </c>
      <c r="HA49" s="116">
        <f>COUNTIFS('DRAFT 2'!$D:$D,$B49,'DRAFT 2'!$A:$A,"&gt;="&amp;DATE(2026,9,15),'DRAFT 2'!$A:$A,"&lt;="&amp;DATE(2026,9,21))</f>
        <v/>
      </c>
      <c r="HB49" s="116">
        <f>COUNTIFS('DRAFT 2'!$D:$D,$B49,'DRAFT 2'!$A:$A,"&gt;="&amp;DATE(2026,9,22),'DRAFT 2'!$A:$A,"&lt;"&amp;DATE(2026,IF(9=12,9+1,9+1),1))</f>
        <v/>
      </c>
      <c r="HC49" s="116">
        <f>SUM(GY49:HB49)</f>
        <v/>
      </c>
      <c r="HN49" s="116">
        <f>IFERROR(LOOKUP(2,1/('DRAFT 2'!$D:$D=$B49)*('DRAFT 2'!$A:$A&gt;=DATE(2026,10,1))*('DRAFT 2'!$A:$A&lt;DATE(2026,IF(10=12,10+1,10+1),1)),'DRAFT 2'!$A:$A),"")</f>
        <v/>
      </c>
      <c r="HO49" s="116">
        <f>COUNTIFS('DRAFT 2'!$D:$D,$B49,'DRAFT 2'!$A:$A,"&gt;="&amp;DATE(2026,10,1),'DRAFT 2'!$A:$A,"&lt;="&amp;DATE(2026,10,7))</f>
        <v/>
      </c>
      <c r="HP49" s="116">
        <f>COUNTIFS('DRAFT 2'!$D:$D,$B49,'DRAFT 2'!$A:$A,"&gt;="&amp;DATE(2026,10,8),'DRAFT 2'!$A:$A,"&lt;="&amp;DATE(2026,10,14))</f>
        <v/>
      </c>
      <c r="HQ49" s="116">
        <f>COUNTIFS('DRAFT 2'!$D:$D,$B49,'DRAFT 2'!$A:$A,"&gt;="&amp;DATE(2026,10,15),'DRAFT 2'!$A:$A,"&lt;="&amp;DATE(2026,10,21))</f>
        <v/>
      </c>
      <c r="HR49" s="116">
        <f>COUNTIFS('DRAFT 2'!$D:$D,$B49,'DRAFT 2'!$A:$A,"&gt;="&amp;DATE(2026,10,22),'DRAFT 2'!$A:$A,"&lt;"&amp;DATE(2026,IF(10=12,10+1,10+1),1))</f>
        <v/>
      </c>
      <c r="HS49" s="116">
        <f>SUM(HO49:HR49)</f>
        <v/>
      </c>
      <c r="IC49" s="116">
        <f>IFERROR(LOOKUP(2,1/('DRAFT 2'!$D:$D=$B49)*('DRAFT 2'!$A:$A&gt;=DATE(2026,11,1))*('DRAFT 2'!$A:$A&lt;DATE(2026,IF(11=12,11+1,11+1),1)),'DRAFT 2'!$A:$A),"")</f>
        <v/>
      </c>
      <c r="ID49" s="116">
        <f>COUNTIFS('DRAFT 2'!$D:$D,$B49,'DRAFT 2'!$A:$A,"&gt;="&amp;DATE(2026,11,1),'DRAFT 2'!$A:$A,"&lt;="&amp;DATE(2026,11,7))</f>
        <v/>
      </c>
      <c r="IE49" s="116">
        <f>COUNTIFS('DRAFT 2'!$D:$D,$B49,'DRAFT 2'!$A:$A,"&gt;="&amp;DATE(2026,11,8),'DRAFT 2'!$A:$A,"&lt;="&amp;DATE(2026,11,14))</f>
        <v/>
      </c>
      <c r="IF49" s="116">
        <f>COUNTIFS('DRAFT 2'!$D:$D,$B49,'DRAFT 2'!$A:$A,"&gt;="&amp;DATE(2026,11,15),'DRAFT 2'!$A:$A,"&lt;="&amp;DATE(2026,11,21))</f>
        <v/>
      </c>
      <c r="IG49" s="116">
        <f>COUNTIFS('DRAFT 2'!$D:$D,$B49,'DRAFT 2'!$A:$A,"&gt;="&amp;DATE(2026,11,22),'DRAFT 2'!$A:$A,"&lt;"&amp;DATE(2026,IF(11=12,11+1,11+1),1))</f>
        <v/>
      </c>
      <c r="IH49" s="116">
        <f>SUM(ID49:IG49)</f>
        <v/>
      </c>
      <c r="IR49" s="116">
        <f>IFERROR(LOOKUP(2,1/('DRAFT 2'!$D:$D=$B49)*('DRAFT 2'!$A:$A&gt;=DATE(2026,12,1))*('DRAFT 2'!$A:$A&lt;DATE(2026,IF(12=12,12+1,12+1),1)),'DRAFT 2'!$A:$A),"")</f>
        <v/>
      </c>
      <c r="IS49" s="116">
        <f>COUNTIFS('DRAFT 2'!$D:$D,$B49,'DRAFT 2'!$A:$A,"&gt;="&amp;DATE(2026,12,1),'DRAFT 2'!$A:$A,"&lt;="&amp;DATE(2026,12,7))</f>
        <v/>
      </c>
      <c r="IT49" s="116">
        <f>COUNTIFS('DRAFT 2'!$D:$D,$B49,'DRAFT 2'!$A:$A,"&gt;="&amp;DATE(2026,12,8),'DRAFT 2'!$A:$A,"&lt;="&amp;DATE(2026,12,14))</f>
        <v/>
      </c>
      <c r="IU49" s="116">
        <f>COUNTIFS('DRAFT 2'!$D:$D,$B49,'DRAFT 2'!$A:$A,"&gt;="&amp;DATE(2026,12,15),'DRAFT 2'!$A:$A,"&lt;="&amp;DATE(2026,12,21))</f>
        <v/>
      </c>
      <c r="IV49" s="116">
        <f>COUNTIFS('DRAFT 2'!$D:$D,$B49,'DRAFT 2'!$A:$A,"&gt;="&amp;DATE(2026,12,22),'DRAFT 2'!$A:$A,"&lt;"&amp;DATE(2026,IF(12=12,12+1,12+1),1))</f>
        <v/>
      </c>
      <c r="IW49" s="116">
        <f>SUM(IS49:IV49)</f>
        <v/>
      </c>
    </row>
    <row r="50">
      <c r="A50" s="116">
        <f>IFERROR(INDEX('DRAFT 1'!$A:$A,MATCH($B50,'DRAFT 1'!$B:$B,0)),"")</f>
        <v/>
      </c>
      <c r="C50" s="116">
        <f>IFERROR(INDEX('DRAFT 1'!$C:$C,MATCH($B50,'DRAFT 1'!$B:$B,0)),"")</f>
        <v/>
      </c>
      <c r="D50" s="116">
        <f>IFERROR(INDEX('DRAFT 1'!$D:$D,MATCH($B50,'DRAFT 1'!$B:$B,0)),"")</f>
        <v/>
      </c>
      <c r="E50" s="116">
        <f>IFERROR(INDEX('DRAFT 1'!$E:$E,MATCH($B50,'DRAFT 1'!$B:$B,0)),"")</f>
        <v/>
      </c>
      <c r="F50" s="116">
        <f>IFERROR(INDEX('DRAFT 1'!$F:$F,MATCH($B50,'DRAFT 1'!$B:$B,0)),"")</f>
        <v/>
      </c>
      <c r="G50" s="116">
        <f>IFERROR(INDEX('DRAFT 1'!$G:$G,MATCH($B50,'DRAFT 1'!$B:$B,0)),"")</f>
        <v/>
      </c>
      <c r="H50" s="116">
        <f>IFERROR(INDEX('DRAFT 1'!$H:$H,MATCH($B50,'DRAFT 1'!$B:$B,0)),"")</f>
        <v/>
      </c>
      <c r="I50" s="116" t="inlineStr">
        <is>
          <t>MUNDO VERDE</t>
        </is>
      </c>
      <c r="K50" s="116">
        <f>IFERROR(INDEX('DRAFT 1'!$AL:$AL,MATCH($B50,'DRAFT 1'!$B:$B,0)),"")</f>
        <v/>
      </c>
      <c r="L50" s="116">
        <f>IFERROR(INDEX('DRAFT 1'!$J:$J,MATCH($B50,'DRAFT 1'!$B:$B,0)),"")</f>
        <v/>
      </c>
      <c r="M50" s="116">
        <f>IFERROR(INDEX('DRAFT 1'!$K:$K,MATCH($B50,'DRAFT 1'!$B:$B,0)),"")</f>
        <v/>
      </c>
      <c r="N50" s="116" t="inlineStr">
        <is>
          <t>INAT.ANT</t>
        </is>
      </c>
      <c r="P50" s="116">
        <f>IFERROR(INDEX('DRAFT 1'!$L:$L,MATCH($B50,'DRAFT 1'!$B:$B,0)),"")</f>
        <v/>
      </c>
      <c r="Q50" s="116">
        <f>IFERROR(INDEX('DRAFT 1'!$M:$M,MATCH($B50,'DRAFT 1'!$B:$B,0)),"")</f>
        <v/>
      </c>
      <c r="R50" s="116">
        <f>IFERROR(INDEX('DRAFT 1'!$N:$N,MATCH($B50,'DRAFT 1'!$B:$B,0)),"")</f>
        <v/>
      </c>
      <c r="S50" s="116">
        <f>IFERROR(INDEX('DRAFT 1'!$O:$O,MATCH($B50,'DRAFT 1'!$B:$B,0)),"")</f>
        <v/>
      </c>
      <c r="T50" s="116">
        <f>IFERROR(INDEX('DRAFT 1'!$P:$P,MATCH($B50,'DRAFT 1'!$B:$B,0)),"")</f>
        <v/>
      </c>
      <c r="U50" s="116">
        <f>IFERROR(INDEX('DRAFT 1'!$Q:$Q,MATCH($B50,'DRAFT 1'!$B:$B,0)),"")</f>
        <v/>
      </c>
      <c r="V50" s="116">
        <f>IFERROR(INDEX('DRAFT 1'!$R:$R,MATCH($B50,'DRAFT 1'!$B:$B,0)),"")</f>
        <v/>
      </c>
      <c r="W50" s="116">
        <f>IFERROR(INDEX('DRAFT 1'!$S:$S,MATCH($B50,'DRAFT 1'!$B:$B,0)),"")</f>
        <v/>
      </c>
      <c r="X50" s="116">
        <f>IFERROR(INDEX('DRAFT 1'!$T:$T,MATCH($B50,'DRAFT 1'!$B:$B,0)),"")</f>
        <v/>
      </c>
      <c r="Z50" s="116">
        <f>IFERROR(INDEX('DRAFT 1'!$U:$U,MATCH($B50,'DRAFT 1'!$B:$B,0)),"")</f>
        <v/>
      </c>
      <c r="AA50" s="116">
        <f>IFERROR(INDEX('DRAFT 1'!$V:$V,MATCH($B50,'DRAFT 1'!$B:$B,0)),"")</f>
        <v/>
      </c>
      <c r="AB50" s="116">
        <f>IFERROR(INDEX('DRAFT 1'!$W:$W,MATCH($B50,'DRAFT 1'!$B:$B,0)),"")</f>
        <v/>
      </c>
      <c r="AC50" s="116">
        <f>IFERROR(INDEX('DRAFT 1'!$X:$X,MATCH($B50,'DRAFT 1'!$B:$B,0)),"")</f>
        <v/>
      </c>
      <c r="AD50" s="116">
        <f>IFERROR(INDEX('DRAFT 1'!$Y:$Y,MATCH($B50,'DRAFT 1'!$B:$B,0)),"")</f>
        <v/>
      </c>
      <c r="AE50" s="116">
        <f>IFERROR(INDEX('DRAFT 1'!$Z:$Z,MATCH($B50,'DRAFT 1'!$B:$B,0)),"")</f>
        <v/>
      </c>
      <c r="AF50" s="116">
        <f>IFERROR(INDEX('DRAFT 1'!$AA:$AA,MATCH($B50,'DRAFT 1'!$B:$B,0)),"")</f>
        <v/>
      </c>
      <c r="AG50" s="116">
        <f>IFERROR(INDEX('DRAFT 1'!$AB:$AB,MATCH($B50,'DRAFT 1'!$B:$B,0)),"")</f>
        <v/>
      </c>
      <c r="AH50" s="116">
        <f>IFERROR(INDEX('DRAFT 1'!$AC:$AC,MATCH($B50,'DRAFT 1'!$B:$B,0)),"")</f>
        <v/>
      </c>
      <c r="AI50" s="116">
        <f>IFERROR(INDEX('DRAFT 1'!$AD:$AD,MATCH($B50,'DRAFT 1'!$B:$B,0)),"")</f>
        <v/>
      </c>
      <c r="AJ50" s="116">
        <f>IFERROR(INDEX('DRAFT 1'!$AE:$AE,MATCH($B50,'DRAFT 1'!$B:$B,0)),"")</f>
        <v/>
      </c>
      <c r="AK50" s="116">
        <f>IFERROR(INDEX('DRAFT 1'!$AG:$AG,MATCH($B50,'DRAFT 1'!$B:$B,0)),"")</f>
        <v/>
      </c>
      <c r="AL50" s="116">
        <f>IFERROR(INDEX('DRAFT 1'!$AH:$AH,MATCH($B50,'DRAFT 1'!$B:$B,0)),"")</f>
        <v/>
      </c>
      <c r="AM50" s="116">
        <f>IFERROR(INDEX('DRAFT 1'!$AI:$AI,MATCH($B50,'DRAFT 1'!$B:$B,0)),"")</f>
        <v/>
      </c>
      <c r="AN50" s="116">
        <f>IFERROR(INDEX('DRAFT 1'!$AJ:$AJ,MATCH($B50,'DRAFT 1'!$B:$B,0)),"")</f>
        <v/>
      </c>
      <c r="AO50" s="116">
        <f>IFERROR(Y50/AN50,0)</f>
        <v/>
      </c>
      <c r="AP50" s="116">
        <f>IFERROR(INDEX('DRAFT 1'!$AK:$AK,MATCH($B50,'DRAFT 1'!$B:$B,0)),"")</f>
        <v/>
      </c>
      <c r="AR50" s="116" t="inlineStr">
        <is>
          <t>RECOMPRA</t>
        </is>
      </c>
      <c r="AS50" s="116">
        <f>IFERROR(LOOKUP(2,1/('DRAFT 2'!$D:$D=$B50),'DRAFT 2'!$T:$T),"")</f>
        <v/>
      </c>
      <c r="AT50" s="116">
        <f>IFERROR(LOOKUP(2,1/('DRAFT 2'!$D:$D=$B50),'DRAFT 2'!$A:$A),"")</f>
        <v/>
      </c>
      <c r="AU50" s="116">
        <f>IFERROR(LOOKUP(2,1/('DRAFT 2'!$D:$D=$B50),'DRAFT 2'!$R:$R),"")</f>
        <v/>
      </c>
      <c r="AV50" s="116">
        <f>IFERROR(LOOKUP(2,1/('DRAFT 2'!$D:$D=$B50),'DRAFT 2'!$S:$S),"")</f>
        <v/>
      </c>
      <c r="AW50" s="116" t="inlineStr">
        <is>
          <t>LEAD</t>
        </is>
      </c>
      <c r="AX50" s="116">
        <f>IFERROR(LOOKUP(2,1/('DRAFT 2'!$D:$D=$B50),'DRAFT 2'!$M:$M),"")</f>
        <v/>
      </c>
      <c r="AY50" s="116">
        <f>IFERROR(LOOKUP(2,1/('DRAFT 2'!$D:$D=$B50),'DRAFT 2'!$K:$K),"")</f>
        <v/>
      </c>
      <c r="BG50" s="116">
        <f>IFERROR(LOOKUP(2,1/('DRAFT 2'!$D:$D=$B50),'DRAFT 2'!$U:$U),"")</f>
        <v/>
      </c>
      <c r="BH50" s="116">
        <f>IFERROR(LOOKUP(2,1/('DRAFT 2'!$D:$D=$B50),'DRAFT 2'!$V:$V),"")</f>
        <v/>
      </c>
      <c r="CE50" s="116">
        <f>IFERROR(AJ50,0)</f>
        <v/>
      </c>
      <c r="CF50" s="116">
        <f>IFERROR(LOOKUP(2,1/('DRAFT 2'!$D:$D=$B50)*('DRAFT 2'!$A:$A&gt;=DATE(2026,1,1))*('DRAFT 2'!$A:$A&lt;DATE(2026,IF(1=12,1+1,1+1),1)),'DRAFT 2'!$A:$A),"")</f>
        <v/>
      </c>
      <c r="CG50" s="116">
        <f>COUNTIFS('DRAFT 2'!$D:$D,$B50,'DRAFT 2'!$A:$A,"&gt;="&amp;DATE(2026,1,1),'DRAFT 2'!$A:$A,"&lt;="&amp;DATE(2026,1,7))</f>
        <v/>
      </c>
      <c r="CH50" s="116">
        <f>COUNTIFS('DRAFT 2'!$D:$D,$B50,'DRAFT 2'!$A:$A,"&gt;="&amp;DATE(2026,1,8),'DRAFT 2'!$A:$A,"&lt;="&amp;DATE(2026,1,14))</f>
        <v/>
      </c>
      <c r="CI50" s="116">
        <f>COUNTIFS('DRAFT 2'!$D:$D,$B50,'DRAFT 2'!$A:$A,"&gt;="&amp;DATE(2026,1,15),'DRAFT 2'!$A:$A,"&lt;="&amp;DATE(2026,1,21))</f>
        <v/>
      </c>
      <c r="CJ50" s="116">
        <f>COUNTIFS('DRAFT 2'!$D:$D,$B50,'DRAFT 2'!$A:$A,"&gt;="&amp;DATE(2026,1,22),'DRAFT 2'!$A:$A,"&lt;"&amp;DATE(2026,IF(1=12,1+1,1+1),1))</f>
        <v/>
      </c>
      <c r="CK50" s="116">
        <f>SUM(CG50:CJ50)</f>
        <v/>
      </c>
      <c r="CT50" s="116" t="n">
        <v>0</v>
      </c>
      <c r="CU50" s="116">
        <f>IFERROR(LOOKUP(2,1/('DRAFT 2'!$D:$D=$B50)*('DRAFT 2'!$A:$A&gt;=DATE(2026,2,1))*('DRAFT 2'!$A:$A&lt;DATE(2026,IF(2=12,2+1,2+1),1)),'DRAFT 2'!$A:$A),"")</f>
        <v/>
      </c>
      <c r="CV50" s="116">
        <f>COUNTIFS('DRAFT 2'!$D:$D,$B50,'DRAFT 2'!$A:$A,"&gt;="&amp;DATE(2026,2,1),'DRAFT 2'!$A:$A,"&lt;="&amp;DATE(2026,2,7))</f>
        <v/>
      </c>
      <c r="CW50" s="116">
        <f>COUNTIFS('DRAFT 2'!$D:$D,$B50,'DRAFT 2'!$A:$A,"&gt;="&amp;DATE(2026,2,8),'DRAFT 2'!$A:$A,"&lt;="&amp;DATE(2026,2,14))</f>
        <v/>
      </c>
      <c r="CX50" s="116">
        <f>COUNTIFS('DRAFT 2'!$D:$D,$B50,'DRAFT 2'!$A:$A,"&gt;="&amp;DATE(2026,2,15),'DRAFT 2'!$A:$A,"&lt;="&amp;DATE(2026,2,21))</f>
        <v/>
      </c>
      <c r="CY50" s="116">
        <f>COUNTIFS('DRAFT 2'!$D:$D,$B50,'DRAFT 2'!$A:$A,"&gt;="&amp;DATE(2026,2,22),'DRAFT 2'!$A:$A,"&lt;"&amp;DATE(2026,IF(2=12,2+1,2+1),1))</f>
        <v/>
      </c>
      <c r="CZ50" s="116">
        <f>SUM(CV50:CY50)</f>
        <v/>
      </c>
      <c r="DJ50" s="116">
        <f>IFERROR(LOOKUP(2,1/('DRAFT 2'!$D:$D=$B50)*('DRAFT 2'!$A:$A&gt;=DATE(2026,3,1))*('DRAFT 2'!$A:$A&lt;DATE(2026,IF(3=12,3+1,3+1),1)),'DRAFT 2'!$A:$A),"")</f>
        <v/>
      </c>
      <c r="DK50" s="116">
        <f>COUNTIFS('DRAFT 2'!$D:$D,$B50,'DRAFT 2'!$A:$A,"&gt;="&amp;DATE(2026,3,1),'DRAFT 2'!$A:$A,"&lt;="&amp;DATE(2026,3,7))</f>
        <v/>
      </c>
      <c r="DL50" s="116">
        <f>COUNTIFS('DRAFT 2'!$D:$D,$B50,'DRAFT 2'!$A:$A,"&gt;="&amp;DATE(2026,3,8),'DRAFT 2'!$A:$A,"&lt;="&amp;DATE(2026,3,14))</f>
        <v/>
      </c>
      <c r="DM50" s="116">
        <f>COUNTIFS('DRAFT 2'!$D:$D,$B50,'DRAFT 2'!$A:$A,"&gt;="&amp;DATE(2026,3,15),'DRAFT 2'!$A:$A,"&lt;="&amp;DATE(2026,3,21))</f>
        <v/>
      </c>
      <c r="DN50" s="116">
        <f>COUNTIFS('DRAFT 2'!$D:$D,$B50,'DRAFT 2'!$A:$A,"&gt;="&amp;DATE(2026,3,22),'DRAFT 2'!$A:$A,"&lt;"&amp;DATE(2026,IF(3=12,3+1,3+1),1))</f>
        <v/>
      </c>
      <c r="DO50" s="116">
        <f>SUM(DK50:DN50)</f>
        <v/>
      </c>
      <c r="DZ50" s="116">
        <f>IFERROR(LOOKUP(2,1/('DRAFT 2'!$D:$D=$B50)*('DRAFT 2'!$A:$A&gt;=DATE(2026,4,1))*('DRAFT 2'!$A:$A&lt;DATE(2026,IF(4=12,4+1,4+1),1)),'DRAFT 2'!$A:$A),"")</f>
        <v/>
      </c>
      <c r="EA50" s="116">
        <f>COUNTIFS('DRAFT 2'!$D:$D,$B50,'DRAFT 2'!$A:$A,"&gt;="&amp;DATE(2026,4,1),'DRAFT 2'!$A:$A,"&lt;="&amp;DATE(2026,4,7))</f>
        <v/>
      </c>
      <c r="EB50" s="116">
        <f>COUNTIFS('DRAFT 2'!$D:$D,$B50,'DRAFT 2'!$A:$A,"&gt;="&amp;DATE(2026,4,8),'DRAFT 2'!$A:$A,"&lt;="&amp;DATE(2026,4,14))</f>
        <v/>
      </c>
      <c r="EC50" s="116">
        <f>COUNTIFS('DRAFT 2'!$D:$D,$B50,'DRAFT 2'!$A:$A,"&gt;="&amp;DATE(2026,4,15),'DRAFT 2'!$A:$A,"&lt;="&amp;DATE(2026,4,21))</f>
        <v/>
      </c>
      <c r="ED50" s="116">
        <f>COUNTIFS('DRAFT 2'!$D:$D,$B50,'DRAFT 2'!$A:$A,"&gt;="&amp;DATE(2026,4,22),'DRAFT 2'!$A:$A,"&lt;"&amp;DATE(2026,IF(4=12,4+1,4+1),1))</f>
        <v/>
      </c>
      <c r="EE50" s="116">
        <f>SUM(EA50:ED50)</f>
        <v/>
      </c>
      <c r="EO50" s="116">
        <f>IFERROR(LOOKUP(2,1/('DRAFT 2'!$D:$D=$B50)*('DRAFT 2'!$A:$A&gt;=DATE(2026,5,1))*('DRAFT 2'!$A:$A&lt;DATE(2026,IF(5=12,5+1,5+1),1)),'DRAFT 2'!$A:$A),"")</f>
        <v/>
      </c>
      <c r="EP50" s="116">
        <f>COUNTIFS('DRAFT 2'!$D:$D,$B50,'DRAFT 2'!$A:$A,"&gt;="&amp;DATE(2026,5,1),'DRAFT 2'!$A:$A,"&lt;="&amp;DATE(2026,5,7))</f>
        <v/>
      </c>
      <c r="EQ50" s="116">
        <f>COUNTIFS('DRAFT 2'!$D:$D,$B50,'DRAFT 2'!$A:$A,"&gt;="&amp;DATE(2026,5,8),'DRAFT 2'!$A:$A,"&lt;="&amp;DATE(2026,5,14))</f>
        <v/>
      </c>
      <c r="ER50" s="116">
        <f>COUNTIFS('DRAFT 2'!$D:$D,$B50,'DRAFT 2'!$A:$A,"&gt;="&amp;DATE(2026,5,15),'DRAFT 2'!$A:$A,"&lt;="&amp;DATE(2026,5,21))</f>
        <v/>
      </c>
      <c r="ES50" s="116">
        <f>COUNTIFS('DRAFT 2'!$D:$D,$B50,'DRAFT 2'!$A:$A,"&gt;="&amp;DATE(2026,5,22),'DRAFT 2'!$A:$A,"&lt;"&amp;DATE(2026,IF(5=12,5+1,5+1),1))</f>
        <v/>
      </c>
      <c r="ET50" s="116">
        <f>SUM(EP50:ES50)</f>
        <v/>
      </c>
      <c r="FD50" s="116">
        <f>IFERROR(LOOKUP(2,1/('DRAFT 2'!$D:$D=$B50)*('DRAFT 2'!$A:$A&gt;=DATE(2026,6,1))*('DRAFT 2'!$A:$A&lt;DATE(2026,IF(6=12,6+1,6+1),1)),'DRAFT 2'!$A:$A),"")</f>
        <v/>
      </c>
      <c r="FE50" s="116">
        <f>COUNTIFS('DRAFT 2'!$D:$D,$B50,'DRAFT 2'!$A:$A,"&gt;="&amp;DATE(2026,6,1),'DRAFT 2'!$A:$A,"&lt;="&amp;DATE(2026,6,7))</f>
        <v/>
      </c>
      <c r="FF50" s="116">
        <f>COUNTIFS('DRAFT 2'!$D:$D,$B50,'DRAFT 2'!$A:$A,"&gt;="&amp;DATE(2026,6,8),'DRAFT 2'!$A:$A,"&lt;="&amp;DATE(2026,6,14))</f>
        <v/>
      </c>
      <c r="FG50" s="116">
        <f>COUNTIFS('DRAFT 2'!$D:$D,$B50,'DRAFT 2'!$A:$A,"&gt;="&amp;DATE(2026,6,15),'DRAFT 2'!$A:$A,"&lt;="&amp;DATE(2026,6,21))</f>
        <v/>
      </c>
      <c r="FH50" s="116">
        <f>COUNTIFS('DRAFT 2'!$D:$D,$B50,'DRAFT 2'!$A:$A,"&gt;="&amp;DATE(2026,6,22),'DRAFT 2'!$A:$A,"&lt;"&amp;DATE(2026,IF(6=12,6+1,6+1),1))</f>
        <v/>
      </c>
      <c r="FI50" s="116">
        <f>SUM(FE50:FH50)</f>
        <v/>
      </c>
      <c r="FT50" s="116">
        <f>IFERROR(LOOKUP(2,1/('DRAFT 2'!$D:$D=$B50)*('DRAFT 2'!$A:$A&gt;=DATE(2026,7,1))*('DRAFT 2'!$A:$A&lt;DATE(2026,IF(7=12,7+1,7+1),1)),'DRAFT 2'!$A:$A),"")</f>
        <v/>
      </c>
      <c r="FU50" s="116">
        <f>COUNTIFS('DRAFT 2'!$D:$D,$B50,'DRAFT 2'!$A:$A,"&gt;="&amp;DATE(2026,7,1),'DRAFT 2'!$A:$A,"&lt;="&amp;DATE(2026,7,7))</f>
        <v/>
      </c>
      <c r="FV50" s="116">
        <f>COUNTIFS('DRAFT 2'!$D:$D,$B50,'DRAFT 2'!$A:$A,"&gt;="&amp;DATE(2026,7,8),'DRAFT 2'!$A:$A,"&lt;="&amp;DATE(2026,7,14))</f>
        <v/>
      </c>
      <c r="FW50" s="116">
        <f>COUNTIFS('DRAFT 2'!$D:$D,$B50,'DRAFT 2'!$A:$A,"&gt;="&amp;DATE(2026,7,15),'DRAFT 2'!$A:$A,"&lt;="&amp;DATE(2026,7,21))</f>
        <v/>
      </c>
      <c r="FX50" s="116">
        <f>COUNTIFS('DRAFT 2'!$D:$D,$B50,'DRAFT 2'!$A:$A,"&gt;="&amp;DATE(2026,7,22),'DRAFT 2'!$A:$A,"&lt;"&amp;DATE(2026,IF(7=12,7+1,7+1),1))</f>
        <v/>
      </c>
      <c r="FY50" s="116">
        <f>SUM(FU50:FX50)</f>
        <v/>
      </c>
      <c r="GI50" s="116">
        <f>IFERROR(LOOKUP(2,1/('DRAFT 2'!$D:$D=$B50)*('DRAFT 2'!$A:$A&gt;=DATE(2026,8,1))*('DRAFT 2'!$A:$A&lt;DATE(2026,IF(8=12,8+1,8+1),1)),'DRAFT 2'!$A:$A),"")</f>
        <v/>
      </c>
      <c r="GJ50" s="116">
        <f>COUNTIFS('DRAFT 2'!$D:$D,$B50,'DRAFT 2'!$A:$A,"&gt;="&amp;DATE(2026,8,1),'DRAFT 2'!$A:$A,"&lt;="&amp;DATE(2026,8,7))</f>
        <v/>
      </c>
      <c r="GK50" s="116">
        <f>COUNTIFS('DRAFT 2'!$D:$D,$B50,'DRAFT 2'!$A:$A,"&gt;="&amp;DATE(2026,8,8),'DRAFT 2'!$A:$A,"&lt;="&amp;DATE(2026,8,14))</f>
        <v/>
      </c>
      <c r="GL50" s="116">
        <f>COUNTIFS('DRAFT 2'!$D:$D,$B50,'DRAFT 2'!$A:$A,"&gt;="&amp;DATE(2026,8,15),'DRAFT 2'!$A:$A,"&lt;="&amp;DATE(2026,8,21))</f>
        <v/>
      </c>
      <c r="GM50" s="116">
        <f>COUNTIFS('DRAFT 2'!$D:$D,$B50,'DRAFT 2'!$A:$A,"&gt;="&amp;DATE(2026,8,22),'DRAFT 2'!$A:$A,"&lt;"&amp;DATE(2026,IF(8=12,8+1,8+1),1))</f>
        <v/>
      </c>
      <c r="GN50" s="116">
        <f>SUM(GJ50:GM50)</f>
        <v/>
      </c>
      <c r="GX50" s="116">
        <f>IFERROR(LOOKUP(2,1/('DRAFT 2'!$D:$D=$B50)*('DRAFT 2'!$A:$A&gt;=DATE(2026,9,1))*('DRAFT 2'!$A:$A&lt;DATE(2026,IF(9=12,9+1,9+1),1)),'DRAFT 2'!$A:$A),"")</f>
        <v/>
      </c>
      <c r="GY50" s="116">
        <f>COUNTIFS('DRAFT 2'!$D:$D,$B50,'DRAFT 2'!$A:$A,"&gt;="&amp;DATE(2026,9,1),'DRAFT 2'!$A:$A,"&lt;="&amp;DATE(2026,9,7))</f>
        <v/>
      </c>
      <c r="GZ50" s="116">
        <f>COUNTIFS('DRAFT 2'!$D:$D,$B50,'DRAFT 2'!$A:$A,"&gt;="&amp;DATE(2026,9,8),'DRAFT 2'!$A:$A,"&lt;="&amp;DATE(2026,9,14))</f>
        <v/>
      </c>
      <c r="HA50" s="116">
        <f>COUNTIFS('DRAFT 2'!$D:$D,$B50,'DRAFT 2'!$A:$A,"&gt;="&amp;DATE(2026,9,15),'DRAFT 2'!$A:$A,"&lt;="&amp;DATE(2026,9,21))</f>
        <v/>
      </c>
      <c r="HB50" s="116">
        <f>COUNTIFS('DRAFT 2'!$D:$D,$B50,'DRAFT 2'!$A:$A,"&gt;="&amp;DATE(2026,9,22),'DRAFT 2'!$A:$A,"&lt;"&amp;DATE(2026,IF(9=12,9+1,9+1),1))</f>
        <v/>
      </c>
      <c r="HC50" s="116">
        <f>SUM(GY50:HB50)</f>
        <v/>
      </c>
      <c r="HN50" s="116">
        <f>IFERROR(LOOKUP(2,1/('DRAFT 2'!$D:$D=$B50)*('DRAFT 2'!$A:$A&gt;=DATE(2026,10,1))*('DRAFT 2'!$A:$A&lt;DATE(2026,IF(10=12,10+1,10+1),1)),'DRAFT 2'!$A:$A),"")</f>
        <v/>
      </c>
      <c r="HO50" s="116">
        <f>COUNTIFS('DRAFT 2'!$D:$D,$B50,'DRAFT 2'!$A:$A,"&gt;="&amp;DATE(2026,10,1),'DRAFT 2'!$A:$A,"&lt;="&amp;DATE(2026,10,7))</f>
        <v/>
      </c>
      <c r="HP50" s="116">
        <f>COUNTIFS('DRAFT 2'!$D:$D,$B50,'DRAFT 2'!$A:$A,"&gt;="&amp;DATE(2026,10,8),'DRAFT 2'!$A:$A,"&lt;="&amp;DATE(2026,10,14))</f>
        <v/>
      </c>
      <c r="HQ50" s="116">
        <f>COUNTIFS('DRAFT 2'!$D:$D,$B50,'DRAFT 2'!$A:$A,"&gt;="&amp;DATE(2026,10,15),'DRAFT 2'!$A:$A,"&lt;="&amp;DATE(2026,10,21))</f>
        <v/>
      </c>
      <c r="HR50" s="116">
        <f>COUNTIFS('DRAFT 2'!$D:$D,$B50,'DRAFT 2'!$A:$A,"&gt;="&amp;DATE(2026,10,22),'DRAFT 2'!$A:$A,"&lt;"&amp;DATE(2026,IF(10=12,10+1,10+1),1))</f>
        <v/>
      </c>
      <c r="HS50" s="116">
        <f>SUM(HO50:HR50)</f>
        <v/>
      </c>
      <c r="IC50" s="116">
        <f>IFERROR(LOOKUP(2,1/('DRAFT 2'!$D:$D=$B50)*('DRAFT 2'!$A:$A&gt;=DATE(2026,11,1))*('DRAFT 2'!$A:$A&lt;DATE(2026,IF(11=12,11+1,11+1),1)),'DRAFT 2'!$A:$A),"")</f>
        <v/>
      </c>
      <c r="ID50" s="116">
        <f>COUNTIFS('DRAFT 2'!$D:$D,$B50,'DRAFT 2'!$A:$A,"&gt;="&amp;DATE(2026,11,1),'DRAFT 2'!$A:$A,"&lt;="&amp;DATE(2026,11,7))</f>
        <v/>
      </c>
      <c r="IE50" s="116">
        <f>COUNTIFS('DRAFT 2'!$D:$D,$B50,'DRAFT 2'!$A:$A,"&gt;="&amp;DATE(2026,11,8),'DRAFT 2'!$A:$A,"&lt;="&amp;DATE(2026,11,14))</f>
        <v/>
      </c>
      <c r="IF50" s="116">
        <f>COUNTIFS('DRAFT 2'!$D:$D,$B50,'DRAFT 2'!$A:$A,"&gt;="&amp;DATE(2026,11,15),'DRAFT 2'!$A:$A,"&lt;="&amp;DATE(2026,11,21))</f>
        <v/>
      </c>
      <c r="IG50" s="116">
        <f>COUNTIFS('DRAFT 2'!$D:$D,$B50,'DRAFT 2'!$A:$A,"&gt;="&amp;DATE(2026,11,22),'DRAFT 2'!$A:$A,"&lt;"&amp;DATE(2026,IF(11=12,11+1,11+1),1))</f>
        <v/>
      </c>
      <c r="IH50" s="116">
        <f>SUM(ID50:IG50)</f>
        <v/>
      </c>
      <c r="IR50" s="116">
        <f>IFERROR(LOOKUP(2,1/('DRAFT 2'!$D:$D=$B50)*('DRAFT 2'!$A:$A&gt;=DATE(2026,12,1))*('DRAFT 2'!$A:$A&lt;DATE(2026,IF(12=12,12+1,12+1),1)),'DRAFT 2'!$A:$A),"")</f>
        <v/>
      </c>
      <c r="IS50" s="116">
        <f>COUNTIFS('DRAFT 2'!$D:$D,$B50,'DRAFT 2'!$A:$A,"&gt;="&amp;DATE(2026,12,1),'DRAFT 2'!$A:$A,"&lt;="&amp;DATE(2026,12,7))</f>
        <v/>
      </c>
      <c r="IT50" s="116">
        <f>COUNTIFS('DRAFT 2'!$D:$D,$B50,'DRAFT 2'!$A:$A,"&gt;="&amp;DATE(2026,12,8),'DRAFT 2'!$A:$A,"&lt;="&amp;DATE(2026,12,14))</f>
        <v/>
      </c>
      <c r="IU50" s="116">
        <f>COUNTIFS('DRAFT 2'!$D:$D,$B50,'DRAFT 2'!$A:$A,"&gt;="&amp;DATE(2026,12,15),'DRAFT 2'!$A:$A,"&lt;="&amp;DATE(2026,12,21))</f>
        <v/>
      </c>
      <c r="IV50" s="116">
        <f>COUNTIFS('DRAFT 2'!$D:$D,$B50,'DRAFT 2'!$A:$A,"&gt;="&amp;DATE(2026,12,22),'DRAFT 2'!$A:$A,"&lt;"&amp;DATE(2026,IF(12=12,12+1,12+1),1))</f>
        <v/>
      </c>
      <c r="IW50" s="116">
        <f>SUM(IS50:IV50)</f>
        <v/>
      </c>
    </row>
    <row r="51">
      <c r="A51" s="116">
        <f>IFERROR(INDEX('DRAFT 1'!$A:$A,MATCH($B51,'DRAFT 1'!$B:$B,0)),"")</f>
        <v/>
      </c>
      <c r="C51" s="116">
        <f>IFERROR(INDEX('DRAFT 1'!$C:$C,MATCH($B51,'DRAFT 1'!$B:$B,0)),"")</f>
        <v/>
      </c>
      <c r="D51" s="116">
        <f>IFERROR(INDEX('DRAFT 1'!$D:$D,MATCH($B51,'DRAFT 1'!$B:$B,0)),"")</f>
        <v/>
      </c>
      <c r="E51" s="116">
        <f>IFERROR(INDEX('DRAFT 1'!$E:$E,MATCH($B51,'DRAFT 1'!$B:$B,0)),"")</f>
        <v/>
      </c>
      <c r="F51" s="116">
        <f>IFERROR(INDEX('DRAFT 1'!$F:$F,MATCH($B51,'DRAFT 1'!$B:$B,0)),"")</f>
        <v/>
      </c>
      <c r="G51" s="116">
        <f>IFERROR(INDEX('DRAFT 1'!$G:$G,MATCH($B51,'DRAFT 1'!$B:$B,0)),"")</f>
        <v/>
      </c>
      <c r="H51" s="116">
        <f>IFERROR(INDEX('DRAFT 1'!$H:$H,MATCH($B51,'DRAFT 1'!$B:$B,0)),"")</f>
        <v/>
      </c>
      <c r="I51" s="116" t="inlineStr">
        <is>
          <t>CIA DA SAUDE</t>
        </is>
      </c>
      <c r="K51" s="116">
        <f>IFERROR(INDEX('DRAFT 1'!$AL:$AL,MATCH($B51,'DRAFT 1'!$B:$B,0)),"")</f>
        <v/>
      </c>
      <c r="L51" s="116">
        <f>IFERROR(INDEX('DRAFT 1'!$J:$J,MATCH($B51,'DRAFT 1'!$B:$B,0)),"")</f>
        <v/>
      </c>
      <c r="M51" s="116">
        <f>IFERROR(INDEX('DRAFT 1'!$K:$K,MATCH($B51,'DRAFT 1'!$B:$B,0)),"")</f>
        <v/>
      </c>
      <c r="N51" s="116" t="inlineStr">
        <is>
          <t>ATIVO</t>
        </is>
      </c>
      <c r="P51" s="116">
        <f>IFERROR(INDEX('DRAFT 1'!$L:$L,MATCH($B51,'DRAFT 1'!$B:$B,0)),"")</f>
        <v/>
      </c>
      <c r="Q51" s="116">
        <f>IFERROR(INDEX('DRAFT 1'!$M:$M,MATCH($B51,'DRAFT 1'!$B:$B,0)),"")</f>
        <v/>
      </c>
      <c r="R51" s="116">
        <f>IFERROR(INDEX('DRAFT 1'!$N:$N,MATCH($B51,'DRAFT 1'!$B:$B,0)),"")</f>
        <v/>
      </c>
      <c r="S51" s="116">
        <f>IFERROR(INDEX('DRAFT 1'!$O:$O,MATCH($B51,'DRAFT 1'!$B:$B,0)),"")</f>
        <v/>
      </c>
      <c r="T51" s="116">
        <f>IFERROR(INDEX('DRAFT 1'!$P:$P,MATCH($B51,'DRAFT 1'!$B:$B,0)),"")</f>
        <v/>
      </c>
      <c r="U51" s="116">
        <f>IFERROR(INDEX('DRAFT 1'!$Q:$Q,MATCH($B51,'DRAFT 1'!$B:$B,0)),"")</f>
        <v/>
      </c>
      <c r="V51" s="116">
        <f>IFERROR(INDEX('DRAFT 1'!$R:$R,MATCH($B51,'DRAFT 1'!$B:$B,0)),"")</f>
        <v/>
      </c>
      <c r="W51" s="116">
        <f>IFERROR(INDEX('DRAFT 1'!$S:$S,MATCH($B51,'DRAFT 1'!$B:$B,0)),"")</f>
        <v/>
      </c>
      <c r="X51" s="116">
        <f>IFERROR(INDEX('DRAFT 1'!$T:$T,MATCH($B51,'DRAFT 1'!$B:$B,0)),"")</f>
        <v/>
      </c>
      <c r="Z51" s="116">
        <f>IFERROR(INDEX('DRAFT 1'!$U:$U,MATCH($B51,'DRAFT 1'!$B:$B,0)),"")</f>
        <v/>
      </c>
      <c r="AA51" s="116">
        <f>IFERROR(INDEX('DRAFT 1'!$V:$V,MATCH($B51,'DRAFT 1'!$B:$B,0)),"")</f>
        <v/>
      </c>
      <c r="AB51" s="116">
        <f>IFERROR(INDEX('DRAFT 1'!$W:$W,MATCH($B51,'DRAFT 1'!$B:$B,0)),"")</f>
        <v/>
      </c>
      <c r="AC51" s="116">
        <f>IFERROR(INDEX('DRAFT 1'!$X:$X,MATCH($B51,'DRAFT 1'!$B:$B,0)),"")</f>
        <v/>
      </c>
      <c r="AD51" s="116">
        <f>IFERROR(INDEX('DRAFT 1'!$Y:$Y,MATCH($B51,'DRAFT 1'!$B:$B,0)),"")</f>
        <v/>
      </c>
      <c r="AE51" s="116">
        <f>IFERROR(INDEX('DRAFT 1'!$Z:$Z,MATCH($B51,'DRAFT 1'!$B:$B,0)),"")</f>
        <v/>
      </c>
      <c r="AF51" s="116">
        <f>IFERROR(INDEX('DRAFT 1'!$AA:$AA,MATCH($B51,'DRAFT 1'!$B:$B,0)),"")</f>
        <v/>
      </c>
      <c r="AG51" s="116">
        <f>IFERROR(INDEX('DRAFT 1'!$AB:$AB,MATCH($B51,'DRAFT 1'!$B:$B,0)),"")</f>
        <v/>
      </c>
      <c r="AH51" s="116">
        <f>IFERROR(INDEX('DRAFT 1'!$AC:$AC,MATCH($B51,'DRAFT 1'!$B:$B,0)),"")</f>
        <v/>
      </c>
      <c r="AI51" s="116">
        <f>IFERROR(INDEX('DRAFT 1'!$AD:$AD,MATCH($B51,'DRAFT 1'!$B:$B,0)),"")</f>
        <v/>
      </c>
      <c r="AJ51" s="116">
        <f>IFERROR(INDEX('DRAFT 1'!$AE:$AE,MATCH($B51,'DRAFT 1'!$B:$B,0)),"")</f>
        <v/>
      </c>
      <c r="AK51" s="116">
        <f>IFERROR(INDEX('DRAFT 1'!$AG:$AG,MATCH($B51,'DRAFT 1'!$B:$B,0)),"")</f>
        <v/>
      </c>
      <c r="AL51" s="116">
        <f>IFERROR(INDEX('DRAFT 1'!$AH:$AH,MATCH($B51,'DRAFT 1'!$B:$B,0)),"")</f>
        <v/>
      </c>
      <c r="AM51" s="116">
        <f>IFERROR(INDEX('DRAFT 1'!$AI:$AI,MATCH($B51,'DRAFT 1'!$B:$B,0)),"")</f>
        <v/>
      </c>
      <c r="AN51" s="116">
        <f>IFERROR(INDEX('DRAFT 1'!$AJ:$AJ,MATCH($B51,'DRAFT 1'!$B:$B,0)),"")</f>
        <v/>
      </c>
      <c r="AO51" s="116">
        <f>IFERROR(Y51/AN51,0)</f>
        <v/>
      </c>
      <c r="AP51" s="116">
        <f>IFERROR(INDEX('DRAFT 1'!$AK:$AK,MATCH($B51,'DRAFT 1'!$B:$B,0)),"")</f>
        <v/>
      </c>
      <c r="AR51" s="116" t="inlineStr">
        <is>
          <t>PROSPECÇÃO</t>
        </is>
      </c>
      <c r="AS51" s="116">
        <f>IFERROR(LOOKUP(2,1/('DRAFT 2'!$D:$D=$B51),'DRAFT 2'!$T:$T),"")</f>
        <v/>
      </c>
      <c r="AT51" s="116">
        <f>IFERROR(LOOKUP(2,1/('DRAFT 2'!$D:$D=$B51),'DRAFT 2'!$A:$A),"")</f>
        <v/>
      </c>
      <c r="AU51" s="116">
        <f>IFERROR(LOOKUP(2,1/('DRAFT 2'!$D:$D=$B51),'DRAFT 2'!$R:$R),"")</f>
        <v/>
      </c>
      <c r="AV51" s="116">
        <f>IFERROR(LOOKUP(2,1/('DRAFT 2'!$D:$D=$B51),'DRAFT 2'!$S:$S),"")</f>
        <v/>
      </c>
      <c r="AW51" s="116" t="inlineStr">
        <is>
          <t>PROSPECT</t>
        </is>
      </c>
      <c r="AX51" s="116">
        <f>IFERROR(LOOKUP(2,1/('DRAFT 2'!$D:$D=$B51),'DRAFT 2'!$M:$M),"")</f>
        <v/>
      </c>
      <c r="AY51" s="116">
        <f>IFERROR(LOOKUP(2,1/('DRAFT 2'!$D:$D=$B51),'DRAFT 2'!$K:$K),"")</f>
        <v/>
      </c>
      <c r="BG51" s="116">
        <f>IFERROR(LOOKUP(2,1/('DRAFT 2'!$D:$D=$B51),'DRAFT 2'!$U:$U),"")</f>
        <v/>
      </c>
      <c r="BH51" s="116">
        <f>IFERROR(LOOKUP(2,1/('DRAFT 2'!$D:$D=$B51),'DRAFT 2'!$V:$V),"")</f>
        <v/>
      </c>
      <c r="CE51" s="116">
        <f>IFERROR(AJ51,0)</f>
        <v/>
      </c>
      <c r="CF51" s="116">
        <f>IFERROR(LOOKUP(2,1/('DRAFT 2'!$D:$D=$B51)*('DRAFT 2'!$A:$A&gt;=DATE(2026,1,1))*('DRAFT 2'!$A:$A&lt;DATE(2026,IF(1=12,1+1,1+1),1)),'DRAFT 2'!$A:$A),"")</f>
        <v/>
      </c>
      <c r="CG51" s="116">
        <f>COUNTIFS('DRAFT 2'!$D:$D,$B51,'DRAFT 2'!$A:$A,"&gt;="&amp;DATE(2026,1,1),'DRAFT 2'!$A:$A,"&lt;="&amp;DATE(2026,1,7))</f>
        <v/>
      </c>
      <c r="CH51" s="116">
        <f>COUNTIFS('DRAFT 2'!$D:$D,$B51,'DRAFT 2'!$A:$A,"&gt;="&amp;DATE(2026,1,8),'DRAFT 2'!$A:$A,"&lt;="&amp;DATE(2026,1,14))</f>
        <v/>
      </c>
      <c r="CI51" s="116">
        <f>COUNTIFS('DRAFT 2'!$D:$D,$B51,'DRAFT 2'!$A:$A,"&gt;="&amp;DATE(2026,1,15),'DRAFT 2'!$A:$A,"&lt;="&amp;DATE(2026,1,21))</f>
        <v/>
      </c>
      <c r="CJ51" s="116">
        <f>COUNTIFS('DRAFT 2'!$D:$D,$B51,'DRAFT 2'!$A:$A,"&gt;="&amp;DATE(2026,1,22),'DRAFT 2'!$A:$A,"&lt;"&amp;DATE(2026,IF(1=12,1+1,1+1),1))</f>
        <v/>
      </c>
      <c r="CK51" s="116">
        <f>SUM(CG51:CJ51)</f>
        <v/>
      </c>
      <c r="CT51" s="116" t="n">
        <v>0</v>
      </c>
      <c r="CU51" s="116">
        <f>IFERROR(LOOKUP(2,1/('DRAFT 2'!$D:$D=$B51)*('DRAFT 2'!$A:$A&gt;=DATE(2026,2,1))*('DRAFT 2'!$A:$A&lt;DATE(2026,IF(2=12,2+1,2+1),1)),'DRAFT 2'!$A:$A),"")</f>
        <v/>
      </c>
      <c r="CV51" s="116">
        <f>COUNTIFS('DRAFT 2'!$D:$D,$B51,'DRAFT 2'!$A:$A,"&gt;="&amp;DATE(2026,2,1),'DRAFT 2'!$A:$A,"&lt;="&amp;DATE(2026,2,7))</f>
        <v/>
      </c>
      <c r="CW51" s="116">
        <f>COUNTIFS('DRAFT 2'!$D:$D,$B51,'DRAFT 2'!$A:$A,"&gt;="&amp;DATE(2026,2,8),'DRAFT 2'!$A:$A,"&lt;="&amp;DATE(2026,2,14))</f>
        <v/>
      </c>
      <c r="CX51" s="116">
        <f>COUNTIFS('DRAFT 2'!$D:$D,$B51,'DRAFT 2'!$A:$A,"&gt;="&amp;DATE(2026,2,15),'DRAFT 2'!$A:$A,"&lt;="&amp;DATE(2026,2,21))</f>
        <v/>
      </c>
      <c r="CY51" s="116">
        <f>COUNTIFS('DRAFT 2'!$D:$D,$B51,'DRAFT 2'!$A:$A,"&gt;="&amp;DATE(2026,2,22),'DRAFT 2'!$A:$A,"&lt;"&amp;DATE(2026,IF(2=12,2+1,2+1),1))</f>
        <v/>
      </c>
      <c r="CZ51" s="116">
        <f>SUM(CV51:CY51)</f>
        <v/>
      </c>
      <c r="DJ51" s="116">
        <f>IFERROR(LOOKUP(2,1/('DRAFT 2'!$D:$D=$B51)*('DRAFT 2'!$A:$A&gt;=DATE(2026,3,1))*('DRAFT 2'!$A:$A&lt;DATE(2026,IF(3=12,3+1,3+1),1)),'DRAFT 2'!$A:$A),"")</f>
        <v/>
      </c>
      <c r="DK51" s="116">
        <f>COUNTIFS('DRAFT 2'!$D:$D,$B51,'DRAFT 2'!$A:$A,"&gt;="&amp;DATE(2026,3,1),'DRAFT 2'!$A:$A,"&lt;="&amp;DATE(2026,3,7))</f>
        <v/>
      </c>
      <c r="DL51" s="116">
        <f>COUNTIFS('DRAFT 2'!$D:$D,$B51,'DRAFT 2'!$A:$A,"&gt;="&amp;DATE(2026,3,8),'DRAFT 2'!$A:$A,"&lt;="&amp;DATE(2026,3,14))</f>
        <v/>
      </c>
      <c r="DM51" s="116">
        <f>COUNTIFS('DRAFT 2'!$D:$D,$B51,'DRAFT 2'!$A:$A,"&gt;="&amp;DATE(2026,3,15),'DRAFT 2'!$A:$A,"&lt;="&amp;DATE(2026,3,21))</f>
        <v/>
      </c>
      <c r="DN51" s="116">
        <f>COUNTIFS('DRAFT 2'!$D:$D,$B51,'DRAFT 2'!$A:$A,"&gt;="&amp;DATE(2026,3,22),'DRAFT 2'!$A:$A,"&lt;"&amp;DATE(2026,IF(3=12,3+1,3+1),1))</f>
        <v/>
      </c>
      <c r="DO51" s="116">
        <f>SUM(DK51:DN51)</f>
        <v/>
      </c>
      <c r="DZ51" s="116">
        <f>IFERROR(LOOKUP(2,1/('DRAFT 2'!$D:$D=$B51)*('DRAFT 2'!$A:$A&gt;=DATE(2026,4,1))*('DRAFT 2'!$A:$A&lt;DATE(2026,IF(4=12,4+1,4+1),1)),'DRAFT 2'!$A:$A),"")</f>
        <v/>
      </c>
      <c r="EA51" s="116">
        <f>COUNTIFS('DRAFT 2'!$D:$D,$B51,'DRAFT 2'!$A:$A,"&gt;="&amp;DATE(2026,4,1),'DRAFT 2'!$A:$A,"&lt;="&amp;DATE(2026,4,7))</f>
        <v/>
      </c>
      <c r="EB51" s="116">
        <f>COUNTIFS('DRAFT 2'!$D:$D,$B51,'DRAFT 2'!$A:$A,"&gt;="&amp;DATE(2026,4,8),'DRAFT 2'!$A:$A,"&lt;="&amp;DATE(2026,4,14))</f>
        <v/>
      </c>
      <c r="EC51" s="116">
        <f>COUNTIFS('DRAFT 2'!$D:$D,$B51,'DRAFT 2'!$A:$A,"&gt;="&amp;DATE(2026,4,15),'DRAFT 2'!$A:$A,"&lt;="&amp;DATE(2026,4,21))</f>
        <v/>
      </c>
      <c r="ED51" s="116">
        <f>COUNTIFS('DRAFT 2'!$D:$D,$B51,'DRAFT 2'!$A:$A,"&gt;="&amp;DATE(2026,4,22),'DRAFT 2'!$A:$A,"&lt;"&amp;DATE(2026,IF(4=12,4+1,4+1),1))</f>
        <v/>
      </c>
      <c r="EE51" s="116">
        <f>SUM(EA51:ED51)</f>
        <v/>
      </c>
      <c r="EO51" s="116">
        <f>IFERROR(LOOKUP(2,1/('DRAFT 2'!$D:$D=$B51)*('DRAFT 2'!$A:$A&gt;=DATE(2026,5,1))*('DRAFT 2'!$A:$A&lt;DATE(2026,IF(5=12,5+1,5+1),1)),'DRAFT 2'!$A:$A),"")</f>
        <v/>
      </c>
      <c r="EP51" s="116">
        <f>COUNTIFS('DRAFT 2'!$D:$D,$B51,'DRAFT 2'!$A:$A,"&gt;="&amp;DATE(2026,5,1),'DRAFT 2'!$A:$A,"&lt;="&amp;DATE(2026,5,7))</f>
        <v/>
      </c>
      <c r="EQ51" s="116">
        <f>COUNTIFS('DRAFT 2'!$D:$D,$B51,'DRAFT 2'!$A:$A,"&gt;="&amp;DATE(2026,5,8),'DRAFT 2'!$A:$A,"&lt;="&amp;DATE(2026,5,14))</f>
        <v/>
      </c>
      <c r="ER51" s="116">
        <f>COUNTIFS('DRAFT 2'!$D:$D,$B51,'DRAFT 2'!$A:$A,"&gt;="&amp;DATE(2026,5,15),'DRAFT 2'!$A:$A,"&lt;="&amp;DATE(2026,5,21))</f>
        <v/>
      </c>
      <c r="ES51" s="116">
        <f>COUNTIFS('DRAFT 2'!$D:$D,$B51,'DRAFT 2'!$A:$A,"&gt;="&amp;DATE(2026,5,22),'DRAFT 2'!$A:$A,"&lt;"&amp;DATE(2026,IF(5=12,5+1,5+1),1))</f>
        <v/>
      </c>
      <c r="ET51" s="116">
        <f>SUM(EP51:ES51)</f>
        <v/>
      </c>
      <c r="FD51" s="116">
        <f>IFERROR(LOOKUP(2,1/('DRAFT 2'!$D:$D=$B51)*('DRAFT 2'!$A:$A&gt;=DATE(2026,6,1))*('DRAFT 2'!$A:$A&lt;DATE(2026,IF(6=12,6+1,6+1),1)),'DRAFT 2'!$A:$A),"")</f>
        <v/>
      </c>
      <c r="FE51" s="116">
        <f>COUNTIFS('DRAFT 2'!$D:$D,$B51,'DRAFT 2'!$A:$A,"&gt;="&amp;DATE(2026,6,1),'DRAFT 2'!$A:$A,"&lt;="&amp;DATE(2026,6,7))</f>
        <v/>
      </c>
      <c r="FF51" s="116">
        <f>COUNTIFS('DRAFT 2'!$D:$D,$B51,'DRAFT 2'!$A:$A,"&gt;="&amp;DATE(2026,6,8),'DRAFT 2'!$A:$A,"&lt;="&amp;DATE(2026,6,14))</f>
        <v/>
      </c>
      <c r="FG51" s="116">
        <f>COUNTIFS('DRAFT 2'!$D:$D,$B51,'DRAFT 2'!$A:$A,"&gt;="&amp;DATE(2026,6,15),'DRAFT 2'!$A:$A,"&lt;="&amp;DATE(2026,6,21))</f>
        <v/>
      </c>
      <c r="FH51" s="116">
        <f>COUNTIFS('DRAFT 2'!$D:$D,$B51,'DRAFT 2'!$A:$A,"&gt;="&amp;DATE(2026,6,22),'DRAFT 2'!$A:$A,"&lt;"&amp;DATE(2026,IF(6=12,6+1,6+1),1))</f>
        <v/>
      </c>
      <c r="FI51" s="116">
        <f>SUM(FE51:FH51)</f>
        <v/>
      </c>
      <c r="FT51" s="116">
        <f>IFERROR(LOOKUP(2,1/('DRAFT 2'!$D:$D=$B51)*('DRAFT 2'!$A:$A&gt;=DATE(2026,7,1))*('DRAFT 2'!$A:$A&lt;DATE(2026,IF(7=12,7+1,7+1),1)),'DRAFT 2'!$A:$A),"")</f>
        <v/>
      </c>
      <c r="FU51" s="116">
        <f>COUNTIFS('DRAFT 2'!$D:$D,$B51,'DRAFT 2'!$A:$A,"&gt;="&amp;DATE(2026,7,1),'DRAFT 2'!$A:$A,"&lt;="&amp;DATE(2026,7,7))</f>
        <v/>
      </c>
      <c r="FV51" s="116">
        <f>COUNTIFS('DRAFT 2'!$D:$D,$B51,'DRAFT 2'!$A:$A,"&gt;="&amp;DATE(2026,7,8),'DRAFT 2'!$A:$A,"&lt;="&amp;DATE(2026,7,14))</f>
        <v/>
      </c>
      <c r="FW51" s="116">
        <f>COUNTIFS('DRAFT 2'!$D:$D,$B51,'DRAFT 2'!$A:$A,"&gt;="&amp;DATE(2026,7,15),'DRAFT 2'!$A:$A,"&lt;="&amp;DATE(2026,7,21))</f>
        <v/>
      </c>
      <c r="FX51" s="116">
        <f>COUNTIFS('DRAFT 2'!$D:$D,$B51,'DRAFT 2'!$A:$A,"&gt;="&amp;DATE(2026,7,22),'DRAFT 2'!$A:$A,"&lt;"&amp;DATE(2026,IF(7=12,7+1,7+1),1))</f>
        <v/>
      </c>
      <c r="FY51" s="116">
        <f>SUM(FU51:FX51)</f>
        <v/>
      </c>
      <c r="GI51" s="116">
        <f>IFERROR(LOOKUP(2,1/('DRAFT 2'!$D:$D=$B51)*('DRAFT 2'!$A:$A&gt;=DATE(2026,8,1))*('DRAFT 2'!$A:$A&lt;DATE(2026,IF(8=12,8+1,8+1),1)),'DRAFT 2'!$A:$A),"")</f>
        <v/>
      </c>
      <c r="GJ51" s="116">
        <f>COUNTIFS('DRAFT 2'!$D:$D,$B51,'DRAFT 2'!$A:$A,"&gt;="&amp;DATE(2026,8,1),'DRAFT 2'!$A:$A,"&lt;="&amp;DATE(2026,8,7))</f>
        <v/>
      </c>
      <c r="GK51" s="116">
        <f>COUNTIFS('DRAFT 2'!$D:$D,$B51,'DRAFT 2'!$A:$A,"&gt;="&amp;DATE(2026,8,8),'DRAFT 2'!$A:$A,"&lt;="&amp;DATE(2026,8,14))</f>
        <v/>
      </c>
      <c r="GL51" s="116">
        <f>COUNTIFS('DRAFT 2'!$D:$D,$B51,'DRAFT 2'!$A:$A,"&gt;="&amp;DATE(2026,8,15),'DRAFT 2'!$A:$A,"&lt;="&amp;DATE(2026,8,21))</f>
        <v/>
      </c>
      <c r="GM51" s="116">
        <f>COUNTIFS('DRAFT 2'!$D:$D,$B51,'DRAFT 2'!$A:$A,"&gt;="&amp;DATE(2026,8,22),'DRAFT 2'!$A:$A,"&lt;"&amp;DATE(2026,IF(8=12,8+1,8+1),1))</f>
        <v/>
      </c>
      <c r="GN51" s="116">
        <f>SUM(GJ51:GM51)</f>
        <v/>
      </c>
      <c r="GX51" s="116">
        <f>IFERROR(LOOKUP(2,1/('DRAFT 2'!$D:$D=$B51)*('DRAFT 2'!$A:$A&gt;=DATE(2026,9,1))*('DRAFT 2'!$A:$A&lt;DATE(2026,IF(9=12,9+1,9+1),1)),'DRAFT 2'!$A:$A),"")</f>
        <v/>
      </c>
      <c r="GY51" s="116">
        <f>COUNTIFS('DRAFT 2'!$D:$D,$B51,'DRAFT 2'!$A:$A,"&gt;="&amp;DATE(2026,9,1),'DRAFT 2'!$A:$A,"&lt;="&amp;DATE(2026,9,7))</f>
        <v/>
      </c>
      <c r="GZ51" s="116">
        <f>COUNTIFS('DRAFT 2'!$D:$D,$B51,'DRAFT 2'!$A:$A,"&gt;="&amp;DATE(2026,9,8),'DRAFT 2'!$A:$A,"&lt;="&amp;DATE(2026,9,14))</f>
        <v/>
      </c>
      <c r="HA51" s="116">
        <f>COUNTIFS('DRAFT 2'!$D:$D,$B51,'DRAFT 2'!$A:$A,"&gt;="&amp;DATE(2026,9,15),'DRAFT 2'!$A:$A,"&lt;="&amp;DATE(2026,9,21))</f>
        <v/>
      </c>
      <c r="HB51" s="116">
        <f>COUNTIFS('DRAFT 2'!$D:$D,$B51,'DRAFT 2'!$A:$A,"&gt;="&amp;DATE(2026,9,22),'DRAFT 2'!$A:$A,"&lt;"&amp;DATE(2026,IF(9=12,9+1,9+1),1))</f>
        <v/>
      </c>
      <c r="HC51" s="116">
        <f>SUM(GY51:HB51)</f>
        <v/>
      </c>
      <c r="HN51" s="116">
        <f>IFERROR(LOOKUP(2,1/('DRAFT 2'!$D:$D=$B51)*('DRAFT 2'!$A:$A&gt;=DATE(2026,10,1))*('DRAFT 2'!$A:$A&lt;DATE(2026,IF(10=12,10+1,10+1),1)),'DRAFT 2'!$A:$A),"")</f>
        <v/>
      </c>
      <c r="HO51" s="116">
        <f>COUNTIFS('DRAFT 2'!$D:$D,$B51,'DRAFT 2'!$A:$A,"&gt;="&amp;DATE(2026,10,1),'DRAFT 2'!$A:$A,"&lt;="&amp;DATE(2026,10,7))</f>
        <v/>
      </c>
      <c r="HP51" s="116">
        <f>COUNTIFS('DRAFT 2'!$D:$D,$B51,'DRAFT 2'!$A:$A,"&gt;="&amp;DATE(2026,10,8),'DRAFT 2'!$A:$A,"&lt;="&amp;DATE(2026,10,14))</f>
        <v/>
      </c>
      <c r="HQ51" s="116">
        <f>COUNTIFS('DRAFT 2'!$D:$D,$B51,'DRAFT 2'!$A:$A,"&gt;="&amp;DATE(2026,10,15),'DRAFT 2'!$A:$A,"&lt;="&amp;DATE(2026,10,21))</f>
        <v/>
      </c>
      <c r="HR51" s="116">
        <f>COUNTIFS('DRAFT 2'!$D:$D,$B51,'DRAFT 2'!$A:$A,"&gt;="&amp;DATE(2026,10,22),'DRAFT 2'!$A:$A,"&lt;"&amp;DATE(2026,IF(10=12,10+1,10+1),1))</f>
        <v/>
      </c>
      <c r="HS51" s="116">
        <f>SUM(HO51:HR51)</f>
        <v/>
      </c>
      <c r="IC51" s="116">
        <f>IFERROR(LOOKUP(2,1/('DRAFT 2'!$D:$D=$B51)*('DRAFT 2'!$A:$A&gt;=DATE(2026,11,1))*('DRAFT 2'!$A:$A&lt;DATE(2026,IF(11=12,11+1,11+1),1)),'DRAFT 2'!$A:$A),"")</f>
        <v/>
      </c>
      <c r="ID51" s="116">
        <f>COUNTIFS('DRAFT 2'!$D:$D,$B51,'DRAFT 2'!$A:$A,"&gt;="&amp;DATE(2026,11,1),'DRAFT 2'!$A:$A,"&lt;="&amp;DATE(2026,11,7))</f>
        <v/>
      </c>
      <c r="IE51" s="116">
        <f>COUNTIFS('DRAFT 2'!$D:$D,$B51,'DRAFT 2'!$A:$A,"&gt;="&amp;DATE(2026,11,8),'DRAFT 2'!$A:$A,"&lt;="&amp;DATE(2026,11,14))</f>
        <v/>
      </c>
      <c r="IF51" s="116">
        <f>COUNTIFS('DRAFT 2'!$D:$D,$B51,'DRAFT 2'!$A:$A,"&gt;="&amp;DATE(2026,11,15),'DRAFT 2'!$A:$A,"&lt;="&amp;DATE(2026,11,21))</f>
        <v/>
      </c>
      <c r="IG51" s="116">
        <f>COUNTIFS('DRAFT 2'!$D:$D,$B51,'DRAFT 2'!$A:$A,"&gt;="&amp;DATE(2026,11,22),'DRAFT 2'!$A:$A,"&lt;"&amp;DATE(2026,IF(11=12,11+1,11+1),1))</f>
        <v/>
      </c>
      <c r="IH51" s="116">
        <f>SUM(ID51:IG51)</f>
        <v/>
      </c>
      <c r="IR51" s="116">
        <f>IFERROR(LOOKUP(2,1/('DRAFT 2'!$D:$D=$B51)*('DRAFT 2'!$A:$A&gt;=DATE(2026,12,1))*('DRAFT 2'!$A:$A&lt;DATE(2026,IF(12=12,12+1,12+1),1)),'DRAFT 2'!$A:$A),"")</f>
        <v/>
      </c>
      <c r="IS51" s="116">
        <f>COUNTIFS('DRAFT 2'!$D:$D,$B51,'DRAFT 2'!$A:$A,"&gt;="&amp;DATE(2026,12,1),'DRAFT 2'!$A:$A,"&lt;="&amp;DATE(2026,12,7))</f>
        <v/>
      </c>
      <c r="IT51" s="116">
        <f>COUNTIFS('DRAFT 2'!$D:$D,$B51,'DRAFT 2'!$A:$A,"&gt;="&amp;DATE(2026,12,8),'DRAFT 2'!$A:$A,"&lt;="&amp;DATE(2026,12,14))</f>
        <v/>
      </c>
      <c r="IU51" s="116">
        <f>COUNTIFS('DRAFT 2'!$D:$D,$B51,'DRAFT 2'!$A:$A,"&gt;="&amp;DATE(2026,12,15),'DRAFT 2'!$A:$A,"&lt;="&amp;DATE(2026,12,21))</f>
        <v/>
      </c>
      <c r="IV51" s="116">
        <f>COUNTIFS('DRAFT 2'!$D:$D,$B51,'DRAFT 2'!$A:$A,"&gt;="&amp;DATE(2026,12,22),'DRAFT 2'!$A:$A,"&lt;"&amp;DATE(2026,IF(12=12,12+1,12+1),1))</f>
        <v/>
      </c>
      <c r="IW51" s="116">
        <f>SUM(IS51:IV51)</f>
        <v/>
      </c>
    </row>
    <row r="52">
      <c r="A52" s="116">
        <f>IFERROR(INDEX('DRAFT 1'!$A:$A,MATCH($B52,'DRAFT 1'!$B:$B,0)),"")</f>
        <v/>
      </c>
      <c r="C52" s="116">
        <f>IFERROR(INDEX('DRAFT 1'!$C:$C,MATCH($B52,'DRAFT 1'!$B:$B,0)),"")</f>
        <v/>
      </c>
      <c r="D52" s="116">
        <f>IFERROR(INDEX('DRAFT 1'!$D:$D,MATCH($B52,'DRAFT 1'!$B:$B,0)),"")</f>
        <v/>
      </c>
      <c r="E52" s="116">
        <f>IFERROR(INDEX('DRAFT 1'!$E:$E,MATCH($B52,'DRAFT 1'!$B:$B,0)),"")</f>
        <v/>
      </c>
      <c r="F52" s="116">
        <f>IFERROR(INDEX('DRAFT 1'!$F:$F,MATCH($B52,'DRAFT 1'!$B:$B,0)),"")</f>
        <v/>
      </c>
      <c r="G52" s="116">
        <f>IFERROR(INDEX('DRAFT 1'!$G:$G,MATCH($B52,'DRAFT 1'!$B:$B,0)),"")</f>
        <v/>
      </c>
      <c r="H52" s="116">
        <f>IFERROR(INDEX('DRAFT 1'!$H:$H,MATCH($B52,'DRAFT 1'!$B:$B,0)),"")</f>
        <v/>
      </c>
      <c r="I52" s="116" t="inlineStr">
        <is>
          <t>VIDA LEVE</t>
        </is>
      </c>
      <c r="K52" s="116">
        <f>IFERROR(INDEX('DRAFT 1'!$AL:$AL,MATCH($B52,'DRAFT 1'!$B:$B,0)),"")</f>
        <v/>
      </c>
      <c r="L52" s="116">
        <f>IFERROR(INDEX('DRAFT 1'!$J:$J,MATCH($B52,'DRAFT 1'!$B:$B,0)),"")</f>
        <v/>
      </c>
      <c r="M52" s="116">
        <f>IFERROR(INDEX('DRAFT 1'!$K:$K,MATCH($B52,'DRAFT 1'!$B:$B,0)),"")</f>
        <v/>
      </c>
      <c r="N52" s="116" t="inlineStr">
        <is>
          <t>ATIVO</t>
        </is>
      </c>
      <c r="P52" s="116">
        <f>IFERROR(INDEX('DRAFT 1'!$L:$L,MATCH($B52,'DRAFT 1'!$B:$B,0)),"")</f>
        <v/>
      </c>
      <c r="Q52" s="116">
        <f>IFERROR(INDEX('DRAFT 1'!$M:$M,MATCH($B52,'DRAFT 1'!$B:$B,0)),"")</f>
        <v/>
      </c>
      <c r="R52" s="116">
        <f>IFERROR(INDEX('DRAFT 1'!$N:$N,MATCH($B52,'DRAFT 1'!$B:$B,0)),"")</f>
        <v/>
      </c>
      <c r="S52" s="116">
        <f>IFERROR(INDEX('DRAFT 1'!$O:$O,MATCH($B52,'DRAFT 1'!$B:$B,0)),"")</f>
        <v/>
      </c>
      <c r="T52" s="116">
        <f>IFERROR(INDEX('DRAFT 1'!$P:$P,MATCH($B52,'DRAFT 1'!$B:$B,0)),"")</f>
        <v/>
      </c>
      <c r="U52" s="116">
        <f>IFERROR(INDEX('DRAFT 1'!$Q:$Q,MATCH($B52,'DRAFT 1'!$B:$B,0)),"")</f>
        <v/>
      </c>
      <c r="V52" s="116">
        <f>IFERROR(INDEX('DRAFT 1'!$R:$R,MATCH($B52,'DRAFT 1'!$B:$B,0)),"")</f>
        <v/>
      </c>
      <c r="W52" s="116">
        <f>IFERROR(INDEX('DRAFT 1'!$S:$S,MATCH($B52,'DRAFT 1'!$B:$B,0)),"")</f>
        <v/>
      </c>
      <c r="X52" s="116">
        <f>IFERROR(INDEX('DRAFT 1'!$T:$T,MATCH($B52,'DRAFT 1'!$B:$B,0)),"")</f>
        <v/>
      </c>
      <c r="Z52" s="116">
        <f>IFERROR(INDEX('DRAFT 1'!$U:$U,MATCH($B52,'DRAFT 1'!$B:$B,0)),"")</f>
        <v/>
      </c>
      <c r="AA52" s="116">
        <f>IFERROR(INDEX('DRAFT 1'!$V:$V,MATCH($B52,'DRAFT 1'!$B:$B,0)),"")</f>
        <v/>
      </c>
      <c r="AB52" s="116">
        <f>IFERROR(INDEX('DRAFT 1'!$W:$W,MATCH($B52,'DRAFT 1'!$B:$B,0)),"")</f>
        <v/>
      </c>
      <c r="AC52" s="116">
        <f>IFERROR(INDEX('DRAFT 1'!$X:$X,MATCH($B52,'DRAFT 1'!$B:$B,0)),"")</f>
        <v/>
      </c>
      <c r="AD52" s="116">
        <f>IFERROR(INDEX('DRAFT 1'!$Y:$Y,MATCH($B52,'DRAFT 1'!$B:$B,0)),"")</f>
        <v/>
      </c>
      <c r="AE52" s="116">
        <f>IFERROR(INDEX('DRAFT 1'!$Z:$Z,MATCH($B52,'DRAFT 1'!$B:$B,0)),"")</f>
        <v/>
      </c>
      <c r="AF52" s="116">
        <f>IFERROR(INDEX('DRAFT 1'!$AA:$AA,MATCH($B52,'DRAFT 1'!$B:$B,0)),"")</f>
        <v/>
      </c>
      <c r="AG52" s="116">
        <f>IFERROR(INDEX('DRAFT 1'!$AB:$AB,MATCH($B52,'DRAFT 1'!$B:$B,0)),"")</f>
        <v/>
      </c>
      <c r="AH52" s="116">
        <f>IFERROR(INDEX('DRAFT 1'!$AC:$AC,MATCH($B52,'DRAFT 1'!$B:$B,0)),"")</f>
        <v/>
      </c>
      <c r="AI52" s="116">
        <f>IFERROR(INDEX('DRAFT 1'!$AD:$AD,MATCH($B52,'DRAFT 1'!$B:$B,0)),"")</f>
        <v/>
      </c>
      <c r="AJ52" s="116">
        <f>IFERROR(INDEX('DRAFT 1'!$AE:$AE,MATCH($B52,'DRAFT 1'!$B:$B,0)),"")</f>
        <v/>
      </c>
      <c r="AK52" s="116">
        <f>IFERROR(INDEX('DRAFT 1'!$AG:$AG,MATCH($B52,'DRAFT 1'!$B:$B,0)),"")</f>
        <v/>
      </c>
      <c r="AL52" s="116">
        <f>IFERROR(INDEX('DRAFT 1'!$AH:$AH,MATCH($B52,'DRAFT 1'!$B:$B,0)),"")</f>
        <v/>
      </c>
      <c r="AM52" s="116">
        <f>IFERROR(INDEX('DRAFT 1'!$AI:$AI,MATCH($B52,'DRAFT 1'!$B:$B,0)),"")</f>
        <v/>
      </c>
      <c r="AN52" s="116">
        <f>IFERROR(INDEX('DRAFT 1'!$AJ:$AJ,MATCH($B52,'DRAFT 1'!$B:$B,0)),"")</f>
        <v/>
      </c>
      <c r="AO52" s="116">
        <f>IFERROR(Y52/AN52,0)</f>
        <v/>
      </c>
      <c r="AP52" s="116">
        <f>IFERROR(INDEX('DRAFT 1'!$AK:$AK,MATCH($B52,'DRAFT 1'!$B:$B,0)),"")</f>
        <v/>
      </c>
      <c r="AR52" s="116" t="inlineStr">
        <is>
          <t>RECOMPRA</t>
        </is>
      </c>
      <c r="AS52" s="116">
        <f>IFERROR(LOOKUP(2,1/('DRAFT 2'!$D:$D=$B52),'DRAFT 2'!$T:$T),"")</f>
        <v/>
      </c>
      <c r="AT52" s="116">
        <f>IFERROR(LOOKUP(2,1/('DRAFT 2'!$D:$D=$B52),'DRAFT 2'!$A:$A),"")</f>
        <v/>
      </c>
      <c r="AU52" s="116">
        <f>IFERROR(LOOKUP(2,1/('DRAFT 2'!$D:$D=$B52),'DRAFT 2'!$R:$R),"")</f>
        <v/>
      </c>
      <c r="AV52" s="116">
        <f>IFERROR(LOOKUP(2,1/('DRAFT 2'!$D:$D=$B52),'DRAFT 2'!$S:$S),"")</f>
        <v/>
      </c>
      <c r="AW52" s="116" t="inlineStr">
        <is>
          <t>RECORRENTE</t>
        </is>
      </c>
      <c r="AX52" s="116">
        <f>IFERROR(LOOKUP(2,1/('DRAFT 2'!$D:$D=$B52),'DRAFT 2'!$M:$M),"")</f>
        <v/>
      </c>
      <c r="AY52" s="116">
        <f>IFERROR(LOOKUP(2,1/('DRAFT 2'!$D:$D=$B52),'DRAFT 2'!$K:$K),"")</f>
        <v/>
      </c>
      <c r="BG52" s="116">
        <f>IFERROR(LOOKUP(2,1/('DRAFT 2'!$D:$D=$B52),'DRAFT 2'!$U:$U),"")</f>
        <v/>
      </c>
      <c r="BH52" s="116">
        <f>IFERROR(LOOKUP(2,1/('DRAFT 2'!$D:$D=$B52),'DRAFT 2'!$V:$V),"")</f>
        <v/>
      </c>
      <c r="CE52" s="116">
        <f>IFERROR(AJ52,0)</f>
        <v/>
      </c>
      <c r="CF52" s="116">
        <f>IFERROR(LOOKUP(2,1/('DRAFT 2'!$D:$D=$B52)*('DRAFT 2'!$A:$A&gt;=DATE(2026,1,1))*('DRAFT 2'!$A:$A&lt;DATE(2026,IF(1=12,1+1,1+1),1)),'DRAFT 2'!$A:$A),"")</f>
        <v/>
      </c>
      <c r="CG52" s="116">
        <f>COUNTIFS('DRAFT 2'!$D:$D,$B52,'DRAFT 2'!$A:$A,"&gt;="&amp;DATE(2026,1,1),'DRAFT 2'!$A:$A,"&lt;="&amp;DATE(2026,1,7))</f>
        <v/>
      </c>
      <c r="CH52" s="116">
        <f>COUNTIFS('DRAFT 2'!$D:$D,$B52,'DRAFT 2'!$A:$A,"&gt;="&amp;DATE(2026,1,8),'DRAFT 2'!$A:$A,"&lt;="&amp;DATE(2026,1,14))</f>
        <v/>
      </c>
      <c r="CI52" s="116">
        <f>COUNTIFS('DRAFT 2'!$D:$D,$B52,'DRAFT 2'!$A:$A,"&gt;="&amp;DATE(2026,1,15),'DRAFT 2'!$A:$A,"&lt;="&amp;DATE(2026,1,21))</f>
        <v/>
      </c>
      <c r="CJ52" s="116">
        <f>COUNTIFS('DRAFT 2'!$D:$D,$B52,'DRAFT 2'!$A:$A,"&gt;="&amp;DATE(2026,1,22),'DRAFT 2'!$A:$A,"&lt;"&amp;DATE(2026,IF(1=12,1+1,1+1),1))</f>
        <v/>
      </c>
      <c r="CK52" s="116">
        <f>SUM(CG52:CJ52)</f>
        <v/>
      </c>
      <c r="CT52" s="116" t="n">
        <v>0</v>
      </c>
      <c r="CU52" s="116">
        <f>IFERROR(LOOKUP(2,1/('DRAFT 2'!$D:$D=$B52)*('DRAFT 2'!$A:$A&gt;=DATE(2026,2,1))*('DRAFT 2'!$A:$A&lt;DATE(2026,IF(2=12,2+1,2+1),1)),'DRAFT 2'!$A:$A),"")</f>
        <v/>
      </c>
      <c r="CV52" s="116">
        <f>COUNTIFS('DRAFT 2'!$D:$D,$B52,'DRAFT 2'!$A:$A,"&gt;="&amp;DATE(2026,2,1),'DRAFT 2'!$A:$A,"&lt;="&amp;DATE(2026,2,7))</f>
        <v/>
      </c>
      <c r="CW52" s="116">
        <f>COUNTIFS('DRAFT 2'!$D:$D,$B52,'DRAFT 2'!$A:$A,"&gt;="&amp;DATE(2026,2,8),'DRAFT 2'!$A:$A,"&lt;="&amp;DATE(2026,2,14))</f>
        <v/>
      </c>
      <c r="CX52" s="116">
        <f>COUNTIFS('DRAFT 2'!$D:$D,$B52,'DRAFT 2'!$A:$A,"&gt;="&amp;DATE(2026,2,15),'DRAFT 2'!$A:$A,"&lt;="&amp;DATE(2026,2,21))</f>
        <v/>
      </c>
      <c r="CY52" s="116">
        <f>COUNTIFS('DRAFT 2'!$D:$D,$B52,'DRAFT 2'!$A:$A,"&gt;="&amp;DATE(2026,2,22),'DRAFT 2'!$A:$A,"&lt;"&amp;DATE(2026,IF(2=12,2+1,2+1),1))</f>
        <v/>
      </c>
      <c r="CZ52" s="116">
        <f>SUM(CV52:CY52)</f>
        <v/>
      </c>
      <c r="DJ52" s="116">
        <f>IFERROR(LOOKUP(2,1/('DRAFT 2'!$D:$D=$B52)*('DRAFT 2'!$A:$A&gt;=DATE(2026,3,1))*('DRAFT 2'!$A:$A&lt;DATE(2026,IF(3=12,3+1,3+1),1)),'DRAFT 2'!$A:$A),"")</f>
        <v/>
      </c>
      <c r="DK52" s="116">
        <f>COUNTIFS('DRAFT 2'!$D:$D,$B52,'DRAFT 2'!$A:$A,"&gt;="&amp;DATE(2026,3,1),'DRAFT 2'!$A:$A,"&lt;="&amp;DATE(2026,3,7))</f>
        <v/>
      </c>
      <c r="DL52" s="116">
        <f>COUNTIFS('DRAFT 2'!$D:$D,$B52,'DRAFT 2'!$A:$A,"&gt;="&amp;DATE(2026,3,8),'DRAFT 2'!$A:$A,"&lt;="&amp;DATE(2026,3,14))</f>
        <v/>
      </c>
      <c r="DM52" s="116">
        <f>COUNTIFS('DRAFT 2'!$D:$D,$B52,'DRAFT 2'!$A:$A,"&gt;="&amp;DATE(2026,3,15),'DRAFT 2'!$A:$A,"&lt;="&amp;DATE(2026,3,21))</f>
        <v/>
      </c>
      <c r="DN52" s="116">
        <f>COUNTIFS('DRAFT 2'!$D:$D,$B52,'DRAFT 2'!$A:$A,"&gt;="&amp;DATE(2026,3,22),'DRAFT 2'!$A:$A,"&lt;"&amp;DATE(2026,IF(3=12,3+1,3+1),1))</f>
        <v/>
      </c>
      <c r="DO52" s="116">
        <f>SUM(DK52:DN52)</f>
        <v/>
      </c>
      <c r="DZ52" s="116">
        <f>IFERROR(LOOKUP(2,1/('DRAFT 2'!$D:$D=$B52)*('DRAFT 2'!$A:$A&gt;=DATE(2026,4,1))*('DRAFT 2'!$A:$A&lt;DATE(2026,IF(4=12,4+1,4+1),1)),'DRAFT 2'!$A:$A),"")</f>
        <v/>
      </c>
      <c r="EA52" s="116">
        <f>COUNTIFS('DRAFT 2'!$D:$D,$B52,'DRAFT 2'!$A:$A,"&gt;="&amp;DATE(2026,4,1),'DRAFT 2'!$A:$A,"&lt;="&amp;DATE(2026,4,7))</f>
        <v/>
      </c>
      <c r="EB52" s="116">
        <f>COUNTIFS('DRAFT 2'!$D:$D,$B52,'DRAFT 2'!$A:$A,"&gt;="&amp;DATE(2026,4,8),'DRAFT 2'!$A:$A,"&lt;="&amp;DATE(2026,4,14))</f>
        <v/>
      </c>
      <c r="EC52" s="116">
        <f>COUNTIFS('DRAFT 2'!$D:$D,$B52,'DRAFT 2'!$A:$A,"&gt;="&amp;DATE(2026,4,15),'DRAFT 2'!$A:$A,"&lt;="&amp;DATE(2026,4,21))</f>
        <v/>
      </c>
      <c r="ED52" s="116">
        <f>COUNTIFS('DRAFT 2'!$D:$D,$B52,'DRAFT 2'!$A:$A,"&gt;="&amp;DATE(2026,4,22),'DRAFT 2'!$A:$A,"&lt;"&amp;DATE(2026,IF(4=12,4+1,4+1),1))</f>
        <v/>
      </c>
      <c r="EE52" s="116">
        <f>SUM(EA52:ED52)</f>
        <v/>
      </c>
      <c r="EO52" s="116">
        <f>IFERROR(LOOKUP(2,1/('DRAFT 2'!$D:$D=$B52)*('DRAFT 2'!$A:$A&gt;=DATE(2026,5,1))*('DRAFT 2'!$A:$A&lt;DATE(2026,IF(5=12,5+1,5+1),1)),'DRAFT 2'!$A:$A),"")</f>
        <v/>
      </c>
      <c r="EP52" s="116">
        <f>COUNTIFS('DRAFT 2'!$D:$D,$B52,'DRAFT 2'!$A:$A,"&gt;="&amp;DATE(2026,5,1),'DRAFT 2'!$A:$A,"&lt;="&amp;DATE(2026,5,7))</f>
        <v/>
      </c>
      <c r="EQ52" s="116">
        <f>COUNTIFS('DRAFT 2'!$D:$D,$B52,'DRAFT 2'!$A:$A,"&gt;="&amp;DATE(2026,5,8),'DRAFT 2'!$A:$A,"&lt;="&amp;DATE(2026,5,14))</f>
        <v/>
      </c>
      <c r="ER52" s="116">
        <f>COUNTIFS('DRAFT 2'!$D:$D,$B52,'DRAFT 2'!$A:$A,"&gt;="&amp;DATE(2026,5,15),'DRAFT 2'!$A:$A,"&lt;="&amp;DATE(2026,5,21))</f>
        <v/>
      </c>
      <c r="ES52" s="116">
        <f>COUNTIFS('DRAFT 2'!$D:$D,$B52,'DRAFT 2'!$A:$A,"&gt;="&amp;DATE(2026,5,22),'DRAFT 2'!$A:$A,"&lt;"&amp;DATE(2026,IF(5=12,5+1,5+1),1))</f>
        <v/>
      </c>
      <c r="ET52" s="116">
        <f>SUM(EP52:ES52)</f>
        <v/>
      </c>
      <c r="FD52" s="116">
        <f>IFERROR(LOOKUP(2,1/('DRAFT 2'!$D:$D=$B52)*('DRAFT 2'!$A:$A&gt;=DATE(2026,6,1))*('DRAFT 2'!$A:$A&lt;DATE(2026,IF(6=12,6+1,6+1),1)),'DRAFT 2'!$A:$A),"")</f>
        <v/>
      </c>
      <c r="FE52" s="116">
        <f>COUNTIFS('DRAFT 2'!$D:$D,$B52,'DRAFT 2'!$A:$A,"&gt;="&amp;DATE(2026,6,1),'DRAFT 2'!$A:$A,"&lt;="&amp;DATE(2026,6,7))</f>
        <v/>
      </c>
      <c r="FF52" s="116">
        <f>COUNTIFS('DRAFT 2'!$D:$D,$B52,'DRAFT 2'!$A:$A,"&gt;="&amp;DATE(2026,6,8),'DRAFT 2'!$A:$A,"&lt;="&amp;DATE(2026,6,14))</f>
        <v/>
      </c>
      <c r="FG52" s="116">
        <f>COUNTIFS('DRAFT 2'!$D:$D,$B52,'DRAFT 2'!$A:$A,"&gt;="&amp;DATE(2026,6,15),'DRAFT 2'!$A:$A,"&lt;="&amp;DATE(2026,6,21))</f>
        <v/>
      </c>
      <c r="FH52" s="116">
        <f>COUNTIFS('DRAFT 2'!$D:$D,$B52,'DRAFT 2'!$A:$A,"&gt;="&amp;DATE(2026,6,22),'DRAFT 2'!$A:$A,"&lt;"&amp;DATE(2026,IF(6=12,6+1,6+1),1))</f>
        <v/>
      </c>
      <c r="FI52" s="116">
        <f>SUM(FE52:FH52)</f>
        <v/>
      </c>
      <c r="FT52" s="116">
        <f>IFERROR(LOOKUP(2,1/('DRAFT 2'!$D:$D=$B52)*('DRAFT 2'!$A:$A&gt;=DATE(2026,7,1))*('DRAFT 2'!$A:$A&lt;DATE(2026,IF(7=12,7+1,7+1),1)),'DRAFT 2'!$A:$A),"")</f>
        <v/>
      </c>
      <c r="FU52" s="116">
        <f>COUNTIFS('DRAFT 2'!$D:$D,$B52,'DRAFT 2'!$A:$A,"&gt;="&amp;DATE(2026,7,1),'DRAFT 2'!$A:$A,"&lt;="&amp;DATE(2026,7,7))</f>
        <v/>
      </c>
      <c r="FV52" s="116">
        <f>COUNTIFS('DRAFT 2'!$D:$D,$B52,'DRAFT 2'!$A:$A,"&gt;="&amp;DATE(2026,7,8),'DRAFT 2'!$A:$A,"&lt;="&amp;DATE(2026,7,14))</f>
        <v/>
      </c>
      <c r="FW52" s="116">
        <f>COUNTIFS('DRAFT 2'!$D:$D,$B52,'DRAFT 2'!$A:$A,"&gt;="&amp;DATE(2026,7,15),'DRAFT 2'!$A:$A,"&lt;="&amp;DATE(2026,7,21))</f>
        <v/>
      </c>
      <c r="FX52" s="116">
        <f>COUNTIFS('DRAFT 2'!$D:$D,$B52,'DRAFT 2'!$A:$A,"&gt;="&amp;DATE(2026,7,22),'DRAFT 2'!$A:$A,"&lt;"&amp;DATE(2026,IF(7=12,7+1,7+1),1))</f>
        <v/>
      </c>
      <c r="FY52" s="116">
        <f>SUM(FU52:FX52)</f>
        <v/>
      </c>
      <c r="GI52" s="116">
        <f>IFERROR(LOOKUP(2,1/('DRAFT 2'!$D:$D=$B52)*('DRAFT 2'!$A:$A&gt;=DATE(2026,8,1))*('DRAFT 2'!$A:$A&lt;DATE(2026,IF(8=12,8+1,8+1),1)),'DRAFT 2'!$A:$A),"")</f>
        <v/>
      </c>
      <c r="GJ52" s="116">
        <f>COUNTIFS('DRAFT 2'!$D:$D,$B52,'DRAFT 2'!$A:$A,"&gt;="&amp;DATE(2026,8,1),'DRAFT 2'!$A:$A,"&lt;="&amp;DATE(2026,8,7))</f>
        <v/>
      </c>
      <c r="GK52" s="116">
        <f>COUNTIFS('DRAFT 2'!$D:$D,$B52,'DRAFT 2'!$A:$A,"&gt;="&amp;DATE(2026,8,8),'DRAFT 2'!$A:$A,"&lt;="&amp;DATE(2026,8,14))</f>
        <v/>
      </c>
      <c r="GL52" s="116">
        <f>COUNTIFS('DRAFT 2'!$D:$D,$B52,'DRAFT 2'!$A:$A,"&gt;="&amp;DATE(2026,8,15),'DRAFT 2'!$A:$A,"&lt;="&amp;DATE(2026,8,21))</f>
        <v/>
      </c>
      <c r="GM52" s="116">
        <f>COUNTIFS('DRAFT 2'!$D:$D,$B52,'DRAFT 2'!$A:$A,"&gt;="&amp;DATE(2026,8,22),'DRAFT 2'!$A:$A,"&lt;"&amp;DATE(2026,IF(8=12,8+1,8+1),1))</f>
        <v/>
      </c>
      <c r="GN52" s="116">
        <f>SUM(GJ52:GM52)</f>
        <v/>
      </c>
      <c r="GX52" s="116">
        <f>IFERROR(LOOKUP(2,1/('DRAFT 2'!$D:$D=$B52)*('DRAFT 2'!$A:$A&gt;=DATE(2026,9,1))*('DRAFT 2'!$A:$A&lt;DATE(2026,IF(9=12,9+1,9+1),1)),'DRAFT 2'!$A:$A),"")</f>
        <v/>
      </c>
      <c r="GY52" s="116">
        <f>COUNTIFS('DRAFT 2'!$D:$D,$B52,'DRAFT 2'!$A:$A,"&gt;="&amp;DATE(2026,9,1),'DRAFT 2'!$A:$A,"&lt;="&amp;DATE(2026,9,7))</f>
        <v/>
      </c>
      <c r="GZ52" s="116">
        <f>COUNTIFS('DRAFT 2'!$D:$D,$B52,'DRAFT 2'!$A:$A,"&gt;="&amp;DATE(2026,9,8),'DRAFT 2'!$A:$A,"&lt;="&amp;DATE(2026,9,14))</f>
        <v/>
      </c>
      <c r="HA52" s="116">
        <f>COUNTIFS('DRAFT 2'!$D:$D,$B52,'DRAFT 2'!$A:$A,"&gt;="&amp;DATE(2026,9,15),'DRAFT 2'!$A:$A,"&lt;="&amp;DATE(2026,9,21))</f>
        <v/>
      </c>
      <c r="HB52" s="116">
        <f>COUNTIFS('DRAFT 2'!$D:$D,$B52,'DRAFT 2'!$A:$A,"&gt;="&amp;DATE(2026,9,22),'DRAFT 2'!$A:$A,"&lt;"&amp;DATE(2026,IF(9=12,9+1,9+1),1))</f>
        <v/>
      </c>
      <c r="HC52" s="116">
        <f>SUM(GY52:HB52)</f>
        <v/>
      </c>
      <c r="HN52" s="116">
        <f>IFERROR(LOOKUP(2,1/('DRAFT 2'!$D:$D=$B52)*('DRAFT 2'!$A:$A&gt;=DATE(2026,10,1))*('DRAFT 2'!$A:$A&lt;DATE(2026,IF(10=12,10+1,10+1),1)),'DRAFT 2'!$A:$A),"")</f>
        <v/>
      </c>
      <c r="HO52" s="116">
        <f>COUNTIFS('DRAFT 2'!$D:$D,$B52,'DRAFT 2'!$A:$A,"&gt;="&amp;DATE(2026,10,1),'DRAFT 2'!$A:$A,"&lt;="&amp;DATE(2026,10,7))</f>
        <v/>
      </c>
      <c r="HP52" s="116">
        <f>COUNTIFS('DRAFT 2'!$D:$D,$B52,'DRAFT 2'!$A:$A,"&gt;="&amp;DATE(2026,10,8),'DRAFT 2'!$A:$A,"&lt;="&amp;DATE(2026,10,14))</f>
        <v/>
      </c>
      <c r="HQ52" s="116">
        <f>COUNTIFS('DRAFT 2'!$D:$D,$B52,'DRAFT 2'!$A:$A,"&gt;="&amp;DATE(2026,10,15),'DRAFT 2'!$A:$A,"&lt;="&amp;DATE(2026,10,21))</f>
        <v/>
      </c>
      <c r="HR52" s="116">
        <f>COUNTIFS('DRAFT 2'!$D:$D,$B52,'DRAFT 2'!$A:$A,"&gt;="&amp;DATE(2026,10,22),'DRAFT 2'!$A:$A,"&lt;"&amp;DATE(2026,IF(10=12,10+1,10+1),1))</f>
        <v/>
      </c>
      <c r="HS52" s="116">
        <f>SUM(HO52:HR52)</f>
        <v/>
      </c>
      <c r="IC52" s="116">
        <f>IFERROR(LOOKUP(2,1/('DRAFT 2'!$D:$D=$B52)*('DRAFT 2'!$A:$A&gt;=DATE(2026,11,1))*('DRAFT 2'!$A:$A&lt;DATE(2026,IF(11=12,11+1,11+1),1)),'DRAFT 2'!$A:$A),"")</f>
        <v/>
      </c>
      <c r="ID52" s="116">
        <f>COUNTIFS('DRAFT 2'!$D:$D,$B52,'DRAFT 2'!$A:$A,"&gt;="&amp;DATE(2026,11,1),'DRAFT 2'!$A:$A,"&lt;="&amp;DATE(2026,11,7))</f>
        <v/>
      </c>
      <c r="IE52" s="116">
        <f>COUNTIFS('DRAFT 2'!$D:$D,$B52,'DRAFT 2'!$A:$A,"&gt;="&amp;DATE(2026,11,8),'DRAFT 2'!$A:$A,"&lt;="&amp;DATE(2026,11,14))</f>
        <v/>
      </c>
      <c r="IF52" s="116">
        <f>COUNTIFS('DRAFT 2'!$D:$D,$B52,'DRAFT 2'!$A:$A,"&gt;="&amp;DATE(2026,11,15),'DRAFT 2'!$A:$A,"&lt;="&amp;DATE(2026,11,21))</f>
        <v/>
      </c>
      <c r="IG52" s="116">
        <f>COUNTIFS('DRAFT 2'!$D:$D,$B52,'DRAFT 2'!$A:$A,"&gt;="&amp;DATE(2026,11,22),'DRAFT 2'!$A:$A,"&lt;"&amp;DATE(2026,IF(11=12,11+1,11+1),1))</f>
        <v/>
      </c>
      <c r="IH52" s="116">
        <f>SUM(ID52:IG52)</f>
        <v/>
      </c>
      <c r="IR52" s="116">
        <f>IFERROR(LOOKUP(2,1/('DRAFT 2'!$D:$D=$B52)*('DRAFT 2'!$A:$A&gt;=DATE(2026,12,1))*('DRAFT 2'!$A:$A&lt;DATE(2026,IF(12=12,12+1,12+1),1)),'DRAFT 2'!$A:$A),"")</f>
        <v/>
      </c>
      <c r="IS52" s="116">
        <f>COUNTIFS('DRAFT 2'!$D:$D,$B52,'DRAFT 2'!$A:$A,"&gt;="&amp;DATE(2026,12,1),'DRAFT 2'!$A:$A,"&lt;="&amp;DATE(2026,12,7))</f>
        <v/>
      </c>
      <c r="IT52" s="116">
        <f>COUNTIFS('DRAFT 2'!$D:$D,$B52,'DRAFT 2'!$A:$A,"&gt;="&amp;DATE(2026,12,8),'DRAFT 2'!$A:$A,"&lt;="&amp;DATE(2026,12,14))</f>
        <v/>
      </c>
      <c r="IU52" s="116">
        <f>COUNTIFS('DRAFT 2'!$D:$D,$B52,'DRAFT 2'!$A:$A,"&gt;="&amp;DATE(2026,12,15),'DRAFT 2'!$A:$A,"&lt;="&amp;DATE(2026,12,21))</f>
        <v/>
      </c>
      <c r="IV52" s="116">
        <f>COUNTIFS('DRAFT 2'!$D:$D,$B52,'DRAFT 2'!$A:$A,"&gt;="&amp;DATE(2026,12,22),'DRAFT 2'!$A:$A,"&lt;"&amp;DATE(2026,IF(12=12,12+1,12+1),1))</f>
        <v/>
      </c>
      <c r="IW52" s="116">
        <f>SUM(IS52:IV52)</f>
        <v/>
      </c>
    </row>
    <row r="53">
      <c r="A53" s="116">
        <f>IFERROR(INDEX('DRAFT 1'!$A:$A,MATCH($B53,'DRAFT 1'!$B:$B,0)),"")</f>
        <v/>
      </c>
      <c r="C53" s="116">
        <f>IFERROR(INDEX('DRAFT 1'!$C:$C,MATCH($B53,'DRAFT 1'!$B:$B,0)),"")</f>
        <v/>
      </c>
      <c r="D53" s="116">
        <f>IFERROR(INDEX('DRAFT 1'!$D:$D,MATCH($B53,'DRAFT 1'!$B:$B,0)),"")</f>
        <v/>
      </c>
      <c r="E53" s="116">
        <f>IFERROR(INDEX('DRAFT 1'!$E:$E,MATCH($B53,'DRAFT 1'!$B:$B,0)),"")</f>
        <v/>
      </c>
      <c r="F53" s="116">
        <f>IFERROR(INDEX('DRAFT 1'!$F:$F,MATCH($B53,'DRAFT 1'!$B:$B,0)),"")</f>
        <v/>
      </c>
      <c r="G53" s="116">
        <f>IFERROR(INDEX('DRAFT 1'!$G:$G,MATCH($B53,'DRAFT 1'!$B:$B,0)),"")</f>
        <v/>
      </c>
      <c r="H53" s="116">
        <f>IFERROR(INDEX('DRAFT 1'!$H:$H,MATCH($B53,'DRAFT 1'!$B:$B,0)),"")</f>
        <v/>
      </c>
      <c r="I53" s="116" t="inlineStr">
        <is>
          <t>VIDA LEVE</t>
        </is>
      </c>
      <c r="K53" s="116">
        <f>IFERROR(INDEX('DRAFT 1'!$AL:$AL,MATCH($B53,'DRAFT 1'!$B:$B,0)),"")</f>
        <v/>
      </c>
      <c r="L53" s="116">
        <f>IFERROR(INDEX('DRAFT 1'!$J:$J,MATCH($B53,'DRAFT 1'!$B:$B,0)),"")</f>
        <v/>
      </c>
      <c r="M53" s="116">
        <f>IFERROR(INDEX('DRAFT 1'!$K:$K,MATCH($B53,'DRAFT 1'!$B:$B,0)),"")</f>
        <v/>
      </c>
      <c r="N53" s="116" t="inlineStr">
        <is>
          <t>INAT.REC</t>
        </is>
      </c>
      <c r="P53" s="116">
        <f>IFERROR(INDEX('DRAFT 1'!$L:$L,MATCH($B53,'DRAFT 1'!$B:$B,0)),"")</f>
        <v/>
      </c>
      <c r="Q53" s="116">
        <f>IFERROR(INDEX('DRAFT 1'!$M:$M,MATCH($B53,'DRAFT 1'!$B:$B,0)),"")</f>
        <v/>
      </c>
      <c r="R53" s="116">
        <f>IFERROR(INDEX('DRAFT 1'!$N:$N,MATCH($B53,'DRAFT 1'!$B:$B,0)),"")</f>
        <v/>
      </c>
      <c r="S53" s="116">
        <f>IFERROR(INDEX('DRAFT 1'!$O:$O,MATCH($B53,'DRAFT 1'!$B:$B,0)),"")</f>
        <v/>
      </c>
      <c r="T53" s="116">
        <f>IFERROR(INDEX('DRAFT 1'!$P:$P,MATCH($B53,'DRAFT 1'!$B:$B,0)),"")</f>
        <v/>
      </c>
      <c r="U53" s="116">
        <f>IFERROR(INDEX('DRAFT 1'!$Q:$Q,MATCH($B53,'DRAFT 1'!$B:$B,0)),"")</f>
        <v/>
      </c>
      <c r="V53" s="116">
        <f>IFERROR(INDEX('DRAFT 1'!$R:$R,MATCH($B53,'DRAFT 1'!$B:$B,0)),"")</f>
        <v/>
      </c>
      <c r="W53" s="116">
        <f>IFERROR(INDEX('DRAFT 1'!$S:$S,MATCH($B53,'DRAFT 1'!$B:$B,0)),"")</f>
        <v/>
      </c>
      <c r="X53" s="116">
        <f>IFERROR(INDEX('DRAFT 1'!$T:$T,MATCH($B53,'DRAFT 1'!$B:$B,0)),"")</f>
        <v/>
      </c>
      <c r="Z53" s="116">
        <f>IFERROR(INDEX('DRAFT 1'!$U:$U,MATCH($B53,'DRAFT 1'!$B:$B,0)),"")</f>
        <v/>
      </c>
      <c r="AA53" s="116">
        <f>IFERROR(INDEX('DRAFT 1'!$V:$V,MATCH($B53,'DRAFT 1'!$B:$B,0)),"")</f>
        <v/>
      </c>
      <c r="AB53" s="116">
        <f>IFERROR(INDEX('DRAFT 1'!$W:$W,MATCH($B53,'DRAFT 1'!$B:$B,0)),"")</f>
        <v/>
      </c>
      <c r="AC53" s="116">
        <f>IFERROR(INDEX('DRAFT 1'!$X:$X,MATCH($B53,'DRAFT 1'!$B:$B,0)),"")</f>
        <v/>
      </c>
      <c r="AD53" s="116">
        <f>IFERROR(INDEX('DRAFT 1'!$Y:$Y,MATCH($B53,'DRAFT 1'!$B:$B,0)),"")</f>
        <v/>
      </c>
      <c r="AE53" s="116">
        <f>IFERROR(INDEX('DRAFT 1'!$Z:$Z,MATCH($B53,'DRAFT 1'!$B:$B,0)),"")</f>
        <v/>
      </c>
      <c r="AF53" s="116">
        <f>IFERROR(INDEX('DRAFT 1'!$AA:$AA,MATCH($B53,'DRAFT 1'!$B:$B,0)),"")</f>
        <v/>
      </c>
      <c r="AG53" s="116">
        <f>IFERROR(INDEX('DRAFT 1'!$AB:$AB,MATCH($B53,'DRAFT 1'!$B:$B,0)),"")</f>
        <v/>
      </c>
      <c r="AH53" s="116">
        <f>IFERROR(INDEX('DRAFT 1'!$AC:$AC,MATCH($B53,'DRAFT 1'!$B:$B,0)),"")</f>
        <v/>
      </c>
      <c r="AI53" s="116">
        <f>IFERROR(INDEX('DRAFT 1'!$AD:$AD,MATCH($B53,'DRAFT 1'!$B:$B,0)),"")</f>
        <v/>
      </c>
      <c r="AJ53" s="116">
        <f>IFERROR(INDEX('DRAFT 1'!$AE:$AE,MATCH($B53,'DRAFT 1'!$B:$B,0)),"")</f>
        <v/>
      </c>
      <c r="AK53" s="116">
        <f>IFERROR(INDEX('DRAFT 1'!$AG:$AG,MATCH($B53,'DRAFT 1'!$B:$B,0)),"")</f>
        <v/>
      </c>
      <c r="AL53" s="116">
        <f>IFERROR(INDEX('DRAFT 1'!$AH:$AH,MATCH($B53,'DRAFT 1'!$B:$B,0)),"")</f>
        <v/>
      </c>
      <c r="AM53" s="116">
        <f>IFERROR(INDEX('DRAFT 1'!$AI:$AI,MATCH($B53,'DRAFT 1'!$B:$B,0)),"")</f>
        <v/>
      </c>
      <c r="AN53" s="116">
        <f>IFERROR(INDEX('DRAFT 1'!$AJ:$AJ,MATCH($B53,'DRAFT 1'!$B:$B,0)),"")</f>
        <v/>
      </c>
      <c r="AO53" s="116">
        <f>IFERROR(Y53/AN53,0)</f>
        <v/>
      </c>
      <c r="AP53" s="116">
        <f>IFERROR(INDEX('DRAFT 1'!$AK:$AK,MATCH($B53,'DRAFT 1'!$B:$B,0)),"")</f>
        <v/>
      </c>
      <c r="AR53" s="116" t="inlineStr">
        <is>
          <t>NUTRIÇÃO</t>
        </is>
      </c>
      <c r="AS53" s="116">
        <f>IFERROR(LOOKUP(2,1/('DRAFT 2'!$D:$D=$B53),'DRAFT 2'!$T:$T),"")</f>
        <v/>
      </c>
      <c r="AT53" s="116">
        <f>IFERROR(LOOKUP(2,1/('DRAFT 2'!$D:$D=$B53),'DRAFT 2'!$A:$A),"")</f>
        <v/>
      </c>
      <c r="AU53" s="116">
        <f>IFERROR(LOOKUP(2,1/('DRAFT 2'!$D:$D=$B53),'DRAFT 2'!$R:$R),"")</f>
        <v/>
      </c>
      <c r="AV53" s="116">
        <f>IFERROR(LOOKUP(2,1/('DRAFT 2'!$D:$D=$B53),'DRAFT 2'!$S:$S),"")</f>
        <v/>
      </c>
      <c r="AW53" s="116" t="inlineStr">
        <is>
          <t>RECORRENTE</t>
        </is>
      </c>
      <c r="AX53" s="116">
        <f>IFERROR(LOOKUP(2,1/('DRAFT 2'!$D:$D=$B53),'DRAFT 2'!$M:$M),"")</f>
        <v/>
      </c>
      <c r="AY53" s="116">
        <f>IFERROR(LOOKUP(2,1/('DRAFT 2'!$D:$D=$B53),'DRAFT 2'!$K:$K),"")</f>
        <v/>
      </c>
      <c r="BG53" s="116">
        <f>IFERROR(LOOKUP(2,1/('DRAFT 2'!$D:$D=$B53),'DRAFT 2'!$U:$U),"")</f>
        <v/>
      </c>
      <c r="BH53" s="116">
        <f>IFERROR(LOOKUP(2,1/('DRAFT 2'!$D:$D=$B53),'DRAFT 2'!$V:$V),"")</f>
        <v/>
      </c>
      <c r="CE53" s="116">
        <f>IFERROR(AJ53,0)</f>
        <v/>
      </c>
      <c r="CF53" s="116">
        <f>IFERROR(LOOKUP(2,1/('DRAFT 2'!$D:$D=$B53)*('DRAFT 2'!$A:$A&gt;=DATE(2026,1,1))*('DRAFT 2'!$A:$A&lt;DATE(2026,IF(1=12,1+1,1+1),1)),'DRAFT 2'!$A:$A),"")</f>
        <v/>
      </c>
      <c r="CG53" s="116">
        <f>COUNTIFS('DRAFT 2'!$D:$D,$B53,'DRAFT 2'!$A:$A,"&gt;="&amp;DATE(2026,1,1),'DRAFT 2'!$A:$A,"&lt;="&amp;DATE(2026,1,7))</f>
        <v/>
      </c>
      <c r="CH53" s="116">
        <f>COUNTIFS('DRAFT 2'!$D:$D,$B53,'DRAFT 2'!$A:$A,"&gt;="&amp;DATE(2026,1,8),'DRAFT 2'!$A:$A,"&lt;="&amp;DATE(2026,1,14))</f>
        <v/>
      </c>
      <c r="CI53" s="116">
        <f>COUNTIFS('DRAFT 2'!$D:$D,$B53,'DRAFT 2'!$A:$A,"&gt;="&amp;DATE(2026,1,15),'DRAFT 2'!$A:$A,"&lt;="&amp;DATE(2026,1,21))</f>
        <v/>
      </c>
      <c r="CJ53" s="116">
        <f>COUNTIFS('DRAFT 2'!$D:$D,$B53,'DRAFT 2'!$A:$A,"&gt;="&amp;DATE(2026,1,22),'DRAFT 2'!$A:$A,"&lt;"&amp;DATE(2026,IF(1=12,1+1,1+1),1))</f>
        <v/>
      </c>
      <c r="CK53" s="116">
        <f>SUM(CG53:CJ53)</f>
        <v/>
      </c>
      <c r="CT53" s="116" t="n">
        <v>0</v>
      </c>
      <c r="CU53" s="116">
        <f>IFERROR(LOOKUP(2,1/('DRAFT 2'!$D:$D=$B53)*('DRAFT 2'!$A:$A&gt;=DATE(2026,2,1))*('DRAFT 2'!$A:$A&lt;DATE(2026,IF(2=12,2+1,2+1),1)),'DRAFT 2'!$A:$A),"")</f>
        <v/>
      </c>
      <c r="CV53" s="116">
        <f>COUNTIFS('DRAFT 2'!$D:$D,$B53,'DRAFT 2'!$A:$A,"&gt;="&amp;DATE(2026,2,1),'DRAFT 2'!$A:$A,"&lt;="&amp;DATE(2026,2,7))</f>
        <v/>
      </c>
      <c r="CW53" s="116">
        <f>COUNTIFS('DRAFT 2'!$D:$D,$B53,'DRAFT 2'!$A:$A,"&gt;="&amp;DATE(2026,2,8),'DRAFT 2'!$A:$A,"&lt;="&amp;DATE(2026,2,14))</f>
        <v/>
      </c>
      <c r="CX53" s="116">
        <f>COUNTIFS('DRAFT 2'!$D:$D,$B53,'DRAFT 2'!$A:$A,"&gt;="&amp;DATE(2026,2,15),'DRAFT 2'!$A:$A,"&lt;="&amp;DATE(2026,2,21))</f>
        <v/>
      </c>
      <c r="CY53" s="116">
        <f>COUNTIFS('DRAFT 2'!$D:$D,$B53,'DRAFT 2'!$A:$A,"&gt;="&amp;DATE(2026,2,22),'DRAFT 2'!$A:$A,"&lt;"&amp;DATE(2026,IF(2=12,2+1,2+1),1))</f>
        <v/>
      </c>
      <c r="CZ53" s="116">
        <f>SUM(CV53:CY53)</f>
        <v/>
      </c>
      <c r="DJ53" s="116">
        <f>IFERROR(LOOKUP(2,1/('DRAFT 2'!$D:$D=$B53)*('DRAFT 2'!$A:$A&gt;=DATE(2026,3,1))*('DRAFT 2'!$A:$A&lt;DATE(2026,IF(3=12,3+1,3+1),1)),'DRAFT 2'!$A:$A),"")</f>
        <v/>
      </c>
      <c r="DK53" s="116">
        <f>COUNTIFS('DRAFT 2'!$D:$D,$B53,'DRAFT 2'!$A:$A,"&gt;="&amp;DATE(2026,3,1),'DRAFT 2'!$A:$A,"&lt;="&amp;DATE(2026,3,7))</f>
        <v/>
      </c>
      <c r="DL53" s="116">
        <f>COUNTIFS('DRAFT 2'!$D:$D,$B53,'DRAFT 2'!$A:$A,"&gt;="&amp;DATE(2026,3,8),'DRAFT 2'!$A:$A,"&lt;="&amp;DATE(2026,3,14))</f>
        <v/>
      </c>
      <c r="DM53" s="116">
        <f>COUNTIFS('DRAFT 2'!$D:$D,$B53,'DRAFT 2'!$A:$A,"&gt;="&amp;DATE(2026,3,15),'DRAFT 2'!$A:$A,"&lt;="&amp;DATE(2026,3,21))</f>
        <v/>
      </c>
      <c r="DN53" s="116">
        <f>COUNTIFS('DRAFT 2'!$D:$D,$B53,'DRAFT 2'!$A:$A,"&gt;="&amp;DATE(2026,3,22),'DRAFT 2'!$A:$A,"&lt;"&amp;DATE(2026,IF(3=12,3+1,3+1),1))</f>
        <v/>
      </c>
      <c r="DO53" s="116">
        <f>SUM(DK53:DN53)</f>
        <v/>
      </c>
      <c r="DZ53" s="116">
        <f>IFERROR(LOOKUP(2,1/('DRAFT 2'!$D:$D=$B53)*('DRAFT 2'!$A:$A&gt;=DATE(2026,4,1))*('DRAFT 2'!$A:$A&lt;DATE(2026,IF(4=12,4+1,4+1),1)),'DRAFT 2'!$A:$A),"")</f>
        <v/>
      </c>
      <c r="EA53" s="116">
        <f>COUNTIFS('DRAFT 2'!$D:$D,$B53,'DRAFT 2'!$A:$A,"&gt;="&amp;DATE(2026,4,1),'DRAFT 2'!$A:$A,"&lt;="&amp;DATE(2026,4,7))</f>
        <v/>
      </c>
      <c r="EB53" s="116">
        <f>COUNTIFS('DRAFT 2'!$D:$D,$B53,'DRAFT 2'!$A:$A,"&gt;="&amp;DATE(2026,4,8),'DRAFT 2'!$A:$A,"&lt;="&amp;DATE(2026,4,14))</f>
        <v/>
      </c>
      <c r="EC53" s="116">
        <f>COUNTIFS('DRAFT 2'!$D:$D,$B53,'DRAFT 2'!$A:$A,"&gt;="&amp;DATE(2026,4,15),'DRAFT 2'!$A:$A,"&lt;="&amp;DATE(2026,4,21))</f>
        <v/>
      </c>
      <c r="ED53" s="116">
        <f>COUNTIFS('DRAFT 2'!$D:$D,$B53,'DRAFT 2'!$A:$A,"&gt;="&amp;DATE(2026,4,22),'DRAFT 2'!$A:$A,"&lt;"&amp;DATE(2026,IF(4=12,4+1,4+1),1))</f>
        <v/>
      </c>
      <c r="EE53" s="116">
        <f>SUM(EA53:ED53)</f>
        <v/>
      </c>
      <c r="EO53" s="116">
        <f>IFERROR(LOOKUP(2,1/('DRAFT 2'!$D:$D=$B53)*('DRAFT 2'!$A:$A&gt;=DATE(2026,5,1))*('DRAFT 2'!$A:$A&lt;DATE(2026,IF(5=12,5+1,5+1),1)),'DRAFT 2'!$A:$A),"")</f>
        <v/>
      </c>
      <c r="EP53" s="116">
        <f>COUNTIFS('DRAFT 2'!$D:$D,$B53,'DRAFT 2'!$A:$A,"&gt;="&amp;DATE(2026,5,1),'DRAFT 2'!$A:$A,"&lt;="&amp;DATE(2026,5,7))</f>
        <v/>
      </c>
      <c r="EQ53" s="116">
        <f>COUNTIFS('DRAFT 2'!$D:$D,$B53,'DRAFT 2'!$A:$A,"&gt;="&amp;DATE(2026,5,8),'DRAFT 2'!$A:$A,"&lt;="&amp;DATE(2026,5,14))</f>
        <v/>
      </c>
      <c r="ER53" s="116">
        <f>COUNTIFS('DRAFT 2'!$D:$D,$B53,'DRAFT 2'!$A:$A,"&gt;="&amp;DATE(2026,5,15),'DRAFT 2'!$A:$A,"&lt;="&amp;DATE(2026,5,21))</f>
        <v/>
      </c>
      <c r="ES53" s="116">
        <f>COUNTIFS('DRAFT 2'!$D:$D,$B53,'DRAFT 2'!$A:$A,"&gt;="&amp;DATE(2026,5,22),'DRAFT 2'!$A:$A,"&lt;"&amp;DATE(2026,IF(5=12,5+1,5+1),1))</f>
        <v/>
      </c>
      <c r="ET53" s="116">
        <f>SUM(EP53:ES53)</f>
        <v/>
      </c>
      <c r="FD53" s="116">
        <f>IFERROR(LOOKUP(2,1/('DRAFT 2'!$D:$D=$B53)*('DRAFT 2'!$A:$A&gt;=DATE(2026,6,1))*('DRAFT 2'!$A:$A&lt;DATE(2026,IF(6=12,6+1,6+1),1)),'DRAFT 2'!$A:$A),"")</f>
        <v/>
      </c>
      <c r="FE53" s="116">
        <f>COUNTIFS('DRAFT 2'!$D:$D,$B53,'DRAFT 2'!$A:$A,"&gt;="&amp;DATE(2026,6,1),'DRAFT 2'!$A:$A,"&lt;="&amp;DATE(2026,6,7))</f>
        <v/>
      </c>
      <c r="FF53" s="116">
        <f>COUNTIFS('DRAFT 2'!$D:$D,$B53,'DRAFT 2'!$A:$A,"&gt;="&amp;DATE(2026,6,8),'DRAFT 2'!$A:$A,"&lt;="&amp;DATE(2026,6,14))</f>
        <v/>
      </c>
      <c r="FG53" s="116">
        <f>COUNTIFS('DRAFT 2'!$D:$D,$B53,'DRAFT 2'!$A:$A,"&gt;="&amp;DATE(2026,6,15),'DRAFT 2'!$A:$A,"&lt;="&amp;DATE(2026,6,21))</f>
        <v/>
      </c>
      <c r="FH53" s="116">
        <f>COUNTIFS('DRAFT 2'!$D:$D,$B53,'DRAFT 2'!$A:$A,"&gt;="&amp;DATE(2026,6,22),'DRAFT 2'!$A:$A,"&lt;"&amp;DATE(2026,IF(6=12,6+1,6+1),1))</f>
        <v/>
      </c>
      <c r="FI53" s="116">
        <f>SUM(FE53:FH53)</f>
        <v/>
      </c>
      <c r="FT53" s="116">
        <f>IFERROR(LOOKUP(2,1/('DRAFT 2'!$D:$D=$B53)*('DRAFT 2'!$A:$A&gt;=DATE(2026,7,1))*('DRAFT 2'!$A:$A&lt;DATE(2026,IF(7=12,7+1,7+1),1)),'DRAFT 2'!$A:$A),"")</f>
        <v/>
      </c>
      <c r="FU53" s="116">
        <f>COUNTIFS('DRAFT 2'!$D:$D,$B53,'DRAFT 2'!$A:$A,"&gt;="&amp;DATE(2026,7,1),'DRAFT 2'!$A:$A,"&lt;="&amp;DATE(2026,7,7))</f>
        <v/>
      </c>
      <c r="FV53" s="116">
        <f>COUNTIFS('DRAFT 2'!$D:$D,$B53,'DRAFT 2'!$A:$A,"&gt;="&amp;DATE(2026,7,8),'DRAFT 2'!$A:$A,"&lt;="&amp;DATE(2026,7,14))</f>
        <v/>
      </c>
      <c r="FW53" s="116">
        <f>COUNTIFS('DRAFT 2'!$D:$D,$B53,'DRAFT 2'!$A:$A,"&gt;="&amp;DATE(2026,7,15),'DRAFT 2'!$A:$A,"&lt;="&amp;DATE(2026,7,21))</f>
        <v/>
      </c>
      <c r="FX53" s="116">
        <f>COUNTIFS('DRAFT 2'!$D:$D,$B53,'DRAFT 2'!$A:$A,"&gt;="&amp;DATE(2026,7,22),'DRAFT 2'!$A:$A,"&lt;"&amp;DATE(2026,IF(7=12,7+1,7+1),1))</f>
        <v/>
      </c>
      <c r="FY53" s="116">
        <f>SUM(FU53:FX53)</f>
        <v/>
      </c>
      <c r="GI53" s="116">
        <f>IFERROR(LOOKUP(2,1/('DRAFT 2'!$D:$D=$B53)*('DRAFT 2'!$A:$A&gt;=DATE(2026,8,1))*('DRAFT 2'!$A:$A&lt;DATE(2026,IF(8=12,8+1,8+1),1)),'DRAFT 2'!$A:$A),"")</f>
        <v/>
      </c>
      <c r="GJ53" s="116">
        <f>COUNTIFS('DRAFT 2'!$D:$D,$B53,'DRAFT 2'!$A:$A,"&gt;="&amp;DATE(2026,8,1),'DRAFT 2'!$A:$A,"&lt;="&amp;DATE(2026,8,7))</f>
        <v/>
      </c>
      <c r="GK53" s="116">
        <f>COUNTIFS('DRAFT 2'!$D:$D,$B53,'DRAFT 2'!$A:$A,"&gt;="&amp;DATE(2026,8,8),'DRAFT 2'!$A:$A,"&lt;="&amp;DATE(2026,8,14))</f>
        <v/>
      </c>
      <c r="GL53" s="116">
        <f>COUNTIFS('DRAFT 2'!$D:$D,$B53,'DRAFT 2'!$A:$A,"&gt;="&amp;DATE(2026,8,15),'DRAFT 2'!$A:$A,"&lt;="&amp;DATE(2026,8,21))</f>
        <v/>
      </c>
      <c r="GM53" s="116">
        <f>COUNTIFS('DRAFT 2'!$D:$D,$B53,'DRAFT 2'!$A:$A,"&gt;="&amp;DATE(2026,8,22),'DRAFT 2'!$A:$A,"&lt;"&amp;DATE(2026,IF(8=12,8+1,8+1),1))</f>
        <v/>
      </c>
      <c r="GN53" s="116">
        <f>SUM(GJ53:GM53)</f>
        <v/>
      </c>
      <c r="GX53" s="116">
        <f>IFERROR(LOOKUP(2,1/('DRAFT 2'!$D:$D=$B53)*('DRAFT 2'!$A:$A&gt;=DATE(2026,9,1))*('DRAFT 2'!$A:$A&lt;DATE(2026,IF(9=12,9+1,9+1),1)),'DRAFT 2'!$A:$A),"")</f>
        <v/>
      </c>
      <c r="GY53" s="116">
        <f>COUNTIFS('DRAFT 2'!$D:$D,$B53,'DRAFT 2'!$A:$A,"&gt;="&amp;DATE(2026,9,1),'DRAFT 2'!$A:$A,"&lt;="&amp;DATE(2026,9,7))</f>
        <v/>
      </c>
      <c r="GZ53" s="116">
        <f>COUNTIFS('DRAFT 2'!$D:$D,$B53,'DRAFT 2'!$A:$A,"&gt;="&amp;DATE(2026,9,8),'DRAFT 2'!$A:$A,"&lt;="&amp;DATE(2026,9,14))</f>
        <v/>
      </c>
      <c r="HA53" s="116">
        <f>COUNTIFS('DRAFT 2'!$D:$D,$B53,'DRAFT 2'!$A:$A,"&gt;="&amp;DATE(2026,9,15),'DRAFT 2'!$A:$A,"&lt;="&amp;DATE(2026,9,21))</f>
        <v/>
      </c>
      <c r="HB53" s="116">
        <f>COUNTIFS('DRAFT 2'!$D:$D,$B53,'DRAFT 2'!$A:$A,"&gt;="&amp;DATE(2026,9,22),'DRAFT 2'!$A:$A,"&lt;"&amp;DATE(2026,IF(9=12,9+1,9+1),1))</f>
        <v/>
      </c>
      <c r="HC53" s="116">
        <f>SUM(GY53:HB53)</f>
        <v/>
      </c>
      <c r="HN53" s="116">
        <f>IFERROR(LOOKUP(2,1/('DRAFT 2'!$D:$D=$B53)*('DRAFT 2'!$A:$A&gt;=DATE(2026,10,1))*('DRAFT 2'!$A:$A&lt;DATE(2026,IF(10=12,10+1,10+1),1)),'DRAFT 2'!$A:$A),"")</f>
        <v/>
      </c>
      <c r="HO53" s="116">
        <f>COUNTIFS('DRAFT 2'!$D:$D,$B53,'DRAFT 2'!$A:$A,"&gt;="&amp;DATE(2026,10,1),'DRAFT 2'!$A:$A,"&lt;="&amp;DATE(2026,10,7))</f>
        <v/>
      </c>
      <c r="HP53" s="116">
        <f>COUNTIFS('DRAFT 2'!$D:$D,$B53,'DRAFT 2'!$A:$A,"&gt;="&amp;DATE(2026,10,8),'DRAFT 2'!$A:$A,"&lt;="&amp;DATE(2026,10,14))</f>
        <v/>
      </c>
      <c r="HQ53" s="116">
        <f>COUNTIFS('DRAFT 2'!$D:$D,$B53,'DRAFT 2'!$A:$A,"&gt;="&amp;DATE(2026,10,15),'DRAFT 2'!$A:$A,"&lt;="&amp;DATE(2026,10,21))</f>
        <v/>
      </c>
      <c r="HR53" s="116">
        <f>COUNTIFS('DRAFT 2'!$D:$D,$B53,'DRAFT 2'!$A:$A,"&gt;="&amp;DATE(2026,10,22),'DRAFT 2'!$A:$A,"&lt;"&amp;DATE(2026,IF(10=12,10+1,10+1),1))</f>
        <v/>
      </c>
      <c r="HS53" s="116">
        <f>SUM(HO53:HR53)</f>
        <v/>
      </c>
      <c r="IC53" s="116">
        <f>IFERROR(LOOKUP(2,1/('DRAFT 2'!$D:$D=$B53)*('DRAFT 2'!$A:$A&gt;=DATE(2026,11,1))*('DRAFT 2'!$A:$A&lt;DATE(2026,IF(11=12,11+1,11+1),1)),'DRAFT 2'!$A:$A),"")</f>
        <v/>
      </c>
      <c r="ID53" s="116">
        <f>COUNTIFS('DRAFT 2'!$D:$D,$B53,'DRAFT 2'!$A:$A,"&gt;="&amp;DATE(2026,11,1),'DRAFT 2'!$A:$A,"&lt;="&amp;DATE(2026,11,7))</f>
        <v/>
      </c>
      <c r="IE53" s="116">
        <f>COUNTIFS('DRAFT 2'!$D:$D,$B53,'DRAFT 2'!$A:$A,"&gt;="&amp;DATE(2026,11,8),'DRAFT 2'!$A:$A,"&lt;="&amp;DATE(2026,11,14))</f>
        <v/>
      </c>
      <c r="IF53" s="116">
        <f>COUNTIFS('DRAFT 2'!$D:$D,$B53,'DRAFT 2'!$A:$A,"&gt;="&amp;DATE(2026,11,15),'DRAFT 2'!$A:$A,"&lt;="&amp;DATE(2026,11,21))</f>
        <v/>
      </c>
      <c r="IG53" s="116">
        <f>COUNTIFS('DRAFT 2'!$D:$D,$B53,'DRAFT 2'!$A:$A,"&gt;="&amp;DATE(2026,11,22),'DRAFT 2'!$A:$A,"&lt;"&amp;DATE(2026,IF(11=12,11+1,11+1),1))</f>
        <v/>
      </c>
      <c r="IH53" s="116">
        <f>SUM(ID53:IG53)</f>
        <v/>
      </c>
      <c r="IR53" s="116">
        <f>IFERROR(LOOKUP(2,1/('DRAFT 2'!$D:$D=$B53)*('DRAFT 2'!$A:$A&gt;=DATE(2026,12,1))*('DRAFT 2'!$A:$A&lt;DATE(2026,IF(12=12,12+1,12+1),1)),'DRAFT 2'!$A:$A),"")</f>
        <v/>
      </c>
      <c r="IS53" s="116">
        <f>COUNTIFS('DRAFT 2'!$D:$D,$B53,'DRAFT 2'!$A:$A,"&gt;="&amp;DATE(2026,12,1),'DRAFT 2'!$A:$A,"&lt;="&amp;DATE(2026,12,7))</f>
        <v/>
      </c>
      <c r="IT53" s="116">
        <f>COUNTIFS('DRAFT 2'!$D:$D,$B53,'DRAFT 2'!$A:$A,"&gt;="&amp;DATE(2026,12,8),'DRAFT 2'!$A:$A,"&lt;="&amp;DATE(2026,12,14))</f>
        <v/>
      </c>
      <c r="IU53" s="116">
        <f>COUNTIFS('DRAFT 2'!$D:$D,$B53,'DRAFT 2'!$A:$A,"&gt;="&amp;DATE(2026,12,15),'DRAFT 2'!$A:$A,"&lt;="&amp;DATE(2026,12,21))</f>
        <v/>
      </c>
      <c r="IV53" s="116">
        <f>COUNTIFS('DRAFT 2'!$D:$D,$B53,'DRAFT 2'!$A:$A,"&gt;="&amp;DATE(2026,12,22),'DRAFT 2'!$A:$A,"&lt;"&amp;DATE(2026,IF(12=12,12+1,12+1),1))</f>
        <v/>
      </c>
      <c r="IW53" s="116">
        <f>SUM(IS53:IV53)</f>
        <v/>
      </c>
    </row>
    <row r="54">
      <c r="A54" s="116">
        <f>IFERROR(INDEX('DRAFT 1'!$A:$A,MATCH($B54,'DRAFT 1'!$B:$B,0)),"")</f>
        <v/>
      </c>
      <c r="C54" s="116">
        <f>IFERROR(INDEX('DRAFT 1'!$C:$C,MATCH($B54,'DRAFT 1'!$B:$B,0)),"")</f>
        <v/>
      </c>
      <c r="D54" s="116">
        <f>IFERROR(INDEX('DRAFT 1'!$D:$D,MATCH($B54,'DRAFT 1'!$B:$B,0)),"")</f>
        <v/>
      </c>
      <c r="E54" s="116">
        <f>IFERROR(INDEX('DRAFT 1'!$E:$E,MATCH($B54,'DRAFT 1'!$B:$B,0)),"")</f>
        <v/>
      </c>
      <c r="F54" s="116">
        <f>IFERROR(INDEX('DRAFT 1'!$F:$F,MATCH($B54,'DRAFT 1'!$B:$B,0)),"")</f>
        <v/>
      </c>
      <c r="G54" s="116">
        <f>IFERROR(INDEX('DRAFT 1'!$G:$G,MATCH($B54,'DRAFT 1'!$B:$B,0)),"")</f>
        <v/>
      </c>
      <c r="H54" s="116">
        <f>IFERROR(INDEX('DRAFT 1'!$H:$H,MATCH($B54,'DRAFT 1'!$B:$B,0)),"")</f>
        <v/>
      </c>
      <c r="I54" s="116" t="inlineStr">
        <is>
          <t>BIOMUNDO</t>
        </is>
      </c>
      <c r="K54" s="116">
        <f>IFERROR(INDEX('DRAFT 1'!$AL:$AL,MATCH($B54,'DRAFT 1'!$B:$B,0)),"")</f>
        <v/>
      </c>
      <c r="L54" s="116">
        <f>IFERROR(INDEX('DRAFT 1'!$J:$J,MATCH($B54,'DRAFT 1'!$B:$B,0)),"")</f>
        <v/>
      </c>
      <c r="M54" s="116">
        <f>IFERROR(INDEX('DRAFT 1'!$K:$K,MATCH($B54,'DRAFT 1'!$B:$B,0)),"")</f>
        <v/>
      </c>
      <c r="N54" s="116" t="inlineStr">
        <is>
          <t>ATIVO</t>
        </is>
      </c>
      <c r="P54" s="116">
        <f>IFERROR(INDEX('DRAFT 1'!$L:$L,MATCH($B54,'DRAFT 1'!$B:$B,0)),"")</f>
        <v/>
      </c>
      <c r="Q54" s="116">
        <f>IFERROR(INDEX('DRAFT 1'!$M:$M,MATCH($B54,'DRAFT 1'!$B:$B,0)),"")</f>
        <v/>
      </c>
      <c r="R54" s="116">
        <f>IFERROR(INDEX('DRAFT 1'!$N:$N,MATCH($B54,'DRAFT 1'!$B:$B,0)),"")</f>
        <v/>
      </c>
      <c r="S54" s="116">
        <f>IFERROR(INDEX('DRAFT 1'!$O:$O,MATCH($B54,'DRAFT 1'!$B:$B,0)),"")</f>
        <v/>
      </c>
      <c r="T54" s="116">
        <f>IFERROR(INDEX('DRAFT 1'!$P:$P,MATCH($B54,'DRAFT 1'!$B:$B,0)),"")</f>
        <v/>
      </c>
      <c r="U54" s="116">
        <f>IFERROR(INDEX('DRAFT 1'!$Q:$Q,MATCH($B54,'DRAFT 1'!$B:$B,0)),"")</f>
        <v/>
      </c>
      <c r="V54" s="116">
        <f>IFERROR(INDEX('DRAFT 1'!$R:$R,MATCH($B54,'DRAFT 1'!$B:$B,0)),"")</f>
        <v/>
      </c>
      <c r="W54" s="116">
        <f>IFERROR(INDEX('DRAFT 1'!$S:$S,MATCH($B54,'DRAFT 1'!$B:$B,0)),"")</f>
        <v/>
      </c>
      <c r="X54" s="116">
        <f>IFERROR(INDEX('DRAFT 1'!$T:$T,MATCH($B54,'DRAFT 1'!$B:$B,0)),"")</f>
        <v/>
      </c>
      <c r="Z54" s="116">
        <f>IFERROR(INDEX('DRAFT 1'!$U:$U,MATCH($B54,'DRAFT 1'!$B:$B,0)),"")</f>
        <v/>
      </c>
      <c r="AA54" s="116">
        <f>IFERROR(INDEX('DRAFT 1'!$V:$V,MATCH($B54,'DRAFT 1'!$B:$B,0)),"")</f>
        <v/>
      </c>
      <c r="AB54" s="116">
        <f>IFERROR(INDEX('DRAFT 1'!$W:$W,MATCH($B54,'DRAFT 1'!$B:$B,0)),"")</f>
        <v/>
      </c>
      <c r="AC54" s="116">
        <f>IFERROR(INDEX('DRAFT 1'!$X:$X,MATCH($B54,'DRAFT 1'!$B:$B,0)),"")</f>
        <v/>
      </c>
      <c r="AD54" s="116">
        <f>IFERROR(INDEX('DRAFT 1'!$Y:$Y,MATCH($B54,'DRAFT 1'!$B:$B,0)),"")</f>
        <v/>
      </c>
      <c r="AE54" s="116">
        <f>IFERROR(INDEX('DRAFT 1'!$Z:$Z,MATCH($B54,'DRAFT 1'!$B:$B,0)),"")</f>
        <v/>
      </c>
      <c r="AF54" s="116">
        <f>IFERROR(INDEX('DRAFT 1'!$AA:$AA,MATCH($B54,'DRAFT 1'!$B:$B,0)),"")</f>
        <v/>
      </c>
      <c r="AG54" s="116">
        <f>IFERROR(INDEX('DRAFT 1'!$AB:$AB,MATCH($B54,'DRAFT 1'!$B:$B,0)),"")</f>
        <v/>
      </c>
      <c r="AH54" s="116">
        <f>IFERROR(INDEX('DRAFT 1'!$AC:$AC,MATCH($B54,'DRAFT 1'!$B:$B,0)),"")</f>
        <v/>
      </c>
      <c r="AI54" s="116">
        <f>IFERROR(INDEX('DRAFT 1'!$AD:$AD,MATCH($B54,'DRAFT 1'!$B:$B,0)),"")</f>
        <v/>
      </c>
      <c r="AJ54" s="116">
        <f>IFERROR(INDEX('DRAFT 1'!$AE:$AE,MATCH($B54,'DRAFT 1'!$B:$B,0)),"")</f>
        <v/>
      </c>
      <c r="AK54" s="116">
        <f>IFERROR(INDEX('DRAFT 1'!$AG:$AG,MATCH($B54,'DRAFT 1'!$B:$B,0)),"")</f>
        <v/>
      </c>
      <c r="AL54" s="116">
        <f>IFERROR(INDEX('DRAFT 1'!$AH:$AH,MATCH($B54,'DRAFT 1'!$B:$B,0)),"")</f>
        <v/>
      </c>
      <c r="AM54" s="116">
        <f>IFERROR(INDEX('DRAFT 1'!$AI:$AI,MATCH($B54,'DRAFT 1'!$B:$B,0)),"")</f>
        <v/>
      </c>
      <c r="AN54" s="116">
        <f>IFERROR(INDEX('DRAFT 1'!$AJ:$AJ,MATCH($B54,'DRAFT 1'!$B:$B,0)),"")</f>
        <v/>
      </c>
      <c r="AO54" s="116">
        <f>IFERROR(Y54/AN54,0)</f>
        <v/>
      </c>
      <c r="AP54" s="116">
        <f>IFERROR(INDEX('DRAFT 1'!$AK:$AK,MATCH($B54,'DRAFT 1'!$B:$B,0)),"")</f>
        <v/>
      </c>
      <c r="AR54" s="116" t="inlineStr">
        <is>
          <t>RECOMPRA</t>
        </is>
      </c>
      <c r="AS54" s="116">
        <f>IFERROR(LOOKUP(2,1/('DRAFT 2'!$D:$D=$B54),'DRAFT 2'!$T:$T),"")</f>
        <v/>
      </c>
      <c r="AT54" s="116">
        <f>IFERROR(LOOKUP(2,1/('DRAFT 2'!$D:$D=$B54),'DRAFT 2'!$A:$A),"")</f>
        <v/>
      </c>
      <c r="AU54" s="116">
        <f>IFERROR(LOOKUP(2,1/('DRAFT 2'!$D:$D=$B54),'DRAFT 2'!$R:$R),"")</f>
        <v/>
      </c>
      <c r="AV54" s="116">
        <f>IFERROR(LOOKUP(2,1/('DRAFT 2'!$D:$D=$B54),'DRAFT 2'!$S:$S),"")</f>
        <v/>
      </c>
      <c r="AW54" s="116" t="inlineStr">
        <is>
          <t>EM DESENVOLVIMENTO</t>
        </is>
      </c>
      <c r="AX54" s="116">
        <f>IFERROR(LOOKUP(2,1/('DRAFT 2'!$D:$D=$B54),'DRAFT 2'!$M:$M),"")</f>
        <v/>
      </c>
      <c r="AY54" s="116">
        <f>IFERROR(LOOKUP(2,1/('DRAFT 2'!$D:$D=$B54),'DRAFT 2'!$K:$K),"")</f>
        <v/>
      </c>
      <c r="BG54" s="116">
        <f>IFERROR(LOOKUP(2,1/('DRAFT 2'!$D:$D=$B54),'DRAFT 2'!$U:$U),"")</f>
        <v/>
      </c>
      <c r="BH54" s="116">
        <f>IFERROR(LOOKUP(2,1/('DRAFT 2'!$D:$D=$B54),'DRAFT 2'!$V:$V),"")</f>
        <v/>
      </c>
      <c r="CE54" s="116">
        <f>IFERROR(AJ54,0)</f>
        <v/>
      </c>
      <c r="CF54" s="116">
        <f>IFERROR(LOOKUP(2,1/('DRAFT 2'!$D:$D=$B54)*('DRAFT 2'!$A:$A&gt;=DATE(2026,1,1))*('DRAFT 2'!$A:$A&lt;DATE(2026,IF(1=12,1+1,1+1),1)),'DRAFT 2'!$A:$A),"")</f>
        <v/>
      </c>
      <c r="CG54" s="116">
        <f>COUNTIFS('DRAFT 2'!$D:$D,$B54,'DRAFT 2'!$A:$A,"&gt;="&amp;DATE(2026,1,1),'DRAFT 2'!$A:$A,"&lt;="&amp;DATE(2026,1,7))</f>
        <v/>
      </c>
      <c r="CH54" s="116">
        <f>COUNTIFS('DRAFT 2'!$D:$D,$B54,'DRAFT 2'!$A:$A,"&gt;="&amp;DATE(2026,1,8),'DRAFT 2'!$A:$A,"&lt;="&amp;DATE(2026,1,14))</f>
        <v/>
      </c>
      <c r="CI54" s="116">
        <f>COUNTIFS('DRAFT 2'!$D:$D,$B54,'DRAFT 2'!$A:$A,"&gt;="&amp;DATE(2026,1,15),'DRAFT 2'!$A:$A,"&lt;="&amp;DATE(2026,1,21))</f>
        <v/>
      </c>
      <c r="CJ54" s="116">
        <f>COUNTIFS('DRAFT 2'!$D:$D,$B54,'DRAFT 2'!$A:$A,"&gt;="&amp;DATE(2026,1,22),'DRAFT 2'!$A:$A,"&lt;"&amp;DATE(2026,IF(1=12,1+1,1+1),1))</f>
        <v/>
      </c>
      <c r="CK54" s="116">
        <f>SUM(CG54:CJ54)</f>
        <v/>
      </c>
      <c r="CT54" s="116" t="n">
        <v>0</v>
      </c>
      <c r="CU54" s="116">
        <f>IFERROR(LOOKUP(2,1/('DRAFT 2'!$D:$D=$B54)*('DRAFT 2'!$A:$A&gt;=DATE(2026,2,1))*('DRAFT 2'!$A:$A&lt;DATE(2026,IF(2=12,2+1,2+1),1)),'DRAFT 2'!$A:$A),"")</f>
        <v/>
      </c>
      <c r="CV54" s="116">
        <f>COUNTIFS('DRAFT 2'!$D:$D,$B54,'DRAFT 2'!$A:$A,"&gt;="&amp;DATE(2026,2,1),'DRAFT 2'!$A:$A,"&lt;="&amp;DATE(2026,2,7))</f>
        <v/>
      </c>
      <c r="CW54" s="116">
        <f>COUNTIFS('DRAFT 2'!$D:$D,$B54,'DRAFT 2'!$A:$A,"&gt;="&amp;DATE(2026,2,8),'DRAFT 2'!$A:$A,"&lt;="&amp;DATE(2026,2,14))</f>
        <v/>
      </c>
      <c r="CX54" s="116">
        <f>COUNTIFS('DRAFT 2'!$D:$D,$B54,'DRAFT 2'!$A:$A,"&gt;="&amp;DATE(2026,2,15),'DRAFT 2'!$A:$A,"&lt;="&amp;DATE(2026,2,21))</f>
        <v/>
      </c>
      <c r="CY54" s="116">
        <f>COUNTIFS('DRAFT 2'!$D:$D,$B54,'DRAFT 2'!$A:$A,"&gt;="&amp;DATE(2026,2,22),'DRAFT 2'!$A:$A,"&lt;"&amp;DATE(2026,IF(2=12,2+1,2+1),1))</f>
        <v/>
      </c>
      <c r="CZ54" s="116">
        <f>SUM(CV54:CY54)</f>
        <v/>
      </c>
      <c r="DJ54" s="116">
        <f>IFERROR(LOOKUP(2,1/('DRAFT 2'!$D:$D=$B54)*('DRAFT 2'!$A:$A&gt;=DATE(2026,3,1))*('DRAFT 2'!$A:$A&lt;DATE(2026,IF(3=12,3+1,3+1),1)),'DRAFT 2'!$A:$A),"")</f>
        <v/>
      </c>
      <c r="DK54" s="116">
        <f>COUNTIFS('DRAFT 2'!$D:$D,$B54,'DRAFT 2'!$A:$A,"&gt;="&amp;DATE(2026,3,1),'DRAFT 2'!$A:$A,"&lt;="&amp;DATE(2026,3,7))</f>
        <v/>
      </c>
      <c r="DL54" s="116">
        <f>COUNTIFS('DRAFT 2'!$D:$D,$B54,'DRAFT 2'!$A:$A,"&gt;="&amp;DATE(2026,3,8),'DRAFT 2'!$A:$A,"&lt;="&amp;DATE(2026,3,14))</f>
        <v/>
      </c>
      <c r="DM54" s="116">
        <f>COUNTIFS('DRAFT 2'!$D:$D,$B54,'DRAFT 2'!$A:$A,"&gt;="&amp;DATE(2026,3,15),'DRAFT 2'!$A:$A,"&lt;="&amp;DATE(2026,3,21))</f>
        <v/>
      </c>
      <c r="DN54" s="116">
        <f>COUNTIFS('DRAFT 2'!$D:$D,$B54,'DRAFT 2'!$A:$A,"&gt;="&amp;DATE(2026,3,22),'DRAFT 2'!$A:$A,"&lt;"&amp;DATE(2026,IF(3=12,3+1,3+1),1))</f>
        <v/>
      </c>
      <c r="DO54" s="116">
        <f>SUM(DK54:DN54)</f>
        <v/>
      </c>
      <c r="DZ54" s="116">
        <f>IFERROR(LOOKUP(2,1/('DRAFT 2'!$D:$D=$B54)*('DRAFT 2'!$A:$A&gt;=DATE(2026,4,1))*('DRAFT 2'!$A:$A&lt;DATE(2026,IF(4=12,4+1,4+1),1)),'DRAFT 2'!$A:$A),"")</f>
        <v/>
      </c>
      <c r="EA54" s="116">
        <f>COUNTIFS('DRAFT 2'!$D:$D,$B54,'DRAFT 2'!$A:$A,"&gt;="&amp;DATE(2026,4,1),'DRAFT 2'!$A:$A,"&lt;="&amp;DATE(2026,4,7))</f>
        <v/>
      </c>
      <c r="EB54" s="116">
        <f>COUNTIFS('DRAFT 2'!$D:$D,$B54,'DRAFT 2'!$A:$A,"&gt;="&amp;DATE(2026,4,8),'DRAFT 2'!$A:$A,"&lt;="&amp;DATE(2026,4,14))</f>
        <v/>
      </c>
      <c r="EC54" s="116">
        <f>COUNTIFS('DRAFT 2'!$D:$D,$B54,'DRAFT 2'!$A:$A,"&gt;="&amp;DATE(2026,4,15),'DRAFT 2'!$A:$A,"&lt;="&amp;DATE(2026,4,21))</f>
        <v/>
      </c>
      <c r="ED54" s="116">
        <f>COUNTIFS('DRAFT 2'!$D:$D,$B54,'DRAFT 2'!$A:$A,"&gt;="&amp;DATE(2026,4,22),'DRAFT 2'!$A:$A,"&lt;"&amp;DATE(2026,IF(4=12,4+1,4+1),1))</f>
        <v/>
      </c>
      <c r="EE54" s="116">
        <f>SUM(EA54:ED54)</f>
        <v/>
      </c>
      <c r="EO54" s="116">
        <f>IFERROR(LOOKUP(2,1/('DRAFT 2'!$D:$D=$B54)*('DRAFT 2'!$A:$A&gt;=DATE(2026,5,1))*('DRAFT 2'!$A:$A&lt;DATE(2026,IF(5=12,5+1,5+1),1)),'DRAFT 2'!$A:$A),"")</f>
        <v/>
      </c>
      <c r="EP54" s="116">
        <f>COUNTIFS('DRAFT 2'!$D:$D,$B54,'DRAFT 2'!$A:$A,"&gt;="&amp;DATE(2026,5,1),'DRAFT 2'!$A:$A,"&lt;="&amp;DATE(2026,5,7))</f>
        <v/>
      </c>
      <c r="EQ54" s="116">
        <f>COUNTIFS('DRAFT 2'!$D:$D,$B54,'DRAFT 2'!$A:$A,"&gt;="&amp;DATE(2026,5,8),'DRAFT 2'!$A:$A,"&lt;="&amp;DATE(2026,5,14))</f>
        <v/>
      </c>
      <c r="ER54" s="116">
        <f>COUNTIFS('DRAFT 2'!$D:$D,$B54,'DRAFT 2'!$A:$A,"&gt;="&amp;DATE(2026,5,15),'DRAFT 2'!$A:$A,"&lt;="&amp;DATE(2026,5,21))</f>
        <v/>
      </c>
      <c r="ES54" s="116">
        <f>COUNTIFS('DRAFT 2'!$D:$D,$B54,'DRAFT 2'!$A:$A,"&gt;="&amp;DATE(2026,5,22),'DRAFT 2'!$A:$A,"&lt;"&amp;DATE(2026,IF(5=12,5+1,5+1),1))</f>
        <v/>
      </c>
      <c r="ET54" s="116">
        <f>SUM(EP54:ES54)</f>
        <v/>
      </c>
      <c r="FD54" s="116">
        <f>IFERROR(LOOKUP(2,1/('DRAFT 2'!$D:$D=$B54)*('DRAFT 2'!$A:$A&gt;=DATE(2026,6,1))*('DRAFT 2'!$A:$A&lt;DATE(2026,IF(6=12,6+1,6+1),1)),'DRAFT 2'!$A:$A),"")</f>
        <v/>
      </c>
      <c r="FE54" s="116">
        <f>COUNTIFS('DRAFT 2'!$D:$D,$B54,'DRAFT 2'!$A:$A,"&gt;="&amp;DATE(2026,6,1),'DRAFT 2'!$A:$A,"&lt;="&amp;DATE(2026,6,7))</f>
        <v/>
      </c>
      <c r="FF54" s="116">
        <f>COUNTIFS('DRAFT 2'!$D:$D,$B54,'DRAFT 2'!$A:$A,"&gt;="&amp;DATE(2026,6,8),'DRAFT 2'!$A:$A,"&lt;="&amp;DATE(2026,6,14))</f>
        <v/>
      </c>
      <c r="FG54" s="116">
        <f>COUNTIFS('DRAFT 2'!$D:$D,$B54,'DRAFT 2'!$A:$A,"&gt;="&amp;DATE(2026,6,15),'DRAFT 2'!$A:$A,"&lt;="&amp;DATE(2026,6,21))</f>
        <v/>
      </c>
      <c r="FH54" s="116">
        <f>COUNTIFS('DRAFT 2'!$D:$D,$B54,'DRAFT 2'!$A:$A,"&gt;="&amp;DATE(2026,6,22),'DRAFT 2'!$A:$A,"&lt;"&amp;DATE(2026,IF(6=12,6+1,6+1),1))</f>
        <v/>
      </c>
      <c r="FI54" s="116">
        <f>SUM(FE54:FH54)</f>
        <v/>
      </c>
      <c r="FT54" s="116">
        <f>IFERROR(LOOKUP(2,1/('DRAFT 2'!$D:$D=$B54)*('DRAFT 2'!$A:$A&gt;=DATE(2026,7,1))*('DRAFT 2'!$A:$A&lt;DATE(2026,IF(7=12,7+1,7+1),1)),'DRAFT 2'!$A:$A),"")</f>
        <v/>
      </c>
      <c r="FU54" s="116">
        <f>COUNTIFS('DRAFT 2'!$D:$D,$B54,'DRAFT 2'!$A:$A,"&gt;="&amp;DATE(2026,7,1),'DRAFT 2'!$A:$A,"&lt;="&amp;DATE(2026,7,7))</f>
        <v/>
      </c>
      <c r="FV54" s="116">
        <f>COUNTIFS('DRAFT 2'!$D:$D,$B54,'DRAFT 2'!$A:$A,"&gt;="&amp;DATE(2026,7,8),'DRAFT 2'!$A:$A,"&lt;="&amp;DATE(2026,7,14))</f>
        <v/>
      </c>
      <c r="FW54" s="116">
        <f>COUNTIFS('DRAFT 2'!$D:$D,$B54,'DRAFT 2'!$A:$A,"&gt;="&amp;DATE(2026,7,15),'DRAFT 2'!$A:$A,"&lt;="&amp;DATE(2026,7,21))</f>
        <v/>
      </c>
      <c r="FX54" s="116">
        <f>COUNTIFS('DRAFT 2'!$D:$D,$B54,'DRAFT 2'!$A:$A,"&gt;="&amp;DATE(2026,7,22),'DRAFT 2'!$A:$A,"&lt;"&amp;DATE(2026,IF(7=12,7+1,7+1),1))</f>
        <v/>
      </c>
      <c r="FY54" s="116">
        <f>SUM(FU54:FX54)</f>
        <v/>
      </c>
      <c r="GI54" s="116">
        <f>IFERROR(LOOKUP(2,1/('DRAFT 2'!$D:$D=$B54)*('DRAFT 2'!$A:$A&gt;=DATE(2026,8,1))*('DRAFT 2'!$A:$A&lt;DATE(2026,IF(8=12,8+1,8+1),1)),'DRAFT 2'!$A:$A),"")</f>
        <v/>
      </c>
      <c r="GJ54" s="116">
        <f>COUNTIFS('DRAFT 2'!$D:$D,$B54,'DRAFT 2'!$A:$A,"&gt;="&amp;DATE(2026,8,1),'DRAFT 2'!$A:$A,"&lt;="&amp;DATE(2026,8,7))</f>
        <v/>
      </c>
      <c r="GK54" s="116">
        <f>COUNTIFS('DRAFT 2'!$D:$D,$B54,'DRAFT 2'!$A:$A,"&gt;="&amp;DATE(2026,8,8),'DRAFT 2'!$A:$A,"&lt;="&amp;DATE(2026,8,14))</f>
        <v/>
      </c>
      <c r="GL54" s="116">
        <f>COUNTIFS('DRAFT 2'!$D:$D,$B54,'DRAFT 2'!$A:$A,"&gt;="&amp;DATE(2026,8,15),'DRAFT 2'!$A:$A,"&lt;="&amp;DATE(2026,8,21))</f>
        <v/>
      </c>
      <c r="GM54" s="116">
        <f>COUNTIFS('DRAFT 2'!$D:$D,$B54,'DRAFT 2'!$A:$A,"&gt;="&amp;DATE(2026,8,22),'DRAFT 2'!$A:$A,"&lt;"&amp;DATE(2026,IF(8=12,8+1,8+1),1))</f>
        <v/>
      </c>
      <c r="GN54" s="116">
        <f>SUM(GJ54:GM54)</f>
        <v/>
      </c>
      <c r="GX54" s="116">
        <f>IFERROR(LOOKUP(2,1/('DRAFT 2'!$D:$D=$B54)*('DRAFT 2'!$A:$A&gt;=DATE(2026,9,1))*('DRAFT 2'!$A:$A&lt;DATE(2026,IF(9=12,9+1,9+1),1)),'DRAFT 2'!$A:$A),"")</f>
        <v/>
      </c>
      <c r="GY54" s="116">
        <f>COUNTIFS('DRAFT 2'!$D:$D,$B54,'DRAFT 2'!$A:$A,"&gt;="&amp;DATE(2026,9,1),'DRAFT 2'!$A:$A,"&lt;="&amp;DATE(2026,9,7))</f>
        <v/>
      </c>
      <c r="GZ54" s="116">
        <f>COUNTIFS('DRAFT 2'!$D:$D,$B54,'DRAFT 2'!$A:$A,"&gt;="&amp;DATE(2026,9,8),'DRAFT 2'!$A:$A,"&lt;="&amp;DATE(2026,9,14))</f>
        <v/>
      </c>
      <c r="HA54" s="116">
        <f>COUNTIFS('DRAFT 2'!$D:$D,$B54,'DRAFT 2'!$A:$A,"&gt;="&amp;DATE(2026,9,15),'DRAFT 2'!$A:$A,"&lt;="&amp;DATE(2026,9,21))</f>
        <v/>
      </c>
      <c r="HB54" s="116">
        <f>COUNTIFS('DRAFT 2'!$D:$D,$B54,'DRAFT 2'!$A:$A,"&gt;="&amp;DATE(2026,9,22),'DRAFT 2'!$A:$A,"&lt;"&amp;DATE(2026,IF(9=12,9+1,9+1),1))</f>
        <v/>
      </c>
      <c r="HC54" s="116">
        <f>SUM(GY54:HB54)</f>
        <v/>
      </c>
      <c r="HN54" s="116">
        <f>IFERROR(LOOKUP(2,1/('DRAFT 2'!$D:$D=$B54)*('DRAFT 2'!$A:$A&gt;=DATE(2026,10,1))*('DRAFT 2'!$A:$A&lt;DATE(2026,IF(10=12,10+1,10+1),1)),'DRAFT 2'!$A:$A),"")</f>
        <v/>
      </c>
      <c r="HO54" s="116">
        <f>COUNTIFS('DRAFT 2'!$D:$D,$B54,'DRAFT 2'!$A:$A,"&gt;="&amp;DATE(2026,10,1),'DRAFT 2'!$A:$A,"&lt;="&amp;DATE(2026,10,7))</f>
        <v/>
      </c>
      <c r="HP54" s="116">
        <f>COUNTIFS('DRAFT 2'!$D:$D,$B54,'DRAFT 2'!$A:$A,"&gt;="&amp;DATE(2026,10,8),'DRAFT 2'!$A:$A,"&lt;="&amp;DATE(2026,10,14))</f>
        <v/>
      </c>
      <c r="HQ54" s="116">
        <f>COUNTIFS('DRAFT 2'!$D:$D,$B54,'DRAFT 2'!$A:$A,"&gt;="&amp;DATE(2026,10,15),'DRAFT 2'!$A:$A,"&lt;="&amp;DATE(2026,10,21))</f>
        <v/>
      </c>
      <c r="HR54" s="116">
        <f>COUNTIFS('DRAFT 2'!$D:$D,$B54,'DRAFT 2'!$A:$A,"&gt;="&amp;DATE(2026,10,22),'DRAFT 2'!$A:$A,"&lt;"&amp;DATE(2026,IF(10=12,10+1,10+1),1))</f>
        <v/>
      </c>
      <c r="HS54" s="116">
        <f>SUM(HO54:HR54)</f>
        <v/>
      </c>
      <c r="IC54" s="116">
        <f>IFERROR(LOOKUP(2,1/('DRAFT 2'!$D:$D=$B54)*('DRAFT 2'!$A:$A&gt;=DATE(2026,11,1))*('DRAFT 2'!$A:$A&lt;DATE(2026,IF(11=12,11+1,11+1),1)),'DRAFT 2'!$A:$A),"")</f>
        <v/>
      </c>
      <c r="ID54" s="116">
        <f>COUNTIFS('DRAFT 2'!$D:$D,$B54,'DRAFT 2'!$A:$A,"&gt;="&amp;DATE(2026,11,1),'DRAFT 2'!$A:$A,"&lt;="&amp;DATE(2026,11,7))</f>
        <v/>
      </c>
      <c r="IE54" s="116">
        <f>COUNTIFS('DRAFT 2'!$D:$D,$B54,'DRAFT 2'!$A:$A,"&gt;="&amp;DATE(2026,11,8),'DRAFT 2'!$A:$A,"&lt;="&amp;DATE(2026,11,14))</f>
        <v/>
      </c>
      <c r="IF54" s="116">
        <f>COUNTIFS('DRAFT 2'!$D:$D,$B54,'DRAFT 2'!$A:$A,"&gt;="&amp;DATE(2026,11,15),'DRAFT 2'!$A:$A,"&lt;="&amp;DATE(2026,11,21))</f>
        <v/>
      </c>
      <c r="IG54" s="116">
        <f>COUNTIFS('DRAFT 2'!$D:$D,$B54,'DRAFT 2'!$A:$A,"&gt;="&amp;DATE(2026,11,22),'DRAFT 2'!$A:$A,"&lt;"&amp;DATE(2026,IF(11=12,11+1,11+1),1))</f>
        <v/>
      </c>
      <c r="IH54" s="116">
        <f>SUM(ID54:IG54)</f>
        <v/>
      </c>
      <c r="IR54" s="116">
        <f>IFERROR(LOOKUP(2,1/('DRAFT 2'!$D:$D=$B54)*('DRAFT 2'!$A:$A&gt;=DATE(2026,12,1))*('DRAFT 2'!$A:$A&lt;DATE(2026,IF(12=12,12+1,12+1),1)),'DRAFT 2'!$A:$A),"")</f>
        <v/>
      </c>
      <c r="IS54" s="116">
        <f>COUNTIFS('DRAFT 2'!$D:$D,$B54,'DRAFT 2'!$A:$A,"&gt;="&amp;DATE(2026,12,1),'DRAFT 2'!$A:$A,"&lt;="&amp;DATE(2026,12,7))</f>
        <v/>
      </c>
      <c r="IT54" s="116">
        <f>COUNTIFS('DRAFT 2'!$D:$D,$B54,'DRAFT 2'!$A:$A,"&gt;="&amp;DATE(2026,12,8),'DRAFT 2'!$A:$A,"&lt;="&amp;DATE(2026,12,14))</f>
        <v/>
      </c>
      <c r="IU54" s="116">
        <f>COUNTIFS('DRAFT 2'!$D:$D,$B54,'DRAFT 2'!$A:$A,"&gt;="&amp;DATE(2026,12,15),'DRAFT 2'!$A:$A,"&lt;="&amp;DATE(2026,12,21))</f>
        <v/>
      </c>
      <c r="IV54" s="116">
        <f>COUNTIFS('DRAFT 2'!$D:$D,$B54,'DRAFT 2'!$A:$A,"&gt;="&amp;DATE(2026,12,22),'DRAFT 2'!$A:$A,"&lt;"&amp;DATE(2026,IF(12=12,12+1,12+1),1))</f>
        <v/>
      </c>
      <c r="IW54" s="116">
        <f>SUM(IS54:IV54)</f>
        <v/>
      </c>
    </row>
    <row r="55">
      <c r="A55" s="116">
        <f>IFERROR(INDEX('DRAFT 1'!$A:$A,MATCH($B55,'DRAFT 1'!$B:$B,0)),"")</f>
        <v/>
      </c>
      <c r="C55" s="116">
        <f>IFERROR(INDEX('DRAFT 1'!$C:$C,MATCH($B55,'DRAFT 1'!$B:$B,0)),"")</f>
        <v/>
      </c>
      <c r="D55" s="116">
        <f>IFERROR(INDEX('DRAFT 1'!$D:$D,MATCH($B55,'DRAFT 1'!$B:$B,0)),"")</f>
        <v/>
      </c>
      <c r="E55" s="116">
        <f>IFERROR(INDEX('DRAFT 1'!$E:$E,MATCH($B55,'DRAFT 1'!$B:$B,0)),"")</f>
        <v/>
      </c>
      <c r="F55" s="116">
        <f>IFERROR(INDEX('DRAFT 1'!$F:$F,MATCH($B55,'DRAFT 1'!$B:$B,0)),"")</f>
        <v/>
      </c>
      <c r="G55" s="116">
        <f>IFERROR(INDEX('DRAFT 1'!$G:$G,MATCH($B55,'DRAFT 1'!$B:$B,0)),"")</f>
        <v/>
      </c>
      <c r="H55" s="116">
        <f>IFERROR(INDEX('DRAFT 1'!$H:$H,MATCH($B55,'DRAFT 1'!$B:$B,0)),"")</f>
        <v/>
      </c>
      <c r="I55" s="116" t="inlineStr">
        <is>
          <t>MUNDO VERDE</t>
        </is>
      </c>
      <c r="K55" s="116">
        <f>IFERROR(INDEX('DRAFT 1'!$AL:$AL,MATCH($B55,'DRAFT 1'!$B:$B,0)),"")</f>
        <v/>
      </c>
      <c r="L55" s="116">
        <f>IFERROR(INDEX('DRAFT 1'!$J:$J,MATCH($B55,'DRAFT 1'!$B:$B,0)),"")</f>
        <v/>
      </c>
      <c r="M55" s="116">
        <f>IFERROR(INDEX('DRAFT 1'!$K:$K,MATCH($B55,'DRAFT 1'!$B:$B,0)),"")</f>
        <v/>
      </c>
      <c r="N55" s="116" t="inlineStr">
        <is>
          <t>LEAD</t>
        </is>
      </c>
      <c r="P55" s="116">
        <f>IFERROR(INDEX('DRAFT 1'!$L:$L,MATCH($B55,'DRAFT 1'!$B:$B,0)),"")</f>
        <v/>
      </c>
      <c r="Q55" s="116">
        <f>IFERROR(INDEX('DRAFT 1'!$M:$M,MATCH($B55,'DRAFT 1'!$B:$B,0)),"")</f>
        <v/>
      </c>
      <c r="R55" s="116">
        <f>IFERROR(INDEX('DRAFT 1'!$N:$N,MATCH($B55,'DRAFT 1'!$B:$B,0)),"")</f>
        <v/>
      </c>
      <c r="S55" s="116">
        <f>IFERROR(INDEX('DRAFT 1'!$O:$O,MATCH($B55,'DRAFT 1'!$B:$B,0)),"")</f>
        <v/>
      </c>
      <c r="T55" s="116">
        <f>IFERROR(INDEX('DRAFT 1'!$P:$P,MATCH($B55,'DRAFT 1'!$B:$B,0)),"")</f>
        <v/>
      </c>
      <c r="U55" s="116">
        <f>IFERROR(INDEX('DRAFT 1'!$Q:$Q,MATCH($B55,'DRAFT 1'!$B:$B,0)),"")</f>
        <v/>
      </c>
      <c r="V55" s="116">
        <f>IFERROR(INDEX('DRAFT 1'!$R:$R,MATCH($B55,'DRAFT 1'!$B:$B,0)),"")</f>
        <v/>
      </c>
      <c r="W55" s="116">
        <f>IFERROR(INDEX('DRAFT 1'!$S:$S,MATCH($B55,'DRAFT 1'!$B:$B,0)),"")</f>
        <v/>
      </c>
      <c r="X55" s="116">
        <f>IFERROR(INDEX('DRAFT 1'!$T:$T,MATCH($B55,'DRAFT 1'!$B:$B,0)),"")</f>
        <v/>
      </c>
      <c r="Z55" s="116">
        <f>IFERROR(INDEX('DRAFT 1'!$U:$U,MATCH($B55,'DRAFT 1'!$B:$B,0)),"")</f>
        <v/>
      </c>
      <c r="AA55" s="116">
        <f>IFERROR(INDEX('DRAFT 1'!$V:$V,MATCH($B55,'DRAFT 1'!$B:$B,0)),"")</f>
        <v/>
      </c>
      <c r="AB55" s="116">
        <f>IFERROR(INDEX('DRAFT 1'!$W:$W,MATCH($B55,'DRAFT 1'!$B:$B,0)),"")</f>
        <v/>
      </c>
      <c r="AC55" s="116">
        <f>IFERROR(INDEX('DRAFT 1'!$X:$X,MATCH($B55,'DRAFT 1'!$B:$B,0)),"")</f>
        <v/>
      </c>
      <c r="AD55" s="116">
        <f>IFERROR(INDEX('DRAFT 1'!$Y:$Y,MATCH($B55,'DRAFT 1'!$B:$B,0)),"")</f>
        <v/>
      </c>
      <c r="AE55" s="116">
        <f>IFERROR(INDEX('DRAFT 1'!$Z:$Z,MATCH($B55,'DRAFT 1'!$B:$B,0)),"")</f>
        <v/>
      </c>
      <c r="AF55" s="116">
        <f>IFERROR(INDEX('DRAFT 1'!$AA:$AA,MATCH($B55,'DRAFT 1'!$B:$B,0)),"")</f>
        <v/>
      </c>
      <c r="AG55" s="116">
        <f>IFERROR(INDEX('DRAFT 1'!$AB:$AB,MATCH($B55,'DRAFT 1'!$B:$B,0)),"")</f>
        <v/>
      </c>
      <c r="AH55" s="116">
        <f>IFERROR(INDEX('DRAFT 1'!$AC:$AC,MATCH($B55,'DRAFT 1'!$B:$B,0)),"")</f>
        <v/>
      </c>
      <c r="AI55" s="116">
        <f>IFERROR(INDEX('DRAFT 1'!$AD:$AD,MATCH($B55,'DRAFT 1'!$B:$B,0)),"")</f>
        <v/>
      </c>
      <c r="AJ55" s="116">
        <f>IFERROR(INDEX('DRAFT 1'!$AE:$AE,MATCH($B55,'DRAFT 1'!$B:$B,0)),"")</f>
        <v/>
      </c>
      <c r="AK55" s="116">
        <f>IFERROR(INDEX('DRAFT 1'!$AG:$AG,MATCH($B55,'DRAFT 1'!$B:$B,0)),"")</f>
        <v/>
      </c>
      <c r="AL55" s="116">
        <f>IFERROR(INDEX('DRAFT 1'!$AH:$AH,MATCH($B55,'DRAFT 1'!$B:$B,0)),"")</f>
        <v/>
      </c>
      <c r="AM55" s="116">
        <f>IFERROR(INDEX('DRAFT 1'!$AI:$AI,MATCH($B55,'DRAFT 1'!$B:$B,0)),"")</f>
        <v/>
      </c>
      <c r="AN55" s="116">
        <f>IFERROR(INDEX('DRAFT 1'!$AJ:$AJ,MATCH($B55,'DRAFT 1'!$B:$B,0)),"")</f>
        <v/>
      </c>
      <c r="AO55" s="116">
        <f>IFERROR(Y55/AN55,0)</f>
        <v/>
      </c>
      <c r="AP55" s="116">
        <f>IFERROR(INDEX('DRAFT 1'!$AK:$AK,MATCH($B55,'DRAFT 1'!$B:$B,0)),"")</f>
        <v/>
      </c>
      <c r="AR55" s="116" t="inlineStr">
        <is>
          <t>RECOMPRA</t>
        </is>
      </c>
      <c r="AS55" s="116">
        <f>IFERROR(LOOKUP(2,1/('DRAFT 2'!$D:$D=$B55),'DRAFT 2'!$T:$T),"")</f>
        <v/>
      </c>
      <c r="AT55" s="116">
        <f>IFERROR(LOOKUP(2,1/('DRAFT 2'!$D:$D=$B55),'DRAFT 2'!$A:$A),"")</f>
        <v/>
      </c>
      <c r="AU55" s="116">
        <f>IFERROR(LOOKUP(2,1/('DRAFT 2'!$D:$D=$B55),'DRAFT 2'!$R:$R),"")</f>
        <v/>
      </c>
      <c r="AV55" s="116">
        <f>IFERROR(LOOKUP(2,1/('DRAFT 2'!$D:$D=$B55),'DRAFT 2'!$S:$S),"")</f>
        <v/>
      </c>
      <c r="AW55" s="116" t="inlineStr">
        <is>
          <t>RECORRENTE</t>
        </is>
      </c>
      <c r="AX55" s="116">
        <f>IFERROR(LOOKUP(2,1/('DRAFT 2'!$D:$D=$B55),'DRAFT 2'!$M:$M),"")</f>
        <v/>
      </c>
      <c r="AY55" s="116">
        <f>IFERROR(LOOKUP(2,1/('DRAFT 2'!$D:$D=$B55),'DRAFT 2'!$K:$K),"")</f>
        <v/>
      </c>
      <c r="BG55" s="116">
        <f>IFERROR(LOOKUP(2,1/('DRAFT 2'!$D:$D=$B55),'DRAFT 2'!$U:$U),"")</f>
        <v/>
      </c>
      <c r="BH55" s="116">
        <f>IFERROR(LOOKUP(2,1/('DRAFT 2'!$D:$D=$B55),'DRAFT 2'!$V:$V),"")</f>
        <v/>
      </c>
      <c r="CE55" s="116">
        <f>IFERROR(AJ55,0)</f>
        <v/>
      </c>
      <c r="CF55" s="116">
        <f>IFERROR(LOOKUP(2,1/('DRAFT 2'!$D:$D=$B55)*('DRAFT 2'!$A:$A&gt;=DATE(2026,1,1))*('DRAFT 2'!$A:$A&lt;DATE(2026,IF(1=12,1+1,1+1),1)),'DRAFT 2'!$A:$A),"")</f>
        <v/>
      </c>
      <c r="CG55" s="116">
        <f>COUNTIFS('DRAFT 2'!$D:$D,$B55,'DRAFT 2'!$A:$A,"&gt;="&amp;DATE(2026,1,1),'DRAFT 2'!$A:$A,"&lt;="&amp;DATE(2026,1,7))</f>
        <v/>
      </c>
      <c r="CH55" s="116">
        <f>COUNTIFS('DRAFT 2'!$D:$D,$B55,'DRAFT 2'!$A:$A,"&gt;="&amp;DATE(2026,1,8),'DRAFT 2'!$A:$A,"&lt;="&amp;DATE(2026,1,14))</f>
        <v/>
      </c>
      <c r="CI55" s="116">
        <f>COUNTIFS('DRAFT 2'!$D:$D,$B55,'DRAFT 2'!$A:$A,"&gt;="&amp;DATE(2026,1,15),'DRAFT 2'!$A:$A,"&lt;="&amp;DATE(2026,1,21))</f>
        <v/>
      </c>
      <c r="CJ55" s="116">
        <f>COUNTIFS('DRAFT 2'!$D:$D,$B55,'DRAFT 2'!$A:$A,"&gt;="&amp;DATE(2026,1,22),'DRAFT 2'!$A:$A,"&lt;"&amp;DATE(2026,IF(1=12,1+1,1+1),1))</f>
        <v/>
      </c>
      <c r="CK55" s="116">
        <f>SUM(CG55:CJ55)</f>
        <v/>
      </c>
      <c r="CT55" s="116" t="n">
        <v>0</v>
      </c>
      <c r="CU55" s="116">
        <f>IFERROR(LOOKUP(2,1/('DRAFT 2'!$D:$D=$B55)*('DRAFT 2'!$A:$A&gt;=DATE(2026,2,1))*('DRAFT 2'!$A:$A&lt;DATE(2026,IF(2=12,2+1,2+1),1)),'DRAFT 2'!$A:$A),"")</f>
        <v/>
      </c>
      <c r="CV55" s="116">
        <f>COUNTIFS('DRAFT 2'!$D:$D,$B55,'DRAFT 2'!$A:$A,"&gt;="&amp;DATE(2026,2,1),'DRAFT 2'!$A:$A,"&lt;="&amp;DATE(2026,2,7))</f>
        <v/>
      </c>
      <c r="CW55" s="116">
        <f>COUNTIFS('DRAFT 2'!$D:$D,$B55,'DRAFT 2'!$A:$A,"&gt;="&amp;DATE(2026,2,8),'DRAFT 2'!$A:$A,"&lt;="&amp;DATE(2026,2,14))</f>
        <v/>
      </c>
      <c r="CX55" s="116">
        <f>COUNTIFS('DRAFT 2'!$D:$D,$B55,'DRAFT 2'!$A:$A,"&gt;="&amp;DATE(2026,2,15),'DRAFT 2'!$A:$A,"&lt;="&amp;DATE(2026,2,21))</f>
        <v/>
      </c>
      <c r="CY55" s="116">
        <f>COUNTIFS('DRAFT 2'!$D:$D,$B55,'DRAFT 2'!$A:$A,"&gt;="&amp;DATE(2026,2,22),'DRAFT 2'!$A:$A,"&lt;"&amp;DATE(2026,IF(2=12,2+1,2+1),1))</f>
        <v/>
      </c>
      <c r="CZ55" s="116">
        <f>SUM(CV55:CY55)</f>
        <v/>
      </c>
      <c r="DJ55" s="116">
        <f>IFERROR(LOOKUP(2,1/('DRAFT 2'!$D:$D=$B55)*('DRAFT 2'!$A:$A&gt;=DATE(2026,3,1))*('DRAFT 2'!$A:$A&lt;DATE(2026,IF(3=12,3+1,3+1),1)),'DRAFT 2'!$A:$A),"")</f>
        <v/>
      </c>
      <c r="DK55" s="116">
        <f>COUNTIFS('DRAFT 2'!$D:$D,$B55,'DRAFT 2'!$A:$A,"&gt;="&amp;DATE(2026,3,1),'DRAFT 2'!$A:$A,"&lt;="&amp;DATE(2026,3,7))</f>
        <v/>
      </c>
      <c r="DL55" s="116">
        <f>COUNTIFS('DRAFT 2'!$D:$D,$B55,'DRAFT 2'!$A:$A,"&gt;="&amp;DATE(2026,3,8),'DRAFT 2'!$A:$A,"&lt;="&amp;DATE(2026,3,14))</f>
        <v/>
      </c>
      <c r="DM55" s="116">
        <f>COUNTIFS('DRAFT 2'!$D:$D,$B55,'DRAFT 2'!$A:$A,"&gt;="&amp;DATE(2026,3,15),'DRAFT 2'!$A:$A,"&lt;="&amp;DATE(2026,3,21))</f>
        <v/>
      </c>
      <c r="DN55" s="116">
        <f>COUNTIFS('DRAFT 2'!$D:$D,$B55,'DRAFT 2'!$A:$A,"&gt;="&amp;DATE(2026,3,22),'DRAFT 2'!$A:$A,"&lt;"&amp;DATE(2026,IF(3=12,3+1,3+1),1))</f>
        <v/>
      </c>
      <c r="DO55" s="116">
        <f>SUM(DK55:DN55)</f>
        <v/>
      </c>
      <c r="DZ55" s="116">
        <f>IFERROR(LOOKUP(2,1/('DRAFT 2'!$D:$D=$B55)*('DRAFT 2'!$A:$A&gt;=DATE(2026,4,1))*('DRAFT 2'!$A:$A&lt;DATE(2026,IF(4=12,4+1,4+1),1)),'DRAFT 2'!$A:$A),"")</f>
        <v/>
      </c>
      <c r="EA55" s="116">
        <f>COUNTIFS('DRAFT 2'!$D:$D,$B55,'DRAFT 2'!$A:$A,"&gt;="&amp;DATE(2026,4,1),'DRAFT 2'!$A:$A,"&lt;="&amp;DATE(2026,4,7))</f>
        <v/>
      </c>
      <c r="EB55" s="116">
        <f>COUNTIFS('DRAFT 2'!$D:$D,$B55,'DRAFT 2'!$A:$A,"&gt;="&amp;DATE(2026,4,8),'DRAFT 2'!$A:$A,"&lt;="&amp;DATE(2026,4,14))</f>
        <v/>
      </c>
      <c r="EC55" s="116">
        <f>COUNTIFS('DRAFT 2'!$D:$D,$B55,'DRAFT 2'!$A:$A,"&gt;="&amp;DATE(2026,4,15),'DRAFT 2'!$A:$A,"&lt;="&amp;DATE(2026,4,21))</f>
        <v/>
      </c>
      <c r="ED55" s="116">
        <f>COUNTIFS('DRAFT 2'!$D:$D,$B55,'DRAFT 2'!$A:$A,"&gt;="&amp;DATE(2026,4,22),'DRAFT 2'!$A:$A,"&lt;"&amp;DATE(2026,IF(4=12,4+1,4+1),1))</f>
        <v/>
      </c>
      <c r="EE55" s="116">
        <f>SUM(EA55:ED55)</f>
        <v/>
      </c>
      <c r="EO55" s="116">
        <f>IFERROR(LOOKUP(2,1/('DRAFT 2'!$D:$D=$B55)*('DRAFT 2'!$A:$A&gt;=DATE(2026,5,1))*('DRAFT 2'!$A:$A&lt;DATE(2026,IF(5=12,5+1,5+1),1)),'DRAFT 2'!$A:$A),"")</f>
        <v/>
      </c>
      <c r="EP55" s="116">
        <f>COUNTIFS('DRAFT 2'!$D:$D,$B55,'DRAFT 2'!$A:$A,"&gt;="&amp;DATE(2026,5,1),'DRAFT 2'!$A:$A,"&lt;="&amp;DATE(2026,5,7))</f>
        <v/>
      </c>
      <c r="EQ55" s="116">
        <f>COUNTIFS('DRAFT 2'!$D:$D,$B55,'DRAFT 2'!$A:$A,"&gt;="&amp;DATE(2026,5,8),'DRAFT 2'!$A:$A,"&lt;="&amp;DATE(2026,5,14))</f>
        <v/>
      </c>
      <c r="ER55" s="116">
        <f>COUNTIFS('DRAFT 2'!$D:$D,$B55,'DRAFT 2'!$A:$A,"&gt;="&amp;DATE(2026,5,15),'DRAFT 2'!$A:$A,"&lt;="&amp;DATE(2026,5,21))</f>
        <v/>
      </c>
      <c r="ES55" s="116">
        <f>COUNTIFS('DRAFT 2'!$D:$D,$B55,'DRAFT 2'!$A:$A,"&gt;="&amp;DATE(2026,5,22),'DRAFT 2'!$A:$A,"&lt;"&amp;DATE(2026,IF(5=12,5+1,5+1),1))</f>
        <v/>
      </c>
      <c r="ET55" s="116">
        <f>SUM(EP55:ES55)</f>
        <v/>
      </c>
      <c r="FD55" s="116">
        <f>IFERROR(LOOKUP(2,1/('DRAFT 2'!$D:$D=$B55)*('DRAFT 2'!$A:$A&gt;=DATE(2026,6,1))*('DRAFT 2'!$A:$A&lt;DATE(2026,IF(6=12,6+1,6+1),1)),'DRAFT 2'!$A:$A),"")</f>
        <v/>
      </c>
      <c r="FE55" s="116">
        <f>COUNTIFS('DRAFT 2'!$D:$D,$B55,'DRAFT 2'!$A:$A,"&gt;="&amp;DATE(2026,6,1),'DRAFT 2'!$A:$A,"&lt;="&amp;DATE(2026,6,7))</f>
        <v/>
      </c>
      <c r="FF55" s="116">
        <f>COUNTIFS('DRAFT 2'!$D:$D,$B55,'DRAFT 2'!$A:$A,"&gt;="&amp;DATE(2026,6,8),'DRAFT 2'!$A:$A,"&lt;="&amp;DATE(2026,6,14))</f>
        <v/>
      </c>
      <c r="FG55" s="116">
        <f>COUNTIFS('DRAFT 2'!$D:$D,$B55,'DRAFT 2'!$A:$A,"&gt;="&amp;DATE(2026,6,15),'DRAFT 2'!$A:$A,"&lt;="&amp;DATE(2026,6,21))</f>
        <v/>
      </c>
      <c r="FH55" s="116">
        <f>COUNTIFS('DRAFT 2'!$D:$D,$B55,'DRAFT 2'!$A:$A,"&gt;="&amp;DATE(2026,6,22),'DRAFT 2'!$A:$A,"&lt;"&amp;DATE(2026,IF(6=12,6+1,6+1),1))</f>
        <v/>
      </c>
      <c r="FI55" s="116">
        <f>SUM(FE55:FH55)</f>
        <v/>
      </c>
      <c r="FT55" s="116">
        <f>IFERROR(LOOKUP(2,1/('DRAFT 2'!$D:$D=$B55)*('DRAFT 2'!$A:$A&gt;=DATE(2026,7,1))*('DRAFT 2'!$A:$A&lt;DATE(2026,IF(7=12,7+1,7+1),1)),'DRAFT 2'!$A:$A),"")</f>
        <v/>
      </c>
      <c r="FU55" s="116">
        <f>COUNTIFS('DRAFT 2'!$D:$D,$B55,'DRAFT 2'!$A:$A,"&gt;="&amp;DATE(2026,7,1),'DRAFT 2'!$A:$A,"&lt;="&amp;DATE(2026,7,7))</f>
        <v/>
      </c>
      <c r="FV55" s="116">
        <f>COUNTIFS('DRAFT 2'!$D:$D,$B55,'DRAFT 2'!$A:$A,"&gt;="&amp;DATE(2026,7,8),'DRAFT 2'!$A:$A,"&lt;="&amp;DATE(2026,7,14))</f>
        <v/>
      </c>
      <c r="FW55" s="116">
        <f>COUNTIFS('DRAFT 2'!$D:$D,$B55,'DRAFT 2'!$A:$A,"&gt;="&amp;DATE(2026,7,15),'DRAFT 2'!$A:$A,"&lt;="&amp;DATE(2026,7,21))</f>
        <v/>
      </c>
      <c r="FX55" s="116">
        <f>COUNTIFS('DRAFT 2'!$D:$D,$B55,'DRAFT 2'!$A:$A,"&gt;="&amp;DATE(2026,7,22),'DRAFT 2'!$A:$A,"&lt;"&amp;DATE(2026,IF(7=12,7+1,7+1),1))</f>
        <v/>
      </c>
      <c r="FY55" s="116">
        <f>SUM(FU55:FX55)</f>
        <v/>
      </c>
      <c r="GI55" s="116">
        <f>IFERROR(LOOKUP(2,1/('DRAFT 2'!$D:$D=$B55)*('DRAFT 2'!$A:$A&gt;=DATE(2026,8,1))*('DRAFT 2'!$A:$A&lt;DATE(2026,IF(8=12,8+1,8+1),1)),'DRAFT 2'!$A:$A),"")</f>
        <v/>
      </c>
      <c r="GJ55" s="116">
        <f>COUNTIFS('DRAFT 2'!$D:$D,$B55,'DRAFT 2'!$A:$A,"&gt;="&amp;DATE(2026,8,1),'DRAFT 2'!$A:$A,"&lt;="&amp;DATE(2026,8,7))</f>
        <v/>
      </c>
      <c r="GK55" s="116">
        <f>COUNTIFS('DRAFT 2'!$D:$D,$B55,'DRAFT 2'!$A:$A,"&gt;="&amp;DATE(2026,8,8),'DRAFT 2'!$A:$A,"&lt;="&amp;DATE(2026,8,14))</f>
        <v/>
      </c>
      <c r="GL55" s="116">
        <f>COUNTIFS('DRAFT 2'!$D:$D,$B55,'DRAFT 2'!$A:$A,"&gt;="&amp;DATE(2026,8,15),'DRAFT 2'!$A:$A,"&lt;="&amp;DATE(2026,8,21))</f>
        <v/>
      </c>
      <c r="GM55" s="116">
        <f>COUNTIFS('DRAFT 2'!$D:$D,$B55,'DRAFT 2'!$A:$A,"&gt;="&amp;DATE(2026,8,22),'DRAFT 2'!$A:$A,"&lt;"&amp;DATE(2026,IF(8=12,8+1,8+1),1))</f>
        <v/>
      </c>
      <c r="GN55" s="116">
        <f>SUM(GJ55:GM55)</f>
        <v/>
      </c>
      <c r="GX55" s="116">
        <f>IFERROR(LOOKUP(2,1/('DRAFT 2'!$D:$D=$B55)*('DRAFT 2'!$A:$A&gt;=DATE(2026,9,1))*('DRAFT 2'!$A:$A&lt;DATE(2026,IF(9=12,9+1,9+1),1)),'DRAFT 2'!$A:$A),"")</f>
        <v/>
      </c>
      <c r="GY55" s="116">
        <f>COUNTIFS('DRAFT 2'!$D:$D,$B55,'DRAFT 2'!$A:$A,"&gt;="&amp;DATE(2026,9,1),'DRAFT 2'!$A:$A,"&lt;="&amp;DATE(2026,9,7))</f>
        <v/>
      </c>
      <c r="GZ55" s="116">
        <f>COUNTIFS('DRAFT 2'!$D:$D,$B55,'DRAFT 2'!$A:$A,"&gt;="&amp;DATE(2026,9,8),'DRAFT 2'!$A:$A,"&lt;="&amp;DATE(2026,9,14))</f>
        <v/>
      </c>
      <c r="HA55" s="116">
        <f>COUNTIFS('DRAFT 2'!$D:$D,$B55,'DRAFT 2'!$A:$A,"&gt;="&amp;DATE(2026,9,15),'DRAFT 2'!$A:$A,"&lt;="&amp;DATE(2026,9,21))</f>
        <v/>
      </c>
      <c r="HB55" s="116">
        <f>COUNTIFS('DRAFT 2'!$D:$D,$B55,'DRAFT 2'!$A:$A,"&gt;="&amp;DATE(2026,9,22),'DRAFT 2'!$A:$A,"&lt;"&amp;DATE(2026,IF(9=12,9+1,9+1),1))</f>
        <v/>
      </c>
      <c r="HC55" s="116">
        <f>SUM(GY55:HB55)</f>
        <v/>
      </c>
      <c r="HN55" s="116">
        <f>IFERROR(LOOKUP(2,1/('DRAFT 2'!$D:$D=$B55)*('DRAFT 2'!$A:$A&gt;=DATE(2026,10,1))*('DRAFT 2'!$A:$A&lt;DATE(2026,IF(10=12,10+1,10+1),1)),'DRAFT 2'!$A:$A),"")</f>
        <v/>
      </c>
      <c r="HO55" s="116">
        <f>COUNTIFS('DRAFT 2'!$D:$D,$B55,'DRAFT 2'!$A:$A,"&gt;="&amp;DATE(2026,10,1),'DRAFT 2'!$A:$A,"&lt;="&amp;DATE(2026,10,7))</f>
        <v/>
      </c>
      <c r="HP55" s="116">
        <f>COUNTIFS('DRAFT 2'!$D:$D,$B55,'DRAFT 2'!$A:$A,"&gt;="&amp;DATE(2026,10,8),'DRAFT 2'!$A:$A,"&lt;="&amp;DATE(2026,10,14))</f>
        <v/>
      </c>
      <c r="HQ55" s="116">
        <f>COUNTIFS('DRAFT 2'!$D:$D,$B55,'DRAFT 2'!$A:$A,"&gt;="&amp;DATE(2026,10,15),'DRAFT 2'!$A:$A,"&lt;="&amp;DATE(2026,10,21))</f>
        <v/>
      </c>
      <c r="HR55" s="116">
        <f>COUNTIFS('DRAFT 2'!$D:$D,$B55,'DRAFT 2'!$A:$A,"&gt;="&amp;DATE(2026,10,22),'DRAFT 2'!$A:$A,"&lt;"&amp;DATE(2026,IF(10=12,10+1,10+1),1))</f>
        <v/>
      </c>
      <c r="HS55" s="116">
        <f>SUM(HO55:HR55)</f>
        <v/>
      </c>
      <c r="IC55" s="116">
        <f>IFERROR(LOOKUP(2,1/('DRAFT 2'!$D:$D=$B55)*('DRAFT 2'!$A:$A&gt;=DATE(2026,11,1))*('DRAFT 2'!$A:$A&lt;DATE(2026,IF(11=12,11+1,11+1),1)),'DRAFT 2'!$A:$A),"")</f>
        <v/>
      </c>
      <c r="ID55" s="116">
        <f>COUNTIFS('DRAFT 2'!$D:$D,$B55,'DRAFT 2'!$A:$A,"&gt;="&amp;DATE(2026,11,1),'DRAFT 2'!$A:$A,"&lt;="&amp;DATE(2026,11,7))</f>
        <v/>
      </c>
      <c r="IE55" s="116">
        <f>COUNTIFS('DRAFT 2'!$D:$D,$B55,'DRAFT 2'!$A:$A,"&gt;="&amp;DATE(2026,11,8),'DRAFT 2'!$A:$A,"&lt;="&amp;DATE(2026,11,14))</f>
        <v/>
      </c>
      <c r="IF55" s="116">
        <f>COUNTIFS('DRAFT 2'!$D:$D,$B55,'DRAFT 2'!$A:$A,"&gt;="&amp;DATE(2026,11,15),'DRAFT 2'!$A:$A,"&lt;="&amp;DATE(2026,11,21))</f>
        <v/>
      </c>
      <c r="IG55" s="116">
        <f>COUNTIFS('DRAFT 2'!$D:$D,$B55,'DRAFT 2'!$A:$A,"&gt;="&amp;DATE(2026,11,22),'DRAFT 2'!$A:$A,"&lt;"&amp;DATE(2026,IF(11=12,11+1,11+1),1))</f>
        <v/>
      </c>
      <c r="IH55" s="116">
        <f>SUM(ID55:IG55)</f>
        <v/>
      </c>
      <c r="IR55" s="116">
        <f>IFERROR(LOOKUP(2,1/('DRAFT 2'!$D:$D=$B55)*('DRAFT 2'!$A:$A&gt;=DATE(2026,12,1))*('DRAFT 2'!$A:$A&lt;DATE(2026,IF(12=12,12+1,12+1),1)),'DRAFT 2'!$A:$A),"")</f>
        <v/>
      </c>
      <c r="IS55" s="116">
        <f>COUNTIFS('DRAFT 2'!$D:$D,$B55,'DRAFT 2'!$A:$A,"&gt;="&amp;DATE(2026,12,1),'DRAFT 2'!$A:$A,"&lt;="&amp;DATE(2026,12,7))</f>
        <v/>
      </c>
      <c r="IT55" s="116">
        <f>COUNTIFS('DRAFT 2'!$D:$D,$B55,'DRAFT 2'!$A:$A,"&gt;="&amp;DATE(2026,12,8),'DRAFT 2'!$A:$A,"&lt;="&amp;DATE(2026,12,14))</f>
        <v/>
      </c>
      <c r="IU55" s="116">
        <f>COUNTIFS('DRAFT 2'!$D:$D,$B55,'DRAFT 2'!$A:$A,"&gt;="&amp;DATE(2026,12,15),'DRAFT 2'!$A:$A,"&lt;="&amp;DATE(2026,12,21))</f>
        <v/>
      </c>
      <c r="IV55" s="116">
        <f>COUNTIFS('DRAFT 2'!$D:$D,$B55,'DRAFT 2'!$A:$A,"&gt;="&amp;DATE(2026,12,22),'DRAFT 2'!$A:$A,"&lt;"&amp;DATE(2026,IF(12=12,12+1,12+1),1))</f>
        <v/>
      </c>
      <c r="IW55" s="116">
        <f>SUM(IS55:IV55)</f>
        <v/>
      </c>
    </row>
    <row r="56">
      <c r="A56" s="116">
        <f>IFERROR(INDEX('DRAFT 1'!$A:$A,MATCH($B56,'DRAFT 1'!$B:$B,0)),"")</f>
        <v/>
      </c>
      <c r="C56" s="116">
        <f>IFERROR(INDEX('DRAFT 1'!$C:$C,MATCH($B56,'DRAFT 1'!$B:$B,0)),"")</f>
        <v/>
      </c>
      <c r="D56" s="116">
        <f>IFERROR(INDEX('DRAFT 1'!$D:$D,MATCH($B56,'DRAFT 1'!$B:$B,0)),"")</f>
        <v/>
      </c>
      <c r="E56" s="116">
        <f>IFERROR(INDEX('DRAFT 1'!$E:$E,MATCH($B56,'DRAFT 1'!$B:$B,0)),"")</f>
        <v/>
      </c>
      <c r="F56" s="116">
        <f>IFERROR(INDEX('DRAFT 1'!$F:$F,MATCH($B56,'DRAFT 1'!$B:$B,0)),"")</f>
        <v/>
      </c>
      <c r="G56" s="116">
        <f>IFERROR(INDEX('DRAFT 1'!$G:$G,MATCH($B56,'DRAFT 1'!$B:$B,0)),"")</f>
        <v/>
      </c>
      <c r="H56" s="116">
        <f>IFERROR(INDEX('DRAFT 1'!$H:$H,MATCH($B56,'DRAFT 1'!$B:$B,0)),"")</f>
        <v/>
      </c>
      <c r="I56" s="116" t="inlineStr">
        <is>
          <t>BIOMUNDO</t>
        </is>
      </c>
      <c r="K56" s="116">
        <f>IFERROR(INDEX('DRAFT 1'!$AL:$AL,MATCH($B56,'DRAFT 1'!$B:$B,0)),"")</f>
        <v/>
      </c>
      <c r="L56" s="116">
        <f>IFERROR(INDEX('DRAFT 1'!$J:$J,MATCH($B56,'DRAFT 1'!$B:$B,0)),"")</f>
        <v/>
      </c>
      <c r="M56" s="116">
        <f>IFERROR(INDEX('DRAFT 1'!$K:$K,MATCH($B56,'DRAFT 1'!$B:$B,0)),"")</f>
        <v/>
      </c>
      <c r="N56" s="116" t="inlineStr">
        <is>
          <t>NOVO</t>
        </is>
      </c>
      <c r="P56" s="116">
        <f>IFERROR(INDEX('DRAFT 1'!$L:$L,MATCH($B56,'DRAFT 1'!$B:$B,0)),"")</f>
        <v/>
      </c>
      <c r="Q56" s="116">
        <f>IFERROR(INDEX('DRAFT 1'!$M:$M,MATCH($B56,'DRAFT 1'!$B:$B,0)),"")</f>
        <v/>
      </c>
      <c r="R56" s="116">
        <f>IFERROR(INDEX('DRAFT 1'!$N:$N,MATCH($B56,'DRAFT 1'!$B:$B,0)),"")</f>
        <v/>
      </c>
      <c r="S56" s="116">
        <f>IFERROR(INDEX('DRAFT 1'!$O:$O,MATCH($B56,'DRAFT 1'!$B:$B,0)),"")</f>
        <v/>
      </c>
      <c r="T56" s="116">
        <f>IFERROR(INDEX('DRAFT 1'!$P:$P,MATCH($B56,'DRAFT 1'!$B:$B,0)),"")</f>
        <v/>
      </c>
      <c r="U56" s="116">
        <f>IFERROR(INDEX('DRAFT 1'!$Q:$Q,MATCH($B56,'DRAFT 1'!$B:$B,0)),"")</f>
        <v/>
      </c>
      <c r="V56" s="116">
        <f>IFERROR(INDEX('DRAFT 1'!$R:$R,MATCH($B56,'DRAFT 1'!$B:$B,0)),"")</f>
        <v/>
      </c>
      <c r="W56" s="116">
        <f>IFERROR(INDEX('DRAFT 1'!$S:$S,MATCH($B56,'DRAFT 1'!$B:$B,0)),"")</f>
        <v/>
      </c>
      <c r="X56" s="116">
        <f>IFERROR(INDEX('DRAFT 1'!$T:$T,MATCH($B56,'DRAFT 1'!$B:$B,0)),"")</f>
        <v/>
      </c>
      <c r="Z56" s="116">
        <f>IFERROR(INDEX('DRAFT 1'!$U:$U,MATCH($B56,'DRAFT 1'!$B:$B,0)),"")</f>
        <v/>
      </c>
      <c r="AA56" s="116">
        <f>IFERROR(INDEX('DRAFT 1'!$V:$V,MATCH($B56,'DRAFT 1'!$B:$B,0)),"")</f>
        <v/>
      </c>
      <c r="AB56" s="116">
        <f>IFERROR(INDEX('DRAFT 1'!$W:$W,MATCH($B56,'DRAFT 1'!$B:$B,0)),"")</f>
        <v/>
      </c>
      <c r="AC56" s="116">
        <f>IFERROR(INDEX('DRAFT 1'!$X:$X,MATCH($B56,'DRAFT 1'!$B:$B,0)),"")</f>
        <v/>
      </c>
      <c r="AD56" s="116">
        <f>IFERROR(INDEX('DRAFT 1'!$Y:$Y,MATCH($B56,'DRAFT 1'!$B:$B,0)),"")</f>
        <v/>
      </c>
      <c r="AE56" s="116">
        <f>IFERROR(INDEX('DRAFT 1'!$Z:$Z,MATCH($B56,'DRAFT 1'!$B:$B,0)),"")</f>
        <v/>
      </c>
      <c r="AF56" s="116">
        <f>IFERROR(INDEX('DRAFT 1'!$AA:$AA,MATCH($B56,'DRAFT 1'!$B:$B,0)),"")</f>
        <v/>
      </c>
      <c r="AG56" s="116">
        <f>IFERROR(INDEX('DRAFT 1'!$AB:$AB,MATCH($B56,'DRAFT 1'!$B:$B,0)),"")</f>
        <v/>
      </c>
      <c r="AH56" s="116">
        <f>IFERROR(INDEX('DRAFT 1'!$AC:$AC,MATCH($B56,'DRAFT 1'!$B:$B,0)),"")</f>
        <v/>
      </c>
      <c r="AI56" s="116">
        <f>IFERROR(INDEX('DRAFT 1'!$AD:$AD,MATCH($B56,'DRAFT 1'!$B:$B,0)),"")</f>
        <v/>
      </c>
      <c r="AJ56" s="116">
        <f>IFERROR(INDEX('DRAFT 1'!$AE:$AE,MATCH($B56,'DRAFT 1'!$B:$B,0)),"")</f>
        <v/>
      </c>
      <c r="AK56" s="116">
        <f>IFERROR(INDEX('DRAFT 1'!$AG:$AG,MATCH($B56,'DRAFT 1'!$B:$B,0)),"")</f>
        <v/>
      </c>
      <c r="AL56" s="116">
        <f>IFERROR(INDEX('DRAFT 1'!$AH:$AH,MATCH($B56,'DRAFT 1'!$B:$B,0)),"")</f>
        <v/>
      </c>
      <c r="AM56" s="116">
        <f>IFERROR(INDEX('DRAFT 1'!$AI:$AI,MATCH($B56,'DRAFT 1'!$B:$B,0)),"")</f>
        <v/>
      </c>
      <c r="AN56" s="116">
        <f>IFERROR(INDEX('DRAFT 1'!$AJ:$AJ,MATCH($B56,'DRAFT 1'!$B:$B,0)),"")</f>
        <v/>
      </c>
      <c r="AO56" s="116">
        <f>IFERROR(Y56/AN56,0)</f>
        <v/>
      </c>
      <c r="AP56" s="116">
        <f>IFERROR(INDEX('DRAFT 1'!$AK:$AK,MATCH($B56,'DRAFT 1'!$B:$B,0)),"")</f>
        <v/>
      </c>
      <c r="AR56" s="116" t="inlineStr">
        <is>
          <t>CS</t>
        </is>
      </c>
      <c r="AS56" s="116">
        <f>IFERROR(LOOKUP(2,1/('DRAFT 2'!$D:$D=$B56),'DRAFT 2'!$T:$T),"")</f>
        <v/>
      </c>
      <c r="AT56" s="116">
        <f>IFERROR(LOOKUP(2,1/('DRAFT 2'!$D:$D=$B56),'DRAFT 2'!$A:$A),"")</f>
        <v/>
      </c>
      <c r="AU56" s="116">
        <f>IFERROR(LOOKUP(2,1/('DRAFT 2'!$D:$D=$B56),'DRAFT 2'!$R:$R),"")</f>
        <v/>
      </c>
      <c r="AV56" s="116">
        <f>IFERROR(LOOKUP(2,1/('DRAFT 2'!$D:$D=$B56),'DRAFT 2'!$S:$S),"")</f>
        <v/>
      </c>
      <c r="AW56" s="116" t="inlineStr">
        <is>
          <t>LEAD</t>
        </is>
      </c>
      <c r="AX56" s="116">
        <f>IFERROR(LOOKUP(2,1/('DRAFT 2'!$D:$D=$B56),'DRAFT 2'!$M:$M),"")</f>
        <v/>
      </c>
      <c r="AY56" s="116">
        <f>IFERROR(LOOKUP(2,1/('DRAFT 2'!$D:$D=$B56),'DRAFT 2'!$K:$K),"")</f>
        <v/>
      </c>
      <c r="BG56" s="116">
        <f>IFERROR(LOOKUP(2,1/('DRAFT 2'!$D:$D=$B56),'DRAFT 2'!$U:$U),"")</f>
        <v/>
      </c>
      <c r="BH56" s="116">
        <f>IFERROR(LOOKUP(2,1/('DRAFT 2'!$D:$D=$B56),'DRAFT 2'!$V:$V),"")</f>
        <v/>
      </c>
      <c r="CE56" s="116">
        <f>IFERROR(AJ56,0)</f>
        <v/>
      </c>
      <c r="CF56" s="116">
        <f>IFERROR(LOOKUP(2,1/('DRAFT 2'!$D:$D=$B56)*('DRAFT 2'!$A:$A&gt;=DATE(2026,1,1))*('DRAFT 2'!$A:$A&lt;DATE(2026,IF(1=12,1+1,1+1),1)),'DRAFT 2'!$A:$A),"")</f>
        <v/>
      </c>
      <c r="CG56" s="116">
        <f>COUNTIFS('DRAFT 2'!$D:$D,$B56,'DRAFT 2'!$A:$A,"&gt;="&amp;DATE(2026,1,1),'DRAFT 2'!$A:$A,"&lt;="&amp;DATE(2026,1,7))</f>
        <v/>
      </c>
      <c r="CH56" s="116">
        <f>COUNTIFS('DRAFT 2'!$D:$D,$B56,'DRAFT 2'!$A:$A,"&gt;="&amp;DATE(2026,1,8),'DRAFT 2'!$A:$A,"&lt;="&amp;DATE(2026,1,14))</f>
        <v/>
      </c>
      <c r="CI56" s="116">
        <f>COUNTIFS('DRAFT 2'!$D:$D,$B56,'DRAFT 2'!$A:$A,"&gt;="&amp;DATE(2026,1,15),'DRAFT 2'!$A:$A,"&lt;="&amp;DATE(2026,1,21))</f>
        <v/>
      </c>
      <c r="CJ56" s="116">
        <f>COUNTIFS('DRAFT 2'!$D:$D,$B56,'DRAFT 2'!$A:$A,"&gt;="&amp;DATE(2026,1,22),'DRAFT 2'!$A:$A,"&lt;"&amp;DATE(2026,IF(1=12,1+1,1+1),1))</f>
        <v/>
      </c>
      <c r="CK56" s="116">
        <f>SUM(CG56:CJ56)</f>
        <v/>
      </c>
      <c r="CT56" s="116" t="n">
        <v>0</v>
      </c>
      <c r="CU56" s="116">
        <f>IFERROR(LOOKUP(2,1/('DRAFT 2'!$D:$D=$B56)*('DRAFT 2'!$A:$A&gt;=DATE(2026,2,1))*('DRAFT 2'!$A:$A&lt;DATE(2026,IF(2=12,2+1,2+1),1)),'DRAFT 2'!$A:$A),"")</f>
        <v/>
      </c>
      <c r="CV56" s="116">
        <f>COUNTIFS('DRAFT 2'!$D:$D,$B56,'DRAFT 2'!$A:$A,"&gt;="&amp;DATE(2026,2,1),'DRAFT 2'!$A:$A,"&lt;="&amp;DATE(2026,2,7))</f>
        <v/>
      </c>
      <c r="CW56" s="116">
        <f>COUNTIFS('DRAFT 2'!$D:$D,$B56,'DRAFT 2'!$A:$A,"&gt;="&amp;DATE(2026,2,8),'DRAFT 2'!$A:$A,"&lt;="&amp;DATE(2026,2,14))</f>
        <v/>
      </c>
      <c r="CX56" s="116">
        <f>COUNTIFS('DRAFT 2'!$D:$D,$B56,'DRAFT 2'!$A:$A,"&gt;="&amp;DATE(2026,2,15),'DRAFT 2'!$A:$A,"&lt;="&amp;DATE(2026,2,21))</f>
        <v/>
      </c>
      <c r="CY56" s="116">
        <f>COUNTIFS('DRAFT 2'!$D:$D,$B56,'DRAFT 2'!$A:$A,"&gt;="&amp;DATE(2026,2,22),'DRAFT 2'!$A:$A,"&lt;"&amp;DATE(2026,IF(2=12,2+1,2+1),1))</f>
        <v/>
      </c>
      <c r="CZ56" s="116">
        <f>SUM(CV56:CY56)</f>
        <v/>
      </c>
      <c r="DJ56" s="116">
        <f>IFERROR(LOOKUP(2,1/('DRAFT 2'!$D:$D=$B56)*('DRAFT 2'!$A:$A&gt;=DATE(2026,3,1))*('DRAFT 2'!$A:$A&lt;DATE(2026,IF(3=12,3+1,3+1),1)),'DRAFT 2'!$A:$A),"")</f>
        <v/>
      </c>
      <c r="DK56" s="116">
        <f>COUNTIFS('DRAFT 2'!$D:$D,$B56,'DRAFT 2'!$A:$A,"&gt;="&amp;DATE(2026,3,1),'DRAFT 2'!$A:$A,"&lt;="&amp;DATE(2026,3,7))</f>
        <v/>
      </c>
      <c r="DL56" s="116">
        <f>COUNTIFS('DRAFT 2'!$D:$D,$B56,'DRAFT 2'!$A:$A,"&gt;="&amp;DATE(2026,3,8),'DRAFT 2'!$A:$A,"&lt;="&amp;DATE(2026,3,14))</f>
        <v/>
      </c>
      <c r="DM56" s="116">
        <f>COUNTIFS('DRAFT 2'!$D:$D,$B56,'DRAFT 2'!$A:$A,"&gt;="&amp;DATE(2026,3,15),'DRAFT 2'!$A:$A,"&lt;="&amp;DATE(2026,3,21))</f>
        <v/>
      </c>
      <c r="DN56" s="116">
        <f>COUNTIFS('DRAFT 2'!$D:$D,$B56,'DRAFT 2'!$A:$A,"&gt;="&amp;DATE(2026,3,22),'DRAFT 2'!$A:$A,"&lt;"&amp;DATE(2026,IF(3=12,3+1,3+1),1))</f>
        <v/>
      </c>
      <c r="DO56" s="116">
        <f>SUM(DK56:DN56)</f>
        <v/>
      </c>
      <c r="DZ56" s="116">
        <f>IFERROR(LOOKUP(2,1/('DRAFT 2'!$D:$D=$B56)*('DRAFT 2'!$A:$A&gt;=DATE(2026,4,1))*('DRAFT 2'!$A:$A&lt;DATE(2026,IF(4=12,4+1,4+1),1)),'DRAFT 2'!$A:$A),"")</f>
        <v/>
      </c>
      <c r="EA56" s="116">
        <f>COUNTIFS('DRAFT 2'!$D:$D,$B56,'DRAFT 2'!$A:$A,"&gt;="&amp;DATE(2026,4,1),'DRAFT 2'!$A:$A,"&lt;="&amp;DATE(2026,4,7))</f>
        <v/>
      </c>
      <c r="EB56" s="116">
        <f>COUNTIFS('DRAFT 2'!$D:$D,$B56,'DRAFT 2'!$A:$A,"&gt;="&amp;DATE(2026,4,8),'DRAFT 2'!$A:$A,"&lt;="&amp;DATE(2026,4,14))</f>
        <v/>
      </c>
      <c r="EC56" s="116">
        <f>COUNTIFS('DRAFT 2'!$D:$D,$B56,'DRAFT 2'!$A:$A,"&gt;="&amp;DATE(2026,4,15),'DRAFT 2'!$A:$A,"&lt;="&amp;DATE(2026,4,21))</f>
        <v/>
      </c>
      <c r="ED56" s="116">
        <f>COUNTIFS('DRAFT 2'!$D:$D,$B56,'DRAFT 2'!$A:$A,"&gt;="&amp;DATE(2026,4,22),'DRAFT 2'!$A:$A,"&lt;"&amp;DATE(2026,IF(4=12,4+1,4+1),1))</f>
        <v/>
      </c>
      <c r="EE56" s="116">
        <f>SUM(EA56:ED56)</f>
        <v/>
      </c>
      <c r="EO56" s="116">
        <f>IFERROR(LOOKUP(2,1/('DRAFT 2'!$D:$D=$B56)*('DRAFT 2'!$A:$A&gt;=DATE(2026,5,1))*('DRAFT 2'!$A:$A&lt;DATE(2026,IF(5=12,5+1,5+1),1)),'DRAFT 2'!$A:$A),"")</f>
        <v/>
      </c>
      <c r="EP56" s="116">
        <f>COUNTIFS('DRAFT 2'!$D:$D,$B56,'DRAFT 2'!$A:$A,"&gt;="&amp;DATE(2026,5,1),'DRAFT 2'!$A:$A,"&lt;="&amp;DATE(2026,5,7))</f>
        <v/>
      </c>
      <c r="EQ56" s="116">
        <f>COUNTIFS('DRAFT 2'!$D:$D,$B56,'DRAFT 2'!$A:$A,"&gt;="&amp;DATE(2026,5,8),'DRAFT 2'!$A:$A,"&lt;="&amp;DATE(2026,5,14))</f>
        <v/>
      </c>
      <c r="ER56" s="116">
        <f>COUNTIFS('DRAFT 2'!$D:$D,$B56,'DRAFT 2'!$A:$A,"&gt;="&amp;DATE(2026,5,15),'DRAFT 2'!$A:$A,"&lt;="&amp;DATE(2026,5,21))</f>
        <v/>
      </c>
      <c r="ES56" s="116">
        <f>COUNTIFS('DRAFT 2'!$D:$D,$B56,'DRAFT 2'!$A:$A,"&gt;="&amp;DATE(2026,5,22),'DRAFT 2'!$A:$A,"&lt;"&amp;DATE(2026,IF(5=12,5+1,5+1),1))</f>
        <v/>
      </c>
      <c r="ET56" s="116">
        <f>SUM(EP56:ES56)</f>
        <v/>
      </c>
      <c r="FD56" s="116">
        <f>IFERROR(LOOKUP(2,1/('DRAFT 2'!$D:$D=$B56)*('DRAFT 2'!$A:$A&gt;=DATE(2026,6,1))*('DRAFT 2'!$A:$A&lt;DATE(2026,IF(6=12,6+1,6+1),1)),'DRAFT 2'!$A:$A),"")</f>
        <v/>
      </c>
      <c r="FE56" s="116">
        <f>COUNTIFS('DRAFT 2'!$D:$D,$B56,'DRAFT 2'!$A:$A,"&gt;="&amp;DATE(2026,6,1),'DRAFT 2'!$A:$A,"&lt;="&amp;DATE(2026,6,7))</f>
        <v/>
      </c>
      <c r="FF56" s="116">
        <f>COUNTIFS('DRAFT 2'!$D:$D,$B56,'DRAFT 2'!$A:$A,"&gt;="&amp;DATE(2026,6,8),'DRAFT 2'!$A:$A,"&lt;="&amp;DATE(2026,6,14))</f>
        <v/>
      </c>
      <c r="FG56" s="116">
        <f>COUNTIFS('DRAFT 2'!$D:$D,$B56,'DRAFT 2'!$A:$A,"&gt;="&amp;DATE(2026,6,15),'DRAFT 2'!$A:$A,"&lt;="&amp;DATE(2026,6,21))</f>
        <v/>
      </c>
      <c r="FH56" s="116">
        <f>COUNTIFS('DRAFT 2'!$D:$D,$B56,'DRAFT 2'!$A:$A,"&gt;="&amp;DATE(2026,6,22),'DRAFT 2'!$A:$A,"&lt;"&amp;DATE(2026,IF(6=12,6+1,6+1),1))</f>
        <v/>
      </c>
      <c r="FI56" s="116">
        <f>SUM(FE56:FH56)</f>
        <v/>
      </c>
      <c r="FT56" s="116">
        <f>IFERROR(LOOKUP(2,1/('DRAFT 2'!$D:$D=$B56)*('DRAFT 2'!$A:$A&gt;=DATE(2026,7,1))*('DRAFT 2'!$A:$A&lt;DATE(2026,IF(7=12,7+1,7+1),1)),'DRAFT 2'!$A:$A),"")</f>
        <v/>
      </c>
      <c r="FU56" s="116">
        <f>COUNTIFS('DRAFT 2'!$D:$D,$B56,'DRAFT 2'!$A:$A,"&gt;="&amp;DATE(2026,7,1),'DRAFT 2'!$A:$A,"&lt;="&amp;DATE(2026,7,7))</f>
        <v/>
      </c>
      <c r="FV56" s="116">
        <f>COUNTIFS('DRAFT 2'!$D:$D,$B56,'DRAFT 2'!$A:$A,"&gt;="&amp;DATE(2026,7,8),'DRAFT 2'!$A:$A,"&lt;="&amp;DATE(2026,7,14))</f>
        <v/>
      </c>
      <c r="FW56" s="116">
        <f>COUNTIFS('DRAFT 2'!$D:$D,$B56,'DRAFT 2'!$A:$A,"&gt;="&amp;DATE(2026,7,15),'DRAFT 2'!$A:$A,"&lt;="&amp;DATE(2026,7,21))</f>
        <v/>
      </c>
      <c r="FX56" s="116">
        <f>COUNTIFS('DRAFT 2'!$D:$D,$B56,'DRAFT 2'!$A:$A,"&gt;="&amp;DATE(2026,7,22),'DRAFT 2'!$A:$A,"&lt;"&amp;DATE(2026,IF(7=12,7+1,7+1),1))</f>
        <v/>
      </c>
      <c r="FY56" s="116">
        <f>SUM(FU56:FX56)</f>
        <v/>
      </c>
      <c r="GI56" s="116">
        <f>IFERROR(LOOKUP(2,1/('DRAFT 2'!$D:$D=$B56)*('DRAFT 2'!$A:$A&gt;=DATE(2026,8,1))*('DRAFT 2'!$A:$A&lt;DATE(2026,IF(8=12,8+1,8+1),1)),'DRAFT 2'!$A:$A),"")</f>
        <v/>
      </c>
      <c r="GJ56" s="116">
        <f>COUNTIFS('DRAFT 2'!$D:$D,$B56,'DRAFT 2'!$A:$A,"&gt;="&amp;DATE(2026,8,1),'DRAFT 2'!$A:$A,"&lt;="&amp;DATE(2026,8,7))</f>
        <v/>
      </c>
      <c r="GK56" s="116">
        <f>COUNTIFS('DRAFT 2'!$D:$D,$B56,'DRAFT 2'!$A:$A,"&gt;="&amp;DATE(2026,8,8),'DRAFT 2'!$A:$A,"&lt;="&amp;DATE(2026,8,14))</f>
        <v/>
      </c>
      <c r="GL56" s="116">
        <f>COUNTIFS('DRAFT 2'!$D:$D,$B56,'DRAFT 2'!$A:$A,"&gt;="&amp;DATE(2026,8,15),'DRAFT 2'!$A:$A,"&lt;="&amp;DATE(2026,8,21))</f>
        <v/>
      </c>
      <c r="GM56" s="116">
        <f>COUNTIFS('DRAFT 2'!$D:$D,$B56,'DRAFT 2'!$A:$A,"&gt;="&amp;DATE(2026,8,22),'DRAFT 2'!$A:$A,"&lt;"&amp;DATE(2026,IF(8=12,8+1,8+1),1))</f>
        <v/>
      </c>
      <c r="GN56" s="116">
        <f>SUM(GJ56:GM56)</f>
        <v/>
      </c>
      <c r="GX56" s="116">
        <f>IFERROR(LOOKUP(2,1/('DRAFT 2'!$D:$D=$B56)*('DRAFT 2'!$A:$A&gt;=DATE(2026,9,1))*('DRAFT 2'!$A:$A&lt;DATE(2026,IF(9=12,9+1,9+1),1)),'DRAFT 2'!$A:$A),"")</f>
        <v/>
      </c>
      <c r="GY56" s="116">
        <f>COUNTIFS('DRAFT 2'!$D:$D,$B56,'DRAFT 2'!$A:$A,"&gt;="&amp;DATE(2026,9,1),'DRAFT 2'!$A:$A,"&lt;="&amp;DATE(2026,9,7))</f>
        <v/>
      </c>
      <c r="GZ56" s="116">
        <f>COUNTIFS('DRAFT 2'!$D:$D,$B56,'DRAFT 2'!$A:$A,"&gt;="&amp;DATE(2026,9,8),'DRAFT 2'!$A:$A,"&lt;="&amp;DATE(2026,9,14))</f>
        <v/>
      </c>
      <c r="HA56" s="116">
        <f>COUNTIFS('DRAFT 2'!$D:$D,$B56,'DRAFT 2'!$A:$A,"&gt;="&amp;DATE(2026,9,15),'DRAFT 2'!$A:$A,"&lt;="&amp;DATE(2026,9,21))</f>
        <v/>
      </c>
      <c r="HB56" s="116">
        <f>COUNTIFS('DRAFT 2'!$D:$D,$B56,'DRAFT 2'!$A:$A,"&gt;="&amp;DATE(2026,9,22),'DRAFT 2'!$A:$A,"&lt;"&amp;DATE(2026,IF(9=12,9+1,9+1),1))</f>
        <v/>
      </c>
      <c r="HC56" s="116">
        <f>SUM(GY56:HB56)</f>
        <v/>
      </c>
      <c r="HN56" s="116">
        <f>IFERROR(LOOKUP(2,1/('DRAFT 2'!$D:$D=$B56)*('DRAFT 2'!$A:$A&gt;=DATE(2026,10,1))*('DRAFT 2'!$A:$A&lt;DATE(2026,IF(10=12,10+1,10+1),1)),'DRAFT 2'!$A:$A),"")</f>
        <v/>
      </c>
      <c r="HO56" s="116">
        <f>COUNTIFS('DRAFT 2'!$D:$D,$B56,'DRAFT 2'!$A:$A,"&gt;="&amp;DATE(2026,10,1),'DRAFT 2'!$A:$A,"&lt;="&amp;DATE(2026,10,7))</f>
        <v/>
      </c>
      <c r="HP56" s="116">
        <f>COUNTIFS('DRAFT 2'!$D:$D,$B56,'DRAFT 2'!$A:$A,"&gt;="&amp;DATE(2026,10,8),'DRAFT 2'!$A:$A,"&lt;="&amp;DATE(2026,10,14))</f>
        <v/>
      </c>
      <c r="HQ56" s="116">
        <f>COUNTIFS('DRAFT 2'!$D:$D,$B56,'DRAFT 2'!$A:$A,"&gt;="&amp;DATE(2026,10,15),'DRAFT 2'!$A:$A,"&lt;="&amp;DATE(2026,10,21))</f>
        <v/>
      </c>
      <c r="HR56" s="116">
        <f>COUNTIFS('DRAFT 2'!$D:$D,$B56,'DRAFT 2'!$A:$A,"&gt;="&amp;DATE(2026,10,22),'DRAFT 2'!$A:$A,"&lt;"&amp;DATE(2026,IF(10=12,10+1,10+1),1))</f>
        <v/>
      </c>
      <c r="HS56" s="116">
        <f>SUM(HO56:HR56)</f>
        <v/>
      </c>
      <c r="IC56" s="116">
        <f>IFERROR(LOOKUP(2,1/('DRAFT 2'!$D:$D=$B56)*('DRAFT 2'!$A:$A&gt;=DATE(2026,11,1))*('DRAFT 2'!$A:$A&lt;DATE(2026,IF(11=12,11+1,11+1),1)),'DRAFT 2'!$A:$A),"")</f>
        <v/>
      </c>
      <c r="ID56" s="116">
        <f>COUNTIFS('DRAFT 2'!$D:$D,$B56,'DRAFT 2'!$A:$A,"&gt;="&amp;DATE(2026,11,1),'DRAFT 2'!$A:$A,"&lt;="&amp;DATE(2026,11,7))</f>
        <v/>
      </c>
      <c r="IE56" s="116">
        <f>COUNTIFS('DRAFT 2'!$D:$D,$B56,'DRAFT 2'!$A:$A,"&gt;="&amp;DATE(2026,11,8),'DRAFT 2'!$A:$A,"&lt;="&amp;DATE(2026,11,14))</f>
        <v/>
      </c>
      <c r="IF56" s="116">
        <f>COUNTIFS('DRAFT 2'!$D:$D,$B56,'DRAFT 2'!$A:$A,"&gt;="&amp;DATE(2026,11,15),'DRAFT 2'!$A:$A,"&lt;="&amp;DATE(2026,11,21))</f>
        <v/>
      </c>
      <c r="IG56" s="116">
        <f>COUNTIFS('DRAFT 2'!$D:$D,$B56,'DRAFT 2'!$A:$A,"&gt;="&amp;DATE(2026,11,22),'DRAFT 2'!$A:$A,"&lt;"&amp;DATE(2026,IF(11=12,11+1,11+1),1))</f>
        <v/>
      </c>
      <c r="IH56" s="116">
        <f>SUM(ID56:IG56)</f>
        <v/>
      </c>
      <c r="IR56" s="116">
        <f>IFERROR(LOOKUP(2,1/('DRAFT 2'!$D:$D=$B56)*('DRAFT 2'!$A:$A&gt;=DATE(2026,12,1))*('DRAFT 2'!$A:$A&lt;DATE(2026,IF(12=12,12+1,12+1),1)),'DRAFT 2'!$A:$A),"")</f>
        <v/>
      </c>
      <c r="IS56" s="116">
        <f>COUNTIFS('DRAFT 2'!$D:$D,$B56,'DRAFT 2'!$A:$A,"&gt;="&amp;DATE(2026,12,1),'DRAFT 2'!$A:$A,"&lt;="&amp;DATE(2026,12,7))</f>
        <v/>
      </c>
      <c r="IT56" s="116">
        <f>COUNTIFS('DRAFT 2'!$D:$D,$B56,'DRAFT 2'!$A:$A,"&gt;="&amp;DATE(2026,12,8),'DRAFT 2'!$A:$A,"&lt;="&amp;DATE(2026,12,14))</f>
        <v/>
      </c>
      <c r="IU56" s="116">
        <f>COUNTIFS('DRAFT 2'!$D:$D,$B56,'DRAFT 2'!$A:$A,"&gt;="&amp;DATE(2026,12,15),'DRAFT 2'!$A:$A,"&lt;="&amp;DATE(2026,12,21))</f>
        <v/>
      </c>
      <c r="IV56" s="116">
        <f>COUNTIFS('DRAFT 2'!$D:$D,$B56,'DRAFT 2'!$A:$A,"&gt;="&amp;DATE(2026,12,22),'DRAFT 2'!$A:$A,"&lt;"&amp;DATE(2026,IF(12=12,12+1,12+1),1))</f>
        <v/>
      </c>
      <c r="IW56" s="116">
        <f>SUM(IS56:IV56)</f>
        <v/>
      </c>
    </row>
    <row r="57">
      <c r="A57" s="116">
        <f>IFERROR(INDEX('DRAFT 1'!$A:$A,MATCH($B57,'DRAFT 1'!$B:$B,0)),"")</f>
        <v/>
      </c>
      <c r="C57" s="116">
        <f>IFERROR(INDEX('DRAFT 1'!$C:$C,MATCH($B57,'DRAFT 1'!$B:$B,0)),"")</f>
        <v/>
      </c>
      <c r="D57" s="116">
        <f>IFERROR(INDEX('DRAFT 1'!$D:$D,MATCH($B57,'DRAFT 1'!$B:$B,0)),"")</f>
        <v/>
      </c>
      <c r="E57" s="116">
        <f>IFERROR(INDEX('DRAFT 1'!$E:$E,MATCH($B57,'DRAFT 1'!$B:$B,0)),"")</f>
        <v/>
      </c>
      <c r="F57" s="116">
        <f>IFERROR(INDEX('DRAFT 1'!$F:$F,MATCH($B57,'DRAFT 1'!$B:$B,0)),"")</f>
        <v/>
      </c>
      <c r="G57" s="116">
        <f>IFERROR(INDEX('DRAFT 1'!$G:$G,MATCH($B57,'DRAFT 1'!$B:$B,0)),"")</f>
        <v/>
      </c>
      <c r="H57" s="116">
        <f>IFERROR(INDEX('DRAFT 1'!$H:$H,MATCH($B57,'DRAFT 1'!$B:$B,0)),"")</f>
        <v/>
      </c>
      <c r="I57" s="116" t="inlineStr">
        <is>
          <t>TUDO EM GRAOS</t>
        </is>
      </c>
      <c r="K57" s="116">
        <f>IFERROR(INDEX('DRAFT 1'!$AL:$AL,MATCH($B57,'DRAFT 1'!$B:$B,0)),"")</f>
        <v/>
      </c>
      <c r="L57" s="116">
        <f>IFERROR(INDEX('DRAFT 1'!$J:$J,MATCH($B57,'DRAFT 1'!$B:$B,0)),"")</f>
        <v/>
      </c>
      <c r="M57" s="116">
        <f>IFERROR(INDEX('DRAFT 1'!$K:$K,MATCH($B57,'DRAFT 1'!$B:$B,0)),"")</f>
        <v/>
      </c>
      <c r="N57" s="116" t="inlineStr">
        <is>
          <t>ATIVO</t>
        </is>
      </c>
      <c r="P57" s="116">
        <f>IFERROR(INDEX('DRAFT 1'!$L:$L,MATCH($B57,'DRAFT 1'!$B:$B,0)),"")</f>
        <v/>
      </c>
      <c r="Q57" s="116">
        <f>IFERROR(INDEX('DRAFT 1'!$M:$M,MATCH($B57,'DRAFT 1'!$B:$B,0)),"")</f>
        <v/>
      </c>
      <c r="R57" s="116">
        <f>IFERROR(INDEX('DRAFT 1'!$N:$N,MATCH($B57,'DRAFT 1'!$B:$B,0)),"")</f>
        <v/>
      </c>
      <c r="S57" s="116">
        <f>IFERROR(INDEX('DRAFT 1'!$O:$O,MATCH($B57,'DRAFT 1'!$B:$B,0)),"")</f>
        <v/>
      </c>
      <c r="T57" s="116">
        <f>IFERROR(INDEX('DRAFT 1'!$P:$P,MATCH($B57,'DRAFT 1'!$B:$B,0)),"")</f>
        <v/>
      </c>
      <c r="U57" s="116">
        <f>IFERROR(INDEX('DRAFT 1'!$Q:$Q,MATCH($B57,'DRAFT 1'!$B:$B,0)),"")</f>
        <v/>
      </c>
      <c r="V57" s="116">
        <f>IFERROR(INDEX('DRAFT 1'!$R:$R,MATCH($B57,'DRAFT 1'!$B:$B,0)),"")</f>
        <v/>
      </c>
      <c r="W57" s="116">
        <f>IFERROR(INDEX('DRAFT 1'!$S:$S,MATCH($B57,'DRAFT 1'!$B:$B,0)),"")</f>
        <v/>
      </c>
      <c r="X57" s="116">
        <f>IFERROR(INDEX('DRAFT 1'!$T:$T,MATCH($B57,'DRAFT 1'!$B:$B,0)),"")</f>
        <v/>
      </c>
      <c r="Z57" s="116">
        <f>IFERROR(INDEX('DRAFT 1'!$U:$U,MATCH($B57,'DRAFT 1'!$B:$B,0)),"")</f>
        <v/>
      </c>
      <c r="AA57" s="116">
        <f>IFERROR(INDEX('DRAFT 1'!$V:$V,MATCH($B57,'DRAFT 1'!$B:$B,0)),"")</f>
        <v/>
      </c>
      <c r="AB57" s="116">
        <f>IFERROR(INDEX('DRAFT 1'!$W:$W,MATCH($B57,'DRAFT 1'!$B:$B,0)),"")</f>
        <v/>
      </c>
      <c r="AC57" s="116">
        <f>IFERROR(INDEX('DRAFT 1'!$X:$X,MATCH($B57,'DRAFT 1'!$B:$B,0)),"")</f>
        <v/>
      </c>
      <c r="AD57" s="116">
        <f>IFERROR(INDEX('DRAFT 1'!$Y:$Y,MATCH($B57,'DRAFT 1'!$B:$B,0)),"")</f>
        <v/>
      </c>
      <c r="AE57" s="116">
        <f>IFERROR(INDEX('DRAFT 1'!$Z:$Z,MATCH($B57,'DRAFT 1'!$B:$B,0)),"")</f>
        <v/>
      </c>
      <c r="AF57" s="116">
        <f>IFERROR(INDEX('DRAFT 1'!$AA:$AA,MATCH($B57,'DRAFT 1'!$B:$B,0)),"")</f>
        <v/>
      </c>
      <c r="AG57" s="116">
        <f>IFERROR(INDEX('DRAFT 1'!$AB:$AB,MATCH($B57,'DRAFT 1'!$B:$B,0)),"")</f>
        <v/>
      </c>
      <c r="AH57" s="116">
        <f>IFERROR(INDEX('DRAFT 1'!$AC:$AC,MATCH($B57,'DRAFT 1'!$B:$B,0)),"")</f>
        <v/>
      </c>
      <c r="AI57" s="116">
        <f>IFERROR(INDEX('DRAFT 1'!$AD:$AD,MATCH($B57,'DRAFT 1'!$B:$B,0)),"")</f>
        <v/>
      </c>
      <c r="AJ57" s="116">
        <f>IFERROR(INDEX('DRAFT 1'!$AE:$AE,MATCH($B57,'DRAFT 1'!$B:$B,0)),"")</f>
        <v/>
      </c>
      <c r="AK57" s="116">
        <f>IFERROR(INDEX('DRAFT 1'!$AG:$AG,MATCH($B57,'DRAFT 1'!$B:$B,0)),"")</f>
        <v/>
      </c>
      <c r="AL57" s="116">
        <f>IFERROR(INDEX('DRAFT 1'!$AH:$AH,MATCH($B57,'DRAFT 1'!$B:$B,0)),"")</f>
        <v/>
      </c>
      <c r="AM57" s="116">
        <f>IFERROR(INDEX('DRAFT 1'!$AI:$AI,MATCH($B57,'DRAFT 1'!$B:$B,0)),"")</f>
        <v/>
      </c>
      <c r="AN57" s="116">
        <f>IFERROR(INDEX('DRAFT 1'!$AJ:$AJ,MATCH($B57,'DRAFT 1'!$B:$B,0)),"")</f>
        <v/>
      </c>
      <c r="AO57" s="116">
        <f>IFERROR(Y57/AN57,0)</f>
        <v/>
      </c>
      <c r="AP57" s="116">
        <f>IFERROR(INDEX('DRAFT 1'!$AK:$AK,MATCH($B57,'DRAFT 1'!$B:$B,0)),"")</f>
        <v/>
      </c>
      <c r="AR57" s="116" t="inlineStr">
        <is>
          <t>EM ATENDIMENTO</t>
        </is>
      </c>
      <c r="AS57" s="116">
        <f>IFERROR(LOOKUP(2,1/('DRAFT 2'!$D:$D=$B57),'DRAFT 2'!$T:$T),"")</f>
        <v/>
      </c>
      <c r="AT57" s="116">
        <f>IFERROR(LOOKUP(2,1/('DRAFT 2'!$D:$D=$B57),'DRAFT 2'!$A:$A),"")</f>
        <v/>
      </c>
      <c r="AU57" s="116">
        <f>IFERROR(LOOKUP(2,1/('DRAFT 2'!$D:$D=$B57),'DRAFT 2'!$R:$R),"")</f>
        <v/>
      </c>
      <c r="AV57" s="116">
        <f>IFERROR(LOOKUP(2,1/('DRAFT 2'!$D:$D=$B57),'DRAFT 2'!$S:$S),"")</f>
        <v/>
      </c>
      <c r="AW57" s="116" t="inlineStr">
        <is>
          <t>RECORRENTE</t>
        </is>
      </c>
      <c r="AX57" s="116">
        <f>IFERROR(LOOKUP(2,1/('DRAFT 2'!$D:$D=$B57),'DRAFT 2'!$M:$M),"")</f>
        <v/>
      </c>
      <c r="AY57" s="116">
        <f>IFERROR(LOOKUP(2,1/('DRAFT 2'!$D:$D=$B57),'DRAFT 2'!$K:$K),"")</f>
        <v/>
      </c>
      <c r="BG57" s="116">
        <f>IFERROR(LOOKUP(2,1/('DRAFT 2'!$D:$D=$B57),'DRAFT 2'!$U:$U),"")</f>
        <v/>
      </c>
      <c r="BH57" s="116">
        <f>IFERROR(LOOKUP(2,1/('DRAFT 2'!$D:$D=$B57),'DRAFT 2'!$V:$V),"")</f>
        <v/>
      </c>
      <c r="CE57" s="116">
        <f>IFERROR(AJ57,0)</f>
        <v/>
      </c>
      <c r="CF57" s="116">
        <f>IFERROR(LOOKUP(2,1/('DRAFT 2'!$D:$D=$B57)*('DRAFT 2'!$A:$A&gt;=DATE(2026,1,1))*('DRAFT 2'!$A:$A&lt;DATE(2026,IF(1=12,1+1,1+1),1)),'DRAFT 2'!$A:$A),"")</f>
        <v/>
      </c>
      <c r="CG57" s="116">
        <f>COUNTIFS('DRAFT 2'!$D:$D,$B57,'DRAFT 2'!$A:$A,"&gt;="&amp;DATE(2026,1,1),'DRAFT 2'!$A:$A,"&lt;="&amp;DATE(2026,1,7))</f>
        <v/>
      </c>
      <c r="CH57" s="116">
        <f>COUNTIFS('DRAFT 2'!$D:$D,$B57,'DRAFT 2'!$A:$A,"&gt;="&amp;DATE(2026,1,8),'DRAFT 2'!$A:$A,"&lt;="&amp;DATE(2026,1,14))</f>
        <v/>
      </c>
      <c r="CI57" s="116">
        <f>COUNTIFS('DRAFT 2'!$D:$D,$B57,'DRAFT 2'!$A:$A,"&gt;="&amp;DATE(2026,1,15),'DRAFT 2'!$A:$A,"&lt;="&amp;DATE(2026,1,21))</f>
        <v/>
      </c>
      <c r="CJ57" s="116">
        <f>COUNTIFS('DRAFT 2'!$D:$D,$B57,'DRAFT 2'!$A:$A,"&gt;="&amp;DATE(2026,1,22),'DRAFT 2'!$A:$A,"&lt;"&amp;DATE(2026,IF(1=12,1+1,1+1),1))</f>
        <v/>
      </c>
      <c r="CK57" s="116">
        <f>SUM(CG57:CJ57)</f>
        <v/>
      </c>
      <c r="CT57" s="116" t="n">
        <v>0</v>
      </c>
      <c r="CU57" s="116">
        <f>IFERROR(LOOKUP(2,1/('DRAFT 2'!$D:$D=$B57)*('DRAFT 2'!$A:$A&gt;=DATE(2026,2,1))*('DRAFT 2'!$A:$A&lt;DATE(2026,IF(2=12,2+1,2+1),1)),'DRAFT 2'!$A:$A),"")</f>
        <v/>
      </c>
      <c r="CV57" s="116">
        <f>COUNTIFS('DRAFT 2'!$D:$D,$B57,'DRAFT 2'!$A:$A,"&gt;="&amp;DATE(2026,2,1),'DRAFT 2'!$A:$A,"&lt;="&amp;DATE(2026,2,7))</f>
        <v/>
      </c>
      <c r="CW57" s="116">
        <f>COUNTIFS('DRAFT 2'!$D:$D,$B57,'DRAFT 2'!$A:$A,"&gt;="&amp;DATE(2026,2,8),'DRAFT 2'!$A:$A,"&lt;="&amp;DATE(2026,2,14))</f>
        <v/>
      </c>
      <c r="CX57" s="116">
        <f>COUNTIFS('DRAFT 2'!$D:$D,$B57,'DRAFT 2'!$A:$A,"&gt;="&amp;DATE(2026,2,15),'DRAFT 2'!$A:$A,"&lt;="&amp;DATE(2026,2,21))</f>
        <v/>
      </c>
      <c r="CY57" s="116">
        <f>COUNTIFS('DRAFT 2'!$D:$D,$B57,'DRAFT 2'!$A:$A,"&gt;="&amp;DATE(2026,2,22),'DRAFT 2'!$A:$A,"&lt;"&amp;DATE(2026,IF(2=12,2+1,2+1),1))</f>
        <v/>
      </c>
      <c r="CZ57" s="116">
        <f>SUM(CV57:CY57)</f>
        <v/>
      </c>
      <c r="DJ57" s="116">
        <f>IFERROR(LOOKUP(2,1/('DRAFT 2'!$D:$D=$B57)*('DRAFT 2'!$A:$A&gt;=DATE(2026,3,1))*('DRAFT 2'!$A:$A&lt;DATE(2026,IF(3=12,3+1,3+1),1)),'DRAFT 2'!$A:$A),"")</f>
        <v/>
      </c>
      <c r="DK57" s="116">
        <f>COUNTIFS('DRAFT 2'!$D:$D,$B57,'DRAFT 2'!$A:$A,"&gt;="&amp;DATE(2026,3,1),'DRAFT 2'!$A:$A,"&lt;="&amp;DATE(2026,3,7))</f>
        <v/>
      </c>
      <c r="DL57" s="116">
        <f>COUNTIFS('DRAFT 2'!$D:$D,$B57,'DRAFT 2'!$A:$A,"&gt;="&amp;DATE(2026,3,8),'DRAFT 2'!$A:$A,"&lt;="&amp;DATE(2026,3,14))</f>
        <v/>
      </c>
      <c r="DM57" s="116">
        <f>COUNTIFS('DRAFT 2'!$D:$D,$B57,'DRAFT 2'!$A:$A,"&gt;="&amp;DATE(2026,3,15),'DRAFT 2'!$A:$A,"&lt;="&amp;DATE(2026,3,21))</f>
        <v/>
      </c>
      <c r="DN57" s="116">
        <f>COUNTIFS('DRAFT 2'!$D:$D,$B57,'DRAFT 2'!$A:$A,"&gt;="&amp;DATE(2026,3,22),'DRAFT 2'!$A:$A,"&lt;"&amp;DATE(2026,IF(3=12,3+1,3+1),1))</f>
        <v/>
      </c>
      <c r="DO57" s="116">
        <f>SUM(DK57:DN57)</f>
        <v/>
      </c>
      <c r="DZ57" s="116">
        <f>IFERROR(LOOKUP(2,1/('DRAFT 2'!$D:$D=$B57)*('DRAFT 2'!$A:$A&gt;=DATE(2026,4,1))*('DRAFT 2'!$A:$A&lt;DATE(2026,IF(4=12,4+1,4+1),1)),'DRAFT 2'!$A:$A),"")</f>
        <v/>
      </c>
      <c r="EA57" s="116">
        <f>COUNTIFS('DRAFT 2'!$D:$D,$B57,'DRAFT 2'!$A:$A,"&gt;="&amp;DATE(2026,4,1),'DRAFT 2'!$A:$A,"&lt;="&amp;DATE(2026,4,7))</f>
        <v/>
      </c>
      <c r="EB57" s="116">
        <f>COUNTIFS('DRAFT 2'!$D:$D,$B57,'DRAFT 2'!$A:$A,"&gt;="&amp;DATE(2026,4,8),'DRAFT 2'!$A:$A,"&lt;="&amp;DATE(2026,4,14))</f>
        <v/>
      </c>
      <c r="EC57" s="116">
        <f>COUNTIFS('DRAFT 2'!$D:$D,$B57,'DRAFT 2'!$A:$A,"&gt;="&amp;DATE(2026,4,15),'DRAFT 2'!$A:$A,"&lt;="&amp;DATE(2026,4,21))</f>
        <v/>
      </c>
      <c r="ED57" s="116">
        <f>COUNTIFS('DRAFT 2'!$D:$D,$B57,'DRAFT 2'!$A:$A,"&gt;="&amp;DATE(2026,4,22),'DRAFT 2'!$A:$A,"&lt;"&amp;DATE(2026,IF(4=12,4+1,4+1),1))</f>
        <v/>
      </c>
      <c r="EE57" s="116">
        <f>SUM(EA57:ED57)</f>
        <v/>
      </c>
      <c r="EO57" s="116">
        <f>IFERROR(LOOKUP(2,1/('DRAFT 2'!$D:$D=$B57)*('DRAFT 2'!$A:$A&gt;=DATE(2026,5,1))*('DRAFT 2'!$A:$A&lt;DATE(2026,IF(5=12,5+1,5+1),1)),'DRAFT 2'!$A:$A),"")</f>
        <v/>
      </c>
      <c r="EP57" s="116">
        <f>COUNTIFS('DRAFT 2'!$D:$D,$B57,'DRAFT 2'!$A:$A,"&gt;="&amp;DATE(2026,5,1),'DRAFT 2'!$A:$A,"&lt;="&amp;DATE(2026,5,7))</f>
        <v/>
      </c>
      <c r="EQ57" s="116">
        <f>COUNTIFS('DRAFT 2'!$D:$D,$B57,'DRAFT 2'!$A:$A,"&gt;="&amp;DATE(2026,5,8),'DRAFT 2'!$A:$A,"&lt;="&amp;DATE(2026,5,14))</f>
        <v/>
      </c>
      <c r="ER57" s="116">
        <f>COUNTIFS('DRAFT 2'!$D:$D,$B57,'DRAFT 2'!$A:$A,"&gt;="&amp;DATE(2026,5,15),'DRAFT 2'!$A:$A,"&lt;="&amp;DATE(2026,5,21))</f>
        <v/>
      </c>
      <c r="ES57" s="116">
        <f>COUNTIFS('DRAFT 2'!$D:$D,$B57,'DRAFT 2'!$A:$A,"&gt;="&amp;DATE(2026,5,22),'DRAFT 2'!$A:$A,"&lt;"&amp;DATE(2026,IF(5=12,5+1,5+1),1))</f>
        <v/>
      </c>
      <c r="ET57" s="116">
        <f>SUM(EP57:ES57)</f>
        <v/>
      </c>
      <c r="FD57" s="116">
        <f>IFERROR(LOOKUP(2,1/('DRAFT 2'!$D:$D=$B57)*('DRAFT 2'!$A:$A&gt;=DATE(2026,6,1))*('DRAFT 2'!$A:$A&lt;DATE(2026,IF(6=12,6+1,6+1),1)),'DRAFT 2'!$A:$A),"")</f>
        <v/>
      </c>
      <c r="FE57" s="116">
        <f>COUNTIFS('DRAFT 2'!$D:$D,$B57,'DRAFT 2'!$A:$A,"&gt;="&amp;DATE(2026,6,1),'DRAFT 2'!$A:$A,"&lt;="&amp;DATE(2026,6,7))</f>
        <v/>
      </c>
      <c r="FF57" s="116">
        <f>COUNTIFS('DRAFT 2'!$D:$D,$B57,'DRAFT 2'!$A:$A,"&gt;="&amp;DATE(2026,6,8),'DRAFT 2'!$A:$A,"&lt;="&amp;DATE(2026,6,14))</f>
        <v/>
      </c>
      <c r="FG57" s="116">
        <f>COUNTIFS('DRAFT 2'!$D:$D,$B57,'DRAFT 2'!$A:$A,"&gt;="&amp;DATE(2026,6,15),'DRAFT 2'!$A:$A,"&lt;="&amp;DATE(2026,6,21))</f>
        <v/>
      </c>
      <c r="FH57" s="116">
        <f>COUNTIFS('DRAFT 2'!$D:$D,$B57,'DRAFT 2'!$A:$A,"&gt;="&amp;DATE(2026,6,22),'DRAFT 2'!$A:$A,"&lt;"&amp;DATE(2026,IF(6=12,6+1,6+1),1))</f>
        <v/>
      </c>
      <c r="FI57" s="116">
        <f>SUM(FE57:FH57)</f>
        <v/>
      </c>
      <c r="FT57" s="116">
        <f>IFERROR(LOOKUP(2,1/('DRAFT 2'!$D:$D=$B57)*('DRAFT 2'!$A:$A&gt;=DATE(2026,7,1))*('DRAFT 2'!$A:$A&lt;DATE(2026,IF(7=12,7+1,7+1),1)),'DRAFT 2'!$A:$A),"")</f>
        <v/>
      </c>
      <c r="FU57" s="116">
        <f>COUNTIFS('DRAFT 2'!$D:$D,$B57,'DRAFT 2'!$A:$A,"&gt;="&amp;DATE(2026,7,1),'DRAFT 2'!$A:$A,"&lt;="&amp;DATE(2026,7,7))</f>
        <v/>
      </c>
      <c r="FV57" s="116">
        <f>COUNTIFS('DRAFT 2'!$D:$D,$B57,'DRAFT 2'!$A:$A,"&gt;="&amp;DATE(2026,7,8),'DRAFT 2'!$A:$A,"&lt;="&amp;DATE(2026,7,14))</f>
        <v/>
      </c>
      <c r="FW57" s="116">
        <f>COUNTIFS('DRAFT 2'!$D:$D,$B57,'DRAFT 2'!$A:$A,"&gt;="&amp;DATE(2026,7,15),'DRAFT 2'!$A:$A,"&lt;="&amp;DATE(2026,7,21))</f>
        <v/>
      </c>
      <c r="FX57" s="116">
        <f>COUNTIFS('DRAFT 2'!$D:$D,$B57,'DRAFT 2'!$A:$A,"&gt;="&amp;DATE(2026,7,22),'DRAFT 2'!$A:$A,"&lt;"&amp;DATE(2026,IF(7=12,7+1,7+1),1))</f>
        <v/>
      </c>
      <c r="FY57" s="116">
        <f>SUM(FU57:FX57)</f>
        <v/>
      </c>
      <c r="GI57" s="116">
        <f>IFERROR(LOOKUP(2,1/('DRAFT 2'!$D:$D=$B57)*('DRAFT 2'!$A:$A&gt;=DATE(2026,8,1))*('DRAFT 2'!$A:$A&lt;DATE(2026,IF(8=12,8+1,8+1),1)),'DRAFT 2'!$A:$A),"")</f>
        <v/>
      </c>
      <c r="GJ57" s="116">
        <f>COUNTIFS('DRAFT 2'!$D:$D,$B57,'DRAFT 2'!$A:$A,"&gt;="&amp;DATE(2026,8,1),'DRAFT 2'!$A:$A,"&lt;="&amp;DATE(2026,8,7))</f>
        <v/>
      </c>
      <c r="GK57" s="116">
        <f>COUNTIFS('DRAFT 2'!$D:$D,$B57,'DRAFT 2'!$A:$A,"&gt;="&amp;DATE(2026,8,8),'DRAFT 2'!$A:$A,"&lt;="&amp;DATE(2026,8,14))</f>
        <v/>
      </c>
      <c r="GL57" s="116">
        <f>COUNTIFS('DRAFT 2'!$D:$D,$B57,'DRAFT 2'!$A:$A,"&gt;="&amp;DATE(2026,8,15),'DRAFT 2'!$A:$A,"&lt;="&amp;DATE(2026,8,21))</f>
        <v/>
      </c>
      <c r="GM57" s="116">
        <f>COUNTIFS('DRAFT 2'!$D:$D,$B57,'DRAFT 2'!$A:$A,"&gt;="&amp;DATE(2026,8,22),'DRAFT 2'!$A:$A,"&lt;"&amp;DATE(2026,IF(8=12,8+1,8+1),1))</f>
        <v/>
      </c>
      <c r="GN57" s="116">
        <f>SUM(GJ57:GM57)</f>
        <v/>
      </c>
      <c r="GX57" s="116">
        <f>IFERROR(LOOKUP(2,1/('DRAFT 2'!$D:$D=$B57)*('DRAFT 2'!$A:$A&gt;=DATE(2026,9,1))*('DRAFT 2'!$A:$A&lt;DATE(2026,IF(9=12,9+1,9+1),1)),'DRAFT 2'!$A:$A),"")</f>
        <v/>
      </c>
      <c r="GY57" s="116">
        <f>COUNTIFS('DRAFT 2'!$D:$D,$B57,'DRAFT 2'!$A:$A,"&gt;="&amp;DATE(2026,9,1),'DRAFT 2'!$A:$A,"&lt;="&amp;DATE(2026,9,7))</f>
        <v/>
      </c>
      <c r="GZ57" s="116">
        <f>COUNTIFS('DRAFT 2'!$D:$D,$B57,'DRAFT 2'!$A:$A,"&gt;="&amp;DATE(2026,9,8),'DRAFT 2'!$A:$A,"&lt;="&amp;DATE(2026,9,14))</f>
        <v/>
      </c>
      <c r="HA57" s="116">
        <f>COUNTIFS('DRAFT 2'!$D:$D,$B57,'DRAFT 2'!$A:$A,"&gt;="&amp;DATE(2026,9,15),'DRAFT 2'!$A:$A,"&lt;="&amp;DATE(2026,9,21))</f>
        <v/>
      </c>
      <c r="HB57" s="116">
        <f>COUNTIFS('DRAFT 2'!$D:$D,$B57,'DRAFT 2'!$A:$A,"&gt;="&amp;DATE(2026,9,22),'DRAFT 2'!$A:$A,"&lt;"&amp;DATE(2026,IF(9=12,9+1,9+1),1))</f>
        <v/>
      </c>
      <c r="HC57" s="116">
        <f>SUM(GY57:HB57)</f>
        <v/>
      </c>
      <c r="HN57" s="116">
        <f>IFERROR(LOOKUP(2,1/('DRAFT 2'!$D:$D=$B57)*('DRAFT 2'!$A:$A&gt;=DATE(2026,10,1))*('DRAFT 2'!$A:$A&lt;DATE(2026,IF(10=12,10+1,10+1),1)),'DRAFT 2'!$A:$A),"")</f>
        <v/>
      </c>
      <c r="HO57" s="116">
        <f>COUNTIFS('DRAFT 2'!$D:$D,$B57,'DRAFT 2'!$A:$A,"&gt;="&amp;DATE(2026,10,1),'DRAFT 2'!$A:$A,"&lt;="&amp;DATE(2026,10,7))</f>
        <v/>
      </c>
      <c r="HP57" s="116">
        <f>COUNTIFS('DRAFT 2'!$D:$D,$B57,'DRAFT 2'!$A:$A,"&gt;="&amp;DATE(2026,10,8),'DRAFT 2'!$A:$A,"&lt;="&amp;DATE(2026,10,14))</f>
        <v/>
      </c>
      <c r="HQ57" s="116">
        <f>COUNTIFS('DRAFT 2'!$D:$D,$B57,'DRAFT 2'!$A:$A,"&gt;="&amp;DATE(2026,10,15),'DRAFT 2'!$A:$A,"&lt;="&amp;DATE(2026,10,21))</f>
        <v/>
      </c>
      <c r="HR57" s="116">
        <f>COUNTIFS('DRAFT 2'!$D:$D,$B57,'DRAFT 2'!$A:$A,"&gt;="&amp;DATE(2026,10,22),'DRAFT 2'!$A:$A,"&lt;"&amp;DATE(2026,IF(10=12,10+1,10+1),1))</f>
        <v/>
      </c>
      <c r="HS57" s="116">
        <f>SUM(HO57:HR57)</f>
        <v/>
      </c>
      <c r="IC57" s="116">
        <f>IFERROR(LOOKUP(2,1/('DRAFT 2'!$D:$D=$B57)*('DRAFT 2'!$A:$A&gt;=DATE(2026,11,1))*('DRAFT 2'!$A:$A&lt;DATE(2026,IF(11=12,11+1,11+1),1)),'DRAFT 2'!$A:$A),"")</f>
        <v/>
      </c>
      <c r="ID57" s="116">
        <f>COUNTIFS('DRAFT 2'!$D:$D,$B57,'DRAFT 2'!$A:$A,"&gt;="&amp;DATE(2026,11,1),'DRAFT 2'!$A:$A,"&lt;="&amp;DATE(2026,11,7))</f>
        <v/>
      </c>
      <c r="IE57" s="116">
        <f>COUNTIFS('DRAFT 2'!$D:$D,$B57,'DRAFT 2'!$A:$A,"&gt;="&amp;DATE(2026,11,8),'DRAFT 2'!$A:$A,"&lt;="&amp;DATE(2026,11,14))</f>
        <v/>
      </c>
      <c r="IF57" s="116">
        <f>COUNTIFS('DRAFT 2'!$D:$D,$B57,'DRAFT 2'!$A:$A,"&gt;="&amp;DATE(2026,11,15),'DRAFT 2'!$A:$A,"&lt;="&amp;DATE(2026,11,21))</f>
        <v/>
      </c>
      <c r="IG57" s="116">
        <f>COUNTIFS('DRAFT 2'!$D:$D,$B57,'DRAFT 2'!$A:$A,"&gt;="&amp;DATE(2026,11,22),'DRAFT 2'!$A:$A,"&lt;"&amp;DATE(2026,IF(11=12,11+1,11+1),1))</f>
        <v/>
      </c>
      <c r="IH57" s="116">
        <f>SUM(ID57:IG57)</f>
        <v/>
      </c>
      <c r="IR57" s="116">
        <f>IFERROR(LOOKUP(2,1/('DRAFT 2'!$D:$D=$B57)*('DRAFT 2'!$A:$A&gt;=DATE(2026,12,1))*('DRAFT 2'!$A:$A&lt;DATE(2026,IF(12=12,12+1,12+1),1)),'DRAFT 2'!$A:$A),"")</f>
        <v/>
      </c>
      <c r="IS57" s="116">
        <f>COUNTIFS('DRAFT 2'!$D:$D,$B57,'DRAFT 2'!$A:$A,"&gt;="&amp;DATE(2026,12,1),'DRAFT 2'!$A:$A,"&lt;="&amp;DATE(2026,12,7))</f>
        <v/>
      </c>
      <c r="IT57" s="116">
        <f>COUNTIFS('DRAFT 2'!$D:$D,$B57,'DRAFT 2'!$A:$A,"&gt;="&amp;DATE(2026,12,8),'DRAFT 2'!$A:$A,"&lt;="&amp;DATE(2026,12,14))</f>
        <v/>
      </c>
      <c r="IU57" s="116">
        <f>COUNTIFS('DRAFT 2'!$D:$D,$B57,'DRAFT 2'!$A:$A,"&gt;="&amp;DATE(2026,12,15),'DRAFT 2'!$A:$A,"&lt;="&amp;DATE(2026,12,21))</f>
        <v/>
      </c>
      <c r="IV57" s="116">
        <f>COUNTIFS('DRAFT 2'!$D:$D,$B57,'DRAFT 2'!$A:$A,"&gt;="&amp;DATE(2026,12,22),'DRAFT 2'!$A:$A,"&lt;"&amp;DATE(2026,IF(12=12,12+1,12+1),1))</f>
        <v/>
      </c>
      <c r="IW57" s="116">
        <f>SUM(IS57:IV57)</f>
        <v/>
      </c>
    </row>
    <row r="58">
      <c r="A58" s="116">
        <f>IFERROR(INDEX('DRAFT 1'!$A:$A,MATCH($B58,'DRAFT 1'!$B:$B,0)),"")</f>
        <v/>
      </c>
      <c r="C58" s="116">
        <f>IFERROR(INDEX('DRAFT 1'!$C:$C,MATCH($B58,'DRAFT 1'!$B:$B,0)),"")</f>
        <v/>
      </c>
      <c r="D58" s="116">
        <f>IFERROR(INDEX('DRAFT 1'!$D:$D,MATCH($B58,'DRAFT 1'!$B:$B,0)),"")</f>
        <v/>
      </c>
      <c r="E58" s="116">
        <f>IFERROR(INDEX('DRAFT 1'!$E:$E,MATCH($B58,'DRAFT 1'!$B:$B,0)),"")</f>
        <v/>
      </c>
      <c r="F58" s="116">
        <f>IFERROR(INDEX('DRAFT 1'!$F:$F,MATCH($B58,'DRAFT 1'!$B:$B,0)),"")</f>
        <v/>
      </c>
      <c r="G58" s="116">
        <f>IFERROR(INDEX('DRAFT 1'!$G:$G,MATCH($B58,'DRAFT 1'!$B:$B,0)),"")</f>
        <v/>
      </c>
      <c r="H58" s="116">
        <f>IFERROR(INDEX('DRAFT 1'!$H:$H,MATCH($B58,'DRAFT 1'!$B:$B,0)),"")</f>
        <v/>
      </c>
      <c r="I58" s="116" t="inlineStr">
        <is>
          <t>DEMAIS CLIENTES</t>
        </is>
      </c>
      <c r="K58" s="116">
        <f>IFERROR(INDEX('DRAFT 1'!$AL:$AL,MATCH($B58,'DRAFT 1'!$B:$B,0)),"")</f>
        <v/>
      </c>
      <c r="L58" s="116">
        <f>IFERROR(INDEX('DRAFT 1'!$J:$J,MATCH($B58,'DRAFT 1'!$B:$B,0)),"")</f>
        <v/>
      </c>
      <c r="M58" s="116">
        <f>IFERROR(INDEX('DRAFT 1'!$K:$K,MATCH($B58,'DRAFT 1'!$B:$B,0)),"")</f>
        <v/>
      </c>
      <c r="N58" s="116" t="inlineStr">
        <is>
          <t>ATIVO</t>
        </is>
      </c>
      <c r="P58" s="116">
        <f>IFERROR(INDEX('DRAFT 1'!$L:$L,MATCH($B58,'DRAFT 1'!$B:$B,0)),"")</f>
        <v/>
      </c>
      <c r="Q58" s="116">
        <f>IFERROR(INDEX('DRAFT 1'!$M:$M,MATCH($B58,'DRAFT 1'!$B:$B,0)),"")</f>
        <v/>
      </c>
      <c r="R58" s="116">
        <f>IFERROR(INDEX('DRAFT 1'!$N:$N,MATCH($B58,'DRAFT 1'!$B:$B,0)),"")</f>
        <v/>
      </c>
      <c r="S58" s="116">
        <f>IFERROR(INDEX('DRAFT 1'!$O:$O,MATCH($B58,'DRAFT 1'!$B:$B,0)),"")</f>
        <v/>
      </c>
      <c r="T58" s="116">
        <f>IFERROR(INDEX('DRAFT 1'!$P:$P,MATCH($B58,'DRAFT 1'!$B:$B,0)),"")</f>
        <v/>
      </c>
      <c r="U58" s="116">
        <f>IFERROR(INDEX('DRAFT 1'!$Q:$Q,MATCH($B58,'DRAFT 1'!$B:$B,0)),"")</f>
        <v/>
      </c>
      <c r="V58" s="116">
        <f>IFERROR(INDEX('DRAFT 1'!$R:$R,MATCH($B58,'DRAFT 1'!$B:$B,0)),"")</f>
        <v/>
      </c>
      <c r="W58" s="116">
        <f>IFERROR(INDEX('DRAFT 1'!$S:$S,MATCH($B58,'DRAFT 1'!$B:$B,0)),"")</f>
        <v/>
      </c>
      <c r="X58" s="116">
        <f>IFERROR(INDEX('DRAFT 1'!$T:$T,MATCH($B58,'DRAFT 1'!$B:$B,0)),"")</f>
        <v/>
      </c>
      <c r="Z58" s="116">
        <f>IFERROR(INDEX('DRAFT 1'!$U:$U,MATCH($B58,'DRAFT 1'!$B:$B,0)),"")</f>
        <v/>
      </c>
      <c r="AA58" s="116">
        <f>IFERROR(INDEX('DRAFT 1'!$V:$V,MATCH($B58,'DRAFT 1'!$B:$B,0)),"")</f>
        <v/>
      </c>
      <c r="AB58" s="116">
        <f>IFERROR(INDEX('DRAFT 1'!$W:$W,MATCH($B58,'DRAFT 1'!$B:$B,0)),"")</f>
        <v/>
      </c>
      <c r="AC58" s="116">
        <f>IFERROR(INDEX('DRAFT 1'!$X:$X,MATCH($B58,'DRAFT 1'!$B:$B,0)),"")</f>
        <v/>
      </c>
      <c r="AD58" s="116">
        <f>IFERROR(INDEX('DRAFT 1'!$Y:$Y,MATCH($B58,'DRAFT 1'!$B:$B,0)),"")</f>
        <v/>
      </c>
      <c r="AE58" s="116">
        <f>IFERROR(INDEX('DRAFT 1'!$Z:$Z,MATCH($B58,'DRAFT 1'!$B:$B,0)),"")</f>
        <v/>
      </c>
      <c r="AF58" s="116">
        <f>IFERROR(INDEX('DRAFT 1'!$AA:$AA,MATCH($B58,'DRAFT 1'!$B:$B,0)),"")</f>
        <v/>
      </c>
      <c r="AG58" s="116">
        <f>IFERROR(INDEX('DRAFT 1'!$AB:$AB,MATCH($B58,'DRAFT 1'!$B:$B,0)),"")</f>
        <v/>
      </c>
      <c r="AH58" s="116">
        <f>IFERROR(INDEX('DRAFT 1'!$AC:$AC,MATCH($B58,'DRAFT 1'!$B:$B,0)),"")</f>
        <v/>
      </c>
      <c r="AI58" s="116">
        <f>IFERROR(INDEX('DRAFT 1'!$AD:$AD,MATCH($B58,'DRAFT 1'!$B:$B,0)),"")</f>
        <v/>
      </c>
      <c r="AJ58" s="116">
        <f>IFERROR(INDEX('DRAFT 1'!$AE:$AE,MATCH($B58,'DRAFT 1'!$B:$B,0)),"")</f>
        <v/>
      </c>
      <c r="AK58" s="116">
        <f>IFERROR(INDEX('DRAFT 1'!$AG:$AG,MATCH($B58,'DRAFT 1'!$B:$B,0)),"")</f>
        <v/>
      </c>
      <c r="AL58" s="116">
        <f>IFERROR(INDEX('DRAFT 1'!$AH:$AH,MATCH($B58,'DRAFT 1'!$B:$B,0)),"")</f>
        <v/>
      </c>
      <c r="AM58" s="116">
        <f>IFERROR(INDEX('DRAFT 1'!$AI:$AI,MATCH($B58,'DRAFT 1'!$B:$B,0)),"")</f>
        <v/>
      </c>
      <c r="AN58" s="116">
        <f>IFERROR(INDEX('DRAFT 1'!$AJ:$AJ,MATCH($B58,'DRAFT 1'!$B:$B,0)),"")</f>
        <v/>
      </c>
      <c r="AO58" s="116">
        <f>IFERROR(Y58/AN58,0)</f>
        <v/>
      </c>
      <c r="AP58" s="116">
        <f>IFERROR(INDEX('DRAFT 1'!$AK:$AK,MATCH($B58,'DRAFT 1'!$B:$B,0)),"")</f>
        <v/>
      </c>
      <c r="AR58" s="116" t="inlineStr">
        <is>
          <t>PÓS-VENDA</t>
        </is>
      </c>
      <c r="AS58" s="116">
        <f>IFERROR(LOOKUP(2,1/('DRAFT 2'!$D:$D=$B58),'DRAFT 2'!$T:$T),"")</f>
        <v/>
      </c>
      <c r="AT58" s="116">
        <f>IFERROR(LOOKUP(2,1/('DRAFT 2'!$D:$D=$B58),'DRAFT 2'!$A:$A),"")</f>
        <v/>
      </c>
      <c r="AU58" s="116">
        <f>IFERROR(LOOKUP(2,1/('DRAFT 2'!$D:$D=$B58),'DRAFT 2'!$R:$R),"")</f>
        <v/>
      </c>
      <c r="AV58" s="116">
        <f>IFERROR(LOOKUP(2,1/('DRAFT 2'!$D:$D=$B58),'DRAFT 2'!$S:$S),"")</f>
        <v/>
      </c>
      <c r="AW58" s="116" t="inlineStr">
        <is>
          <t>FIDELIZADO</t>
        </is>
      </c>
      <c r="AX58" s="116">
        <f>IFERROR(LOOKUP(2,1/('DRAFT 2'!$D:$D=$B58),'DRAFT 2'!$M:$M),"")</f>
        <v/>
      </c>
      <c r="AY58" s="116">
        <f>IFERROR(LOOKUP(2,1/('DRAFT 2'!$D:$D=$B58),'DRAFT 2'!$K:$K),"")</f>
        <v/>
      </c>
      <c r="BG58" s="116">
        <f>IFERROR(LOOKUP(2,1/('DRAFT 2'!$D:$D=$B58),'DRAFT 2'!$U:$U),"")</f>
        <v/>
      </c>
      <c r="BH58" s="116">
        <f>IFERROR(LOOKUP(2,1/('DRAFT 2'!$D:$D=$B58),'DRAFT 2'!$V:$V),"")</f>
        <v/>
      </c>
      <c r="CE58" s="116">
        <f>IFERROR(AJ58,0)</f>
        <v/>
      </c>
      <c r="CF58" s="116">
        <f>IFERROR(LOOKUP(2,1/('DRAFT 2'!$D:$D=$B58)*('DRAFT 2'!$A:$A&gt;=DATE(2026,1,1))*('DRAFT 2'!$A:$A&lt;DATE(2026,IF(1=12,1+1,1+1),1)),'DRAFT 2'!$A:$A),"")</f>
        <v/>
      </c>
      <c r="CG58" s="116">
        <f>COUNTIFS('DRAFT 2'!$D:$D,$B58,'DRAFT 2'!$A:$A,"&gt;="&amp;DATE(2026,1,1),'DRAFT 2'!$A:$A,"&lt;="&amp;DATE(2026,1,7))</f>
        <v/>
      </c>
      <c r="CH58" s="116">
        <f>COUNTIFS('DRAFT 2'!$D:$D,$B58,'DRAFT 2'!$A:$A,"&gt;="&amp;DATE(2026,1,8),'DRAFT 2'!$A:$A,"&lt;="&amp;DATE(2026,1,14))</f>
        <v/>
      </c>
      <c r="CI58" s="116">
        <f>COUNTIFS('DRAFT 2'!$D:$D,$B58,'DRAFT 2'!$A:$A,"&gt;="&amp;DATE(2026,1,15),'DRAFT 2'!$A:$A,"&lt;="&amp;DATE(2026,1,21))</f>
        <v/>
      </c>
      <c r="CJ58" s="116">
        <f>COUNTIFS('DRAFT 2'!$D:$D,$B58,'DRAFT 2'!$A:$A,"&gt;="&amp;DATE(2026,1,22),'DRAFT 2'!$A:$A,"&lt;"&amp;DATE(2026,IF(1=12,1+1,1+1),1))</f>
        <v/>
      </c>
      <c r="CK58" s="116">
        <f>SUM(CG58:CJ58)</f>
        <v/>
      </c>
      <c r="CT58" s="116" t="n">
        <v>0</v>
      </c>
      <c r="CU58" s="116">
        <f>IFERROR(LOOKUP(2,1/('DRAFT 2'!$D:$D=$B58)*('DRAFT 2'!$A:$A&gt;=DATE(2026,2,1))*('DRAFT 2'!$A:$A&lt;DATE(2026,IF(2=12,2+1,2+1),1)),'DRAFT 2'!$A:$A),"")</f>
        <v/>
      </c>
      <c r="CV58" s="116">
        <f>COUNTIFS('DRAFT 2'!$D:$D,$B58,'DRAFT 2'!$A:$A,"&gt;="&amp;DATE(2026,2,1),'DRAFT 2'!$A:$A,"&lt;="&amp;DATE(2026,2,7))</f>
        <v/>
      </c>
      <c r="CW58" s="116">
        <f>COUNTIFS('DRAFT 2'!$D:$D,$B58,'DRAFT 2'!$A:$A,"&gt;="&amp;DATE(2026,2,8),'DRAFT 2'!$A:$A,"&lt;="&amp;DATE(2026,2,14))</f>
        <v/>
      </c>
      <c r="CX58" s="116">
        <f>COUNTIFS('DRAFT 2'!$D:$D,$B58,'DRAFT 2'!$A:$A,"&gt;="&amp;DATE(2026,2,15),'DRAFT 2'!$A:$A,"&lt;="&amp;DATE(2026,2,21))</f>
        <v/>
      </c>
      <c r="CY58" s="116">
        <f>COUNTIFS('DRAFT 2'!$D:$D,$B58,'DRAFT 2'!$A:$A,"&gt;="&amp;DATE(2026,2,22),'DRAFT 2'!$A:$A,"&lt;"&amp;DATE(2026,IF(2=12,2+1,2+1),1))</f>
        <v/>
      </c>
      <c r="CZ58" s="116">
        <f>SUM(CV58:CY58)</f>
        <v/>
      </c>
      <c r="DJ58" s="116">
        <f>IFERROR(LOOKUP(2,1/('DRAFT 2'!$D:$D=$B58)*('DRAFT 2'!$A:$A&gt;=DATE(2026,3,1))*('DRAFT 2'!$A:$A&lt;DATE(2026,IF(3=12,3+1,3+1),1)),'DRAFT 2'!$A:$A),"")</f>
        <v/>
      </c>
      <c r="DK58" s="116">
        <f>COUNTIFS('DRAFT 2'!$D:$D,$B58,'DRAFT 2'!$A:$A,"&gt;="&amp;DATE(2026,3,1),'DRAFT 2'!$A:$A,"&lt;="&amp;DATE(2026,3,7))</f>
        <v/>
      </c>
      <c r="DL58" s="116">
        <f>COUNTIFS('DRAFT 2'!$D:$D,$B58,'DRAFT 2'!$A:$A,"&gt;="&amp;DATE(2026,3,8),'DRAFT 2'!$A:$A,"&lt;="&amp;DATE(2026,3,14))</f>
        <v/>
      </c>
      <c r="DM58" s="116">
        <f>COUNTIFS('DRAFT 2'!$D:$D,$B58,'DRAFT 2'!$A:$A,"&gt;="&amp;DATE(2026,3,15),'DRAFT 2'!$A:$A,"&lt;="&amp;DATE(2026,3,21))</f>
        <v/>
      </c>
      <c r="DN58" s="116">
        <f>COUNTIFS('DRAFT 2'!$D:$D,$B58,'DRAFT 2'!$A:$A,"&gt;="&amp;DATE(2026,3,22),'DRAFT 2'!$A:$A,"&lt;"&amp;DATE(2026,IF(3=12,3+1,3+1),1))</f>
        <v/>
      </c>
      <c r="DO58" s="116">
        <f>SUM(DK58:DN58)</f>
        <v/>
      </c>
      <c r="DZ58" s="116">
        <f>IFERROR(LOOKUP(2,1/('DRAFT 2'!$D:$D=$B58)*('DRAFT 2'!$A:$A&gt;=DATE(2026,4,1))*('DRAFT 2'!$A:$A&lt;DATE(2026,IF(4=12,4+1,4+1),1)),'DRAFT 2'!$A:$A),"")</f>
        <v/>
      </c>
      <c r="EA58" s="116">
        <f>COUNTIFS('DRAFT 2'!$D:$D,$B58,'DRAFT 2'!$A:$A,"&gt;="&amp;DATE(2026,4,1),'DRAFT 2'!$A:$A,"&lt;="&amp;DATE(2026,4,7))</f>
        <v/>
      </c>
      <c r="EB58" s="116">
        <f>COUNTIFS('DRAFT 2'!$D:$D,$B58,'DRAFT 2'!$A:$A,"&gt;="&amp;DATE(2026,4,8),'DRAFT 2'!$A:$A,"&lt;="&amp;DATE(2026,4,14))</f>
        <v/>
      </c>
      <c r="EC58" s="116">
        <f>COUNTIFS('DRAFT 2'!$D:$D,$B58,'DRAFT 2'!$A:$A,"&gt;="&amp;DATE(2026,4,15),'DRAFT 2'!$A:$A,"&lt;="&amp;DATE(2026,4,21))</f>
        <v/>
      </c>
      <c r="ED58" s="116">
        <f>COUNTIFS('DRAFT 2'!$D:$D,$B58,'DRAFT 2'!$A:$A,"&gt;="&amp;DATE(2026,4,22),'DRAFT 2'!$A:$A,"&lt;"&amp;DATE(2026,IF(4=12,4+1,4+1),1))</f>
        <v/>
      </c>
      <c r="EE58" s="116">
        <f>SUM(EA58:ED58)</f>
        <v/>
      </c>
      <c r="EO58" s="116">
        <f>IFERROR(LOOKUP(2,1/('DRAFT 2'!$D:$D=$B58)*('DRAFT 2'!$A:$A&gt;=DATE(2026,5,1))*('DRAFT 2'!$A:$A&lt;DATE(2026,IF(5=12,5+1,5+1),1)),'DRAFT 2'!$A:$A),"")</f>
        <v/>
      </c>
      <c r="EP58" s="116">
        <f>COUNTIFS('DRAFT 2'!$D:$D,$B58,'DRAFT 2'!$A:$A,"&gt;="&amp;DATE(2026,5,1),'DRAFT 2'!$A:$A,"&lt;="&amp;DATE(2026,5,7))</f>
        <v/>
      </c>
      <c r="EQ58" s="116">
        <f>COUNTIFS('DRAFT 2'!$D:$D,$B58,'DRAFT 2'!$A:$A,"&gt;="&amp;DATE(2026,5,8),'DRAFT 2'!$A:$A,"&lt;="&amp;DATE(2026,5,14))</f>
        <v/>
      </c>
      <c r="ER58" s="116">
        <f>COUNTIFS('DRAFT 2'!$D:$D,$B58,'DRAFT 2'!$A:$A,"&gt;="&amp;DATE(2026,5,15),'DRAFT 2'!$A:$A,"&lt;="&amp;DATE(2026,5,21))</f>
        <v/>
      </c>
      <c r="ES58" s="116">
        <f>COUNTIFS('DRAFT 2'!$D:$D,$B58,'DRAFT 2'!$A:$A,"&gt;="&amp;DATE(2026,5,22),'DRAFT 2'!$A:$A,"&lt;"&amp;DATE(2026,IF(5=12,5+1,5+1),1))</f>
        <v/>
      </c>
      <c r="ET58" s="116">
        <f>SUM(EP58:ES58)</f>
        <v/>
      </c>
      <c r="FD58" s="116">
        <f>IFERROR(LOOKUP(2,1/('DRAFT 2'!$D:$D=$B58)*('DRAFT 2'!$A:$A&gt;=DATE(2026,6,1))*('DRAFT 2'!$A:$A&lt;DATE(2026,IF(6=12,6+1,6+1),1)),'DRAFT 2'!$A:$A),"")</f>
        <v/>
      </c>
      <c r="FE58" s="116">
        <f>COUNTIFS('DRAFT 2'!$D:$D,$B58,'DRAFT 2'!$A:$A,"&gt;="&amp;DATE(2026,6,1),'DRAFT 2'!$A:$A,"&lt;="&amp;DATE(2026,6,7))</f>
        <v/>
      </c>
      <c r="FF58" s="116">
        <f>COUNTIFS('DRAFT 2'!$D:$D,$B58,'DRAFT 2'!$A:$A,"&gt;="&amp;DATE(2026,6,8),'DRAFT 2'!$A:$A,"&lt;="&amp;DATE(2026,6,14))</f>
        <v/>
      </c>
      <c r="FG58" s="116">
        <f>COUNTIFS('DRAFT 2'!$D:$D,$B58,'DRAFT 2'!$A:$A,"&gt;="&amp;DATE(2026,6,15),'DRAFT 2'!$A:$A,"&lt;="&amp;DATE(2026,6,21))</f>
        <v/>
      </c>
      <c r="FH58" s="116">
        <f>COUNTIFS('DRAFT 2'!$D:$D,$B58,'DRAFT 2'!$A:$A,"&gt;="&amp;DATE(2026,6,22),'DRAFT 2'!$A:$A,"&lt;"&amp;DATE(2026,IF(6=12,6+1,6+1),1))</f>
        <v/>
      </c>
      <c r="FI58" s="116">
        <f>SUM(FE58:FH58)</f>
        <v/>
      </c>
      <c r="FT58" s="116">
        <f>IFERROR(LOOKUP(2,1/('DRAFT 2'!$D:$D=$B58)*('DRAFT 2'!$A:$A&gt;=DATE(2026,7,1))*('DRAFT 2'!$A:$A&lt;DATE(2026,IF(7=12,7+1,7+1),1)),'DRAFT 2'!$A:$A),"")</f>
        <v/>
      </c>
      <c r="FU58" s="116">
        <f>COUNTIFS('DRAFT 2'!$D:$D,$B58,'DRAFT 2'!$A:$A,"&gt;="&amp;DATE(2026,7,1),'DRAFT 2'!$A:$A,"&lt;="&amp;DATE(2026,7,7))</f>
        <v/>
      </c>
      <c r="FV58" s="116">
        <f>COUNTIFS('DRAFT 2'!$D:$D,$B58,'DRAFT 2'!$A:$A,"&gt;="&amp;DATE(2026,7,8),'DRAFT 2'!$A:$A,"&lt;="&amp;DATE(2026,7,14))</f>
        <v/>
      </c>
      <c r="FW58" s="116">
        <f>COUNTIFS('DRAFT 2'!$D:$D,$B58,'DRAFT 2'!$A:$A,"&gt;="&amp;DATE(2026,7,15),'DRAFT 2'!$A:$A,"&lt;="&amp;DATE(2026,7,21))</f>
        <v/>
      </c>
      <c r="FX58" s="116">
        <f>COUNTIFS('DRAFT 2'!$D:$D,$B58,'DRAFT 2'!$A:$A,"&gt;="&amp;DATE(2026,7,22),'DRAFT 2'!$A:$A,"&lt;"&amp;DATE(2026,IF(7=12,7+1,7+1),1))</f>
        <v/>
      </c>
      <c r="FY58" s="116">
        <f>SUM(FU58:FX58)</f>
        <v/>
      </c>
      <c r="GI58" s="116">
        <f>IFERROR(LOOKUP(2,1/('DRAFT 2'!$D:$D=$B58)*('DRAFT 2'!$A:$A&gt;=DATE(2026,8,1))*('DRAFT 2'!$A:$A&lt;DATE(2026,IF(8=12,8+1,8+1),1)),'DRAFT 2'!$A:$A),"")</f>
        <v/>
      </c>
      <c r="GJ58" s="116">
        <f>COUNTIFS('DRAFT 2'!$D:$D,$B58,'DRAFT 2'!$A:$A,"&gt;="&amp;DATE(2026,8,1),'DRAFT 2'!$A:$A,"&lt;="&amp;DATE(2026,8,7))</f>
        <v/>
      </c>
      <c r="GK58" s="116">
        <f>COUNTIFS('DRAFT 2'!$D:$D,$B58,'DRAFT 2'!$A:$A,"&gt;="&amp;DATE(2026,8,8),'DRAFT 2'!$A:$A,"&lt;="&amp;DATE(2026,8,14))</f>
        <v/>
      </c>
      <c r="GL58" s="116">
        <f>COUNTIFS('DRAFT 2'!$D:$D,$B58,'DRAFT 2'!$A:$A,"&gt;="&amp;DATE(2026,8,15),'DRAFT 2'!$A:$A,"&lt;="&amp;DATE(2026,8,21))</f>
        <v/>
      </c>
      <c r="GM58" s="116">
        <f>COUNTIFS('DRAFT 2'!$D:$D,$B58,'DRAFT 2'!$A:$A,"&gt;="&amp;DATE(2026,8,22),'DRAFT 2'!$A:$A,"&lt;"&amp;DATE(2026,IF(8=12,8+1,8+1),1))</f>
        <v/>
      </c>
      <c r="GN58" s="116">
        <f>SUM(GJ58:GM58)</f>
        <v/>
      </c>
      <c r="GX58" s="116">
        <f>IFERROR(LOOKUP(2,1/('DRAFT 2'!$D:$D=$B58)*('DRAFT 2'!$A:$A&gt;=DATE(2026,9,1))*('DRAFT 2'!$A:$A&lt;DATE(2026,IF(9=12,9+1,9+1),1)),'DRAFT 2'!$A:$A),"")</f>
        <v/>
      </c>
      <c r="GY58" s="116">
        <f>COUNTIFS('DRAFT 2'!$D:$D,$B58,'DRAFT 2'!$A:$A,"&gt;="&amp;DATE(2026,9,1),'DRAFT 2'!$A:$A,"&lt;="&amp;DATE(2026,9,7))</f>
        <v/>
      </c>
      <c r="GZ58" s="116">
        <f>COUNTIFS('DRAFT 2'!$D:$D,$B58,'DRAFT 2'!$A:$A,"&gt;="&amp;DATE(2026,9,8),'DRAFT 2'!$A:$A,"&lt;="&amp;DATE(2026,9,14))</f>
        <v/>
      </c>
      <c r="HA58" s="116">
        <f>COUNTIFS('DRAFT 2'!$D:$D,$B58,'DRAFT 2'!$A:$A,"&gt;="&amp;DATE(2026,9,15),'DRAFT 2'!$A:$A,"&lt;="&amp;DATE(2026,9,21))</f>
        <v/>
      </c>
      <c r="HB58" s="116">
        <f>COUNTIFS('DRAFT 2'!$D:$D,$B58,'DRAFT 2'!$A:$A,"&gt;="&amp;DATE(2026,9,22),'DRAFT 2'!$A:$A,"&lt;"&amp;DATE(2026,IF(9=12,9+1,9+1),1))</f>
        <v/>
      </c>
      <c r="HC58" s="116">
        <f>SUM(GY58:HB58)</f>
        <v/>
      </c>
      <c r="HN58" s="116">
        <f>IFERROR(LOOKUP(2,1/('DRAFT 2'!$D:$D=$B58)*('DRAFT 2'!$A:$A&gt;=DATE(2026,10,1))*('DRAFT 2'!$A:$A&lt;DATE(2026,IF(10=12,10+1,10+1),1)),'DRAFT 2'!$A:$A),"")</f>
        <v/>
      </c>
      <c r="HO58" s="116">
        <f>COUNTIFS('DRAFT 2'!$D:$D,$B58,'DRAFT 2'!$A:$A,"&gt;="&amp;DATE(2026,10,1),'DRAFT 2'!$A:$A,"&lt;="&amp;DATE(2026,10,7))</f>
        <v/>
      </c>
      <c r="HP58" s="116">
        <f>COUNTIFS('DRAFT 2'!$D:$D,$B58,'DRAFT 2'!$A:$A,"&gt;="&amp;DATE(2026,10,8),'DRAFT 2'!$A:$A,"&lt;="&amp;DATE(2026,10,14))</f>
        <v/>
      </c>
      <c r="HQ58" s="116">
        <f>COUNTIFS('DRAFT 2'!$D:$D,$B58,'DRAFT 2'!$A:$A,"&gt;="&amp;DATE(2026,10,15),'DRAFT 2'!$A:$A,"&lt;="&amp;DATE(2026,10,21))</f>
        <v/>
      </c>
      <c r="HR58" s="116">
        <f>COUNTIFS('DRAFT 2'!$D:$D,$B58,'DRAFT 2'!$A:$A,"&gt;="&amp;DATE(2026,10,22),'DRAFT 2'!$A:$A,"&lt;"&amp;DATE(2026,IF(10=12,10+1,10+1),1))</f>
        <v/>
      </c>
      <c r="HS58" s="116">
        <f>SUM(HO58:HR58)</f>
        <v/>
      </c>
      <c r="IC58" s="116">
        <f>IFERROR(LOOKUP(2,1/('DRAFT 2'!$D:$D=$B58)*('DRAFT 2'!$A:$A&gt;=DATE(2026,11,1))*('DRAFT 2'!$A:$A&lt;DATE(2026,IF(11=12,11+1,11+1),1)),'DRAFT 2'!$A:$A),"")</f>
        <v/>
      </c>
      <c r="ID58" s="116">
        <f>COUNTIFS('DRAFT 2'!$D:$D,$B58,'DRAFT 2'!$A:$A,"&gt;="&amp;DATE(2026,11,1),'DRAFT 2'!$A:$A,"&lt;="&amp;DATE(2026,11,7))</f>
        <v/>
      </c>
      <c r="IE58" s="116">
        <f>COUNTIFS('DRAFT 2'!$D:$D,$B58,'DRAFT 2'!$A:$A,"&gt;="&amp;DATE(2026,11,8),'DRAFT 2'!$A:$A,"&lt;="&amp;DATE(2026,11,14))</f>
        <v/>
      </c>
      <c r="IF58" s="116">
        <f>COUNTIFS('DRAFT 2'!$D:$D,$B58,'DRAFT 2'!$A:$A,"&gt;="&amp;DATE(2026,11,15),'DRAFT 2'!$A:$A,"&lt;="&amp;DATE(2026,11,21))</f>
        <v/>
      </c>
      <c r="IG58" s="116">
        <f>COUNTIFS('DRAFT 2'!$D:$D,$B58,'DRAFT 2'!$A:$A,"&gt;="&amp;DATE(2026,11,22),'DRAFT 2'!$A:$A,"&lt;"&amp;DATE(2026,IF(11=12,11+1,11+1),1))</f>
        <v/>
      </c>
      <c r="IH58" s="116">
        <f>SUM(ID58:IG58)</f>
        <v/>
      </c>
      <c r="IR58" s="116">
        <f>IFERROR(LOOKUP(2,1/('DRAFT 2'!$D:$D=$B58)*('DRAFT 2'!$A:$A&gt;=DATE(2026,12,1))*('DRAFT 2'!$A:$A&lt;DATE(2026,IF(12=12,12+1,12+1),1)),'DRAFT 2'!$A:$A),"")</f>
        <v/>
      </c>
      <c r="IS58" s="116">
        <f>COUNTIFS('DRAFT 2'!$D:$D,$B58,'DRAFT 2'!$A:$A,"&gt;="&amp;DATE(2026,12,1),'DRAFT 2'!$A:$A,"&lt;="&amp;DATE(2026,12,7))</f>
        <v/>
      </c>
      <c r="IT58" s="116">
        <f>COUNTIFS('DRAFT 2'!$D:$D,$B58,'DRAFT 2'!$A:$A,"&gt;="&amp;DATE(2026,12,8),'DRAFT 2'!$A:$A,"&lt;="&amp;DATE(2026,12,14))</f>
        <v/>
      </c>
      <c r="IU58" s="116">
        <f>COUNTIFS('DRAFT 2'!$D:$D,$B58,'DRAFT 2'!$A:$A,"&gt;="&amp;DATE(2026,12,15),'DRAFT 2'!$A:$A,"&lt;="&amp;DATE(2026,12,21))</f>
        <v/>
      </c>
      <c r="IV58" s="116">
        <f>COUNTIFS('DRAFT 2'!$D:$D,$B58,'DRAFT 2'!$A:$A,"&gt;="&amp;DATE(2026,12,22),'DRAFT 2'!$A:$A,"&lt;"&amp;DATE(2026,IF(12=12,12+1,12+1),1))</f>
        <v/>
      </c>
      <c r="IW58" s="116">
        <f>SUM(IS58:IV58)</f>
        <v/>
      </c>
    </row>
    <row r="59">
      <c r="A59" s="116">
        <f>IFERROR(INDEX('DRAFT 1'!$A:$A,MATCH($B59,'DRAFT 1'!$B:$B,0)),"")</f>
        <v/>
      </c>
      <c r="C59" s="116">
        <f>IFERROR(INDEX('DRAFT 1'!$C:$C,MATCH($B59,'DRAFT 1'!$B:$B,0)),"")</f>
        <v/>
      </c>
      <c r="D59" s="116">
        <f>IFERROR(INDEX('DRAFT 1'!$D:$D,MATCH($B59,'DRAFT 1'!$B:$B,0)),"")</f>
        <v/>
      </c>
      <c r="E59" s="116">
        <f>IFERROR(INDEX('DRAFT 1'!$E:$E,MATCH($B59,'DRAFT 1'!$B:$B,0)),"")</f>
        <v/>
      </c>
      <c r="F59" s="116">
        <f>IFERROR(INDEX('DRAFT 1'!$F:$F,MATCH($B59,'DRAFT 1'!$B:$B,0)),"")</f>
        <v/>
      </c>
      <c r="G59" s="116">
        <f>IFERROR(INDEX('DRAFT 1'!$G:$G,MATCH($B59,'DRAFT 1'!$B:$B,0)),"")</f>
        <v/>
      </c>
      <c r="H59" s="116">
        <f>IFERROR(INDEX('DRAFT 1'!$H:$H,MATCH($B59,'DRAFT 1'!$B:$B,0)),"")</f>
        <v/>
      </c>
      <c r="I59" s="116" t="inlineStr">
        <is>
          <t>DEMAIS CLIENTES</t>
        </is>
      </c>
      <c r="K59" s="116">
        <f>IFERROR(INDEX('DRAFT 1'!$AL:$AL,MATCH($B59,'DRAFT 1'!$B:$B,0)),"")</f>
        <v/>
      </c>
      <c r="L59" s="116">
        <f>IFERROR(INDEX('DRAFT 1'!$J:$J,MATCH($B59,'DRAFT 1'!$B:$B,0)),"")</f>
        <v/>
      </c>
      <c r="M59" s="116">
        <f>IFERROR(INDEX('DRAFT 1'!$K:$K,MATCH($B59,'DRAFT 1'!$B:$B,0)),"")</f>
        <v/>
      </c>
      <c r="N59" s="116" t="inlineStr">
        <is>
          <t>ATIVO</t>
        </is>
      </c>
      <c r="P59" s="116">
        <f>IFERROR(INDEX('DRAFT 1'!$L:$L,MATCH($B59,'DRAFT 1'!$B:$B,0)),"")</f>
        <v/>
      </c>
      <c r="Q59" s="116">
        <f>IFERROR(INDEX('DRAFT 1'!$M:$M,MATCH($B59,'DRAFT 1'!$B:$B,0)),"")</f>
        <v/>
      </c>
      <c r="R59" s="116">
        <f>IFERROR(INDEX('DRAFT 1'!$N:$N,MATCH($B59,'DRAFT 1'!$B:$B,0)),"")</f>
        <v/>
      </c>
      <c r="S59" s="116">
        <f>IFERROR(INDEX('DRAFT 1'!$O:$O,MATCH($B59,'DRAFT 1'!$B:$B,0)),"")</f>
        <v/>
      </c>
      <c r="T59" s="116">
        <f>IFERROR(INDEX('DRAFT 1'!$P:$P,MATCH($B59,'DRAFT 1'!$B:$B,0)),"")</f>
        <v/>
      </c>
      <c r="U59" s="116">
        <f>IFERROR(INDEX('DRAFT 1'!$Q:$Q,MATCH($B59,'DRAFT 1'!$B:$B,0)),"")</f>
        <v/>
      </c>
      <c r="V59" s="116">
        <f>IFERROR(INDEX('DRAFT 1'!$R:$R,MATCH($B59,'DRAFT 1'!$B:$B,0)),"")</f>
        <v/>
      </c>
      <c r="W59" s="116">
        <f>IFERROR(INDEX('DRAFT 1'!$S:$S,MATCH($B59,'DRAFT 1'!$B:$B,0)),"")</f>
        <v/>
      </c>
      <c r="X59" s="116">
        <f>IFERROR(INDEX('DRAFT 1'!$T:$T,MATCH($B59,'DRAFT 1'!$B:$B,0)),"")</f>
        <v/>
      </c>
      <c r="Z59" s="116">
        <f>IFERROR(INDEX('DRAFT 1'!$U:$U,MATCH($B59,'DRAFT 1'!$B:$B,0)),"")</f>
        <v/>
      </c>
      <c r="AA59" s="116">
        <f>IFERROR(INDEX('DRAFT 1'!$V:$V,MATCH($B59,'DRAFT 1'!$B:$B,0)),"")</f>
        <v/>
      </c>
      <c r="AB59" s="116">
        <f>IFERROR(INDEX('DRAFT 1'!$W:$W,MATCH($B59,'DRAFT 1'!$B:$B,0)),"")</f>
        <v/>
      </c>
      <c r="AC59" s="116">
        <f>IFERROR(INDEX('DRAFT 1'!$X:$X,MATCH($B59,'DRAFT 1'!$B:$B,0)),"")</f>
        <v/>
      </c>
      <c r="AD59" s="116">
        <f>IFERROR(INDEX('DRAFT 1'!$Y:$Y,MATCH($B59,'DRAFT 1'!$B:$B,0)),"")</f>
        <v/>
      </c>
      <c r="AE59" s="116">
        <f>IFERROR(INDEX('DRAFT 1'!$Z:$Z,MATCH($B59,'DRAFT 1'!$B:$B,0)),"")</f>
        <v/>
      </c>
      <c r="AF59" s="116">
        <f>IFERROR(INDEX('DRAFT 1'!$AA:$AA,MATCH($B59,'DRAFT 1'!$B:$B,0)),"")</f>
        <v/>
      </c>
      <c r="AG59" s="116">
        <f>IFERROR(INDEX('DRAFT 1'!$AB:$AB,MATCH($B59,'DRAFT 1'!$B:$B,0)),"")</f>
        <v/>
      </c>
      <c r="AH59" s="116">
        <f>IFERROR(INDEX('DRAFT 1'!$AC:$AC,MATCH($B59,'DRAFT 1'!$B:$B,0)),"")</f>
        <v/>
      </c>
      <c r="AI59" s="116">
        <f>IFERROR(INDEX('DRAFT 1'!$AD:$AD,MATCH($B59,'DRAFT 1'!$B:$B,0)),"")</f>
        <v/>
      </c>
      <c r="AJ59" s="116">
        <f>IFERROR(INDEX('DRAFT 1'!$AE:$AE,MATCH($B59,'DRAFT 1'!$B:$B,0)),"")</f>
        <v/>
      </c>
      <c r="AK59" s="116">
        <f>IFERROR(INDEX('DRAFT 1'!$AG:$AG,MATCH($B59,'DRAFT 1'!$B:$B,0)),"")</f>
        <v/>
      </c>
      <c r="AL59" s="116">
        <f>IFERROR(INDEX('DRAFT 1'!$AH:$AH,MATCH($B59,'DRAFT 1'!$B:$B,0)),"")</f>
        <v/>
      </c>
      <c r="AM59" s="116">
        <f>IFERROR(INDEX('DRAFT 1'!$AI:$AI,MATCH($B59,'DRAFT 1'!$B:$B,0)),"")</f>
        <v/>
      </c>
      <c r="AN59" s="116">
        <f>IFERROR(INDEX('DRAFT 1'!$AJ:$AJ,MATCH($B59,'DRAFT 1'!$B:$B,0)),"")</f>
        <v/>
      </c>
      <c r="AO59" s="116">
        <f>IFERROR(Y59/AN59,0)</f>
        <v/>
      </c>
      <c r="AP59" s="116">
        <f>IFERROR(INDEX('DRAFT 1'!$AK:$AK,MATCH($B59,'DRAFT 1'!$B:$B,0)),"")</f>
        <v/>
      </c>
      <c r="AR59" s="116" t="inlineStr">
        <is>
          <t>NUTRIÇÃO</t>
        </is>
      </c>
      <c r="AS59" s="116">
        <f>IFERROR(LOOKUP(2,1/('DRAFT 2'!$D:$D=$B59),'DRAFT 2'!$T:$T),"")</f>
        <v/>
      </c>
      <c r="AT59" s="116">
        <f>IFERROR(LOOKUP(2,1/('DRAFT 2'!$D:$D=$B59),'DRAFT 2'!$A:$A),"")</f>
        <v/>
      </c>
      <c r="AU59" s="116">
        <f>IFERROR(LOOKUP(2,1/('DRAFT 2'!$D:$D=$B59),'DRAFT 2'!$R:$R),"")</f>
        <v/>
      </c>
      <c r="AV59" s="116">
        <f>IFERROR(LOOKUP(2,1/('DRAFT 2'!$D:$D=$B59),'DRAFT 2'!$S:$S),"")</f>
        <v/>
      </c>
      <c r="AW59" s="116" t="inlineStr">
        <is>
          <t>LEAD</t>
        </is>
      </c>
      <c r="AX59" s="116">
        <f>IFERROR(LOOKUP(2,1/('DRAFT 2'!$D:$D=$B59),'DRAFT 2'!$M:$M),"")</f>
        <v/>
      </c>
      <c r="AY59" s="116">
        <f>IFERROR(LOOKUP(2,1/('DRAFT 2'!$D:$D=$B59),'DRAFT 2'!$K:$K),"")</f>
        <v/>
      </c>
      <c r="BG59" s="116">
        <f>IFERROR(LOOKUP(2,1/('DRAFT 2'!$D:$D=$B59),'DRAFT 2'!$U:$U),"")</f>
        <v/>
      </c>
      <c r="BH59" s="116">
        <f>IFERROR(LOOKUP(2,1/('DRAFT 2'!$D:$D=$B59),'DRAFT 2'!$V:$V),"")</f>
        <v/>
      </c>
      <c r="CE59" s="116">
        <f>IFERROR(AJ59,0)</f>
        <v/>
      </c>
      <c r="CF59" s="116">
        <f>IFERROR(LOOKUP(2,1/('DRAFT 2'!$D:$D=$B59)*('DRAFT 2'!$A:$A&gt;=DATE(2026,1,1))*('DRAFT 2'!$A:$A&lt;DATE(2026,IF(1=12,1+1,1+1),1)),'DRAFT 2'!$A:$A),"")</f>
        <v/>
      </c>
      <c r="CG59" s="116">
        <f>COUNTIFS('DRAFT 2'!$D:$D,$B59,'DRAFT 2'!$A:$A,"&gt;="&amp;DATE(2026,1,1),'DRAFT 2'!$A:$A,"&lt;="&amp;DATE(2026,1,7))</f>
        <v/>
      </c>
      <c r="CH59" s="116">
        <f>COUNTIFS('DRAFT 2'!$D:$D,$B59,'DRAFT 2'!$A:$A,"&gt;="&amp;DATE(2026,1,8),'DRAFT 2'!$A:$A,"&lt;="&amp;DATE(2026,1,14))</f>
        <v/>
      </c>
      <c r="CI59" s="116">
        <f>COUNTIFS('DRAFT 2'!$D:$D,$B59,'DRAFT 2'!$A:$A,"&gt;="&amp;DATE(2026,1,15),'DRAFT 2'!$A:$A,"&lt;="&amp;DATE(2026,1,21))</f>
        <v/>
      </c>
      <c r="CJ59" s="116">
        <f>COUNTIFS('DRAFT 2'!$D:$D,$B59,'DRAFT 2'!$A:$A,"&gt;="&amp;DATE(2026,1,22),'DRAFT 2'!$A:$A,"&lt;"&amp;DATE(2026,IF(1=12,1+1,1+1),1))</f>
        <v/>
      </c>
      <c r="CK59" s="116">
        <f>SUM(CG59:CJ59)</f>
        <v/>
      </c>
      <c r="CT59" s="116" t="n">
        <v>0</v>
      </c>
      <c r="CU59" s="116">
        <f>IFERROR(LOOKUP(2,1/('DRAFT 2'!$D:$D=$B59)*('DRAFT 2'!$A:$A&gt;=DATE(2026,2,1))*('DRAFT 2'!$A:$A&lt;DATE(2026,IF(2=12,2+1,2+1),1)),'DRAFT 2'!$A:$A),"")</f>
        <v/>
      </c>
      <c r="CV59" s="116">
        <f>COUNTIFS('DRAFT 2'!$D:$D,$B59,'DRAFT 2'!$A:$A,"&gt;="&amp;DATE(2026,2,1),'DRAFT 2'!$A:$A,"&lt;="&amp;DATE(2026,2,7))</f>
        <v/>
      </c>
      <c r="CW59" s="116">
        <f>COUNTIFS('DRAFT 2'!$D:$D,$B59,'DRAFT 2'!$A:$A,"&gt;="&amp;DATE(2026,2,8),'DRAFT 2'!$A:$A,"&lt;="&amp;DATE(2026,2,14))</f>
        <v/>
      </c>
      <c r="CX59" s="116">
        <f>COUNTIFS('DRAFT 2'!$D:$D,$B59,'DRAFT 2'!$A:$A,"&gt;="&amp;DATE(2026,2,15),'DRAFT 2'!$A:$A,"&lt;="&amp;DATE(2026,2,21))</f>
        <v/>
      </c>
      <c r="CY59" s="116">
        <f>COUNTIFS('DRAFT 2'!$D:$D,$B59,'DRAFT 2'!$A:$A,"&gt;="&amp;DATE(2026,2,22),'DRAFT 2'!$A:$A,"&lt;"&amp;DATE(2026,IF(2=12,2+1,2+1),1))</f>
        <v/>
      </c>
      <c r="CZ59" s="116">
        <f>SUM(CV59:CY59)</f>
        <v/>
      </c>
      <c r="DJ59" s="116">
        <f>IFERROR(LOOKUP(2,1/('DRAFT 2'!$D:$D=$B59)*('DRAFT 2'!$A:$A&gt;=DATE(2026,3,1))*('DRAFT 2'!$A:$A&lt;DATE(2026,IF(3=12,3+1,3+1),1)),'DRAFT 2'!$A:$A),"")</f>
        <v/>
      </c>
      <c r="DK59" s="116">
        <f>COUNTIFS('DRAFT 2'!$D:$D,$B59,'DRAFT 2'!$A:$A,"&gt;="&amp;DATE(2026,3,1),'DRAFT 2'!$A:$A,"&lt;="&amp;DATE(2026,3,7))</f>
        <v/>
      </c>
      <c r="DL59" s="116">
        <f>COUNTIFS('DRAFT 2'!$D:$D,$B59,'DRAFT 2'!$A:$A,"&gt;="&amp;DATE(2026,3,8),'DRAFT 2'!$A:$A,"&lt;="&amp;DATE(2026,3,14))</f>
        <v/>
      </c>
      <c r="DM59" s="116">
        <f>COUNTIFS('DRAFT 2'!$D:$D,$B59,'DRAFT 2'!$A:$A,"&gt;="&amp;DATE(2026,3,15),'DRAFT 2'!$A:$A,"&lt;="&amp;DATE(2026,3,21))</f>
        <v/>
      </c>
      <c r="DN59" s="116">
        <f>COUNTIFS('DRAFT 2'!$D:$D,$B59,'DRAFT 2'!$A:$A,"&gt;="&amp;DATE(2026,3,22),'DRAFT 2'!$A:$A,"&lt;"&amp;DATE(2026,IF(3=12,3+1,3+1),1))</f>
        <v/>
      </c>
      <c r="DO59" s="116">
        <f>SUM(DK59:DN59)</f>
        <v/>
      </c>
      <c r="DZ59" s="116">
        <f>IFERROR(LOOKUP(2,1/('DRAFT 2'!$D:$D=$B59)*('DRAFT 2'!$A:$A&gt;=DATE(2026,4,1))*('DRAFT 2'!$A:$A&lt;DATE(2026,IF(4=12,4+1,4+1),1)),'DRAFT 2'!$A:$A),"")</f>
        <v/>
      </c>
      <c r="EA59" s="116">
        <f>COUNTIFS('DRAFT 2'!$D:$D,$B59,'DRAFT 2'!$A:$A,"&gt;="&amp;DATE(2026,4,1),'DRAFT 2'!$A:$A,"&lt;="&amp;DATE(2026,4,7))</f>
        <v/>
      </c>
      <c r="EB59" s="116">
        <f>COUNTIFS('DRAFT 2'!$D:$D,$B59,'DRAFT 2'!$A:$A,"&gt;="&amp;DATE(2026,4,8),'DRAFT 2'!$A:$A,"&lt;="&amp;DATE(2026,4,14))</f>
        <v/>
      </c>
      <c r="EC59" s="116">
        <f>COUNTIFS('DRAFT 2'!$D:$D,$B59,'DRAFT 2'!$A:$A,"&gt;="&amp;DATE(2026,4,15),'DRAFT 2'!$A:$A,"&lt;="&amp;DATE(2026,4,21))</f>
        <v/>
      </c>
      <c r="ED59" s="116">
        <f>COUNTIFS('DRAFT 2'!$D:$D,$B59,'DRAFT 2'!$A:$A,"&gt;="&amp;DATE(2026,4,22),'DRAFT 2'!$A:$A,"&lt;"&amp;DATE(2026,IF(4=12,4+1,4+1),1))</f>
        <v/>
      </c>
      <c r="EE59" s="116">
        <f>SUM(EA59:ED59)</f>
        <v/>
      </c>
      <c r="EO59" s="116">
        <f>IFERROR(LOOKUP(2,1/('DRAFT 2'!$D:$D=$B59)*('DRAFT 2'!$A:$A&gt;=DATE(2026,5,1))*('DRAFT 2'!$A:$A&lt;DATE(2026,IF(5=12,5+1,5+1),1)),'DRAFT 2'!$A:$A),"")</f>
        <v/>
      </c>
      <c r="EP59" s="116">
        <f>COUNTIFS('DRAFT 2'!$D:$D,$B59,'DRAFT 2'!$A:$A,"&gt;="&amp;DATE(2026,5,1),'DRAFT 2'!$A:$A,"&lt;="&amp;DATE(2026,5,7))</f>
        <v/>
      </c>
      <c r="EQ59" s="116">
        <f>COUNTIFS('DRAFT 2'!$D:$D,$B59,'DRAFT 2'!$A:$A,"&gt;="&amp;DATE(2026,5,8),'DRAFT 2'!$A:$A,"&lt;="&amp;DATE(2026,5,14))</f>
        <v/>
      </c>
      <c r="ER59" s="116">
        <f>COUNTIFS('DRAFT 2'!$D:$D,$B59,'DRAFT 2'!$A:$A,"&gt;="&amp;DATE(2026,5,15),'DRAFT 2'!$A:$A,"&lt;="&amp;DATE(2026,5,21))</f>
        <v/>
      </c>
      <c r="ES59" s="116">
        <f>COUNTIFS('DRAFT 2'!$D:$D,$B59,'DRAFT 2'!$A:$A,"&gt;="&amp;DATE(2026,5,22),'DRAFT 2'!$A:$A,"&lt;"&amp;DATE(2026,IF(5=12,5+1,5+1),1))</f>
        <v/>
      </c>
      <c r="ET59" s="116">
        <f>SUM(EP59:ES59)</f>
        <v/>
      </c>
      <c r="FD59" s="116">
        <f>IFERROR(LOOKUP(2,1/('DRAFT 2'!$D:$D=$B59)*('DRAFT 2'!$A:$A&gt;=DATE(2026,6,1))*('DRAFT 2'!$A:$A&lt;DATE(2026,IF(6=12,6+1,6+1),1)),'DRAFT 2'!$A:$A),"")</f>
        <v/>
      </c>
      <c r="FE59" s="116">
        <f>COUNTIFS('DRAFT 2'!$D:$D,$B59,'DRAFT 2'!$A:$A,"&gt;="&amp;DATE(2026,6,1),'DRAFT 2'!$A:$A,"&lt;="&amp;DATE(2026,6,7))</f>
        <v/>
      </c>
      <c r="FF59" s="116">
        <f>COUNTIFS('DRAFT 2'!$D:$D,$B59,'DRAFT 2'!$A:$A,"&gt;="&amp;DATE(2026,6,8),'DRAFT 2'!$A:$A,"&lt;="&amp;DATE(2026,6,14))</f>
        <v/>
      </c>
      <c r="FG59" s="116">
        <f>COUNTIFS('DRAFT 2'!$D:$D,$B59,'DRAFT 2'!$A:$A,"&gt;="&amp;DATE(2026,6,15),'DRAFT 2'!$A:$A,"&lt;="&amp;DATE(2026,6,21))</f>
        <v/>
      </c>
      <c r="FH59" s="116">
        <f>COUNTIFS('DRAFT 2'!$D:$D,$B59,'DRAFT 2'!$A:$A,"&gt;="&amp;DATE(2026,6,22),'DRAFT 2'!$A:$A,"&lt;"&amp;DATE(2026,IF(6=12,6+1,6+1),1))</f>
        <v/>
      </c>
      <c r="FI59" s="116">
        <f>SUM(FE59:FH59)</f>
        <v/>
      </c>
      <c r="FT59" s="116">
        <f>IFERROR(LOOKUP(2,1/('DRAFT 2'!$D:$D=$B59)*('DRAFT 2'!$A:$A&gt;=DATE(2026,7,1))*('DRAFT 2'!$A:$A&lt;DATE(2026,IF(7=12,7+1,7+1),1)),'DRAFT 2'!$A:$A),"")</f>
        <v/>
      </c>
      <c r="FU59" s="116">
        <f>COUNTIFS('DRAFT 2'!$D:$D,$B59,'DRAFT 2'!$A:$A,"&gt;="&amp;DATE(2026,7,1),'DRAFT 2'!$A:$A,"&lt;="&amp;DATE(2026,7,7))</f>
        <v/>
      </c>
      <c r="FV59" s="116">
        <f>COUNTIFS('DRAFT 2'!$D:$D,$B59,'DRAFT 2'!$A:$A,"&gt;="&amp;DATE(2026,7,8),'DRAFT 2'!$A:$A,"&lt;="&amp;DATE(2026,7,14))</f>
        <v/>
      </c>
      <c r="FW59" s="116">
        <f>COUNTIFS('DRAFT 2'!$D:$D,$B59,'DRAFT 2'!$A:$A,"&gt;="&amp;DATE(2026,7,15),'DRAFT 2'!$A:$A,"&lt;="&amp;DATE(2026,7,21))</f>
        <v/>
      </c>
      <c r="FX59" s="116">
        <f>COUNTIFS('DRAFT 2'!$D:$D,$B59,'DRAFT 2'!$A:$A,"&gt;="&amp;DATE(2026,7,22),'DRAFT 2'!$A:$A,"&lt;"&amp;DATE(2026,IF(7=12,7+1,7+1),1))</f>
        <v/>
      </c>
      <c r="FY59" s="116">
        <f>SUM(FU59:FX59)</f>
        <v/>
      </c>
      <c r="GI59" s="116">
        <f>IFERROR(LOOKUP(2,1/('DRAFT 2'!$D:$D=$B59)*('DRAFT 2'!$A:$A&gt;=DATE(2026,8,1))*('DRAFT 2'!$A:$A&lt;DATE(2026,IF(8=12,8+1,8+1),1)),'DRAFT 2'!$A:$A),"")</f>
        <v/>
      </c>
      <c r="GJ59" s="116">
        <f>COUNTIFS('DRAFT 2'!$D:$D,$B59,'DRAFT 2'!$A:$A,"&gt;="&amp;DATE(2026,8,1),'DRAFT 2'!$A:$A,"&lt;="&amp;DATE(2026,8,7))</f>
        <v/>
      </c>
      <c r="GK59" s="116">
        <f>COUNTIFS('DRAFT 2'!$D:$D,$B59,'DRAFT 2'!$A:$A,"&gt;="&amp;DATE(2026,8,8),'DRAFT 2'!$A:$A,"&lt;="&amp;DATE(2026,8,14))</f>
        <v/>
      </c>
      <c r="GL59" s="116">
        <f>COUNTIFS('DRAFT 2'!$D:$D,$B59,'DRAFT 2'!$A:$A,"&gt;="&amp;DATE(2026,8,15),'DRAFT 2'!$A:$A,"&lt;="&amp;DATE(2026,8,21))</f>
        <v/>
      </c>
      <c r="GM59" s="116">
        <f>COUNTIFS('DRAFT 2'!$D:$D,$B59,'DRAFT 2'!$A:$A,"&gt;="&amp;DATE(2026,8,22),'DRAFT 2'!$A:$A,"&lt;"&amp;DATE(2026,IF(8=12,8+1,8+1),1))</f>
        <v/>
      </c>
      <c r="GN59" s="116">
        <f>SUM(GJ59:GM59)</f>
        <v/>
      </c>
      <c r="GX59" s="116">
        <f>IFERROR(LOOKUP(2,1/('DRAFT 2'!$D:$D=$B59)*('DRAFT 2'!$A:$A&gt;=DATE(2026,9,1))*('DRAFT 2'!$A:$A&lt;DATE(2026,IF(9=12,9+1,9+1),1)),'DRAFT 2'!$A:$A),"")</f>
        <v/>
      </c>
      <c r="GY59" s="116">
        <f>COUNTIFS('DRAFT 2'!$D:$D,$B59,'DRAFT 2'!$A:$A,"&gt;="&amp;DATE(2026,9,1),'DRAFT 2'!$A:$A,"&lt;="&amp;DATE(2026,9,7))</f>
        <v/>
      </c>
      <c r="GZ59" s="116">
        <f>COUNTIFS('DRAFT 2'!$D:$D,$B59,'DRAFT 2'!$A:$A,"&gt;="&amp;DATE(2026,9,8),'DRAFT 2'!$A:$A,"&lt;="&amp;DATE(2026,9,14))</f>
        <v/>
      </c>
      <c r="HA59" s="116">
        <f>COUNTIFS('DRAFT 2'!$D:$D,$B59,'DRAFT 2'!$A:$A,"&gt;="&amp;DATE(2026,9,15),'DRAFT 2'!$A:$A,"&lt;="&amp;DATE(2026,9,21))</f>
        <v/>
      </c>
      <c r="HB59" s="116">
        <f>COUNTIFS('DRAFT 2'!$D:$D,$B59,'DRAFT 2'!$A:$A,"&gt;="&amp;DATE(2026,9,22),'DRAFT 2'!$A:$A,"&lt;"&amp;DATE(2026,IF(9=12,9+1,9+1),1))</f>
        <v/>
      </c>
      <c r="HC59" s="116">
        <f>SUM(GY59:HB59)</f>
        <v/>
      </c>
      <c r="HN59" s="116">
        <f>IFERROR(LOOKUP(2,1/('DRAFT 2'!$D:$D=$B59)*('DRAFT 2'!$A:$A&gt;=DATE(2026,10,1))*('DRAFT 2'!$A:$A&lt;DATE(2026,IF(10=12,10+1,10+1),1)),'DRAFT 2'!$A:$A),"")</f>
        <v/>
      </c>
      <c r="HO59" s="116">
        <f>COUNTIFS('DRAFT 2'!$D:$D,$B59,'DRAFT 2'!$A:$A,"&gt;="&amp;DATE(2026,10,1),'DRAFT 2'!$A:$A,"&lt;="&amp;DATE(2026,10,7))</f>
        <v/>
      </c>
      <c r="HP59" s="116">
        <f>COUNTIFS('DRAFT 2'!$D:$D,$B59,'DRAFT 2'!$A:$A,"&gt;="&amp;DATE(2026,10,8),'DRAFT 2'!$A:$A,"&lt;="&amp;DATE(2026,10,14))</f>
        <v/>
      </c>
      <c r="HQ59" s="116">
        <f>COUNTIFS('DRAFT 2'!$D:$D,$B59,'DRAFT 2'!$A:$A,"&gt;="&amp;DATE(2026,10,15),'DRAFT 2'!$A:$A,"&lt;="&amp;DATE(2026,10,21))</f>
        <v/>
      </c>
      <c r="HR59" s="116">
        <f>COUNTIFS('DRAFT 2'!$D:$D,$B59,'DRAFT 2'!$A:$A,"&gt;="&amp;DATE(2026,10,22),'DRAFT 2'!$A:$A,"&lt;"&amp;DATE(2026,IF(10=12,10+1,10+1),1))</f>
        <v/>
      </c>
      <c r="HS59" s="116">
        <f>SUM(HO59:HR59)</f>
        <v/>
      </c>
      <c r="IC59" s="116">
        <f>IFERROR(LOOKUP(2,1/('DRAFT 2'!$D:$D=$B59)*('DRAFT 2'!$A:$A&gt;=DATE(2026,11,1))*('DRAFT 2'!$A:$A&lt;DATE(2026,IF(11=12,11+1,11+1),1)),'DRAFT 2'!$A:$A),"")</f>
        <v/>
      </c>
      <c r="ID59" s="116">
        <f>COUNTIFS('DRAFT 2'!$D:$D,$B59,'DRAFT 2'!$A:$A,"&gt;="&amp;DATE(2026,11,1),'DRAFT 2'!$A:$A,"&lt;="&amp;DATE(2026,11,7))</f>
        <v/>
      </c>
      <c r="IE59" s="116">
        <f>COUNTIFS('DRAFT 2'!$D:$D,$B59,'DRAFT 2'!$A:$A,"&gt;="&amp;DATE(2026,11,8),'DRAFT 2'!$A:$A,"&lt;="&amp;DATE(2026,11,14))</f>
        <v/>
      </c>
      <c r="IF59" s="116">
        <f>COUNTIFS('DRAFT 2'!$D:$D,$B59,'DRAFT 2'!$A:$A,"&gt;="&amp;DATE(2026,11,15),'DRAFT 2'!$A:$A,"&lt;="&amp;DATE(2026,11,21))</f>
        <v/>
      </c>
      <c r="IG59" s="116">
        <f>COUNTIFS('DRAFT 2'!$D:$D,$B59,'DRAFT 2'!$A:$A,"&gt;="&amp;DATE(2026,11,22),'DRAFT 2'!$A:$A,"&lt;"&amp;DATE(2026,IF(11=12,11+1,11+1),1))</f>
        <v/>
      </c>
      <c r="IH59" s="116">
        <f>SUM(ID59:IG59)</f>
        <v/>
      </c>
      <c r="IR59" s="116">
        <f>IFERROR(LOOKUP(2,1/('DRAFT 2'!$D:$D=$B59)*('DRAFT 2'!$A:$A&gt;=DATE(2026,12,1))*('DRAFT 2'!$A:$A&lt;DATE(2026,IF(12=12,12+1,12+1),1)),'DRAFT 2'!$A:$A),"")</f>
        <v/>
      </c>
      <c r="IS59" s="116">
        <f>COUNTIFS('DRAFT 2'!$D:$D,$B59,'DRAFT 2'!$A:$A,"&gt;="&amp;DATE(2026,12,1),'DRAFT 2'!$A:$A,"&lt;="&amp;DATE(2026,12,7))</f>
        <v/>
      </c>
      <c r="IT59" s="116">
        <f>COUNTIFS('DRAFT 2'!$D:$D,$B59,'DRAFT 2'!$A:$A,"&gt;="&amp;DATE(2026,12,8),'DRAFT 2'!$A:$A,"&lt;="&amp;DATE(2026,12,14))</f>
        <v/>
      </c>
      <c r="IU59" s="116">
        <f>COUNTIFS('DRAFT 2'!$D:$D,$B59,'DRAFT 2'!$A:$A,"&gt;="&amp;DATE(2026,12,15),'DRAFT 2'!$A:$A,"&lt;="&amp;DATE(2026,12,21))</f>
        <v/>
      </c>
      <c r="IV59" s="116">
        <f>COUNTIFS('DRAFT 2'!$D:$D,$B59,'DRAFT 2'!$A:$A,"&gt;="&amp;DATE(2026,12,22),'DRAFT 2'!$A:$A,"&lt;"&amp;DATE(2026,IF(12=12,12+1,12+1),1))</f>
        <v/>
      </c>
      <c r="IW59" s="116">
        <f>SUM(IS59:IV59)</f>
        <v/>
      </c>
    </row>
    <row r="60">
      <c r="A60" s="116">
        <f>IFERROR(INDEX('DRAFT 1'!$A:$A,MATCH($B60,'DRAFT 1'!$B:$B,0)),"")</f>
        <v/>
      </c>
      <c r="C60" s="116">
        <f>IFERROR(INDEX('DRAFT 1'!$C:$C,MATCH($B60,'DRAFT 1'!$B:$B,0)),"")</f>
        <v/>
      </c>
      <c r="D60" s="116">
        <f>IFERROR(INDEX('DRAFT 1'!$D:$D,MATCH($B60,'DRAFT 1'!$B:$B,0)),"")</f>
        <v/>
      </c>
      <c r="E60" s="116">
        <f>IFERROR(INDEX('DRAFT 1'!$E:$E,MATCH($B60,'DRAFT 1'!$B:$B,0)),"")</f>
        <v/>
      </c>
      <c r="F60" s="116">
        <f>IFERROR(INDEX('DRAFT 1'!$F:$F,MATCH($B60,'DRAFT 1'!$B:$B,0)),"")</f>
        <v/>
      </c>
      <c r="G60" s="116">
        <f>IFERROR(INDEX('DRAFT 1'!$G:$G,MATCH($B60,'DRAFT 1'!$B:$B,0)),"")</f>
        <v/>
      </c>
      <c r="H60" s="116">
        <f>IFERROR(INDEX('DRAFT 1'!$H:$H,MATCH($B60,'DRAFT 1'!$B:$B,0)),"")</f>
        <v/>
      </c>
      <c r="I60" s="116" t="inlineStr">
        <is>
          <t>MUNDO VERDE</t>
        </is>
      </c>
      <c r="K60" s="116">
        <f>IFERROR(INDEX('DRAFT 1'!$AL:$AL,MATCH($B60,'DRAFT 1'!$B:$B,0)),"")</f>
        <v/>
      </c>
      <c r="L60" s="116">
        <f>IFERROR(INDEX('DRAFT 1'!$J:$J,MATCH($B60,'DRAFT 1'!$B:$B,0)),"")</f>
        <v/>
      </c>
      <c r="M60" s="116">
        <f>IFERROR(INDEX('DRAFT 1'!$K:$K,MATCH($B60,'DRAFT 1'!$B:$B,0)),"")</f>
        <v/>
      </c>
      <c r="N60" s="116" t="inlineStr">
        <is>
          <t>ATIVO</t>
        </is>
      </c>
      <c r="P60" s="116">
        <f>IFERROR(INDEX('DRAFT 1'!$L:$L,MATCH($B60,'DRAFT 1'!$B:$B,0)),"")</f>
        <v/>
      </c>
      <c r="Q60" s="116">
        <f>IFERROR(INDEX('DRAFT 1'!$M:$M,MATCH($B60,'DRAFT 1'!$B:$B,0)),"")</f>
        <v/>
      </c>
      <c r="R60" s="116">
        <f>IFERROR(INDEX('DRAFT 1'!$N:$N,MATCH($B60,'DRAFT 1'!$B:$B,0)),"")</f>
        <v/>
      </c>
      <c r="S60" s="116">
        <f>IFERROR(INDEX('DRAFT 1'!$O:$O,MATCH($B60,'DRAFT 1'!$B:$B,0)),"")</f>
        <v/>
      </c>
      <c r="T60" s="116">
        <f>IFERROR(INDEX('DRAFT 1'!$P:$P,MATCH($B60,'DRAFT 1'!$B:$B,0)),"")</f>
        <v/>
      </c>
      <c r="U60" s="116">
        <f>IFERROR(INDEX('DRAFT 1'!$Q:$Q,MATCH($B60,'DRAFT 1'!$B:$B,0)),"")</f>
        <v/>
      </c>
      <c r="V60" s="116">
        <f>IFERROR(INDEX('DRAFT 1'!$R:$R,MATCH($B60,'DRAFT 1'!$B:$B,0)),"")</f>
        <v/>
      </c>
      <c r="W60" s="116">
        <f>IFERROR(INDEX('DRAFT 1'!$S:$S,MATCH($B60,'DRAFT 1'!$B:$B,0)),"")</f>
        <v/>
      </c>
      <c r="X60" s="116">
        <f>IFERROR(INDEX('DRAFT 1'!$T:$T,MATCH($B60,'DRAFT 1'!$B:$B,0)),"")</f>
        <v/>
      </c>
      <c r="Z60" s="116">
        <f>IFERROR(INDEX('DRAFT 1'!$U:$U,MATCH($B60,'DRAFT 1'!$B:$B,0)),"")</f>
        <v/>
      </c>
      <c r="AA60" s="116">
        <f>IFERROR(INDEX('DRAFT 1'!$V:$V,MATCH($B60,'DRAFT 1'!$B:$B,0)),"")</f>
        <v/>
      </c>
      <c r="AB60" s="116">
        <f>IFERROR(INDEX('DRAFT 1'!$W:$W,MATCH($B60,'DRAFT 1'!$B:$B,0)),"")</f>
        <v/>
      </c>
      <c r="AC60" s="116">
        <f>IFERROR(INDEX('DRAFT 1'!$X:$X,MATCH($B60,'DRAFT 1'!$B:$B,0)),"")</f>
        <v/>
      </c>
      <c r="AD60" s="116">
        <f>IFERROR(INDEX('DRAFT 1'!$Y:$Y,MATCH($B60,'DRAFT 1'!$B:$B,0)),"")</f>
        <v/>
      </c>
      <c r="AE60" s="116">
        <f>IFERROR(INDEX('DRAFT 1'!$Z:$Z,MATCH($B60,'DRAFT 1'!$B:$B,0)),"")</f>
        <v/>
      </c>
      <c r="AF60" s="116">
        <f>IFERROR(INDEX('DRAFT 1'!$AA:$AA,MATCH($B60,'DRAFT 1'!$B:$B,0)),"")</f>
        <v/>
      </c>
      <c r="AG60" s="116">
        <f>IFERROR(INDEX('DRAFT 1'!$AB:$AB,MATCH($B60,'DRAFT 1'!$B:$B,0)),"")</f>
        <v/>
      </c>
      <c r="AH60" s="116">
        <f>IFERROR(INDEX('DRAFT 1'!$AC:$AC,MATCH($B60,'DRAFT 1'!$B:$B,0)),"")</f>
        <v/>
      </c>
      <c r="AI60" s="116">
        <f>IFERROR(INDEX('DRAFT 1'!$AD:$AD,MATCH($B60,'DRAFT 1'!$B:$B,0)),"")</f>
        <v/>
      </c>
      <c r="AJ60" s="116">
        <f>IFERROR(INDEX('DRAFT 1'!$AE:$AE,MATCH($B60,'DRAFT 1'!$B:$B,0)),"")</f>
        <v/>
      </c>
      <c r="AK60" s="116">
        <f>IFERROR(INDEX('DRAFT 1'!$AG:$AG,MATCH($B60,'DRAFT 1'!$B:$B,0)),"")</f>
        <v/>
      </c>
      <c r="AL60" s="116">
        <f>IFERROR(INDEX('DRAFT 1'!$AH:$AH,MATCH($B60,'DRAFT 1'!$B:$B,0)),"")</f>
        <v/>
      </c>
      <c r="AM60" s="116">
        <f>IFERROR(INDEX('DRAFT 1'!$AI:$AI,MATCH($B60,'DRAFT 1'!$B:$B,0)),"")</f>
        <v/>
      </c>
      <c r="AN60" s="116">
        <f>IFERROR(INDEX('DRAFT 1'!$AJ:$AJ,MATCH($B60,'DRAFT 1'!$B:$B,0)),"")</f>
        <v/>
      </c>
      <c r="AO60" s="116">
        <f>IFERROR(Y60/AN60,0)</f>
        <v/>
      </c>
      <c r="AP60" s="116">
        <f>IFERROR(INDEX('DRAFT 1'!$AK:$AK,MATCH($B60,'DRAFT 1'!$B:$B,0)),"")</f>
        <v/>
      </c>
      <c r="AR60" s="116" t="inlineStr">
        <is>
          <t>RECOMPRA</t>
        </is>
      </c>
      <c r="AS60" s="116">
        <f>IFERROR(LOOKUP(2,1/('DRAFT 2'!$D:$D=$B60),'DRAFT 2'!$T:$T),"")</f>
        <v/>
      </c>
      <c r="AT60" s="116">
        <f>IFERROR(LOOKUP(2,1/('DRAFT 2'!$D:$D=$B60),'DRAFT 2'!$A:$A),"")</f>
        <v/>
      </c>
      <c r="AU60" s="116">
        <f>IFERROR(LOOKUP(2,1/('DRAFT 2'!$D:$D=$B60),'DRAFT 2'!$R:$R),"")</f>
        <v/>
      </c>
      <c r="AV60" s="116">
        <f>IFERROR(LOOKUP(2,1/('DRAFT 2'!$D:$D=$B60),'DRAFT 2'!$S:$S),"")</f>
        <v/>
      </c>
      <c r="AW60" s="116" t="inlineStr">
        <is>
          <t>RECORRENTE</t>
        </is>
      </c>
      <c r="AX60" s="116">
        <f>IFERROR(LOOKUP(2,1/('DRAFT 2'!$D:$D=$B60),'DRAFT 2'!$M:$M),"")</f>
        <v/>
      </c>
      <c r="AY60" s="116">
        <f>IFERROR(LOOKUP(2,1/('DRAFT 2'!$D:$D=$B60),'DRAFT 2'!$K:$K),"")</f>
        <v/>
      </c>
      <c r="BG60" s="116">
        <f>IFERROR(LOOKUP(2,1/('DRAFT 2'!$D:$D=$B60),'DRAFT 2'!$U:$U),"")</f>
        <v/>
      </c>
      <c r="BH60" s="116">
        <f>IFERROR(LOOKUP(2,1/('DRAFT 2'!$D:$D=$B60),'DRAFT 2'!$V:$V),"")</f>
        <v/>
      </c>
      <c r="CE60" s="116">
        <f>IFERROR(AJ60,0)</f>
        <v/>
      </c>
      <c r="CF60" s="116">
        <f>IFERROR(LOOKUP(2,1/('DRAFT 2'!$D:$D=$B60)*('DRAFT 2'!$A:$A&gt;=DATE(2026,1,1))*('DRAFT 2'!$A:$A&lt;DATE(2026,IF(1=12,1+1,1+1),1)),'DRAFT 2'!$A:$A),"")</f>
        <v/>
      </c>
      <c r="CG60" s="116">
        <f>COUNTIFS('DRAFT 2'!$D:$D,$B60,'DRAFT 2'!$A:$A,"&gt;="&amp;DATE(2026,1,1),'DRAFT 2'!$A:$A,"&lt;="&amp;DATE(2026,1,7))</f>
        <v/>
      </c>
      <c r="CH60" s="116">
        <f>COUNTIFS('DRAFT 2'!$D:$D,$B60,'DRAFT 2'!$A:$A,"&gt;="&amp;DATE(2026,1,8),'DRAFT 2'!$A:$A,"&lt;="&amp;DATE(2026,1,14))</f>
        <v/>
      </c>
      <c r="CI60" s="116">
        <f>COUNTIFS('DRAFT 2'!$D:$D,$B60,'DRAFT 2'!$A:$A,"&gt;="&amp;DATE(2026,1,15),'DRAFT 2'!$A:$A,"&lt;="&amp;DATE(2026,1,21))</f>
        <v/>
      </c>
      <c r="CJ60" s="116">
        <f>COUNTIFS('DRAFT 2'!$D:$D,$B60,'DRAFT 2'!$A:$A,"&gt;="&amp;DATE(2026,1,22),'DRAFT 2'!$A:$A,"&lt;"&amp;DATE(2026,IF(1=12,1+1,1+1),1))</f>
        <v/>
      </c>
      <c r="CK60" s="116">
        <f>SUM(CG60:CJ60)</f>
        <v/>
      </c>
      <c r="CT60" s="116" t="n">
        <v>0</v>
      </c>
      <c r="CU60" s="116">
        <f>IFERROR(LOOKUP(2,1/('DRAFT 2'!$D:$D=$B60)*('DRAFT 2'!$A:$A&gt;=DATE(2026,2,1))*('DRAFT 2'!$A:$A&lt;DATE(2026,IF(2=12,2+1,2+1),1)),'DRAFT 2'!$A:$A),"")</f>
        <v/>
      </c>
      <c r="CV60" s="116">
        <f>COUNTIFS('DRAFT 2'!$D:$D,$B60,'DRAFT 2'!$A:$A,"&gt;="&amp;DATE(2026,2,1),'DRAFT 2'!$A:$A,"&lt;="&amp;DATE(2026,2,7))</f>
        <v/>
      </c>
      <c r="CW60" s="116">
        <f>COUNTIFS('DRAFT 2'!$D:$D,$B60,'DRAFT 2'!$A:$A,"&gt;="&amp;DATE(2026,2,8),'DRAFT 2'!$A:$A,"&lt;="&amp;DATE(2026,2,14))</f>
        <v/>
      </c>
      <c r="CX60" s="116">
        <f>COUNTIFS('DRAFT 2'!$D:$D,$B60,'DRAFT 2'!$A:$A,"&gt;="&amp;DATE(2026,2,15),'DRAFT 2'!$A:$A,"&lt;="&amp;DATE(2026,2,21))</f>
        <v/>
      </c>
      <c r="CY60" s="116">
        <f>COUNTIFS('DRAFT 2'!$D:$D,$B60,'DRAFT 2'!$A:$A,"&gt;="&amp;DATE(2026,2,22),'DRAFT 2'!$A:$A,"&lt;"&amp;DATE(2026,IF(2=12,2+1,2+1),1))</f>
        <v/>
      </c>
      <c r="CZ60" s="116">
        <f>SUM(CV60:CY60)</f>
        <v/>
      </c>
      <c r="DJ60" s="116">
        <f>IFERROR(LOOKUP(2,1/('DRAFT 2'!$D:$D=$B60)*('DRAFT 2'!$A:$A&gt;=DATE(2026,3,1))*('DRAFT 2'!$A:$A&lt;DATE(2026,IF(3=12,3+1,3+1),1)),'DRAFT 2'!$A:$A),"")</f>
        <v/>
      </c>
      <c r="DK60" s="116">
        <f>COUNTIFS('DRAFT 2'!$D:$D,$B60,'DRAFT 2'!$A:$A,"&gt;="&amp;DATE(2026,3,1),'DRAFT 2'!$A:$A,"&lt;="&amp;DATE(2026,3,7))</f>
        <v/>
      </c>
      <c r="DL60" s="116">
        <f>COUNTIFS('DRAFT 2'!$D:$D,$B60,'DRAFT 2'!$A:$A,"&gt;="&amp;DATE(2026,3,8),'DRAFT 2'!$A:$A,"&lt;="&amp;DATE(2026,3,14))</f>
        <v/>
      </c>
      <c r="DM60" s="116">
        <f>COUNTIFS('DRAFT 2'!$D:$D,$B60,'DRAFT 2'!$A:$A,"&gt;="&amp;DATE(2026,3,15),'DRAFT 2'!$A:$A,"&lt;="&amp;DATE(2026,3,21))</f>
        <v/>
      </c>
      <c r="DN60" s="116">
        <f>COUNTIFS('DRAFT 2'!$D:$D,$B60,'DRAFT 2'!$A:$A,"&gt;="&amp;DATE(2026,3,22),'DRAFT 2'!$A:$A,"&lt;"&amp;DATE(2026,IF(3=12,3+1,3+1),1))</f>
        <v/>
      </c>
      <c r="DO60" s="116">
        <f>SUM(DK60:DN60)</f>
        <v/>
      </c>
      <c r="DZ60" s="116">
        <f>IFERROR(LOOKUP(2,1/('DRAFT 2'!$D:$D=$B60)*('DRAFT 2'!$A:$A&gt;=DATE(2026,4,1))*('DRAFT 2'!$A:$A&lt;DATE(2026,IF(4=12,4+1,4+1),1)),'DRAFT 2'!$A:$A),"")</f>
        <v/>
      </c>
      <c r="EA60" s="116">
        <f>COUNTIFS('DRAFT 2'!$D:$D,$B60,'DRAFT 2'!$A:$A,"&gt;="&amp;DATE(2026,4,1),'DRAFT 2'!$A:$A,"&lt;="&amp;DATE(2026,4,7))</f>
        <v/>
      </c>
      <c r="EB60" s="116">
        <f>COUNTIFS('DRAFT 2'!$D:$D,$B60,'DRAFT 2'!$A:$A,"&gt;="&amp;DATE(2026,4,8),'DRAFT 2'!$A:$A,"&lt;="&amp;DATE(2026,4,14))</f>
        <v/>
      </c>
      <c r="EC60" s="116">
        <f>COUNTIFS('DRAFT 2'!$D:$D,$B60,'DRAFT 2'!$A:$A,"&gt;="&amp;DATE(2026,4,15),'DRAFT 2'!$A:$A,"&lt;="&amp;DATE(2026,4,21))</f>
        <v/>
      </c>
      <c r="ED60" s="116">
        <f>COUNTIFS('DRAFT 2'!$D:$D,$B60,'DRAFT 2'!$A:$A,"&gt;="&amp;DATE(2026,4,22),'DRAFT 2'!$A:$A,"&lt;"&amp;DATE(2026,IF(4=12,4+1,4+1),1))</f>
        <v/>
      </c>
      <c r="EE60" s="116">
        <f>SUM(EA60:ED60)</f>
        <v/>
      </c>
      <c r="EO60" s="116">
        <f>IFERROR(LOOKUP(2,1/('DRAFT 2'!$D:$D=$B60)*('DRAFT 2'!$A:$A&gt;=DATE(2026,5,1))*('DRAFT 2'!$A:$A&lt;DATE(2026,IF(5=12,5+1,5+1),1)),'DRAFT 2'!$A:$A),"")</f>
        <v/>
      </c>
      <c r="EP60" s="116">
        <f>COUNTIFS('DRAFT 2'!$D:$D,$B60,'DRAFT 2'!$A:$A,"&gt;="&amp;DATE(2026,5,1),'DRAFT 2'!$A:$A,"&lt;="&amp;DATE(2026,5,7))</f>
        <v/>
      </c>
      <c r="EQ60" s="116">
        <f>COUNTIFS('DRAFT 2'!$D:$D,$B60,'DRAFT 2'!$A:$A,"&gt;="&amp;DATE(2026,5,8),'DRAFT 2'!$A:$A,"&lt;="&amp;DATE(2026,5,14))</f>
        <v/>
      </c>
      <c r="ER60" s="116">
        <f>COUNTIFS('DRAFT 2'!$D:$D,$B60,'DRAFT 2'!$A:$A,"&gt;="&amp;DATE(2026,5,15),'DRAFT 2'!$A:$A,"&lt;="&amp;DATE(2026,5,21))</f>
        <v/>
      </c>
      <c r="ES60" s="116">
        <f>COUNTIFS('DRAFT 2'!$D:$D,$B60,'DRAFT 2'!$A:$A,"&gt;="&amp;DATE(2026,5,22),'DRAFT 2'!$A:$A,"&lt;"&amp;DATE(2026,IF(5=12,5+1,5+1),1))</f>
        <v/>
      </c>
      <c r="ET60" s="116">
        <f>SUM(EP60:ES60)</f>
        <v/>
      </c>
      <c r="FD60" s="116">
        <f>IFERROR(LOOKUP(2,1/('DRAFT 2'!$D:$D=$B60)*('DRAFT 2'!$A:$A&gt;=DATE(2026,6,1))*('DRAFT 2'!$A:$A&lt;DATE(2026,IF(6=12,6+1,6+1),1)),'DRAFT 2'!$A:$A),"")</f>
        <v/>
      </c>
      <c r="FE60" s="116">
        <f>COUNTIFS('DRAFT 2'!$D:$D,$B60,'DRAFT 2'!$A:$A,"&gt;="&amp;DATE(2026,6,1),'DRAFT 2'!$A:$A,"&lt;="&amp;DATE(2026,6,7))</f>
        <v/>
      </c>
      <c r="FF60" s="116">
        <f>COUNTIFS('DRAFT 2'!$D:$D,$B60,'DRAFT 2'!$A:$A,"&gt;="&amp;DATE(2026,6,8),'DRAFT 2'!$A:$A,"&lt;="&amp;DATE(2026,6,14))</f>
        <v/>
      </c>
      <c r="FG60" s="116">
        <f>COUNTIFS('DRAFT 2'!$D:$D,$B60,'DRAFT 2'!$A:$A,"&gt;="&amp;DATE(2026,6,15),'DRAFT 2'!$A:$A,"&lt;="&amp;DATE(2026,6,21))</f>
        <v/>
      </c>
      <c r="FH60" s="116">
        <f>COUNTIFS('DRAFT 2'!$D:$D,$B60,'DRAFT 2'!$A:$A,"&gt;="&amp;DATE(2026,6,22),'DRAFT 2'!$A:$A,"&lt;"&amp;DATE(2026,IF(6=12,6+1,6+1),1))</f>
        <v/>
      </c>
      <c r="FI60" s="116">
        <f>SUM(FE60:FH60)</f>
        <v/>
      </c>
      <c r="FT60" s="116">
        <f>IFERROR(LOOKUP(2,1/('DRAFT 2'!$D:$D=$B60)*('DRAFT 2'!$A:$A&gt;=DATE(2026,7,1))*('DRAFT 2'!$A:$A&lt;DATE(2026,IF(7=12,7+1,7+1),1)),'DRAFT 2'!$A:$A),"")</f>
        <v/>
      </c>
      <c r="FU60" s="116">
        <f>COUNTIFS('DRAFT 2'!$D:$D,$B60,'DRAFT 2'!$A:$A,"&gt;="&amp;DATE(2026,7,1),'DRAFT 2'!$A:$A,"&lt;="&amp;DATE(2026,7,7))</f>
        <v/>
      </c>
      <c r="FV60" s="116">
        <f>COUNTIFS('DRAFT 2'!$D:$D,$B60,'DRAFT 2'!$A:$A,"&gt;="&amp;DATE(2026,7,8),'DRAFT 2'!$A:$A,"&lt;="&amp;DATE(2026,7,14))</f>
        <v/>
      </c>
      <c r="FW60" s="116">
        <f>COUNTIFS('DRAFT 2'!$D:$D,$B60,'DRAFT 2'!$A:$A,"&gt;="&amp;DATE(2026,7,15),'DRAFT 2'!$A:$A,"&lt;="&amp;DATE(2026,7,21))</f>
        <v/>
      </c>
      <c r="FX60" s="116">
        <f>COUNTIFS('DRAFT 2'!$D:$D,$B60,'DRAFT 2'!$A:$A,"&gt;="&amp;DATE(2026,7,22),'DRAFT 2'!$A:$A,"&lt;"&amp;DATE(2026,IF(7=12,7+1,7+1),1))</f>
        <v/>
      </c>
      <c r="FY60" s="116">
        <f>SUM(FU60:FX60)</f>
        <v/>
      </c>
      <c r="GI60" s="116">
        <f>IFERROR(LOOKUP(2,1/('DRAFT 2'!$D:$D=$B60)*('DRAFT 2'!$A:$A&gt;=DATE(2026,8,1))*('DRAFT 2'!$A:$A&lt;DATE(2026,IF(8=12,8+1,8+1),1)),'DRAFT 2'!$A:$A),"")</f>
        <v/>
      </c>
      <c r="GJ60" s="116">
        <f>COUNTIFS('DRAFT 2'!$D:$D,$B60,'DRAFT 2'!$A:$A,"&gt;="&amp;DATE(2026,8,1),'DRAFT 2'!$A:$A,"&lt;="&amp;DATE(2026,8,7))</f>
        <v/>
      </c>
      <c r="GK60" s="116">
        <f>COUNTIFS('DRAFT 2'!$D:$D,$B60,'DRAFT 2'!$A:$A,"&gt;="&amp;DATE(2026,8,8),'DRAFT 2'!$A:$A,"&lt;="&amp;DATE(2026,8,14))</f>
        <v/>
      </c>
      <c r="GL60" s="116">
        <f>COUNTIFS('DRAFT 2'!$D:$D,$B60,'DRAFT 2'!$A:$A,"&gt;="&amp;DATE(2026,8,15),'DRAFT 2'!$A:$A,"&lt;="&amp;DATE(2026,8,21))</f>
        <v/>
      </c>
      <c r="GM60" s="116">
        <f>COUNTIFS('DRAFT 2'!$D:$D,$B60,'DRAFT 2'!$A:$A,"&gt;="&amp;DATE(2026,8,22),'DRAFT 2'!$A:$A,"&lt;"&amp;DATE(2026,IF(8=12,8+1,8+1),1))</f>
        <v/>
      </c>
      <c r="GN60" s="116">
        <f>SUM(GJ60:GM60)</f>
        <v/>
      </c>
      <c r="GX60" s="116">
        <f>IFERROR(LOOKUP(2,1/('DRAFT 2'!$D:$D=$B60)*('DRAFT 2'!$A:$A&gt;=DATE(2026,9,1))*('DRAFT 2'!$A:$A&lt;DATE(2026,IF(9=12,9+1,9+1),1)),'DRAFT 2'!$A:$A),"")</f>
        <v/>
      </c>
      <c r="GY60" s="116">
        <f>COUNTIFS('DRAFT 2'!$D:$D,$B60,'DRAFT 2'!$A:$A,"&gt;="&amp;DATE(2026,9,1),'DRAFT 2'!$A:$A,"&lt;="&amp;DATE(2026,9,7))</f>
        <v/>
      </c>
      <c r="GZ60" s="116">
        <f>COUNTIFS('DRAFT 2'!$D:$D,$B60,'DRAFT 2'!$A:$A,"&gt;="&amp;DATE(2026,9,8),'DRAFT 2'!$A:$A,"&lt;="&amp;DATE(2026,9,14))</f>
        <v/>
      </c>
      <c r="HA60" s="116">
        <f>COUNTIFS('DRAFT 2'!$D:$D,$B60,'DRAFT 2'!$A:$A,"&gt;="&amp;DATE(2026,9,15),'DRAFT 2'!$A:$A,"&lt;="&amp;DATE(2026,9,21))</f>
        <v/>
      </c>
      <c r="HB60" s="116">
        <f>COUNTIFS('DRAFT 2'!$D:$D,$B60,'DRAFT 2'!$A:$A,"&gt;="&amp;DATE(2026,9,22),'DRAFT 2'!$A:$A,"&lt;"&amp;DATE(2026,IF(9=12,9+1,9+1),1))</f>
        <v/>
      </c>
      <c r="HC60" s="116">
        <f>SUM(GY60:HB60)</f>
        <v/>
      </c>
      <c r="HN60" s="116">
        <f>IFERROR(LOOKUP(2,1/('DRAFT 2'!$D:$D=$B60)*('DRAFT 2'!$A:$A&gt;=DATE(2026,10,1))*('DRAFT 2'!$A:$A&lt;DATE(2026,IF(10=12,10+1,10+1),1)),'DRAFT 2'!$A:$A),"")</f>
        <v/>
      </c>
      <c r="HO60" s="116">
        <f>COUNTIFS('DRAFT 2'!$D:$D,$B60,'DRAFT 2'!$A:$A,"&gt;="&amp;DATE(2026,10,1),'DRAFT 2'!$A:$A,"&lt;="&amp;DATE(2026,10,7))</f>
        <v/>
      </c>
      <c r="HP60" s="116">
        <f>COUNTIFS('DRAFT 2'!$D:$D,$B60,'DRAFT 2'!$A:$A,"&gt;="&amp;DATE(2026,10,8),'DRAFT 2'!$A:$A,"&lt;="&amp;DATE(2026,10,14))</f>
        <v/>
      </c>
      <c r="HQ60" s="116">
        <f>COUNTIFS('DRAFT 2'!$D:$D,$B60,'DRAFT 2'!$A:$A,"&gt;="&amp;DATE(2026,10,15),'DRAFT 2'!$A:$A,"&lt;="&amp;DATE(2026,10,21))</f>
        <v/>
      </c>
      <c r="HR60" s="116">
        <f>COUNTIFS('DRAFT 2'!$D:$D,$B60,'DRAFT 2'!$A:$A,"&gt;="&amp;DATE(2026,10,22),'DRAFT 2'!$A:$A,"&lt;"&amp;DATE(2026,IF(10=12,10+1,10+1),1))</f>
        <v/>
      </c>
      <c r="HS60" s="116">
        <f>SUM(HO60:HR60)</f>
        <v/>
      </c>
      <c r="IC60" s="116">
        <f>IFERROR(LOOKUP(2,1/('DRAFT 2'!$D:$D=$B60)*('DRAFT 2'!$A:$A&gt;=DATE(2026,11,1))*('DRAFT 2'!$A:$A&lt;DATE(2026,IF(11=12,11+1,11+1),1)),'DRAFT 2'!$A:$A),"")</f>
        <v/>
      </c>
      <c r="ID60" s="116">
        <f>COUNTIFS('DRAFT 2'!$D:$D,$B60,'DRAFT 2'!$A:$A,"&gt;="&amp;DATE(2026,11,1),'DRAFT 2'!$A:$A,"&lt;="&amp;DATE(2026,11,7))</f>
        <v/>
      </c>
      <c r="IE60" s="116">
        <f>COUNTIFS('DRAFT 2'!$D:$D,$B60,'DRAFT 2'!$A:$A,"&gt;="&amp;DATE(2026,11,8),'DRAFT 2'!$A:$A,"&lt;="&amp;DATE(2026,11,14))</f>
        <v/>
      </c>
      <c r="IF60" s="116">
        <f>COUNTIFS('DRAFT 2'!$D:$D,$B60,'DRAFT 2'!$A:$A,"&gt;="&amp;DATE(2026,11,15),'DRAFT 2'!$A:$A,"&lt;="&amp;DATE(2026,11,21))</f>
        <v/>
      </c>
      <c r="IG60" s="116">
        <f>COUNTIFS('DRAFT 2'!$D:$D,$B60,'DRAFT 2'!$A:$A,"&gt;="&amp;DATE(2026,11,22),'DRAFT 2'!$A:$A,"&lt;"&amp;DATE(2026,IF(11=12,11+1,11+1),1))</f>
        <v/>
      </c>
      <c r="IH60" s="116">
        <f>SUM(ID60:IG60)</f>
        <v/>
      </c>
      <c r="IR60" s="116">
        <f>IFERROR(LOOKUP(2,1/('DRAFT 2'!$D:$D=$B60)*('DRAFT 2'!$A:$A&gt;=DATE(2026,12,1))*('DRAFT 2'!$A:$A&lt;DATE(2026,IF(12=12,12+1,12+1),1)),'DRAFT 2'!$A:$A),"")</f>
        <v/>
      </c>
      <c r="IS60" s="116">
        <f>COUNTIFS('DRAFT 2'!$D:$D,$B60,'DRAFT 2'!$A:$A,"&gt;="&amp;DATE(2026,12,1),'DRAFT 2'!$A:$A,"&lt;="&amp;DATE(2026,12,7))</f>
        <v/>
      </c>
      <c r="IT60" s="116">
        <f>COUNTIFS('DRAFT 2'!$D:$D,$B60,'DRAFT 2'!$A:$A,"&gt;="&amp;DATE(2026,12,8),'DRAFT 2'!$A:$A,"&lt;="&amp;DATE(2026,12,14))</f>
        <v/>
      </c>
      <c r="IU60" s="116">
        <f>COUNTIFS('DRAFT 2'!$D:$D,$B60,'DRAFT 2'!$A:$A,"&gt;="&amp;DATE(2026,12,15),'DRAFT 2'!$A:$A,"&lt;="&amp;DATE(2026,12,21))</f>
        <v/>
      </c>
      <c r="IV60" s="116">
        <f>COUNTIFS('DRAFT 2'!$D:$D,$B60,'DRAFT 2'!$A:$A,"&gt;="&amp;DATE(2026,12,22),'DRAFT 2'!$A:$A,"&lt;"&amp;DATE(2026,IF(12=12,12+1,12+1),1))</f>
        <v/>
      </c>
      <c r="IW60" s="116">
        <f>SUM(IS60:IV60)</f>
        <v/>
      </c>
    </row>
    <row r="61">
      <c r="A61" s="116">
        <f>IFERROR(INDEX('DRAFT 1'!$A:$A,MATCH($B61,'DRAFT 1'!$B:$B,0)),"")</f>
        <v/>
      </c>
      <c r="C61" s="116">
        <f>IFERROR(INDEX('DRAFT 1'!$C:$C,MATCH($B61,'DRAFT 1'!$B:$B,0)),"")</f>
        <v/>
      </c>
      <c r="D61" s="116">
        <f>IFERROR(INDEX('DRAFT 1'!$D:$D,MATCH($B61,'DRAFT 1'!$B:$B,0)),"")</f>
        <v/>
      </c>
      <c r="E61" s="116">
        <f>IFERROR(INDEX('DRAFT 1'!$E:$E,MATCH($B61,'DRAFT 1'!$B:$B,0)),"")</f>
        <v/>
      </c>
      <c r="F61" s="116">
        <f>IFERROR(INDEX('DRAFT 1'!$F:$F,MATCH($B61,'DRAFT 1'!$B:$B,0)),"")</f>
        <v/>
      </c>
      <c r="G61" s="116">
        <f>IFERROR(INDEX('DRAFT 1'!$G:$G,MATCH($B61,'DRAFT 1'!$B:$B,0)),"")</f>
        <v/>
      </c>
      <c r="H61" s="116">
        <f>IFERROR(INDEX('DRAFT 1'!$H:$H,MATCH($B61,'DRAFT 1'!$B:$B,0)),"")</f>
        <v/>
      </c>
      <c r="I61" s="116" t="inlineStr">
        <is>
          <t>DIVINA TERRA</t>
        </is>
      </c>
      <c r="K61" s="116">
        <f>IFERROR(INDEX('DRAFT 1'!$AL:$AL,MATCH($B61,'DRAFT 1'!$B:$B,0)),"")</f>
        <v/>
      </c>
      <c r="L61" s="116">
        <f>IFERROR(INDEX('DRAFT 1'!$J:$J,MATCH($B61,'DRAFT 1'!$B:$B,0)),"")</f>
        <v/>
      </c>
      <c r="M61" s="116">
        <f>IFERROR(INDEX('DRAFT 1'!$K:$K,MATCH($B61,'DRAFT 1'!$B:$B,0)),"")</f>
        <v/>
      </c>
      <c r="N61" s="116" t="inlineStr">
        <is>
          <t>INAT.REC</t>
        </is>
      </c>
      <c r="P61" s="116">
        <f>IFERROR(INDEX('DRAFT 1'!$L:$L,MATCH($B61,'DRAFT 1'!$B:$B,0)),"")</f>
        <v/>
      </c>
      <c r="Q61" s="116">
        <f>IFERROR(INDEX('DRAFT 1'!$M:$M,MATCH($B61,'DRAFT 1'!$B:$B,0)),"")</f>
        <v/>
      </c>
      <c r="R61" s="116">
        <f>IFERROR(INDEX('DRAFT 1'!$N:$N,MATCH($B61,'DRAFT 1'!$B:$B,0)),"")</f>
        <v/>
      </c>
      <c r="S61" s="116">
        <f>IFERROR(INDEX('DRAFT 1'!$O:$O,MATCH($B61,'DRAFT 1'!$B:$B,0)),"")</f>
        <v/>
      </c>
      <c r="T61" s="116">
        <f>IFERROR(INDEX('DRAFT 1'!$P:$P,MATCH($B61,'DRAFT 1'!$B:$B,0)),"")</f>
        <v/>
      </c>
      <c r="U61" s="116">
        <f>IFERROR(INDEX('DRAFT 1'!$Q:$Q,MATCH($B61,'DRAFT 1'!$B:$B,0)),"")</f>
        <v/>
      </c>
      <c r="V61" s="116">
        <f>IFERROR(INDEX('DRAFT 1'!$R:$R,MATCH($B61,'DRAFT 1'!$B:$B,0)),"")</f>
        <v/>
      </c>
      <c r="W61" s="116">
        <f>IFERROR(INDEX('DRAFT 1'!$S:$S,MATCH($B61,'DRAFT 1'!$B:$B,0)),"")</f>
        <v/>
      </c>
      <c r="X61" s="116">
        <f>IFERROR(INDEX('DRAFT 1'!$T:$T,MATCH($B61,'DRAFT 1'!$B:$B,0)),"")</f>
        <v/>
      </c>
      <c r="Z61" s="116">
        <f>IFERROR(INDEX('DRAFT 1'!$U:$U,MATCH($B61,'DRAFT 1'!$B:$B,0)),"")</f>
        <v/>
      </c>
      <c r="AA61" s="116">
        <f>IFERROR(INDEX('DRAFT 1'!$V:$V,MATCH($B61,'DRAFT 1'!$B:$B,0)),"")</f>
        <v/>
      </c>
      <c r="AB61" s="116">
        <f>IFERROR(INDEX('DRAFT 1'!$W:$W,MATCH($B61,'DRAFT 1'!$B:$B,0)),"")</f>
        <v/>
      </c>
      <c r="AC61" s="116">
        <f>IFERROR(INDEX('DRAFT 1'!$X:$X,MATCH($B61,'DRAFT 1'!$B:$B,0)),"")</f>
        <v/>
      </c>
      <c r="AD61" s="116">
        <f>IFERROR(INDEX('DRAFT 1'!$Y:$Y,MATCH($B61,'DRAFT 1'!$B:$B,0)),"")</f>
        <v/>
      </c>
      <c r="AE61" s="116">
        <f>IFERROR(INDEX('DRAFT 1'!$Z:$Z,MATCH($B61,'DRAFT 1'!$B:$B,0)),"")</f>
        <v/>
      </c>
      <c r="AF61" s="116">
        <f>IFERROR(INDEX('DRAFT 1'!$AA:$AA,MATCH($B61,'DRAFT 1'!$B:$B,0)),"")</f>
        <v/>
      </c>
      <c r="AG61" s="116">
        <f>IFERROR(INDEX('DRAFT 1'!$AB:$AB,MATCH($B61,'DRAFT 1'!$B:$B,0)),"")</f>
        <v/>
      </c>
      <c r="AH61" s="116">
        <f>IFERROR(INDEX('DRAFT 1'!$AC:$AC,MATCH($B61,'DRAFT 1'!$B:$B,0)),"")</f>
        <v/>
      </c>
      <c r="AI61" s="116">
        <f>IFERROR(INDEX('DRAFT 1'!$AD:$AD,MATCH($B61,'DRAFT 1'!$B:$B,0)),"")</f>
        <v/>
      </c>
      <c r="AJ61" s="116">
        <f>IFERROR(INDEX('DRAFT 1'!$AE:$AE,MATCH($B61,'DRAFT 1'!$B:$B,0)),"")</f>
        <v/>
      </c>
      <c r="AK61" s="116">
        <f>IFERROR(INDEX('DRAFT 1'!$AG:$AG,MATCH($B61,'DRAFT 1'!$B:$B,0)),"")</f>
        <v/>
      </c>
      <c r="AL61" s="116">
        <f>IFERROR(INDEX('DRAFT 1'!$AH:$AH,MATCH($B61,'DRAFT 1'!$B:$B,0)),"")</f>
        <v/>
      </c>
      <c r="AM61" s="116">
        <f>IFERROR(INDEX('DRAFT 1'!$AI:$AI,MATCH($B61,'DRAFT 1'!$B:$B,0)),"")</f>
        <v/>
      </c>
      <c r="AN61" s="116">
        <f>IFERROR(INDEX('DRAFT 1'!$AJ:$AJ,MATCH($B61,'DRAFT 1'!$B:$B,0)),"")</f>
        <v/>
      </c>
      <c r="AO61" s="116">
        <f>IFERROR(Y61/AN61,0)</f>
        <v/>
      </c>
      <c r="AP61" s="116">
        <f>IFERROR(INDEX('DRAFT 1'!$AK:$AK,MATCH($B61,'DRAFT 1'!$B:$B,0)),"")</f>
        <v/>
      </c>
      <c r="AR61" s="116" t="inlineStr">
        <is>
          <t>NUTRIÇÃO</t>
        </is>
      </c>
      <c r="AS61" s="116">
        <f>IFERROR(LOOKUP(2,1/('DRAFT 2'!$D:$D=$B61),'DRAFT 2'!$T:$T),"")</f>
        <v/>
      </c>
      <c r="AT61" s="116">
        <f>IFERROR(LOOKUP(2,1/('DRAFT 2'!$D:$D=$B61),'DRAFT 2'!$A:$A),"")</f>
        <v/>
      </c>
      <c r="AU61" s="116">
        <f>IFERROR(LOOKUP(2,1/('DRAFT 2'!$D:$D=$B61),'DRAFT 2'!$R:$R),"")</f>
        <v/>
      </c>
      <c r="AV61" s="116">
        <f>IFERROR(LOOKUP(2,1/('DRAFT 2'!$D:$D=$B61),'DRAFT 2'!$S:$S),"")</f>
        <v/>
      </c>
      <c r="AW61" s="116" t="inlineStr">
        <is>
          <t>RECORRENTE</t>
        </is>
      </c>
      <c r="AX61" s="116">
        <f>IFERROR(LOOKUP(2,1/('DRAFT 2'!$D:$D=$B61),'DRAFT 2'!$M:$M),"")</f>
        <v/>
      </c>
      <c r="AY61" s="116">
        <f>IFERROR(LOOKUP(2,1/('DRAFT 2'!$D:$D=$B61),'DRAFT 2'!$K:$K),"")</f>
        <v/>
      </c>
      <c r="BG61" s="116">
        <f>IFERROR(LOOKUP(2,1/('DRAFT 2'!$D:$D=$B61),'DRAFT 2'!$U:$U),"")</f>
        <v/>
      </c>
      <c r="BH61" s="116">
        <f>IFERROR(LOOKUP(2,1/('DRAFT 2'!$D:$D=$B61),'DRAFT 2'!$V:$V),"")</f>
        <v/>
      </c>
      <c r="CE61" s="116">
        <f>IFERROR(AJ61,0)</f>
        <v/>
      </c>
      <c r="CF61" s="116">
        <f>IFERROR(LOOKUP(2,1/('DRAFT 2'!$D:$D=$B61)*('DRAFT 2'!$A:$A&gt;=DATE(2026,1,1))*('DRAFT 2'!$A:$A&lt;DATE(2026,IF(1=12,1+1,1+1),1)),'DRAFT 2'!$A:$A),"")</f>
        <v/>
      </c>
      <c r="CG61" s="116">
        <f>COUNTIFS('DRAFT 2'!$D:$D,$B61,'DRAFT 2'!$A:$A,"&gt;="&amp;DATE(2026,1,1),'DRAFT 2'!$A:$A,"&lt;="&amp;DATE(2026,1,7))</f>
        <v/>
      </c>
      <c r="CH61" s="116">
        <f>COUNTIFS('DRAFT 2'!$D:$D,$B61,'DRAFT 2'!$A:$A,"&gt;="&amp;DATE(2026,1,8),'DRAFT 2'!$A:$A,"&lt;="&amp;DATE(2026,1,14))</f>
        <v/>
      </c>
      <c r="CI61" s="116">
        <f>COUNTIFS('DRAFT 2'!$D:$D,$B61,'DRAFT 2'!$A:$A,"&gt;="&amp;DATE(2026,1,15),'DRAFT 2'!$A:$A,"&lt;="&amp;DATE(2026,1,21))</f>
        <v/>
      </c>
      <c r="CJ61" s="116">
        <f>COUNTIFS('DRAFT 2'!$D:$D,$B61,'DRAFT 2'!$A:$A,"&gt;="&amp;DATE(2026,1,22),'DRAFT 2'!$A:$A,"&lt;"&amp;DATE(2026,IF(1=12,1+1,1+1),1))</f>
        <v/>
      </c>
      <c r="CK61" s="116">
        <f>SUM(CG61:CJ61)</f>
        <v/>
      </c>
      <c r="CT61" s="116" t="n">
        <v>0</v>
      </c>
      <c r="CU61" s="116">
        <f>IFERROR(LOOKUP(2,1/('DRAFT 2'!$D:$D=$B61)*('DRAFT 2'!$A:$A&gt;=DATE(2026,2,1))*('DRAFT 2'!$A:$A&lt;DATE(2026,IF(2=12,2+1,2+1),1)),'DRAFT 2'!$A:$A),"")</f>
        <v/>
      </c>
      <c r="CV61" s="116">
        <f>COUNTIFS('DRAFT 2'!$D:$D,$B61,'DRAFT 2'!$A:$A,"&gt;="&amp;DATE(2026,2,1),'DRAFT 2'!$A:$A,"&lt;="&amp;DATE(2026,2,7))</f>
        <v/>
      </c>
      <c r="CW61" s="116">
        <f>COUNTIFS('DRAFT 2'!$D:$D,$B61,'DRAFT 2'!$A:$A,"&gt;="&amp;DATE(2026,2,8),'DRAFT 2'!$A:$A,"&lt;="&amp;DATE(2026,2,14))</f>
        <v/>
      </c>
      <c r="CX61" s="116">
        <f>COUNTIFS('DRAFT 2'!$D:$D,$B61,'DRAFT 2'!$A:$A,"&gt;="&amp;DATE(2026,2,15),'DRAFT 2'!$A:$A,"&lt;="&amp;DATE(2026,2,21))</f>
        <v/>
      </c>
      <c r="CY61" s="116">
        <f>COUNTIFS('DRAFT 2'!$D:$D,$B61,'DRAFT 2'!$A:$A,"&gt;="&amp;DATE(2026,2,22),'DRAFT 2'!$A:$A,"&lt;"&amp;DATE(2026,IF(2=12,2+1,2+1),1))</f>
        <v/>
      </c>
      <c r="CZ61" s="116">
        <f>SUM(CV61:CY61)</f>
        <v/>
      </c>
      <c r="DJ61" s="116">
        <f>IFERROR(LOOKUP(2,1/('DRAFT 2'!$D:$D=$B61)*('DRAFT 2'!$A:$A&gt;=DATE(2026,3,1))*('DRAFT 2'!$A:$A&lt;DATE(2026,IF(3=12,3+1,3+1),1)),'DRAFT 2'!$A:$A),"")</f>
        <v/>
      </c>
      <c r="DK61" s="116">
        <f>COUNTIFS('DRAFT 2'!$D:$D,$B61,'DRAFT 2'!$A:$A,"&gt;="&amp;DATE(2026,3,1),'DRAFT 2'!$A:$A,"&lt;="&amp;DATE(2026,3,7))</f>
        <v/>
      </c>
      <c r="DL61" s="116">
        <f>COUNTIFS('DRAFT 2'!$D:$D,$B61,'DRAFT 2'!$A:$A,"&gt;="&amp;DATE(2026,3,8),'DRAFT 2'!$A:$A,"&lt;="&amp;DATE(2026,3,14))</f>
        <v/>
      </c>
      <c r="DM61" s="116">
        <f>COUNTIFS('DRAFT 2'!$D:$D,$B61,'DRAFT 2'!$A:$A,"&gt;="&amp;DATE(2026,3,15),'DRAFT 2'!$A:$A,"&lt;="&amp;DATE(2026,3,21))</f>
        <v/>
      </c>
      <c r="DN61" s="116">
        <f>COUNTIFS('DRAFT 2'!$D:$D,$B61,'DRAFT 2'!$A:$A,"&gt;="&amp;DATE(2026,3,22),'DRAFT 2'!$A:$A,"&lt;"&amp;DATE(2026,IF(3=12,3+1,3+1),1))</f>
        <v/>
      </c>
      <c r="DO61" s="116">
        <f>SUM(DK61:DN61)</f>
        <v/>
      </c>
      <c r="DZ61" s="116">
        <f>IFERROR(LOOKUP(2,1/('DRAFT 2'!$D:$D=$B61)*('DRAFT 2'!$A:$A&gt;=DATE(2026,4,1))*('DRAFT 2'!$A:$A&lt;DATE(2026,IF(4=12,4+1,4+1),1)),'DRAFT 2'!$A:$A),"")</f>
        <v/>
      </c>
      <c r="EA61" s="116">
        <f>COUNTIFS('DRAFT 2'!$D:$D,$B61,'DRAFT 2'!$A:$A,"&gt;="&amp;DATE(2026,4,1),'DRAFT 2'!$A:$A,"&lt;="&amp;DATE(2026,4,7))</f>
        <v/>
      </c>
      <c r="EB61" s="116">
        <f>COUNTIFS('DRAFT 2'!$D:$D,$B61,'DRAFT 2'!$A:$A,"&gt;="&amp;DATE(2026,4,8),'DRAFT 2'!$A:$A,"&lt;="&amp;DATE(2026,4,14))</f>
        <v/>
      </c>
      <c r="EC61" s="116">
        <f>COUNTIFS('DRAFT 2'!$D:$D,$B61,'DRAFT 2'!$A:$A,"&gt;="&amp;DATE(2026,4,15),'DRAFT 2'!$A:$A,"&lt;="&amp;DATE(2026,4,21))</f>
        <v/>
      </c>
      <c r="ED61" s="116">
        <f>COUNTIFS('DRAFT 2'!$D:$D,$B61,'DRAFT 2'!$A:$A,"&gt;="&amp;DATE(2026,4,22),'DRAFT 2'!$A:$A,"&lt;"&amp;DATE(2026,IF(4=12,4+1,4+1),1))</f>
        <v/>
      </c>
      <c r="EE61" s="116">
        <f>SUM(EA61:ED61)</f>
        <v/>
      </c>
      <c r="EO61" s="116">
        <f>IFERROR(LOOKUP(2,1/('DRAFT 2'!$D:$D=$B61)*('DRAFT 2'!$A:$A&gt;=DATE(2026,5,1))*('DRAFT 2'!$A:$A&lt;DATE(2026,IF(5=12,5+1,5+1),1)),'DRAFT 2'!$A:$A),"")</f>
        <v/>
      </c>
      <c r="EP61" s="116">
        <f>COUNTIFS('DRAFT 2'!$D:$D,$B61,'DRAFT 2'!$A:$A,"&gt;="&amp;DATE(2026,5,1),'DRAFT 2'!$A:$A,"&lt;="&amp;DATE(2026,5,7))</f>
        <v/>
      </c>
      <c r="EQ61" s="116">
        <f>COUNTIFS('DRAFT 2'!$D:$D,$B61,'DRAFT 2'!$A:$A,"&gt;="&amp;DATE(2026,5,8),'DRAFT 2'!$A:$A,"&lt;="&amp;DATE(2026,5,14))</f>
        <v/>
      </c>
      <c r="ER61" s="116">
        <f>COUNTIFS('DRAFT 2'!$D:$D,$B61,'DRAFT 2'!$A:$A,"&gt;="&amp;DATE(2026,5,15),'DRAFT 2'!$A:$A,"&lt;="&amp;DATE(2026,5,21))</f>
        <v/>
      </c>
      <c r="ES61" s="116">
        <f>COUNTIFS('DRAFT 2'!$D:$D,$B61,'DRAFT 2'!$A:$A,"&gt;="&amp;DATE(2026,5,22),'DRAFT 2'!$A:$A,"&lt;"&amp;DATE(2026,IF(5=12,5+1,5+1),1))</f>
        <v/>
      </c>
      <c r="ET61" s="116">
        <f>SUM(EP61:ES61)</f>
        <v/>
      </c>
      <c r="FD61" s="116">
        <f>IFERROR(LOOKUP(2,1/('DRAFT 2'!$D:$D=$B61)*('DRAFT 2'!$A:$A&gt;=DATE(2026,6,1))*('DRAFT 2'!$A:$A&lt;DATE(2026,IF(6=12,6+1,6+1),1)),'DRAFT 2'!$A:$A),"")</f>
        <v/>
      </c>
      <c r="FE61" s="116">
        <f>COUNTIFS('DRAFT 2'!$D:$D,$B61,'DRAFT 2'!$A:$A,"&gt;="&amp;DATE(2026,6,1),'DRAFT 2'!$A:$A,"&lt;="&amp;DATE(2026,6,7))</f>
        <v/>
      </c>
      <c r="FF61" s="116">
        <f>COUNTIFS('DRAFT 2'!$D:$D,$B61,'DRAFT 2'!$A:$A,"&gt;="&amp;DATE(2026,6,8),'DRAFT 2'!$A:$A,"&lt;="&amp;DATE(2026,6,14))</f>
        <v/>
      </c>
      <c r="FG61" s="116">
        <f>COUNTIFS('DRAFT 2'!$D:$D,$B61,'DRAFT 2'!$A:$A,"&gt;="&amp;DATE(2026,6,15),'DRAFT 2'!$A:$A,"&lt;="&amp;DATE(2026,6,21))</f>
        <v/>
      </c>
      <c r="FH61" s="116">
        <f>COUNTIFS('DRAFT 2'!$D:$D,$B61,'DRAFT 2'!$A:$A,"&gt;="&amp;DATE(2026,6,22),'DRAFT 2'!$A:$A,"&lt;"&amp;DATE(2026,IF(6=12,6+1,6+1),1))</f>
        <v/>
      </c>
      <c r="FI61" s="116">
        <f>SUM(FE61:FH61)</f>
        <v/>
      </c>
      <c r="FT61" s="116">
        <f>IFERROR(LOOKUP(2,1/('DRAFT 2'!$D:$D=$B61)*('DRAFT 2'!$A:$A&gt;=DATE(2026,7,1))*('DRAFT 2'!$A:$A&lt;DATE(2026,IF(7=12,7+1,7+1),1)),'DRAFT 2'!$A:$A),"")</f>
        <v/>
      </c>
      <c r="FU61" s="116">
        <f>COUNTIFS('DRAFT 2'!$D:$D,$B61,'DRAFT 2'!$A:$A,"&gt;="&amp;DATE(2026,7,1),'DRAFT 2'!$A:$A,"&lt;="&amp;DATE(2026,7,7))</f>
        <v/>
      </c>
      <c r="FV61" s="116">
        <f>COUNTIFS('DRAFT 2'!$D:$D,$B61,'DRAFT 2'!$A:$A,"&gt;="&amp;DATE(2026,7,8),'DRAFT 2'!$A:$A,"&lt;="&amp;DATE(2026,7,14))</f>
        <v/>
      </c>
      <c r="FW61" s="116">
        <f>COUNTIFS('DRAFT 2'!$D:$D,$B61,'DRAFT 2'!$A:$A,"&gt;="&amp;DATE(2026,7,15),'DRAFT 2'!$A:$A,"&lt;="&amp;DATE(2026,7,21))</f>
        <v/>
      </c>
      <c r="FX61" s="116">
        <f>COUNTIFS('DRAFT 2'!$D:$D,$B61,'DRAFT 2'!$A:$A,"&gt;="&amp;DATE(2026,7,22),'DRAFT 2'!$A:$A,"&lt;"&amp;DATE(2026,IF(7=12,7+1,7+1),1))</f>
        <v/>
      </c>
      <c r="FY61" s="116">
        <f>SUM(FU61:FX61)</f>
        <v/>
      </c>
      <c r="GI61" s="116">
        <f>IFERROR(LOOKUP(2,1/('DRAFT 2'!$D:$D=$B61)*('DRAFT 2'!$A:$A&gt;=DATE(2026,8,1))*('DRAFT 2'!$A:$A&lt;DATE(2026,IF(8=12,8+1,8+1),1)),'DRAFT 2'!$A:$A),"")</f>
        <v/>
      </c>
      <c r="GJ61" s="116">
        <f>COUNTIFS('DRAFT 2'!$D:$D,$B61,'DRAFT 2'!$A:$A,"&gt;="&amp;DATE(2026,8,1),'DRAFT 2'!$A:$A,"&lt;="&amp;DATE(2026,8,7))</f>
        <v/>
      </c>
      <c r="GK61" s="116">
        <f>COUNTIFS('DRAFT 2'!$D:$D,$B61,'DRAFT 2'!$A:$A,"&gt;="&amp;DATE(2026,8,8),'DRAFT 2'!$A:$A,"&lt;="&amp;DATE(2026,8,14))</f>
        <v/>
      </c>
      <c r="GL61" s="116">
        <f>COUNTIFS('DRAFT 2'!$D:$D,$B61,'DRAFT 2'!$A:$A,"&gt;="&amp;DATE(2026,8,15),'DRAFT 2'!$A:$A,"&lt;="&amp;DATE(2026,8,21))</f>
        <v/>
      </c>
      <c r="GM61" s="116">
        <f>COUNTIFS('DRAFT 2'!$D:$D,$B61,'DRAFT 2'!$A:$A,"&gt;="&amp;DATE(2026,8,22),'DRAFT 2'!$A:$A,"&lt;"&amp;DATE(2026,IF(8=12,8+1,8+1),1))</f>
        <v/>
      </c>
      <c r="GN61" s="116">
        <f>SUM(GJ61:GM61)</f>
        <v/>
      </c>
      <c r="GX61" s="116">
        <f>IFERROR(LOOKUP(2,1/('DRAFT 2'!$D:$D=$B61)*('DRAFT 2'!$A:$A&gt;=DATE(2026,9,1))*('DRAFT 2'!$A:$A&lt;DATE(2026,IF(9=12,9+1,9+1),1)),'DRAFT 2'!$A:$A),"")</f>
        <v/>
      </c>
      <c r="GY61" s="116">
        <f>COUNTIFS('DRAFT 2'!$D:$D,$B61,'DRAFT 2'!$A:$A,"&gt;="&amp;DATE(2026,9,1),'DRAFT 2'!$A:$A,"&lt;="&amp;DATE(2026,9,7))</f>
        <v/>
      </c>
      <c r="GZ61" s="116">
        <f>COUNTIFS('DRAFT 2'!$D:$D,$B61,'DRAFT 2'!$A:$A,"&gt;="&amp;DATE(2026,9,8),'DRAFT 2'!$A:$A,"&lt;="&amp;DATE(2026,9,14))</f>
        <v/>
      </c>
      <c r="HA61" s="116">
        <f>COUNTIFS('DRAFT 2'!$D:$D,$B61,'DRAFT 2'!$A:$A,"&gt;="&amp;DATE(2026,9,15),'DRAFT 2'!$A:$A,"&lt;="&amp;DATE(2026,9,21))</f>
        <v/>
      </c>
      <c r="HB61" s="116">
        <f>COUNTIFS('DRAFT 2'!$D:$D,$B61,'DRAFT 2'!$A:$A,"&gt;="&amp;DATE(2026,9,22),'DRAFT 2'!$A:$A,"&lt;"&amp;DATE(2026,IF(9=12,9+1,9+1),1))</f>
        <v/>
      </c>
      <c r="HC61" s="116">
        <f>SUM(GY61:HB61)</f>
        <v/>
      </c>
      <c r="HN61" s="116">
        <f>IFERROR(LOOKUP(2,1/('DRAFT 2'!$D:$D=$B61)*('DRAFT 2'!$A:$A&gt;=DATE(2026,10,1))*('DRAFT 2'!$A:$A&lt;DATE(2026,IF(10=12,10+1,10+1),1)),'DRAFT 2'!$A:$A),"")</f>
        <v/>
      </c>
      <c r="HO61" s="116">
        <f>COUNTIFS('DRAFT 2'!$D:$D,$B61,'DRAFT 2'!$A:$A,"&gt;="&amp;DATE(2026,10,1),'DRAFT 2'!$A:$A,"&lt;="&amp;DATE(2026,10,7))</f>
        <v/>
      </c>
      <c r="HP61" s="116">
        <f>COUNTIFS('DRAFT 2'!$D:$D,$B61,'DRAFT 2'!$A:$A,"&gt;="&amp;DATE(2026,10,8),'DRAFT 2'!$A:$A,"&lt;="&amp;DATE(2026,10,14))</f>
        <v/>
      </c>
      <c r="HQ61" s="116">
        <f>COUNTIFS('DRAFT 2'!$D:$D,$B61,'DRAFT 2'!$A:$A,"&gt;="&amp;DATE(2026,10,15),'DRAFT 2'!$A:$A,"&lt;="&amp;DATE(2026,10,21))</f>
        <v/>
      </c>
      <c r="HR61" s="116">
        <f>COUNTIFS('DRAFT 2'!$D:$D,$B61,'DRAFT 2'!$A:$A,"&gt;="&amp;DATE(2026,10,22),'DRAFT 2'!$A:$A,"&lt;"&amp;DATE(2026,IF(10=12,10+1,10+1),1))</f>
        <v/>
      </c>
      <c r="HS61" s="116">
        <f>SUM(HO61:HR61)</f>
        <v/>
      </c>
      <c r="IC61" s="116">
        <f>IFERROR(LOOKUP(2,1/('DRAFT 2'!$D:$D=$B61)*('DRAFT 2'!$A:$A&gt;=DATE(2026,11,1))*('DRAFT 2'!$A:$A&lt;DATE(2026,IF(11=12,11+1,11+1),1)),'DRAFT 2'!$A:$A),"")</f>
        <v/>
      </c>
      <c r="ID61" s="116">
        <f>COUNTIFS('DRAFT 2'!$D:$D,$B61,'DRAFT 2'!$A:$A,"&gt;="&amp;DATE(2026,11,1),'DRAFT 2'!$A:$A,"&lt;="&amp;DATE(2026,11,7))</f>
        <v/>
      </c>
      <c r="IE61" s="116">
        <f>COUNTIFS('DRAFT 2'!$D:$D,$B61,'DRAFT 2'!$A:$A,"&gt;="&amp;DATE(2026,11,8),'DRAFT 2'!$A:$A,"&lt;="&amp;DATE(2026,11,14))</f>
        <v/>
      </c>
      <c r="IF61" s="116">
        <f>COUNTIFS('DRAFT 2'!$D:$D,$B61,'DRAFT 2'!$A:$A,"&gt;="&amp;DATE(2026,11,15),'DRAFT 2'!$A:$A,"&lt;="&amp;DATE(2026,11,21))</f>
        <v/>
      </c>
      <c r="IG61" s="116">
        <f>COUNTIFS('DRAFT 2'!$D:$D,$B61,'DRAFT 2'!$A:$A,"&gt;="&amp;DATE(2026,11,22),'DRAFT 2'!$A:$A,"&lt;"&amp;DATE(2026,IF(11=12,11+1,11+1),1))</f>
        <v/>
      </c>
      <c r="IH61" s="116">
        <f>SUM(ID61:IG61)</f>
        <v/>
      </c>
      <c r="IR61" s="116">
        <f>IFERROR(LOOKUP(2,1/('DRAFT 2'!$D:$D=$B61)*('DRAFT 2'!$A:$A&gt;=DATE(2026,12,1))*('DRAFT 2'!$A:$A&lt;DATE(2026,IF(12=12,12+1,12+1),1)),'DRAFT 2'!$A:$A),"")</f>
        <v/>
      </c>
      <c r="IS61" s="116">
        <f>COUNTIFS('DRAFT 2'!$D:$D,$B61,'DRAFT 2'!$A:$A,"&gt;="&amp;DATE(2026,12,1),'DRAFT 2'!$A:$A,"&lt;="&amp;DATE(2026,12,7))</f>
        <v/>
      </c>
      <c r="IT61" s="116">
        <f>COUNTIFS('DRAFT 2'!$D:$D,$B61,'DRAFT 2'!$A:$A,"&gt;="&amp;DATE(2026,12,8),'DRAFT 2'!$A:$A,"&lt;="&amp;DATE(2026,12,14))</f>
        <v/>
      </c>
      <c r="IU61" s="116">
        <f>COUNTIFS('DRAFT 2'!$D:$D,$B61,'DRAFT 2'!$A:$A,"&gt;="&amp;DATE(2026,12,15),'DRAFT 2'!$A:$A,"&lt;="&amp;DATE(2026,12,21))</f>
        <v/>
      </c>
      <c r="IV61" s="116">
        <f>COUNTIFS('DRAFT 2'!$D:$D,$B61,'DRAFT 2'!$A:$A,"&gt;="&amp;DATE(2026,12,22),'DRAFT 2'!$A:$A,"&lt;"&amp;DATE(2026,IF(12=12,12+1,12+1),1))</f>
        <v/>
      </c>
      <c r="IW61" s="116">
        <f>SUM(IS61:IV61)</f>
        <v/>
      </c>
    </row>
    <row r="62">
      <c r="A62" s="116">
        <f>IFERROR(INDEX('DRAFT 1'!$A:$A,MATCH($B62,'DRAFT 1'!$B:$B,0)),"")</f>
        <v/>
      </c>
      <c r="C62" s="116">
        <f>IFERROR(INDEX('DRAFT 1'!$C:$C,MATCH($B62,'DRAFT 1'!$B:$B,0)),"")</f>
        <v/>
      </c>
      <c r="D62" s="116">
        <f>IFERROR(INDEX('DRAFT 1'!$D:$D,MATCH($B62,'DRAFT 1'!$B:$B,0)),"")</f>
        <v/>
      </c>
      <c r="E62" s="116">
        <f>IFERROR(INDEX('DRAFT 1'!$E:$E,MATCH($B62,'DRAFT 1'!$B:$B,0)),"")</f>
        <v/>
      </c>
      <c r="F62" s="116">
        <f>IFERROR(INDEX('DRAFT 1'!$F:$F,MATCH($B62,'DRAFT 1'!$B:$B,0)),"")</f>
        <v/>
      </c>
      <c r="G62" s="116">
        <f>IFERROR(INDEX('DRAFT 1'!$G:$G,MATCH($B62,'DRAFT 1'!$B:$B,0)),"")</f>
        <v/>
      </c>
      <c r="H62" s="116">
        <f>IFERROR(INDEX('DRAFT 1'!$H:$H,MATCH($B62,'DRAFT 1'!$B:$B,0)),"")</f>
        <v/>
      </c>
      <c r="I62" s="116" t="inlineStr">
        <is>
          <t>CIA DA SAUDE</t>
        </is>
      </c>
      <c r="K62" s="116">
        <f>IFERROR(INDEX('DRAFT 1'!$AL:$AL,MATCH($B62,'DRAFT 1'!$B:$B,0)),"")</f>
        <v/>
      </c>
      <c r="L62" s="116">
        <f>IFERROR(INDEX('DRAFT 1'!$J:$J,MATCH($B62,'DRAFT 1'!$B:$B,0)),"")</f>
        <v/>
      </c>
      <c r="M62" s="116">
        <f>IFERROR(INDEX('DRAFT 1'!$K:$K,MATCH($B62,'DRAFT 1'!$B:$B,0)),"")</f>
        <v/>
      </c>
      <c r="N62" s="116" t="inlineStr">
        <is>
          <t>INAT.REC</t>
        </is>
      </c>
      <c r="P62" s="116">
        <f>IFERROR(INDEX('DRAFT 1'!$L:$L,MATCH($B62,'DRAFT 1'!$B:$B,0)),"")</f>
        <v/>
      </c>
      <c r="Q62" s="116">
        <f>IFERROR(INDEX('DRAFT 1'!$M:$M,MATCH($B62,'DRAFT 1'!$B:$B,0)),"")</f>
        <v/>
      </c>
      <c r="R62" s="116">
        <f>IFERROR(INDEX('DRAFT 1'!$N:$N,MATCH($B62,'DRAFT 1'!$B:$B,0)),"")</f>
        <v/>
      </c>
      <c r="S62" s="116">
        <f>IFERROR(INDEX('DRAFT 1'!$O:$O,MATCH($B62,'DRAFT 1'!$B:$B,0)),"")</f>
        <v/>
      </c>
      <c r="T62" s="116">
        <f>IFERROR(INDEX('DRAFT 1'!$P:$P,MATCH($B62,'DRAFT 1'!$B:$B,0)),"")</f>
        <v/>
      </c>
      <c r="U62" s="116">
        <f>IFERROR(INDEX('DRAFT 1'!$Q:$Q,MATCH($B62,'DRAFT 1'!$B:$B,0)),"")</f>
        <v/>
      </c>
      <c r="V62" s="116">
        <f>IFERROR(INDEX('DRAFT 1'!$R:$R,MATCH($B62,'DRAFT 1'!$B:$B,0)),"")</f>
        <v/>
      </c>
      <c r="W62" s="116">
        <f>IFERROR(INDEX('DRAFT 1'!$S:$S,MATCH($B62,'DRAFT 1'!$B:$B,0)),"")</f>
        <v/>
      </c>
      <c r="X62" s="116">
        <f>IFERROR(INDEX('DRAFT 1'!$T:$T,MATCH($B62,'DRAFT 1'!$B:$B,0)),"")</f>
        <v/>
      </c>
      <c r="Z62" s="116">
        <f>IFERROR(INDEX('DRAFT 1'!$U:$U,MATCH($B62,'DRAFT 1'!$B:$B,0)),"")</f>
        <v/>
      </c>
      <c r="AA62" s="116">
        <f>IFERROR(INDEX('DRAFT 1'!$V:$V,MATCH($B62,'DRAFT 1'!$B:$B,0)),"")</f>
        <v/>
      </c>
      <c r="AB62" s="116">
        <f>IFERROR(INDEX('DRAFT 1'!$W:$W,MATCH($B62,'DRAFT 1'!$B:$B,0)),"")</f>
        <v/>
      </c>
      <c r="AC62" s="116">
        <f>IFERROR(INDEX('DRAFT 1'!$X:$X,MATCH($B62,'DRAFT 1'!$B:$B,0)),"")</f>
        <v/>
      </c>
      <c r="AD62" s="116">
        <f>IFERROR(INDEX('DRAFT 1'!$Y:$Y,MATCH($B62,'DRAFT 1'!$B:$B,0)),"")</f>
        <v/>
      </c>
      <c r="AE62" s="116">
        <f>IFERROR(INDEX('DRAFT 1'!$Z:$Z,MATCH($B62,'DRAFT 1'!$B:$B,0)),"")</f>
        <v/>
      </c>
      <c r="AF62" s="116">
        <f>IFERROR(INDEX('DRAFT 1'!$AA:$AA,MATCH($B62,'DRAFT 1'!$B:$B,0)),"")</f>
        <v/>
      </c>
      <c r="AG62" s="116">
        <f>IFERROR(INDEX('DRAFT 1'!$AB:$AB,MATCH($B62,'DRAFT 1'!$B:$B,0)),"")</f>
        <v/>
      </c>
      <c r="AH62" s="116">
        <f>IFERROR(INDEX('DRAFT 1'!$AC:$AC,MATCH($B62,'DRAFT 1'!$B:$B,0)),"")</f>
        <v/>
      </c>
      <c r="AI62" s="116">
        <f>IFERROR(INDEX('DRAFT 1'!$AD:$AD,MATCH($B62,'DRAFT 1'!$B:$B,0)),"")</f>
        <v/>
      </c>
      <c r="AJ62" s="116">
        <f>IFERROR(INDEX('DRAFT 1'!$AE:$AE,MATCH($B62,'DRAFT 1'!$B:$B,0)),"")</f>
        <v/>
      </c>
      <c r="AK62" s="116">
        <f>IFERROR(INDEX('DRAFT 1'!$AG:$AG,MATCH($B62,'DRAFT 1'!$B:$B,0)),"")</f>
        <v/>
      </c>
      <c r="AL62" s="116">
        <f>IFERROR(INDEX('DRAFT 1'!$AH:$AH,MATCH($B62,'DRAFT 1'!$B:$B,0)),"")</f>
        <v/>
      </c>
      <c r="AM62" s="116">
        <f>IFERROR(INDEX('DRAFT 1'!$AI:$AI,MATCH($B62,'DRAFT 1'!$B:$B,0)),"")</f>
        <v/>
      </c>
      <c r="AN62" s="116">
        <f>IFERROR(INDEX('DRAFT 1'!$AJ:$AJ,MATCH($B62,'DRAFT 1'!$B:$B,0)),"")</f>
        <v/>
      </c>
      <c r="AO62" s="116">
        <f>IFERROR(Y62/AN62,0)</f>
        <v/>
      </c>
      <c r="AP62" s="116">
        <f>IFERROR(INDEX('DRAFT 1'!$AK:$AK,MATCH($B62,'DRAFT 1'!$B:$B,0)),"")</f>
        <v/>
      </c>
      <c r="AR62" s="116" t="inlineStr">
        <is>
          <t>PÓS-VENDA</t>
        </is>
      </c>
      <c r="AS62" s="116">
        <f>IFERROR(LOOKUP(2,1/('DRAFT 2'!$D:$D=$B62),'DRAFT 2'!$T:$T),"")</f>
        <v/>
      </c>
      <c r="AT62" s="116">
        <f>IFERROR(LOOKUP(2,1/('DRAFT 2'!$D:$D=$B62),'DRAFT 2'!$A:$A),"")</f>
        <v/>
      </c>
      <c r="AU62" s="116">
        <f>IFERROR(LOOKUP(2,1/('DRAFT 2'!$D:$D=$B62),'DRAFT 2'!$R:$R),"")</f>
        <v/>
      </c>
      <c r="AV62" s="116">
        <f>IFERROR(LOOKUP(2,1/('DRAFT 2'!$D:$D=$B62),'DRAFT 2'!$S:$S),"")</f>
        <v/>
      </c>
      <c r="AW62" s="116" t="inlineStr">
        <is>
          <t>FIDELIZADO</t>
        </is>
      </c>
      <c r="AX62" s="116">
        <f>IFERROR(LOOKUP(2,1/('DRAFT 2'!$D:$D=$B62),'DRAFT 2'!$M:$M),"")</f>
        <v/>
      </c>
      <c r="AY62" s="116">
        <f>IFERROR(LOOKUP(2,1/('DRAFT 2'!$D:$D=$B62),'DRAFT 2'!$K:$K),"")</f>
        <v/>
      </c>
      <c r="BG62" s="116">
        <f>IFERROR(LOOKUP(2,1/('DRAFT 2'!$D:$D=$B62),'DRAFT 2'!$U:$U),"")</f>
        <v/>
      </c>
      <c r="BH62" s="116">
        <f>IFERROR(LOOKUP(2,1/('DRAFT 2'!$D:$D=$B62),'DRAFT 2'!$V:$V),"")</f>
        <v/>
      </c>
      <c r="CE62" s="116">
        <f>IFERROR(AJ62,0)</f>
        <v/>
      </c>
      <c r="CF62" s="116">
        <f>IFERROR(LOOKUP(2,1/('DRAFT 2'!$D:$D=$B62)*('DRAFT 2'!$A:$A&gt;=DATE(2026,1,1))*('DRAFT 2'!$A:$A&lt;DATE(2026,IF(1=12,1+1,1+1),1)),'DRAFT 2'!$A:$A),"")</f>
        <v/>
      </c>
      <c r="CG62" s="116">
        <f>COUNTIFS('DRAFT 2'!$D:$D,$B62,'DRAFT 2'!$A:$A,"&gt;="&amp;DATE(2026,1,1),'DRAFT 2'!$A:$A,"&lt;="&amp;DATE(2026,1,7))</f>
        <v/>
      </c>
      <c r="CH62" s="116">
        <f>COUNTIFS('DRAFT 2'!$D:$D,$B62,'DRAFT 2'!$A:$A,"&gt;="&amp;DATE(2026,1,8),'DRAFT 2'!$A:$A,"&lt;="&amp;DATE(2026,1,14))</f>
        <v/>
      </c>
      <c r="CI62" s="116">
        <f>COUNTIFS('DRAFT 2'!$D:$D,$B62,'DRAFT 2'!$A:$A,"&gt;="&amp;DATE(2026,1,15),'DRAFT 2'!$A:$A,"&lt;="&amp;DATE(2026,1,21))</f>
        <v/>
      </c>
      <c r="CJ62" s="116">
        <f>COUNTIFS('DRAFT 2'!$D:$D,$B62,'DRAFT 2'!$A:$A,"&gt;="&amp;DATE(2026,1,22),'DRAFT 2'!$A:$A,"&lt;"&amp;DATE(2026,IF(1=12,1+1,1+1),1))</f>
        <v/>
      </c>
      <c r="CK62" s="116">
        <f>SUM(CG62:CJ62)</f>
        <v/>
      </c>
      <c r="CT62" s="116" t="n">
        <v>0</v>
      </c>
      <c r="CU62" s="116">
        <f>IFERROR(LOOKUP(2,1/('DRAFT 2'!$D:$D=$B62)*('DRAFT 2'!$A:$A&gt;=DATE(2026,2,1))*('DRAFT 2'!$A:$A&lt;DATE(2026,IF(2=12,2+1,2+1),1)),'DRAFT 2'!$A:$A),"")</f>
        <v/>
      </c>
      <c r="CV62" s="116">
        <f>COUNTIFS('DRAFT 2'!$D:$D,$B62,'DRAFT 2'!$A:$A,"&gt;="&amp;DATE(2026,2,1),'DRAFT 2'!$A:$A,"&lt;="&amp;DATE(2026,2,7))</f>
        <v/>
      </c>
      <c r="CW62" s="116">
        <f>COUNTIFS('DRAFT 2'!$D:$D,$B62,'DRAFT 2'!$A:$A,"&gt;="&amp;DATE(2026,2,8),'DRAFT 2'!$A:$A,"&lt;="&amp;DATE(2026,2,14))</f>
        <v/>
      </c>
      <c r="CX62" s="116">
        <f>COUNTIFS('DRAFT 2'!$D:$D,$B62,'DRAFT 2'!$A:$A,"&gt;="&amp;DATE(2026,2,15),'DRAFT 2'!$A:$A,"&lt;="&amp;DATE(2026,2,21))</f>
        <v/>
      </c>
      <c r="CY62" s="116">
        <f>COUNTIFS('DRAFT 2'!$D:$D,$B62,'DRAFT 2'!$A:$A,"&gt;="&amp;DATE(2026,2,22),'DRAFT 2'!$A:$A,"&lt;"&amp;DATE(2026,IF(2=12,2+1,2+1),1))</f>
        <v/>
      </c>
      <c r="CZ62" s="116">
        <f>SUM(CV62:CY62)</f>
        <v/>
      </c>
      <c r="DJ62" s="116">
        <f>IFERROR(LOOKUP(2,1/('DRAFT 2'!$D:$D=$B62)*('DRAFT 2'!$A:$A&gt;=DATE(2026,3,1))*('DRAFT 2'!$A:$A&lt;DATE(2026,IF(3=12,3+1,3+1),1)),'DRAFT 2'!$A:$A),"")</f>
        <v/>
      </c>
      <c r="DK62" s="116">
        <f>COUNTIFS('DRAFT 2'!$D:$D,$B62,'DRAFT 2'!$A:$A,"&gt;="&amp;DATE(2026,3,1),'DRAFT 2'!$A:$A,"&lt;="&amp;DATE(2026,3,7))</f>
        <v/>
      </c>
      <c r="DL62" s="116">
        <f>COUNTIFS('DRAFT 2'!$D:$D,$B62,'DRAFT 2'!$A:$A,"&gt;="&amp;DATE(2026,3,8),'DRAFT 2'!$A:$A,"&lt;="&amp;DATE(2026,3,14))</f>
        <v/>
      </c>
      <c r="DM62" s="116">
        <f>COUNTIFS('DRAFT 2'!$D:$D,$B62,'DRAFT 2'!$A:$A,"&gt;="&amp;DATE(2026,3,15),'DRAFT 2'!$A:$A,"&lt;="&amp;DATE(2026,3,21))</f>
        <v/>
      </c>
      <c r="DN62" s="116">
        <f>COUNTIFS('DRAFT 2'!$D:$D,$B62,'DRAFT 2'!$A:$A,"&gt;="&amp;DATE(2026,3,22),'DRAFT 2'!$A:$A,"&lt;"&amp;DATE(2026,IF(3=12,3+1,3+1),1))</f>
        <v/>
      </c>
      <c r="DO62" s="116">
        <f>SUM(DK62:DN62)</f>
        <v/>
      </c>
      <c r="DZ62" s="116">
        <f>IFERROR(LOOKUP(2,1/('DRAFT 2'!$D:$D=$B62)*('DRAFT 2'!$A:$A&gt;=DATE(2026,4,1))*('DRAFT 2'!$A:$A&lt;DATE(2026,IF(4=12,4+1,4+1),1)),'DRAFT 2'!$A:$A),"")</f>
        <v/>
      </c>
      <c r="EA62" s="116">
        <f>COUNTIFS('DRAFT 2'!$D:$D,$B62,'DRAFT 2'!$A:$A,"&gt;="&amp;DATE(2026,4,1),'DRAFT 2'!$A:$A,"&lt;="&amp;DATE(2026,4,7))</f>
        <v/>
      </c>
      <c r="EB62" s="116">
        <f>COUNTIFS('DRAFT 2'!$D:$D,$B62,'DRAFT 2'!$A:$A,"&gt;="&amp;DATE(2026,4,8),'DRAFT 2'!$A:$A,"&lt;="&amp;DATE(2026,4,14))</f>
        <v/>
      </c>
      <c r="EC62" s="116">
        <f>COUNTIFS('DRAFT 2'!$D:$D,$B62,'DRAFT 2'!$A:$A,"&gt;="&amp;DATE(2026,4,15),'DRAFT 2'!$A:$A,"&lt;="&amp;DATE(2026,4,21))</f>
        <v/>
      </c>
      <c r="ED62" s="116">
        <f>COUNTIFS('DRAFT 2'!$D:$D,$B62,'DRAFT 2'!$A:$A,"&gt;="&amp;DATE(2026,4,22),'DRAFT 2'!$A:$A,"&lt;"&amp;DATE(2026,IF(4=12,4+1,4+1),1))</f>
        <v/>
      </c>
      <c r="EE62" s="116">
        <f>SUM(EA62:ED62)</f>
        <v/>
      </c>
      <c r="EO62" s="116">
        <f>IFERROR(LOOKUP(2,1/('DRAFT 2'!$D:$D=$B62)*('DRAFT 2'!$A:$A&gt;=DATE(2026,5,1))*('DRAFT 2'!$A:$A&lt;DATE(2026,IF(5=12,5+1,5+1),1)),'DRAFT 2'!$A:$A),"")</f>
        <v/>
      </c>
      <c r="EP62" s="116">
        <f>COUNTIFS('DRAFT 2'!$D:$D,$B62,'DRAFT 2'!$A:$A,"&gt;="&amp;DATE(2026,5,1),'DRAFT 2'!$A:$A,"&lt;="&amp;DATE(2026,5,7))</f>
        <v/>
      </c>
      <c r="EQ62" s="116">
        <f>COUNTIFS('DRAFT 2'!$D:$D,$B62,'DRAFT 2'!$A:$A,"&gt;="&amp;DATE(2026,5,8),'DRAFT 2'!$A:$A,"&lt;="&amp;DATE(2026,5,14))</f>
        <v/>
      </c>
      <c r="ER62" s="116">
        <f>COUNTIFS('DRAFT 2'!$D:$D,$B62,'DRAFT 2'!$A:$A,"&gt;="&amp;DATE(2026,5,15),'DRAFT 2'!$A:$A,"&lt;="&amp;DATE(2026,5,21))</f>
        <v/>
      </c>
      <c r="ES62" s="116">
        <f>COUNTIFS('DRAFT 2'!$D:$D,$B62,'DRAFT 2'!$A:$A,"&gt;="&amp;DATE(2026,5,22),'DRAFT 2'!$A:$A,"&lt;"&amp;DATE(2026,IF(5=12,5+1,5+1),1))</f>
        <v/>
      </c>
      <c r="ET62" s="116">
        <f>SUM(EP62:ES62)</f>
        <v/>
      </c>
      <c r="FD62" s="116">
        <f>IFERROR(LOOKUP(2,1/('DRAFT 2'!$D:$D=$B62)*('DRAFT 2'!$A:$A&gt;=DATE(2026,6,1))*('DRAFT 2'!$A:$A&lt;DATE(2026,IF(6=12,6+1,6+1),1)),'DRAFT 2'!$A:$A),"")</f>
        <v/>
      </c>
      <c r="FE62" s="116">
        <f>COUNTIFS('DRAFT 2'!$D:$D,$B62,'DRAFT 2'!$A:$A,"&gt;="&amp;DATE(2026,6,1),'DRAFT 2'!$A:$A,"&lt;="&amp;DATE(2026,6,7))</f>
        <v/>
      </c>
      <c r="FF62" s="116">
        <f>COUNTIFS('DRAFT 2'!$D:$D,$B62,'DRAFT 2'!$A:$A,"&gt;="&amp;DATE(2026,6,8),'DRAFT 2'!$A:$A,"&lt;="&amp;DATE(2026,6,14))</f>
        <v/>
      </c>
      <c r="FG62" s="116">
        <f>COUNTIFS('DRAFT 2'!$D:$D,$B62,'DRAFT 2'!$A:$A,"&gt;="&amp;DATE(2026,6,15),'DRAFT 2'!$A:$A,"&lt;="&amp;DATE(2026,6,21))</f>
        <v/>
      </c>
      <c r="FH62" s="116">
        <f>COUNTIFS('DRAFT 2'!$D:$D,$B62,'DRAFT 2'!$A:$A,"&gt;="&amp;DATE(2026,6,22),'DRAFT 2'!$A:$A,"&lt;"&amp;DATE(2026,IF(6=12,6+1,6+1),1))</f>
        <v/>
      </c>
      <c r="FI62" s="116">
        <f>SUM(FE62:FH62)</f>
        <v/>
      </c>
      <c r="FT62" s="116">
        <f>IFERROR(LOOKUP(2,1/('DRAFT 2'!$D:$D=$B62)*('DRAFT 2'!$A:$A&gt;=DATE(2026,7,1))*('DRAFT 2'!$A:$A&lt;DATE(2026,IF(7=12,7+1,7+1),1)),'DRAFT 2'!$A:$A),"")</f>
        <v/>
      </c>
      <c r="FU62" s="116">
        <f>COUNTIFS('DRAFT 2'!$D:$D,$B62,'DRAFT 2'!$A:$A,"&gt;="&amp;DATE(2026,7,1),'DRAFT 2'!$A:$A,"&lt;="&amp;DATE(2026,7,7))</f>
        <v/>
      </c>
      <c r="FV62" s="116">
        <f>COUNTIFS('DRAFT 2'!$D:$D,$B62,'DRAFT 2'!$A:$A,"&gt;="&amp;DATE(2026,7,8),'DRAFT 2'!$A:$A,"&lt;="&amp;DATE(2026,7,14))</f>
        <v/>
      </c>
      <c r="FW62" s="116">
        <f>COUNTIFS('DRAFT 2'!$D:$D,$B62,'DRAFT 2'!$A:$A,"&gt;="&amp;DATE(2026,7,15),'DRAFT 2'!$A:$A,"&lt;="&amp;DATE(2026,7,21))</f>
        <v/>
      </c>
      <c r="FX62" s="116">
        <f>COUNTIFS('DRAFT 2'!$D:$D,$B62,'DRAFT 2'!$A:$A,"&gt;="&amp;DATE(2026,7,22),'DRAFT 2'!$A:$A,"&lt;"&amp;DATE(2026,IF(7=12,7+1,7+1),1))</f>
        <v/>
      </c>
      <c r="FY62" s="116">
        <f>SUM(FU62:FX62)</f>
        <v/>
      </c>
      <c r="GI62" s="116">
        <f>IFERROR(LOOKUP(2,1/('DRAFT 2'!$D:$D=$B62)*('DRAFT 2'!$A:$A&gt;=DATE(2026,8,1))*('DRAFT 2'!$A:$A&lt;DATE(2026,IF(8=12,8+1,8+1),1)),'DRAFT 2'!$A:$A),"")</f>
        <v/>
      </c>
      <c r="GJ62" s="116">
        <f>COUNTIFS('DRAFT 2'!$D:$D,$B62,'DRAFT 2'!$A:$A,"&gt;="&amp;DATE(2026,8,1),'DRAFT 2'!$A:$A,"&lt;="&amp;DATE(2026,8,7))</f>
        <v/>
      </c>
      <c r="GK62" s="116">
        <f>COUNTIFS('DRAFT 2'!$D:$D,$B62,'DRAFT 2'!$A:$A,"&gt;="&amp;DATE(2026,8,8),'DRAFT 2'!$A:$A,"&lt;="&amp;DATE(2026,8,14))</f>
        <v/>
      </c>
      <c r="GL62" s="116">
        <f>COUNTIFS('DRAFT 2'!$D:$D,$B62,'DRAFT 2'!$A:$A,"&gt;="&amp;DATE(2026,8,15),'DRAFT 2'!$A:$A,"&lt;="&amp;DATE(2026,8,21))</f>
        <v/>
      </c>
      <c r="GM62" s="116">
        <f>COUNTIFS('DRAFT 2'!$D:$D,$B62,'DRAFT 2'!$A:$A,"&gt;="&amp;DATE(2026,8,22),'DRAFT 2'!$A:$A,"&lt;"&amp;DATE(2026,IF(8=12,8+1,8+1),1))</f>
        <v/>
      </c>
      <c r="GN62" s="116">
        <f>SUM(GJ62:GM62)</f>
        <v/>
      </c>
      <c r="GX62" s="116">
        <f>IFERROR(LOOKUP(2,1/('DRAFT 2'!$D:$D=$B62)*('DRAFT 2'!$A:$A&gt;=DATE(2026,9,1))*('DRAFT 2'!$A:$A&lt;DATE(2026,IF(9=12,9+1,9+1),1)),'DRAFT 2'!$A:$A),"")</f>
        <v/>
      </c>
      <c r="GY62" s="116">
        <f>COUNTIFS('DRAFT 2'!$D:$D,$B62,'DRAFT 2'!$A:$A,"&gt;="&amp;DATE(2026,9,1),'DRAFT 2'!$A:$A,"&lt;="&amp;DATE(2026,9,7))</f>
        <v/>
      </c>
      <c r="GZ62" s="116">
        <f>COUNTIFS('DRAFT 2'!$D:$D,$B62,'DRAFT 2'!$A:$A,"&gt;="&amp;DATE(2026,9,8),'DRAFT 2'!$A:$A,"&lt;="&amp;DATE(2026,9,14))</f>
        <v/>
      </c>
      <c r="HA62" s="116">
        <f>COUNTIFS('DRAFT 2'!$D:$D,$B62,'DRAFT 2'!$A:$A,"&gt;="&amp;DATE(2026,9,15),'DRAFT 2'!$A:$A,"&lt;="&amp;DATE(2026,9,21))</f>
        <v/>
      </c>
      <c r="HB62" s="116">
        <f>COUNTIFS('DRAFT 2'!$D:$D,$B62,'DRAFT 2'!$A:$A,"&gt;="&amp;DATE(2026,9,22),'DRAFT 2'!$A:$A,"&lt;"&amp;DATE(2026,IF(9=12,9+1,9+1),1))</f>
        <v/>
      </c>
      <c r="HC62" s="116">
        <f>SUM(GY62:HB62)</f>
        <v/>
      </c>
      <c r="HN62" s="116">
        <f>IFERROR(LOOKUP(2,1/('DRAFT 2'!$D:$D=$B62)*('DRAFT 2'!$A:$A&gt;=DATE(2026,10,1))*('DRAFT 2'!$A:$A&lt;DATE(2026,IF(10=12,10+1,10+1),1)),'DRAFT 2'!$A:$A),"")</f>
        <v/>
      </c>
      <c r="HO62" s="116">
        <f>COUNTIFS('DRAFT 2'!$D:$D,$B62,'DRAFT 2'!$A:$A,"&gt;="&amp;DATE(2026,10,1),'DRAFT 2'!$A:$A,"&lt;="&amp;DATE(2026,10,7))</f>
        <v/>
      </c>
      <c r="HP62" s="116">
        <f>COUNTIFS('DRAFT 2'!$D:$D,$B62,'DRAFT 2'!$A:$A,"&gt;="&amp;DATE(2026,10,8),'DRAFT 2'!$A:$A,"&lt;="&amp;DATE(2026,10,14))</f>
        <v/>
      </c>
      <c r="HQ62" s="116">
        <f>COUNTIFS('DRAFT 2'!$D:$D,$B62,'DRAFT 2'!$A:$A,"&gt;="&amp;DATE(2026,10,15),'DRAFT 2'!$A:$A,"&lt;="&amp;DATE(2026,10,21))</f>
        <v/>
      </c>
      <c r="HR62" s="116">
        <f>COUNTIFS('DRAFT 2'!$D:$D,$B62,'DRAFT 2'!$A:$A,"&gt;="&amp;DATE(2026,10,22),'DRAFT 2'!$A:$A,"&lt;"&amp;DATE(2026,IF(10=12,10+1,10+1),1))</f>
        <v/>
      </c>
      <c r="HS62" s="116">
        <f>SUM(HO62:HR62)</f>
        <v/>
      </c>
      <c r="IC62" s="116">
        <f>IFERROR(LOOKUP(2,1/('DRAFT 2'!$D:$D=$B62)*('DRAFT 2'!$A:$A&gt;=DATE(2026,11,1))*('DRAFT 2'!$A:$A&lt;DATE(2026,IF(11=12,11+1,11+1),1)),'DRAFT 2'!$A:$A),"")</f>
        <v/>
      </c>
      <c r="ID62" s="116">
        <f>COUNTIFS('DRAFT 2'!$D:$D,$B62,'DRAFT 2'!$A:$A,"&gt;="&amp;DATE(2026,11,1),'DRAFT 2'!$A:$A,"&lt;="&amp;DATE(2026,11,7))</f>
        <v/>
      </c>
      <c r="IE62" s="116">
        <f>COUNTIFS('DRAFT 2'!$D:$D,$B62,'DRAFT 2'!$A:$A,"&gt;="&amp;DATE(2026,11,8),'DRAFT 2'!$A:$A,"&lt;="&amp;DATE(2026,11,14))</f>
        <v/>
      </c>
      <c r="IF62" s="116">
        <f>COUNTIFS('DRAFT 2'!$D:$D,$B62,'DRAFT 2'!$A:$A,"&gt;="&amp;DATE(2026,11,15),'DRAFT 2'!$A:$A,"&lt;="&amp;DATE(2026,11,21))</f>
        <v/>
      </c>
      <c r="IG62" s="116">
        <f>COUNTIFS('DRAFT 2'!$D:$D,$B62,'DRAFT 2'!$A:$A,"&gt;="&amp;DATE(2026,11,22),'DRAFT 2'!$A:$A,"&lt;"&amp;DATE(2026,IF(11=12,11+1,11+1),1))</f>
        <v/>
      </c>
      <c r="IH62" s="116">
        <f>SUM(ID62:IG62)</f>
        <v/>
      </c>
      <c r="IR62" s="116">
        <f>IFERROR(LOOKUP(2,1/('DRAFT 2'!$D:$D=$B62)*('DRAFT 2'!$A:$A&gt;=DATE(2026,12,1))*('DRAFT 2'!$A:$A&lt;DATE(2026,IF(12=12,12+1,12+1),1)),'DRAFT 2'!$A:$A),"")</f>
        <v/>
      </c>
      <c r="IS62" s="116">
        <f>COUNTIFS('DRAFT 2'!$D:$D,$B62,'DRAFT 2'!$A:$A,"&gt;="&amp;DATE(2026,12,1),'DRAFT 2'!$A:$A,"&lt;="&amp;DATE(2026,12,7))</f>
        <v/>
      </c>
      <c r="IT62" s="116">
        <f>COUNTIFS('DRAFT 2'!$D:$D,$B62,'DRAFT 2'!$A:$A,"&gt;="&amp;DATE(2026,12,8),'DRAFT 2'!$A:$A,"&lt;="&amp;DATE(2026,12,14))</f>
        <v/>
      </c>
      <c r="IU62" s="116">
        <f>COUNTIFS('DRAFT 2'!$D:$D,$B62,'DRAFT 2'!$A:$A,"&gt;="&amp;DATE(2026,12,15),'DRAFT 2'!$A:$A,"&lt;="&amp;DATE(2026,12,21))</f>
        <v/>
      </c>
      <c r="IV62" s="116">
        <f>COUNTIFS('DRAFT 2'!$D:$D,$B62,'DRAFT 2'!$A:$A,"&gt;="&amp;DATE(2026,12,22),'DRAFT 2'!$A:$A,"&lt;"&amp;DATE(2026,IF(12=12,12+1,12+1),1))</f>
        <v/>
      </c>
      <c r="IW62" s="116">
        <f>SUM(IS62:IV62)</f>
        <v/>
      </c>
    </row>
    <row r="63">
      <c r="A63" s="116">
        <f>IFERROR(INDEX('DRAFT 1'!$A:$A,MATCH($B63,'DRAFT 1'!$B:$B,0)),"")</f>
        <v/>
      </c>
      <c r="C63" s="116">
        <f>IFERROR(INDEX('DRAFT 1'!$C:$C,MATCH($B63,'DRAFT 1'!$B:$B,0)),"")</f>
        <v/>
      </c>
      <c r="D63" s="116">
        <f>IFERROR(INDEX('DRAFT 1'!$D:$D,MATCH($B63,'DRAFT 1'!$B:$B,0)),"")</f>
        <v/>
      </c>
      <c r="E63" s="116">
        <f>IFERROR(INDEX('DRAFT 1'!$E:$E,MATCH($B63,'DRAFT 1'!$B:$B,0)),"")</f>
        <v/>
      </c>
      <c r="F63" s="116">
        <f>IFERROR(INDEX('DRAFT 1'!$F:$F,MATCH($B63,'DRAFT 1'!$B:$B,0)),"")</f>
        <v/>
      </c>
      <c r="G63" s="116">
        <f>IFERROR(INDEX('DRAFT 1'!$G:$G,MATCH($B63,'DRAFT 1'!$B:$B,0)),"")</f>
        <v/>
      </c>
      <c r="H63" s="116">
        <f>IFERROR(INDEX('DRAFT 1'!$H:$H,MATCH($B63,'DRAFT 1'!$B:$B,0)),"")</f>
        <v/>
      </c>
      <c r="I63" s="116" t="inlineStr">
        <is>
          <t>TUDO EM GRAOS</t>
        </is>
      </c>
      <c r="K63" s="116">
        <f>IFERROR(INDEX('DRAFT 1'!$AL:$AL,MATCH($B63,'DRAFT 1'!$B:$B,0)),"")</f>
        <v/>
      </c>
      <c r="L63" s="116">
        <f>IFERROR(INDEX('DRAFT 1'!$J:$J,MATCH($B63,'DRAFT 1'!$B:$B,0)),"")</f>
        <v/>
      </c>
      <c r="M63" s="116">
        <f>IFERROR(INDEX('DRAFT 1'!$K:$K,MATCH($B63,'DRAFT 1'!$B:$B,0)),"")</f>
        <v/>
      </c>
      <c r="N63" s="116" t="inlineStr">
        <is>
          <t>PROSPECT</t>
        </is>
      </c>
      <c r="P63" s="116">
        <f>IFERROR(INDEX('DRAFT 1'!$L:$L,MATCH($B63,'DRAFT 1'!$B:$B,0)),"")</f>
        <v/>
      </c>
      <c r="Q63" s="116">
        <f>IFERROR(INDEX('DRAFT 1'!$M:$M,MATCH($B63,'DRAFT 1'!$B:$B,0)),"")</f>
        <v/>
      </c>
      <c r="R63" s="116">
        <f>IFERROR(INDEX('DRAFT 1'!$N:$N,MATCH($B63,'DRAFT 1'!$B:$B,0)),"")</f>
        <v/>
      </c>
      <c r="S63" s="116">
        <f>IFERROR(INDEX('DRAFT 1'!$O:$O,MATCH($B63,'DRAFT 1'!$B:$B,0)),"")</f>
        <v/>
      </c>
      <c r="T63" s="116">
        <f>IFERROR(INDEX('DRAFT 1'!$P:$P,MATCH($B63,'DRAFT 1'!$B:$B,0)),"")</f>
        <v/>
      </c>
      <c r="U63" s="116">
        <f>IFERROR(INDEX('DRAFT 1'!$Q:$Q,MATCH($B63,'DRAFT 1'!$B:$B,0)),"")</f>
        <v/>
      </c>
      <c r="V63" s="116">
        <f>IFERROR(INDEX('DRAFT 1'!$R:$R,MATCH($B63,'DRAFT 1'!$B:$B,0)),"")</f>
        <v/>
      </c>
      <c r="W63" s="116">
        <f>IFERROR(INDEX('DRAFT 1'!$S:$S,MATCH($B63,'DRAFT 1'!$B:$B,0)),"")</f>
        <v/>
      </c>
      <c r="X63" s="116">
        <f>IFERROR(INDEX('DRAFT 1'!$T:$T,MATCH($B63,'DRAFT 1'!$B:$B,0)),"")</f>
        <v/>
      </c>
      <c r="Z63" s="116">
        <f>IFERROR(INDEX('DRAFT 1'!$U:$U,MATCH($B63,'DRAFT 1'!$B:$B,0)),"")</f>
        <v/>
      </c>
      <c r="AA63" s="116">
        <f>IFERROR(INDEX('DRAFT 1'!$V:$V,MATCH($B63,'DRAFT 1'!$B:$B,0)),"")</f>
        <v/>
      </c>
      <c r="AB63" s="116">
        <f>IFERROR(INDEX('DRAFT 1'!$W:$W,MATCH($B63,'DRAFT 1'!$B:$B,0)),"")</f>
        <v/>
      </c>
      <c r="AC63" s="116">
        <f>IFERROR(INDEX('DRAFT 1'!$X:$X,MATCH($B63,'DRAFT 1'!$B:$B,0)),"")</f>
        <v/>
      </c>
      <c r="AD63" s="116">
        <f>IFERROR(INDEX('DRAFT 1'!$Y:$Y,MATCH($B63,'DRAFT 1'!$B:$B,0)),"")</f>
        <v/>
      </c>
      <c r="AE63" s="116">
        <f>IFERROR(INDEX('DRAFT 1'!$Z:$Z,MATCH($B63,'DRAFT 1'!$B:$B,0)),"")</f>
        <v/>
      </c>
      <c r="AF63" s="116">
        <f>IFERROR(INDEX('DRAFT 1'!$AA:$AA,MATCH($B63,'DRAFT 1'!$B:$B,0)),"")</f>
        <v/>
      </c>
      <c r="AG63" s="116">
        <f>IFERROR(INDEX('DRAFT 1'!$AB:$AB,MATCH($B63,'DRAFT 1'!$B:$B,0)),"")</f>
        <v/>
      </c>
      <c r="AH63" s="116">
        <f>IFERROR(INDEX('DRAFT 1'!$AC:$AC,MATCH($B63,'DRAFT 1'!$B:$B,0)),"")</f>
        <v/>
      </c>
      <c r="AI63" s="116">
        <f>IFERROR(INDEX('DRAFT 1'!$AD:$AD,MATCH($B63,'DRAFT 1'!$B:$B,0)),"")</f>
        <v/>
      </c>
      <c r="AJ63" s="116">
        <f>IFERROR(INDEX('DRAFT 1'!$AE:$AE,MATCH($B63,'DRAFT 1'!$B:$B,0)),"")</f>
        <v/>
      </c>
      <c r="AK63" s="116">
        <f>IFERROR(INDEX('DRAFT 1'!$AG:$AG,MATCH($B63,'DRAFT 1'!$B:$B,0)),"")</f>
        <v/>
      </c>
      <c r="AL63" s="116">
        <f>IFERROR(INDEX('DRAFT 1'!$AH:$AH,MATCH($B63,'DRAFT 1'!$B:$B,0)),"")</f>
        <v/>
      </c>
      <c r="AM63" s="116">
        <f>IFERROR(INDEX('DRAFT 1'!$AI:$AI,MATCH($B63,'DRAFT 1'!$B:$B,0)),"")</f>
        <v/>
      </c>
      <c r="AN63" s="116">
        <f>IFERROR(INDEX('DRAFT 1'!$AJ:$AJ,MATCH($B63,'DRAFT 1'!$B:$B,0)),"")</f>
        <v/>
      </c>
      <c r="AO63" s="116">
        <f>IFERROR(Y63/AN63,0)</f>
        <v/>
      </c>
      <c r="AP63" s="116">
        <f>IFERROR(INDEX('DRAFT 1'!$AK:$AK,MATCH($B63,'DRAFT 1'!$B:$B,0)),"")</f>
        <v/>
      </c>
      <c r="AR63" s="116" t="inlineStr">
        <is>
          <t>PÓS-VENDA</t>
        </is>
      </c>
      <c r="AS63" s="116">
        <f>IFERROR(LOOKUP(2,1/('DRAFT 2'!$D:$D=$B63),'DRAFT 2'!$T:$T),"")</f>
        <v/>
      </c>
      <c r="AT63" s="116">
        <f>IFERROR(LOOKUP(2,1/('DRAFT 2'!$D:$D=$B63),'DRAFT 2'!$A:$A),"")</f>
        <v/>
      </c>
      <c r="AU63" s="116">
        <f>IFERROR(LOOKUP(2,1/('DRAFT 2'!$D:$D=$B63),'DRAFT 2'!$R:$R),"")</f>
        <v/>
      </c>
      <c r="AV63" s="116">
        <f>IFERROR(LOOKUP(2,1/('DRAFT 2'!$D:$D=$B63),'DRAFT 2'!$S:$S),"")</f>
        <v/>
      </c>
      <c r="AW63" s="116" t="inlineStr">
        <is>
          <t>NOVO</t>
        </is>
      </c>
      <c r="AX63" s="116">
        <f>IFERROR(LOOKUP(2,1/('DRAFT 2'!$D:$D=$B63),'DRAFT 2'!$M:$M),"")</f>
        <v/>
      </c>
      <c r="AY63" s="116">
        <f>IFERROR(LOOKUP(2,1/('DRAFT 2'!$D:$D=$B63),'DRAFT 2'!$K:$K),"")</f>
        <v/>
      </c>
      <c r="BG63" s="116">
        <f>IFERROR(LOOKUP(2,1/('DRAFT 2'!$D:$D=$B63),'DRAFT 2'!$U:$U),"")</f>
        <v/>
      </c>
      <c r="BH63" s="116">
        <f>IFERROR(LOOKUP(2,1/('DRAFT 2'!$D:$D=$B63),'DRAFT 2'!$V:$V),"")</f>
        <v/>
      </c>
      <c r="CE63" s="116">
        <f>IFERROR(AJ63,0)</f>
        <v/>
      </c>
      <c r="CF63" s="116">
        <f>IFERROR(LOOKUP(2,1/('DRAFT 2'!$D:$D=$B63)*('DRAFT 2'!$A:$A&gt;=DATE(2026,1,1))*('DRAFT 2'!$A:$A&lt;DATE(2026,IF(1=12,1+1,1+1),1)),'DRAFT 2'!$A:$A),"")</f>
        <v/>
      </c>
      <c r="CG63" s="116">
        <f>COUNTIFS('DRAFT 2'!$D:$D,$B63,'DRAFT 2'!$A:$A,"&gt;="&amp;DATE(2026,1,1),'DRAFT 2'!$A:$A,"&lt;="&amp;DATE(2026,1,7))</f>
        <v/>
      </c>
      <c r="CH63" s="116">
        <f>COUNTIFS('DRAFT 2'!$D:$D,$B63,'DRAFT 2'!$A:$A,"&gt;="&amp;DATE(2026,1,8),'DRAFT 2'!$A:$A,"&lt;="&amp;DATE(2026,1,14))</f>
        <v/>
      </c>
      <c r="CI63" s="116">
        <f>COUNTIFS('DRAFT 2'!$D:$D,$B63,'DRAFT 2'!$A:$A,"&gt;="&amp;DATE(2026,1,15),'DRAFT 2'!$A:$A,"&lt;="&amp;DATE(2026,1,21))</f>
        <v/>
      </c>
      <c r="CJ63" s="116">
        <f>COUNTIFS('DRAFT 2'!$D:$D,$B63,'DRAFT 2'!$A:$A,"&gt;="&amp;DATE(2026,1,22),'DRAFT 2'!$A:$A,"&lt;"&amp;DATE(2026,IF(1=12,1+1,1+1),1))</f>
        <v/>
      </c>
      <c r="CK63" s="116">
        <f>SUM(CG63:CJ63)</f>
        <v/>
      </c>
      <c r="CT63" s="116" t="n">
        <v>0</v>
      </c>
      <c r="CU63" s="116">
        <f>IFERROR(LOOKUP(2,1/('DRAFT 2'!$D:$D=$B63)*('DRAFT 2'!$A:$A&gt;=DATE(2026,2,1))*('DRAFT 2'!$A:$A&lt;DATE(2026,IF(2=12,2+1,2+1),1)),'DRAFT 2'!$A:$A),"")</f>
        <v/>
      </c>
      <c r="CV63" s="116">
        <f>COUNTIFS('DRAFT 2'!$D:$D,$B63,'DRAFT 2'!$A:$A,"&gt;="&amp;DATE(2026,2,1),'DRAFT 2'!$A:$A,"&lt;="&amp;DATE(2026,2,7))</f>
        <v/>
      </c>
      <c r="CW63" s="116">
        <f>COUNTIFS('DRAFT 2'!$D:$D,$B63,'DRAFT 2'!$A:$A,"&gt;="&amp;DATE(2026,2,8),'DRAFT 2'!$A:$A,"&lt;="&amp;DATE(2026,2,14))</f>
        <v/>
      </c>
      <c r="CX63" s="116">
        <f>COUNTIFS('DRAFT 2'!$D:$D,$B63,'DRAFT 2'!$A:$A,"&gt;="&amp;DATE(2026,2,15),'DRAFT 2'!$A:$A,"&lt;="&amp;DATE(2026,2,21))</f>
        <v/>
      </c>
      <c r="CY63" s="116">
        <f>COUNTIFS('DRAFT 2'!$D:$D,$B63,'DRAFT 2'!$A:$A,"&gt;="&amp;DATE(2026,2,22),'DRAFT 2'!$A:$A,"&lt;"&amp;DATE(2026,IF(2=12,2+1,2+1),1))</f>
        <v/>
      </c>
      <c r="CZ63" s="116">
        <f>SUM(CV63:CY63)</f>
        <v/>
      </c>
      <c r="DJ63" s="116">
        <f>IFERROR(LOOKUP(2,1/('DRAFT 2'!$D:$D=$B63)*('DRAFT 2'!$A:$A&gt;=DATE(2026,3,1))*('DRAFT 2'!$A:$A&lt;DATE(2026,IF(3=12,3+1,3+1),1)),'DRAFT 2'!$A:$A),"")</f>
        <v/>
      </c>
      <c r="DK63" s="116">
        <f>COUNTIFS('DRAFT 2'!$D:$D,$B63,'DRAFT 2'!$A:$A,"&gt;="&amp;DATE(2026,3,1),'DRAFT 2'!$A:$A,"&lt;="&amp;DATE(2026,3,7))</f>
        <v/>
      </c>
      <c r="DL63" s="116">
        <f>COUNTIFS('DRAFT 2'!$D:$D,$B63,'DRAFT 2'!$A:$A,"&gt;="&amp;DATE(2026,3,8),'DRAFT 2'!$A:$A,"&lt;="&amp;DATE(2026,3,14))</f>
        <v/>
      </c>
      <c r="DM63" s="116">
        <f>COUNTIFS('DRAFT 2'!$D:$D,$B63,'DRAFT 2'!$A:$A,"&gt;="&amp;DATE(2026,3,15),'DRAFT 2'!$A:$A,"&lt;="&amp;DATE(2026,3,21))</f>
        <v/>
      </c>
      <c r="DN63" s="116">
        <f>COUNTIFS('DRAFT 2'!$D:$D,$B63,'DRAFT 2'!$A:$A,"&gt;="&amp;DATE(2026,3,22),'DRAFT 2'!$A:$A,"&lt;"&amp;DATE(2026,IF(3=12,3+1,3+1),1))</f>
        <v/>
      </c>
      <c r="DO63" s="116">
        <f>SUM(DK63:DN63)</f>
        <v/>
      </c>
      <c r="DZ63" s="116">
        <f>IFERROR(LOOKUP(2,1/('DRAFT 2'!$D:$D=$B63)*('DRAFT 2'!$A:$A&gt;=DATE(2026,4,1))*('DRAFT 2'!$A:$A&lt;DATE(2026,IF(4=12,4+1,4+1),1)),'DRAFT 2'!$A:$A),"")</f>
        <v/>
      </c>
      <c r="EA63" s="116">
        <f>COUNTIFS('DRAFT 2'!$D:$D,$B63,'DRAFT 2'!$A:$A,"&gt;="&amp;DATE(2026,4,1),'DRAFT 2'!$A:$A,"&lt;="&amp;DATE(2026,4,7))</f>
        <v/>
      </c>
      <c r="EB63" s="116">
        <f>COUNTIFS('DRAFT 2'!$D:$D,$B63,'DRAFT 2'!$A:$A,"&gt;="&amp;DATE(2026,4,8),'DRAFT 2'!$A:$A,"&lt;="&amp;DATE(2026,4,14))</f>
        <v/>
      </c>
      <c r="EC63" s="116">
        <f>COUNTIFS('DRAFT 2'!$D:$D,$B63,'DRAFT 2'!$A:$A,"&gt;="&amp;DATE(2026,4,15),'DRAFT 2'!$A:$A,"&lt;="&amp;DATE(2026,4,21))</f>
        <v/>
      </c>
      <c r="ED63" s="116">
        <f>COUNTIFS('DRAFT 2'!$D:$D,$B63,'DRAFT 2'!$A:$A,"&gt;="&amp;DATE(2026,4,22),'DRAFT 2'!$A:$A,"&lt;"&amp;DATE(2026,IF(4=12,4+1,4+1),1))</f>
        <v/>
      </c>
      <c r="EE63" s="116">
        <f>SUM(EA63:ED63)</f>
        <v/>
      </c>
      <c r="EO63" s="116">
        <f>IFERROR(LOOKUP(2,1/('DRAFT 2'!$D:$D=$B63)*('DRAFT 2'!$A:$A&gt;=DATE(2026,5,1))*('DRAFT 2'!$A:$A&lt;DATE(2026,IF(5=12,5+1,5+1),1)),'DRAFT 2'!$A:$A),"")</f>
        <v/>
      </c>
      <c r="EP63" s="116">
        <f>COUNTIFS('DRAFT 2'!$D:$D,$B63,'DRAFT 2'!$A:$A,"&gt;="&amp;DATE(2026,5,1),'DRAFT 2'!$A:$A,"&lt;="&amp;DATE(2026,5,7))</f>
        <v/>
      </c>
      <c r="EQ63" s="116">
        <f>COUNTIFS('DRAFT 2'!$D:$D,$B63,'DRAFT 2'!$A:$A,"&gt;="&amp;DATE(2026,5,8),'DRAFT 2'!$A:$A,"&lt;="&amp;DATE(2026,5,14))</f>
        <v/>
      </c>
      <c r="ER63" s="116">
        <f>COUNTIFS('DRAFT 2'!$D:$D,$B63,'DRAFT 2'!$A:$A,"&gt;="&amp;DATE(2026,5,15),'DRAFT 2'!$A:$A,"&lt;="&amp;DATE(2026,5,21))</f>
        <v/>
      </c>
      <c r="ES63" s="116">
        <f>COUNTIFS('DRAFT 2'!$D:$D,$B63,'DRAFT 2'!$A:$A,"&gt;="&amp;DATE(2026,5,22),'DRAFT 2'!$A:$A,"&lt;"&amp;DATE(2026,IF(5=12,5+1,5+1),1))</f>
        <v/>
      </c>
      <c r="ET63" s="116">
        <f>SUM(EP63:ES63)</f>
        <v/>
      </c>
      <c r="FD63" s="116">
        <f>IFERROR(LOOKUP(2,1/('DRAFT 2'!$D:$D=$B63)*('DRAFT 2'!$A:$A&gt;=DATE(2026,6,1))*('DRAFT 2'!$A:$A&lt;DATE(2026,IF(6=12,6+1,6+1),1)),'DRAFT 2'!$A:$A),"")</f>
        <v/>
      </c>
      <c r="FE63" s="116">
        <f>COUNTIFS('DRAFT 2'!$D:$D,$B63,'DRAFT 2'!$A:$A,"&gt;="&amp;DATE(2026,6,1),'DRAFT 2'!$A:$A,"&lt;="&amp;DATE(2026,6,7))</f>
        <v/>
      </c>
      <c r="FF63" s="116">
        <f>COUNTIFS('DRAFT 2'!$D:$D,$B63,'DRAFT 2'!$A:$A,"&gt;="&amp;DATE(2026,6,8),'DRAFT 2'!$A:$A,"&lt;="&amp;DATE(2026,6,14))</f>
        <v/>
      </c>
      <c r="FG63" s="116">
        <f>COUNTIFS('DRAFT 2'!$D:$D,$B63,'DRAFT 2'!$A:$A,"&gt;="&amp;DATE(2026,6,15),'DRAFT 2'!$A:$A,"&lt;="&amp;DATE(2026,6,21))</f>
        <v/>
      </c>
      <c r="FH63" s="116">
        <f>COUNTIFS('DRAFT 2'!$D:$D,$B63,'DRAFT 2'!$A:$A,"&gt;="&amp;DATE(2026,6,22),'DRAFT 2'!$A:$A,"&lt;"&amp;DATE(2026,IF(6=12,6+1,6+1),1))</f>
        <v/>
      </c>
      <c r="FI63" s="116">
        <f>SUM(FE63:FH63)</f>
        <v/>
      </c>
      <c r="FT63" s="116">
        <f>IFERROR(LOOKUP(2,1/('DRAFT 2'!$D:$D=$B63)*('DRAFT 2'!$A:$A&gt;=DATE(2026,7,1))*('DRAFT 2'!$A:$A&lt;DATE(2026,IF(7=12,7+1,7+1),1)),'DRAFT 2'!$A:$A),"")</f>
        <v/>
      </c>
      <c r="FU63" s="116">
        <f>COUNTIFS('DRAFT 2'!$D:$D,$B63,'DRAFT 2'!$A:$A,"&gt;="&amp;DATE(2026,7,1),'DRAFT 2'!$A:$A,"&lt;="&amp;DATE(2026,7,7))</f>
        <v/>
      </c>
      <c r="FV63" s="116">
        <f>COUNTIFS('DRAFT 2'!$D:$D,$B63,'DRAFT 2'!$A:$A,"&gt;="&amp;DATE(2026,7,8),'DRAFT 2'!$A:$A,"&lt;="&amp;DATE(2026,7,14))</f>
        <v/>
      </c>
      <c r="FW63" s="116">
        <f>COUNTIFS('DRAFT 2'!$D:$D,$B63,'DRAFT 2'!$A:$A,"&gt;="&amp;DATE(2026,7,15),'DRAFT 2'!$A:$A,"&lt;="&amp;DATE(2026,7,21))</f>
        <v/>
      </c>
      <c r="FX63" s="116">
        <f>COUNTIFS('DRAFT 2'!$D:$D,$B63,'DRAFT 2'!$A:$A,"&gt;="&amp;DATE(2026,7,22),'DRAFT 2'!$A:$A,"&lt;"&amp;DATE(2026,IF(7=12,7+1,7+1),1))</f>
        <v/>
      </c>
      <c r="FY63" s="116">
        <f>SUM(FU63:FX63)</f>
        <v/>
      </c>
      <c r="GI63" s="116">
        <f>IFERROR(LOOKUP(2,1/('DRAFT 2'!$D:$D=$B63)*('DRAFT 2'!$A:$A&gt;=DATE(2026,8,1))*('DRAFT 2'!$A:$A&lt;DATE(2026,IF(8=12,8+1,8+1),1)),'DRAFT 2'!$A:$A),"")</f>
        <v/>
      </c>
      <c r="GJ63" s="116">
        <f>COUNTIFS('DRAFT 2'!$D:$D,$B63,'DRAFT 2'!$A:$A,"&gt;="&amp;DATE(2026,8,1),'DRAFT 2'!$A:$A,"&lt;="&amp;DATE(2026,8,7))</f>
        <v/>
      </c>
      <c r="GK63" s="116">
        <f>COUNTIFS('DRAFT 2'!$D:$D,$B63,'DRAFT 2'!$A:$A,"&gt;="&amp;DATE(2026,8,8),'DRAFT 2'!$A:$A,"&lt;="&amp;DATE(2026,8,14))</f>
        <v/>
      </c>
      <c r="GL63" s="116">
        <f>COUNTIFS('DRAFT 2'!$D:$D,$B63,'DRAFT 2'!$A:$A,"&gt;="&amp;DATE(2026,8,15),'DRAFT 2'!$A:$A,"&lt;="&amp;DATE(2026,8,21))</f>
        <v/>
      </c>
      <c r="GM63" s="116">
        <f>COUNTIFS('DRAFT 2'!$D:$D,$B63,'DRAFT 2'!$A:$A,"&gt;="&amp;DATE(2026,8,22),'DRAFT 2'!$A:$A,"&lt;"&amp;DATE(2026,IF(8=12,8+1,8+1),1))</f>
        <v/>
      </c>
      <c r="GN63" s="116">
        <f>SUM(GJ63:GM63)</f>
        <v/>
      </c>
      <c r="GX63" s="116">
        <f>IFERROR(LOOKUP(2,1/('DRAFT 2'!$D:$D=$B63)*('DRAFT 2'!$A:$A&gt;=DATE(2026,9,1))*('DRAFT 2'!$A:$A&lt;DATE(2026,IF(9=12,9+1,9+1),1)),'DRAFT 2'!$A:$A),"")</f>
        <v/>
      </c>
      <c r="GY63" s="116">
        <f>COUNTIFS('DRAFT 2'!$D:$D,$B63,'DRAFT 2'!$A:$A,"&gt;="&amp;DATE(2026,9,1),'DRAFT 2'!$A:$A,"&lt;="&amp;DATE(2026,9,7))</f>
        <v/>
      </c>
      <c r="GZ63" s="116">
        <f>COUNTIFS('DRAFT 2'!$D:$D,$B63,'DRAFT 2'!$A:$A,"&gt;="&amp;DATE(2026,9,8),'DRAFT 2'!$A:$A,"&lt;="&amp;DATE(2026,9,14))</f>
        <v/>
      </c>
      <c r="HA63" s="116">
        <f>COUNTIFS('DRAFT 2'!$D:$D,$B63,'DRAFT 2'!$A:$A,"&gt;="&amp;DATE(2026,9,15),'DRAFT 2'!$A:$A,"&lt;="&amp;DATE(2026,9,21))</f>
        <v/>
      </c>
      <c r="HB63" s="116">
        <f>COUNTIFS('DRAFT 2'!$D:$D,$B63,'DRAFT 2'!$A:$A,"&gt;="&amp;DATE(2026,9,22),'DRAFT 2'!$A:$A,"&lt;"&amp;DATE(2026,IF(9=12,9+1,9+1),1))</f>
        <v/>
      </c>
      <c r="HC63" s="116">
        <f>SUM(GY63:HB63)</f>
        <v/>
      </c>
      <c r="HN63" s="116">
        <f>IFERROR(LOOKUP(2,1/('DRAFT 2'!$D:$D=$B63)*('DRAFT 2'!$A:$A&gt;=DATE(2026,10,1))*('DRAFT 2'!$A:$A&lt;DATE(2026,IF(10=12,10+1,10+1),1)),'DRAFT 2'!$A:$A),"")</f>
        <v/>
      </c>
      <c r="HO63" s="116">
        <f>COUNTIFS('DRAFT 2'!$D:$D,$B63,'DRAFT 2'!$A:$A,"&gt;="&amp;DATE(2026,10,1),'DRAFT 2'!$A:$A,"&lt;="&amp;DATE(2026,10,7))</f>
        <v/>
      </c>
      <c r="HP63" s="116">
        <f>COUNTIFS('DRAFT 2'!$D:$D,$B63,'DRAFT 2'!$A:$A,"&gt;="&amp;DATE(2026,10,8),'DRAFT 2'!$A:$A,"&lt;="&amp;DATE(2026,10,14))</f>
        <v/>
      </c>
      <c r="HQ63" s="116">
        <f>COUNTIFS('DRAFT 2'!$D:$D,$B63,'DRAFT 2'!$A:$A,"&gt;="&amp;DATE(2026,10,15),'DRAFT 2'!$A:$A,"&lt;="&amp;DATE(2026,10,21))</f>
        <v/>
      </c>
      <c r="HR63" s="116">
        <f>COUNTIFS('DRAFT 2'!$D:$D,$B63,'DRAFT 2'!$A:$A,"&gt;="&amp;DATE(2026,10,22),'DRAFT 2'!$A:$A,"&lt;"&amp;DATE(2026,IF(10=12,10+1,10+1),1))</f>
        <v/>
      </c>
      <c r="HS63" s="116">
        <f>SUM(HO63:HR63)</f>
        <v/>
      </c>
      <c r="IC63" s="116">
        <f>IFERROR(LOOKUP(2,1/('DRAFT 2'!$D:$D=$B63)*('DRAFT 2'!$A:$A&gt;=DATE(2026,11,1))*('DRAFT 2'!$A:$A&lt;DATE(2026,IF(11=12,11+1,11+1),1)),'DRAFT 2'!$A:$A),"")</f>
        <v/>
      </c>
      <c r="ID63" s="116">
        <f>COUNTIFS('DRAFT 2'!$D:$D,$B63,'DRAFT 2'!$A:$A,"&gt;="&amp;DATE(2026,11,1),'DRAFT 2'!$A:$A,"&lt;="&amp;DATE(2026,11,7))</f>
        <v/>
      </c>
      <c r="IE63" s="116">
        <f>COUNTIFS('DRAFT 2'!$D:$D,$B63,'DRAFT 2'!$A:$A,"&gt;="&amp;DATE(2026,11,8),'DRAFT 2'!$A:$A,"&lt;="&amp;DATE(2026,11,14))</f>
        <v/>
      </c>
      <c r="IF63" s="116">
        <f>COUNTIFS('DRAFT 2'!$D:$D,$B63,'DRAFT 2'!$A:$A,"&gt;="&amp;DATE(2026,11,15),'DRAFT 2'!$A:$A,"&lt;="&amp;DATE(2026,11,21))</f>
        <v/>
      </c>
      <c r="IG63" s="116">
        <f>COUNTIFS('DRAFT 2'!$D:$D,$B63,'DRAFT 2'!$A:$A,"&gt;="&amp;DATE(2026,11,22),'DRAFT 2'!$A:$A,"&lt;"&amp;DATE(2026,IF(11=12,11+1,11+1),1))</f>
        <v/>
      </c>
      <c r="IH63" s="116">
        <f>SUM(ID63:IG63)</f>
        <v/>
      </c>
      <c r="IR63" s="116">
        <f>IFERROR(LOOKUP(2,1/('DRAFT 2'!$D:$D=$B63)*('DRAFT 2'!$A:$A&gt;=DATE(2026,12,1))*('DRAFT 2'!$A:$A&lt;DATE(2026,IF(12=12,12+1,12+1),1)),'DRAFT 2'!$A:$A),"")</f>
        <v/>
      </c>
      <c r="IS63" s="116">
        <f>COUNTIFS('DRAFT 2'!$D:$D,$B63,'DRAFT 2'!$A:$A,"&gt;="&amp;DATE(2026,12,1),'DRAFT 2'!$A:$A,"&lt;="&amp;DATE(2026,12,7))</f>
        <v/>
      </c>
      <c r="IT63" s="116">
        <f>COUNTIFS('DRAFT 2'!$D:$D,$B63,'DRAFT 2'!$A:$A,"&gt;="&amp;DATE(2026,12,8),'DRAFT 2'!$A:$A,"&lt;="&amp;DATE(2026,12,14))</f>
        <v/>
      </c>
      <c r="IU63" s="116">
        <f>COUNTIFS('DRAFT 2'!$D:$D,$B63,'DRAFT 2'!$A:$A,"&gt;="&amp;DATE(2026,12,15),'DRAFT 2'!$A:$A,"&lt;="&amp;DATE(2026,12,21))</f>
        <v/>
      </c>
      <c r="IV63" s="116">
        <f>COUNTIFS('DRAFT 2'!$D:$D,$B63,'DRAFT 2'!$A:$A,"&gt;="&amp;DATE(2026,12,22),'DRAFT 2'!$A:$A,"&lt;"&amp;DATE(2026,IF(12=12,12+1,12+1),1))</f>
        <v/>
      </c>
      <c r="IW63" s="116">
        <f>SUM(IS63:IV63)</f>
        <v/>
      </c>
    </row>
    <row r="64">
      <c r="A64" s="116">
        <f>IFERROR(INDEX('DRAFT 1'!$A:$A,MATCH($B64,'DRAFT 1'!$B:$B,0)),"")</f>
        <v/>
      </c>
      <c r="C64" s="116">
        <f>IFERROR(INDEX('DRAFT 1'!$C:$C,MATCH($B64,'DRAFT 1'!$B:$B,0)),"")</f>
        <v/>
      </c>
      <c r="D64" s="116">
        <f>IFERROR(INDEX('DRAFT 1'!$D:$D,MATCH($B64,'DRAFT 1'!$B:$B,0)),"")</f>
        <v/>
      </c>
      <c r="E64" s="116">
        <f>IFERROR(INDEX('DRAFT 1'!$E:$E,MATCH($B64,'DRAFT 1'!$B:$B,0)),"")</f>
        <v/>
      </c>
      <c r="F64" s="116">
        <f>IFERROR(INDEX('DRAFT 1'!$F:$F,MATCH($B64,'DRAFT 1'!$B:$B,0)),"")</f>
        <v/>
      </c>
      <c r="G64" s="116">
        <f>IFERROR(INDEX('DRAFT 1'!$G:$G,MATCH($B64,'DRAFT 1'!$B:$B,0)),"")</f>
        <v/>
      </c>
      <c r="H64" s="116">
        <f>IFERROR(INDEX('DRAFT 1'!$H:$H,MATCH($B64,'DRAFT 1'!$B:$B,0)),"")</f>
        <v/>
      </c>
      <c r="I64" s="116" t="inlineStr">
        <is>
          <t>VIDA LEVE</t>
        </is>
      </c>
      <c r="K64" s="116">
        <f>IFERROR(INDEX('DRAFT 1'!$AL:$AL,MATCH($B64,'DRAFT 1'!$B:$B,0)),"")</f>
        <v/>
      </c>
      <c r="L64" s="116">
        <f>IFERROR(INDEX('DRAFT 1'!$J:$J,MATCH($B64,'DRAFT 1'!$B:$B,0)),"")</f>
        <v/>
      </c>
      <c r="M64" s="116">
        <f>IFERROR(INDEX('DRAFT 1'!$K:$K,MATCH($B64,'DRAFT 1'!$B:$B,0)),"")</f>
        <v/>
      </c>
      <c r="N64" s="116" t="inlineStr">
        <is>
          <t>ATIVO</t>
        </is>
      </c>
      <c r="P64" s="116">
        <f>IFERROR(INDEX('DRAFT 1'!$L:$L,MATCH($B64,'DRAFT 1'!$B:$B,0)),"")</f>
        <v/>
      </c>
      <c r="Q64" s="116">
        <f>IFERROR(INDEX('DRAFT 1'!$M:$M,MATCH($B64,'DRAFT 1'!$B:$B,0)),"")</f>
        <v/>
      </c>
      <c r="R64" s="116">
        <f>IFERROR(INDEX('DRAFT 1'!$N:$N,MATCH($B64,'DRAFT 1'!$B:$B,0)),"")</f>
        <v/>
      </c>
      <c r="S64" s="116">
        <f>IFERROR(INDEX('DRAFT 1'!$O:$O,MATCH($B64,'DRAFT 1'!$B:$B,0)),"")</f>
        <v/>
      </c>
      <c r="T64" s="116">
        <f>IFERROR(INDEX('DRAFT 1'!$P:$P,MATCH($B64,'DRAFT 1'!$B:$B,0)),"")</f>
        <v/>
      </c>
      <c r="U64" s="116">
        <f>IFERROR(INDEX('DRAFT 1'!$Q:$Q,MATCH($B64,'DRAFT 1'!$B:$B,0)),"")</f>
        <v/>
      </c>
      <c r="V64" s="116">
        <f>IFERROR(INDEX('DRAFT 1'!$R:$R,MATCH($B64,'DRAFT 1'!$B:$B,0)),"")</f>
        <v/>
      </c>
      <c r="W64" s="116">
        <f>IFERROR(INDEX('DRAFT 1'!$S:$S,MATCH($B64,'DRAFT 1'!$B:$B,0)),"")</f>
        <v/>
      </c>
      <c r="X64" s="116">
        <f>IFERROR(INDEX('DRAFT 1'!$T:$T,MATCH($B64,'DRAFT 1'!$B:$B,0)),"")</f>
        <v/>
      </c>
      <c r="Z64" s="116">
        <f>IFERROR(INDEX('DRAFT 1'!$U:$U,MATCH($B64,'DRAFT 1'!$B:$B,0)),"")</f>
        <v/>
      </c>
      <c r="AA64" s="116">
        <f>IFERROR(INDEX('DRAFT 1'!$V:$V,MATCH($B64,'DRAFT 1'!$B:$B,0)),"")</f>
        <v/>
      </c>
      <c r="AB64" s="116">
        <f>IFERROR(INDEX('DRAFT 1'!$W:$W,MATCH($B64,'DRAFT 1'!$B:$B,0)),"")</f>
        <v/>
      </c>
      <c r="AC64" s="116">
        <f>IFERROR(INDEX('DRAFT 1'!$X:$X,MATCH($B64,'DRAFT 1'!$B:$B,0)),"")</f>
        <v/>
      </c>
      <c r="AD64" s="116">
        <f>IFERROR(INDEX('DRAFT 1'!$Y:$Y,MATCH($B64,'DRAFT 1'!$B:$B,0)),"")</f>
        <v/>
      </c>
      <c r="AE64" s="116">
        <f>IFERROR(INDEX('DRAFT 1'!$Z:$Z,MATCH($B64,'DRAFT 1'!$B:$B,0)),"")</f>
        <v/>
      </c>
      <c r="AF64" s="116">
        <f>IFERROR(INDEX('DRAFT 1'!$AA:$AA,MATCH($B64,'DRAFT 1'!$B:$B,0)),"")</f>
        <v/>
      </c>
      <c r="AG64" s="116">
        <f>IFERROR(INDEX('DRAFT 1'!$AB:$AB,MATCH($B64,'DRAFT 1'!$B:$B,0)),"")</f>
        <v/>
      </c>
      <c r="AH64" s="116">
        <f>IFERROR(INDEX('DRAFT 1'!$AC:$AC,MATCH($B64,'DRAFT 1'!$B:$B,0)),"")</f>
        <v/>
      </c>
      <c r="AI64" s="116">
        <f>IFERROR(INDEX('DRAFT 1'!$AD:$AD,MATCH($B64,'DRAFT 1'!$B:$B,0)),"")</f>
        <v/>
      </c>
      <c r="AJ64" s="116">
        <f>IFERROR(INDEX('DRAFT 1'!$AE:$AE,MATCH($B64,'DRAFT 1'!$B:$B,0)),"")</f>
        <v/>
      </c>
      <c r="AK64" s="116">
        <f>IFERROR(INDEX('DRAFT 1'!$AG:$AG,MATCH($B64,'DRAFT 1'!$B:$B,0)),"")</f>
        <v/>
      </c>
      <c r="AL64" s="116">
        <f>IFERROR(INDEX('DRAFT 1'!$AH:$AH,MATCH($B64,'DRAFT 1'!$B:$B,0)),"")</f>
        <v/>
      </c>
      <c r="AM64" s="116">
        <f>IFERROR(INDEX('DRAFT 1'!$AI:$AI,MATCH($B64,'DRAFT 1'!$B:$B,0)),"")</f>
        <v/>
      </c>
      <c r="AN64" s="116">
        <f>IFERROR(INDEX('DRAFT 1'!$AJ:$AJ,MATCH($B64,'DRAFT 1'!$B:$B,0)),"")</f>
        <v/>
      </c>
      <c r="AO64" s="116">
        <f>IFERROR(Y64/AN64,0)</f>
        <v/>
      </c>
      <c r="AP64" s="116">
        <f>IFERROR(INDEX('DRAFT 1'!$AK:$AK,MATCH($B64,'DRAFT 1'!$B:$B,0)),"")</f>
        <v/>
      </c>
      <c r="AR64" s="116" t="inlineStr">
        <is>
          <t>RECUPERAÇÃO</t>
        </is>
      </c>
      <c r="AS64" s="116">
        <f>IFERROR(LOOKUP(2,1/('DRAFT 2'!$D:$D=$B64),'DRAFT 2'!$T:$T),"")</f>
        <v/>
      </c>
      <c r="AT64" s="116">
        <f>IFERROR(LOOKUP(2,1/('DRAFT 2'!$D:$D=$B64),'DRAFT 2'!$A:$A),"")</f>
        <v/>
      </c>
      <c r="AU64" s="116">
        <f>IFERROR(LOOKUP(2,1/('DRAFT 2'!$D:$D=$B64),'DRAFT 2'!$R:$R),"")</f>
        <v/>
      </c>
      <c r="AV64" s="116">
        <f>IFERROR(LOOKUP(2,1/('DRAFT 2'!$D:$D=$B64),'DRAFT 2'!$S:$S),"")</f>
        <v/>
      </c>
      <c r="AW64" s="116" t="inlineStr">
        <is>
          <t>PROSPECT</t>
        </is>
      </c>
      <c r="AX64" s="116">
        <f>IFERROR(LOOKUP(2,1/('DRAFT 2'!$D:$D=$B64),'DRAFT 2'!$M:$M),"")</f>
        <v/>
      </c>
      <c r="AY64" s="116">
        <f>IFERROR(LOOKUP(2,1/('DRAFT 2'!$D:$D=$B64),'DRAFT 2'!$K:$K),"")</f>
        <v/>
      </c>
      <c r="BG64" s="116">
        <f>IFERROR(LOOKUP(2,1/('DRAFT 2'!$D:$D=$B64),'DRAFT 2'!$U:$U),"")</f>
        <v/>
      </c>
      <c r="BH64" s="116">
        <f>IFERROR(LOOKUP(2,1/('DRAFT 2'!$D:$D=$B64),'DRAFT 2'!$V:$V),"")</f>
        <v/>
      </c>
      <c r="CE64" s="116">
        <f>IFERROR(AJ64,0)</f>
        <v/>
      </c>
      <c r="CF64" s="116">
        <f>IFERROR(LOOKUP(2,1/('DRAFT 2'!$D:$D=$B64)*('DRAFT 2'!$A:$A&gt;=DATE(2026,1,1))*('DRAFT 2'!$A:$A&lt;DATE(2026,IF(1=12,1+1,1+1),1)),'DRAFT 2'!$A:$A),"")</f>
        <v/>
      </c>
      <c r="CG64" s="116">
        <f>COUNTIFS('DRAFT 2'!$D:$D,$B64,'DRAFT 2'!$A:$A,"&gt;="&amp;DATE(2026,1,1),'DRAFT 2'!$A:$A,"&lt;="&amp;DATE(2026,1,7))</f>
        <v/>
      </c>
      <c r="CH64" s="116">
        <f>COUNTIFS('DRAFT 2'!$D:$D,$B64,'DRAFT 2'!$A:$A,"&gt;="&amp;DATE(2026,1,8),'DRAFT 2'!$A:$A,"&lt;="&amp;DATE(2026,1,14))</f>
        <v/>
      </c>
      <c r="CI64" s="116">
        <f>COUNTIFS('DRAFT 2'!$D:$D,$B64,'DRAFT 2'!$A:$A,"&gt;="&amp;DATE(2026,1,15),'DRAFT 2'!$A:$A,"&lt;="&amp;DATE(2026,1,21))</f>
        <v/>
      </c>
      <c r="CJ64" s="116">
        <f>COUNTIFS('DRAFT 2'!$D:$D,$B64,'DRAFT 2'!$A:$A,"&gt;="&amp;DATE(2026,1,22),'DRAFT 2'!$A:$A,"&lt;"&amp;DATE(2026,IF(1=12,1+1,1+1),1))</f>
        <v/>
      </c>
      <c r="CK64" s="116">
        <f>SUM(CG64:CJ64)</f>
        <v/>
      </c>
      <c r="CT64" s="116" t="n">
        <v>0</v>
      </c>
      <c r="CU64" s="116">
        <f>IFERROR(LOOKUP(2,1/('DRAFT 2'!$D:$D=$B64)*('DRAFT 2'!$A:$A&gt;=DATE(2026,2,1))*('DRAFT 2'!$A:$A&lt;DATE(2026,IF(2=12,2+1,2+1),1)),'DRAFT 2'!$A:$A),"")</f>
        <v/>
      </c>
      <c r="CV64" s="116">
        <f>COUNTIFS('DRAFT 2'!$D:$D,$B64,'DRAFT 2'!$A:$A,"&gt;="&amp;DATE(2026,2,1),'DRAFT 2'!$A:$A,"&lt;="&amp;DATE(2026,2,7))</f>
        <v/>
      </c>
      <c r="CW64" s="116">
        <f>COUNTIFS('DRAFT 2'!$D:$D,$B64,'DRAFT 2'!$A:$A,"&gt;="&amp;DATE(2026,2,8),'DRAFT 2'!$A:$A,"&lt;="&amp;DATE(2026,2,14))</f>
        <v/>
      </c>
      <c r="CX64" s="116">
        <f>COUNTIFS('DRAFT 2'!$D:$D,$B64,'DRAFT 2'!$A:$A,"&gt;="&amp;DATE(2026,2,15),'DRAFT 2'!$A:$A,"&lt;="&amp;DATE(2026,2,21))</f>
        <v/>
      </c>
      <c r="CY64" s="116">
        <f>COUNTIFS('DRAFT 2'!$D:$D,$B64,'DRAFT 2'!$A:$A,"&gt;="&amp;DATE(2026,2,22),'DRAFT 2'!$A:$A,"&lt;"&amp;DATE(2026,IF(2=12,2+1,2+1),1))</f>
        <v/>
      </c>
      <c r="CZ64" s="116">
        <f>SUM(CV64:CY64)</f>
        <v/>
      </c>
      <c r="DJ64" s="116">
        <f>IFERROR(LOOKUP(2,1/('DRAFT 2'!$D:$D=$B64)*('DRAFT 2'!$A:$A&gt;=DATE(2026,3,1))*('DRAFT 2'!$A:$A&lt;DATE(2026,IF(3=12,3+1,3+1),1)),'DRAFT 2'!$A:$A),"")</f>
        <v/>
      </c>
      <c r="DK64" s="116">
        <f>COUNTIFS('DRAFT 2'!$D:$D,$B64,'DRAFT 2'!$A:$A,"&gt;="&amp;DATE(2026,3,1),'DRAFT 2'!$A:$A,"&lt;="&amp;DATE(2026,3,7))</f>
        <v/>
      </c>
      <c r="DL64" s="116">
        <f>COUNTIFS('DRAFT 2'!$D:$D,$B64,'DRAFT 2'!$A:$A,"&gt;="&amp;DATE(2026,3,8),'DRAFT 2'!$A:$A,"&lt;="&amp;DATE(2026,3,14))</f>
        <v/>
      </c>
      <c r="DM64" s="116">
        <f>COUNTIFS('DRAFT 2'!$D:$D,$B64,'DRAFT 2'!$A:$A,"&gt;="&amp;DATE(2026,3,15),'DRAFT 2'!$A:$A,"&lt;="&amp;DATE(2026,3,21))</f>
        <v/>
      </c>
      <c r="DN64" s="116">
        <f>COUNTIFS('DRAFT 2'!$D:$D,$B64,'DRAFT 2'!$A:$A,"&gt;="&amp;DATE(2026,3,22),'DRAFT 2'!$A:$A,"&lt;"&amp;DATE(2026,IF(3=12,3+1,3+1),1))</f>
        <v/>
      </c>
      <c r="DO64" s="116">
        <f>SUM(DK64:DN64)</f>
        <v/>
      </c>
      <c r="DZ64" s="116">
        <f>IFERROR(LOOKUP(2,1/('DRAFT 2'!$D:$D=$B64)*('DRAFT 2'!$A:$A&gt;=DATE(2026,4,1))*('DRAFT 2'!$A:$A&lt;DATE(2026,IF(4=12,4+1,4+1),1)),'DRAFT 2'!$A:$A),"")</f>
        <v/>
      </c>
      <c r="EA64" s="116">
        <f>COUNTIFS('DRAFT 2'!$D:$D,$B64,'DRAFT 2'!$A:$A,"&gt;="&amp;DATE(2026,4,1),'DRAFT 2'!$A:$A,"&lt;="&amp;DATE(2026,4,7))</f>
        <v/>
      </c>
      <c r="EB64" s="116">
        <f>COUNTIFS('DRAFT 2'!$D:$D,$B64,'DRAFT 2'!$A:$A,"&gt;="&amp;DATE(2026,4,8),'DRAFT 2'!$A:$A,"&lt;="&amp;DATE(2026,4,14))</f>
        <v/>
      </c>
      <c r="EC64" s="116">
        <f>COUNTIFS('DRAFT 2'!$D:$D,$B64,'DRAFT 2'!$A:$A,"&gt;="&amp;DATE(2026,4,15),'DRAFT 2'!$A:$A,"&lt;="&amp;DATE(2026,4,21))</f>
        <v/>
      </c>
      <c r="ED64" s="116">
        <f>COUNTIFS('DRAFT 2'!$D:$D,$B64,'DRAFT 2'!$A:$A,"&gt;="&amp;DATE(2026,4,22),'DRAFT 2'!$A:$A,"&lt;"&amp;DATE(2026,IF(4=12,4+1,4+1),1))</f>
        <v/>
      </c>
      <c r="EE64" s="116">
        <f>SUM(EA64:ED64)</f>
        <v/>
      </c>
      <c r="EO64" s="116">
        <f>IFERROR(LOOKUP(2,1/('DRAFT 2'!$D:$D=$B64)*('DRAFT 2'!$A:$A&gt;=DATE(2026,5,1))*('DRAFT 2'!$A:$A&lt;DATE(2026,IF(5=12,5+1,5+1),1)),'DRAFT 2'!$A:$A),"")</f>
        <v/>
      </c>
      <c r="EP64" s="116">
        <f>COUNTIFS('DRAFT 2'!$D:$D,$B64,'DRAFT 2'!$A:$A,"&gt;="&amp;DATE(2026,5,1),'DRAFT 2'!$A:$A,"&lt;="&amp;DATE(2026,5,7))</f>
        <v/>
      </c>
      <c r="EQ64" s="116">
        <f>COUNTIFS('DRAFT 2'!$D:$D,$B64,'DRAFT 2'!$A:$A,"&gt;="&amp;DATE(2026,5,8),'DRAFT 2'!$A:$A,"&lt;="&amp;DATE(2026,5,14))</f>
        <v/>
      </c>
      <c r="ER64" s="116">
        <f>COUNTIFS('DRAFT 2'!$D:$D,$B64,'DRAFT 2'!$A:$A,"&gt;="&amp;DATE(2026,5,15),'DRAFT 2'!$A:$A,"&lt;="&amp;DATE(2026,5,21))</f>
        <v/>
      </c>
      <c r="ES64" s="116">
        <f>COUNTIFS('DRAFT 2'!$D:$D,$B64,'DRAFT 2'!$A:$A,"&gt;="&amp;DATE(2026,5,22),'DRAFT 2'!$A:$A,"&lt;"&amp;DATE(2026,IF(5=12,5+1,5+1),1))</f>
        <v/>
      </c>
      <c r="ET64" s="116">
        <f>SUM(EP64:ES64)</f>
        <v/>
      </c>
      <c r="FD64" s="116">
        <f>IFERROR(LOOKUP(2,1/('DRAFT 2'!$D:$D=$B64)*('DRAFT 2'!$A:$A&gt;=DATE(2026,6,1))*('DRAFT 2'!$A:$A&lt;DATE(2026,IF(6=12,6+1,6+1),1)),'DRAFT 2'!$A:$A),"")</f>
        <v/>
      </c>
      <c r="FE64" s="116">
        <f>COUNTIFS('DRAFT 2'!$D:$D,$B64,'DRAFT 2'!$A:$A,"&gt;="&amp;DATE(2026,6,1),'DRAFT 2'!$A:$A,"&lt;="&amp;DATE(2026,6,7))</f>
        <v/>
      </c>
      <c r="FF64" s="116">
        <f>COUNTIFS('DRAFT 2'!$D:$D,$B64,'DRAFT 2'!$A:$A,"&gt;="&amp;DATE(2026,6,8),'DRAFT 2'!$A:$A,"&lt;="&amp;DATE(2026,6,14))</f>
        <v/>
      </c>
      <c r="FG64" s="116">
        <f>COUNTIFS('DRAFT 2'!$D:$D,$B64,'DRAFT 2'!$A:$A,"&gt;="&amp;DATE(2026,6,15),'DRAFT 2'!$A:$A,"&lt;="&amp;DATE(2026,6,21))</f>
        <v/>
      </c>
      <c r="FH64" s="116">
        <f>COUNTIFS('DRAFT 2'!$D:$D,$B64,'DRAFT 2'!$A:$A,"&gt;="&amp;DATE(2026,6,22),'DRAFT 2'!$A:$A,"&lt;"&amp;DATE(2026,IF(6=12,6+1,6+1),1))</f>
        <v/>
      </c>
      <c r="FI64" s="116">
        <f>SUM(FE64:FH64)</f>
        <v/>
      </c>
      <c r="FT64" s="116">
        <f>IFERROR(LOOKUP(2,1/('DRAFT 2'!$D:$D=$B64)*('DRAFT 2'!$A:$A&gt;=DATE(2026,7,1))*('DRAFT 2'!$A:$A&lt;DATE(2026,IF(7=12,7+1,7+1),1)),'DRAFT 2'!$A:$A),"")</f>
        <v/>
      </c>
      <c r="FU64" s="116">
        <f>COUNTIFS('DRAFT 2'!$D:$D,$B64,'DRAFT 2'!$A:$A,"&gt;="&amp;DATE(2026,7,1),'DRAFT 2'!$A:$A,"&lt;="&amp;DATE(2026,7,7))</f>
        <v/>
      </c>
      <c r="FV64" s="116">
        <f>COUNTIFS('DRAFT 2'!$D:$D,$B64,'DRAFT 2'!$A:$A,"&gt;="&amp;DATE(2026,7,8),'DRAFT 2'!$A:$A,"&lt;="&amp;DATE(2026,7,14))</f>
        <v/>
      </c>
      <c r="FW64" s="116">
        <f>COUNTIFS('DRAFT 2'!$D:$D,$B64,'DRAFT 2'!$A:$A,"&gt;="&amp;DATE(2026,7,15),'DRAFT 2'!$A:$A,"&lt;="&amp;DATE(2026,7,21))</f>
        <v/>
      </c>
      <c r="FX64" s="116">
        <f>COUNTIFS('DRAFT 2'!$D:$D,$B64,'DRAFT 2'!$A:$A,"&gt;="&amp;DATE(2026,7,22),'DRAFT 2'!$A:$A,"&lt;"&amp;DATE(2026,IF(7=12,7+1,7+1),1))</f>
        <v/>
      </c>
      <c r="FY64" s="116">
        <f>SUM(FU64:FX64)</f>
        <v/>
      </c>
      <c r="GI64" s="116">
        <f>IFERROR(LOOKUP(2,1/('DRAFT 2'!$D:$D=$B64)*('DRAFT 2'!$A:$A&gt;=DATE(2026,8,1))*('DRAFT 2'!$A:$A&lt;DATE(2026,IF(8=12,8+1,8+1),1)),'DRAFT 2'!$A:$A),"")</f>
        <v/>
      </c>
      <c r="GJ64" s="116">
        <f>COUNTIFS('DRAFT 2'!$D:$D,$B64,'DRAFT 2'!$A:$A,"&gt;="&amp;DATE(2026,8,1),'DRAFT 2'!$A:$A,"&lt;="&amp;DATE(2026,8,7))</f>
        <v/>
      </c>
      <c r="GK64" s="116">
        <f>COUNTIFS('DRAFT 2'!$D:$D,$B64,'DRAFT 2'!$A:$A,"&gt;="&amp;DATE(2026,8,8),'DRAFT 2'!$A:$A,"&lt;="&amp;DATE(2026,8,14))</f>
        <v/>
      </c>
      <c r="GL64" s="116">
        <f>COUNTIFS('DRAFT 2'!$D:$D,$B64,'DRAFT 2'!$A:$A,"&gt;="&amp;DATE(2026,8,15),'DRAFT 2'!$A:$A,"&lt;="&amp;DATE(2026,8,21))</f>
        <v/>
      </c>
      <c r="GM64" s="116">
        <f>COUNTIFS('DRAFT 2'!$D:$D,$B64,'DRAFT 2'!$A:$A,"&gt;="&amp;DATE(2026,8,22),'DRAFT 2'!$A:$A,"&lt;"&amp;DATE(2026,IF(8=12,8+1,8+1),1))</f>
        <v/>
      </c>
      <c r="GN64" s="116">
        <f>SUM(GJ64:GM64)</f>
        <v/>
      </c>
      <c r="GX64" s="116">
        <f>IFERROR(LOOKUP(2,1/('DRAFT 2'!$D:$D=$B64)*('DRAFT 2'!$A:$A&gt;=DATE(2026,9,1))*('DRAFT 2'!$A:$A&lt;DATE(2026,IF(9=12,9+1,9+1),1)),'DRAFT 2'!$A:$A),"")</f>
        <v/>
      </c>
      <c r="GY64" s="116">
        <f>COUNTIFS('DRAFT 2'!$D:$D,$B64,'DRAFT 2'!$A:$A,"&gt;="&amp;DATE(2026,9,1),'DRAFT 2'!$A:$A,"&lt;="&amp;DATE(2026,9,7))</f>
        <v/>
      </c>
      <c r="GZ64" s="116">
        <f>COUNTIFS('DRAFT 2'!$D:$D,$B64,'DRAFT 2'!$A:$A,"&gt;="&amp;DATE(2026,9,8),'DRAFT 2'!$A:$A,"&lt;="&amp;DATE(2026,9,14))</f>
        <v/>
      </c>
      <c r="HA64" s="116">
        <f>COUNTIFS('DRAFT 2'!$D:$D,$B64,'DRAFT 2'!$A:$A,"&gt;="&amp;DATE(2026,9,15),'DRAFT 2'!$A:$A,"&lt;="&amp;DATE(2026,9,21))</f>
        <v/>
      </c>
      <c r="HB64" s="116">
        <f>COUNTIFS('DRAFT 2'!$D:$D,$B64,'DRAFT 2'!$A:$A,"&gt;="&amp;DATE(2026,9,22),'DRAFT 2'!$A:$A,"&lt;"&amp;DATE(2026,IF(9=12,9+1,9+1),1))</f>
        <v/>
      </c>
      <c r="HC64" s="116">
        <f>SUM(GY64:HB64)</f>
        <v/>
      </c>
      <c r="HN64" s="116">
        <f>IFERROR(LOOKUP(2,1/('DRAFT 2'!$D:$D=$B64)*('DRAFT 2'!$A:$A&gt;=DATE(2026,10,1))*('DRAFT 2'!$A:$A&lt;DATE(2026,IF(10=12,10+1,10+1),1)),'DRAFT 2'!$A:$A),"")</f>
        <v/>
      </c>
      <c r="HO64" s="116">
        <f>COUNTIFS('DRAFT 2'!$D:$D,$B64,'DRAFT 2'!$A:$A,"&gt;="&amp;DATE(2026,10,1),'DRAFT 2'!$A:$A,"&lt;="&amp;DATE(2026,10,7))</f>
        <v/>
      </c>
      <c r="HP64" s="116">
        <f>COUNTIFS('DRAFT 2'!$D:$D,$B64,'DRAFT 2'!$A:$A,"&gt;="&amp;DATE(2026,10,8),'DRAFT 2'!$A:$A,"&lt;="&amp;DATE(2026,10,14))</f>
        <v/>
      </c>
      <c r="HQ64" s="116">
        <f>COUNTIFS('DRAFT 2'!$D:$D,$B64,'DRAFT 2'!$A:$A,"&gt;="&amp;DATE(2026,10,15),'DRAFT 2'!$A:$A,"&lt;="&amp;DATE(2026,10,21))</f>
        <v/>
      </c>
      <c r="HR64" s="116">
        <f>COUNTIFS('DRAFT 2'!$D:$D,$B64,'DRAFT 2'!$A:$A,"&gt;="&amp;DATE(2026,10,22),'DRAFT 2'!$A:$A,"&lt;"&amp;DATE(2026,IF(10=12,10+1,10+1),1))</f>
        <v/>
      </c>
      <c r="HS64" s="116">
        <f>SUM(HO64:HR64)</f>
        <v/>
      </c>
      <c r="IC64" s="116">
        <f>IFERROR(LOOKUP(2,1/('DRAFT 2'!$D:$D=$B64)*('DRAFT 2'!$A:$A&gt;=DATE(2026,11,1))*('DRAFT 2'!$A:$A&lt;DATE(2026,IF(11=12,11+1,11+1),1)),'DRAFT 2'!$A:$A),"")</f>
        <v/>
      </c>
      <c r="ID64" s="116">
        <f>COUNTIFS('DRAFT 2'!$D:$D,$B64,'DRAFT 2'!$A:$A,"&gt;="&amp;DATE(2026,11,1),'DRAFT 2'!$A:$A,"&lt;="&amp;DATE(2026,11,7))</f>
        <v/>
      </c>
      <c r="IE64" s="116">
        <f>COUNTIFS('DRAFT 2'!$D:$D,$B64,'DRAFT 2'!$A:$A,"&gt;="&amp;DATE(2026,11,8),'DRAFT 2'!$A:$A,"&lt;="&amp;DATE(2026,11,14))</f>
        <v/>
      </c>
      <c r="IF64" s="116">
        <f>COUNTIFS('DRAFT 2'!$D:$D,$B64,'DRAFT 2'!$A:$A,"&gt;="&amp;DATE(2026,11,15),'DRAFT 2'!$A:$A,"&lt;="&amp;DATE(2026,11,21))</f>
        <v/>
      </c>
      <c r="IG64" s="116">
        <f>COUNTIFS('DRAFT 2'!$D:$D,$B64,'DRAFT 2'!$A:$A,"&gt;="&amp;DATE(2026,11,22),'DRAFT 2'!$A:$A,"&lt;"&amp;DATE(2026,IF(11=12,11+1,11+1),1))</f>
        <v/>
      </c>
      <c r="IH64" s="116">
        <f>SUM(ID64:IG64)</f>
        <v/>
      </c>
      <c r="IR64" s="116">
        <f>IFERROR(LOOKUP(2,1/('DRAFT 2'!$D:$D=$B64)*('DRAFT 2'!$A:$A&gt;=DATE(2026,12,1))*('DRAFT 2'!$A:$A&lt;DATE(2026,IF(12=12,12+1,12+1),1)),'DRAFT 2'!$A:$A),"")</f>
        <v/>
      </c>
      <c r="IS64" s="116">
        <f>COUNTIFS('DRAFT 2'!$D:$D,$B64,'DRAFT 2'!$A:$A,"&gt;="&amp;DATE(2026,12,1),'DRAFT 2'!$A:$A,"&lt;="&amp;DATE(2026,12,7))</f>
        <v/>
      </c>
      <c r="IT64" s="116">
        <f>COUNTIFS('DRAFT 2'!$D:$D,$B64,'DRAFT 2'!$A:$A,"&gt;="&amp;DATE(2026,12,8),'DRAFT 2'!$A:$A,"&lt;="&amp;DATE(2026,12,14))</f>
        <v/>
      </c>
      <c r="IU64" s="116">
        <f>COUNTIFS('DRAFT 2'!$D:$D,$B64,'DRAFT 2'!$A:$A,"&gt;="&amp;DATE(2026,12,15),'DRAFT 2'!$A:$A,"&lt;="&amp;DATE(2026,12,21))</f>
        <v/>
      </c>
      <c r="IV64" s="116">
        <f>COUNTIFS('DRAFT 2'!$D:$D,$B64,'DRAFT 2'!$A:$A,"&gt;="&amp;DATE(2026,12,22),'DRAFT 2'!$A:$A,"&lt;"&amp;DATE(2026,IF(12=12,12+1,12+1),1))</f>
        <v/>
      </c>
      <c r="IW64" s="116">
        <f>SUM(IS64:IV64)</f>
        <v/>
      </c>
    </row>
    <row r="65">
      <c r="A65" s="116">
        <f>IFERROR(INDEX('DRAFT 1'!$A:$A,MATCH($B65,'DRAFT 1'!$B:$B,0)),"")</f>
        <v/>
      </c>
      <c r="C65" s="116">
        <f>IFERROR(INDEX('DRAFT 1'!$C:$C,MATCH($B65,'DRAFT 1'!$B:$B,0)),"")</f>
        <v/>
      </c>
      <c r="D65" s="116">
        <f>IFERROR(INDEX('DRAFT 1'!$D:$D,MATCH($B65,'DRAFT 1'!$B:$B,0)),"")</f>
        <v/>
      </c>
      <c r="E65" s="116">
        <f>IFERROR(INDEX('DRAFT 1'!$E:$E,MATCH($B65,'DRAFT 1'!$B:$B,0)),"")</f>
        <v/>
      </c>
      <c r="F65" s="116">
        <f>IFERROR(INDEX('DRAFT 1'!$F:$F,MATCH($B65,'DRAFT 1'!$B:$B,0)),"")</f>
        <v/>
      </c>
      <c r="G65" s="116">
        <f>IFERROR(INDEX('DRAFT 1'!$G:$G,MATCH($B65,'DRAFT 1'!$B:$B,0)),"")</f>
        <v/>
      </c>
      <c r="H65" s="116">
        <f>IFERROR(INDEX('DRAFT 1'!$H:$H,MATCH($B65,'DRAFT 1'!$B:$B,0)),"")</f>
        <v/>
      </c>
      <c r="I65" s="116" t="inlineStr">
        <is>
          <t>MUNDO VERDE</t>
        </is>
      </c>
      <c r="K65" s="116">
        <f>IFERROR(INDEX('DRAFT 1'!$AL:$AL,MATCH($B65,'DRAFT 1'!$B:$B,0)),"")</f>
        <v/>
      </c>
      <c r="L65" s="116">
        <f>IFERROR(INDEX('DRAFT 1'!$J:$J,MATCH($B65,'DRAFT 1'!$B:$B,0)),"")</f>
        <v/>
      </c>
      <c r="M65" s="116">
        <f>IFERROR(INDEX('DRAFT 1'!$K:$K,MATCH($B65,'DRAFT 1'!$B:$B,0)),"")</f>
        <v/>
      </c>
      <c r="N65" s="116" t="inlineStr">
        <is>
          <t>INAT.ANT</t>
        </is>
      </c>
      <c r="P65" s="116">
        <f>IFERROR(INDEX('DRAFT 1'!$L:$L,MATCH($B65,'DRAFT 1'!$B:$B,0)),"")</f>
        <v/>
      </c>
      <c r="Q65" s="116">
        <f>IFERROR(INDEX('DRAFT 1'!$M:$M,MATCH($B65,'DRAFT 1'!$B:$B,0)),"")</f>
        <v/>
      </c>
      <c r="R65" s="116">
        <f>IFERROR(INDEX('DRAFT 1'!$N:$N,MATCH($B65,'DRAFT 1'!$B:$B,0)),"")</f>
        <v/>
      </c>
      <c r="S65" s="116">
        <f>IFERROR(INDEX('DRAFT 1'!$O:$O,MATCH($B65,'DRAFT 1'!$B:$B,0)),"")</f>
        <v/>
      </c>
      <c r="T65" s="116">
        <f>IFERROR(INDEX('DRAFT 1'!$P:$P,MATCH($B65,'DRAFT 1'!$B:$B,0)),"")</f>
        <v/>
      </c>
      <c r="U65" s="116">
        <f>IFERROR(INDEX('DRAFT 1'!$Q:$Q,MATCH($B65,'DRAFT 1'!$B:$B,0)),"")</f>
        <v/>
      </c>
      <c r="V65" s="116">
        <f>IFERROR(INDEX('DRAFT 1'!$R:$R,MATCH($B65,'DRAFT 1'!$B:$B,0)),"")</f>
        <v/>
      </c>
      <c r="W65" s="116">
        <f>IFERROR(INDEX('DRAFT 1'!$S:$S,MATCH($B65,'DRAFT 1'!$B:$B,0)),"")</f>
        <v/>
      </c>
      <c r="X65" s="116">
        <f>IFERROR(INDEX('DRAFT 1'!$T:$T,MATCH($B65,'DRAFT 1'!$B:$B,0)),"")</f>
        <v/>
      </c>
      <c r="Z65" s="116">
        <f>IFERROR(INDEX('DRAFT 1'!$U:$U,MATCH($B65,'DRAFT 1'!$B:$B,0)),"")</f>
        <v/>
      </c>
      <c r="AA65" s="116">
        <f>IFERROR(INDEX('DRAFT 1'!$V:$V,MATCH($B65,'DRAFT 1'!$B:$B,0)),"")</f>
        <v/>
      </c>
      <c r="AB65" s="116">
        <f>IFERROR(INDEX('DRAFT 1'!$W:$W,MATCH($B65,'DRAFT 1'!$B:$B,0)),"")</f>
        <v/>
      </c>
      <c r="AC65" s="116">
        <f>IFERROR(INDEX('DRAFT 1'!$X:$X,MATCH($B65,'DRAFT 1'!$B:$B,0)),"")</f>
        <v/>
      </c>
      <c r="AD65" s="116">
        <f>IFERROR(INDEX('DRAFT 1'!$Y:$Y,MATCH($B65,'DRAFT 1'!$B:$B,0)),"")</f>
        <v/>
      </c>
      <c r="AE65" s="116">
        <f>IFERROR(INDEX('DRAFT 1'!$Z:$Z,MATCH($B65,'DRAFT 1'!$B:$B,0)),"")</f>
        <v/>
      </c>
      <c r="AF65" s="116">
        <f>IFERROR(INDEX('DRAFT 1'!$AA:$AA,MATCH($B65,'DRAFT 1'!$B:$B,0)),"")</f>
        <v/>
      </c>
      <c r="AG65" s="116">
        <f>IFERROR(INDEX('DRAFT 1'!$AB:$AB,MATCH($B65,'DRAFT 1'!$B:$B,0)),"")</f>
        <v/>
      </c>
      <c r="AH65" s="116">
        <f>IFERROR(INDEX('DRAFT 1'!$AC:$AC,MATCH($B65,'DRAFT 1'!$B:$B,0)),"")</f>
        <v/>
      </c>
      <c r="AI65" s="116">
        <f>IFERROR(INDEX('DRAFT 1'!$AD:$AD,MATCH($B65,'DRAFT 1'!$B:$B,0)),"")</f>
        <v/>
      </c>
      <c r="AJ65" s="116">
        <f>IFERROR(INDEX('DRAFT 1'!$AE:$AE,MATCH($B65,'DRAFT 1'!$B:$B,0)),"")</f>
        <v/>
      </c>
      <c r="AK65" s="116">
        <f>IFERROR(INDEX('DRAFT 1'!$AG:$AG,MATCH($B65,'DRAFT 1'!$B:$B,0)),"")</f>
        <v/>
      </c>
      <c r="AL65" s="116">
        <f>IFERROR(INDEX('DRAFT 1'!$AH:$AH,MATCH($B65,'DRAFT 1'!$B:$B,0)),"")</f>
        <v/>
      </c>
      <c r="AM65" s="116">
        <f>IFERROR(INDEX('DRAFT 1'!$AI:$AI,MATCH($B65,'DRAFT 1'!$B:$B,0)),"")</f>
        <v/>
      </c>
      <c r="AN65" s="116">
        <f>IFERROR(INDEX('DRAFT 1'!$AJ:$AJ,MATCH($B65,'DRAFT 1'!$B:$B,0)),"")</f>
        <v/>
      </c>
      <c r="AO65" s="116">
        <f>IFERROR(Y65/AN65,0)</f>
        <v/>
      </c>
      <c r="AP65" s="116">
        <f>IFERROR(INDEX('DRAFT 1'!$AK:$AK,MATCH($B65,'DRAFT 1'!$B:$B,0)),"")</f>
        <v/>
      </c>
      <c r="AR65" s="116" t="inlineStr">
        <is>
          <t>RECOMPRA</t>
        </is>
      </c>
      <c r="AS65" s="116">
        <f>IFERROR(LOOKUP(2,1/('DRAFT 2'!$D:$D=$B65),'DRAFT 2'!$T:$T),"")</f>
        <v/>
      </c>
      <c r="AT65" s="116">
        <f>IFERROR(LOOKUP(2,1/('DRAFT 2'!$D:$D=$B65),'DRAFT 2'!$A:$A),"")</f>
        <v/>
      </c>
      <c r="AU65" s="116">
        <f>IFERROR(LOOKUP(2,1/('DRAFT 2'!$D:$D=$B65),'DRAFT 2'!$R:$R),"")</f>
        <v/>
      </c>
      <c r="AV65" s="116">
        <f>IFERROR(LOOKUP(2,1/('DRAFT 2'!$D:$D=$B65),'DRAFT 2'!$S:$S),"")</f>
        <v/>
      </c>
      <c r="AW65" s="116" t="inlineStr">
        <is>
          <t>PROSPECT</t>
        </is>
      </c>
      <c r="AX65" s="116">
        <f>IFERROR(LOOKUP(2,1/('DRAFT 2'!$D:$D=$B65),'DRAFT 2'!$M:$M),"")</f>
        <v/>
      </c>
      <c r="AY65" s="116">
        <f>IFERROR(LOOKUP(2,1/('DRAFT 2'!$D:$D=$B65),'DRAFT 2'!$K:$K),"")</f>
        <v/>
      </c>
      <c r="BG65" s="116">
        <f>IFERROR(LOOKUP(2,1/('DRAFT 2'!$D:$D=$B65),'DRAFT 2'!$U:$U),"")</f>
        <v/>
      </c>
      <c r="BH65" s="116">
        <f>IFERROR(LOOKUP(2,1/('DRAFT 2'!$D:$D=$B65),'DRAFT 2'!$V:$V),"")</f>
        <v/>
      </c>
      <c r="CE65" s="116">
        <f>IFERROR(AJ65,0)</f>
        <v/>
      </c>
      <c r="CF65" s="116">
        <f>IFERROR(LOOKUP(2,1/('DRAFT 2'!$D:$D=$B65)*('DRAFT 2'!$A:$A&gt;=DATE(2026,1,1))*('DRAFT 2'!$A:$A&lt;DATE(2026,IF(1=12,1+1,1+1),1)),'DRAFT 2'!$A:$A),"")</f>
        <v/>
      </c>
      <c r="CG65" s="116">
        <f>COUNTIFS('DRAFT 2'!$D:$D,$B65,'DRAFT 2'!$A:$A,"&gt;="&amp;DATE(2026,1,1),'DRAFT 2'!$A:$A,"&lt;="&amp;DATE(2026,1,7))</f>
        <v/>
      </c>
      <c r="CH65" s="116">
        <f>COUNTIFS('DRAFT 2'!$D:$D,$B65,'DRAFT 2'!$A:$A,"&gt;="&amp;DATE(2026,1,8),'DRAFT 2'!$A:$A,"&lt;="&amp;DATE(2026,1,14))</f>
        <v/>
      </c>
      <c r="CI65" s="116">
        <f>COUNTIFS('DRAFT 2'!$D:$D,$B65,'DRAFT 2'!$A:$A,"&gt;="&amp;DATE(2026,1,15),'DRAFT 2'!$A:$A,"&lt;="&amp;DATE(2026,1,21))</f>
        <v/>
      </c>
      <c r="CJ65" s="116">
        <f>COUNTIFS('DRAFT 2'!$D:$D,$B65,'DRAFT 2'!$A:$A,"&gt;="&amp;DATE(2026,1,22),'DRAFT 2'!$A:$A,"&lt;"&amp;DATE(2026,IF(1=12,1+1,1+1),1))</f>
        <v/>
      </c>
      <c r="CK65" s="116">
        <f>SUM(CG65:CJ65)</f>
        <v/>
      </c>
      <c r="CT65" s="116" t="n">
        <v>0</v>
      </c>
      <c r="CU65" s="116">
        <f>IFERROR(LOOKUP(2,1/('DRAFT 2'!$D:$D=$B65)*('DRAFT 2'!$A:$A&gt;=DATE(2026,2,1))*('DRAFT 2'!$A:$A&lt;DATE(2026,IF(2=12,2+1,2+1),1)),'DRAFT 2'!$A:$A),"")</f>
        <v/>
      </c>
      <c r="CV65" s="116">
        <f>COUNTIFS('DRAFT 2'!$D:$D,$B65,'DRAFT 2'!$A:$A,"&gt;="&amp;DATE(2026,2,1),'DRAFT 2'!$A:$A,"&lt;="&amp;DATE(2026,2,7))</f>
        <v/>
      </c>
      <c r="CW65" s="116">
        <f>COUNTIFS('DRAFT 2'!$D:$D,$B65,'DRAFT 2'!$A:$A,"&gt;="&amp;DATE(2026,2,8),'DRAFT 2'!$A:$A,"&lt;="&amp;DATE(2026,2,14))</f>
        <v/>
      </c>
      <c r="CX65" s="116">
        <f>COUNTIFS('DRAFT 2'!$D:$D,$B65,'DRAFT 2'!$A:$A,"&gt;="&amp;DATE(2026,2,15),'DRAFT 2'!$A:$A,"&lt;="&amp;DATE(2026,2,21))</f>
        <v/>
      </c>
      <c r="CY65" s="116">
        <f>COUNTIFS('DRAFT 2'!$D:$D,$B65,'DRAFT 2'!$A:$A,"&gt;="&amp;DATE(2026,2,22),'DRAFT 2'!$A:$A,"&lt;"&amp;DATE(2026,IF(2=12,2+1,2+1),1))</f>
        <v/>
      </c>
      <c r="CZ65" s="116">
        <f>SUM(CV65:CY65)</f>
        <v/>
      </c>
      <c r="DJ65" s="116">
        <f>IFERROR(LOOKUP(2,1/('DRAFT 2'!$D:$D=$B65)*('DRAFT 2'!$A:$A&gt;=DATE(2026,3,1))*('DRAFT 2'!$A:$A&lt;DATE(2026,IF(3=12,3+1,3+1),1)),'DRAFT 2'!$A:$A),"")</f>
        <v/>
      </c>
      <c r="DK65" s="116">
        <f>COUNTIFS('DRAFT 2'!$D:$D,$B65,'DRAFT 2'!$A:$A,"&gt;="&amp;DATE(2026,3,1),'DRAFT 2'!$A:$A,"&lt;="&amp;DATE(2026,3,7))</f>
        <v/>
      </c>
      <c r="DL65" s="116">
        <f>COUNTIFS('DRAFT 2'!$D:$D,$B65,'DRAFT 2'!$A:$A,"&gt;="&amp;DATE(2026,3,8),'DRAFT 2'!$A:$A,"&lt;="&amp;DATE(2026,3,14))</f>
        <v/>
      </c>
      <c r="DM65" s="116">
        <f>COUNTIFS('DRAFT 2'!$D:$D,$B65,'DRAFT 2'!$A:$A,"&gt;="&amp;DATE(2026,3,15),'DRAFT 2'!$A:$A,"&lt;="&amp;DATE(2026,3,21))</f>
        <v/>
      </c>
      <c r="DN65" s="116">
        <f>COUNTIFS('DRAFT 2'!$D:$D,$B65,'DRAFT 2'!$A:$A,"&gt;="&amp;DATE(2026,3,22),'DRAFT 2'!$A:$A,"&lt;"&amp;DATE(2026,IF(3=12,3+1,3+1),1))</f>
        <v/>
      </c>
      <c r="DO65" s="116">
        <f>SUM(DK65:DN65)</f>
        <v/>
      </c>
      <c r="DZ65" s="116">
        <f>IFERROR(LOOKUP(2,1/('DRAFT 2'!$D:$D=$B65)*('DRAFT 2'!$A:$A&gt;=DATE(2026,4,1))*('DRAFT 2'!$A:$A&lt;DATE(2026,IF(4=12,4+1,4+1),1)),'DRAFT 2'!$A:$A),"")</f>
        <v/>
      </c>
      <c r="EA65" s="116">
        <f>COUNTIFS('DRAFT 2'!$D:$D,$B65,'DRAFT 2'!$A:$A,"&gt;="&amp;DATE(2026,4,1),'DRAFT 2'!$A:$A,"&lt;="&amp;DATE(2026,4,7))</f>
        <v/>
      </c>
      <c r="EB65" s="116">
        <f>COUNTIFS('DRAFT 2'!$D:$D,$B65,'DRAFT 2'!$A:$A,"&gt;="&amp;DATE(2026,4,8),'DRAFT 2'!$A:$A,"&lt;="&amp;DATE(2026,4,14))</f>
        <v/>
      </c>
      <c r="EC65" s="116">
        <f>COUNTIFS('DRAFT 2'!$D:$D,$B65,'DRAFT 2'!$A:$A,"&gt;="&amp;DATE(2026,4,15),'DRAFT 2'!$A:$A,"&lt;="&amp;DATE(2026,4,21))</f>
        <v/>
      </c>
      <c r="ED65" s="116">
        <f>COUNTIFS('DRAFT 2'!$D:$D,$B65,'DRAFT 2'!$A:$A,"&gt;="&amp;DATE(2026,4,22),'DRAFT 2'!$A:$A,"&lt;"&amp;DATE(2026,IF(4=12,4+1,4+1),1))</f>
        <v/>
      </c>
      <c r="EE65" s="116">
        <f>SUM(EA65:ED65)</f>
        <v/>
      </c>
      <c r="EO65" s="116">
        <f>IFERROR(LOOKUP(2,1/('DRAFT 2'!$D:$D=$B65)*('DRAFT 2'!$A:$A&gt;=DATE(2026,5,1))*('DRAFT 2'!$A:$A&lt;DATE(2026,IF(5=12,5+1,5+1),1)),'DRAFT 2'!$A:$A),"")</f>
        <v/>
      </c>
      <c r="EP65" s="116">
        <f>COUNTIFS('DRAFT 2'!$D:$D,$B65,'DRAFT 2'!$A:$A,"&gt;="&amp;DATE(2026,5,1),'DRAFT 2'!$A:$A,"&lt;="&amp;DATE(2026,5,7))</f>
        <v/>
      </c>
      <c r="EQ65" s="116">
        <f>COUNTIFS('DRAFT 2'!$D:$D,$B65,'DRAFT 2'!$A:$A,"&gt;="&amp;DATE(2026,5,8),'DRAFT 2'!$A:$A,"&lt;="&amp;DATE(2026,5,14))</f>
        <v/>
      </c>
      <c r="ER65" s="116">
        <f>COUNTIFS('DRAFT 2'!$D:$D,$B65,'DRAFT 2'!$A:$A,"&gt;="&amp;DATE(2026,5,15),'DRAFT 2'!$A:$A,"&lt;="&amp;DATE(2026,5,21))</f>
        <v/>
      </c>
      <c r="ES65" s="116">
        <f>COUNTIFS('DRAFT 2'!$D:$D,$B65,'DRAFT 2'!$A:$A,"&gt;="&amp;DATE(2026,5,22),'DRAFT 2'!$A:$A,"&lt;"&amp;DATE(2026,IF(5=12,5+1,5+1),1))</f>
        <v/>
      </c>
      <c r="ET65" s="116">
        <f>SUM(EP65:ES65)</f>
        <v/>
      </c>
      <c r="FD65" s="116">
        <f>IFERROR(LOOKUP(2,1/('DRAFT 2'!$D:$D=$B65)*('DRAFT 2'!$A:$A&gt;=DATE(2026,6,1))*('DRAFT 2'!$A:$A&lt;DATE(2026,IF(6=12,6+1,6+1),1)),'DRAFT 2'!$A:$A),"")</f>
        <v/>
      </c>
      <c r="FE65" s="116">
        <f>COUNTIFS('DRAFT 2'!$D:$D,$B65,'DRAFT 2'!$A:$A,"&gt;="&amp;DATE(2026,6,1),'DRAFT 2'!$A:$A,"&lt;="&amp;DATE(2026,6,7))</f>
        <v/>
      </c>
      <c r="FF65" s="116">
        <f>COUNTIFS('DRAFT 2'!$D:$D,$B65,'DRAFT 2'!$A:$A,"&gt;="&amp;DATE(2026,6,8),'DRAFT 2'!$A:$A,"&lt;="&amp;DATE(2026,6,14))</f>
        <v/>
      </c>
      <c r="FG65" s="116">
        <f>COUNTIFS('DRAFT 2'!$D:$D,$B65,'DRAFT 2'!$A:$A,"&gt;="&amp;DATE(2026,6,15),'DRAFT 2'!$A:$A,"&lt;="&amp;DATE(2026,6,21))</f>
        <v/>
      </c>
      <c r="FH65" s="116">
        <f>COUNTIFS('DRAFT 2'!$D:$D,$B65,'DRAFT 2'!$A:$A,"&gt;="&amp;DATE(2026,6,22),'DRAFT 2'!$A:$A,"&lt;"&amp;DATE(2026,IF(6=12,6+1,6+1),1))</f>
        <v/>
      </c>
      <c r="FI65" s="116">
        <f>SUM(FE65:FH65)</f>
        <v/>
      </c>
      <c r="FT65" s="116">
        <f>IFERROR(LOOKUP(2,1/('DRAFT 2'!$D:$D=$B65)*('DRAFT 2'!$A:$A&gt;=DATE(2026,7,1))*('DRAFT 2'!$A:$A&lt;DATE(2026,IF(7=12,7+1,7+1),1)),'DRAFT 2'!$A:$A),"")</f>
        <v/>
      </c>
      <c r="FU65" s="116">
        <f>COUNTIFS('DRAFT 2'!$D:$D,$B65,'DRAFT 2'!$A:$A,"&gt;="&amp;DATE(2026,7,1),'DRAFT 2'!$A:$A,"&lt;="&amp;DATE(2026,7,7))</f>
        <v/>
      </c>
      <c r="FV65" s="116">
        <f>COUNTIFS('DRAFT 2'!$D:$D,$B65,'DRAFT 2'!$A:$A,"&gt;="&amp;DATE(2026,7,8),'DRAFT 2'!$A:$A,"&lt;="&amp;DATE(2026,7,14))</f>
        <v/>
      </c>
      <c r="FW65" s="116">
        <f>COUNTIFS('DRAFT 2'!$D:$D,$B65,'DRAFT 2'!$A:$A,"&gt;="&amp;DATE(2026,7,15),'DRAFT 2'!$A:$A,"&lt;="&amp;DATE(2026,7,21))</f>
        <v/>
      </c>
      <c r="FX65" s="116">
        <f>COUNTIFS('DRAFT 2'!$D:$D,$B65,'DRAFT 2'!$A:$A,"&gt;="&amp;DATE(2026,7,22),'DRAFT 2'!$A:$A,"&lt;"&amp;DATE(2026,IF(7=12,7+1,7+1),1))</f>
        <v/>
      </c>
      <c r="FY65" s="116">
        <f>SUM(FU65:FX65)</f>
        <v/>
      </c>
      <c r="GI65" s="116">
        <f>IFERROR(LOOKUP(2,1/('DRAFT 2'!$D:$D=$B65)*('DRAFT 2'!$A:$A&gt;=DATE(2026,8,1))*('DRAFT 2'!$A:$A&lt;DATE(2026,IF(8=12,8+1,8+1),1)),'DRAFT 2'!$A:$A),"")</f>
        <v/>
      </c>
      <c r="GJ65" s="116">
        <f>COUNTIFS('DRAFT 2'!$D:$D,$B65,'DRAFT 2'!$A:$A,"&gt;="&amp;DATE(2026,8,1),'DRAFT 2'!$A:$A,"&lt;="&amp;DATE(2026,8,7))</f>
        <v/>
      </c>
      <c r="GK65" s="116">
        <f>COUNTIFS('DRAFT 2'!$D:$D,$B65,'DRAFT 2'!$A:$A,"&gt;="&amp;DATE(2026,8,8),'DRAFT 2'!$A:$A,"&lt;="&amp;DATE(2026,8,14))</f>
        <v/>
      </c>
      <c r="GL65" s="116">
        <f>COUNTIFS('DRAFT 2'!$D:$D,$B65,'DRAFT 2'!$A:$A,"&gt;="&amp;DATE(2026,8,15),'DRAFT 2'!$A:$A,"&lt;="&amp;DATE(2026,8,21))</f>
        <v/>
      </c>
      <c r="GM65" s="116">
        <f>COUNTIFS('DRAFT 2'!$D:$D,$B65,'DRAFT 2'!$A:$A,"&gt;="&amp;DATE(2026,8,22),'DRAFT 2'!$A:$A,"&lt;"&amp;DATE(2026,IF(8=12,8+1,8+1),1))</f>
        <v/>
      </c>
      <c r="GN65" s="116">
        <f>SUM(GJ65:GM65)</f>
        <v/>
      </c>
      <c r="GX65" s="116">
        <f>IFERROR(LOOKUP(2,1/('DRAFT 2'!$D:$D=$B65)*('DRAFT 2'!$A:$A&gt;=DATE(2026,9,1))*('DRAFT 2'!$A:$A&lt;DATE(2026,IF(9=12,9+1,9+1),1)),'DRAFT 2'!$A:$A),"")</f>
        <v/>
      </c>
      <c r="GY65" s="116">
        <f>COUNTIFS('DRAFT 2'!$D:$D,$B65,'DRAFT 2'!$A:$A,"&gt;="&amp;DATE(2026,9,1),'DRAFT 2'!$A:$A,"&lt;="&amp;DATE(2026,9,7))</f>
        <v/>
      </c>
      <c r="GZ65" s="116">
        <f>COUNTIFS('DRAFT 2'!$D:$D,$B65,'DRAFT 2'!$A:$A,"&gt;="&amp;DATE(2026,9,8),'DRAFT 2'!$A:$A,"&lt;="&amp;DATE(2026,9,14))</f>
        <v/>
      </c>
      <c r="HA65" s="116">
        <f>COUNTIFS('DRAFT 2'!$D:$D,$B65,'DRAFT 2'!$A:$A,"&gt;="&amp;DATE(2026,9,15),'DRAFT 2'!$A:$A,"&lt;="&amp;DATE(2026,9,21))</f>
        <v/>
      </c>
      <c r="HB65" s="116">
        <f>COUNTIFS('DRAFT 2'!$D:$D,$B65,'DRAFT 2'!$A:$A,"&gt;="&amp;DATE(2026,9,22),'DRAFT 2'!$A:$A,"&lt;"&amp;DATE(2026,IF(9=12,9+1,9+1),1))</f>
        <v/>
      </c>
      <c r="HC65" s="116">
        <f>SUM(GY65:HB65)</f>
        <v/>
      </c>
      <c r="HN65" s="116">
        <f>IFERROR(LOOKUP(2,1/('DRAFT 2'!$D:$D=$B65)*('DRAFT 2'!$A:$A&gt;=DATE(2026,10,1))*('DRAFT 2'!$A:$A&lt;DATE(2026,IF(10=12,10+1,10+1),1)),'DRAFT 2'!$A:$A),"")</f>
        <v/>
      </c>
      <c r="HO65" s="116">
        <f>COUNTIFS('DRAFT 2'!$D:$D,$B65,'DRAFT 2'!$A:$A,"&gt;="&amp;DATE(2026,10,1),'DRAFT 2'!$A:$A,"&lt;="&amp;DATE(2026,10,7))</f>
        <v/>
      </c>
      <c r="HP65" s="116">
        <f>COUNTIFS('DRAFT 2'!$D:$D,$B65,'DRAFT 2'!$A:$A,"&gt;="&amp;DATE(2026,10,8),'DRAFT 2'!$A:$A,"&lt;="&amp;DATE(2026,10,14))</f>
        <v/>
      </c>
      <c r="HQ65" s="116">
        <f>COUNTIFS('DRAFT 2'!$D:$D,$B65,'DRAFT 2'!$A:$A,"&gt;="&amp;DATE(2026,10,15),'DRAFT 2'!$A:$A,"&lt;="&amp;DATE(2026,10,21))</f>
        <v/>
      </c>
      <c r="HR65" s="116">
        <f>COUNTIFS('DRAFT 2'!$D:$D,$B65,'DRAFT 2'!$A:$A,"&gt;="&amp;DATE(2026,10,22),'DRAFT 2'!$A:$A,"&lt;"&amp;DATE(2026,IF(10=12,10+1,10+1),1))</f>
        <v/>
      </c>
      <c r="HS65" s="116">
        <f>SUM(HO65:HR65)</f>
        <v/>
      </c>
      <c r="IC65" s="116">
        <f>IFERROR(LOOKUP(2,1/('DRAFT 2'!$D:$D=$B65)*('DRAFT 2'!$A:$A&gt;=DATE(2026,11,1))*('DRAFT 2'!$A:$A&lt;DATE(2026,IF(11=12,11+1,11+1),1)),'DRAFT 2'!$A:$A),"")</f>
        <v/>
      </c>
      <c r="ID65" s="116">
        <f>COUNTIFS('DRAFT 2'!$D:$D,$B65,'DRAFT 2'!$A:$A,"&gt;="&amp;DATE(2026,11,1),'DRAFT 2'!$A:$A,"&lt;="&amp;DATE(2026,11,7))</f>
        <v/>
      </c>
      <c r="IE65" s="116">
        <f>COUNTIFS('DRAFT 2'!$D:$D,$B65,'DRAFT 2'!$A:$A,"&gt;="&amp;DATE(2026,11,8),'DRAFT 2'!$A:$A,"&lt;="&amp;DATE(2026,11,14))</f>
        <v/>
      </c>
      <c r="IF65" s="116">
        <f>COUNTIFS('DRAFT 2'!$D:$D,$B65,'DRAFT 2'!$A:$A,"&gt;="&amp;DATE(2026,11,15),'DRAFT 2'!$A:$A,"&lt;="&amp;DATE(2026,11,21))</f>
        <v/>
      </c>
      <c r="IG65" s="116">
        <f>COUNTIFS('DRAFT 2'!$D:$D,$B65,'DRAFT 2'!$A:$A,"&gt;="&amp;DATE(2026,11,22),'DRAFT 2'!$A:$A,"&lt;"&amp;DATE(2026,IF(11=12,11+1,11+1),1))</f>
        <v/>
      </c>
      <c r="IH65" s="116">
        <f>SUM(ID65:IG65)</f>
        <v/>
      </c>
      <c r="IR65" s="116">
        <f>IFERROR(LOOKUP(2,1/('DRAFT 2'!$D:$D=$B65)*('DRAFT 2'!$A:$A&gt;=DATE(2026,12,1))*('DRAFT 2'!$A:$A&lt;DATE(2026,IF(12=12,12+1,12+1),1)),'DRAFT 2'!$A:$A),"")</f>
        <v/>
      </c>
      <c r="IS65" s="116">
        <f>COUNTIFS('DRAFT 2'!$D:$D,$B65,'DRAFT 2'!$A:$A,"&gt;="&amp;DATE(2026,12,1),'DRAFT 2'!$A:$A,"&lt;="&amp;DATE(2026,12,7))</f>
        <v/>
      </c>
      <c r="IT65" s="116">
        <f>COUNTIFS('DRAFT 2'!$D:$D,$B65,'DRAFT 2'!$A:$A,"&gt;="&amp;DATE(2026,12,8),'DRAFT 2'!$A:$A,"&lt;="&amp;DATE(2026,12,14))</f>
        <v/>
      </c>
      <c r="IU65" s="116">
        <f>COUNTIFS('DRAFT 2'!$D:$D,$B65,'DRAFT 2'!$A:$A,"&gt;="&amp;DATE(2026,12,15),'DRAFT 2'!$A:$A,"&lt;="&amp;DATE(2026,12,21))</f>
        <v/>
      </c>
      <c r="IV65" s="116">
        <f>COUNTIFS('DRAFT 2'!$D:$D,$B65,'DRAFT 2'!$A:$A,"&gt;="&amp;DATE(2026,12,22),'DRAFT 2'!$A:$A,"&lt;"&amp;DATE(2026,IF(12=12,12+1,12+1),1))</f>
        <v/>
      </c>
      <c r="IW65" s="116">
        <f>SUM(IS65:IV65)</f>
        <v/>
      </c>
    </row>
    <row r="66">
      <c r="A66" s="116">
        <f>IFERROR(INDEX('DRAFT 1'!$A:$A,MATCH($B66,'DRAFT 1'!$B:$B,0)),"")</f>
        <v/>
      </c>
      <c r="C66" s="116">
        <f>IFERROR(INDEX('DRAFT 1'!$C:$C,MATCH($B66,'DRAFT 1'!$B:$B,0)),"")</f>
        <v/>
      </c>
      <c r="D66" s="116">
        <f>IFERROR(INDEX('DRAFT 1'!$D:$D,MATCH($B66,'DRAFT 1'!$B:$B,0)),"")</f>
        <v/>
      </c>
      <c r="E66" s="116">
        <f>IFERROR(INDEX('DRAFT 1'!$E:$E,MATCH($B66,'DRAFT 1'!$B:$B,0)),"")</f>
        <v/>
      </c>
      <c r="F66" s="116">
        <f>IFERROR(INDEX('DRAFT 1'!$F:$F,MATCH($B66,'DRAFT 1'!$B:$B,0)),"")</f>
        <v/>
      </c>
      <c r="G66" s="116">
        <f>IFERROR(INDEX('DRAFT 1'!$G:$G,MATCH($B66,'DRAFT 1'!$B:$B,0)),"")</f>
        <v/>
      </c>
      <c r="H66" s="116">
        <f>IFERROR(INDEX('DRAFT 1'!$H:$H,MATCH($B66,'DRAFT 1'!$B:$B,0)),"")</f>
        <v/>
      </c>
      <c r="I66" s="116" t="inlineStr">
        <is>
          <t>DIVINA TERRA</t>
        </is>
      </c>
      <c r="K66" s="116">
        <f>IFERROR(INDEX('DRAFT 1'!$AL:$AL,MATCH($B66,'DRAFT 1'!$B:$B,0)),"")</f>
        <v/>
      </c>
      <c r="L66" s="116">
        <f>IFERROR(INDEX('DRAFT 1'!$J:$J,MATCH($B66,'DRAFT 1'!$B:$B,0)),"")</f>
        <v/>
      </c>
      <c r="M66" s="116">
        <f>IFERROR(INDEX('DRAFT 1'!$K:$K,MATCH($B66,'DRAFT 1'!$B:$B,0)),"")</f>
        <v/>
      </c>
      <c r="N66" s="116" t="inlineStr">
        <is>
          <t>NOVO</t>
        </is>
      </c>
      <c r="P66" s="116">
        <f>IFERROR(INDEX('DRAFT 1'!$L:$L,MATCH($B66,'DRAFT 1'!$B:$B,0)),"")</f>
        <v/>
      </c>
      <c r="Q66" s="116">
        <f>IFERROR(INDEX('DRAFT 1'!$M:$M,MATCH($B66,'DRAFT 1'!$B:$B,0)),"")</f>
        <v/>
      </c>
      <c r="R66" s="116">
        <f>IFERROR(INDEX('DRAFT 1'!$N:$N,MATCH($B66,'DRAFT 1'!$B:$B,0)),"")</f>
        <v/>
      </c>
      <c r="S66" s="116">
        <f>IFERROR(INDEX('DRAFT 1'!$O:$O,MATCH($B66,'DRAFT 1'!$B:$B,0)),"")</f>
        <v/>
      </c>
      <c r="T66" s="116">
        <f>IFERROR(INDEX('DRAFT 1'!$P:$P,MATCH($B66,'DRAFT 1'!$B:$B,0)),"")</f>
        <v/>
      </c>
      <c r="U66" s="116">
        <f>IFERROR(INDEX('DRAFT 1'!$Q:$Q,MATCH($B66,'DRAFT 1'!$B:$B,0)),"")</f>
        <v/>
      </c>
      <c r="V66" s="116">
        <f>IFERROR(INDEX('DRAFT 1'!$R:$R,MATCH($B66,'DRAFT 1'!$B:$B,0)),"")</f>
        <v/>
      </c>
      <c r="W66" s="116">
        <f>IFERROR(INDEX('DRAFT 1'!$S:$S,MATCH($B66,'DRAFT 1'!$B:$B,0)),"")</f>
        <v/>
      </c>
      <c r="X66" s="116">
        <f>IFERROR(INDEX('DRAFT 1'!$T:$T,MATCH($B66,'DRAFT 1'!$B:$B,0)),"")</f>
        <v/>
      </c>
      <c r="Z66" s="116">
        <f>IFERROR(INDEX('DRAFT 1'!$U:$U,MATCH($B66,'DRAFT 1'!$B:$B,0)),"")</f>
        <v/>
      </c>
      <c r="AA66" s="116">
        <f>IFERROR(INDEX('DRAFT 1'!$V:$V,MATCH($B66,'DRAFT 1'!$B:$B,0)),"")</f>
        <v/>
      </c>
      <c r="AB66" s="116">
        <f>IFERROR(INDEX('DRAFT 1'!$W:$W,MATCH($B66,'DRAFT 1'!$B:$B,0)),"")</f>
        <v/>
      </c>
      <c r="AC66" s="116">
        <f>IFERROR(INDEX('DRAFT 1'!$X:$X,MATCH($B66,'DRAFT 1'!$B:$B,0)),"")</f>
        <v/>
      </c>
      <c r="AD66" s="116">
        <f>IFERROR(INDEX('DRAFT 1'!$Y:$Y,MATCH($B66,'DRAFT 1'!$B:$B,0)),"")</f>
        <v/>
      </c>
      <c r="AE66" s="116">
        <f>IFERROR(INDEX('DRAFT 1'!$Z:$Z,MATCH($B66,'DRAFT 1'!$B:$B,0)),"")</f>
        <v/>
      </c>
      <c r="AF66" s="116">
        <f>IFERROR(INDEX('DRAFT 1'!$AA:$AA,MATCH($B66,'DRAFT 1'!$B:$B,0)),"")</f>
        <v/>
      </c>
      <c r="AG66" s="116">
        <f>IFERROR(INDEX('DRAFT 1'!$AB:$AB,MATCH($B66,'DRAFT 1'!$B:$B,0)),"")</f>
        <v/>
      </c>
      <c r="AH66" s="116">
        <f>IFERROR(INDEX('DRAFT 1'!$AC:$AC,MATCH($B66,'DRAFT 1'!$B:$B,0)),"")</f>
        <v/>
      </c>
      <c r="AI66" s="116">
        <f>IFERROR(INDEX('DRAFT 1'!$AD:$AD,MATCH($B66,'DRAFT 1'!$B:$B,0)),"")</f>
        <v/>
      </c>
      <c r="AJ66" s="116">
        <f>IFERROR(INDEX('DRAFT 1'!$AE:$AE,MATCH($B66,'DRAFT 1'!$B:$B,0)),"")</f>
        <v/>
      </c>
      <c r="AK66" s="116">
        <f>IFERROR(INDEX('DRAFT 1'!$AG:$AG,MATCH($B66,'DRAFT 1'!$B:$B,0)),"")</f>
        <v/>
      </c>
      <c r="AL66" s="116">
        <f>IFERROR(INDEX('DRAFT 1'!$AH:$AH,MATCH($B66,'DRAFT 1'!$B:$B,0)),"")</f>
        <v/>
      </c>
      <c r="AM66" s="116">
        <f>IFERROR(INDEX('DRAFT 1'!$AI:$AI,MATCH($B66,'DRAFT 1'!$B:$B,0)),"")</f>
        <v/>
      </c>
      <c r="AN66" s="116">
        <f>IFERROR(INDEX('DRAFT 1'!$AJ:$AJ,MATCH($B66,'DRAFT 1'!$B:$B,0)),"")</f>
        <v/>
      </c>
      <c r="AO66" s="116">
        <f>IFERROR(Y66/AN66,0)</f>
        <v/>
      </c>
      <c r="AP66" s="116">
        <f>IFERROR(INDEX('DRAFT 1'!$AK:$AK,MATCH($B66,'DRAFT 1'!$B:$B,0)),"")</f>
        <v/>
      </c>
      <c r="AR66" s="116" t="inlineStr">
        <is>
          <t>PÓS-VENDA</t>
        </is>
      </c>
      <c r="AS66" s="116">
        <f>IFERROR(LOOKUP(2,1/('DRAFT 2'!$D:$D=$B66),'DRAFT 2'!$T:$T),"")</f>
        <v/>
      </c>
      <c r="AT66" s="116">
        <f>IFERROR(LOOKUP(2,1/('DRAFT 2'!$D:$D=$B66),'DRAFT 2'!$A:$A),"")</f>
        <v/>
      </c>
      <c r="AU66" s="116">
        <f>IFERROR(LOOKUP(2,1/('DRAFT 2'!$D:$D=$B66),'DRAFT 2'!$R:$R),"")</f>
        <v/>
      </c>
      <c r="AV66" s="116">
        <f>IFERROR(LOOKUP(2,1/('DRAFT 2'!$D:$D=$B66),'DRAFT 2'!$S:$S),"")</f>
        <v/>
      </c>
      <c r="AW66" s="116" t="inlineStr">
        <is>
          <t>NOVO</t>
        </is>
      </c>
      <c r="AX66" s="116">
        <f>IFERROR(LOOKUP(2,1/('DRAFT 2'!$D:$D=$B66),'DRAFT 2'!$M:$M),"")</f>
        <v/>
      </c>
      <c r="AY66" s="116">
        <f>IFERROR(LOOKUP(2,1/('DRAFT 2'!$D:$D=$B66),'DRAFT 2'!$K:$K),"")</f>
        <v/>
      </c>
      <c r="BG66" s="116">
        <f>IFERROR(LOOKUP(2,1/('DRAFT 2'!$D:$D=$B66),'DRAFT 2'!$U:$U),"")</f>
        <v/>
      </c>
      <c r="BH66" s="116">
        <f>IFERROR(LOOKUP(2,1/('DRAFT 2'!$D:$D=$B66),'DRAFT 2'!$V:$V),"")</f>
        <v/>
      </c>
      <c r="CE66" s="116">
        <f>IFERROR(AJ66,0)</f>
        <v/>
      </c>
      <c r="CF66" s="116">
        <f>IFERROR(LOOKUP(2,1/('DRAFT 2'!$D:$D=$B66)*('DRAFT 2'!$A:$A&gt;=DATE(2026,1,1))*('DRAFT 2'!$A:$A&lt;DATE(2026,IF(1=12,1+1,1+1),1)),'DRAFT 2'!$A:$A),"")</f>
        <v/>
      </c>
      <c r="CG66" s="116">
        <f>COUNTIFS('DRAFT 2'!$D:$D,$B66,'DRAFT 2'!$A:$A,"&gt;="&amp;DATE(2026,1,1),'DRAFT 2'!$A:$A,"&lt;="&amp;DATE(2026,1,7))</f>
        <v/>
      </c>
      <c r="CH66" s="116">
        <f>COUNTIFS('DRAFT 2'!$D:$D,$B66,'DRAFT 2'!$A:$A,"&gt;="&amp;DATE(2026,1,8),'DRAFT 2'!$A:$A,"&lt;="&amp;DATE(2026,1,14))</f>
        <v/>
      </c>
      <c r="CI66" s="116">
        <f>COUNTIFS('DRAFT 2'!$D:$D,$B66,'DRAFT 2'!$A:$A,"&gt;="&amp;DATE(2026,1,15),'DRAFT 2'!$A:$A,"&lt;="&amp;DATE(2026,1,21))</f>
        <v/>
      </c>
      <c r="CJ66" s="116">
        <f>COUNTIFS('DRAFT 2'!$D:$D,$B66,'DRAFT 2'!$A:$A,"&gt;="&amp;DATE(2026,1,22),'DRAFT 2'!$A:$A,"&lt;"&amp;DATE(2026,IF(1=12,1+1,1+1),1))</f>
        <v/>
      </c>
      <c r="CK66" s="116">
        <f>SUM(CG66:CJ66)</f>
        <v/>
      </c>
      <c r="CT66" s="116" t="n">
        <v>0</v>
      </c>
      <c r="CU66" s="116">
        <f>IFERROR(LOOKUP(2,1/('DRAFT 2'!$D:$D=$B66)*('DRAFT 2'!$A:$A&gt;=DATE(2026,2,1))*('DRAFT 2'!$A:$A&lt;DATE(2026,IF(2=12,2+1,2+1),1)),'DRAFT 2'!$A:$A),"")</f>
        <v/>
      </c>
      <c r="CV66" s="116">
        <f>COUNTIFS('DRAFT 2'!$D:$D,$B66,'DRAFT 2'!$A:$A,"&gt;="&amp;DATE(2026,2,1),'DRAFT 2'!$A:$A,"&lt;="&amp;DATE(2026,2,7))</f>
        <v/>
      </c>
      <c r="CW66" s="116">
        <f>COUNTIFS('DRAFT 2'!$D:$D,$B66,'DRAFT 2'!$A:$A,"&gt;="&amp;DATE(2026,2,8),'DRAFT 2'!$A:$A,"&lt;="&amp;DATE(2026,2,14))</f>
        <v/>
      </c>
      <c r="CX66" s="116">
        <f>COUNTIFS('DRAFT 2'!$D:$D,$B66,'DRAFT 2'!$A:$A,"&gt;="&amp;DATE(2026,2,15),'DRAFT 2'!$A:$A,"&lt;="&amp;DATE(2026,2,21))</f>
        <v/>
      </c>
      <c r="CY66" s="116">
        <f>COUNTIFS('DRAFT 2'!$D:$D,$B66,'DRAFT 2'!$A:$A,"&gt;="&amp;DATE(2026,2,22),'DRAFT 2'!$A:$A,"&lt;"&amp;DATE(2026,IF(2=12,2+1,2+1),1))</f>
        <v/>
      </c>
      <c r="CZ66" s="116">
        <f>SUM(CV66:CY66)</f>
        <v/>
      </c>
      <c r="DJ66" s="116">
        <f>IFERROR(LOOKUP(2,1/('DRAFT 2'!$D:$D=$B66)*('DRAFT 2'!$A:$A&gt;=DATE(2026,3,1))*('DRAFT 2'!$A:$A&lt;DATE(2026,IF(3=12,3+1,3+1),1)),'DRAFT 2'!$A:$A),"")</f>
        <v/>
      </c>
      <c r="DK66" s="116">
        <f>COUNTIFS('DRAFT 2'!$D:$D,$B66,'DRAFT 2'!$A:$A,"&gt;="&amp;DATE(2026,3,1),'DRAFT 2'!$A:$A,"&lt;="&amp;DATE(2026,3,7))</f>
        <v/>
      </c>
      <c r="DL66" s="116">
        <f>COUNTIFS('DRAFT 2'!$D:$D,$B66,'DRAFT 2'!$A:$A,"&gt;="&amp;DATE(2026,3,8),'DRAFT 2'!$A:$A,"&lt;="&amp;DATE(2026,3,14))</f>
        <v/>
      </c>
      <c r="DM66" s="116">
        <f>COUNTIFS('DRAFT 2'!$D:$D,$B66,'DRAFT 2'!$A:$A,"&gt;="&amp;DATE(2026,3,15),'DRAFT 2'!$A:$A,"&lt;="&amp;DATE(2026,3,21))</f>
        <v/>
      </c>
      <c r="DN66" s="116">
        <f>COUNTIFS('DRAFT 2'!$D:$D,$B66,'DRAFT 2'!$A:$A,"&gt;="&amp;DATE(2026,3,22),'DRAFT 2'!$A:$A,"&lt;"&amp;DATE(2026,IF(3=12,3+1,3+1),1))</f>
        <v/>
      </c>
      <c r="DO66" s="116">
        <f>SUM(DK66:DN66)</f>
        <v/>
      </c>
      <c r="DZ66" s="116">
        <f>IFERROR(LOOKUP(2,1/('DRAFT 2'!$D:$D=$B66)*('DRAFT 2'!$A:$A&gt;=DATE(2026,4,1))*('DRAFT 2'!$A:$A&lt;DATE(2026,IF(4=12,4+1,4+1),1)),'DRAFT 2'!$A:$A),"")</f>
        <v/>
      </c>
      <c r="EA66" s="116">
        <f>COUNTIFS('DRAFT 2'!$D:$D,$B66,'DRAFT 2'!$A:$A,"&gt;="&amp;DATE(2026,4,1),'DRAFT 2'!$A:$A,"&lt;="&amp;DATE(2026,4,7))</f>
        <v/>
      </c>
      <c r="EB66" s="116">
        <f>COUNTIFS('DRAFT 2'!$D:$D,$B66,'DRAFT 2'!$A:$A,"&gt;="&amp;DATE(2026,4,8),'DRAFT 2'!$A:$A,"&lt;="&amp;DATE(2026,4,14))</f>
        <v/>
      </c>
      <c r="EC66" s="116">
        <f>COUNTIFS('DRAFT 2'!$D:$D,$B66,'DRAFT 2'!$A:$A,"&gt;="&amp;DATE(2026,4,15),'DRAFT 2'!$A:$A,"&lt;="&amp;DATE(2026,4,21))</f>
        <v/>
      </c>
      <c r="ED66" s="116">
        <f>COUNTIFS('DRAFT 2'!$D:$D,$B66,'DRAFT 2'!$A:$A,"&gt;="&amp;DATE(2026,4,22),'DRAFT 2'!$A:$A,"&lt;"&amp;DATE(2026,IF(4=12,4+1,4+1),1))</f>
        <v/>
      </c>
      <c r="EE66" s="116">
        <f>SUM(EA66:ED66)</f>
        <v/>
      </c>
      <c r="EO66" s="116">
        <f>IFERROR(LOOKUP(2,1/('DRAFT 2'!$D:$D=$B66)*('DRAFT 2'!$A:$A&gt;=DATE(2026,5,1))*('DRAFT 2'!$A:$A&lt;DATE(2026,IF(5=12,5+1,5+1),1)),'DRAFT 2'!$A:$A),"")</f>
        <v/>
      </c>
      <c r="EP66" s="116">
        <f>COUNTIFS('DRAFT 2'!$D:$D,$B66,'DRAFT 2'!$A:$A,"&gt;="&amp;DATE(2026,5,1),'DRAFT 2'!$A:$A,"&lt;="&amp;DATE(2026,5,7))</f>
        <v/>
      </c>
      <c r="EQ66" s="116">
        <f>COUNTIFS('DRAFT 2'!$D:$D,$B66,'DRAFT 2'!$A:$A,"&gt;="&amp;DATE(2026,5,8),'DRAFT 2'!$A:$A,"&lt;="&amp;DATE(2026,5,14))</f>
        <v/>
      </c>
      <c r="ER66" s="116">
        <f>COUNTIFS('DRAFT 2'!$D:$D,$B66,'DRAFT 2'!$A:$A,"&gt;="&amp;DATE(2026,5,15),'DRAFT 2'!$A:$A,"&lt;="&amp;DATE(2026,5,21))</f>
        <v/>
      </c>
      <c r="ES66" s="116">
        <f>COUNTIFS('DRAFT 2'!$D:$D,$B66,'DRAFT 2'!$A:$A,"&gt;="&amp;DATE(2026,5,22),'DRAFT 2'!$A:$A,"&lt;"&amp;DATE(2026,IF(5=12,5+1,5+1),1))</f>
        <v/>
      </c>
      <c r="ET66" s="116">
        <f>SUM(EP66:ES66)</f>
        <v/>
      </c>
      <c r="FD66" s="116">
        <f>IFERROR(LOOKUP(2,1/('DRAFT 2'!$D:$D=$B66)*('DRAFT 2'!$A:$A&gt;=DATE(2026,6,1))*('DRAFT 2'!$A:$A&lt;DATE(2026,IF(6=12,6+1,6+1),1)),'DRAFT 2'!$A:$A),"")</f>
        <v/>
      </c>
      <c r="FE66" s="116">
        <f>COUNTIFS('DRAFT 2'!$D:$D,$B66,'DRAFT 2'!$A:$A,"&gt;="&amp;DATE(2026,6,1),'DRAFT 2'!$A:$A,"&lt;="&amp;DATE(2026,6,7))</f>
        <v/>
      </c>
      <c r="FF66" s="116">
        <f>COUNTIFS('DRAFT 2'!$D:$D,$B66,'DRAFT 2'!$A:$A,"&gt;="&amp;DATE(2026,6,8),'DRAFT 2'!$A:$A,"&lt;="&amp;DATE(2026,6,14))</f>
        <v/>
      </c>
      <c r="FG66" s="116">
        <f>COUNTIFS('DRAFT 2'!$D:$D,$B66,'DRAFT 2'!$A:$A,"&gt;="&amp;DATE(2026,6,15),'DRAFT 2'!$A:$A,"&lt;="&amp;DATE(2026,6,21))</f>
        <v/>
      </c>
      <c r="FH66" s="116">
        <f>COUNTIFS('DRAFT 2'!$D:$D,$B66,'DRAFT 2'!$A:$A,"&gt;="&amp;DATE(2026,6,22),'DRAFT 2'!$A:$A,"&lt;"&amp;DATE(2026,IF(6=12,6+1,6+1),1))</f>
        <v/>
      </c>
      <c r="FI66" s="116">
        <f>SUM(FE66:FH66)</f>
        <v/>
      </c>
      <c r="FT66" s="116">
        <f>IFERROR(LOOKUP(2,1/('DRAFT 2'!$D:$D=$B66)*('DRAFT 2'!$A:$A&gt;=DATE(2026,7,1))*('DRAFT 2'!$A:$A&lt;DATE(2026,IF(7=12,7+1,7+1),1)),'DRAFT 2'!$A:$A),"")</f>
        <v/>
      </c>
      <c r="FU66" s="116">
        <f>COUNTIFS('DRAFT 2'!$D:$D,$B66,'DRAFT 2'!$A:$A,"&gt;="&amp;DATE(2026,7,1),'DRAFT 2'!$A:$A,"&lt;="&amp;DATE(2026,7,7))</f>
        <v/>
      </c>
      <c r="FV66" s="116">
        <f>COUNTIFS('DRAFT 2'!$D:$D,$B66,'DRAFT 2'!$A:$A,"&gt;="&amp;DATE(2026,7,8),'DRAFT 2'!$A:$A,"&lt;="&amp;DATE(2026,7,14))</f>
        <v/>
      </c>
      <c r="FW66" s="116">
        <f>COUNTIFS('DRAFT 2'!$D:$D,$B66,'DRAFT 2'!$A:$A,"&gt;="&amp;DATE(2026,7,15),'DRAFT 2'!$A:$A,"&lt;="&amp;DATE(2026,7,21))</f>
        <v/>
      </c>
      <c r="FX66" s="116">
        <f>COUNTIFS('DRAFT 2'!$D:$D,$B66,'DRAFT 2'!$A:$A,"&gt;="&amp;DATE(2026,7,22),'DRAFT 2'!$A:$A,"&lt;"&amp;DATE(2026,IF(7=12,7+1,7+1),1))</f>
        <v/>
      </c>
      <c r="FY66" s="116">
        <f>SUM(FU66:FX66)</f>
        <v/>
      </c>
      <c r="GI66" s="116">
        <f>IFERROR(LOOKUP(2,1/('DRAFT 2'!$D:$D=$B66)*('DRAFT 2'!$A:$A&gt;=DATE(2026,8,1))*('DRAFT 2'!$A:$A&lt;DATE(2026,IF(8=12,8+1,8+1),1)),'DRAFT 2'!$A:$A),"")</f>
        <v/>
      </c>
      <c r="GJ66" s="116">
        <f>COUNTIFS('DRAFT 2'!$D:$D,$B66,'DRAFT 2'!$A:$A,"&gt;="&amp;DATE(2026,8,1),'DRAFT 2'!$A:$A,"&lt;="&amp;DATE(2026,8,7))</f>
        <v/>
      </c>
      <c r="GK66" s="116">
        <f>COUNTIFS('DRAFT 2'!$D:$D,$B66,'DRAFT 2'!$A:$A,"&gt;="&amp;DATE(2026,8,8),'DRAFT 2'!$A:$A,"&lt;="&amp;DATE(2026,8,14))</f>
        <v/>
      </c>
      <c r="GL66" s="116">
        <f>COUNTIFS('DRAFT 2'!$D:$D,$B66,'DRAFT 2'!$A:$A,"&gt;="&amp;DATE(2026,8,15),'DRAFT 2'!$A:$A,"&lt;="&amp;DATE(2026,8,21))</f>
        <v/>
      </c>
      <c r="GM66" s="116">
        <f>COUNTIFS('DRAFT 2'!$D:$D,$B66,'DRAFT 2'!$A:$A,"&gt;="&amp;DATE(2026,8,22),'DRAFT 2'!$A:$A,"&lt;"&amp;DATE(2026,IF(8=12,8+1,8+1),1))</f>
        <v/>
      </c>
      <c r="GN66" s="116">
        <f>SUM(GJ66:GM66)</f>
        <v/>
      </c>
      <c r="GX66" s="116">
        <f>IFERROR(LOOKUP(2,1/('DRAFT 2'!$D:$D=$B66)*('DRAFT 2'!$A:$A&gt;=DATE(2026,9,1))*('DRAFT 2'!$A:$A&lt;DATE(2026,IF(9=12,9+1,9+1),1)),'DRAFT 2'!$A:$A),"")</f>
        <v/>
      </c>
      <c r="GY66" s="116">
        <f>COUNTIFS('DRAFT 2'!$D:$D,$B66,'DRAFT 2'!$A:$A,"&gt;="&amp;DATE(2026,9,1),'DRAFT 2'!$A:$A,"&lt;="&amp;DATE(2026,9,7))</f>
        <v/>
      </c>
      <c r="GZ66" s="116">
        <f>COUNTIFS('DRAFT 2'!$D:$D,$B66,'DRAFT 2'!$A:$A,"&gt;="&amp;DATE(2026,9,8),'DRAFT 2'!$A:$A,"&lt;="&amp;DATE(2026,9,14))</f>
        <v/>
      </c>
      <c r="HA66" s="116">
        <f>COUNTIFS('DRAFT 2'!$D:$D,$B66,'DRAFT 2'!$A:$A,"&gt;="&amp;DATE(2026,9,15),'DRAFT 2'!$A:$A,"&lt;="&amp;DATE(2026,9,21))</f>
        <v/>
      </c>
      <c r="HB66" s="116">
        <f>COUNTIFS('DRAFT 2'!$D:$D,$B66,'DRAFT 2'!$A:$A,"&gt;="&amp;DATE(2026,9,22),'DRAFT 2'!$A:$A,"&lt;"&amp;DATE(2026,IF(9=12,9+1,9+1),1))</f>
        <v/>
      </c>
      <c r="HC66" s="116">
        <f>SUM(GY66:HB66)</f>
        <v/>
      </c>
      <c r="HN66" s="116">
        <f>IFERROR(LOOKUP(2,1/('DRAFT 2'!$D:$D=$B66)*('DRAFT 2'!$A:$A&gt;=DATE(2026,10,1))*('DRAFT 2'!$A:$A&lt;DATE(2026,IF(10=12,10+1,10+1),1)),'DRAFT 2'!$A:$A),"")</f>
        <v/>
      </c>
      <c r="HO66" s="116">
        <f>COUNTIFS('DRAFT 2'!$D:$D,$B66,'DRAFT 2'!$A:$A,"&gt;="&amp;DATE(2026,10,1),'DRAFT 2'!$A:$A,"&lt;="&amp;DATE(2026,10,7))</f>
        <v/>
      </c>
      <c r="HP66" s="116">
        <f>COUNTIFS('DRAFT 2'!$D:$D,$B66,'DRAFT 2'!$A:$A,"&gt;="&amp;DATE(2026,10,8),'DRAFT 2'!$A:$A,"&lt;="&amp;DATE(2026,10,14))</f>
        <v/>
      </c>
      <c r="HQ66" s="116">
        <f>COUNTIFS('DRAFT 2'!$D:$D,$B66,'DRAFT 2'!$A:$A,"&gt;="&amp;DATE(2026,10,15),'DRAFT 2'!$A:$A,"&lt;="&amp;DATE(2026,10,21))</f>
        <v/>
      </c>
      <c r="HR66" s="116">
        <f>COUNTIFS('DRAFT 2'!$D:$D,$B66,'DRAFT 2'!$A:$A,"&gt;="&amp;DATE(2026,10,22),'DRAFT 2'!$A:$A,"&lt;"&amp;DATE(2026,IF(10=12,10+1,10+1),1))</f>
        <v/>
      </c>
      <c r="HS66" s="116">
        <f>SUM(HO66:HR66)</f>
        <v/>
      </c>
      <c r="IC66" s="116">
        <f>IFERROR(LOOKUP(2,1/('DRAFT 2'!$D:$D=$B66)*('DRAFT 2'!$A:$A&gt;=DATE(2026,11,1))*('DRAFT 2'!$A:$A&lt;DATE(2026,IF(11=12,11+1,11+1),1)),'DRAFT 2'!$A:$A),"")</f>
        <v/>
      </c>
      <c r="ID66" s="116">
        <f>COUNTIFS('DRAFT 2'!$D:$D,$B66,'DRAFT 2'!$A:$A,"&gt;="&amp;DATE(2026,11,1),'DRAFT 2'!$A:$A,"&lt;="&amp;DATE(2026,11,7))</f>
        <v/>
      </c>
      <c r="IE66" s="116">
        <f>COUNTIFS('DRAFT 2'!$D:$D,$B66,'DRAFT 2'!$A:$A,"&gt;="&amp;DATE(2026,11,8),'DRAFT 2'!$A:$A,"&lt;="&amp;DATE(2026,11,14))</f>
        <v/>
      </c>
      <c r="IF66" s="116">
        <f>COUNTIFS('DRAFT 2'!$D:$D,$B66,'DRAFT 2'!$A:$A,"&gt;="&amp;DATE(2026,11,15),'DRAFT 2'!$A:$A,"&lt;="&amp;DATE(2026,11,21))</f>
        <v/>
      </c>
      <c r="IG66" s="116">
        <f>COUNTIFS('DRAFT 2'!$D:$D,$B66,'DRAFT 2'!$A:$A,"&gt;="&amp;DATE(2026,11,22),'DRAFT 2'!$A:$A,"&lt;"&amp;DATE(2026,IF(11=12,11+1,11+1),1))</f>
        <v/>
      </c>
      <c r="IH66" s="116">
        <f>SUM(ID66:IG66)</f>
        <v/>
      </c>
      <c r="IR66" s="116">
        <f>IFERROR(LOOKUP(2,1/('DRAFT 2'!$D:$D=$B66)*('DRAFT 2'!$A:$A&gt;=DATE(2026,12,1))*('DRAFT 2'!$A:$A&lt;DATE(2026,IF(12=12,12+1,12+1),1)),'DRAFT 2'!$A:$A),"")</f>
        <v/>
      </c>
      <c r="IS66" s="116">
        <f>COUNTIFS('DRAFT 2'!$D:$D,$B66,'DRAFT 2'!$A:$A,"&gt;="&amp;DATE(2026,12,1),'DRAFT 2'!$A:$A,"&lt;="&amp;DATE(2026,12,7))</f>
        <v/>
      </c>
      <c r="IT66" s="116">
        <f>COUNTIFS('DRAFT 2'!$D:$D,$B66,'DRAFT 2'!$A:$A,"&gt;="&amp;DATE(2026,12,8),'DRAFT 2'!$A:$A,"&lt;="&amp;DATE(2026,12,14))</f>
        <v/>
      </c>
      <c r="IU66" s="116">
        <f>COUNTIFS('DRAFT 2'!$D:$D,$B66,'DRAFT 2'!$A:$A,"&gt;="&amp;DATE(2026,12,15),'DRAFT 2'!$A:$A,"&lt;="&amp;DATE(2026,12,21))</f>
        <v/>
      </c>
      <c r="IV66" s="116">
        <f>COUNTIFS('DRAFT 2'!$D:$D,$B66,'DRAFT 2'!$A:$A,"&gt;="&amp;DATE(2026,12,22),'DRAFT 2'!$A:$A,"&lt;"&amp;DATE(2026,IF(12=12,12+1,12+1),1))</f>
        <v/>
      </c>
      <c r="IW66" s="116">
        <f>SUM(IS66:IV66)</f>
        <v/>
      </c>
    </row>
    <row r="67">
      <c r="A67" s="116">
        <f>IFERROR(INDEX('DRAFT 1'!$A:$A,MATCH($B67,'DRAFT 1'!$B:$B,0)),"")</f>
        <v/>
      </c>
      <c r="C67" s="116">
        <f>IFERROR(INDEX('DRAFT 1'!$C:$C,MATCH($B67,'DRAFT 1'!$B:$B,0)),"")</f>
        <v/>
      </c>
      <c r="D67" s="116">
        <f>IFERROR(INDEX('DRAFT 1'!$D:$D,MATCH($B67,'DRAFT 1'!$B:$B,0)),"")</f>
        <v/>
      </c>
      <c r="E67" s="116">
        <f>IFERROR(INDEX('DRAFT 1'!$E:$E,MATCH($B67,'DRAFT 1'!$B:$B,0)),"")</f>
        <v/>
      </c>
      <c r="F67" s="116">
        <f>IFERROR(INDEX('DRAFT 1'!$F:$F,MATCH($B67,'DRAFT 1'!$B:$B,0)),"")</f>
        <v/>
      </c>
      <c r="G67" s="116">
        <f>IFERROR(INDEX('DRAFT 1'!$G:$G,MATCH($B67,'DRAFT 1'!$B:$B,0)),"")</f>
        <v/>
      </c>
      <c r="H67" s="116">
        <f>IFERROR(INDEX('DRAFT 1'!$H:$H,MATCH($B67,'DRAFT 1'!$B:$B,0)),"")</f>
        <v/>
      </c>
      <c r="I67" s="116" t="inlineStr">
        <is>
          <t>BIOMUNDO</t>
        </is>
      </c>
      <c r="K67" s="116">
        <f>IFERROR(INDEX('DRAFT 1'!$AL:$AL,MATCH($B67,'DRAFT 1'!$B:$B,0)),"")</f>
        <v/>
      </c>
      <c r="L67" s="116">
        <f>IFERROR(INDEX('DRAFT 1'!$J:$J,MATCH($B67,'DRAFT 1'!$B:$B,0)),"")</f>
        <v/>
      </c>
      <c r="M67" s="116">
        <f>IFERROR(INDEX('DRAFT 1'!$K:$K,MATCH($B67,'DRAFT 1'!$B:$B,0)),"")</f>
        <v/>
      </c>
      <c r="N67" s="116" t="inlineStr">
        <is>
          <t>ATIVO</t>
        </is>
      </c>
      <c r="P67" s="116">
        <f>IFERROR(INDEX('DRAFT 1'!$L:$L,MATCH($B67,'DRAFT 1'!$B:$B,0)),"")</f>
        <v/>
      </c>
      <c r="Q67" s="116">
        <f>IFERROR(INDEX('DRAFT 1'!$M:$M,MATCH($B67,'DRAFT 1'!$B:$B,0)),"")</f>
        <v/>
      </c>
      <c r="R67" s="116">
        <f>IFERROR(INDEX('DRAFT 1'!$N:$N,MATCH($B67,'DRAFT 1'!$B:$B,0)),"")</f>
        <v/>
      </c>
      <c r="S67" s="116">
        <f>IFERROR(INDEX('DRAFT 1'!$O:$O,MATCH($B67,'DRAFT 1'!$B:$B,0)),"")</f>
        <v/>
      </c>
      <c r="T67" s="116">
        <f>IFERROR(INDEX('DRAFT 1'!$P:$P,MATCH($B67,'DRAFT 1'!$B:$B,0)),"")</f>
        <v/>
      </c>
      <c r="U67" s="116">
        <f>IFERROR(INDEX('DRAFT 1'!$Q:$Q,MATCH($B67,'DRAFT 1'!$B:$B,0)),"")</f>
        <v/>
      </c>
      <c r="V67" s="116">
        <f>IFERROR(INDEX('DRAFT 1'!$R:$R,MATCH($B67,'DRAFT 1'!$B:$B,0)),"")</f>
        <v/>
      </c>
      <c r="W67" s="116">
        <f>IFERROR(INDEX('DRAFT 1'!$S:$S,MATCH($B67,'DRAFT 1'!$B:$B,0)),"")</f>
        <v/>
      </c>
      <c r="X67" s="116">
        <f>IFERROR(INDEX('DRAFT 1'!$T:$T,MATCH($B67,'DRAFT 1'!$B:$B,0)),"")</f>
        <v/>
      </c>
      <c r="Z67" s="116">
        <f>IFERROR(INDEX('DRAFT 1'!$U:$U,MATCH($B67,'DRAFT 1'!$B:$B,0)),"")</f>
        <v/>
      </c>
      <c r="AA67" s="116">
        <f>IFERROR(INDEX('DRAFT 1'!$V:$V,MATCH($B67,'DRAFT 1'!$B:$B,0)),"")</f>
        <v/>
      </c>
      <c r="AB67" s="116">
        <f>IFERROR(INDEX('DRAFT 1'!$W:$W,MATCH($B67,'DRAFT 1'!$B:$B,0)),"")</f>
        <v/>
      </c>
      <c r="AC67" s="116">
        <f>IFERROR(INDEX('DRAFT 1'!$X:$X,MATCH($B67,'DRAFT 1'!$B:$B,0)),"")</f>
        <v/>
      </c>
      <c r="AD67" s="116">
        <f>IFERROR(INDEX('DRAFT 1'!$Y:$Y,MATCH($B67,'DRAFT 1'!$B:$B,0)),"")</f>
        <v/>
      </c>
      <c r="AE67" s="116">
        <f>IFERROR(INDEX('DRAFT 1'!$Z:$Z,MATCH($B67,'DRAFT 1'!$B:$B,0)),"")</f>
        <v/>
      </c>
      <c r="AF67" s="116">
        <f>IFERROR(INDEX('DRAFT 1'!$AA:$AA,MATCH($B67,'DRAFT 1'!$B:$B,0)),"")</f>
        <v/>
      </c>
      <c r="AG67" s="116">
        <f>IFERROR(INDEX('DRAFT 1'!$AB:$AB,MATCH($B67,'DRAFT 1'!$B:$B,0)),"")</f>
        <v/>
      </c>
      <c r="AH67" s="116">
        <f>IFERROR(INDEX('DRAFT 1'!$AC:$AC,MATCH($B67,'DRAFT 1'!$B:$B,0)),"")</f>
        <v/>
      </c>
      <c r="AI67" s="116">
        <f>IFERROR(INDEX('DRAFT 1'!$AD:$AD,MATCH($B67,'DRAFT 1'!$B:$B,0)),"")</f>
        <v/>
      </c>
      <c r="AJ67" s="116">
        <f>IFERROR(INDEX('DRAFT 1'!$AE:$AE,MATCH($B67,'DRAFT 1'!$B:$B,0)),"")</f>
        <v/>
      </c>
      <c r="AK67" s="116">
        <f>IFERROR(INDEX('DRAFT 1'!$AG:$AG,MATCH($B67,'DRAFT 1'!$B:$B,0)),"")</f>
        <v/>
      </c>
      <c r="AL67" s="116">
        <f>IFERROR(INDEX('DRAFT 1'!$AH:$AH,MATCH($B67,'DRAFT 1'!$B:$B,0)),"")</f>
        <v/>
      </c>
      <c r="AM67" s="116">
        <f>IFERROR(INDEX('DRAFT 1'!$AI:$AI,MATCH($B67,'DRAFT 1'!$B:$B,0)),"")</f>
        <v/>
      </c>
      <c r="AN67" s="116">
        <f>IFERROR(INDEX('DRAFT 1'!$AJ:$AJ,MATCH($B67,'DRAFT 1'!$B:$B,0)),"")</f>
        <v/>
      </c>
      <c r="AO67" s="116">
        <f>IFERROR(Y67/AN67,0)</f>
        <v/>
      </c>
      <c r="AP67" s="116">
        <f>IFERROR(INDEX('DRAFT 1'!$AK:$AK,MATCH($B67,'DRAFT 1'!$B:$B,0)),"")</f>
        <v/>
      </c>
      <c r="AR67" s="116" t="inlineStr">
        <is>
          <t>EM ATENDIMENTO</t>
        </is>
      </c>
      <c r="AS67" s="116">
        <f>IFERROR(LOOKUP(2,1/('DRAFT 2'!$D:$D=$B67),'DRAFT 2'!$T:$T),"")</f>
        <v/>
      </c>
      <c r="AT67" s="116">
        <f>IFERROR(LOOKUP(2,1/('DRAFT 2'!$D:$D=$B67),'DRAFT 2'!$A:$A),"")</f>
        <v/>
      </c>
      <c r="AU67" s="116">
        <f>IFERROR(LOOKUP(2,1/('DRAFT 2'!$D:$D=$B67),'DRAFT 2'!$R:$R),"")</f>
        <v/>
      </c>
      <c r="AV67" s="116">
        <f>IFERROR(LOOKUP(2,1/('DRAFT 2'!$D:$D=$B67),'DRAFT 2'!$S:$S),"")</f>
        <v/>
      </c>
      <c r="AW67" s="116" t="inlineStr">
        <is>
          <t>LEAD</t>
        </is>
      </c>
      <c r="AX67" s="116">
        <f>IFERROR(LOOKUP(2,1/('DRAFT 2'!$D:$D=$B67),'DRAFT 2'!$M:$M),"")</f>
        <v/>
      </c>
      <c r="AY67" s="116">
        <f>IFERROR(LOOKUP(2,1/('DRAFT 2'!$D:$D=$B67),'DRAFT 2'!$K:$K),"")</f>
        <v/>
      </c>
      <c r="BG67" s="116">
        <f>IFERROR(LOOKUP(2,1/('DRAFT 2'!$D:$D=$B67),'DRAFT 2'!$U:$U),"")</f>
        <v/>
      </c>
      <c r="BH67" s="116">
        <f>IFERROR(LOOKUP(2,1/('DRAFT 2'!$D:$D=$B67),'DRAFT 2'!$V:$V),"")</f>
        <v/>
      </c>
      <c r="CE67" s="116">
        <f>IFERROR(AJ67,0)</f>
        <v/>
      </c>
      <c r="CF67" s="116">
        <f>IFERROR(LOOKUP(2,1/('DRAFT 2'!$D:$D=$B67)*('DRAFT 2'!$A:$A&gt;=DATE(2026,1,1))*('DRAFT 2'!$A:$A&lt;DATE(2026,IF(1=12,1+1,1+1),1)),'DRAFT 2'!$A:$A),"")</f>
        <v/>
      </c>
      <c r="CG67" s="116">
        <f>COUNTIFS('DRAFT 2'!$D:$D,$B67,'DRAFT 2'!$A:$A,"&gt;="&amp;DATE(2026,1,1),'DRAFT 2'!$A:$A,"&lt;="&amp;DATE(2026,1,7))</f>
        <v/>
      </c>
      <c r="CH67" s="116">
        <f>COUNTIFS('DRAFT 2'!$D:$D,$B67,'DRAFT 2'!$A:$A,"&gt;="&amp;DATE(2026,1,8),'DRAFT 2'!$A:$A,"&lt;="&amp;DATE(2026,1,14))</f>
        <v/>
      </c>
      <c r="CI67" s="116">
        <f>COUNTIFS('DRAFT 2'!$D:$D,$B67,'DRAFT 2'!$A:$A,"&gt;="&amp;DATE(2026,1,15),'DRAFT 2'!$A:$A,"&lt;="&amp;DATE(2026,1,21))</f>
        <v/>
      </c>
      <c r="CJ67" s="116">
        <f>COUNTIFS('DRAFT 2'!$D:$D,$B67,'DRAFT 2'!$A:$A,"&gt;="&amp;DATE(2026,1,22),'DRAFT 2'!$A:$A,"&lt;"&amp;DATE(2026,IF(1=12,1+1,1+1),1))</f>
        <v/>
      </c>
      <c r="CK67" s="116">
        <f>SUM(CG67:CJ67)</f>
        <v/>
      </c>
      <c r="CT67" s="116" t="n">
        <v>0</v>
      </c>
      <c r="CU67" s="116">
        <f>IFERROR(LOOKUP(2,1/('DRAFT 2'!$D:$D=$B67)*('DRAFT 2'!$A:$A&gt;=DATE(2026,2,1))*('DRAFT 2'!$A:$A&lt;DATE(2026,IF(2=12,2+1,2+1),1)),'DRAFT 2'!$A:$A),"")</f>
        <v/>
      </c>
      <c r="CV67" s="116">
        <f>COUNTIFS('DRAFT 2'!$D:$D,$B67,'DRAFT 2'!$A:$A,"&gt;="&amp;DATE(2026,2,1),'DRAFT 2'!$A:$A,"&lt;="&amp;DATE(2026,2,7))</f>
        <v/>
      </c>
      <c r="CW67" s="116">
        <f>COUNTIFS('DRAFT 2'!$D:$D,$B67,'DRAFT 2'!$A:$A,"&gt;="&amp;DATE(2026,2,8),'DRAFT 2'!$A:$A,"&lt;="&amp;DATE(2026,2,14))</f>
        <v/>
      </c>
      <c r="CX67" s="116">
        <f>COUNTIFS('DRAFT 2'!$D:$D,$B67,'DRAFT 2'!$A:$A,"&gt;="&amp;DATE(2026,2,15),'DRAFT 2'!$A:$A,"&lt;="&amp;DATE(2026,2,21))</f>
        <v/>
      </c>
      <c r="CY67" s="116">
        <f>COUNTIFS('DRAFT 2'!$D:$D,$B67,'DRAFT 2'!$A:$A,"&gt;="&amp;DATE(2026,2,22),'DRAFT 2'!$A:$A,"&lt;"&amp;DATE(2026,IF(2=12,2+1,2+1),1))</f>
        <v/>
      </c>
      <c r="CZ67" s="116">
        <f>SUM(CV67:CY67)</f>
        <v/>
      </c>
      <c r="DJ67" s="116">
        <f>IFERROR(LOOKUP(2,1/('DRAFT 2'!$D:$D=$B67)*('DRAFT 2'!$A:$A&gt;=DATE(2026,3,1))*('DRAFT 2'!$A:$A&lt;DATE(2026,IF(3=12,3+1,3+1),1)),'DRAFT 2'!$A:$A),"")</f>
        <v/>
      </c>
      <c r="DK67" s="116">
        <f>COUNTIFS('DRAFT 2'!$D:$D,$B67,'DRAFT 2'!$A:$A,"&gt;="&amp;DATE(2026,3,1),'DRAFT 2'!$A:$A,"&lt;="&amp;DATE(2026,3,7))</f>
        <v/>
      </c>
      <c r="DL67" s="116">
        <f>COUNTIFS('DRAFT 2'!$D:$D,$B67,'DRAFT 2'!$A:$A,"&gt;="&amp;DATE(2026,3,8),'DRAFT 2'!$A:$A,"&lt;="&amp;DATE(2026,3,14))</f>
        <v/>
      </c>
      <c r="DM67" s="116">
        <f>COUNTIFS('DRAFT 2'!$D:$D,$B67,'DRAFT 2'!$A:$A,"&gt;="&amp;DATE(2026,3,15),'DRAFT 2'!$A:$A,"&lt;="&amp;DATE(2026,3,21))</f>
        <v/>
      </c>
      <c r="DN67" s="116">
        <f>COUNTIFS('DRAFT 2'!$D:$D,$B67,'DRAFT 2'!$A:$A,"&gt;="&amp;DATE(2026,3,22),'DRAFT 2'!$A:$A,"&lt;"&amp;DATE(2026,IF(3=12,3+1,3+1),1))</f>
        <v/>
      </c>
      <c r="DO67" s="116">
        <f>SUM(DK67:DN67)</f>
        <v/>
      </c>
      <c r="DZ67" s="116">
        <f>IFERROR(LOOKUP(2,1/('DRAFT 2'!$D:$D=$B67)*('DRAFT 2'!$A:$A&gt;=DATE(2026,4,1))*('DRAFT 2'!$A:$A&lt;DATE(2026,IF(4=12,4+1,4+1),1)),'DRAFT 2'!$A:$A),"")</f>
        <v/>
      </c>
      <c r="EA67" s="116">
        <f>COUNTIFS('DRAFT 2'!$D:$D,$B67,'DRAFT 2'!$A:$A,"&gt;="&amp;DATE(2026,4,1),'DRAFT 2'!$A:$A,"&lt;="&amp;DATE(2026,4,7))</f>
        <v/>
      </c>
      <c r="EB67" s="116">
        <f>COUNTIFS('DRAFT 2'!$D:$D,$B67,'DRAFT 2'!$A:$A,"&gt;="&amp;DATE(2026,4,8),'DRAFT 2'!$A:$A,"&lt;="&amp;DATE(2026,4,14))</f>
        <v/>
      </c>
      <c r="EC67" s="116">
        <f>COUNTIFS('DRAFT 2'!$D:$D,$B67,'DRAFT 2'!$A:$A,"&gt;="&amp;DATE(2026,4,15),'DRAFT 2'!$A:$A,"&lt;="&amp;DATE(2026,4,21))</f>
        <v/>
      </c>
      <c r="ED67" s="116">
        <f>COUNTIFS('DRAFT 2'!$D:$D,$B67,'DRAFT 2'!$A:$A,"&gt;="&amp;DATE(2026,4,22),'DRAFT 2'!$A:$A,"&lt;"&amp;DATE(2026,IF(4=12,4+1,4+1),1))</f>
        <v/>
      </c>
      <c r="EE67" s="116">
        <f>SUM(EA67:ED67)</f>
        <v/>
      </c>
      <c r="EO67" s="116">
        <f>IFERROR(LOOKUP(2,1/('DRAFT 2'!$D:$D=$B67)*('DRAFT 2'!$A:$A&gt;=DATE(2026,5,1))*('DRAFT 2'!$A:$A&lt;DATE(2026,IF(5=12,5+1,5+1),1)),'DRAFT 2'!$A:$A),"")</f>
        <v/>
      </c>
      <c r="EP67" s="116">
        <f>COUNTIFS('DRAFT 2'!$D:$D,$B67,'DRAFT 2'!$A:$A,"&gt;="&amp;DATE(2026,5,1),'DRAFT 2'!$A:$A,"&lt;="&amp;DATE(2026,5,7))</f>
        <v/>
      </c>
      <c r="EQ67" s="116">
        <f>COUNTIFS('DRAFT 2'!$D:$D,$B67,'DRAFT 2'!$A:$A,"&gt;="&amp;DATE(2026,5,8),'DRAFT 2'!$A:$A,"&lt;="&amp;DATE(2026,5,14))</f>
        <v/>
      </c>
      <c r="ER67" s="116">
        <f>COUNTIFS('DRAFT 2'!$D:$D,$B67,'DRAFT 2'!$A:$A,"&gt;="&amp;DATE(2026,5,15),'DRAFT 2'!$A:$A,"&lt;="&amp;DATE(2026,5,21))</f>
        <v/>
      </c>
      <c r="ES67" s="116">
        <f>COUNTIFS('DRAFT 2'!$D:$D,$B67,'DRAFT 2'!$A:$A,"&gt;="&amp;DATE(2026,5,22),'DRAFT 2'!$A:$A,"&lt;"&amp;DATE(2026,IF(5=12,5+1,5+1),1))</f>
        <v/>
      </c>
      <c r="ET67" s="116">
        <f>SUM(EP67:ES67)</f>
        <v/>
      </c>
      <c r="FD67" s="116">
        <f>IFERROR(LOOKUP(2,1/('DRAFT 2'!$D:$D=$B67)*('DRAFT 2'!$A:$A&gt;=DATE(2026,6,1))*('DRAFT 2'!$A:$A&lt;DATE(2026,IF(6=12,6+1,6+1),1)),'DRAFT 2'!$A:$A),"")</f>
        <v/>
      </c>
      <c r="FE67" s="116">
        <f>COUNTIFS('DRAFT 2'!$D:$D,$B67,'DRAFT 2'!$A:$A,"&gt;="&amp;DATE(2026,6,1),'DRAFT 2'!$A:$A,"&lt;="&amp;DATE(2026,6,7))</f>
        <v/>
      </c>
      <c r="FF67" s="116">
        <f>COUNTIFS('DRAFT 2'!$D:$D,$B67,'DRAFT 2'!$A:$A,"&gt;="&amp;DATE(2026,6,8),'DRAFT 2'!$A:$A,"&lt;="&amp;DATE(2026,6,14))</f>
        <v/>
      </c>
      <c r="FG67" s="116">
        <f>COUNTIFS('DRAFT 2'!$D:$D,$B67,'DRAFT 2'!$A:$A,"&gt;="&amp;DATE(2026,6,15),'DRAFT 2'!$A:$A,"&lt;="&amp;DATE(2026,6,21))</f>
        <v/>
      </c>
      <c r="FH67" s="116">
        <f>COUNTIFS('DRAFT 2'!$D:$D,$B67,'DRAFT 2'!$A:$A,"&gt;="&amp;DATE(2026,6,22),'DRAFT 2'!$A:$A,"&lt;"&amp;DATE(2026,IF(6=12,6+1,6+1),1))</f>
        <v/>
      </c>
      <c r="FI67" s="116">
        <f>SUM(FE67:FH67)</f>
        <v/>
      </c>
      <c r="FT67" s="116">
        <f>IFERROR(LOOKUP(2,1/('DRAFT 2'!$D:$D=$B67)*('DRAFT 2'!$A:$A&gt;=DATE(2026,7,1))*('DRAFT 2'!$A:$A&lt;DATE(2026,IF(7=12,7+1,7+1),1)),'DRAFT 2'!$A:$A),"")</f>
        <v/>
      </c>
      <c r="FU67" s="116">
        <f>COUNTIFS('DRAFT 2'!$D:$D,$B67,'DRAFT 2'!$A:$A,"&gt;="&amp;DATE(2026,7,1),'DRAFT 2'!$A:$A,"&lt;="&amp;DATE(2026,7,7))</f>
        <v/>
      </c>
      <c r="FV67" s="116">
        <f>COUNTIFS('DRAFT 2'!$D:$D,$B67,'DRAFT 2'!$A:$A,"&gt;="&amp;DATE(2026,7,8),'DRAFT 2'!$A:$A,"&lt;="&amp;DATE(2026,7,14))</f>
        <v/>
      </c>
      <c r="FW67" s="116">
        <f>COUNTIFS('DRAFT 2'!$D:$D,$B67,'DRAFT 2'!$A:$A,"&gt;="&amp;DATE(2026,7,15),'DRAFT 2'!$A:$A,"&lt;="&amp;DATE(2026,7,21))</f>
        <v/>
      </c>
      <c r="FX67" s="116">
        <f>COUNTIFS('DRAFT 2'!$D:$D,$B67,'DRAFT 2'!$A:$A,"&gt;="&amp;DATE(2026,7,22),'DRAFT 2'!$A:$A,"&lt;"&amp;DATE(2026,IF(7=12,7+1,7+1),1))</f>
        <v/>
      </c>
      <c r="FY67" s="116">
        <f>SUM(FU67:FX67)</f>
        <v/>
      </c>
      <c r="GI67" s="116">
        <f>IFERROR(LOOKUP(2,1/('DRAFT 2'!$D:$D=$B67)*('DRAFT 2'!$A:$A&gt;=DATE(2026,8,1))*('DRAFT 2'!$A:$A&lt;DATE(2026,IF(8=12,8+1,8+1),1)),'DRAFT 2'!$A:$A),"")</f>
        <v/>
      </c>
      <c r="GJ67" s="116">
        <f>COUNTIFS('DRAFT 2'!$D:$D,$B67,'DRAFT 2'!$A:$A,"&gt;="&amp;DATE(2026,8,1),'DRAFT 2'!$A:$A,"&lt;="&amp;DATE(2026,8,7))</f>
        <v/>
      </c>
      <c r="GK67" s="116">
        <f>COUNTIFS('DRAFT 2'!$D:$D,$B67,'DRAFT 2'!$A:$A,"&gt;="&amp;DATE(2026,8,8),'DRAFT 2'!$A:$A,"&lt;="&amp;DATE(2026,8,14))</f>
        <v/>
      </c>
      <c r="GL67" s="116">
        <f>COUNTIFS('DRAFT 2'!$D:$D,$B67,'DRAFT 2'!$A:$A,"&gt;="&amp;DATE(2026,8,15),'DRAFT 2'!$A:$A,"&lt;="&amp;DATE(2026,8,21))</f>
        <v/>
      </c>
      <c r="GM67" s="116">
        <f>COUNTIFS('DRAFT 2'!$D:$D,$B67,'DRAFT 2'!$A:$A,"&gt;="&amp;DATE(2026,8,22),'DRAFT 2'!$A:$A,"&lt;"&amp;DATE(2026,IF(8=12,8+1,8+1),1))</f>
        <v/>
      </c>
      <c r="GN67" s="116">
        <f>SUM(GJ67:GM67)</f>
        <v/>
      </c>
      <c r="GX67" s="116">
        <f>IFERROR(LOOKUP(2,1/('DRAFT 2'!$D:$D=$B67)*('DRAFT 2'!$A:$A&gt;=DATE(2026,9,1))*('DRAFT 2'!$A:$A&lt;DATE(2026,IF(9=12,9+1,9+1),1)),'DRAFT 2'!$A:$A),"")</f>
        <v/>
      </c>
      <c r="GY67" s="116">
        <f>COUNTIFS('DRAFT 2'!$D:$D,$B67,'DRAFT 2'!$A:$A,"&gt;="&amp;DATE(2026,9,1),'DRAFT 2'!$A:$A,"&lt;="&amp;DATE(2026,9,7))</f>
        <v/>
      </c>
      <c r="GZ67" s="116">
        <f>COUNTIFS('DRAFT 2'!$D:$D,$B67,'DRAFT 2'!$A:$A,"&gt;="&amp;DATE(2026,9,8),'DRAFT 2'!$A:$A,"&lt;="&amp;DATE(2026,9,14))</f>
        <v/>
      </c>
      <c r="HA67" s="116">
        <f>COUNTIFS('DRAFT 2'!$D:$D,$B67,'DRAFT 2'!$A:$A,"&gt;="&amp;DATE(2026,9,15),'DRAFT 2'!$A:$A,"&lt;="&amp;DATE(2026,9,21))</f>
        <v/>
      </c>
      <c r="HB67" s="116">
        <f>COUNTIFS('DRAFT 2'!$D:$D,$B67,'DRAFT 2'!$A:$A,"&gt;="&amp;DATE(2026,9,22),'DRAFT 2'!$A:$A,"&lt;"&amp;DATE(2026,IF(9=12,9+1,9+1),1))</f>
        <v/>
      </c>
      <c r="HC67" s="116">
        <f>SUM(GY67:HB67)</f>
        <v/>
      </c>
      <c r="HN67" s="116">
        <f>IFERROR(LOOKUP(2,1/('DRAFT 2'!$D:$D=$B67)*('DRAFT 2'!$A:$A&gt;=DATE(2026,10,1))*('DRAFT 2'!$A:$A&lt;DATE(2026,IF(10=12,10+1,10+1),1)),'DRAFT 2'!$A:$A),"")</f>
        <v/>
      </c>
      <c r="HO67" s="116">
        <f>COUNTIFS('DRAFT 2'!$D:$D,$B67,'DRAFT 2'!$A:$A,"&gt;="&amp;DATE(2026,10,1),'DRAFT 2'!$A:$A,"&lt;="&amp;DATE(2026,10,7))</f>
        <v/>
      </c>
      <c r="HP67" s="116">
        <f>COUNTIFS('DRAFT 2'!$D:$D,$B67,'DRAFT 2'!$A:$A,"&gt;="&amp;DATE(2026,10,8),'DRAFT 2'!$A:$A,"&lt;="&amp;DATE(2026,10,14))</f>
        <v/>
      </c>
      <c r="HQ67" s="116">
        <f>COUNTIFS('DRAFT 2'!$D:$D,$B67,'DRAFT 2'!$A:$A,"&gt;="&amp;DATE(2026,10,15),'DRAFT 2'!$A:$A,"&lt;="&amp;DATE(2026,10,21))</f>
        <v/>
      </c>
      <c r="HR67" s="116">
        <f>COUNTIFS('DRAFT 2'!$D:$D,$B67,'DRAFT 2'!$A:$A,"&gt;="&amp;DATE(2026,10,22),'DRAFT 2'!$A:$A,"&lt;"&amp;DATE(2026,IF(10=12,10+1,10+1),1))</f>
        <v/>
      </c>
      <c r="HS67" s="116">
        <f>SUM(HO67:HR67)</f>
        <v/>
      </c>
      <c r="IC67" s="116">
        <f>IFERROR(LOOKUP(2,1/('DRAFT 2'!$D:$D=$B67)*('DRAFT 2'!$A:$A&gt;=DATE(2026,11,1))*('DRAFT 2'!$A:$A&lt;DATE(2026,IF(11=12,11+1,11+1),1)),'DRAFT 2'!$A:$A),"")</f>
        <v/>
      </c>
      <c r="ID67" s="116">
        <f>COUNTIFS('DRAFT 2'!$D:$D,$B67,'DRAFT 2'!$A:$A,"&gt;="&amp;DATE(2026,11,1),'DRAFT 2'!$A:$A,"&lt;="&amp;DATE(2026,11,7))</f>
        <v/>
      </c>
      <c r="IE67" s="116">
        <f>COUNTIFS('DRAFT 2'!$D:$D,$B67,'DRAFT 2'!$A:$A,"&gt;="&amp;DATE(2026,11,8),'DRAFT 2'!$A:$A,"&lt;="&amp;DATE(2026,11,14))</f>
        <v/>
      </c>
      <c r="IF67" s="116">
        <f>COUNTIFS('DRAFT 2'!$D:$D,$B67,'DRAFT 2'!$A:$A,"&gt;="&amp;DATE(2026,11,15),'DRAFT 2'!$A:$A,"&lt;="&amp;DATE(2026,11,21))</f>
        <v/>
      </c>
      <c r="IG67" s="116">
        <f>COUNTIFS('DRAFT 2'!$D:$D,$B67,'DRAFT 2'!$A:$A,"&gt;="&amp;DATE(2026,11,22),'DRAFT 2'!$A:$A,"&lt;"&amp;DATE(2026,IF(11=12,11+1,11+1),1))</f>
        <v/>
      </c>
      <c r="IH67" s="116">
        <f>SUM(ID67:IG67)</f>
        <v/>
      </c>
      <c r="IR67" s="116">
        <f>IFERROR(LOOKUP(2,1/('DRAFT 2'!$D:$D=$B67)*('DRAFT 2'!$A:$A&gt;=DATE(2026,12,1))*('DRAFT 2'!$A:$A&lt;DATE(2026,IF(12=12,12+1,12+1),1)),'DRAFT 2'!$A:$A),"")</f>
        <v/>
      </c>
      <c r="IS67" s="116">
        <f>COUNTIFS('DRAFT 2'!$D:$D,$B67,'DRAFT 2'!$A:$A,"&gt;="&amp;DATE(2026,12,1),'DRAFT 2'!$A:$A,"&lt;="&amp;DATE(2026,12,7))</f>
        <v/>
      </c>
      <c r="IT67" s="116">
        <f>COUNTIFS('DRAFT 2'!$D:$D,$B67,'DRAFT 2'!$A:$A,"&gt;="&amp;DATE(2026,12,8),'DRAFT 2'!$A:$A,"&lt;="&amp;DATE(2026,12,14))</f>
        <v/>
      </c>
      <c r="IU67" s="116">
        <f>COUNTIFS('DRAFT 2'!$D:$D,$B67,'DRAFT 2'!$A:$A,"&gt;="&amp;DATE(2026,12,15),'DRAFT 2'!$A:$A,"&lt;="&amp;DATE(2026,12,21))</f>
        <v/>
      </c>
      <c r="IV67" s="116">
        <f>COUNTIFS('DRAFT 2'!$D:$D,$B67,'DRAFT 2'!$A:$A,"&gt;="&amp;DATE(2026,12,22),'DRAFT 2'!$A:$A,"&lt;"&amp;DATE(2026,IF(12=12,12+1,12+1),1))</f>
        <v/>
      </c>
      <c r="IW67" s="116">
        <f>SUM(IS67:IV67)</f>
        <v/>
      </c>
    </row>
    <row r="68">
      <c r="A68" s="116">
        <f>IFERROR(INDEX('DRAFT 1'!$A:$A,MATCH($B68,'DRAFT 1'!$B:$B,0)),"")</f>
        <v/>
      </c>
      <c r="C68" s="116">
        <f>IFERROR(INDEX('DRAFT 1'!$C:$C,MATCH($B68,'DRAFT 1'!$B:$B,0)),"")</f>
        <v/>
      </c>
      <c r="D68" s="116">
        <f>IFERROR(INDEX('DRAFT 1'!$D:$D,MATCH($B68,'DRAFT 1'!$B:$B,0)),"")</f>
        <v/>
      </c>
      <c r="E68" s="116">
        <f>IFERROR(INDEX('DRAFT 1'!$E:$E,MATCH($B68,'DRAFT 1'!$B:$B,0)),"")</f>
        <v/>
      </c>
      <c r="F68" s="116">
        <f>IFERROR(INDEX('DRAFT 1'!$F:$F,MATCH($B68,'DRAFT 1'!$B:$B,0)),"")</f>
        <v/>
      </c>
      <c r="G68" s="116">
        <f>IFERROR(INDEX('DRAFT 1'!$G:$G,MATCH($B68,'DRAFT 1'!$B:$B,0)),"")</f>
        <v/>
      </c>
      <c r="H68" s="116">
        <f>IFERROR(INDEX('DRAFT 1'!$H:$H,MATCH($B68,'DRAFT 1'!$B:$B,0)),"")</f>
        <v/>
      </c>
      <c r="I68" s="116" t="inlineStr">
        <is>
          <t>VIDA LEVE</t>
        </is>
      </c>
      <c r="K68" s="116">
        <f>IFERROR(INDEX('DRAFT 1'!$AL:$AL,MATCH($B68,'DRAFT 1'!$B:$B,0)),"")</f>
        <v/>
      </c>
      <c r="L68" s="116">
        <f>IFERROR(INDEX('DRAFT 1'!$J:$J,MATCH($B68,'DRAFT 1'!$B:$B,0)),"")</f>
        <v/>
      </c>
      <c r="M68" s="116">
        <f>IFERROR(INDEX('DRAFT 1'!$K:$K,MATCH($B68,'DRAFT 1'!$B:$B,0)),"")</f>
        <v/>
      </c>
      <c r="N68" s="116" t="inlineStr">
        <is>
          <t>ATIVO</t>
        </is>
      </c>
      <c r="P68" s="116">
        <f>IFERROR(INDEX('DRAFT 1'!$L:$L,MATCH($B68,'DRAFT 1'!$B:$B,0)),"")</f>
        <v/>
      </c>
      <c r="Q68" s="116">
        <f>IFERROR(INDEX('DRAFT 1'!$M:$M,MATCH($B68,'DRAFT 1'!$B:$B,0)),"")</f>
        <v/>
      </c>
      <c r="R68" s="116">
        <f>IFERROR(INDEX('DRAFT 1'!$N:$N,MATCH($B68,'DRAFT 1'!$B:$B,0)),"")</f>
        <v/>
      </c>
      <c r="S68" s="116">
        <f>IFERROR(INDEX('DRAFT 1'!$O:$O,MATCH($B68,'DRAFT 1'!$B:$B,0)),"")</f>
        <v/>
      </c>
      <c r="T68" s="116">
        <f>IFERROR(INDEX('DRAFT 1'!$P:$P,MATCH($B68,'DRAFT 1'!$B:$B,0)),"")</f>
        <v/>
      </c>
      <c r="U68" s="116">
        <f>IFERROR(INDEX('DRAFT 1'!$Q:$Q,MATCH($B68,'DRAFT 1'!$B:$B,0)),"")</f>
        <v/>
      </c>
      <c r="V68" s="116">
        <f>IFERROR(INDEX('DRAFT 1'!$R:$R,MATCH($B68,'DRAFT 1'!$B:$B,0)),"")</f>
        <v/>
      </c>
      <c r="W68" s="116">
        <f>IFERROR(INDEX('DRAFT 1'!$S:$S,MATCH($B68,'DRAFT 1'!$B:$B,0)),"")</f>
        <v/>
      </c>
      <c r="X68" s="116">
        <f>IFERROR(INDEX('DRAFT 1'!$T:$T,MATCH($B68,'DRAFT 1'!$B:$B,0)),"")</f>
        <v/>
      </c>
      <c r="Z68" s="116">
        <f>IFERROR(INDEX('DRAFT 1'!$U:$U,MATCH($B68,'DRAFT 1'!$B:$B,0)),"")</f>
        <v/>
      </c>
      <c r="AA68" s="116">
        <f>IFERROR(INDEX('DRAFT 1'!$V:$V,MATCH($B68,'DRAFT 1'!$B:$B,0)),"")</f>
        <v/>
      </c>
      <c r="AB68" s="116">
        <f>IFERROR(INDEX('DRAFT 1'!$W:$W,MATCH($B68,'DRAFT 1'!$B:$B,0)),"")</f>
        <v/>
      </c>
      <c r="AC68" s="116">
        <f>IFERROR(INDEX('DRAFT 1'!$X:$X,MATCH($B68,'DRAFT 1'!$B:$B,0)),"")</f>
        <v/>
      </c>
      <c r="AD68" s="116">
        <f>IFERROR(INDEX('DRAFT 1'!$Y:$Y,MATCH($B68,'DRAFT 1'!$B:$B,0)),"")</f>
        <v/>
      </c>
      <c r="AE68" s="116">
        <f>IFERROR(INDEX('DRAFT 1'!$Z:$Z,MATCH($B68,'DRAFT 1'!$B:$B,0)),"")</f>
        <v/>
      </c>
      <c r="AF68" s="116">
        <f>IFERROR(INDEX('DRAFT 1'!$AA:$AA,MATCH($B68,'DRAFT 1'!$B:$B,0)),"")</f>
        <v/>
      </c>
      <c r="AG68" s="116">
        <f>IFERROR(INDEX('DRAFT 1'!$AB:$AB,MATCH($B68,'DRAFT 1'!$B:$B,0)),"")</f>
        <v/>
      </c>
      <c r="AH68" s="116">
        <f>IFERROR(INDEX('DRAFT 1'!$AC:$AC,MATCH($B68,'DRAFT 1'!$B:$B,0)),"")</f>
        <v/>
      </c>
      <c r="AI68" s="116">
        <f>IFERROR(INDEX('DRAFT 1'!$AD:$AD,MATCH($B68,'DRAFT 1'!$B:$B,0)),"")</f>
        <v/>
      </c>
      <c r="AJ68" s="116">
        <f>IFERROR(INDEX('DRAFT 1'!$AE:$AE,MATCH($B68,'DRAFT 1'!$B:$B,0)),"")</f>
        <v/>
      </c>
      <c r="AK68" s="116">
        <f>IFERROR(INDEX('DRAFT 1'!$AG:$AG,MATCH($B68,'DRAFT 1'!$B:$B,0)),"")</f>
        <v/>
      </c>
      <c r="AL68" s="116">
        <f>IFERROR(INDEX('DRAFT 1'!$AH:$AH,MATCH($B68,'DRAFT 1'!$B:$B,0)),"")</f>
        <v/>
      </c>
      <c r="AM68" s="116">
        <f>IFERROR(INDEX('DRAFT 1'!$AI:$AI,MATCH($B68,'DRAFT 1'!$B:$B,0)),"")</f>
        <v/>
      </c>
      <c r="AN68" s="116">
        <f>IFERROR(INDEX('DRAFT 1'!$AJ:$AJ,MATCH($B68,'DRAFT 1'!$B:$B,0)),"")</f>
        <v/>
      </c>
      <c r="AO68" s="116">
        <f>IFERROR(Y68/AN68,0)</f>
        <v/>
      </c>
      <c r="AP68" s="116">
        <f>IFERROR(INDEX('DRAFT 1'!$AK:$AK,MATCH($B68,'DRAFT 1'!$B:$B,0)),"")</f>
        <v/>
      </c>
      <c r="AR68" s="116" t="inlineStr">
        <is>
          <t>PROSPECÇÃO</t>
        </is>
      </c>
      <c r="AS68" s="116">
        <f>IFERROR(LOOKUP(2,1/('DRAFT 2'!$D:$D=$B68),'DRAFT 2'!$T:$T),"")</f>
        <v/>
      </c>
      <c r="AT68" s="116">
        <f>IFERROR(LOOKUP(2,1/('DRAFT 2'!$D:$D=$B68),'DRAFT 2'!$A:$A),"")</f>
        <v/>
      </c>
      <c r="AU68" s="116">
        <f>IFERROR(LOOKUP(2,1/('DRAFT 2'!$D:$D=$B68),'DRAFT 2'!$R:$R),"")</f>
        <v/>
      </c>
      <c r="AV68" s="116">
        <f>IFERROR(LOOKUP(2,1/('DRAFT 2'!$D:$D=$B68),'DRAFT 2'!$S:$S),"")</f>
        <v/>
      </c>
      <c r="AW68" s="116" t="inlineStr">
        <is>
          <t>LEAD</t>
        </is>
      </c>
      <c r="AX68" s="116">
        <f>IFERROR(LOOKUP(2,1/('DRAFT 2'!$D:$D=$B68),'DRAFT 2'!$M:$M),"")</f>
        <v/>
      </c>
      <c r="AY68" s="116">
        <f>IFERROR(LOOKUP(2,1/('DRAFT 2'!$D:$D=$B68),'DRAFT 2'!$K:$K),"")</f>
        <v/>
      </c>
      <c r="BG68" s="116">
        <f>IFERROR(LOOKUP(2,1/('DRAFT 2'!$D:$D=$B68),'DRAFT 2'!$U:$U),"")</f>
        <v/>
      </c>
      <c r="BH68" s="116">
        <f>IFERROR(LOOKUP(2,1/('DRAFT 2'!$D:$D=$B68),'DRAFT 2'!$V:$V),"")</f>
        <v/>
      </c>
      <c r="CE68" s="116">
        <f>IFERROR(AJ68,0)</f>
        <v/>
      </c>
      <c r="CF68" s="116">
        <f>IFERROR(LOOKUP(2,1/('DRAFT 2'!$D:$D=$B68)*('DRAFT 2'!$A:$A&gt;=DATE(2026,1,1))*('DRAFT 2'!$A:$A&lt;DATE(2026,IF(1=12,1+1,1+1),1)),'DRAFT 2'!$A:$A),"")</f>
        <v/>
      </c>
      <c r="CG68" s="116">
        <f>COUNTIFS('DRAFT 2'!$D:$D,$B68,'DRAFT 2'!$A:$A,"&gt;="&amp;DATE(2026,1,1),'DRAFT 2'!$A:$A,"&lt;="&amp;DATE(2026,1,7))</f>
        <v/>
      </c>
      <c r="CH68" s="116">
        <f>COUNTIFS('DRAFT 2'!$D:$D,$B68,'DRAFT 2'!$A:$A,"&gt;="&amp;DATE(2026,1,8),'DRAFT 2'!$A:$A,"&lt;="&amp;DATE(2026,1,14))</f>
        <v/>
      </c>
      <c r="CI68" s="116">
        <f>COUNTIFS('DRAFT 2'!$D:$D,$B68,'DRAFT 2'!$A:$A,"&gt;="&amp;DATE(2026,1,15),'DRAFT 2'!$A:$A,"&lt;="&amp;DATE(2026,1,21))</f>
        <v/>
      </c>
      <c r="CJ68" s="116">
        <f>COUNTIFS('DRAFT 2'!$D:$D,$B68,'DRAFT 2'!$A:$A,"&gt;="&amp;DATE(2026,1,22),'DRAFT 2'!$A:$A,"&lt;"&amp;DATE(2026,IF(1=12,1+1,1+1),1))</f>
        <v/>
      </c>
      <c r="CK68" s="116">
        <f>SUM(CG68:CJ68)</f>
        <v/>
      </c>
      <c r="CT68" s="116" t="n">
        <v>0</v>
      </c>
      <c r="CU68" s="116">
        <f>IFERROR(LOOKUP(2,1/('DRAFT 2'!$D:$D=$B68)*('DRAFT 2'!$A:$A&gt;=DATE(2026,2,1))*('DRAFT 2'!$A:$A&lt;DATE(2026,IF(2=12,2+1,2+1),1)),'DRAFT 2'!$A:$A),"")</f>
        <v/>
      </c>
      <c r="CV68" s="116">
        <f>COUNTIFS('DRAFT 2'!$D:$D,$B68,'DRAFT 2'!$A:$A,"&gt;="&amp;DATE(2026,2,1),'DRAFT 2'!$A:$A,"&lt;="&amp;DATE(2026,2,7))</f>
        <v/>
      </c>
      <c r="CW68" s="116">
        <f>COUNTIFS('DRAFT 2'!$D:$D,$B68,'DRAFT 2'!$A:$A,"&gt;="&amp;DATE(2026,2,8),'DRAFT 2'!$A:$A,"&lt;="&amp;DATE(2026,2,14))</f>
        <v/>
      </c>
      <c r="CX68" s="116">
        <f>COUNTIFS('DRAFT 2'!$D:$D,$B68,'DRAFT 2'!$A:$A,"&gt;="&amp;DATE(2026,2,15),'DRAFT 2'!$A:$A,"&lt;="&amp;DATE(2026,2,21))</f>
        <v/>
      </c>
      <c r="CY68" s="116">
        <f>COUNTIFS('DRAFT 2'!$D:$D,$B68,'DRAFT 2'!$A:$A,"&gt;="&amp;DATE(2026,2,22),'DRAFT 2'!$A:$A,"&lt;"&amp;DATE(2026,IF(2=12,2+1,2+1),1))</f>
        <v/>
      </c>
      <c r="CZ68" s="116">
        <f>SUM(CV68:CY68)</f>
        <v/>
      </c>
      <c r="DJ68" s="116">
        <f>IFERROR(LOOKUP(2,1/('DRAFT 2'!$D:$D=$B68)*('DRAFT 2'!$A:$A&gt;=DATE(2026,3,1))*('DRAFT 2'!$A:$A&lt;DATE(2026,IF(3=12,3+1,3+1),1)),'DRAFT 2'!$A:$A),"")</f>
        <v/>
      </c>
      <c r="DK68" s="116">
        <f>COUNTIFS('DRAFT 2'!$D:$D,$B68,'DRAFT 2'!$A:$A,"&gt;="&amp;DATE(2026,3,1),'DRAFT 2'!$A:$A,"&lt;="&amp;DATE(2026,3,7))</f>
        <v/>
      </c>
      <c r="DL68" s="116">
        <f>COUNTIFS('DRAFT 2'!$D:$D,$B68,'DRAFT 2'!$A:$A,"&gt;="&amp;DATE(2026,3,8),'DRAFT 2'!$A:$A,"&lt;="&amp;DATE(2026,3,14))</f>
        <v/>
      </c>
      <c r="DM68" s="116">
        <f>COUNTIFS('DRAFT 2'!$D:$D,$B68,'DRAFT 2'!$A:$A,"&gt;="&amp;DATE(2026,3,15),'DRAFT 2'!$A:$A,"&lt;="&amp;DATE(2026,3,21))</f>
        <v/>
      </c>
      <c r="DN68" s="116">
        <f>COUNTIFS('DRAFT 2'!$D:$D,$B68,'DRAFT 2'!$A:$A,"&gt;="&amp;DATE(2026,3,22),'DRAFT 2'!$A:$A,"&lt;"&amp;DATE(2026,IF(3=12,3+1,3+1),1))</f>
        <v/>
      </c>
      <c r="DO68" s="116">
        <f>SUM(DK68:DN68)</f>
        <v/>
      </c>
      <c r="DZ68" s="116">
        <f>IFERROR(LOOKUP(2,1/('DRAFT 2'!$D:$D=$B68)*('DRAFT 2'!$A:$A&gt;=DATE(2026,4,1))*('DRAFT 2'!$A:$A&lt;DATE(2026,IF(4=12,4+1,4+1),1)),'DRAFT 2'!$A:$A),"")</f>
        <v/>
      </c>
      <c r="EA68" s="116">
        <f>COUNTIFS('DRAFT 2'!$D:$D,$B68,'DRAFT 2'!$A:$A,"&gt;="&amp;DATE(2026,4,1),'DRAFT 2'!$A:$A,"&lt;="&amp;DATE(2026,4,7))</f>
        <v/>
      </c>
      <c r="EB68" s="116">
        <f>COUNTIFS('DRAFT 2'!$D:$D,$B68,'DRAFT 2'!$A:$A,"&gt;="&amp;DATE(2026,4,8),'DRAFT 2'!$A:$A,"&lt;="&amp;DATE(2026,4,14))</f>
        <v/>
      </c>
      <c r="EC68" s="116">
        <f>COUNTIFS('DRAFT 2'!$D:$D,$B68,'DRAFT 2'!$A:$A,"&gt;="&amp;DATE(2026,4,15),'DRAFT 2'!$A:$A,"&lt;="&amp;DATE(2026,4,21))</f>
        <v/>
      </c>
      <c r="ED68" s="116">
        <f>COUNTIFS('DRAFT 2'!$D:$D,$B68,'DRAFT 2'!$A:$A,"&gt;="&amp;DATE(2026,4,22),'DRAFT 2'!$A:$A,"&lt;"&amp;DATE(2026,IF(4=12,4+1,4+1),1))</f>
        <v/>
      </c>
      <c r="EE68" s="116">
        <f>SUM(EA68:ED68)</f>
        <v/>
      </c>
      <c r="EO68" s="116">
        <f>IFERROR(LOOKUP(2,1/('DRAFT 2'!$D:$D=$B68)*('DRAFT 2'!$A:$A&gt;=DATE(2026,5,1))*('DRAFT 2'!$A:$A&lt;DATE(2026,IF(5=12,5+1,5+1),1)),'DRAFT 2'!$A:$A),"")</f>
        <v/>
      </c>
      <c r="EP68" s="116">
        <f>COUNTIFS('DRAFT 2'!$D:$D,$B68,'DRAFT 2'!$A:$A,"&gt;="&amp;DATE(2026,5,1),'DRAFT 2'!$A:$A,"&lt;="&amp;DATE(2026,5,7))</f>
        <v/>
      </c>
      <c r="EQ68" s="116">
        <f>COUNTIFS('DRAFT 2'!$D:$D,$B68,'DRAFT 2'!$A:$A,"&gt;="&amp;DATE(2026,5,8),'DRAFT 2'!$A:$A,"&lt;="&amp;DATE(2026,5,14))</f>
        <v/>
      </c>
      <c r="ER68" s="116">
        <f>COUNTIFS('DRAFT 2'!$D:$D,$B68,'DRAFT 2'!$A:$A,"&gt;="&amp;DATE(2026,5,15),'DRAFT 2'!$A:$A,"&lt;="&amp;DATE(2026,5,21))</f>
        <v/>
      </c>
      <c r="ES68" s="116">
        <f>COUNTIFS('DRAFT 2'!$D:$D,$B68,'DRAFT 2'!$A:$A,"&gt;="&amp;DATE(2026,5,22),'DRAFT 2'!$A:$A,"&lt;"&amp;DATE(2026,IF(5=12,5+1,5+1),1))</f>
        <v/>
      </c>
      <c r="ET68" s="116">
        <f>SUM(EP68:ES68)</f>
        <v/>
      </c>
      <c r="FD68" s="116">
        <f>IFERROR(LOOKUP(2,1/('DRAFT 2'!$D:$D=$B68)*('DRAFT 2'!$A:$A&gt;=DATE(2026,6,1))*('DRAFT 2'!$A:$A&lt;DATE(2026,IF(6=12,6+1,6+1),1)),'DRAFT 2'!$A:$A),"")</f>
        <v/>
      </c>
      <c r="FE68" s="116">
        <f>COUNTIFS('DRAFT 2'!$D:$D,$B68,'DRAFT 2'!$A:$A,"&gt;="&amp;DATE(2026,6,1),'DRAFT 2'!$A:$A,"&lt;="&amp;DATE(2026,6,7))</f>
        <v/>
      </c>
      <c r="FF68" s="116">
        <f>COUNTIFS('DRAFT 2'!$D:$D,$B68,'DRAFT 2'!$A:$A,"&gt;="&amp;DATE(2026,6,8),'DRAFT 2'!$A:$A,"&lt;="&amp;DATE(2026,6,14))</f>
        <v/>
      </c>
      <c r="FG68" s="116">
        <f>COUNTIFS('DRAFT 2'!$D:$D,$B68,'DRAFT 2'!$A:$A,"&gt;="&amp;DATE(2026,6,15),'DRAFT 2'!$A:$A,"&lt;="&amp;DATE(2026,6,21))</f>
        <v/>
      </c>
      <c r="FH68" s="116">
        <f>COUNTIFS('DRAFT 2'!$D:$D,$B68,'DRAFT 2'!$A:$A,"&gt;="&amp;DATE(2026,6,22),'DRAFT 2'!$A:$A,"&lt;"&amp;DATE(2026,IF(6=12,6+1,6+1),1))</f>
        <v/>
      </c>
      <c r="FI68" s="116">
        <f>SUM(FE68:FH68)</f>
        <v/>
      </c>
      <c r="FT68" s="116">
        <f>IFERROR(LOOKUP(2,1/('DRAFT 2'!$D:$D=$B68)*('DRAFT 2'!$A:$A&gt;=DATE(2026,7,1))*('DRAFT 2'!$A:$A&lt;DATE(2026,IF(7=12,7+1,7+1),1)),'DRAFT 2'!$A:$A),"")</f>
        <v/>
      </c>
      <c r="FU68" s="116">
        <f>COUNTIFS('DRAFT 2'!$D:$D,$B68,'DRAFT 2'!$A:$A,"&gt;="&amp;DATE(2026,7,1),'DRAFT 2'!$A:$A,"&lt;="&amp;DATE(2026,7,7))</f>
        <v/>
      </c>
      <c r="FV68" s="116">
        <f>COUNTIFS('DRAFT 2'!$D:$D,$B68,'DRAFT 2'!$A:$A,"&gt;="&amp;DATE(2026,7,8),'DRAFT 2'!$A:$A,"&lt;="&amp;DATE(2026,7,14))</f>
        <v/>
      </c>
      <c r="FW68" s="116">
        <f>COUNTIFS('DRAFT 2'!$D:$D,$B68,'DRAFT 2'!$A:$A,"&gt;="&amp;DATE(2026,7,15),'DRAFT 2'!$A:$A,"&lt;="&amp;DATE(2026,7,21))</f>
        <v/>
      </c>
      <c r="FX68" s="116">
        <f>COUNTIFS('DRAFT 2'!$D:$D,$B68,'DRAFT 2'!$A:$A,"&gt;="&amp;DATE(2026,7,22),'DRAFT 2'!$A:$A,"&lt;"&amp;DATE(2026,IF(7=12,7+1,7+1),1))</f>
        <v/>
      </c>
      <c r="FY68" s="116">
        <f>SUM(FU68:FX68)</f>
        <v/>
      </c>
      <c r="GI68" s="116">
        <f>IFERROR(LOOKUP(2,1/('DRAFT 2'!$D:$D=$B68)*('DRAFT 2'!$A:$A&gt;=DATE(2026,8,1))*('DRAFT 2'!$A:$A&lt;DATE(2026,IF(8=12,8+1,8+1),1)),'DRAFT 2'!$A:$A),"")</f>
        <v/>
      </c>
      <c r="GJ68" s="116">
        <f>COUNTIFS('DRAFT 2'!$D:$D,$B68,'DRAFT 2'!$A:$A,"&gt;="&amp;DATE(2026,8,1),'DRAFT 2'!$A:$A,"&lt;="&amp;DATE(2026,8,7))</f>
        <v/>
      </c>
      <c r="GK68" s="116">
        <f>COUNTIFS('DRAFT 2'!$D:$D,$B68,'DRAFT 2'!$A:$A,"&gt;="&amp;DATE(2026,8,8),'DRAFT 2'!$A:$A,"&lt;="&amp;DATE(2026,8,14))</f>
        <v/>
      </c>
      <c r="GL68" s="116">
        <f>COUNTIFS('DRAFT 2'!$D:$D,$B68,'DRAFT 2'!$A:$A,"&gt;="&amp;DATE(2026,8,15),'DRAFT 2'!$A:$A,"&lt;="&amp;DATE(2026,8,21))</f>
        <v/>
      </c>
      <c r="GM68" s="116">
        <f>COUNTIFS('DRAFT 2'!$D:$D,$B68,'DRAFT 2'!$A:$A,"&gt;="&amp;DATE(2026,8,22),'DRAFT 2'!$A:$A,"&lt;"&amp;DATE(2026,IF(8=12,8+1,8+1),1))</f>
        <v/>
      </c>
      <c r="GN68" s="116">
        <f>SUM(GJ68:GM68)</f>
        <v/>
      </c>
      <c r="GX68" s="116">
        <f>IFERROR(LOOKUP(2,1/('DRAFT 2'!$D:$D=$B68)*('DRAFT 2'!$A:$A&gt;=DATE(2026,9,1))*('DRAFT 2'!$A:$A&lt;DATE(2026,IF(9=12,9+1,9+1),1)),'DRAFT 2'!$A:$A),"")</f>
        <v/>
      </c>
      <c r="GY68" s="116">
        <f>COUNTIFS('DRAFT 2'!$D:$D,$B68,'DRAFT 2'!$A:$A,"&gt;="&amp;DATE(2026,9,1),'DRAFT 2'!$A:$A,"&lt;="&amp;DATE(2026,9,7))</f>
        <v/>
      </c>
      <c r="GZ68" s="116">
        <f>COUNTIFS('DRAFT 2'!$D:$D,$B68,'DRAFT 2'!$A:$A,"&gt;="&amp;DATE(2026,9,8),'DRAFT 2'!$A:$A,"&lt;="&amp;DATE(2026,9,14))</f>
        <v/>
      </c>
      <c r="HA68" s="116">
        <f>COUNTIFS('DRAFT 2'!$D:$D,$B68,'DRAFT 2'!$A:$A,"&gt;="&amp;DATE(2026,9,15),'DRAFT 2'!$A:$A,"&lt;="&amp;DATE(2026,9,21))</f>
        <v/>
      </c>
      <c r="HB68" s="116">
        <f>COUNTIFS('DRAFT 2'!$D:$D,$B68,'DRAFT 2'!$A:$A,"&gt;="&amp;DATE(2026,9,22),'DRAFT 2'!$A:$A,"&lt;"&amp;DATE(2026,IF(9=12,9+1,9+1),1))</f>
        <v/>
      </c>
      <c r="HC68" s="116">
        <f>SUM(GY68:HB68)</f>
        <v/>
      </c>
      <c r="HN68" s="116">
        <f>IFERROR(LOOKUP(2,1/('DRAFT 2'!$D:$D=$B68)*('DRAFT 2'!$A:$A&gt;=DATE(2026,10,1))*('DRAFT 2'!$A:$A&lt;DATE(2026,IF(10=12,10+1,10+1),1)),'DRAFT 2'!$A:$A),"")</f>
        <v/>
      </c>
      <c r="HO68" s="116">
        <f>COUNTIFS('DRAFT 2'!$D:$D,$B68,'DRAFT 2'!$A:$A,"&gt;="&amp;DATE(2026,10,1),'DRAFT 2'!$A:$A,"&lt;="&amp;DATE(2026,10,7))</f>
        <v/>
      </c>
      <c r="HP68" s="116">
        <f>COUNTIFS('DRAFT 2'!$D:$D,$B68,'DRAFT 2'!$A:$A,"&gt;="&amp;DATE(2026,10,8),'DRAFT 2'!$A:$A,"&lt;="&amp;DATE(2026,10,14))</f>
        <v/>
      </c>
      <c r="HQ68" s="116">
        <f>COUNTIFS('DRAFT 2'!$D:$D,$B68,'DRAFT 2'!$A:$A,"&gt;="&amp;DATE(2026,10,15),'DRAFT 2'!$A:$A,"&lt;="&amp;DATE(2026,10,21))</f>
        <v/>
      </c>
      <c r="HR68" s="116">
        <f>COUNTIFS('DRAFT 2'!$D:$D,$B68,'DRAFT 2'!$A:$A,"&gt;="&amp;DATE(2026,10,22),'DRAFT 2'!$A:$A,"&lt;"&amp;DATE(2026,IF(10=12,10+1,10+1),1))</f>
        <v/>
      </c>
      <c r="HS68" s="116">
        <f>SUM(HO68:HR68)</f>
        <v/>
      </c>
      <c r="IC68" s="116">
        <f>IFERROR(LOOKUP(2,1/('DRAFT 2'!$D:$D=$B68)*('DRAFT 2'!$A:$A&gt;=DATE(2026,11,1))*('DRAFT 2'!$A:$A&lt;DATE(2026,IF(11=12,11+1,11+1),1)),'DRAFT 2'!$A:$A),"")</f>
        <v/>
      </c>
      <c r="ID68" s="116">
        <f>COUNTIFS('DRAFT 2'!$D:$D,$B68,'DRAFT 2'!$A:$A,"&gt;="&amp;DATE(2026,11,1),'DRAFT 2'!$A:$A,"&lt;="&amp;DATE(2026,11,7))</f>
        <v/>
      </c>
      <c r="IE68" s="116">
        <f>COUNTIFS('DRAFT 2'!$D:$D,$B68,'DRAFT 2'!$A:$A,"&gt;="&amp;DATE(2026,11,8),'DRAFT 2'!$A:$A,"&lt;="&amp;DATE(2026,11,14))</f>
        <v/>
      </c>
      <c r="IF68" s="116">
        <f>COUNTIFS('DRAFT 2'!$D:$D,$B68,'DRAFT 2'!$A:$A,"&gt;="&amp;DATE(2026,11,15),'DRAFT 2'!$A:$A,"&lt;="&amp;DATE(2026,11,21))</f>
        <v/>
      </c>
      <c r="IG68" s="116">
        <f>COUNTIFS('DRAFT 2'!$D:$D,$B68,'DRAFT 2'!$A:$A,"&gt;="&amp;DATE(2026,11,22),'DRAFT 2'!$A:$A,"&lt;"&amp;DATE(2026,IF(11=12,11+1,11+1),1))</f>
        <v/>
      </c>
      <c r="IH68" s="116">
        <f>SUM(ID68:IG68)</f>
        <v/>
      </c>
      <c r="IR68" s="116">
        <f>IFERROR(LOOKUP(2,1/('DRAFT 2'!$D:$D=$B68)*('DRAFT 2'!$A:$A&gt;=DATE(2026,12,1))*('DRAFT 2'!$A:$A&lt;DATE(2026,IF(12=12,12+1,12+1),1)),'DRAFT 2'!$A:$A),"")</f>
        <v/>
      </c>
      <c r="IS68" s="116">
        <f>COUNTIFS('DRAFT 2'!$D:$D,$B68,'DRAFT 2'!$A:$A,"&gt;="&amp;DATE(2026,12,1),'DRAFT 2'!$A:$A,"&lt;="&amp;DATE(2026,12,7))</f>
        <v/>
      </c>
      <c r="IT68" s="116">
        <f>COUNTIFS('DRAFT 2'!$D:$D,$B68,'DRAFT 2'!$A:$A,"&gt;="&amp;DATE(2026,12,8),'DRAFT 2'!$A:$A,"&lt;="&amp;DATE(2026,12,14))</f>
        <v/>
      </c>
      <c r="IU68" s="116">
        <f>COUNTIFS('DRAFT 2'!$D:$D,$B68,'DRAFT 2'!$A:$A,"&gt;="&amp;DATE(2026,12,15),'DRAFT 2'!$A:$A,"&lt;="&amp;DATE(2026,12,21))</f>
        <v/>
      </c>
      <c r="IV68" s="116">
        <f>COUNTIFS('DRAFT 2'!$D:$D,$B68,'DRAFT 2'!$A:$A,"&gt;="&amp;DATE(2026,12,22),'DRAFT 2'!$A:$A,"&lt;"&amp;DATE(2026,IF(12=12,12+1,12+1),1))</f>
        <v/>
      </c>
      <c r="IW68" s="116">
        <f>SUM(IS68:IV68)</f>
        <v/>
      </c>
    </row>
    <row r="69">
      <c r="A69" s="116">
        <f>IFERROR(INDEX('DRAFT 1'!$A:$A,MATCH($B69,'DRAFT 1'!$B:$B,0)),"")</f>
        <v/>
      </c>
      <c r="C69" s="116">
        <f>IFERROR(INDEX('DRAFT 1'!$C:$C,MATCH($B69,'DRAFT 1'!$B:$B,0)),"")</f>
        <v/>
      </c>
      <c r="D69" s="116">
        <f>IFERROR(INDEX('DRAFT 1'!$D:$D,MATCH($B69,'DRAFT 1'!$B:$B,0)),"")</f>
        <v/>
      </c>
      <c r="E69" s="116">
        <f>IFERROR(INDEX('DRAFT 1'!$E:$E,MATCH($B69,'DRAFT 1'!$B:$B,0)),"")</f>
        <v/>
      </c>
      <c r="F69" s="116">
        <f>IFERROR(INDEX('DRAFT 1'!$F:$F,MATCH($B69,'DRAFT 1'!$B:$B,0)),"")</f>
        <v/>
      </c>
      <c r="G69" s="116">
        <f>IFERROR(INDEX('DRAFT 1'!$G:$G,MATCH($B69,'DRAFT 1'!$B:$B,0)),"")</f>
        <v/>
      </c>
      <c r="H69" s="116">
        <f>IFERROR(INDEX('DRAFT 1'!$H:$H,MATCH($B69,'DRAFT 1'!$B:$B,0)),"")</f>
        <v/>
      </c>
      <c r="I69" s="116" t="inlineStr">
        <is>
          <t>VIDA LEVE</t>
        </is>
      </c>
      <c r="K69" s="116">
        <f>IFERROR(INDEX('DRAFT 1'!$AL:$AL,MATCH($B69,'DRAFT 1'!$B:$B,0)),"")</f>
        <v/>
      </c>
      <c r="L69" s="116">
        <f>IFERROR(INDEX('DRAFT 1'!$J:$J,MATCH($B69,'DRAFT 1'!$B:$B,0)),"")</f>
        <v/>
      </c>
      <c r="M69" s="116">
        <f>IFERROR(INDEX('DRAFT 1'!$K:$K,MATCH($B69,'DRAFT 1'!$B:$B,0)),"")</f>
        <v/>
      </c>
      <c r="N69" s="116" t="inlineStr">
        <is>
          <t>INAT.ANT</t>
        </is>
      </c>
      <c r="P69" s="116">
        <f>IFERROR(INDEX('DRAFT 1'!$L:$L,MATCH($B69,'DRAFT 1'!$B:$B,0)),"")</f>
        <v/>
      </c>
      <c r="Q69" s="116">
        <f>IFERROR(INDEX('DRAFT 1'!$M:$M,MATCH($B69,'DRAFT 1'!$B:$B,0)),"")</f>
        <v/>
      </c>
      <c r="R69" s="116">
        <f>IFERROR(INDEX('DRAFT 1'!$N:$N,MATCH($B69,'DRAFT 1'!$B:$B,0)),"")</f>
        <v/>
      </c>
      <c r="S69" s="116">
        <f>IFERROR(INDEX('DRAFT 1'!$O:$O,MATCH($B69,'DRAFT 1'!$B:$B,0)),"")</f>
        <v/>
      </c>
      <c r="T69" s="116">
        <f>IFERROR(INDEX('DRAFT 1'!$P:$P,MATCH($B69,'DRAFT 1'!$B:$B,0)),"")</f>
        <v/>
      </c>
      <c r="U69" s="116">
        <f>IFERROR(INDEX('DRAFT 1'!$Q:$Q,MATCH($B69,'DRAFT 1'!$B:$B,0)),"")</f>
        <v/>
      </c>
      <c r="V69" s="116">
        <f>IFERROR(INDEX('DRAFT 1'!$R:$R,MATCH($B69,'DRAFT 1'!$B:$B,0)),"")</f>
        <v/>
      </c>
      <c r="W69" s="116">
        <f>IFERROR(INDEX('DRAFT 1'!$S:$S,MATCH($B69,'DRAFT 1'!$B:$B,0)),"")</f>
        <v/>
      </c>
      <c r="X69" s="116">
        <f>IFERROR(INDEX('DRAFT 1'!$T:$T,MATCH($B69,'DRAFT 1'!$B:$B,0)),"")</f>
        <v/>
      </c>
      <c r="Z69" s="116">
        <f>IFERROR(INDEX('DRAFT 1'!$U:$U,MATCH($B69,'DRAFT 1'!$B:$B,0)),"")</f>
        <v/>
      </c>
      <c r="AA69" s="116">
        <f>IFERROR(INDEX('DRAFT 1'!$V:$V,MATCH($B69,'DRAFT 1'!$B:$B,0)),"")</f>
        <v/>
      </c>
      <c r="AB69" s="116">
        <f>IFERROR(INDEX('DRAFT 1'!$W:$W,MATCH($B69,'DRAFT 1'!$B:$B,0)),"")</f>
        <v/>
      </c>
      <c r="AC69" s="116">
        <f>IFERROR(INDEX('DRAFT 1'!$X:$X,MATCH($B69,'DRAFT 1'!$B:$B,0)),"")</f>
        <v/>
      </c>
      <c r="AD69" s="116">
        <f>IFERROR(INDEX('DRAFT 1'!$Y:$Y,MATCH($B69,'DRAFT 1'!$B:$B,0)),"")</f>
        <v/>
      </c>
      <c r="AE69" s="116">
        <f>IFERROR(INDEX('DRAFT 1'!$Z:$Z,MATCH($B69,'DRAFT 1'!$B:$B,0)),"")</f>
        <v/>
      </c>
      <c r="AF69" s="116">
        <f>IFERROR(INDEX('DRAFT 1'!$AA:$AA,MATCH($B69,'DRAFT 1'!$B:$B,0)),"")</f>
        <v/>
      </c>
      <c r="AG69" s="116">
        <f>IFERROR(INDEX('DRAFT 1'!$AB:$AB,MATCH($B69,'DRAFT 1'!$B:$B,0)),"")</f>
        <v/>
      </c>
      <c r="AH69" s="116">
        <f>IFERROR(INDEX('DRAFT 1'!$AC:$AC,MATCH($B69,'DRAFT 1'!$B:$B,0)),"")</f>
        <v/>
      </c>
      <c r="AI69" s="116">
        <f>IFERROR(INDEX('DRAFT 1'!$AD:$AD,MATCH($B69,'DRAFT 1'!$B:$B,0)),"")</f>
        <v/>
      </c>
      <c r="AJ69" s="116">
        <f>IFERROR(INDEX('DRAFT 1'!$AE:$AE,MATCH($B69,'DRAFT 1'!$B:$B,0)),"")</f>
        <v/>
      </c>
      <c r="AK69" s="116">
        <f>IFERROR(INDEX('DRAFT 1'!$AG:$AG,MATCH($B69,'DRAFT 1'!$B:$B,0)),"")</f>
        <v/>
      </c>
      <c r="AL69" s="116">
        <f>IFERROR(INDEX('DRAFT 1'!$AH:$AH,MATCH($B69,'DRAFT 1'!$B:$B,0)),"")</f>
        <v/>
      </c>
      <c r="AM69" s="116">
        <f>IFERROR(INDEX('DRAFT 1'!$AI:$AI,MATCH($B69,'DRAFT 1'!$B:$B,0)),"")</f>
        <v/>
      </c>
      <c r="AN69" s="116">
        <f>IFERROR(INDEX('DRAFT 1'!$AJ:$AJ,MATCH($B69,'DRAFT 1'!$B:$B,0)),"")</f>
        <v/>
      </c>
      <c r="AO69" s="116">
        <f>IFERROR(Y69/AN69,0)</f>
        <v/>
      </c>
      <c r="AP69" s="116">
        <f>IFERROR(INDEX('DRAFT 1'!$AK:$AK,MATCH($B69,'DRAFT 1'!$B:$B,0)),"")</f>
        <v/>
      </c>
      <c r="AR69" s="116" t="inlineStr">
        <is>
          <t>CS</t>
        </is>
      </c>
      <c r="AS69" s="116">
        <f>IFERROR(LOOKUP(2,1/('DRAFT 2'!$D:$D=$B69),'DRAFT 2'!$T:$T),"")</f>
        <v/>
      </c>
      <c r="AT69" s="116">
        <f>IFERROR(LOOKUP(2,1/('DRAFT 2'!$D:$D=$B69),'DRAFT 2'!$A:$A),"")</f>
        <v/>
      </c>
      <c r="AU69" s="116">
        <f>IFERROR(LOOKUP(2,1/('DRAFT 2'!$D:$D=$B69),'DRAFT 2'!$R:$R),"")</f>
        <v/>
      </c>
      <c r="AV69" s="116">
        <f>IFERROR(LOOKUP(2,1/('DRAFT 2'!$D:$D=$B69),'DRAFT 2'!$S:$S),"")</f>
        <v/>
      </c>
      <c r="AW69" s="116" t="inlineStr">
        <is>
          <t>FIDELIZADO</t>
        </is>
      </c>
      <c r="AX69" s="116">
        <f>IFERROR(LOOKUP(2,1/('DRAFT 2'!$D:$D=$B69),'DRAFT 2'!$M:$M),"")</f>
        <v/>
      </c>
      <c r="AY69" s="116">
        <f>IFERROR(LOOKUP(2,1/('DRAFT 2'!$D:$D=$B69),'DRAFT 2'!$K:$K),"")</f>
        <v/>
      </c>
      <c r="BG69" s="116">
        <f>IFERROR(LOOKUP(2,1/('DRAFT 2'!$D:$D=$B69),'DRAFT 2'!$U:$U),"")</f>
        <v/>
      </c>
      <c r="BH69" s="116">
        <f>IFERROR(LOOKUP(2,1/('DRAFT 2'!$D:$D=$B69),'DRAFT 2'!$V:$V),"")</f>
        <v/>
      </c>
      <c r="CE69" s="116">
        <f>IFERROR(AJ69,0)</f>
        <v/>
      </c>
      <c r="CF69" s="116">
        <f>IFERROR(LOOKUP(2,1/('DRAFT 2'!$D:$D=$B69)*('DRAFT 2'!$A:$A&gt;=DATE(2026,1,1))*('DRAFT 2'!$A:$A&lt;DATE(2026,IF(1=12,1+1,1+1),1)),'DRAFT 2'!$A:$A),"")</f>
        <v/>
      </c>
      <c r="CG69" s="116">
        <f>COUNTIFS('DRAFT 2'!$D:$D,$B69,'DRAFT 2'!$A:$A,"&gt;="&amp;DATE(2026,1,1),'DRAFT 2'!$A:$A,"&lt;="&amp;DATE(2026,1,7))</f>
        <v/>
      </c>
      <c r="CH69" s="116">
        <f>COUNTIFS('DRAFT 2'!$D:$D,$B69,'DRAFT 2'!$A:$A,"&gt;="&amp;DATE(2026,1,8),'DRAFT 2'!$A:$A,"&lt;="&amp;DATE(2026,1,14))</f>
        <v/>
      </c>
      <c r="CI69" s="116">
        <f>COUNTIFS('DRAFT 2'!$D:$D,$B69,'DRAFT 2'!$A:$A,"&gt;="&amp;DATE(2026,1,15),'DRAFT 2'!$A:$A,"&lt;="&amp;DATE(2026,1,21))</f>
        <v/>
      </c>
      <c r="CJ69" s="116">
        <f>COUNTIFS('DRAFT 2'!$D:$D,$B69,'DRAFT 2'!$A:$A,"&gt;="&amp;DATE(2026,1,22),'DRAFT 2'!$A:$A,"&lt;"&amp;DATE(2026,IF(1=12,1+1,1+1),1))</f>
        <v/>
      </c>
      <c r="CK69" s="116">
        <f>SUM(CG69:CJ69)</f>
        <v/>
      </c>
      <c r="CT69" s="116" t="n">
        <v>0</v>
      </c>
      <c r="CU69" s="116">
        <f>IFERROR(LOOKUP(2,1/('DRAFT 2'!$D:$D=$B69)*('DRAFT 2'!$A:$A&gt;=DATE(2026,2,1))*('DRAFT 2'!$A:$A&lt;DATE(2026,IF(2=12,2+1,2+1),1)),'DRAFT 2'!$A:$A),"")</f>
        <v/>
      </c>
      <c r="CV69" s="116">
        <f>COUNTIFS('DRAFT 2'!$D:$D,$B69,'DRAFT 2'!$A:$A,"&gt;="&amp;DATE(2026,2,1),'DRAFT 2'!$A:$A,"&lt;="&amp;DATE(2026,2,7))</f>
        <v/>
      </c>
      <c r="CW69" s="116">
        <f>COUNTIFS('DRAFT 2'!$D:$D,$B69,'DRAFT 2'!$A:$A,"&gt;="&amp;DATE(2026,2,8),'DRAFT 2'!$A:$A,"&lt;="&amp;DATE(2026,2,14))</f>
        <v/>
      </c>
      <c r="CX69" s="116">
        <f>COUNTIFS('DRAFT 2'!$D:$D,$B69,'DRAFT 2'!$A:$A,"&gt;="&amp;DATE(2026,2,15),'DRAFT 2'!$A:$A,"&lt;="&amp;DATE(2026,2,21))</f>
        <v/>
      </c>
      <c r="CY69" s="116">
        <f>COUNTIFS('DRAFT 2'!$D:$D,$B69,'DRAFT 2'!$A:$A,"&gt;="&amp;DATE(2026,2,22),'DRAFT 2'!$A:$A,"&lt;"&amp;DATE(2026,IF(2=12,2+1,2+1),1))</f>
        <v/>
      </c>
      <c r="CZ69" s="116">
        <f>SUM(CV69:CY69)</f>
        <v/>
      </c>
      <c r="DJ69" s="116">
        <f>IFERROR(LOOKUP(2,1/('DRAFT 2'!$D:$D=$B69)*('DRAFT 2'!$A:$A&gt;=DATE(2026,3,1))*('DRAFT 2'!$A:$A&lt;DATE(2026,IF(3=12,3+1,3+1),1)),'DRAFT 2'!$A:$A),"")</f>
        <v/>
      </c>
      <c r="DK69" s="116">
        <f>COUNTIFS('DRAFT 2'!$D:$D,$B69,'DRAFT 2'!$A:$A,"&gt;="&amp;DATE(2026,3,1),'DRAFT 2'!$A:$A,"&lt;="&amp;DATE(2026,3,7))</f>
        <v/>
      </c>
      <c r="DL69" s="116">
        <f>COUNTIFS('DRAFT 2'!$D:$D,$B69,'DRAFT 2'!$A:$A,"&gt;="&amp;DATE(2026,3,8),'DRAFT 2'!$A:$A,"&lt;="&amp;DATE(2026,3,14))</f>
        <v/>
      </c>
      <c r="DM69" s="116">
        <f>COUNTIFS('DRAFT 2'!$D:$D,$B69,'DRAFT 2'!$A:$A,"&gt;="&amp;DATE(2026,3,15),'DRAFT 2'!$A:$A,"&lt;="&amp;DATE(2026,3,21))</f>
        <v/>
      </c>
      <c r="DN69" s="116">
        <f>COUNTIFS('DRAFT 2'!$D:$D,$B69,'DRAFT 2'!$A:$A,"&gt;="&amp;DATE(2026,3,22),'DRAFT 2'!$A:$A,"&lt;"&amp;DATE(2026,IF(3=12,3+1,3+1),1))</f>
        <v/>
      </c>
      <c r="DO69" s="116">
        <f>SUM(DK69:DN69)</f>
        <v/>
      </c>
      <c r="DZ69" s="116">
        <f>IFERROR(LOOKUP(2,1/('DRAFT 2'!$D:$D=$B69)*('DRAFT 2'!$A:$A&gt;=DATE(2026,4,1))*('DRAFT 2'!$A:$A&lt;DATE(2026,IF(4=12,4+1,4+1),1)),'DRAFT 2'!$A:$A),"")</f>
        <v/>
      </c>
      <c r="EA69" s="116">
        <f>COUNTIFS('DRAFT 2'!$D:$D,$B69,'DRAFT 2'!$A:$A,"&gt;="&amp;DATE(2026,4,1),'DRAFT 2'!$A:$A,"&lt;="&amp;DATE(2026,4,7))</f>
        <v/>
      </c>
      <c r="EB69" s="116">
        <f>COUNTIFS('DRAFT 2'!$D:$D,$B69,'DRAFT 2'!$A:$A,"&gt;="&amp;DATE(2026,4,8),'DRAFT 2'!$A:$A,"&lt;="&amp;DATE(2026,4,14))</f>
        <v/>
      </c>
      <c r="EC69" s="116">
        <f>COUNTIFS('DRAFT 2'!$D:$D,$B69,'DRAFT 2'!$A:$A,"&gt;="&amp;DATE(2026,4,15),'DRAFT 2'!$A:$A,"&lt;="&amp;DATE(2026,4,21))</f>
        <v/>
      </c>
      <c r="ED69" s="116">
        <f>COUNTIFS('DRAFT 2'!$D:$D,$B69,'DRAFT 2'!$A:$A,"&gt;="&amp;DATE(2026,4,22),'DRAFT 2'!$A:$A,"&lt;"&amp;DATE(2026,IF(4=12,4+1,4+1),1))</f>
        <v/>
      </c>
      <c r="EE69" s="116">
        <f>SUM(EA69:ED69)</f>
        <v/>
      </c>
      <c r="EO69" s="116">
        <f>IFERROR(LOOKUP(2,1/('DRAFT 2'!$D:$D=$B69)*('DRAFT 2'!$A:$A&gt;=DATE(2026,5,1))*('DRAFT 2'!$A:$A&lt;DATE(2026,IF(5=12,5+1,5+1),1)),'DRAFT 2'!$A:$A),"")</f>
        <v/>
      </c>
      <c r="EP69" s="116">
        <f>COUNTIFS('DRAFT 2'!$D:$D,$B69,'DRAFT 2'!$A:$A,"&gt;="&amp;DATE(2026,5,1),'DRAFT 2'!$A:$A,"&lt;="&amp;DATE(2026,5,7))</f>
        <v/>
      </c>
      <c r="EQ69" s="116">
        <f>COUNTIFS('DRAFT 2'!$D:$D,$B69,'DRAFT 2'!$A:$A,"&gt;="&amp;DATE(2026,5,8),'DRAFT 2'!$A:$A,"&lt;="&amp;DATE(2026,5,14))</f>
        <v/>
      </c>
      <c r="ER69" s="116">
        <f>COUNTIFS('DRAFT 2'!$D:$D,$B69,'DRAFT 2'!$A:$A,"&gt;="&amp;DATE(2026,5,15),'DRAFT 2'!$A:$A,"&lt;="&amp;DATE(2026,5,21))</f>
        <v/>
      </c>
      <c r="ES69" s="116">
        <f>COUNTIFS('DRAFT 2'!$D:$D,$B69,'DRAFT 2'!$A:$A,"&gt;="&amp;DATE(2026,5,22),'DRAFT 2'!$A:$A,"&lt;"&amp;DATE(2026,IF(5=12,5+1,5+1),1))</f>
        <v/>
      </c>
      <c r="ET69" s="116">
        <f>SUM(EP69:ES69)</f>
        <v/>
      </c>
      <c r="FD69" s="116">
        <f>IFERROR(LOOKUP(2,1/('DRAFT 2'!$D:$D=$B69)*('DRAFT 2'!$A:$A&gt;=DATE(2026,6,1))*('DRAFT 2'!$A:$A&lt;DATE(2026,IF(6=12,6+1,6+1),1)),'DRAFT 2'!$A:$A),"")</f>
        <v/>
      </c>
      <c r="FE69" s="116">
        <f>COUNTIFS('DRAFT 2'!$D:$D,$B69,'DRAFT 2'!$A:$A,"&gt;="&amp;DATE(2026,6,1),'DRAFT 2'!$A:$A,"&lt;="&amp;DATE(2026,6,7))</f>
        <v/>
      </c>
      <c r="FF69" s="116">
        <f>COUNTIFS('DRAFT 2'!$D:$D,$B69,'DRAFT 2'!$A:$A,"&gt;="&amp;DATE(2026,6,8),'DRAFT 2'!$A:$A,"&lt;="&amp;DATE(2026,6,14))</f>
        <v/>
      </c>
      <c r="FG69" s="116">
        <f>COUNTIFS('DRAFT 2'!$D:$D,$B69,'DRAFT 2'!$A:$A,"&gt;="&amp;DATE(2026,6,15),'DRAFT 2'!$A:$A,"&lt;="&amp;DATE(2026,6,21))</f>
        <v/>
      </c>
      <c r="FH69" s="116">
        <f>COUNTIFS('DRAFT 2'!$D:$D,$B69,'DRAFT 2'!$A:$A,"&gt;="&amp;DATE(2026,6,22),'DRAFT 2'!$A:$A,"&lt;"&amp;DATE(2026,IF(6=12,6+1,6+1),1))</f>
        <v/>
      </c>
      <c r="FI69" s="116">
        <f>SUM(FE69:FH69)</f>
        <v/>
      </c>
      <c r="FT69" s="116">
        <f>IFERROR(LOOKUP(2,1/('DRAFT 2'!$D:$D=$B69)*('DRAFT 2'!$A:$A&gt;=DATE(2026,7,1))*('DRAFT 2'!$A:$A&lt;DATE(2026,IF(7=12,7+1,7+1),1)),'DRAFT 2'!$A:$A),"")</f>
        <v/>
      </c>
      <c r="FU69" s="116">
        <f>COUNTIFS('DRAFT 2'!$D:$D,$B69,'DRAFT 2'!$A:$A,"&gt;="&amp;DATE(2026,7,1),'DRAFT 2'!$A:$A,"&lt;="&amp;DATE(2026,7,7))</f>
        <v/>
      </c>
      <c r="FV69" s="116">
        <f>COUNTIFS('DRAFT 2'!$D:$D,$B69,'DRAFT 2'!$A:$A,"&gt;="&amp;DATE(2026,7,8),'DRAFT 2'!$A:$A,"&lt;="&amp;DATE(2026,7,14))</f>
        <v/>
      </c>
      <c r="FW69" s="116">
        <f>COUNTIFS('DRAFT 2'!$D:$D,$B69,'DRAFT 2'!$A:$A,"&gt;="&amp;DATE(2026,7,15),'DRAFT 2'!$A:$A,"&lt;="&amp;DATE(2026,7,21))</f>
        <v/>
      </c>
      <c r="FX69" s="116">
        <f>COUNTIFS('DRAFT 2'!$D:$D,$B69,'DRAFT 2'!$A:$A,"&gt;="&amp;DATE(2026,7,22),'DRAFT 2'!$A:$A,"&lt;"&amp;DATE(2026,IF(7=12,7+1,7+1),1))</f>
        <v/>
      </c>
      <c r="FY69" s="116">
        <f>SUM(FU69:FX69)</f>
        <v/>
      </c>
      <c r="GI69" s="116">
        <f>IFERROR(LOOKUP(2,1/('DRAFT 2'!$D:$D=$B69)*('DRAFT 2'!$A:$A&gt;=DATE(2026,8,1))*('DRAFT 2'!$A:$A&lt;DATE(2026,IF(8=12,8+1,8+1),1)),'DRAFT 2'!$A:$A),"")</f>
        <v/>
      </c>
      <c r="GJ69" s="116">
        <f>COUNTIFS('DRAFT 2'!$D:$D,$B69,'DRAFT 2'!$A:$A,"&gt;="&amp;DATE(2026,8,1),'DRAFT 2'!$A:$A,"&lt;="&amp;DATE(2026,8,7))</f>
        <v/>
      </c>
      <c r="GK69" s="116">
        <f>COUNTIFS('DRAFT 2'!$D:$D,$B69,'DRAFT 2'!$A:$A,"&gt;="&amp;DATE(2026,8,8),'DRAFT 2'!$A:$A,"&lt;="&amp;DATE(2026,8,14))</f>
        <v/>
      </c>
      <c r="GL69" s="116">
        <f>COUNTIFS('DRAFT 2'!$D:$D,$B69,'DRAFT 2'!$A:$A,"&gt;="&amp;DATE(2026,8,15),'DRAFT 2'!$A:$A,"&lt;="&amp;DATE(2026,8,21))</f>
        <v/>
      </c>
      <c r="GM69" s="116">
        <f>COUNTIFS('DRAFT 2'!$D:$D,$B69,'DRAFT 2'!$A:$A,"&gt;="&amp;DATE(2026,8,22),'DRAFT 2'!$A:$A,"&lt;"&amp;DATE(2026,IF(8=12,8+1,8+1),1))</f>
        <v/>
      </c>
      <c r="GN69" s="116">
        <f>SUM(GJ69:GM69)</f>
        <v/>
      </c>
      <c r="GX69" s="116">
        <f>IFERROR(LOOKUP(2,1/('DRAFT 2'!$D:$D=$B69)*('DRAFT 2'!$A:$A&gt;=DATE(2026,9,1))*('DRAFT 2'!$A:$A&lt;DATE(2026,IF(9=12,9+1,9+1),1)),'DRAFT 2'!$A:$A),"")</f>
        <v/>
      </c>
      <c r="GY69" s="116">
        <f>COUNTIFS('DRAFT 2'!$D:$D,$B69,'DRAFT 2'!$A:$A,"&gt;="&amp;DATE(2026,9,1),'DRAFT 2'!$A:$A,"&lt;="&amp;DATE(2026,9,7))</f>
        <v/>
      </c>
      <c r="GZ69" s="116">
        <f>COUNTIFS('DRAFT 2'!$D:$D,$B69,'DRAFT 2'!$A:$A,"&gt;="&amp;DATE(2026,9,8),'DRAFT 2'!$A:$A,"&lt;="&amp;DATE(2026,9,14))</f>
        <v/>
      </c>
      <c r="HA69" s="116">
        <f>COUNTIFS('DRAFT 2'!$D:$D,$B69,'DRAFT 2'!$A:$A,"&gt;="&amp;DATE(2026,9,15),'DRAFT 2'!$A:$A,"&lt;="&amp;DATE(2026,9,21))</f>
        <v/>
      </c>
      <c r="HB69" s="116">
        <f>COUNTIFS('DRAFT 2'!$D:$D,$B69,'DRAFT 2'!$A:$A,"&gt;="&amp;DATE(2026,9,22),'DRAFT 2'!$A:$A,"&lt;"&amp;DATE(2026,IF(9=12,9+1,9+1),1))</f>
        <v/>
      </c>
      <c r="HC69" s="116">
        <f>SUM(GY69:HB69)</f>
        <v/>
      </c>
      <c r="HN69" s="116">
        <f>IFERROR(LOOKUP(2,1/('DRAFT 2'!$D:$D=$B69)*('DRAFT 2'!$A:$A&gt;=DATE(2026,10,1))*('DRAFT 2'!$A:$A&lt;DATE(2026,IF(10=12,10+1,10+1),1)),'DRAFT 2'!$A:$A),"")</f>
        <v/>
      </c>
      <c r="HO69" s="116">
        <f>COUNTIFS('DRAFT 2'!$D:$D,$B69,'DRAFT 2'!$A:$A,"&gt;="&amp;DATE(2026,10,1),'DRAFT 2'!$A:$A,"&lt;="&amp;DATE(2026,10,7))</f>
        <v/>
      </c>
      <c r="HP69" s="116">
        <f>COUNTIFS('DRAFT 2'!$D:$D,$B69,'DRAFT 2'!$A:$A,"&gt;="&amp;DATE(2026,10,8),'DRAFT 2'!$A:$A,"&lt;="&amp;DATE(2026,10,14))</f>
        <v/>
      </c>
      <c r="HQ69" s="116">
        <f>COUNTIFS('DRAFT 2'!$D:$D,$B69,'DRAFT 2'!$A:$A,"&gt;="&amp;DATE(2026,10,15),'DRAFT 2'!$A:$A,"&lt;="&amp;DATE(2026,10,21))</f>
        <v/>
      </c>
      <c r="HR69" s="116">
        <f>COUNTIFS('DRAFT 2'!$D:$D,$B69,'DRAFT 2'!$A:$A,"&gt;="&amp;DATE(2026,10,22),'DRAFT 2'!$A:$A,"&lt;"&amp;DATE(2026,IF(10=12,10+1,10+1),1))</f>
        <v/>
      </c>
      <c r="HS69" s="116">
        <f>SUM(HO69:HR69)</f>
        <v/>
      </c>
      <c r="IC69" s="116">
        <f>IFERROR(LOOKUP(2,1/('DRAFT 2'!$D:$D=$B69)*('DRAFT 2'!$A:$A&gt;=DATE(2026,11,1))*('DRAFT 2'!$A:$A&lt;DATE(2026,IF(11=12,11+1,11+1),1)),'DRAFT 2'!$A:$A),"")</f>
        <v/>
      </c>
      <c r="ID69" s="116">
        <f>COUNTIFS('DRAFT 2'!$D:$D,$B69,'DRAFT 2'!$A:$A,"&gt;="&amp;DATE(2026,11,1),'DRAFT 2'!$A:$A,"&lt;="&amp;DATE(2026,11,7))</f>
        <v/>
      </c>
      <c r="IE69" s="116">
        <f>COUNTIFS('DRAFT 2'!$D:$D,$B69,'DRAFT 2'!$A:$A,"&gt;="&amp;DATE(2026,11,8),'DRAFT 2'!$A:$A,"&lt;="&amp;DATE(2026,11,14))</f>
        <v/>
      </c>
      <c r="IF69" s="116">
        <f>COUNTIFS('DRAFT 2'!$D:$D,$B69,'DRAFT 2'!$A:$A,"&gt;="&amp;DATE(2026,11,15),'DRAFT 2'!$A:$A,"&lt;="&amp;DATE(2026,11,21))</f>
        <v/>
      </c>
      <c r="IG69" s="116">
        <f>COUNTIFS('DRAFT 2'!$D:$D,$B69,'DRAFT 2'!$A:$A,"&gt;="&amp;DATE(2026,11,22),'DRAFT 2'!$A:$A,"&lt;"&amp;DATE(2026,IF(11=12,11+1,11+1),1))</f>
        <v/>
      </c>
      <c r="IH69" s="116">
        <f>SUM(ID69:IG69)</f>
        <v/>
      </c>
      <c r="IR69" s="116">
        <f>IFERROR(LOOKUP(2,1/('DRAFT 2'!$D:$D=$B69)*('DRAFT 2'!$A:$A&gt;=DATE(2026,12,1))*('DRAFT 2'!$A:$A&lt;DATE(2026,IF(12=12,12+1,12+1),1)),'DRAFT 2'!$A:$A),"")</f>
        <v/>
      </c>
      <c r="IS69" s="116">
        <f>COUNTIFS('DRAFT 2'!$D:$D,$B69,'DRAFT 2'!$A:$A,"&gt;="&amp;DATE(2026,12,1),'DRAFT 2'!$A:$A,"&lt;="&amp;DATE(2026,12,7))</f>
        <v/>
      </c>
      <c r="IT69" s="116">
        <f>COUNTIFS('DRAFT 2'!$D:$D,$B69,'DRAFT 2'!$A:$A,"&gt;="&amp;DATE(2026,12,8),'DRAFT 2'!$A:$A,"&lt;="&amp;DATE(2026,12,14))</f>
        <v/>
      </c>
      <c r="IU69" s="116">
        <f>COUNTIFS('DRAFT 2'!$D:$D,$B69,'DRAFT 2'!$A:$A,"&gt;="&amp;DATE(2026,12,15),'DRAFT 2'!$A:$A,"&lt;="&amp;DATE(2026,12,21))</f>
        <v/>
      </c>
      <c r="IV69" s="116">
        <f>COUNTIFS('DRAFT 2'!$D:$D,$B69,'DRAFT 2'!$A:$A,"&gt;="&amp;DATE(2026,12,22),'DRAFT 2'!$A:$A,"&lt;"&amp;DATE(2026,IF(12=12,12+1,12+1),1))</f>
        <v/>
      </c>
      <c r="IW69" s="116">
        <f>SUM(IS69:IV69)</f>
        <v/>
      </c>
    </row>
    <row r="70">
      <c r="A70" s="116">
        <f>IFERROR(INDEX('DRAFT 1'!$A:$A,MATCH($B70,'DRAFT 1'!$B:$B,0)),"")</f>
        <v/>
      </c>
      <c r="C70" s="116">
        <f>IFERROR(INDEX('DRAFT 1'!$C:$C,MATCH($B70,'DRAFT 1'!$B:$B,0)),"")</f>
        <v/>
      </c>
      <c r="D70" s="116">
        <f>IFERROR(INDEX('DRAFT 1'!$D:$D,MATCH($B70,'DRAFT 1'!$B:$B,0)),"")</f>
        <v/>
      </c>
      <c r="E70" s="116">
        <f>IFERROR(INDEX('DRAFT 1'!$E:$E,MATCH($B70,'DRAFT 1'!$B:$B,0)),"")</f>
        <v/>
      </c>
      <c r="F70" s="116">
        <f>IFERROR(INDEX('DRAFT 1'!$F:$F,MATCH($B70,'DRAFT 1'!$B:$B,0)),"")</f>
        <v/>
      </c>
      <c r="G70" s="116">
        <f>IFERROR(INDEX('DRAFT 1'!$G:$G,MATCH($B70,'DRAFT 1'!$B:$B,0)),"")</f>
        <v/>
      </c>
      <c r="H70" s="116">
        <f>IFERROR(INDEX('DRAFT 1'!$H:$H,MATCH($B70,'DRAFT 1'!$B:$B,0)),"")</f>
        <v/>
      </c>
      <c r="I70" s="116" t="inlineStr">
        <is>
          <t>DEMAIS CLIENTES</t>
        </is>
      </c>
      <c r="K70" s="116">
        <f>IFERROR(INDEX('DRAFT 1'!$AL:$AL,MATCH($B70,'DRAFT 1'!$B:$B,0)),"")</f>
        <v/>
      </c>
      <c r="L70" s="116">
        <f>IFERROR(INDEX('DRAFT 1'!$J:$J,MATCH($B70,'DRAFT 1'!$B:$B,0)),"")</f>
        <v/>
      </c>
      <c r="M70" s="116">
        <f>IFERROR(INDEX('DRAFT 1'!$K:$K,MATCH($B70,'DRAFT 1'!$B:$B,0)),"")</f>
        <v/>
      </c>
      <c r="N70" s="116" t="inlineStr">
        <is>
          <t>ATIVO</t>
        </is>
      </c>
      <c r="P70" s="116">
        <f>IFERROR(INDEX('DRAFT 1'!$L:$L,MATCH($B70,'DRAFT 1'!$B:$B,0)),"")</f>
        <v/>
      </c>
      <c r="Q70" s="116">
        <f>IFERROR(INDEX('DRAFT 1'!$M:$M,MATCH($B70,'DRAFT 1'!$B:$B,0)),"")</f>
        <v/>
      </c>
      <c r="R70" s="116">
        <f>IFERROR(INDEX('DRAFT 1'!$N:$N,MATCH($B70,'DRAFT 1'!$B:$B,0)),"")</f>
        <v/>
      </c>
      <c r="S70" s="116">
        <f>IFERROR(INDEX('DRAFT 1'!$O:$O,MATCH($B70,'DRAFT 1'!$B:$B,0)),"")</f>
        <v/>
      </c>
      <c r="T70" s="116">
        <f>IFERROR(INDEX('DRAFT 1'!$P:$P,MATCH($B70,'DRAFT 1'!$B:$B,0)),"")</f>
        <v/>
      </c>
      <c r="U70" s="116">
        <f>IFERROR(INDEX('DRAFT 1'!$Q:$Q,MATCH($B70,'DRAFT 1'!$B:$B,0)),"")</f>
        <v/>
      </c>
      <c r="V70" s="116">
        <f>IFERROR(INDEX('DRAFT 1'!$R:$R,MATCH($B70,'DRAFT 1'!$B:$B,0)),"")</f>
        <v/>
      </c>
      <c r="W70" s="116">
        <f>IFERROR(INDEX('DRAFT 1'!$S:$S,MATCH($B70,'DRAFT 1'!$B:$B,0)),"")</f>
        <v/>
      </c>
      <c r="X70" s="116">
        <f>IFERROR(INDEX('DRAFT 1'!$T:$T,MATCH($B70,'DRAFT 1'!$B:$B,0)),"")</f>
        <v/>
      </c>
      <c r="Z70" s="116">
        <f>IFERROR(INDEX('DRAFT 1'!$U:$U,MATCH($B70,'DRAFT 1'!$B:$B,0)),"")</f>
        <v/>
      </c>
      <c r="AA70" s="116">
        <f>IFERROR(INDEX('DRAFT 1'!$V:$V,MATCH($B70,'DRAFT 1'!$B:$B,0)),"")</f>
        <v/>
      </c>
      <c r="AB70" s="116">
        <f>IFERROR(INDEX('DRAFT 1'!$W:$W,MATCH($B70,'DRAFT 1'!$B:$B,0)),"")</f>
        <v/>
      </c>
      <c r="AC70" s="116">
        <f>IFERROR(INDEX('DRAFT 1'!$X:$X,MATCH($B70,'DRAFT 1'!$B:$B,0)),"")</f>
        <v/>
      </c>
      <c r="AD70" s="116">
        <f>IFERROR(INDEX('DRAFT 1'!$Y:$Y,MATCH($B70,'DRAFT 1'!$B:$B,0)),"")</f>
        <v/>
      </c>
      <c r="AE70" s="116">
        <f>IFERROR(INDEX('DRAFT 1'!$Z:$Z,MATCH($B70,'DRAFT 1'!$B:$B,0)),"")</f>
        <v/>
      </c>
      <c r="AF70" s="116">
        <f>IFERROR(INDEX('DRAFT 1'!$AA:$AA,MATCH($B70,'DRAFT 1'!$B:$B,0)),"")</f>
        <v/>
      </c>
      <c r="AG70" s="116">
        <f>IFERROR(INDEX('DRAFT 1'!$AB:$AB,MATCH($B70,'DRAFT 1'!$B:$B,0)),"")</f>
        <v/>
      </c>
      <c r="AH70" s="116">
        <f>IFERROR(INDEX('DRAFT 1'!$AC:$AC,MATCH($B70,'DRAFT 1'!$B:$B,0)),"")</f>
        <v/>
      </c>
      <c r="AI70" s="116">
        <f>IFERROR(INDEX('DRAFT 1'!$AD:$AD,MATCH($B70,'DRAFT 1'!$B:$B,0)),"")</f>
        <v/>
      </c>
      <c r="AJ70" s="116">
        <f>IFERROR(INDEX('DRAFT 1'!$AE:$AE,MATCH($B70,'DRAFT 1'!$B:$B,0)),"")</f>
        <v/>
      </c>
      <c r="AK70" s="116">
        <f>IFERROR(INDEX('DRAFT 1'!$AG:$AG,MATCH($B70,'DRAFT 1'!$B:$B,0)),"")</f>
        <v/>
      </c>
      <c r="AL70" s="116">
        <f>IFERROR(INDEX('DRAFT 1'!$AH:$AH,MATCH($B70,'DRAFT 1'!$B:$B,0)),"")</f>
        <v/>
      </c>
      <c r="AM70" s="116">
        <f>IFERROR(INDEX('DRAFT 1'!$AI:$AI,MATCH($B70,'DRAFT 1'!$B:$B,0)),"")</f>
        <v/>
      </c>
      <c r="AN70" s="116">
        <f>IFERROR(INDEX('DRAFT 1'!$AJ:$AJ,MATCH($B70,'DRAFT 1'!$B:$B,0)),"")</f>
        <v/>
      </c>
      <c r="AO70" s="116">
        <f>IFERROR(Y70/AN70,0)</f>
        <v/>
      </c>
      <c r="AP70" s="116">
        <f>IFERROR(INDEX('DRAFT 1'!$AK:$AK,MATCH($B70,'DRAFT 1'!$B:$B,0)),"")</f>
        <v/>
      </c>
      <c r="AR70" s="116" t="inlineStr">
        <is>
          <t>CS</t>
        </is>
      </c>
      <c r="AS70" s="116">
        <f>IFERROR(LOOKUP(2,1/('DRAFT 2'!$D:$D=$B70),'DRAFT 2'!$T:$T),"")</f>
        <v/>
      </c>
      <c r="AT70" s="116">
        <f>IFERROR(LOOKUP(2,1/('DRAFT 2'!$D:$D=$B70),'DRAFT 2'!$A:$A),"")</f>
        <v/>
      </c>
      <c r="AU70" s="116">
        <f>IFERROR(LOOKUP(2,1/('DRAFT 2'!$D:$D=$B70),'DRAFT 2'!$R:$R),"")</f>
        <v/>
      </c>
      <c r="AV70" s="116">
        <f>IFERROR(LOOKUP(2,1/('DRAFT 2'!$D:$D=$B70),'DRAFT 2'!$S:$S),"")</f>
        <v/>
      </c>
      <c r="AW70" s="116" t="inlineStr">
        <is>
          <t>PROSPECT</t>
        </is>
      </c>
      <c r="AX70" s="116">
        <f>IFERROR(LOOKUP(2,1/('DRAFT 2'!$D:$D=$B70),'DRAFT 2'!$M:$M),"")</f>
        <v/>
      </c>
      <c r="AY70" s="116">
        <f>IFERROR(LOOKUP(2,1/('DRAFT 2'!$D:$D=$B70),'DRAFT 2'!$K:$K),"")</f>
        <v/>
      </c>
      <c r="BG70" s="116">
        <f>IFERROR(LOOKUP(2,1/('DRAFT 2'!$D:$D=$B70),'DRAFT 2'!$U:$U),"")</f>
        <v/>
      </c>
      <c r="BH70" s="116">
        <f>IFERROR(LOOKUP(2,1/('DRAFT 2'!$D:$D=$B70),'DRAFT 2'!$V:$V),"")</f>
        <v/>
      </c>
      <c r="CE70" s="116">
        <f>IFERROR(AJ70,0)</f>
        <v/>
      </c>
      <c r="CF70" s="116">
        <f>IFERROR(LOOKUP(2,1/('DRAFT 2'!$D:$D=$B70)*('DRAFT 2'!$A:$A&gt;=DATE(2026,1,1))*('DRAFT 2'!$A:$A&lt;DATE(2026,IF(1=12,1+1,1+1),1)),'DRAFT 2'!$A:$A),"")</f>
        <v/>
      </c>
      <c r="CG70" s="116">
        <f>COUNTIFS('DRAFT 2'!$D:$D,$B70,'DRAFT 2'!$A:$A,"&gt;="&amp;DATE(2026,1,1),'DRAFT 2'!$A:$A,"&lt;="&amp;DATE(2026,1,7))</f>
        <v/>
      </c>
      <c r="CH70" s="116">
        <f>COUNTIFS('DRAFT 2'!$D:$D,$B70,'DRAFT 2'!$A:$A,"&gt;="&amp;DATE(2026,1,8),'DRAFT 2'!$A:$A,"&lt;="&amp;DATE(2026,1,14))</f>
        <v/>
      </c>
      <c r="CI70" s="116">
        <f>COUNTIFS('DRAFT 2'!$D:$D,$B70,'DRAFT 2'!$A:$A,"&gt;="&amp;DATE(2026,1,15),'DRAFT 2'!$A:$A,"&lt;="&amp;DATE(2026,1,21))</f>
        <v/>
      </c>
      <c r="CJ70" s="116">
        <f>COUNTIFS('DRAFT 2'!$D:$D,$B70,'DRAFT 2'!$A:$A,"&gt;="&amp;DATE(2026,1,22),'DRAFT 2'!$A:$A,"&lt;"&amp;DATE(2026,IF(1=12,1+1,1+1),1))</f>
        <v/>
      </c>
      <c r="CK70" s="116">
        <f>SUM(CG70:CJ70)</f>
        <v/>
      </c>
      <c r="CT70" s="116" t="n">
        <v>0</v>
      </c>
      <c r="CU70" s="116">
        <f>IFERROR(LOOKUP(2,1/('DRAFT 2'!$D:$D=$B70)*('DRAFT 2'!$A:$A&gt;=DATE(2026,2,1))*('DRAFT 2'!$A:$A&lt;DATE(2026,IF(2=12,2+1,2+1),1)),'DRAFT 2'!$A:$A),"")</f>
        <v/>
      </c>
      <c r="CV70" s="116">
        <f>COUNTIFS('DRAFT 2'!$D:$D,$B70,'DRAFT 2'!$A:$A,"&gt;="&amp;DATE(2026,2,1),'DRAFT 2'!$A:$A,"&lt;="&amp;DATE(2026,2,7))</f>
        <v/>
      </c>
      <c r="CW70" s="116">
        <f>COUNTIFS('DRAFT 2'!$D:$D,$B70,'DRAFT 2'!$A:$A,"&gt;="&amp;DATE(2026,2,8),'DRAFT 2'!$A:$A,"&lt;="&amp;DATE(2026,2,14))</f>
        <v/>
      </c>
      <c r="CX70" s="116">
        <f>COUNTIFS('DRAFT 2'!$D:$D,$B70,'DRAFT 2'!$A:$A,"&gt;="&amp;DATE(2026,2,15),'DRAFT 2'!$A:$A,"&lt;="&amp;DATE(2026,2,21))</f>
        <v/>
      </c>
      <c r="CY70" s="116">
        <f>COUNTIFS('DRAFT 2'!$D:$D,$B70,'DRAFT 2'!$A:$A,"&gt;="&amp;DATE(2026,2,22),'DRAFT 2'!$A:$A,"&lt;"&amp;DATE(2026,IF(2=12,2+1,2+1),1))</f>
        <v/>
      </c>
      <c r="CZ70" s="116">
        <f>SUM(CV70:CY70)</f>
        <v/>
      </c>
      <c r="DJ70" s="116">
        <f>IFERROR(LOOKUP(2,1/('DRAFT 2'!$D:$D=$B70)*('DRAFT 2'!$A:$A&gt;=DATE(2026,3,1))*('DRAFT 2'!$A:$A&lt;DATE(2026,IF(3=12,3+1,3+1),1)),'DRAFT 2'!$A:$A),"")</f>
        <v/>
      </c>
      <c r="DK70" s="116">
        <f>COUNTIFS('DRAFT 2'!$D:$D,$B70,'DRAFT 2'!$A:$A,"&gt;="&amp;DATE(2026,3,1),'DRAFT 2'!$A:$A,"&lt;="&amp;DATE(2026,3,7))</f>
        <v/>
      </c>
      <c r="DL70" s="116">
        <f>COUNTIFS('DRAFT 2'!$D:$D,$B70,'DRAFT 2'!$A:$A,"&gt;="&amp;DATE(2026,3,8),'DRAFT 2'!$A:$A,"&lt;="&amp;DATE(2026,3,14))</f>
        <v/>
      </c>
      <c r="DM70" s="116">
        <f>COUNTIFS('DRAFT 2'!$D:$D,$B70,'DRAFT 2'!$A:$A,"&gt;="&amp;DATE(2026,3,15),'DRAFT 2'!$A:$A,"&lt;="&amp;DATE(2026,3,21))</f>
        <v/>
      </c>
      <c r="DN70" s="116">
        <f>COUNTIFS('DRAFT 2'!$D:$D,$B70,'DRAFT 2'!$A:$A,"&gt;="&amp;DATE(2026,3,22),'DRAFT 2'!$A:$A,"&lt;"&amp;DATE(2026,IF(3=12,3+1,3+1),1))</f>
        <v/>
      </c>
      <c r="DO70" s="116">
        <f>SUM(DK70:DN70)</f>
        <v/>
      </c>
      <c r="DZ70" s="116">
        <f>IFERROR(LOOKUP(2,1/('DRAFT 2'!$D:$D=$B70)*('DRAFT 2'!$A:$A&gt;=DATE(2026,4,1))*('DRAFT 2'!$A:$A&lt;DATE(2026,IF(4=12,4+1,4+1),1)),'DRAFT 2'!$A:$A),"")</f>
        <v/>
      </c>
      <c r="EA70" s="116">
        <f>COUNTIFS('DRAFT 2'!$D:$D,$B70,'DRAFT 2'!$A:$A,"&gt;="&amp;DATE(2026,4,1),'DRAFT 2'!$A:$A,"&lt;="&amp;DATE(2026,4,7))</f>
        <v/>
      </c>
      <c r="EB70" s="116">
        <f>COUNTIFS('DRAFT 2'!$D:$D,$B70,'DRAFT 2'!$A:$A,"&gt;="&amp;DATE(2026,4,8),'DRAFT 2'!$A:$A,"&lt;="&amp;DATE(2026,4,14))</f>
        <v/>
      </c>
      <c r="EC70" s="116">
        <f>COUNTIFS('DRAFT 2'!$D:$D,$B70,'DRAFT 2'!$A:$A,"&gt;="&amp;DATE(2026,4,15),'DRAFT 2'!$A:$A,"&lt;="&amp;DATE(2026,4,21))</f>
        <v/>
      </c>
      <c r="ED70" s="116">
        <f>COUNTIFS('DRAFT 2'!$D:$D,$B70,'DRAFT 2'!$A:$A,"&gt;="&amp;DATE(2026,4,22),'DRAFT 2'!$A:$A,"&lt;"&amp;DATE(2026,IF(4=12,4+1,4+1),1))</f>
        <v/>
      </c>
      <c r="EE70" s="116">
        <f>SUM(EA70:ED70)</f>
        <v/>
      </c>
      <c r="EO70" s="116">
        <f>IFERROR(LOOKUP(2,1/('DRAFT 2'!$D:$D=$B70)*('DRAFT 2'!$A:$A&gt;=DATE(2026,5,1))*('DRAFT 2'!$A:$A&lt;DATE(2026,IF(5=12,5+1,5+1),1)),'DRAFT 2'!$A:$A),"")</f>
        <v/>
      </c>
      <c r="EP70" s="116">
        <f>COUNTIFS('DRAFT 2'!$D:$D,$B70,'DRAFT 2'!$A:$A,"&gt;="&amp;DATE(2026,5,1),'DRAFT 2'!$A:$A,"&lt;="&amp;DATE(2026,5,7))</f>
        <v/>
      </c>
      <c r="EQ70" s="116">
        <f>COUNTIFS('DRAFT 2'!$D:$D,$B70,'DRAFT 2'!$A:$A,"&gt;="&amp;DATE(2026,5,8),'DRAFT 2'!$A:$A,"&lt;="&amp;DATE(2026,5,14))</f>
        <v/>
      </c>
      <c r="ER70" s="116">
        <f>COUNTIFS('DRAFT 2'!$D:$D,$B70,'DRAFT 2'!$A:$A,"&gt;="&amp;DATE(2026,5,15),'DRAFT 2'!$A:$A,"&lt;="&amp;DATE(2026,5,21))</f>
        <v/>
      </c>
      <c r="ES70" s="116">
        <f>COUNTIFS('DRAFT 2'!$D:$D,$B70,'DRAFT 2'!$A:$A,"&gt;="&amp;DATE(2026,5,22),'DRAFT 2'!$A:$A,"&lt;"&amp;DATE(2026,IF(5=12,5+1,5+1),1))</f>
        <v/>
      </c>
      <c r="ET70" s="116">
        <f>SUM(EP70:ES70)</f>
        <v/>
      </c>
      <c r="FD70" s="116">
        <f>IFERROR(LOOKUP(2,1/('DRAFT 2'!$D:$D=$B70)*('DRAFT 2'!$A:$A&gt;=DATE(2026,6,1))*('DRAFT 2'!$A:$A&lt;DATE(2026,IF(6=12,6+1,6+1),1)),'DRAFT 2'!$A:$A),"")</f>
        <v/>
      </c>
      <c r="FE70" s="116">
        <f>COUNTIFS('DRAFT 2'!$D:$D,$B70,'DRAFT 2'!$A:$A,"&gt;="&amp;DATE(2026,6,1),'DRAFT 2'!$A:$A,"&lt;="&amp;DATE(2026,6,7))</f>
        <v/>
      </c>
      <c r="FF70" s="116">
        <f>COUNTIFS('DRAFT 2'!$D:$D,$B70,'DRAFT 2'!$A:$A,"&gt;="&amp;DATE(2026,6,8),'DRAFT 2'!$A:$A,"&lt;="&amp;DATE(2026,6,14))</f>
        <v/>
      </c>
      <c r="FG70" s="116">
        <f>COUNTIFS('DRAFT 2'!$D:$D,$B70,'DRAFT 2'!$A:$A,"&gt;="&amp;DATE(2026,6,15),'DRAFT 2'!$A:$A,"&lt;="&amp;DATE(2026,6,21))</f>
        <v/>
      </c>
      <c r="FH70" s="116">
        <f>COUNTIFS('DRAFT 2'!$D:$D,$B70,'DRAFT 2'!$A:$A,"&gt;="&amp;DATE(2026,6,22),'DRAFT 2'!$A:$A,"&lt;"&amp;DATE(2026,IF(6=12,6+1,6+1),1))</f>
        <v/>
      </c>
      <c r="FI70" s="116">
        <f>SUM(FE70:FH70)</f>
        <v/>
      </c>
      <c r="FT70" s="116">
        <f>IFERROR(LOOKUP(2,1/('DRAFT 2'!$D:$D=$B70)*('DRAFT 2'!$A:$A&gt;=DATE(2026,7,1))*('DRAFT 2'!$A:$A&lt;DATE(2026,IF(7=12,7+1,7+1),1)),'DRAFT 2'!$A:$A),"")</f>
        <v/>
      </c>
      <c r="FU70" s="116">
        <f>COUNTIFS('DRAFT 2'!$D:$D,$B70,'DRAFT 2'!$A:$A,"&gt;="&amp;DATE(2026,7,1),'DRAFT 2'!$A:$A,"&lt;="&amp;DATE(2026,7,7))</f>
        <v/>
      </c>
      <c r="FV70" s="116">
        <f>COUNTIFS('DRAFT 2'!$D:$D,$B70,'DRAFT 2'!$A:$A,"&gt;="&amp;DATE(2026,7,8),'DRAFT 2'!$A:$A,"&lt;="&amp;DATE(2026,7,14))</f>
        <v/>
      </c>
      <c r="FW70" s="116">
        <f>COUNTIFS('DRAFT 2'!$D:$D,$B70,'DRAFT 2'!$A:$A,"&gt;="&amp;DATE(2026,7,15),'DRAFT 2'!$A:$A,"&lt;="&amp;DATE(2026,7,21))</f>
        <v/>
      </c>
      <c r="FX70" s="116">
        <f>COUNTIFS('DRAFT 2'!$D:$D,$B70,'DRAFT 2'!$A:$A,"&gt;="&amp;DATE(2026,7,22),'DRAFT 2'!$A:$A,"&lt;"&amp;DATE(2026,IF(7=12,7+1,7+1),1))</f>
        <v/>
      </c>
      <c r="FY70" s="116">
        <f>SUM(FU70:FX70)</f>
        <v/>
      </c>
      <c r="GI70" s="116">
        <f>IFERROR(LOOKUP(2,1/('DRAFT 2'!$D:$D=$B70)*('DRAFT 2'!$A:$A&gt;=DATE(2026,8,1))*('DRAFT 2'!$A:$A&lt;DATE(2026,IF(8=12,8+1,8+1),1)),'DRAFT 2'!$A:$A),"")</f>
        <v/>
      </c>
      <c r="GJ70" s="116">
        <f>COUNTIFS('DRAFT 2'!$D:$D,$B70,'DRAFT 2'!$A:$A,"&gt;="&amp;DATE(2026,8,1),'DRAFT 2'!$A:$A,"&lt;="&amp;DATE(2026,8,7))</f>
        <v/>
      </c>
      <c r="GK70" s="116">
        <f>COUNTIFS('DRAFT 2'!$D:$D,$B70,'DRAFT 2'!$A:$A,"&gt;="&amp;DATE(2026,8,8),'DRAFT 2'!$A:$A,"&lt;="&amp;DATE(2026,8,14))</f>
        <v/>
      </c>
      <c r="GL70" s="116">
        <f>COUNTIFS('DRAFT 2'!$D:$D,$B70,'DRAFT 2'!$A:$A,"&gt;="&amp;DATE(2026,8,15),'DRAFT 2'!$A:$A,"&lt;="&amp;DATE(2026,8,21))</f>
        <v/>
      </c>
      <c r="GM70" s="116">
        <f>COUNTIFS('DRAFT 2'!$D:$D,$B70,'DRAFT 2'!$A:$A,"&gt;="&amp;DATE(2026,8,22),'DRAFT 2'!$A:$A,"&lt;"&amp;DATE(2026,IF(8=12,8+1,8+1),1))</f>
        <v/>
      </c>
      <c r="GN70" s="116">
        <f>SUM(GJ70:GM70)</f>
        <v/>
      </c>
      <c r="GX70" s="116">
        <f>IFERROR(LOOKUP(2,1/('DRAFT 2'!$D:$D=$B70)*('DRAFT 2'!$A:$A&gt;=DATE(2026,9,1))*('DRAFT 2'!$A:$A&lt;DATE(2026,IF(9=12,9+1,9+1),1)),'DRAFT 2'!$A:$A),"")</f>
        <v/>
      </c>
      <c r="GY70" s="116">
        <f>COUNTIFS('DRAFT 2'!$D:$D,$B70,'DRAFT 2'!$A:$A,"&gt;="&amp;DATE(2026,9,1),'DRAFT 2'!$A:$A,"&lt;="&amp;DATE(2026,9,7))</f>
        <v/>
      </c>
      <c r="GZ70" s="116">
        <f>COUNTIFS('DRAFT 2'!$D:$D,$B70,'DRAFT 2'!$A:$A,"&gt;="&amp;DATE(2026,9,8),'DRAFT 2'!$A:$A,"&lt;="&amp;DATE(2026,9,14))</f>
        <v/>
      </c>
      <c r="HA70" s="116">
        <f>COUNTIFS('DRAFT 2'!$D:$D,$B70,'DRAFT 2'!$A:$A,"&gt;="&amp;DATE(2026,9,15),'DRAFT 2'!$A:$A,"&lt;="&amp;DATE(2026,9,21))</f>
        <v/>
      </c>
      <c r="HB70" s="116">
        <f>COUNTIFS('DRAFT 2'!$D:$D,$B70,'DRAFT 2'!$A:$A,"&gt;="&amp;DATE(2026,9,22),'DRAFT 2'!$A:$A,"&lt;"&amp;DATE(2026,IF(9=12,9+1,9+1),1))</f>
        <v/>
      </c>
      <c r="HC70" s="116">
        <f>SUM(GY70:HB70)</f>
        <v/>
      </c>
      <c r="HN70" s="116">
        <f>IFERROR(LOOKUP(2,1/('DRAFT 2'!$D:$D=$B70)*('DRAFT 2'!$A:$A&gt;=DATE(2026,10,1))*('DRAFT 2'!$A:$A&lt;DATE(2026,IF(10=12,10+1,10+1),1)),'DRAFT 2'!$A:$A),"")</f>
        <v/>
      </c>
      <c r="HO70" s="116">
        <f>COUNTIFS('DRAFT 2'!$D:$D,$B70,'DRAFT 2'!$A:$A,"&gt;="&amp;DATE(2026,10,1),'DRAFT 2'!$A:$A,"&lt;="&amp;DATE(2026,10,7))</f>
        <v/>
      </c>
      <c r="HP70" s="116">
        <f>COUNTIFS('DRAFT 2'!$D:$D,$B70,'DRAFT 2'!$A:$A,"&gt;="&amp;DATE(2026,10,8),'DRAFT 2'!$A:$A,"&lt;="&amp;DATE(2026,10,14))</f>
        <v/>
      </c>
      <c r="HQ70" s="116">
        <f>COUNTIFS('DRAFT 2'!$D:$D,$B70,'DRAFT 2'!$A:$A,"&gt;="&amp;DATE(2026,10,15),'DRAFT 2'!$A:$A,"&lt;="&amp;DATE(2026,10,21))</f>
        <v/>
      </c>
      <c r="HR70" s="116">
        <f>COUNTIFS('DRAFT 2'!$D:$D,$B70,'DRAFT 2'!$A:$A,"&gt;="&amp;DATE(2026,10,22),'DRAFT 2'!$A:$A,"&lt;"&amp;DATE(2026,IF(10=12,10+1,10+1),1))</f>
        <v/>
      </c>
      <c r="HS70" s="116">
        <f>SUM(HO70:HR70)</f>
        <v/>
      </c>
      <c r="IC70" s="116">
        <f>IFERROR(LOOKUP(2,1/('DRAFT 2'!$D:$D=$B70)*('DRAFT 2'!$A:$A&gt;=DATE(2026,11,1))*('DRAFT 2'!$A:$A&lt;DATE(2026,IF(11=12,11+1,11+1),1)),'DRAFT 2'!$A:$A),"")</f>
        <v/>
      </c>
      <c r="ID70" s="116">
        <f>COUNTIFS('DRAFT 2'!$D:$D,$B70,'DRAFT 2'!$A:$A,"&gt;="&amp;DATE(2026,11,1),'DRAFT 2'!$A:$A,"&lt;="&amp;DATE(2026,11,7))</f>
        <v/>
      </c>
      <c r="IE70" s="116">
        <f>COUNTIFS('DRAFT 2'!$D:$D,$B70,'DRAFT 2'!$A:$A,"&gt;="&amp;DATE(2026,11,8),'DRAFT 2'!$A:$A,"&lt;="&amp;DATE(2026,11,14))</f>
        <v/>
      </c>
      <c r="IF70" s="116">
        <f>COUNTIFS('DRAFT 2'!$D:$D,$B70,'DRAFT 2'!$A:$A,"&gt;="&amp;DATE(2026,11,15),'DRAFT 2'!$A:$A,"&lt;="&amp;DATE(2026,11,21))</f>
        <v/>
      </c>
      <c r="IG70" s="116">
        <f>COUNTIFS('DRAFT 2'!$D:$D,$B70,'DRAFT 2'!$A:$A,"&gt;="&amp;DATE(2026,11,22),'DRAFT 2'!$A:$A,"&lt;"&amp;DATE(2026,IF(11=12,11+1,11+1),1))</f>
        <v/>
      </c>
      <c r="IH70" s="116">
        <f>SUM(ID70:IG70)</f>
        <v/>
      </c>
      <c r="IR70" s="116">
        <f>IFERROR(LOOKUP(2,1/('DRAFT 2'!$D:$D=$B70)*('DRAFT 2'!$A:$A&gt;=DATE(2026,12,1))*('DRAFT 2'!$A:$A&lt;DATE(2026,IF(12=12,12+1,12+1),1)),'DRAFT 2'!$A:$A),"")</f>
        <v/>
      </c>
      <c r="IS70" s="116">
        <f>COUNTIFS('DRAFT 2'!$D:$D,$B70,'DRAFT 2'!$A:$A,"&gt;="&amp;DATE(2026,12,1),'DRAFT 2'!$A:$A,"&lt;="&amp;DATE(2026,12,7))</f>
        <v/>
      </c>
      <c r="IT70" s="116">
        <f>COUNTIFS('DRAFT 2'!$D:$D,$B70,'DRAFT 2'!$A:$A,"&gt;="&amp;DATE(2026,12,8),'DRAFT 2'!$A:$A,"&lt;="&amp;DATE(2026,12,14))</f>
        <v/>
      </c>
      <c r="IU70" s="116">
        <f>COUNTIFS('DRAFT 2'!$D:$D,$B70,'DRAFT 2'!$A:$A,"&gt;="&amp;DATE(2026,12,15),'DRAFT 2'!$A:$A,"&lt;="&amp;DATE(2026,12,21))</f>
        <v/>
      </c>
      <c r="IV70" s="116">
        <f>COUNTIFS('DRAFT 2'!$D:$D,$B70,'DRAFT 2'!$A:$A,"&gt;="&amp;DATE(2026,12,22),'DRAFT 2'!$A:$A,"&lt;"&amp;DATE(2026,IF(12=12,12+1,12+1),1))</f>
        <v/>
      </c>
      <c r="IW70" s="116">
        <f>SUM(IS70:IV70)</f>
        <v/>
      </c>
    </row>
    <row r="71">
      <c r="A71" s="116">
        <f>IFERROR(INDEX('DRAFT 1'!$A:$A,MATCH($B71,'DRAFT 1'!$B:$B,0)),"")</f>
        <v/>
      </c>
      <c r="C71" s="116">
        <f>IFERROR(INDEX('DRAFT 1'!$C:$C,MATCH($B71,'DRAFT 1'!$B:$B,0)),"")</f>
        <v/>
      </c>
      <c r="D71" s="116">
        <f>IFERROR(INDEX('DRAFT 1'!$D:$D,MATCH($B71,'DRAFT 1'!$B:$B,0)),"")</f>
        <v/>
      </c>
      <c r="E71" s="116">
        <f>IFERROR(INDEX('DRAFT 1'!$E:$E,MATCH($B71,'DRAFT 1'!$B:$B,0)),"")</f>
        <v/>
      </c>
      <c r="F71" s="116">
        <f>IFERROR(INDEX('DRAFT 1'!$F:$F,MATCH($B71,'DRAFT 1'!$B:$B,0)),"")</f>
        <v/>
      </c>
      <c r="G71" s="116">
        <f>IFERROR(INDEX('DRAFT 1'!$G:$G,MATCH($B71,'DRAFT 1'!$B:$B,0)),"")</f>
        <v/>
      </c>
      <c r="H71" s="116">
        <f>IFERROR(INDEX('DRAFT 1'!$H:$H,MATCH($B71,'DRAFT 1'!$B:$B,0)),"")</f>
        <v/>
      </c>
      <c r="I71" s="116" t="inlineStr">
        <is>
          <t>DEMAIS CLIENTES</t>
        </is>
      </c>
      <c r="K71" s="116">
        <f>IFERROR(INDEX('DRAFT 1'!$AL:$AL,MATCH($B71,'DRAFT 1'!$B:$B,0)),"")</f>
        <v/>
      </c>
      <c r="L71" s="116">
        <f>IFERROR(INDEX('DRAFT 1'!$J:$J,MATCH($B71,'DRAFT 1'!$B:$B,0)),"")</f>
        <v/>
      </c>
      <c r="M71" s="116">
        <f>IFERROR(INDEX('DRAFT 1'!$K:$K,MATCH($B71,'DRAFT 1'!$B:$B,0)),"")</f>
        <v/>
      </c>
      <c r="N71" s="116" t="inlineStr">
        <is>
          <t>PROSPECT</t>
        </is>
      </c>
      <c r="P71" s="116">
        <f>IFERROR(INDEX('DRAFT 1'!$L:$L,MATCH($B71,'DRAFT 1'!$B:$B,0)),"")</f>
        <v/>
      </c>
      <c r="Q71" s="116">
        <f>IFERROR(INDEX('DRAFT 1'!$M:$M,MATCH($B71,'DRAFT 1'!$B:$B,0)),"")</f>
        <v/>
      </c>
      <c r="R71" s="116">
        <f>IFERROR(INDEX('DRAFT 1'!$N:$N,MATCH($B71,'DRAFT 1'!$B:$B,0)),"")</f>
        <v/>
      </c>
      <c r="S71" s="116">
        <f>IFERROR(INDEX('DRAFT 1'!$O:$O,MATCH($B71,'DRAFT 1'!$B:$B,0)),"")</f>
        <v/>
      </c>
      <c r="T71" s="116">
        <f>IFERROR(INDEX('DRAFT 1'!$P:$P,MATCH($B71,'DRAFT 1'!$B:$B,0)),"")</f>
        <v/>
      </c>
      <c r="U71" s="116">
        <f>IFERROR(INDEX('DRAFT 1'!$Q:$Q,MATCH($B71,'DRAFT 1'!$B:$B,0)),"")</f>
        <v/>
      </c>
      <c r="V71" s="116">
        <f>IFERROR(INDEX('DRAFT 1'!$R:$R,MATCH($B71,'DRAFT 1'!$B:$B,0)),"")</f>
        <v/>
      </c>
      <c r="W71" s="116">
        <f>IFERROR(INDEX('DRAFT 1'!$S:$S,MATCH($B71,'DRAFT 1'!$B:$B,0)),"")</f>
        <v/>
      </c>
      <c r="X71" s="116">
        <f>IFERROR(INDEX('DRAFT 1'!$T:$T,MATCH($B71,'DRAFT 1'!$B:$B,0)),"")</f>
        <v/>
      </c>
      <c r="Z71" s="116">
        <f>IFERROR(INDEX('DRAFT 1'!$U:$U,MATCH($B71,'DRAFT 1'!$B:$B,0)),"")</f>
        <v/>
      </c>
      <c r="AA71" s="116">
        <f>IFERROR(INDEX('DRAFT 1'!$V:$V,MATCH($B71,'DRAFT 1'!$B:$B,0)),"")</f>
        <v/>
      </c>
      <c r="AB71" s="116">
        <f>IFERROR(INDEX('DRAFT 1'!$W:$W,MATCH($B71,'DRAFT 1'!$B:$B,0)),"")</f>
        <v/>
      </c>
      <c r="AC71" s="116">
        <f>IFERROR(INDEX('DRAFT 1'!$X:$X,MATCH($B71,'DRAFT 1'!$B:$B,0)),"")</f>
        <v/>
      </c>
      <c r="AD71" s="116">
        <f>IFERROR(INDEX('DRAFT 1'!$Y:$Y,MATCH($B71,'DRAFT 1'!$B:$B,0)),"")</f>
        <v/>
      </c>
      <c r="AE71" s="116">
        <f>IFERROR(INDEX('DRAFT 1'!$Z:$Z,MATCH($B71,'DRAFT 1'!$B:$B,0)),"")</f>
        <v/>
      </c>
      <c r="AF71" s="116">
        <f>IFERROR(INDEX('DRAFT 1'!$AA:$AA,MATCH($B71,'DRAFT 1'!$B:$B,0)),"")</f>
        <v/>
      </c>
      <c r="AG71" s="116">
        <f>IFERROR(INDEX('DRAFT 1'!$AB:$AB,MATCH($B71,'DRAFT 1'!$B:$B,0)),"")</f>
        <v/>
      </c>
      <c r="AH71" s="116">
        <f>IFERROR(INDEX('DRAFT 1'!$AC:$AC,MATCH($B71,'DRAFT 1'!$B:$B,0)),"")</f>
        <v/>
      </c>
      <c r="AI71" s="116">
        <f>IFERROR(INDEX('DRAFT 1'!$AD:$AD,MATCH($B71,'DRAFT 1'!$B:$B,0)),"")</f>
        <v/>
      </c>
      <c r="AJ71" s="116">
        <f>IFERROR(INDEX('DRAFT 1'!$AE:$AE,MATCH($B71,'DRAFT 1'!$B:$B,0)),"")</f>
        <v/>
      </c>
      <c r="AK71" s="116">
        <f>IFERROR(INDEX('DRAFT 1'!$AG:$AG,MATCH($B71,'DRAFT 1'!$B:$B,0)),"")</f>
        <v/>
      </c>
      <c r="AL71" s="116">
        <f>IFERROR(INDEX('DRAFT 1'!$AH:$AH,MATCH($B71,'DRAFT 1'!$B:$B,0)),"")</f>
        <v/>
      </c>
      <c r="AM71" s="116">
        <f>IFERROR(INDEX('DRAFT 1'!$AI:$AI,MATCH($B71,'DRAFT 1'!$B:$B,0)),"")</f>
        <v/>
      </c>
      <c r="AN71" s="116">
        <f>IFERROR(INDEX('DRAFT 1'!$AJ:$AJ,MATCH($B71,'DRAFT 1'!$B:$B,0)),"")</f>
        <v/>
      </c>
      <c r="AO71" s="116">
        <f>IFERROR(Y71/AN71,0)</f>
        <v/>
      </c>
      <c r="AP71" s="116">
        <f>IFERROR(INDEX('DRAFT 1'!$AK:$AK,MATCH($B71,'DRAFT 1'!$B:$B,0)),"")</f>
        <v/>
      </c>
      <c r="AR71" s="116" t="inlineStr">
        <is>
          <t>CS</t>
        </is>
      </c>
      <c r="AS71" s="116">
        <f>IFERROR(LOOKUP(2,1/('DRAFT 2'!$D:$D=$B71),'DRAFT 2'!$T:$T),"")</f>
        <v/>
      </c>
      <c r="AT71" s="116">
        <f>IFERROR(LOOKUP(2,1/('DRAFT 2'!$D:$D=$B71),'DRAFT 2'!$A:$A),"")</f>
        <v/>
      </c>
      <c r="AU71" s="116">
        <f>IFERROR(LOOKUP(2,1/('DRAFT 2'!$D:$D=$B71),'DRAFT 2'!$R:$R),"")</f>
        <v/>
      </c>
      <c r="AV71" s="116">
        <f>IFERROR(LOOKUP(2,1/('DRAFT 2'!$D:$D=$B71),'DRAFT 2'!$S:$S),"")</f>
        <v/>
      </c>
      <c r="AW71" s="116" t="inlineStr">
        <is>
          <t>PROSPECT</t>
        </is>
      </c>
      <c r="AX71" s="116">
        <f>IFERROR(LOOKUP(2,1/('DRAFT 2'!$D:$D=$B71),'DRAFT 2'!$M:$M),"")</f>
        <v/>
      </c>
      <c r="AY71" s="116">
        <f>IFERROR(LOOKUP(2,1/('DRAFT 2'!$D:$D=$B71),'DRAFT 2'!$K:$K),"")</f>
        <v/>
      </c>
      <c r="BG71" s="116">
        <f>IFERROR(LOOKUP(2,1/('DRAFT 2'!$D:$D=$B71),'DRAFT 2'!$U:$U),"")</f>
        <v/>
      </c>
      <c r="BH71" s="116">
        <f>IFERROR(LOOKUP(2,1/('DRAFT 2'!$D:$D=$B71),'DRAFT 2'!$V:$V),"")</f>
        <v/>
      </c>
      <c r="CE71" s="116">
        <f>IFERROR(AJ71,0)</f>
        <v/>
      </c>
      <c r="CF71" s="116">
        <f>IFERROR(LOOKUP(2,1/('DRAFT 2'!$D:$D=$B71)*('DRAFT 2'!$A:$A&gt;=DATE(2026,1,1))*('DRAFT 2'!$A:$A&lt;DATE(2026,IF(1=12,1+1,1+1),1)),'DRAFT 2'!$A:$A),"")</f>
        <v/>
      </c>
      <c r="CG71" s="116">
        <f>COUNTIFS('DRAFT 2'!$D:$D,$B71,'DRAFT 2'!$A:$A,"&gt;="&amp;DATE(2026,1,1),'DRAFT 2'!$A:$A,"&lt;="&amp;DATE(2026,1,7))</f>
        <v/>
      </c>
      <c r="CH71" s="116">
        <f>COUNTIFS('DRAFT 2'!$D:$D,$B71,'DRAFT 2'!$A:$A,"&gt;="&amp;DATE(2026,1,8),'DRAFT 2'!$A:$A,"&lt;="&amp;DATE(2026,1,14))</f>
        <v/>
      </c>
      <c r="CI71" s="116">
        <f>COUNTIFS('DRAFT 2'!$D:$D,$B71,'DRAFT 2'!$A:$A,"&gt;="&amp;DATE(2026,1,15),'DRAFT 2'!$A:$A,"&lt;="&amp;DATE(2026,1,21))</f>
        <v/>
      </c>
      <c r="CJ71" s="116">
        <f>COUNTIFS('DRAFT 2'!$D:$D,$B71,'DRAFT 2'!$A:$A,"&gt;="&amp;DATE(2026,1,22),'DRAFT 2'!$A:$A,"&lt;"&amp;DATE(2026,IF(1=12,1+1,1+1),1))</f>
        <v/>
      </c>
      <c r="CK71" s="116">
        <f>SUM(CG71:CJ71)</f>
        <v/>
      </c>
      <c r="CT71" s="116" t="n">
        <v>0</v>
      </c>
      <c r="CU71" s="116">
        <f>IFERROR(LOOKUP(2,1/('DRAFT 2'!$D:$D=$B71)*('DRAFT 2'!$A:$A&gt;=DATE(2026,2,1))*('DRAFT 2'!$A:$A&lt;DATE(2026,IF(2=12,2+1,2+1),1)),'DRAFT 2'!$A:$A),"")</f>
        <v/>
      </c>
      <c r="CV71" s="116">
        <f>COUNTIFS('DRAFT 2'!$D:$D,$B71,'DRAFT 2'!$A:$A,"&gt;="&amp;DATE(2026,2,1),'DRAFT 2'!$A:$A,"&lt;="&amp;DATE(2026,2,7))</f>
        <v/>
      </c>
      <c r="CW71" s="116">
        <f>COUNTIFS('DRAFT 2'!$D:$D,$B71,'DRAFT 2'!$A:$A,"&gt;="&amp;DATE(2026,2,8),'DRAFT 2'!$A:$A,"&lt;="&amp;DATE(2026,2,14))</f>
        <v/>
      </c>
      <c r="CX71" s="116">
        <f>COUNTIFS('DRAFT 2'!$D:$D,$B71,'DRAFT 2'!$A:$A,"&gt;="&amp;DATE(2026,2,15),'DRAFT 2'!$A:$A,"&lt;="&amp;DATE(2026,2,21))</f>
        <v/>
      </c>
      <c r="CY71" s="116">
        <f>COUNTIFS('DRAFT 2'!$D:$D,$B71,'DRAFT 2'!$A:$A,"&gt;="&amp;DATE(2026,2,22),'DRAFT 2'!$A:$A,"&lt;"&amp;DATE(2026,IF(2=12,2+1,2+1),1))</f>
        <v/>
      </c>
      <c r="CZ71" s="116">
        <f>SUM(CV71:CY71)</f>
        <v/>
      </c>
      <c r="DJ71" s="116">
        <f>IFERROR(LOOKUP(2,1/('DRAFT 2'!$D:$D=$B71)*('DRAFT 2'!$A:$A&gt;=DATE(2026,3,1))*('DRAFT 2'!$A:$A&lt;DATE(2026,IF(3=12,3+1,3+1),1)),'DRAFT 2'!$A:$A),"")</f>
        <v/>
      </c>
      <c r="DK71" s="116">
        <f>COUNTIFS('DRAFT 2'!$D:$D,$B71,'DRAFT 2'!$A:$A,"&gt;="&amp;DATE(2026,3,1),'DRAFT 2'!$A:$A,"&lt;="&amp;DATE(2026,3,7))</f>
        <v/>
      </c>
      <c r="DL71" s="116">
        <f>COUNTIFS('DRAFT 2'!$D:$D,$B71,'DRAFT 2'!$A:$A,"&gt;="&amp;DATE(2026,3,8),'DRAFT 2'!$A:$A,"&lt;="&amp;DATE(2026,3,14))</f>
        <v/>
      </c>
      <c r="DM71" s="116">
        <f>COUNTIFS('DRAFT 2'!$D:$D,$B71,'DRAFT 2'!$A:$A,"&gt;="&amp;DATE(2026,3,15),'DRAFT 2'!$A:$A,"&lt;="&amp;DATE(2026,3,21))</f>
        <v/>
      </c>
      <c r="DN71" s="116">
        <f>COUNTIFS('DRAFT 2'!$D:$D,$B71,'DRAFT 2'!$A:$A,"&gt;="&amp;DATE(2026,3,22),'DRAFT 2'!$A:$A,"&lt;"&amp;DATE(2026,IF(3=12,3+1,3+1),1))</f>
        <v/>
      </c>
      <c r="DO71" s="116">
        <f>SUM(DK71:DN71)</f>
        <v/>
      </c>
      <c r="DZ71" s="116">
        <f>IFERROR(LOOKUP(2,1/('DRAFT 2'!$D:$D=$B71)*('DRAFT 2'!$A:$A&gt;=DATE(2026,4,1))*('DRAFT 2'!$A:$A&lt;DATE(2026,IF(4=12,4+1,4+1),1)),'DRAFT 2'!$A:$A),"")</f>
        <v/>
      </c>
      <c r="EA71" s="116">
        <f>COUNTIFS('DRAFT 2'!$D:$D,$B71,'DRAFT 2'!$A:$A,"&gt;="&amp;DATE(2026,4,1),'DRAFT 2'!$A:$A,"&lt;="&amp;DATE(2026,4,7))</f>
        <v/>
      </c>
      <c r="EB71" s="116">
        <f>COUNTIFS('DRAFT 2'!$D:$D,$B71,'DRAFT 2'!$A:$A,"&gt;="&amp;DATE(2026,4,8),'DRAFT 2'!$A:$A,"&lt;="&amp;DATE(2026,4,14))</f>
        <v/>
      </c>
      <c r="EC71" s="116">
        <f>COUNTIFS('DRAFT 2'!$D:$D,$B71,'DRAFT 2'!$A:$A,"&gt;="&amp;DATE(2026,4,15),'DRAFT 2'!$A:$A,"&lt;="&amp;DATE(2026,4,21))</f>
        <v/>
      </c>
      <c r="ED71" s="116">
        <f>COUNTIFS('DRAFT 2'!$D:$D,$B71,'DRAFT 2'!$A:$A,"&gt;="&amp;DATE(2026,4,22),'DRAFT 2'!$A:$A,"&lt;"&amp;DATE(2026,IF(4=12,4+1,4+1),1))</f>
        <v/>
      </c>
      <c r="EE71" s="116">
        <f>SUM(EA71:ED71)</f>
        <v/>
      </c>
      <c r="EO71" s="116">
        <f>IFERROR(LOOKUP(2,1/('DRAFT 2'!$D:$D=$B71)*('DRAFT 2'!$A:$A&gt;=DATE(2026,5,1))*('DRAFT 2'!$A:$A&lt;DATE(2026,IF(5=12,5+1,5+1),1)),'DRAFT 2'!$A:$A),"")</f>
        <v/>
      </c>
      <c r="EP71" s="116">
        <f>COUNTIFS('DRAFT 2'!$D:$D,$B71,'DRAFT 2'!$A:$A,"&gt;="&amp;DATE(2026,5,1),'DRAFT 2'!$A:$A,"&lt;="&amp;DATE(2026,5,7))</f>
        <v/>
      </c>
      <c r="EQ71" s="116">
        <f>COUNTIFS('DRAFT 2'!$D:$D,$B71,'DRAFT 2'!$A:$A,"&gt;="&amp;DATE(2026,5,8),'DRAFT 2'!$A:$A,"&lt;="&amp;DATE(2026,5,14))</f>
        <v/>
      </c>
      <c r="ER71" s="116">
        <f>COUNTIFS('DRAFT 2'!$D:$D,$B71,'DRAFT 2'!$A:$A,"&gt;="&amp;DATE(2026,5,15),'DRAFT 2'!$A:$A,"&lt;="&amp;DATE(2026,5,21))</f>
        <v/>
      </c>
      <c r="ES71" s="116">
        <f>COUNTIFS('DRAFT 2'!$D:$D,$B71,'DRAFT 2'!$A:$A,"&gt;="&amp;DATE(2026,5,22),'DRAFT 2'!$A:$A,"&lt;"&amp;DATE(2026,IF(5=12,5+1,5+1),1))</f>
        <v/>
      </c>
      <c r="ET71" s="116">
        <f>SUM(EP71:ES71)</f>
        <v/>
      </c>
      <c r="FD71" s="116">
        <f>IFERROR(LOOKUP(2,1/('DRAFT 2'!$D:$D=$B71)*('DRAFT 2'!$A:$A&gt;=DATE(2026,6,1))*('DRAFT 2'!$A:$A&lt;DATE(2026,IF(6=12,6+1,6+1),1)),'DRAFT 2'!$A:$A),"")</f>
        <v/>
      </c>
      <c r="FE71" s="116">
        <f>COUNTIFS('DRAFT 2'!$D:$D,$B71,'DRAFT 2'!$A:$A,"&gt;="&amp;DATE(2026,6,1),'DRAFT 2'!$A:$A,"&lt;="&amp;DATE(2026,6,7))</f>
        <v/>
      </c>
      <c r="FF71" s="116">
        <f>COUNTIFS('DRAFT 2'!$D:$D,$B71,'DRAFT 2'!$A:$A,"&gt;="&amp;DATE(2026,6,8),'DRAFT 2'!$A:$A,"&lt;="&amp;DATE(2026,6,14))</f>
        <v/>
      </c>
      <c r="FG71" s="116">
        <f>COUNTIFS('DRAFT 2'!$D:$D,$B71,'DRAFT 2'!$A:$A,"&gt;="&amp;DATE(2026,6,15),'DRAFT 2'!$A:$A,"&lt;="&amp;DATE(2026,6,21))</f>
        <v/>
      </c>
      <c r="FH71" s="116">
        <f>COUNTIFS('DRAFT 2'!$D:$D,$B71,'DRAFT 2'!$A:$A,"&gt;="&amp;DATE(2026,6,22),'DRAFT 2'!$A:$A,"&lt;"&amp;DATE(2026,IF(6=12,6+1,6+1),1))</f>
        <v/>
      </c>
      <c r="FI71" s="116">
        <f>SUM(FE71:FH71)</f>
        <v/>
      </c>
      <c r="FT71" s="116">
        <f>IFERROR(LOOKUP(2,1/('DRAFT 2'!$D:$D=$B71)*('DRAFT 2'!$A:$A&gt;=DATE(2026,7,1))*('DRAFT 2'!$A:$A&lt;DATE(2026,IF(7=12,7+1,7+1),1)),'DRAFT 2'!$A:$A),"")</f>
        <v/>
      </c>
      <c r="FU71" s="116">
        <f>COUNTIFS('DRAFT 2'!$D:$D,$B71,'DRAFT 2'!$A:$A,"&gt;="&amp;DATE(2026,7,1),'DRAFT 2'!$A:$A,"&lt;="&amp;DATE(2026,7,7))</f>
        <v/>
      </c>
      <c r="FV71" s="116">
        <f>COUNTIFS('DRAFT 2'!$D:$D,$B71,'DRAFT 2'!$A:$A,"&gt;="&amp;DATE(2026,7,8),'DRAFT 2'!$A:$A,"&lt;="&amp;DATE(2026,7,14))</f>
        <v/>
      </c>
      <c r="FW71" s="116">
        <f>COUNTIFS('DRAFT 2'!$D:$D,$B71,'DRAFT 2'!$A:$A,"&gt;="&amp;DATE(2026,7,15),'DRAFT 2'!$A:$A,"&lt;="&amp;DATE(2026,7,21))</f>
        <v/>
      </c>
      <c r="FX71" s="116">
        <f>COUNTIFS('DRAFT 2'!$D:$D,$B71,'DRAFT 2'!$A:$A,"&gt;="&amp;DATE(2026,7,22),'DRAFT 2'!$A:$A,"&lt;"&amp;DATE(2026,IF(7=12,7+1,7+1),1))</f>
        <v/>
      </c>
      <c r="FY71" s="116">
        <f>SUM(FU71:FX71)</f>
        <v/>
      </c>
      <c r="GI71" s="116">
        <f>IFERROR(LOOKUP(2,1/('DRAFT 2'!$D:$D=$B71)*('DRAFT 2'!$A:$A&gt;=DATE(2026,8,1))*('DRAFT 2'!$A:$A&lt;DATE(2026,IF(8=12,8+1,8+1),1)),'DRAFT 2'!$A:$A),"")</f>
        <v/>
      </c>
      <c r="GJ71" s="116">
        <f>COUNTIFS('DRAFT 2'!$D:$D,$B71,'DRAFT 2'!$A:$A,"&gt;="&amp;DATE(2026,8,1),'DRAFT 2'!$A:$A,"&lt;="&amp;DATE(2026,8,7))</f>
        <v/>
      </c>
      <c r="GK71" s="116">
        <f>COUNTIFS('DRAFT 2'!$D:$D,$B71,'DRAFT 2'!$A:$A,"&gt;="&amp;DATE(2026,8,8),'DRAFT 2'!$A:$A,"&lt;="&amp;DATE(2026,8,14))</f>
        <v/>
      </c>
      <c r="GL71" s="116">
        <f>COUNTIFS('DRAFT 2'!$D:$D,$B71,'DRAFT 2'!$A:$A,"&gt;="&amp;DATE(2026,8,15),'DRAFT 2'!$A:$A,"&lt;="&amp;DATE(2026,8,21))</f>
        <v/>
      </c>
      <c r="GM71" s="116">
        <f>COUNTIFS('DRAFT 2'!$D:$D,$B71,'DRAFT 2'!$A:$A,"&gt;="&amp;DATE(2026,8,22),'DRAFT 2'!$A:$A,"&lt;"&amp;DATE(2026,IF(8=12,8+1,8+1),1))</f>
        <v/>
      </c>
      <c r="GN71" s="116">
        <f>SUM(GJ71:GM71)</f>
        <v/>
      </c>
      <c r="GX71" s="116">
        <f>IFERROR(LOOKUP(2,1/('DRAFT 2'!$D:$D=$B71)*('DRAFT 2'!$A:$A&gt;=DATE(2026,9,1))*('DRAFT 2'!$A:$A&lt;DATE(2026,IF(9=12,9+1,9+1),1)),'DRAFT 2'!$A:$A),"")</f>
        <v/>
      </c>
      <c r="GY71" s="116">
        <f>COUNTIFS('DRAFT 2'!$D:$D,$B71,'DRAFT 2'!$A:$A,"&gt;="&amp;DATE(2026,9,1),'DRAFT 2'!$A:$A,"&lt;="&amp;DATE(2026,9,7))</f>
        <v/>
      </c>
      <c r="GZ71" s="116">
        <f>COUNTIFS('DRAFT 2'!$D:$D,$B71,'DRAFT 2'!$A:$A,"&gt;="&amp;DATE(2026,9,8),'DRAFT 2'!$A:$A,"&lt;="&amp;DATE(2026,9,14))</f>
        <v/>
      </c>
      <c r="HA71" s="116">
        <f>COUNTIFS('DRAFT 2'!$D:$D,$B71,'DRAFT 2'!$A:$A,"&gt;="&amp;DATE(2026,9,15),'DRAFT 2'!$A:$A,"&lt;="&amp;DATE(2026,9,21))</f>
        <v/>
      </c>
      <c r="HB71" s="116">
        <f>COUNTIFS('DRAFT 2'!$D:$D,$B71,'DRAFT 2'!$A:$A,"&gt;="&amp;DATE(2026,9,22),'DRAFT 2'!$A:$A,"&lt;"&amp;DATE(2026,IF(9=12,9+1,9+1),1))</f>
        <v/>
      </c>
      <c r="HC71" s="116">
        <f>SUM(GY71:HB71)</f>
        <v/>
      </c>
      <c r="HN71" s="116">
        <f>IFERROR(LOOKUP(2,1/('DRAFT 2'!$D:$D=$B71)*('DRAFT 2'!$A:$A&gt;=DATE(2026,10,1))*('DRAFT 2'!$A:$A&lt;DATE(2026,IF(10=12,10+1,10+1),1)),'DRAFT 2'!$A:$A),"")</f>
        <v/>
      </c>
      <c r="HO71" s="116">
        <f>COUNTIFS('DRAFT 2'!$D:$D,$B71,'DRAFT 2'!$A:$A,"&gt;="&amp;DATE(2026,10,1),'DRAFT 2'!$A:$A,"&lt;="&amp;DATE(2026,10,7))</f>
        <v/>
      </c>
      <c r="HP71" s="116">
        <f>COUNTIFS('DRAFT 2'!$D:$D,$B71,'DRAFT 2'!$A:$A,"&gt;="&amp;DATE(2026,10,8),'DRAFT 2'!$A:$A,"&lt;="&amp;DATE(2026,10,14))</f>
        <v/>
      </c>
      <c r="HQ71" s="116">
        <f>COUNTIFS('DRAFT 2'!$D:$D,$B71,'DRAFT 2'!$A:$A,"&gt;="&amp;DATE(2026,10,15),'DRAFT 2'!$A:$A,"&lt;="&amp;DATE(2026,10,21))</f>
        <v/>
      </c>
      <c r="HR71" s="116">
        <f>COUNTIFS('DRAFT 2'!$D:$D,$B71,'DRAFT 2'!$A:$A,"&gt;="&amp;DATE(2026,10,22),'DRAFT 2'!$A:$A,"&lt;"&amp;DATE(2026,IF(10=12,10+1,10+1),1))</f>
        <v/>
      </c>
      <c r="HS71" s="116">
        <f>SUM(HO71:HR71)</f>
        <v/>
      </c>
      <c r="IC71" s="116">
        <f>IFERROR(LOOKUP(2,1/('DRAFT 2'!$D:$D=$B71)*('DRAFT 2'!$A:$A&gt;=DATE(2026,11,1))*('DRAFT 2'!$A:$A&lt;DATE(2026,IF(11=12,11+1,11+1),1)),'DRAFT 2'!$A:$A),"")</f>
        <v/>
      </c>
      <c r="ID71" s="116">
        <f>COUNTIFS('DRAFT 2'!$D:$D,$B71,'DRAFT 2'!$A:$A,"&gt;="&amp;DATE(2026,11,1),'DRAFT 2'!$A:$A,"&lt;="&amp;DATE(2026,11,7))</f>
        <v/>
      </c>
      <c r="IE71" s="116">
        <f>COUNTIFS('DRAFT 2'!$D:$D,$B71,'DRAFT 2'!$A:$A,"&gt;="&amp;DATE(2026,11,8),'DRAFT 2'!$A:$A,"&lt;="&amp;DATE(2026,11,14))</f>
        <v/>
      </c>
      <c r="IF71" s="116">
        <f>COUNTIFS('DRAFT 2'!$D:$D,$B71,'DRAFT 2'!$A:$A,"&gt;="&amp;DATE(2026,11,15),'DRAFT 2'!$A:$A,"&lt;="&amp;DATE(2026,11,21))</f>
        <v/>
      </c>
      <c r="IG71" s="116">
        <f>COUNTIFS('DRAFT 2'!$D:$D,$B71,'DRAFT 2'!$A:$A,"&gt;="&amp;DATE(2026,11,22),'DRAFT 2'!$A:$A,"&lt;"&amp;DATE(2026,IF(11=12,11+1,11+1),1))</f>
        <v/>
      </c>
      <c r="IH71" s="116">
        <f>SUM(ID71:IG71)</f>
        <v/>
      </c>
      <c r="IR71" s="116">
        <f>IFERROR(LOOKUP(2,1/('DRAFT 2'!$D:$D=$B71)*('DRAFT 2'!$A:$A&gt;=DATE(2026,12,1))*('DRAFT 2'!$A:$A&lt;DATE(2026,IF(12=12,12+1,12+1),1)),'DRAFT 2'!$A:$A),"")</f>
        <v/>
      </c>
      <c r="IS71" s="116">
        <f>COUNTIFS('DRAFT 2'!$D:$D,$B71,'DRAFT 2'!$A:$A,"&gt;="&amp;DATE(2026,12,1),'DRAFT 2'!$A:$A,"&lt;="&amp;DATE(2026,12,7))</f>
        <v/>
      </c>
      <c r="IT71" s="116">
        <f>COUNTIFS('DRAFT 2'!$D:$D,$B71,'DRAFT 2'!$A:$A,"&gt;="&amp;DATE(2026,12,8),'DRAFT 2'!$A:$A,"&lt;="&amp;DATE(2026,12,14))</f>
        <v/>
      </c>
      <c r="IU71" s="116">
        <f>COUNTIFS('DRAFT 2'!$D:$D,$B71,'DRAFT 2'!$A:$A,"&gt;="&amp;DATE(2026,12,15),'DRAFT 2'!$A:$A,"&lt;="&amp;DATE(2026,12,21))</f>
        <v/>
      </c>
      <c r="IV71" s="116">
        <f>COUNTIFS('DRAFT 2'!$D:$D,$B71,'DRAFT 2'!$A:$A,"&gt;="&amp;DATE(2026,12,22),'DRAFT 2'!$A:$A,"&lt;"&amp;DATE(2026,IF(12=12,12+1,12+1),1))</f>
        <v/>
      </c>
      <c r="IW71" s="116">
        <f>SUM(IS71:IV71)</f>
        <v/>
      </c>
    </row>
    <row r="72">
      <c r="A72" s="116">
        <f>IFERROR(INDEX('DRAFT 1'!$A:$A,MATCH($B72,'DRAFT 1'!$B:$B,0)),"")</f>
        <v/>
      </c>
      <c r="C72" s="116">
        <f>IFERROR(INDEX('DRAFT 1'!$C:$C,MATCH($B72,'DRAFT 1'!$B:$B,0)),"")</f>
        <v/>
      </c>
      <c r="D72" s="116">
        <f>IFERROR(INDEX('DRAFT 1'!$D:$D,MATCH($B72,'DRAFT 1'!$B:$B,0)),"")</f>
        <v/>
      </c>
      <c r="E72" s="116">
        <f>IFERROR(INDEX('DRAFT 1'!$E:$E,MATCH($B72,'DRAFT 1'!$B:$B,0)),"")</f>
        <v/>
      </c>
      <c r="F72" s="116">
        <f>IFERROR(INDEX('DRAFT 1'!$F:$F,MATCH($B72,'DRAFT 1'!$B:$B,0)),"")</f>
        <v/>
      </c>
      <c r="G72" s="116">
        <f>IFERROR(INDEX('DRAFT 1'!$G:$G,MATCH($B72,'DRAFT 1'!$B:$B,0)),"")</f>
        <v/>
      </c>
      <c r="H72" s="116">
        <f>IFERROR(INDEX('DRAFT 1'!$H:$H,MATCH($B72,'DRAFT 1'!$B:$B,0)),"")</f>
        <v/>
      </c>
      <c r="I72" s="116" t="inlineStr">
        <is>
          <t>CIA DA SAUDE</t>
        </is>
      </c>
      <c r="K72" s="116">
        <f>IFERROR(INDEX('DRAFT 1'!$AL:$AL,MATCH($B72,'DRAFT 1'!$B:$B,0)),"")</f>
        <v/>
      </c>
      <c r="L72" s="116">
        <f>IFERROR(INDEX('DRAFT 1'!$J:$J,MATCH($B72,'DRAFT 1'!$B:$B,0)),"")</f>
        <v/>
      </c>
      <c r="M72" s="116">
        <f>IFERROR(INDEX('DRAFT 1'!$K:$K,MATCH($B72,'DRAFT 1'!$B:$B,0)),"")</f>
        <v/>
      </c>
      <c r="N72" s="116" t="inlineStr">
        <is>
          <t>ATIVO</t>
        </is>
      </c>
      <c r="P72" s="116">
        <f>IFERROR(INDEX('DRAFT 1'!$L:$L,MATCH($B72,'DRAFT 1'!$B:$B,0)),"")</f>
        <v/>
      </c>
      <c r="Q72" s="116">
        <f>IFERROR(INDEX('DRAFT 1'!$M:$M,MATCH($B72,'DRAFT 1'!$B:$B,0)),"")</f>
        <v/>
      </c>
      <c r="R72" s="116">
        <f>IFERROR(INDEX('DRAFT 1'!$N:$N,MATCH($B72,'DRAFT 1'!$B:$B,0)),"")</f>
        <v/>
      </c>
      <c r="S72" s="116">
        <f>IFERROR(INDEX('DRAFT 1'!$O:$O,MATCH($B72,'DRAFT 1'!$B:$B,0)),"")</f>
        <v/>
      </c>
      <c r="T72" s="116">
        <f>IFERROR(INDEX('DRAFT 1'!$P:$P,MATCH($B72,'DRAFT 1'!$B:$B,0)),"")</f>
        <v/>
      </c>
      <c r="U72" s="116">
        <f>IFERROR(INDEX('DRAFT 1'!$Q:$Q,MATCH($B72,'DRAFT 1'!$B:$B,0)),"")</f>
        <v/>
      </c>
      <c r="V72" s="116">
        <f>IFERROR(INDEX('DRAFT 1'!$R:$R,MATCH($B72,'DRAFT 1'!$B:$B,0)),"")</f>
        <v/>
      </c>
      <c r="W72" s="116">
        <f>IFERROR(INDEX('DRAFT 1'!$S:$S,MATCH($B72,'DRAFT 1'!$B:$B,0)),"")</f>
        <v/>
      </c>
      <c r="X72" s="116">
        <f>IFERROR(INDEX('DRAFT 1'!$T:$T,MATCH($B72,'DRAFT 1'!$B:$B,0)),"")</f>
        <v/>
      </c>
      <c r="Z72" s="116">
        <f>IFERROR(INDEX('DRAFT 1'!$U:$U,MATCH($B72,'DRAFT 1'!$B:$B,0)),"")</f>
        <v/>
      </c>
      <c r="AA72" s="116">
        <f>IFERROR(INDEX('DRAFT 1'!$V:$V,MATCH($B72,'DRAFT 1'!$B:$B,0)),"")</f>
        <v/>
      </c>
      <c r="AB72" s="116">
        <f>IFERROR(INDEX('DRAFT 1'!$W:$W,MATCH($B72,'DRAFT 1'!$B:$B,0)),"")</f>
        <v/>
      </c>
      <c r="AC72" s="116">
        <f>IFERROR(INDEX('DRAFT 1'!$X:$X,MATCH($B72,'DRAFT 1'!$B:$B,0)),"")</f>
        <v/>
      </c>
      <c r="AD72" s="116">
        <f>IFERROR(INDEX('DRAFT 1'!$Y:$Y,MATCH($B72,'DRAFT 1'!$B:$B,0)),"")</f>
        <v/>
      </c>
      <c r="AE72" s="116">
        <f>IFERROR(INDEX('DRAFT 1'!$Z:$Z,MATCH($B72,'DRAFT 1'!$B:$B,0)),"")</f>
        <v/>
      </c>
      <c r="AF72" s="116">
        <f>IFERROR(INDEX('DRAFT 1'!$AA:$AA,MATCH($B72,'DRAFT 1'!$B:$B,0)),"")</f>
        <v/>
      </c>
      <c r="AG72" s="116">
        <f>IFERROR(INDEX('DRAFT 1'!$AB:$AB,MATCH($B72,'DRAFT 1'!$B:$B,0)),"")</f>
        <v/>
      </c>
      <c r="AH72" s="116">
        <f>IFERROR(INDEX('DRAFT 1'!$AC:$AC,MATCH($B72,'DRAFT 1'!$B:$B,0)),"")</f>
        <v/>
      </c>
      <c r="AI72" s="116">
        <f>IFERROR(INDEX('DRAFT 1'!$AD:$AD,MATCH($B72,'DRAFT 1'!$B:$B,0)),"")</f>
        <v/>
      </c>
      <c r="AJ72" s="116">
        <f>IFERROR(INDEX('DRAFT 1'!$AE:$AE,MATCH($B72,'DRAFT 1'!$B:$B,0)),"")</f>
        <v/>
      </c>
      <c r="AK72" s="116">
        <f>IFERROR(INDEX('DRAFT 1'!$AG:$AG,MATCH($B72,'DRAFT 1'!$B:$B,0)),"")</f>
        <v/>
      </c>
      <c r="AL72" s="116">
        <f>IFERROR(INDEX('DRAFT 1'!$AH:$AH,MATCH($B72,'DRAFT 1'!$B:$B,0)),"")</f>
        <v/>
      </c>
      <c r="AM72" s="116">
        <f>IFERROR(INDEX('DRAFT 1'!$AI:$AI,MATCH($B72,'DRAFT 1'!$B:$B,0)),"")</f>
        <v/>
      </c>
      <c r="AN72" s="116">
        <f>IFERROR(INDEX('DRAFT 1'!$AJ:$AJ,MATCH($B72,'DRAFT 1'!$B:$B,0)),"")</f>
        <v/>
      </c>
      <c r="AO72" s="116">
        <f>IFERROR(Y72/AN72,0)</f>
        <v/>
      </c>
      <c r="AP72" s="116">
        <f>IFERROR(INDEX('DRAFT 1'!$AK:$AK,MATCH($B72,'DRAFT 1'!$B:$B,0)),"")</f>
        <v/>
      </c>
      <c r="AR72" s="116" t="inlineStr">
        <is>
          <t>RECOMPRA</t>
        </is>
      </c>
      <c r="AS72" s="116">
        <f>IFERROR(LOOKUP(2,1/('DRAFT 2'!$D:$D=$B72),'DRAFT 2'!$T:$T),"")</f>
        <v/>
      </c>
      <c r="AT72" s="116">
        <f>IFERROR(LOOKUP(2,1/('DRAFT 2'!$D:$D=$B72),'DRAFT 2'!$A:$A),"")</f>
        <v/>
      </c>
      <c r="AU72" s="116">
        <f>IFERROR(LOOKUP(2,1/('DRAFT 2'!$D:$D=$B72),'DRAFT 2'!$R:$R),"")</f>
        <v/>
      </c>
      <c r="AV72" s="116">
        <f>IFERROR(LOOKUP(2,1/('DRAFT 2'!$D:$D=$B72),'DRAFT 2'!$S:$S),"")</f>
        <v/>
      </c>
      <c r="AW72" s="116" t="inlineStr">
        <is>
          <t>FIDELIZADO</t>
        </is>
      </c>
      <c r="AX72" s="116">
        <f>IFERROR(LOOKUP(2,1/('DRAFT 2'!$D:$D=$B72),'DRAFT 2'!$M:$M),"")</f>
        <v/>
      </c>
      <c r="AY72" s="116">
        <f>IFERROR(LOOKUP(2,1/('DRAFT 2'!$D:$D=$B72),'DRAFT 2'!$K:$K),"")</f>
        <v/>
      </c>
      <c r="BG72" s="116">
        <f>IFERROR(LOOKUP(2,1/('DRAFT 2'!$D:$D=$B72),'DRAFT 2'!$U:$U),"")</f>
        <v/>
      </c>
      <c r="BH72" s="116">
        <f>IFERROR(LOOKUP(2,1/('DRAFT 2'!$D:$D=$B72),'DRAFT 2'!$V:$V),"")</f>
        <v/>
      </c>
      <c r="CE72" s="116">
        <f>IFERROR(AJ72,0)</f>
        <v/>
      </c>
      <c r="CF72" s="116">
        <f>IFERROR(LOOKUP(2,1/('DRAFT 2'!$D:$D=$B72)*('DRAFT 2'!$A:$A&gt;=DATE(2026,1,1))*('DRAFT 2'!$A:$A&lt;DATE(2026,IF(1=12,1+1,1+1),1)),'DRAFT 2'!$A:$A),"")</f>
        <v/>
      </c>
      <c r="CG72" s="116">
        <f>COUNTIFS('DRAFT 2'!$D:$D,$B72,'DRAFT 2'!$A:$A,"&gt;="&amp;DATE(2026,1,1),'DRAFT 2'!$A:$A,"&lt;="&amp;DATE(2026,1,7))</f>
        <v/>
      </c>
      <c r="CH72" s="116">
        <f>COUNTIFS('DRAFT 2'!$D:$D,$B72,'DRAFT 2'!$A:$A,"&gt;="&amp;DATE(2026,1,8),'DRAFT 2'!$A:$A,"&lt;="&amp;DATE(2026,1,14))</f>
        <v/>
      </c>
      <c r="CI72" s="116">
        <f>COUNTIFS('DRAFT 2'!$D:$D,$B72,'DRAFT 2'!$A:$A,"&gt;="&amp;DATE(2026,1,15),'DRAFT 2'!$A:$A,"&lt;="&amp;DATE(2026,1,21))</f>
        <v/>
      </c>
      <c r="CJ72" s="116">
        <f>COUNTIFS('DRAFT 2'!$D:$D,$B72,'DRAFT 2'!$A:$A,"&gt;="&amp;DATE(2026,1,22),'DRAFT 2'!$A:$A,"&lt;"&amp;DATE(2026,IF(1=12,1+1,1+1),1))</f>
        <v/>
      </c>
      <c r="CK72" s="116">
        <f>SUM(CG72:CJ72)</f>
        <v/>
      </c>
      <c r="CT72" s="116" t="n">
        <v>0</v>
      </c>
      <c r="CU72" s="116">
        <f>IFERROR(LOOKUP(2,1/('DRAFT 2'!$D:$D=$B72)*('DRAFT 2'!$A:$A&gt;=DATE(2026,2,1))*('DRAFT 2'!$A:$A&lt;DATE(2026,IF(2=12,2+1,2+1),1)),'DRAFT 2'!$A:$A),"")</f>
        <v/>
      </c>
      <c r="CV72" s="116">
        <f>COUNTIFS('DRAFT 2'!$D:$D,$B72,'DRAFT 2'!$A:$A,"&gt;="&amp;DATE(2026,2,1),'DRAFT 2'!$A:$A,"&lt;="&amp;DATE(2026,2,7))</f>
        <v/>
      </c>
      <c r="CW72" s="116">
        <f>COUNTIFS('DRAFT 2'!$D:$D,$B72,'DRAFT 2'!$A:$A,"&gt;="&amp;DATE(2026,2,8),'DRAFT 2'!$A:$A,"&lt;="&amp;DATE(2026,2,14))</f>
        <v/>
      </c>
      <c r="CX72" s="116">
        <f>COUNTIFS('DRAFT 2'!$D:$D,$B72,'DRAFT 2'!$A:$A,"&gt;="&amp;DATE(2026,2,15),'DRAFT 2'!$A:$A,"&lt;="&amp;DATE(2026,2,21))</f>
        <v/>
      </c>
      <c r="CY72" s="116">
        <f>COUNTIFS('DRAFT 2'!$D:$D,$B72,'DRAFT 2'!$A:$A,"&gt;="&amp;DATE(2026,2,22),'DRAFT 2'!$A:$A,"&lt;"&amp;DATE(2026,IF(2=12,2+1,2+1),1))</f>
        <v/>
      </c>
      <c r="CZ72" s="116">
        <f>SUM(CV72:CY72)</f>
        <v/>
      </c>
      <c r="DJ72" s="116">
        <f>IFERROR(LOOKUP(2,1/('DRAFT 2'!$D:$D=$B72)*('DRAFT 2'!$A:$A&gt;=DATE(2026,3,1))*('DRAFT 2'!$A:$A&lt;DATE(2026,IF(3=12,3+1,3+1),1)),'DRAFT 2'!$A:$A),"")</f>
        <v/>
      </c>
      <c r="DK72" s="116">
        <f>COUNTIFS('DRAFT 2'!$D:$D,$B72,'DRAFT 2'!$A:$A,"&gt;="&amp;DATE(2026,3,1),'DRAFT 2'!$A:$A,"&lt;="&amp;DATE(2026,3,7))</f>
        <v/>
      </c>
      <c r="DL72" s="116">
        <f>COUNTIFS('DRAFT 2'!$D:$D,$B72,'DRAFT 2'!$A:$A,"&gt;="&amp;DATE(2026,3,8),'DRAFT 2'!$A:$A,"&lt;="&amp;DATE(2026,3,14))</f>
        <v/>
      </c>
      <c r="DM72" s="116">
        <f>COUNTIFS('DRAFT 2'!$D:$D,$B72,'DRAFT 2'!$A:$A,"&gt;="&amp;DATE(2026,3,15),'DRAFT 2'!$A:$A,"&lt;="&amp;DATE(2026,3,21))</f>
        <v/>
      </c>
      <c r="DN72" s="116">
        <f>COUNTIFS('DRAFT 2'!$D:$D,$B72,'DRAFT 2'!$A:$A,"&gt;="&amp;DATE(2026,3,22),'DRAFT 2'!$A:$A,"&lt;"&amp;DATE(2026,IF(3=12,3+1,3+1),1))</f>
        <v/>
      </c>
      <c r="DO72" s="116">
        <f>SUM(DK72:DN72)</f>
        <v/>
      </c>
      <c r="DZ72" s="116">
        <f>IFERROR(LOOKUP(2,1/('DRAFT 2'!$D:$D=$B72)*('DRAFT 2'!$A:$A&gt;=DATE(2026,4,1))*('DRAFT 2'!$A:$A&lt;DATE(2026,IF(4=12,4+1,4+1),1)),'DRAFT 2'!$A:$A),"")</f>
        <v/>
      </c>
      <c r="EA72" s="116">
        <f>COUNTIFS('DRAFT 2'!$D:$D,$B72,'DRAFT 2'!$A:$A,"&gt;="&amp;DATE(2026,4,1),'DRAFT 2'!$A:$A,"&lt;="&amp;DATE(2026,4,7))</f>
        <v/>
      </c>
      <c r="EB72" s="116">
        <f>COUNTIFS('DRAFT 2'!$D:$D,$B72,'DRAFT 2'!$A:$A,"&gt;="&amp;DATE(2026,4,8),'DRAFT 2'!$A:$A,"&lt;="&amp;DATE(2026,4,14))</f>
        <v/>
      </c>
      <c r="EC72" s="116">
        <f>COUNTIFS('DRAFT 2'!$D:$D,$B72,'DRAFT 2'!$A:$A,"&gt;="&amp;DATE(2026,4,15),'DRAFT 2'!$A:$A,"&lt;="&amp;DATE(2026,4,21))</f>
        <v/>
      </c>
      <c r="ED72" s="116">
        <f>COUNTIFS('DRAFT 2'!$D:$D,$B72,'DRAFT 2'!$A:$A,"&gt;="&amp;DATE(2026,4,22),'DRAFT 2'!$A:$A,"&lt;"&amp;DATE(2026,IF(4=12,4+1,4+1),1))</f>
        <v/>
      </c>
      <c r="EE72" s="116">
        <f>SUM(EA72:ED72)</f>
        <v/>
      </c>
      <c r="EO72" s="116">
        <f>IFERROR(LOOKUP(2,1/('DRAFT 2'!$D:$D=$B72)*('DRAFT 2'!$A:$A&gt;=DATE(2026,5,1))*('DRAFT 2'!$A:$A&lt;DATE(2026,IF(5=12,5+1,5+1),1)),'DRAFT 2'!$A:$A),"")</f>
        <v/>
      </c>
      <c r="EP72" s="116">
        <f>COUNTIFS('DRAFT 2'!$D:$D,$B72,'DRAFT 2'!$A:$A,"&gt;="&amp;DATE(2026,5,1),'DRAFT 2'!$A:$A,"&lt;="&amp;DATE(2026,5,7))</f>
        <v/>
      </c>
      <c r="EQ72" s="116">
        <f>COUNTIFS('DRAFT 2'!$D:$D,$B72,'DRAFT 2'!$A:$A,"&gt;="&amp;DATE(2026,5,8),'DRAFT 2'!$A:$A,"&lt;="&amp;DATE(2026,5,14))</f>
        <v/>
      </c>
      <c r="ER72" s="116">
        <f>COUNTIFS('DRAFT 2'!$D:$D,$B72,'DRAFT 2'!$A:$A,"&gt;="&amp;DATE(2026,5,15),'DRAFT 2'!$A:$A,"&lt;="&amp;DATE(2026,5,21))</f>
        <v/>
      </c>
      <c r="ES72" s="116">
        <f>COUNTIFS('DRAFT 2'!$D:$D,$B72,'DRAFT 2'!$A:$A,"&gt;="&amp;DATE(2026,5,22),'DRAFT 2'!$A:$A,"&lt;"&amp;DATE(2026,IF(5=12,5+1,5+1),1))</f>
        <v/>
      </c>
      <c r="ET72" s="116">
        <f>SUM(EP72:ES72)</f>
        <v/>
      </c>
      <c r="FD72" s="116">
        <f>IFERROR(LOOKUP(2,1/('DRAFT 2'!$D:$D=$B72)*('DRAFT 2'!$A:$A&gt;=DATE(2026,6,1))*('DRAFT 2'!$A:$A&lt;DATE(2026,IF(6=12,6+1,6+1),1)),'DRAFT 2'!$A:$A),"")</f>
        <v/>
      </c>
      <c r="FE72" s="116">
        <f>COUNTIFS('DRAFT 2'!$D:$D,$B72,'DRAFT 2'!$A:$A,"&gt;="&amp;DATE(2026,6,1),'DRAFT 2'!$A:$A,"&lt;="&amp;DATE(2026,6,7))</f>
        <v/>
      </c>
      <c r="FF72" s="116">
        <f>COUNTIFS('DRAFT 2'!$D:$D,$B72,'DRAFT 2'!$A:$A,"&gt;="&amp;DATE(2026,6,8),'DRAFT 2'!$A:$A,"&lt;="&amp;DATE(2026,6,14))</f>
        <v/>
      </c>
      <c r="FG72" s="116">
        <f>COUNTIFS('DRAFT 2'!$D:$D,$B72,'DRAFT 2'!$A:$A,"&gt;="&amp;DATE(2026,6,15),'DRAFT 2'!$A:$A,"&lt;="&amp;DATE(2026,6,21))</f>
        <v/>
      </c>
      <c r="FH72" s="116">
        <f>COUNTIFS('DRAFT 2'!$D:$D,$B72,'DRAFT 2'!$A:$A,"&gt;="&amp;DATE(2026,6,22),'DRAFT 2'!$A:$A,"&lt;"&amp;DATE(2026,IF(6=12,6+1,6+1),1))</f>
        <v/>
      </c>
      <c r="FI72" s="116">
        <f>SUM(FE72:FH72)</f>
        <v/>
      </c>
      <c r="FT72" s="116">
        <f>IFERROR(LOOKUP(2,1/('DRAFT 2'!$D:$D=$B72)*('DRAFT 2'!$A:$A&gt;=DATE(2026,7,1))*('DRAFT 2'!$A:$A&lt;DATE(2026,IF(7=12,7+1,7+1),1)),'DRAFT 2'!$A:$A),"")</f>
        <v/>
      </c>
      <c r="FU72" s="116">
        <f>COUNTIFS('DRAFT 2'!$D:$D,$B72,'DRAFT 2'!$A:$A,"&gt;="&amp;DATE(2026,7,1),'DRAFT 2'!$A:$A,"&lt;="&amp;DATE(2026,7,7))</f>
        <v/>
      </c>
      <c r="FV72" s="116">
        <f>COUNTIFS('DRAFT 2'!$D:$D,$B72,'DRAFT 2'!$A:$A,"&gt;="&amp;DATE(2026,7,8),'DRAFT 2'!$A:$A,"&lt;="&amp;DATE(2026,7,14))</f>
        <v/>
      </c>
      <c r="FW72" s="116">
        <f>COUNTIFS('DRAFT 2'!$D:$D,$B72,'DRAFT 2'!$A:$A,"&gt;="&amp;DATE(2026,7,15),'DRAFT 2'!$A:$A,"&lt;="&amp;DATE(2026,7,21))</f>
        <v/>
      </c>
      <c r="FX72" s="116">
        <f>COUNTIFS('DRAFT 2'!$D:$D,$B72,'DRAFT 2'!$A:$A,"&gt;="&amp;DATE(2026,7,22),'DRAFT 2'!$A:$A,"&lt;"&amp;DATE(2026,IF(7=12,7+1,7+1),1))</f>
        <v/>
      </c>
      <c r="FY72" s="116">
        <f>SUM(FU72:FX72)</f>
        <v/>
      </c>
      <c r="GI72" s="116">
        <f>IFERROR(LOOKUP(2,1/('DRAFT 2'!$D:$D=$B72)*('DRAFT 2'!$A:$A&gt;=DATE(2026,8,1))*('DRAFT 2'!$A:$A&lt;DATE(2026,IF(8=12,8+1,8+1),1)),'DRAFT 2'!$A:$A),"")</f>
        <v/>
      </c>
      <c r="GJ72" s="116">
        <f>COUNTIFS('DRAFT 2'!$D:$D,$B72,'DRAFT 2'!$A:$A,"&gt;="&amp;DATE(2026,8,1),'DRAFT 2'!$A:$A,"&lt;="&amp;DATE(2026,8,7))</f>
        <v/>
      </c>
      <c r="GK72" s="116">
        <f>COUNTIFS('DRAFT 2'!$D:$D,$B72,'DRAFT 2'!$A:$A,"&gt;="&amp;DATE(2026,8,8),'DRAFT 2'!$A:$A,"&lt;="&amp;DATE(2026,8,14))</f>
        <v/>
      </c>
      <c r="GL72" s="116">
        <f>COUNTIFS('DRAFT 2'!$D:$D,$B72,'DRAFT 2'!$A:$A,"&gt;="&amp;DATE(2026,8,15),'DRAFT 2'!$A:$A,"&lt;="&amp;DATE(2026,8,21))</f>
        <v/>
      </c>
      <c r="GM72" s="116">
        <f>COUNTIFS('DRAFT 2'!$D:$D,$B72,'DRAFT 2'!$A:$A,"&gt;="&amp;DATE(2026,8,22),'DRAFT 2'!$A:$A,"&lt;"&amp;DATE(2026,IF(8=12,8+1,8+1),1))</f>
        <v/>
      </c>
      <c r="GN72" s="116">
        <f>SUM(GJ72:GM72)</f>
        <v/>
      </c>
      <c r="GX72" s="116">
        <f>IFERROR(LOOKUP(2,1/('DRAFT 2'!$D:$D=$B72)*('DRAFT 2'!$A:$A&gt;=DATE(2026,9,1))*('DRAFT 2'!$A:$A&lt;DATE(2026,IF(9=12,9+1,9+1),1)),'DRAFT 2'!$A:$A),"")</f>
        <v/>
      </c>
      <c r="GY72" s="116">
        <f>COUNTIFS('DRAFT 2'!$D:$D,$B72,'DRAFT 2'!$A:$A,"&gt;="&amp;DATE(2026,9,1),'DRAFT 2'!$A:$A,"&lt;="&amp;DATE(2026,9,7))</f>
        <v/>
      </c>
      <c r="GZ72" s="116">
        <f>COUNTIFS('DRAFT 2'!$D:$D,$B72,'DRAFT 2'!$A:$A,"&gt;="&amp;DATE(2026,9,8),'DRAFT 2'!$A:$A,"&lt;="&amp;DATE(2026,9,14))</f>
        <v/>
      </c>
      <c r="HA72" s="116">
        <f>COUNTIFS('DRAFT 2'!$D:$D,$B72,'DRAFT 2'!$A:$A,"&gt;="&amp;DATE(2026,9,15),'DRAFT 2'!$A:$A,"&lt;="&amp;DATE(2026,9,21))</f>
        <v/>
      </c>
      <c r="HB72" s="116">
        <f>COUNTIFS('DRAFT 2'!$D:$D,$B72,'DRAFT 2'!$A:$A,"&gt;="&amp;DATE(2026,9,22),'DRAFT 2'!$A:$A,"&lt;"&amp;DATE(2026,IF(9=12,9+1,9+1),1))</f>
        <v/>
      </c>
      <c r="HC72" s="116">
        <f>SUM(GY72:HB72)</f>
        <v/>
      </c>
      <c r="HN72" s="116">
        <f>IFERROR(LOOKUP(2,1/('DRAFT 2'!$D:$D=$B72)*('DRAFT 2'!$A:$A&gt;=DATE(2026,10,1))*('DRAFT 2'!$A:$A&lt;DATE(2026,IF(10=12,10+1,10+1),1)),'DRAFT 2'!$A:$A),"")</f>
        <v/>
      </c>
      <c r="HO72" s="116">
        <f>COUNTIFS('DRAFT 2'!$D:$D,$B72,'DRAFT 2'!$A:$A,"&gt;="&amp;DATE(2026,10,1),'DRAFT 2'!$A:$A,"&lt;="&amp;DATE(2026,10,7))</f>
        <v/>
      </c>
      <c r="HP72" s="116">
        <f>COUNTIFS('DRAFT 2'!$D:$D,$B72,'DRAFT 2'!$A:$A,"&gt;="&amp;DATE(2026,10,8),'DRAFT 2'!$A:$A,"&lt;="&amp;DATE(2026,10,14))</f>
        <v/>
      </c>
      <c r="HQ72" s="116">
        <f>COUNTIFS('DRAFT 2'!$D:$D,$B72,'DRAFT 2'!$A:$A,"&gt;="&amp;DATE(2026,10,15),'DRAFT 2'!$A:$A,"&lt;="&amp;DATE(2026,10,21))</f>
        <v/>
      </c>
      <c r="HR72" s="116">
        <f>COUNTIFS('DRAFT 2'!$D:$D,$B72,'DRAFT 2'!$A:$A,"&gt;="&amp;DATE(2026,10,22),'DRAFT 2'!$A:$A,"&lt;"&amp;DATE(2026,IF(10=12,10+1,10+1),1))</f>
        <v/>
      </c>
      <c r="HS72" s="116">
        <f>SUM(HO72:HR72)</f>
        <v/>
      </c>
      <c r="IC72" s="116">
        <f>IFERROR(LOOKUP(2,1/('DRAFT 2'!$D:$D=$B72)*('DRAFT 2'!$A:$A&gt;=DATE(2026,11,1))*('DRAFT 2'!$A:$A&lt;DATE(2026,IF(11=12,11+1,11+1),1)),'DRAFT 2'!$A:$A),"")</f>
        <v/>
      </c>
      <c r="ID72" s="116">
        <f>COUNTIFS('DRAFT 2'!$D:$D,$B72,'DRAFT 2'!$A:$A,"&gt;="&amp;DATE(2026,11,1),'DRAFT 2'!$A:$A,"&lt;="&amp;DATE(2026,11,7))</f>
        <v/>
      </c>
      <c r="IE72" s="116">
        <f>COUNTIFS('DRAFT 2'!$D:$D,$B72,'DRAFT 2'!$A:$A,"&gt;="&amp;DATE(2026,11,8),'DRAFT 2'!$A:$A,"&lt;="&amp;DATE(2026,11,14))</f>
        <v/>
      </c>
      <c r="IF72" s="116">
        <f>COUNTIFS('DRAFT 2'!$D:$D,$B72,'DRAFT 2'!$A:$A,"&gt;="&amp;DATE(2026,11,15),'DRAFT 2'!$A:$A,"&lt;="&amp;DATE(2026,11,21))</f>
        <v/>
      </c>
      <c r="IG72" s="116">
        <f>COUNTIFS('DRAFT 2'!$D:$D,$B72,'DRAFT 2'!$A:$A,"&gt;="&amp;DATE(2026,11,22),'DRAFT 2'!$A:$A,"&lt;"&amp;DATE(2026,IF(11=12,11+1,11+1),1))</f>
        <v/>
      </c>
      <c r="IH72" s="116">
        <f>SUM(ID72:IG72)</f>
        <v/>
      </c>
      <c r="IR72" s="116">
        <f>IFERROR(LOOKUP(2,1/('DRAFT 2'!$D:$D=$B72)*('DRAFT 2'!$A:$A&gt;=DATE(2026,12,1))*('DRAFT 2'!$A:$A&lt;DATE(2026,IF(12=12,12+1,12+1),1)),'DRAFT 2'!$A:$A),"")</f>
        <v/>
      </c>
      <c r="IS72" s="116">
        <f>COUNTIFS('DRAFT 2'!$D:$D,$B72,'DRAFT 2'!$A:$A,"&gt;="&amp;DATE(2026,12,1),'DRAFT 2'!$A:$A,"&lt;="&amp;DATE(2026,12,7))</f>
        <v/>
      </c>
      <c r="IT72" s="116">
        <f>COUNTIFS('DRAFT 2'!$D:$D,$B72,'DRAFT 2'!$A:$A,"&gt;="&amp;DATE(2026,12,8),'DRAFT 2'!$A:$A,"&lt;="&amp;DATE(2026,12,14))</f>
        <v/>
      </c>
      <c r="IU72" s="116">
        <f>COUNTIFS('DRAFT 2'!$D:$D,$B72,'DRAFT 2'!$A:$A,"&gt;="&amp;DATE(2026,12,15),'DRAFT 2'!$A:$A,"&lt;="&amp;DATE(2026,12,21))</f>
        <v/>
      </c>
      <c r="IV72" s="116">
        <f>COUNTIFS('DRAFT 2'!$D:$D,$B72,'DRAFT 2'!$A:$A,"&gt;="&amp;DATE(2026,12,22),'DRAFT 2'!$A:$A,"&lt;"&amp;DATE(2026,IF(12=12,12+1,12+1),1))</f>
        <v/>
      </c>
      <c r="IW72" s="116">
        <f>SUM(IS72:IV72)</f>
        <v/>
      </c>
    </row>
    <row r="73">
      <c r="A73" s="116">
        <f>IFERROR(INDEX('DRAFT 1'!$A:$A,MATCH($B73,'DRAFT 1'!$B:$B,0)),"")</f>
        <v/>
      </c>
      <c r="C73" s="116">
        <f>IFERROR(INDEX('DRAFT 1'!$C:$C,MATCH($B73,'DRAFT 1'!$B:$B,0)),"")</f>
        <v/>
      </c>
      <c r="D73" s="116">
        <f>IFERROR(INDEX('DRAFT 1'!$D:$D,MATCH($B73,'DRAFT 1'!$B:$B,0)),"")</f>
        <v/>
      </c>
      <c r="E73" s="116">
        <f>IFERROR(INDEX('DRAFT 1'!$E:$E,MATCH($B73,'DRAFT 1'!$B:$B,0)),"")</f>
        <v/>
      </c>
      <c r="F73" s="116">
        <f>IFERROR(INDEX('DRAFT 1'!$F:$F,MATCH($B73,'DRAFT 1'!$B:$B,0)),"")</f>
        <v/>
      </c>
      <c r="G73" s="116">
        <f>IFERROR(INDEX('DRAFT 1'!$G:$G,MATCH($B73,'DRAFT 1'!$B:$B,0)),"")</f>
        <v/>
      </c>
      <c r="H73" s="116">
        <f>IFERROR(INDEX('DRAFT 1'!$H:$H,MATCH($B73,'DRAFT 1'!$B:$B,0)),"")</f>
        <v/>
      </c>
      <c r="I73" s="116" t="inlineStr">
        <is>
          <t>MUNDO VERDE</t>
        </is>
      </c>
      <c r="K73" s="116">
        <f>IFERROR(INDEX('DRAFT 1'!$AL:$AL,MATCH($B73,'DRAFT 1'!$B:$B,0)),"")</f>
        <v/>
      </c>
      <c r="L73" s="116">
        <f>IFERROR(INDEX('DRAFT 1'!$J:$J,MATCH($B73,'DRAFT 1'!$B:$B,0)),"")</f>
        <v/>
      </c>
      <c r="M73" s="116">
        <f>IFERROR(INDEX('DRAFT 1'!$K:$K,MATCH($B73,'DRAFT 1'!$B:$B,0)),"")</f>
        <v/>
      </c>
      <c r="N73" s="116" t="inlineStr">
        <is>
          <t>INAT.ANT</t>
        </is>
      </c>
      <c r="P73" s="116">
        <f>IFERROR(INDEX('DRAFT 1'!$L:$L,MATCH($B73,'DRAFT 1'!$B:$B,0)),"")</f>
        <v/>
      </c>
      <c r="Q73" s="116">
        <f>IFERROR(INDEX('DRAFT 1'!$M:$M,MATCH($B73,'DRAFT 1'!$B:$B,0)),"")</f>
        <v/>
      </c>
      <c r="R73" s="116">
        <f>IFERROR(INDEX('DRAFT 1'!$N:$N,MATCH($B73,'DRAFT 1'!$B:$B,0)),"")</f>
        <v/>
      </c>
      <c r="S73" s="116">
        <f>IFERROR(INDEX('DRAFT 1'!$O:$O,MATCH($B73,'DRAFT 1'!$B:$B,0)),"")</f>
        <v/>
      </c>
      <c r="T73" s="116">
        <f>IFERROR(INDEX('DRAFT 1'!$P:$P,MATCH($B73,'DRAFT 1'!$B:$B,0)),"")</f>
        <v/>
      </c>
      <c r="U73" s="116">
        <f>IFERROR(INDEX('DRAFT 1'!$Q:$Q,MATCH($B73,'DRAFT 1'!$B:$B,0)),"")</f>
        <v/>
      </c>
      <c r="V73" s="116">
        <f>IFERROR(INDEX('DRAFT 1'!$R:$R,MATCH($B73,'DRAFT 1'!$B:$B,0)),"")</f>
        <v/>
      </c>
      <c r="W73" s="116">
        <f>IFERROR(INDEX('DRAFT 1'!$S:$S,MATCH($B73,'DRAFT 1'!$B:$B,0)),"")</f>
        <v/>
      </c>
      <c r="X73" s="116">
        <f>IFERROR(INDEX('DRAFT 1'!$T:$T,MATCH($B73,'DRAFT 1'!$B:$B,0)),"")</f>
        <v/>
      </c>
      <c r="Z73" s="116">
        <f>IFERROR(INDEX('DRAFT 1'!$U:$U,MATCH($B73,'DRAFT 1'!$B:$B,0)),"")</f>
        <v/>
      </c>
      <c r="AA73" s="116">
        <f>IFERROR(INDEX('DRAFT 1'!$V:$V,MATCH($B73,'DRAFT 1'!$B:$B,0)),"")</f>
        <v/>
      </c>
      <c r="AB73" s="116">
        <f>IFERROR(INDEX('DRAFT 1'!$W:$W,MATCH($B73,'DRAFT 1'!$B:$B,0)),"")</f>
        <v/>
      </c>
      <c r="AC73" s="116">
        <f>IFERROR(INDEX('DRAFT 1'!$X:$X,MATCH($B73,'DRAFT 1'!$B:$B,0)),"")</f>
        <v/>
      </c>
      <c r="AD73" s="116">
        <f>IFERROR(INDEX('DRAFT 1'!$Y:$Y,MATCH($B73,'DRAFT 1'!$B:$B,0)),"")</f>
        <v/>
      </c>
      <c r="AE73" s="116">
        <f>IFERROR(INDEX('DRAFT 1'!$Z:$Z,MATCH($B73,'DRAFT 1'!$B:$B,0)),"")</f>
        <v/>
      </c>
      <c r="AF73" s="116">
        <f>IFERROR(INDEX('DRAFT 1'!$AA:$AA,MATCH($B73,'DRAFT 1'!$B:$B,0)),"")</f>
        <v/>
      </c>
      <c r="AG73" s="116">
        <f>IFERROR(INDEX('DRAFT 1'!$AB:$AB,MATCH($B73,'DRAFT 1'!$B:$B,0)),"")</f>
        <v/>
      </c>
      <c r="AH73" s="116">
        <f>IFERROR(INDEX('DRAFT 1'!$AC:$AC,MATCH($B73,'DRAFT 1'!$B:$B,0)),"")</f>
        <v/>
      </c>
      <c r="AI73" s="116">
        <f>IFERROR(INDEX('DRAFT 1'!$AD:$AD,MATCH($B73,'DRAFT 1'!$B:$B,0)),"")</f>
        <v/>
      </c>
      <c r="AJ73" s="116">
        <f>IFERROR(INDEX('DRAFT 1'!$AE:$AE,MATCH($B73,'DRAFT 1'!$B:$B,0)),"")</f>
        <v/>
      </c>
      <c r="AK73" s="116">
        <f>IFERROR(INDEX('DRAFT 1'!$AG:$AG,MATCH($B73,'DRAFT 1'!$B:$B,0)),"")</f>
        <v/>
      </c>
      <c r="AL73" s="116">
        <f>IFERROR(INDEX('DRAFT 1'!$AH:$AH,MATCH($B73,'DRAFT 1'!$B:$B,0)),"")</f>
        <v/>
      </c>
      <c r="AM73" s="116">
        <f>IFERROR(INDEX('DRAFT 1'!$AI:$AI,MATCH($B73,'DRAFT 1'!$B:$B,0)),"")</f>
        <v/>
      </c>
      <c r="AN73" s="116">
        <f>IFERROR(INDEX('DRAFT 1'!$AJ:$AJ,MATCH($B73,'DRAFT 1'!$B:$B,0)),"")</f>
        <v/>
      </c>
      <c r="AO73" s="116">
        <f>IFERROR(Y73/AN73,0)</f>
        <v/>
      </c>
      <c r="AP73" s="116">
        <f>IFERROR(INDEX('DRAFT 1'!$AK:$AK,MATCH($B73,'DRAFT 1'!$B:$B,0)),"")</f>
        <v/>
      </c>
      <c r="AR73" s="116" t="inlineStr">
        <is>
          <t>PROSPECÇÃO</t>
        </is>
      </c>
      <c r="AS73" s="116">
        <f>IFERROR(LOOKUP(2,1/('DRAFT 2'!$D:$D=$B73),'DRAFT 2'!$T:$T),"")</f>
        <v/>
      </c>
      <c r="AT73" s="116">
        <f>IFERROR(LOOKUP(2,1/('DRAFT 2'!$D:$D=$B73),'DRAFT 2'!$A:$A),"")</f>
        <v/>
      </c>
      <c r="AU73" s="116">
        <f>IFERROR(LOOKUP(2,1/('DRAFT 2'!$D:$D=$B73),'DRAFT 2'!$R:$R),"")</f>
        <v/>
      </c>
      <c r="AV73" s="116">
        <f>IFERROR(LOOKUP(2,1/('DRAFT 2'!$D:$D=$B73),'DRAFT 2'!$S:$S),"")</f>
        <v/>
      </c>
      <c r="AW73" s="116" t="inlineStr">
        <is>
          <t>PROSPECT</t>
        </is>
      </c>
      <c r="AX73" s="116">
        <f>IFERROR(LOOKUP(2,1/('DRAFT 2'!$D:$D=$B73),'DRAFT 2'!$M:$M),"")</f>
        <v/>
      </c>
      <c r="AY73" s="116">
        <f>IFERROR(LOOKUP(2,1/('DRAFT 2'!$D:$D=$B73),'DRAFT 2'!$K:$K),"")</f>
        <v/>
      </c>
      <c r="BG73" s="116">
        <f>IFERROR(LOOKUP(2,1/('DRAFT 2'!$D:$D=$B73),'DRAFT 2'!$U:$U),"")</f>
        <v/>
      </c>
      <c r="BH73" s="116">
        <f>IFERROR(LOOKUP(2,1/('DRAFT 2'!$D:$D=$B73),'DRAFT 2'!$V:$V),"")</f>
        <v/>
      </c>
      <c r="CE73" s="116">
        <f>IFERROR(AJ73,0)</f>
        <v/>
      </c>
      <c r="CF73" s="116">
        <f>IFERROR(LOOKUP(2,1/('DRAFT 2'!$D:$D=$B73)*('DRAFT 2'!$A:$A&gt;=DATE(2026,1,1))*('DRAFT 2'!$A:$A&lt;DATE(2026,IF(1=12,1+1,1+1),1)),'DRAFT 2'!$A:$A),"")</f>
        <v/>
      </c>
      <c r="CG73" s="116">
        <f>COUNTIFS('DRAFT 2'!$D:$D,$B73,'DRAFT 2'!$A:$A,"&gt;="&amp;DATE(2026,1,1),'DRAFT 2'!$A:$A,"&lt;="&amp;DATE(2026,1,7))</f>
        <v/>
      </c>
      <c r="CH73" s="116">
        <f>COUNTIFS('DRAFT 2'!$D:$D,$B73,'DRAFT 2'!$A:$A,"&gt;="&amp;DATE(2026,1,8),'DRAFT 2'!$A:$A,"&lt;="&amp;DATE(2026,1,14))</f>
        <v/>
      </c>
      <c r="CI73" s="116">
        <f>COUNTIFS('DRAFT 2'!$D:$D,$B73,'DRAFT 2'!$A:$A,"&gt;="&amp;DATE(2026,1,15),'DRAFT 2'!$A:$A,"&lt;="&amp;DATE(2026,1,21))</f>
        <v/>
      </c>
      <c r="CJ73" s="116">
        <f>COUNTIFS('DRAFT 2'!$D:$D,$B73,'DRAFT 2'!$A:$A,"&gt;="&amp;DATE(2026,1,22),'DRAFT 2'!$A:$A,"&lt;"&amp;DATE(2026,IF(1=12,1+1,1+1),1))</f>
        <v/>
      </c>
      <c r="CK73" s="116">
        <f>SUM(CG73:CJ73)</f>
        <v/>
      </c>
      <c r="CT73" s="116" t="n">
        <v>0</v>
      </c>
      <c r="CU73" s="116">
        <f>IFERROR(LOOKUP(2,1/('DRAFT 2'!$D:$D=$B73)*('DRAFT 2'!$A:$A&gt;=DATE(2026,2,1))*('DRAFT 2'!$A:$A&lt;DATE(2026,IF(2=12,2+1,2+1),1)),'DRAFT 2'!$A:$A),"")</f>
        <v/>
      </c>
      <c r="CV73" s="116">
        <f>COUNTIFS('DRAFT 2'!$D:$D,$B73,'DRAFT 2'!$A:$A,"&gt;="&amp;DATE(2026,2,1),'DRAFT 2'!$A:$A,"&lt;="&amp;DATE(2026,2,7))</f>
        <v/>
      </c>
      <c r="CW73" s="116">
        <f>COUNTIFS('DRAFT 2'!$D:$D,$B73,'DRAFT 2'!$A:$A,"&gt;="&amp;DATE(2026,2,8),'DRAFT 2'!$A:$A,"&lt;="&amp;DATE(2026,2,14))</f>
        <v/>
      </c>
      <c r="CX73" s="116">
        <f>COUNTIFS('DRAFT 2'!$D:$D,$B73,'DRAFT 2'!$A:$A,"&gt;="&amp;DATE(2026,2,15),'DRAFT 2'!$A:$A,"&lt;="&amp;DATE(2026,2,21))</f>
        <v/>
      </c>
      <c r="CY73" s="116">
        <f>COUNTIFS('DRAFT 2'!$D:$D,$B73,'DRAFT 2'!$A:$A,"&gt;="&amp;DATE(2026,2,22),'DRAFT 2'!$A:$A,"&lt;"&amp;DATE(2026,IF(2=12,2+1,2+1),1))</f>
        <v/>
      </c>
      <c r="CZ73" s="116">
        <f>SUM(CV73:CY73)</f>
        <v/>
      </c>
      <c r="DJ73" s="116">
        <f>IFERROR(LOOKUP(2,1/('DRAFT 2'!$D:$D=$B73)*('DRAFT 2'!$A:$A&gt;=DATE(2026,3,1))*('DRAFT 2'!$A:$A&lt;DATE(2026,IF(3=12,3+1,3+1),1)),'DRAFT 2'!$A:$A),"")</f>
        <v/>
      </c>
      <c r="DK73" s="116">
        <f>COUNTIFS('DRAFT 2'!$D:$D,$B73,'DRAFT 2'!$A:$A,"&gt;="&amp;DATE(2026,3,1),'DRAFT 2'!$A:$A,"&lt;="&amp;DATE(2026,3,7))</f>
        <v/>
      </c>
      <c r="DL73" s="116">
        <f>COUNTIFS('DRAFT 2'!$D:$D,$B73,'DRAFT 2'!$A:$A,"&gt;="&amp;DATE(2026,3,8),'DRAFT 2'!$A:$A,"&lt;="&amp;DATE(2026,3,14))</f>
        <v/>
      </c>
      <c r="DM73" s="116">
        <f>COUNTIFS('DRAFT 2'!$D:$D,$B73,'DRAFT 2'!$A:$A,"&gt;="&amp;DATE(2026,3,15),'DRAFT 2'!$A:$A,"&lt;="&amp;DATE(2026,3,21))</f>
        <v/>
      </c>
      <c r="DN73" s="116">
        <f>COUNTIFS('DRAFT 2'!$D:$D,$B73,'DRAFT 2'!$A:$A,"&gt;="&amp;DATE(2026,3,22),'DRAFT 2'!$A:$A,"&lt;"&amp;DATE(2026,IF(3=12,3+1,3+1),1))</f>
        <v/>
      </c>
      <c r="DO73" s="116">
        <f>SUM(DK73:DN73)</f>
        <v/>
      </c>
      <c r="DZ73" s="116">
        <f>IFERROR(LOOKUP(2,1/('DRAFT 2'!$D:$D=$B73)*('DRAFT 2'!$A:$A&gt;=DATE(2026,4,1))*('DRAFT 2'!$A:$A&lt;DATE(2026,IF(4=12,4+1,4+1),1)),'DRAFT 2'!$A:$A),"")</f>
        <v/>
      </c>
      <c r="EA73" s="116">
        <f>COUNTIFS('DRAFT 2'!$D:$D,$B73,'DRAFT 2'!$A:$A,"&gt;="&amp;DATE(2026,4,1),'DRAFT 2'!$A:$A,"&lt;="&amp;DATE(2026,4,7))</f>
        <v/>
      </c>
      <c r="EB73" s="116">
        <f>COUNTIFS('DRAFT 2'!$D:$D,$B73,'DRAFT 2'!$A:$A,"&gt;="&amp;DATE(2026,4,8),'DRAFT 2'!$A:$A,"&lt;="&amp;DATE(2026,4,14))</f>
        <v/>
      </c>
      <c r="EC73" s="116">
        <f>COUNTIFS('DRAFT 2'!$D:$D,$B73,'DRAFT 2'!$A:$A,"&gt;="&amp;DATE(2026,4,15),'DRAFT 2'!$A:$A,"&lt;="&amp;DATE(2026,4,21))</f>
        <v/>
      </c>
      <c r="ED73" s="116">
        <f>COUNTIFS('DRAFT 2'!$D:$D,$B73,'DRAFT 2'!$A:$A,"&gt;="&amp;DATE(2026,4,22),'DRAFT 2'!$A:$A,"&lt;"&amp;DATE(2026,IF(4=12,4+1,4+1),1))</f>
        <v/>
      </c>
      <c r="EE73" s="116">
        <f>SUM(EA73:ED73)</f>
        <v/>
      </c>
      <c r="EO73" s="116">
        <f>IFERROR(LOOKUP(2,1/('DRAFT 2'!$D:$D=$B73)*('DRAFT 2'!$A:$A&gt;=DATE(2026,5,1))*('DRAFT 2'!$A:$A&lt;DATE(2026,IF(5=12,5+1,5+1),1)),'DRAFT 2'!$A:$A),"")</f>
        <v/>
      </c>
      <c r="EP73" s="116">
        <f>COUNTIFS('DRAFT 2'!$D:$D,$B73,'DRAFT 2'!$A:$A,"&gt;="&amp;DATE(2026,5,1),'DRAFT 2'!$A:$A,"&lt;="&amp;DATE(2026,5,7))</f>
        <v/>
      </c>
      <c r="EQ73" s="116">
        <f>COUNTIFS('DRAFT 2'!$D:$D,$B73,'DRAFT 2'!$A:$A,"&gt;="&amp;DATE(2026,5,8),'DRAFT 2'!$A:$A,"&lt;="&amp;DATE(2026,5,14))</f>
        <v/>
      </c>
      <c r="ER73" s="116">
        <f>COUNTIFS('DRAFT 2'!$D:$D,$B73,'DRAFT 2'!$A:$A,"&gt;="&amp;DATE(2026,5,15),'DRAFT 2'!$A:$A,"&lt;="&amp;DATE(2026,5,21))</f>
        <v/>
      </c>
      <c r="ES73" s="116">
        <f>COUNTIFS('DRAFT 2'!$D:$D,$B73,'DRAFT 2'!$A:$A,"&gt;="&amp;DATE(2026,5,22),'DRAFT 2'!$A:$A,"&lt;"&amp;DATE(2026,IF(5=12,5+1,5+1),1))</f>
        <v/>
      </c>
      <c r="ET73" s="116">
        <f>SUM(EP73:ES73)</f>
        <v/>
      </c>
      <c r="FD73" s="116">
        <f>IFERROR(LOOKUP(2,1/('DRAFT 2'!$D:$D=$B73)*('DRAFT 2'!$A:$A&gt;=DATE(2026,6,1))*('DRAFT 2'!$A:$A&lt;DATE(2026,IF(6=12,6+1,6+1),1)),'DRAFT 2'!$A:$A),"")</f>
        <v/>
      </c>
      <c r="FE73" s="116">
        <f>COUNTIFS('DRAFT 2'!$D:$D,$B73,'DRAFT 2'!$A:$A,"&gt;="&amp;DATE(2026,6,1),'DRAFT 2'!$A:$A,"&lt;="&amp;DATE(2026,6,7))</f>
        <v/>
      </c>
      <c r="FF73" s="116">
        <f>COUNTIFS('DRAFT 2'!$D:$D,$B73,'DRAFT 2'!$A:$A,"&gt;="&amp;DATE(2026,6,8),'DRAFT 2'!$A:$A,"&lt;="&amp;DATE(2026,6,14))</f>
        <v/>
      </c>
      <c r="FG73" s="116">
        <f>COUNTIFS('DRAFT 2'!$D:$D,$B73,'DRAFT 2'!$A:$A,"&gt;="&amp;DATE(2026,6,15),'DRAFT 2'!$A:$A,"&lt;="&amp;DATE(2026,6,21))</f>
        <v/>
      </c>
      <c r="FH73" s="116">
        <f>COUNTIFS('DRAFT 2'!$D:$D,$B73,'DRAFT 2'!$A:$A,"&gt;="&amp;DATE(2026,6,22),'DRAFT 2'!$A:$A,"&lt;"&amp;DATE(2026,IF(6=12,6+1,6+1),1))</f>
        <v/>
      </c>
      <c r="FI73" s="116">
        <f>SUM(FE73:FH73)</f>
        <v/>
      </c>
      <c r="FT73" s="116">
        <f>IFERROR(LOOKUP(2,1/('DRAFT 2'!$D:$D=$B73)*('DRAFT 2'!$A:$A&gt;=DATE(2026,7,1))*('DRAFT 2'!$A:$A&lt;DATE(2026,IF(7=12,7+1,7+1),1)),'DRAFT 2'!$A:$A),"")</f>
        <v/>
      </c>
      <c r="FU73" s="116">
        <f>COUNTIFS('DRAFT 2'!$D:$D,$B73,'DRAFT 2'!$A:$A,"&gt;="&amp;DATE(2026,7,1),'DRAFT 2'!$A:$A,"&lt;="&amp;DATE(2026,7,7))</f>
        <v/>
      </c>
      <c r="FV73" s="116">
        <f>COUNTIFS('DRAFT 2'!$D:$D,$B73,'DRAFT 2'!$A:$A,"&gt;="&amp;DATE(2026,7,8),'DRAFT 2'!$A:$A,"&lt;="&amp;DATE(2026,7,14))</f>
        <v/>
      </c>
      <c r="FW73" s="116">
        <f>COUNTIFS('DRAFT 2'!$D:$D,$B73,'DRAFT 2'!$A:$A,"&gt;="&amp;DATE(2026,7,15),'DRAFT 2'!$A:$A,"&lt;="&amp;DATE(2026,7,21))</f>
        <v/>
      </c>
      <c r="FX73" s="116">
        <f>COUNTIFS('DRAFT 2'!$D:$D,$B73,'DRAFT 2'!$A:$A,"&gt;="&amp;DATE(2026,7,22),'DRAFT 2'!$A:$A,"&lt;"&amp;DATE(2026,IF(7=12,7+1,7+1),1))</f>
        <v/>
      </c>
      <c r="FY73" s="116">
        <f>SUM(FU73:FX73)</f>
        <v/>
      </c>
      <c r="GI73" s="116">
        <f>IFERROR(LOOKUP(2,1/('DRAFT 2'!$D:$D=$B73)*('DRAFT 2'!$A:$A&gt;=DATE(2026,8,1))*('DRAFT 2'!$A:$A&lt;DATE(2026,IF(8=12,8+1,8+1),1)),'DRAFT 2'!$A:$A),"")</f>
        <v/>
      </c>
      <c r="GJ73" s="116">
        <f>COUNTIFS('DRAFT 2'!$D:$D,$B73,'DRAFT 2'!$A:$A,"&gt;="&amp;DATE(2026,8,1),'DRAFT 2'!$A:$A,"&lt;="&amp;DATE(2026,8,7))</f>
        <v/>
      </c>
      <c r="GK73" s="116">
        <f>COUNTIFS('DRAFT 2'!$D:$D,$B73,'DRAFT 2'!$A:$A,"&gt;="&amp;DATE(2026,8,8),'DRAFT 2'!$A:$A,"&lt;="&amp;DATE(2026,8,14))</f>
        <v/>
      </c>
      <c r="GL73" s="116">
        <f>COUNTIFS('DRAFT 2'!$D:$D,$B73,'DRAFT 2'!$A:$A,"&gt;="&amp;DATE(2026,8,15),'DRAFT 2'!$A:$A,"&lt;="&amp;DATE(2026,8,21))</f>
        <v/>
      </c>
      <c r="GM73" s="116">
        <f>COUNTIFS('DRAFT 2'!$D:$D,$B73,'DRAFT 2'!$A:$A,"&gt;="&amp;DATE(2026,8,22),'DRAFT 2'!$A:$A,"&lt;"&amp;DATE(2026,IF(8=12,8+1,8+1),1))</f>
        <v/>
      </c>
      <c r="GN73" s="116">
        <f>SUM(GJ73:GM73)</f>
        <v/>
      </c>
      <c r="GX73" s="116">
        <f>IFERROR(LOOKUP(2,1/('DRAFT 2'!$D:$D=$B73)*('DRAFT 2'!$A:$A&gt;=DATE(2026,9,1))*('DRAFT 2'!$A:$A&lt;DATE(2026,IF(9=12,9+1,9+1),1)),'DRAFT 2'!$A:$A),"")</f>
        <v/>
      </c>
      <c r="GY73" s="116">
        <f>COUNTIFS('DRAFT 2'!$D:$D,$B73,'DRAFT 2'!$A:$A,"&gt;="&amp;DATE(2026,9,1),'DRAFT 2'!$A:$A,"&lt;="&amp;DATE(2026,9,7))</f>
        <v/>
      </c>
      <c r="GZ73" s="116">
        <f>COUNTIFS('DRAFT 2'!$D:$D,$B73,'DRAFT 2'!$A:$A,"&gt;="&amp;DATE(2026,9,8),'DRAFT 2'!$A:$A,"&lt;="&amp;DATE(2026,9,14))</f>
        <v/>
      </c>
      <c r="HA73" s="116">
        <f>COUNTIFS('DRAFT 2'!$D:$D,$B73,'DRAFT 2'!$A:$A,"&gt;="&amp;DATE(2026,9,15),'DRAFT 2'!$A:$A,"&lt;="&amp;DATE(2026,9,21))</f>
        <v/>
      </c>
      <c r="HB73" s="116">
        <f>COUNTIFS('DRAFT 2'!$D:$D,$B73,'DRAFT 2'!$A:$A,"&gt;="&amp;DATE(2026,9,22),'DRAFT 2'!$A:$A,"&lt;"&amp;DATE(2026,IF(9=12,9+1,9+1),1))</f>
        <v/>
      </c>
      <c r="HC73" s="116">
        <f>SUM(GY73:HB73)</f>
        <v/>
      </c>
      <c r="HN73" s="116">
        <f>IFERROR(LOOKUP(2,1/('DRAFT 2'!$D:$D=$B73)*('DRAFT 2'!$A:$A&gt;=DATE(2026,10,1))*('DRAFT 2'!$A:$A&lt;DATE(2026,IF(10=12,10+1,10+1),1)),'DRAFT 2'!$A:$A),"")</f>
        <v/>
      </c>
      <c r="HO73" s="116">
        <f>COUNTIFS('DRAFT 2'!$D:$D,$B73,'DRAFT 2'!$A:$A,"&gt;="&amp;DATE(2026,10,1),'DRAFT 2'!$A:$A,"&lt;="&amp;DATE(2026,10,7))</f>
        <v/>
      </c>
      <c r="HP73" s="116">
        <f>COUNTIFS('DRAFT 2'!$D:$D,$B73,'DRAFT 2'!$A:$A,"&gt;="&amp;DATE(2026,10,8),'DRAFT 2'!$A:$A,"&lt;="&amp;DATE(2026,10,14))</f>
        <v/>
      </c>
      <c r="HQ73" s="116">
        <f>COUNTIFS('DRAFT 2'!$D:$D,$B73,'DRAFT 2'!$A:$A,"&gt;="&amp;DATE(2026,10,15),'DRAFT 2'!$A:$A,"&lt;="&amp;DATE(2026,10,21))</f>
        <v/>
      </c>
      <c r="HR73" s="116">
        <f>COUNTIFS('DRAFT 2'!$D:$D,$B73,'DRAFT 2'!$A:$A,"&gt;="&amp;DATE(2026,10,22),'DRAFT 2'!$A:$A,"&lt;"&amp;DATE(2026,IF(10=12,10+1,10+1),1))</f>
        <v/>
      </c>
      <c r="HS73" s="116">
        <f>SUM(HO73:HR73)</f>
        <v/>
      </c>
      <c r="IC73" s="116">
        <f>IFERROR(LOOKUP(2,1/('DRAFT 2'!$D:$D=$B73)*('DRAFT 2'!$A:$A&gt;=DATE(2026,11,1))*('DRAFT 2'!$A:$A&lt;DATE(2026,IF(11=12,11+1,11+1),1)),'DRAFT 2'!$A:$A),"")</f>
        <v/>
      </c>
      <c r="ID73" s="116">
        <f>COUNTIFS('DRAFT 2'!$D:$D,$B73,'DRAFT 2'!$A:$A,"&gt;="&amp;DATE(2026,11,1),'DRAFT 2'!$A:$A,"&lt;="&amp;DATE(2026,11,7))</f>
        <v/>
      </c>
      <c r="IE73" s="116">
        <f>COUNTIFS('DRAFT 2'!$D:$D,$B73,'DRAFT 2'!$A:$A,"&gt;="&amp;DATE(2026,11,8),'DRAFT 2'!$A:$A,"&lt;="&amp;DATE(2026,11,14))</f>
        <v/>
      </c>
      <c r="IF73" s="116">
        <f>COUNTIFS('DRAFT 2'!$D:$D,$B73,'DRAFT 2'!$A:$A,"&gt;="&amp;DATE(2026,11,15),'DRAFT 2'!$A:$A,"&lt;="&amp;DATE(2026,11,21))</f>
        <v/>
      </c>
      <c r="IG73" s="116">
        <f>COUNTIFS('DRAFT 2'!$D:$D,$B73,'DRAFT 2'!$A:$A,"&gt;="&amp;DATE(2026,11,22),'DRAFT 2'!$A:$A,"&lt;"&amp;DATE(2026,IF(11=12,11+1,11+1),1))</f>
        <v/>
      </c>
      <c r="IH73" s="116">
        <f>SUM(ID73:IG73)</f>
        <v/>
      </c>
      <c r="IR73" s="116">
        <f>IFERROR(LOOKUP(2,1/('DRAFT 2'!$D:$D=$B73)*('DRAFT 2'!$A:$A&gt;=DATE(2026,12,1))*('DRAFT 2'!$A:$A&lt;DATE(2026,IF(12=12,12+1,12+1),1)),'DRAFT 2'!$A:$A),"")</f>
        <v/>
      </c>
      <c r="IS73" s="116">
        <f>COUNTIFS('DRAFT 2'!$D:$D,$B73,'DRAFT 2'!$A:$A,"&gt;="&amp;DATE(2026,12,1),'DRAFT 2'!$A:$A,"&lt;="&amp;DATE(2026,12,7))</f>
        <v/>
      </c>
      <c r="IT73" s="116">
        <f>COUNTIFS('DRAFT 2'!$D:$D,$B73,'DRAFT 2'!$A:$A,"&gt;="&amp;DATE(2026,12,8),'DRAFT 2'!$A:$A,"&lt;="&amp;DATE(2026,12,14))</f>
        <v/>
      </c>
      <c r="IU73" s="116">
        <f>COUNTIFS('DRAFT 2'!$D:$D,$B73,'DRAFT 2'!$A:$A,"&gt;="&amp;DATE(2026,12,15),'DRAFT 2'!$A:$A,"&lt;="&amp;DATE(2026,12,21))</f>
        <v/>
      </c>
      <c r="IV73" s="116">
        <f>COUNTIFS('DRAFT 2'!$D:$D,$B73,'DRAFT 2'!$A:$A,"&gt;="&amp;DATE(2026,12,22),'DRAFT 2'!$A:$A,"&lt;"&amp;DATE(2026,IF(12=12,12+1,12+1),1))</f>
        <v/>
      </c>
      <c r="IW73" s="116">
        <f>SUM(IS73:IV73)</f>
        <v/>
      </c>
    </row>
    <row r="74">
      <c r="A74" s="116">
        <f>IFERROR(INDEX('DRAFT 1'!$A:$A,MATCH($B74,'DRAFT 1'!$B:$B,0)),"")</f>
        <v/>
      </c>
      <c r="C74" s="116">
        <f>IFERROR(INDEX('DRAFT 1'!$C:$C,MATCH($B74,'DRAFT 1'!$B:$B,0)),"")</f>
        <v/>
      </c>
      <c r="D74" s="116">
        <f>IFERROR(INDEX('DRAFT 1'!$D:$D,MATCH($B74,'DRAFT 1'!$B:$B,0)),"")</f>
        <v/>
      </c>
      <c r="E74" s="116">
        <f>IFERROR(INDEX('DRAFT 1'!$E:$E,MATCH($B74,'DRAFT 1'!$B:$B,0)),"")</f>
        <v/>
      </c>
      <c r="F74" s="116">
        <f>IFERROR(INDEX('DRAFT 1'!$F:$F,MATCH($B74,'DRAFT 1'!$B:$B,0)),"")</f>
        <v/>
      </c>
      <c r="G74" s="116">
        <f>IFERROR(INDEX('DRAFT 1'!$G:$G,MATCH($B74,'DRAFT 1'!$B:$B,0)),"")</f>
        <v/>
      </c>
      <c r="H74" s="116">
        <f>IFERROR(INDEX('DRAFT 1'!$H:$H,MATCH($B74,'DRAFT 1'!$B:$B,0)),"")</f>
        <v/>
      </c>
      <c r="I74" s="116" t="inlineStr">
        <is>
          <t>DEMAIS CLIENTES</t>
        </is>
      </c>
      <c r="K74" s="116">
        <f>IFERROR(INDEX('DRAFT 1'!$AL:$AL,MATCH($B74,'DRAFT 1'!$B:$B,0)),"")</f>
        <v/>
      </c>
      <c r="L74" s="116">
        <f>IFERROR(INDEX('DRAFT 1'!$J:$J,MATCH($B74,'DRAFT 1'!$B:$B,0)),"")</f>
        <v/>
      </c>
      <c r="M74" s="116">
        <f>IFERROR(INDEX('DRAFT 1'!$K:$K,MATCH($B74,'DRAFT 1'!$B:$B,0)),"")</f>
        <v/>
      </c>
      <c r="N74" s="116" t="inlineStr">
        <is>
          <t>PROSPECT</t>
        </is>
      </c>
      <c r="P74" s="116">
        <f>IFERROR(INDEX('DRAFT 1'!$L:$L,MATCH($B74,'DRAFT 1'!$B:$B,0)),"")</f>
        <v/>
      </c>
      <c r="Q74" s="116">
        <f>IFERROR(INDEX('DRAFT 1'!$M:$M,MATCH($B74,'DRAFT 1'!$B:$B,0)),"")</f>
        <v/>
      </c>
      <c r="R74" s="116">
        <f>IFERROR(INDEX('DRAFT 1'!$N:$N,MATCH($B74,'DRAFT 1'!$B:$B,0)),"")</f>
        <v/>
      </c>
      <c r="S74" s="116">
        <f>IFERROR(INDEX('DRAFT 1'!$O:$O,MATCH($B74,'DRAFT 1'!$B:$B,0)),"")</f>
        <v/>
      </c>
      <c r="T74" s="116">
        <f>IFERROR(INDEX('DRAFT 1'!$P:$P,MATCH($B74,'DRAFT 1'!$B:$B,0)),"")</f>
        <v/>
      </c>
      <c r="U74" s="116">
        <f>IFERROR(INDEX('DRAFT 1'!$Q:$Q,MATCH($B74,'DRAFT 1'!$B:$B,0)),"")</f>
        <v/>
      </c>
      <c r="V74" s="116">
        <f>IFERROR(INDEX('DRAFT 1'!$R:$R,MATCH($B74,'DRAFT 1'!$B:$B,0)),"")</f>
        <v/>
      </c>
      <c r="W74" s="116">
        <f>IFERROR(INDEX('DRAFT 1'!$S:$S,MATCH($B74,'DRAFT 1'!$B:$B,0)),"")</f>
        <v/>
      </c>
      <c r="X74" s="116">
        <f>IFERROR(INDEX('DRAFT 1'!$T:$T,MATCH($B74,'DRAFT 1'!$B:$B,0)),"")</f>
        <v/>
      </c>
      <c r="Z74" s="116">
        <f>IFERROR(INDEX('DRAFT 1'!$U:$U,MATCH($B74,'DRAFT 1'!$B:$B,0)),"")</f>
        <v/>
      </c>
      <c r="AA74" s="116">
        <f>IFERROR(INDEX('DRAFT 1'!$V:$V,MATCH($B74,'DRAFT 1'!$B:$B,0)),"")</f>
        <v/>
      </c>
      <c r="AB74" s="116">
        <f>IFERROR(INDEX('DRAFT 1'!$W:$W,MATCH($B74,'DRAFT 1'!$B:$B,0)),"")</f>
        <v/>
      </c>
      <c r="AC74" s="116">
        <f>IFERROR(INDEX('DRAFT 1'!$X:$X,MATCH($B74,'DRAFT 1'!$B:$B,0)),"")</f>
        <v/>
      </c>
      <c r="AD74" s="116">
        <f>IFERROR(INDEX('DRAFT 1'!$Y:$Y,MATCH($B74,'DRAFT 1'!$B:$B,0)),"")</f>
        <v/>
      </c>
      <c r="AE74" s="116">
        <f>IFERROR(INDEX('DRAFT 1'!$Z:$Z,MATCH($B74,'DRAFT 1'!$B:$B,0)),"")</f>
        <v/>
      </c>
      <c r="AF74" s="116">
        <f>IFERROR(INDEX('DRAFT 1'!$AA:$AA,MATCH($B74,'DRAFT 1'!$B:$B,0)),"")</f>
        <v/>
      </c>
      <c r="AG74" s="116">
        <f>IFERROR(INDEX('DRAFT 1'!$AB:$AB,MATCH($B74,'DRAFT 1'!$B:$B,0)),"")</f>
        <v/>
      </c>
      <c r="AH74" s="116">
        <f>IFERROR(INDEX('DRAFT 1'!$AC:$AC,MATCH($B74,'DRAFT 1'!$B:$B,0)),"")</f>
        <v/>
      </c>
      <c r="AI74" s="116">
        <f>IFERROR(INDEX('DRAFT 1'!$AD:$AD,MATCH($B74,'DRAFT 1'!$B:$B,0)),"")</f>
        <v/>
      </c>
      <c r="AJ74" s="116">
        <f>IFERROR(INDEX('DRAFT 1'!$AE:$AE,MATCH($B74,'DRAFT 1'!$B:$B,0)),"")</f>
        <v/>
      </c>
      <c r="AK74" s="116">
        <f>IFERROR(INDEX('DRAFT 1'!$AG:$AG,MATCH($B74,'DRAFT 1'!$B:$B,0)),"")</f>
        <v/>
      </c>
      <c r="AL74" s="116">
        <f>IFERROR(INDEX('DRAFT 1'!$AH:$AH,MATCH($B74,'DRAFT 1'!$B:$B,0)),"")</f>
        <v/>
      </c>
      <c r="AM74" s="116">
        <f>IFERROR(INDEX('DRAFT 1'!$AI:$AI,MATCH($B74,'DRAFT 1'!$B:$B,0)),"")</f>
        <v/>
      </c>
      <c r="AN74" s="116">
        <f>IFERROR(INDEX('DRAFT 1'!$AJ:$AJ,MATCH($B74,'DRAFT 1'!$B:$B,0)),"")</f>
        <v/>
      </c>
      <c r="AO74" s="116">
        <f>IFERROR(Y74/AN74,0)</f>
        <v/>
      </c>
      <c r="AP74" s="116">
        <f>IFERROR(INDEX('DRAFT 1'!$AK:$AK,MATCH($B74,'DRAFT 1'!$B:$B,0)),"")</f>
        <v/>
      </c>
      <c r="AR74" s="116" t="inlineStr">
        <is>
          <t>CS</t>
        </is>
      </c>
      <c r="AS74" s="116">
        <f>IFERROR(LOOKUP(2,1/('DRAFT 2'!$D:$D=$B74),'DRAFT 2'!$T:$T),"")</f>
        <v/>
      </c>
      <c r="AT74" s="116">
        <f>IFERROR(LOOKUP(2,1/('DRAFT 2'!$D:$D=$B74),'DRAFT 2'!$A:$A),"")</f>
        <v/>
      </c>
      <c r="AU74" s="116">
        <f>IFERROR(LOOKUP(2,1/('DRAFT 2'!$D:$D=$B74),'DRAFT 2'!$R:$R),"")</f>
        <v/>
      </c>
      <c r="AV74" s="116">
        <f>IFERROR(LOOKUP(2,1/('DRAFT 2'!$D:$D=$B74),'DRAFT 2'!$S:$S),"")</f>
        <v/>
      </c>
      <c r="AW74" s="116" t="inlineStr">
        <is>
          <t>EM DESENVOLVIMENTO</t>
        </is>
      </c>
      <c r="AX74" s="116">
        <f>IFERROR(LOOKUP(2,1/('DRAFT 2'!$D:$D=$B74),'DRAFT 2'!$M:$M),"")</f>
        <v/>
      </c>
      <c r="AY74" s="116">
        <f>IFERROR(LOOKUP(2,1/('DRAFT 2'!$D:$D=$B74),'DRAFT 2'!$K:$K),"")</f>
        <v/>
      </c>
      <c r="BG74" s="116">
        <f>IFERROR(LOOKUP(2,1/('DRAFT 2'!$D:$D=$B74),'DRAFT 2'!$U:$U),"")</f>
        <v/>
      </c>
      <c r="BH74" s="116">
        <f>IFERROR(LOOKUP(2,1/('DRAFT 2'!$D:$D=$B74),'DRAFT 2'!$V:$V),"")</f>
        <v/>
      </c>
      <c r="CE74" s="116">
        <f>IFERROR(AJ74,0)</f>
        <v/>
      </c>
      <c r="CF74" s="116">
        <f>IFERROR(LOOKUP(2,1/('DRAFT 2'!$D:$D=$B74)*('DRAFT 2'!$A:$A&gt;=DATE(2026,1,1))*('DRAFT 2'!$A:$A&lt;DATE(2026,IF(1=12,1+1,1+1),1)),'DRAFT 2'!$A:$A),"")</f>
        <v/>
      </c>
      <c r="CG74" s="116">
        <f>COUNTIFS('DRAFT 2'!$D:$D,$B74,'DRAFT 2'!$A:$A,"&gt;="&amp;DATE(2026,1,1),'DRAFT 2'!$A:$A,"&lt;="&amp;DATE(2026,1,7))</f>
        <v/>
      </c>
      <c r="CH74" s="116">
        <f>COUNTIFS('DRAFT 2'!$D:$D,$B74,'DRAFT 2'!$A:$A,"&gt;="&amp;DATE(2026,1,8),'DRAFT 2'!$A:$A,"&lt;="&amp;DATE(2026,1,14))</f>
        <v/>
      </c>
      <c r="CI74" s="116">
        <f>COUNTIFS('DRAFT 2'!$D:$D,$B74,'DRAFT 2'!$A:$A,"&gt;="&amp;DATE(2026,1,15),'DRAFT 2'!$A:$A,"&lt;="&amp;DATE(2026,1,21))</f>
        <v/>
      </c>
      <c r="CJ74" s="116">
        <f>COUNTIFS('DRAFT 2'!$D:$D,$B74,'DRAFT 2'!$A:$A,"&gt;="&amp;DATE(2026,1,22),'DRAFT 2'!$A:$A,"&lt;"&amp;DATE(2026,IF(1=12,1+1,1+1),1))</f>
        <v/>
      </c>
      <c r="CK74" s="116">
        <f>SUM(CG74:CJ74)</f>
        <v/>
      </c>
      <c r="CT74" s="116" t="n">
        <v>0</v>
      </c>
      <c r="CU74" s="116">
        <f>IFERROR(LOOKUP(2,1/('DRAFT 2'!$D:$D=$B74)*('DRAFT 2'!$A:$A&gt;=DATE(2026,2,1))*('DRAFT 2'!$A:$A&lt;DATE(2026,IF(2=12,2+1,2+1),1)),'DRAFT 2'!$A:$A),"")</f>
        <v/>
      </c>
      <c r="CV74" s="116">
        <f>COUNTIFS('DRAFT 2'!$D:$D,$B74,'DRAFT 2'!$A:$A,"&gt;="&amp;DATE(2026,2,1),'DRAFT 2'!$A:$A,"&lt;="&amp;DATE(2026,2,7))</f>
        <v/>
      </c>
      <c r="CW74" s="116">
        <f>COUNTIFS('DRAFT 2'!$D:$D,$B74,'DRAFT 2'!$A:$A,"&gt;="&amp;DATE(2026,2,8),'DRAFT 2'!$A:$A,"&lt;="&amp;DATE(2026,2,14))</f>
        <v/>
      </c>
      <c r="CX74" s="116">
        <f>COUNTIFS('DRAFT 2'!$D:$D,$B74,'DRAFT 2'!$A:$A,"&gt;="&amp;DATE(2026,2,15),'DRAFT 2'!$A:$A,"&lt;="&amp;DATE(2026,2,21))</f>
        <v/>
      </c>
      <c r="CY74" s="116">
        <f>COUNTIFS('DRAFT 2'!$D:$D,$B74,'DRAFT 2'!$A:$A,"&gt;="&amp;DATE(2026,2,22),'DRAFT 2'!$A:$A,"&lt;"&amp;DATE(2026,IF(2=12,2+1,2+1),1))</f>
        <v/>
      </c>
      <c r="CZ74" s="116">
        <f>SUM(CV74:CY74)</f>
        <v/>
      </c>
      <c r="DJ74" s="116">
        <f>IFERROR(LOOKUP(2,1/('DRAFT 2'!$D:$D=$B74)*('DRAFT 2'!$A:$A&gt;=DATE(2026,3,1))*('DRAFT 2'!$A:$A&lt;DATE(2026,IF(3=12,3+1,3+1),1)),'DRAFT 2'!$A:$A),"")</f>
        <v/>
      </c>
      <c r="DK74" s="116">
        <f>COUNTIFS('DRAFT 2'!$D:$D,$B74,'DRAFT 2'!$A:$A,"&gt;="&amp;DATE(2026,3,1),'DRAFT 2'!$A:$A,"&lt;="&amp;DATE(2026,3,7))</f>
        <v/>
      </c>
      <c r="DL74" s="116">
        <f>COUNTIFS('DRAFT 2'!$D:$D,$B74,'DRAFT 2'!$A:$A,"&gt;="&amp;DATE(2026,3,8),'DRAFT 2'!$A:$A,"&lt;="&amp;DATE(2026,3,14))</f>
        <v/>
      </c>
      <c r="DM74" s="116">
        <f>COUNTIFS('DRAFT 2'!$D:$D,$B74,'DRAFT 2'!$A:$A,"&gt;="&amp;DATE(2026,3,15),'DRAFT 2'!$A:$A,"&lt;="&amp;DATE(2026,3,21))</f>
        <v/>
      </c>
      <c r="DN74" s="116">
        <f>COUNTIFS('DRAFT 2'!$D:$D,$B74,'DRAFT 2'!$A:$A,"&gt;="&amp;DATE(2026,3,22),'DRAFT 2'!$A:$A,"&lt;"&amp;DATE(2026,IF(3=12,3+1,3+1),1))</f>
        <v/>
      </c>
      <c r="DO74" s="116">
        <f>SUM(DK74:DN74)</f>
        <v/>
      </c>
      <c r="DZ74" s="116">
        <f>IFERROR(LOOKUP(2,1/('DRAFT 2'!$D:$D=$B74)*('DRAFT 2'!$A:$A&gt;=DATE(2026,4,1))*('DRAFT 2'!$A:$A&lt;DATE(2026,IF(4=12,4+1,4+1),1)),'DRAFT 2'!$A:$A),"")</f>
        <v/>
      </c>
      <c r="EA74" s="116">
        <f>COUNTIFS('DRAFT 2'!$D:$D,$B74,'DRAFT 2'!$A:$A,"&gt;="&amp;DATE(2026,4,1),'DRAFT 2'!$A:$A,"&lt;="&amp;DATE(2026,4,7))</f>
        <v/>
      </c>
      <c r="EB74" s="116">
        <f>COUNTIFS('DRAFT 2'!$D:$D,$B74,'DRAFT 2'!$A:$A,"&gt;="&amp;DATE(2026,4,8),'DRAFT 2'!$A:$A,"&lt;="&amp;DATE(2026,4,14))</f>
        <v/>
      </c>
      <c r="EC74" s="116">
        <f>COUNTIFS('DRAFT 2'!$D:$D,$B74,'DRAFT 2'!$A:$A,"&gt;="&amp;DATE(2026,4,15),'DRAFT 2'!$A:$A,"&lt;="&amp;DATE(2026,4,21))</f>
        <v/>
      </c>
      <c r="ED74" s="116">
        <f>COUNTIFS('DRAFT 2'!$D:$D,$B74,'DRAFT 2'!$A:$A,"&gt;="&amp;DATE(2026,4,22),'DRAFT 2'!$A:$A,"&lt;"&amp;DATE(2026,IF(4=12,4+1,4+1),1))</f>
        <v/>
      </c>
      <c r="EE74" s="116">
        <f>SUM(EA74:ED74)</f>
        <v/>
      </c>
      <c r="EO74" s="116">
        <f>IFERROR(LOOKUP(2,1/('DRAFT 2'!$D:$D=$B74)*('DRAFT 2'!$A:$A&gt;=DATE(2026,5,1))*('DRAFT 2'!$A:$A&lt;DATE(2026,IF(5=12,5+1,5+1),1)),'DRAFT 2'!$A:$A),"")</f>
        <v/>
      </c>
      <c r="EP74" s="116">
        <f>COUNTIFS('DRAFT 2'!$D:$D,$B74,'DRAFT 2'!$A:$A,"&gt;="&amp;DATE(2026,5,1),'DRAFT 2'!$A:$A,"&lt;="&amp;DATE(2026,5,7))</f>
        <v/>
      </c>
      <c r="EQ74" s="116">
        <f>COUNTIFS('DRAFT 2'!$D:$D,$B74,'DRAFT 2'!$A:$A,"&gt;="&amp;DATE(2026,5,8),'DRAFT 2'!$A:$A,"&lt;="&amp;DATE(2026,5,14))</f>
        <v/>
      </c>
      <c r="ER74" s="116">
        <f>COUNTIFS('DRAFT 2'!$D:$D,$B74,'DRAFT 2'!$A:$A,"&gt;="&amp;DATE(2026,5,15),'DRAFT 2'!$A:$A,"&lt;="&amp;DATE(2026,5,21))</f>
        <v/>
      </c>
      <c r="ES74" s="116">
        <f>COUNTIFS('DRAFT 2'!$D:$D,$B74,'DRAFT 2'!$A:$A,"&gt;="&amp;DATE(2026,5,22),'DRAFT 2'!$A:$A,"&lt;"&amp;DATE(2026,IF(5=12,5+1,5+1),1))</f>
        <v/>
      </c>
      <c r="ET74" s="116">
        <f>SUM(EP74:ES74)</f>
        <v/>
      </c>
      <c r="FD74" s="116">
        <f>IFERROR(LOOKUP(2,1/('DRAFT 2'!$D:$D=$B74)*('DRAFT 2'!$A:$A&gt;=DATE(2026,6,1))*('DRAFT 2'!$A:$A&lt;DATE(2026,IF(6=12,6+1,6+1),1)),'DRAFT 2'!$A:$A),"")</f>
        <v/>
      </c>
      <c r="FE74" s="116">
        <f>COUNTIFS('DRAFT 2'!$D:$D,$B74,'DRAFT 2'!$A:$A,"&gt;="&amp;DATE(2026,6,1),'DRAFT 2'!$A:$A,"&lt;="&amp;DATE(2026,6,7))</f>
        <v/>
      </c>
      <c r="FF74" s="116">
        <f>COUNTIFS('DRAFT 2'!$D:$D,$B74,'DRAFT 2'!$A:$A,"&gt;="&amp;DATE(2026,6,8),'DRAFT 2'!$A:$A,"&lt;="&amp;DATE(2026,6,14))</f>
        <v/>
      </c>
      <c r="FG74" s="116">
        <f>COUNTIFS('DRAFT 2'!$D:$D,$B74,'DRAFT 2'!$A:$A,"&gt;="&amp;DATE(2026,6,15),'DRAFT 2'!$A:$A,"&lt;="&amp;DATE(2026,6,21))</f>
        <v/>
      </c>
      <c r="FH74" s="116">
        <f>COUNTIFS('DRAFT 2'!$D:$D,$B74,'DRAFT 2'!$A:$A,"&gt;="&amp;DATE(2026,6,22),'DRAFT 2'!$A:$A,"&lt;"&amp;DATE(2026,IF(6=12,6+1,6+1),1))</f>
        <v/>
      </c>
      <c r="FI74" s="116">
        <f>SUM(FE74:FH74)</f>
        <v/>
      </c>
      <c r="FT74" s="116">
        <f>IFERROR(LOOKUP(2,1/('DRAFT 2'!$D:$D=$B74)*('DRAFT 2'!$A:$A&gt;=DATE(2026,7,1))*('DRAFT 2'!$A:$A&lt;DATE(2026,IF(7=12,7+1,7+1),1)),'DRAFT 2'!$A:$A),"")</f>
        <v/>
      </c>
      <c r="FU74" s="116">
        <f>COUNTIFS('DRAFT 2'!$D:$D,$B74,'DRAFT 2'!$A:$A,"&gt;="&amp;DATE(2026,7,1),'DRAFT 2'!$A:$A,"&lt;="&amp;DATE(2026,7,7))</f>
        <v/>
      </c>
      <c r="FV74" s="116">
        <f>COUNTIFS('DRAFT 2'!$D:$D,$B74,'DRAFT 2'!$A:$A,"&gt;="&amp;DATE(2026,7,8),'DRAFT 2'!$A:$A,"&lt;="&amp;DATE(2026,7,14))</f>
        <v/>
      </c>
      <c r="FW74" s="116">
        <f>COUNTIFS('DRAFT 2'!$D:$D,$B74,'DRAFT 2'!$A:$A,"&gt;="&amp;DATE(2026,7,15),'DRAFT 2'!$A:$A,"&lt;="&amp;DATE(2026,7,21))</f>
        <v/>
      </c>
      <c r="FX74" s="116">
        <f>COUNTIFS('DRAFT 2'!$D:$D,$B74,'DRAFT 2'!$A:$A,"&gt;="&amp;DATE(2026,7,22),'DRAFT 2'!$A:$A,"&lt;"&amp;DATE(2026,IF(7=12,7+1,7+1),1))</f>
        <v/>
      </c>
      <c r="FY74" s="116">
        <f>SUM(FU74:FX74)</f>
        <v/>
      </c>
      <c r="GI74" s="116">
        <f>IFERROR(LOOKUP(2,1/('DRAFT 2'!$D:$D=$B74)*('DRAFT 2'!$A:$A&gt;=DATE(2026,8,1))*('DRAFT 2'!$A:$A&lt;DATE(2026,IF(8=12,8+1,8+1),1)),'DRAFT 2'!$A:$A),"")</f>
        <v/>
      </c>
      <c r="GJ74" s="116">
        <f>COUNTIFS('DRAFT 2'!$D:$D,$B74,'DRAFT 2'!$A:$A,"&gt;="&amp;DATE(2026,8,1),'DRAFT 2'!$A:$A,"&lt;="&amp;DATE(2026,8,7))</f>
        <v/>
      </c>
      <c r="GK74" s="116">
        <f>COUNTIFS('DRAFT 2'!$D:$D,$B74,'DRAFT 2'!$A:$A,"&gt;="&amp;DATE(2026,8,8),'DRAFT 2'!$A:$A,"&lt;="&amp;DATE(2026,8,14))</f>
        <v/>
      </c>
      <c r="GL74" s="116">
        <f>COUNTIFS('DRAFT 2'!$D:$D,$B74,'DRAFT 2'!$A:$A,"&gt;="&amp;DATE(2026,8,15),'DRAFT 2'!$A:$A,"&lt;="&amp;DATE(2026,8,21))</f>
        <v/>
      </c>
      <c r="GM74" s="116">
        <f>COUNTIFS('DRAFT 2'!$D:$D,$B74,'DRAFT 2'!$A:$A,"&gt;="&amp;DATE(2026,8,22),'DRAFT 2'!$A:$A,"&lt;"&amp;DATE(2026,IF(8=12,8+1,8+1),1))</f>
        <v/>
      </c>
      <c r="GN74" s="116">
        <f>SUM(GJ74:GM74)</f>
        <v/>
      </c>
      <c r="GX74" s="116">
        <f>IFERROR(LOOKUP(2,1/('DRAFT 2'!$D:$D=$B74)*('DRAFT 2'!$A:$A&gt;=DATE(2026,9,1))*('DRAFT 2'!$A:$A&lt;DATE(2026,IF(9=12,9+1,9+1),1)),'DRAFT 2'!$A:$A),"")</f>
        <v/>
      </c>
      <c r="GY74" s="116">
        <f>COUNTIFS('DRAFT 2'!$D:$D,$B74,'DRAFT 2'!$A:$A,"&gt;="&amp;DATE(2026,9,1),'DRAFT 2'!$A:$A,"&lt;="&amp;DATE(2026,9,7))</f>
        <v/>
      </c>
      <c r="GZ74" s="116">
        <f>COUNTIFS('DRAFT 2'!$D:$D,$B74,'DRAFT 2'!$A:$A,"&gt;="&amp;DATE(2026,9,8),'DRAFT 2'!$A:$A,"&lt;="&amp;DATE(2026,9,14))</f>
        <v/>
      </c>
      <c r="HA74" s="116">
        <f>COUNTIFS('DRAFT 2'!$D:$D,$B74,'DRAFT 2'!$A:$A,"&gt;="&amp;DATE(2026,9,15),'DRAFT 2'!$A:$A,"&lt;="&amp;DATE(2026,9,21))</f>
        <v/>
      </c>
      <c r="HB74" s="116">
        <f>COUNTIFS('DRAFT 2'!$D:$D,$B74,'DRAFT 2'!$A:$A,"&gt;="&amp;DATE(2026,9,22),'DRAFT 2'!$A:$A,"&lt;"&amp;DATE(2026,IF(9=12,9+1,9+1),1))</f>
        <v/>
      </c>
      <c r="HC74" s="116">
        <f>SUM(GY74:HB74)</f>
        <v/>
      </c>
      <c r="HN74" s="116">
        <f>IFERROR(LOOKUP(2,1/('DRAFT 2'!$D:$D=$B74)*('DRAFT 2'!$A:$A&gt;=DATE(2026,10,1))*('DRAFT 2'!$A:$A&lt;DATE(2026,IF(10=12,10+1,10+1),1)),'DRAFT 2'!$A:$A),"")</f>
        <v/>
      </c>
      <c r="HO74" s="116">
        <f>COUNTIFS('DRAFT 2'!$D:$D,$B74,'DRAFT 2'!$A:$A,"&gt;="&amp;DATE(2026,10,1),'DRAFT 2'!$A:$A,"&lt;="&amp;DATE(2026,10,7))</f>
        <v/>
      </c>
      <c r="HP74" s="116">
        <f>COUNTIFS('DRAFT 2'!$D:$D,$B74,'DRAFT 2'!$A:$A,"&gt;="&amp;DATE(2026,10,8),'DRAFT 2'!$A:$A,"&lt;="&amp;DATE(2026,10,14))</f>
        <v/>
      </c>
      <c r="HQ74" s="116">
        <f>COUNTIFS('DRAFT 2'!$D:$D,$B74,'DRAFT 2'!$A:$A,"&gt;="&amp;DATE(2026,10,15),'DRAFT 2'!$A:$A,"&lt;="&amp;DATE(2026,10,21))</f>
        <v/>
      </c>
      <c r="HR74" s="116">
        <f>COUNTIFS('DRAFT 2'!$D:$D,$B74,'DRAFT 2'!$A:$A,"&gt;="&amp;DATE(2026,10,22),'DRAFT 2'!$A:$A,"&lt;"&amp;DATE(2026,IF(10=12,10+1,10+1),1))</f>
        <v/>
      </c>
      <c r="HS74" s="116">
        <f>SUM(HO74:HR74)</f>
        <v/>
      </c>
      <c r="IC74" s="116">
        <f>IFERROR(LOOKUP(2,1/('DRAFT 2'!$D:$D=$B74)*('DRAFT 2'!$A:$A&gt;=DATE(2026,11,1))*('DRAFT 2'!$A:$A&lt;DATE(2026,IF(11=12,11+1,11+1),1)),'DRAFT 2'!$A:$A),"")</f>
        <v/>
      </c>
      <c r="ID74" s="116">
        <f>COUNTIFS('DRAFT 2'!$D:$D,$B74,'DRAFT 2'!$A:$A,"&gt;="&amp;DATE(2026,11,1),'DRAFT 2'!$A:$A,"&lt;="&amp;DATE(2026,11,7))</f>
        <v/>
      </c>
      <c r="IE74" s="116">
        <f>COUNTIFS('DRAFT 2'!$D:$D,$B74,'DRAFT 2'!$A:$A,"&gt;="&amp;DATE(2026,11,8),'DRAFT 2'!$A:$A,"&lt;="&amp;DATE(2026,11,14))</f>
        <v/>
      </c>
      <c r="IF74" s="116">
        <f>COUNTIFS('DRAFT 2'!$D:$D,$B74,'DRAFT 2'!$A:$A,"&gt;="&amp;DATE(2026,11,15),'DRAFT 2'!$A:$A,"&lt;="&amp;DATE(2026,11,21))</f>
        <v/>
      </c>
      <c r="IG74" s="116">
        <f>COUNTIFS('DRAFT 2'!$D:$D,$B74,'DRAFT 2'!$A:$A,"&gt;="&amp;DATE(2026,11,22),'DRAFT 2'!$A:$A,"&lt;"&amp;DATE(2026,IF(11=12,11+1,11+1),1))</f>
        <v/>
      </c>
      <c r="IH74" s="116">
        <f>SUM(ID74:IG74)</f>
        <v/>
      </c>
      <c r="IR74" s="116">
        <f>IFERROR(LOOKUP(2,1/('DRAFT 2'!$D:$D=$B74)*('DRAFT 2'!$A:$A&gt;=DATE(2026,12,1))*('DRAFT 2'!$A:$A&lt;DATE(2026,IF(12=12,12+1,12+1),1)),'DRAFT 2'!$A:$A),"")</f>
        <v/>
      </c>
      <c r="IS74" s="116">
        <f>COUNTIFS('DRAFT 2'!$D:$D,$B74,'DRAFT 2'!$A:$A,"&gt;="&amp;DATE(2026,12,1),'DRAFT 2'!$A:$A,"&lt;="&amp;DATE(2026,12,7))</f>
        <v/>
      </c>
      <c r="IT74" s="116">
        <f>COUNTIFS('DRAFT 2'!$D:$D,$B74,'DRAFT 2'!$A:$A,"&gt;="&amp;DATE(2026,12,8),'DRAFT 2'!$A:$A,"&lt;="&amp;DATE(2026,12,14))</f>
        <v/>
      </c>
      <c r="IU74" s="116">
        <f>COUNTIFS('DRAFT 2'!$D:$D,$B74,'DRAFT 2'!$A:$A,"&gt;="&amp;DATE(2026,12,15),'DRAFT 2'!$A:$A,"&lt;="&amp;DATE(2026,12,21))</f>
        <v/>
      </c>
      <c r="IV74" s="116">
        <f>COUNTIFS('DRAFT 2'!$D:$D,$B74,'DRAFT 2'!$A:$A,"&gt;="&amp;DATE(2026,12,22),'DRAFT 2'!$A:$A,"&lt;"&amp;DATE(2026,IF(12=12,12+1,12+1),1))</f>
        <v/>
      </c>
      <c r="IW74" s="116">
        <f>SUM(IS74:IV74)</f>
        <v/>
      </c>
    </row>
    <row r="75">
      <c r="A75" s="116">
        <f>IFERROR(INDEX('DRAFT 1'!$A:$A,MATCH($B75,'DRAFT 1'!$B:$B,0)),"")</f>
        <v/>
      </c>
      <c r="C75" s="116">
        <f>IFERROR(INDEX('DRAFT 1'!$C:$C,MATCH($B75,'DRAFT 1'!$B:$B,0)),"")</f>
        <v/>
      </c>
      <c r="D75" s="116">
        <f>IFERROR(INDEX('DRAFT 1'!$D:$D,MATCH($B75,'DRAFT 1'!$B:$B,0)),"")</f>
        <v/>
      </c>
      <c r="E75" s="116">
        <f>IFERROR(INDEX('DRAFT 1'!$E:$E,MATCH($B75,'DRAFT 1'!$B:$B,0)),"")</f>
        <v/>
      </c>
      <c r="F75" s="116">
        <f>IFERROR(INDEX('DRAFT 1'!$F:$F,MATCH($B75,'DRAFT 1'!$B:$B,0)),"")</f>
        <v/>
      </c>
      <c r="G75" s="116">
        <f>IFERROR(INDEX('DRAFT 1'!$G:$G,MATCH($B75,'DRAFT 1'!$B:$B,0)),"")</f>
        <v/>
      </c>
      <c r="H75" s="116">
        <f>IFERROR(INDEX('DRAFT 1'!$H:$H,MATCH($B75,'DRAFT 1'!$B:$B,0)),"")</f>
        <v/>
      </c>
      <c r="I75" s="116" t="inlineStr">
        <is>
          <t>DEMAIS CLIENTES</t>
        </is>
      </c>
      <c r="K75" s="116">
        <f>IFERROR(INDEX('DRAFT 1'!$AL:$AL,MATCH($B75,'DRAFT 1'!$B:$B,0)),"")</f>
        <v/>
      </c>
      <c r="L75" s="116">
        <f>IFERROR(INDEX('DRAFT 1'!$J:$J,MATCH($B75,'DRAFT 1'!$B:$B,0)),"")</f>
        <v/>
      </c>
      <c r="M75" s="116">
        <f>IFERROR(INDEX('DRAFT 1'!$K:$K,MATCH($B75,'DRAFT 1'!$B:$B,0)),"")</f>
        <v/>
      </c>
      <c r="N75" s="116" t="inlineStr">
        <is>
          <t>PROSPECT</t>
        </is>
      </c>
      <c r="P75" s="116">
        <f>IFERROR(INDEX('DRAFT 1'!$L:$L,MATCH($B75,'DRAFT 1'!$B:$B,0)),"")</f>
        <v/>
      </c>
      <c r="Q75" s="116">
        <f>IFERROR(INDEX('DRAFT 1'!$M:$M,MATCH($B75,'DRAFT 1'!$B:$B,0)),"")</f>
        <v/>
      </c>
      <c r="R75" s="116">
        <f>IFERROR(INDEX('DRAFT 1'!$N:$N,MATCH($B75,'DRAFT 1'!$B:$B,0)),"")</f>
        <v/>
      </c>
      <c r="S75" s="116">
        <f>IFERROR(INDEX('DRAFT 1'!$O:$O,MATCH($B75,'DRAFT 1'!$B:$B,0)),"")</f>
        <v/>
      </c>
      <c r="T75" s="116">
        <f>IFERROR(INDEX('DRAFT 1'!$P:$P,MATCH($B75,'DRAFT 1'!$B:$B,0)),"")</f>
        <v/>
      </c>
      <c r="U75" s="116">
        <f>IFERROR(INDEX('DRAFT 1'!$Q:$Q,MATCH($B75,'DRAFT 1'!$B:$B,0)),"")</f>
        <v/>
      </c>
      <c r="V75" s="116">
        <f>IFERROR(INDEX('DRAFT 1'!$R:$R,MATCH($B75,'DRAFT 1'!$B:$B,0)),"")</f>
        <v/>
      </c>
      <c r="W75" s="116">
        <f>IFERROR(INDEX('DRAFT 1'!$S:$S,MATCH($B75,'DRAFT 1'!$B:$B,0)),"")</f>
        <v/>
      </c>
      <c r="X75" s="116">
        <f>IFERROR(INDEX('DRAFT 1'!$T:$T,MATCH($B75,'DRAFT 1'!$B:$B,0)),"")</f>
        <v/>
      </c>
      <c r="Z75" s="116">
        <f>IFERROR(INDEX('DRAFT 1'!$U:$U,MATCH($B75,'DRAFT 1'!$B:$B,0)),"")</f>
        <v/>
      </c>
      <c r="AA75" s="116">
        <f>IFERROR(INDEX('DRAFT 1'!$V:$V,MATCH($B75,'DRAFT 1'!$B:$B,0)),"")</f>
        <v/>
      </c>
      <c r="AB75" s="116">
        <f>IFERROR(INDEX('DRAFT 1'!$W:$W,MATCH($B75,'DRAFT 1'!$B:$B,0)),"")</f>
        <v/>
      </c>
      <c r="AC75" s="116">
        <f>IFERROR(INDEX('DRAFT 1'!$X:$X,MATCH($B75,'DRAFT 1'!$B:$B,0)),"")</f>
        <v/>
      </c>
      <c r="AD75" s="116">
        <f>IFERROR(INDEX('DRAFT 1'!$Y:$Y,MATCH($B75,'DRAFT 1'!$B:$B,0)),"")</f>
        <v/>
      </c>
      <c r="AE75" s="116">
        <f>IFERROR(INDEX('DRAFT 1'!$Z:$Z,MATCH($B75,'DRAFT 1'!$B:$B,0)),"")</f>
        <v/>
      </c>
      <c r="AF75" s="116">
        <f>IFERROR(INDEX('DRAFT 1'!$AA:$AA,MATCH($B75,'DRAFT 1'!$B:$B,0)),"")</f>
        <v/>
      </c>
      <c r="AG75" s="116">
        <f>IFERROR(INDEX('DRAFT 1'!$AB:$AB,MATCH($B75,'DRAFT 1'!$B:$B,0)),"")</f>
        <v/>
      </c>
      <c r="AH75" s="116">
        <f>IFERROR(INDEX('DRAFT 1'!$AC:$AC,MATCH($B75,'DRAFT 1'!$B:$B,0)),"")</f>
        <v/>
      </c>
      <c r="AI75" s="116">
        <f>IFERROR(INDEX('DRAFT 1'!$AD:$AD,MATCH($B75,'DRAFT 1'!$B:$B,0)),"")</f>
        <v/>
      </c>
      <c r="AJ75" s="116">
        <f>IFERROR(INDEX('DRAFT 1'!$AE:$AE,MATCH($B75,'DRAFT 1'!$B:$B,0)),"")</f>
        <v/>
      </c>
      <c r="AK75" s="116">
        <f>IFERROR(INDEX('DRAFT 1'!$AG:$AG,MATCH($B75,'DRAFT 1'!$B:$B,0)),"")</f>
        <v/>
      </c>
      <c r="AL75" s="116">
        <f>IFERROR(INDEX('DRAFT 1'!$AH:$AH,MATCH($B75,'DRAFT 1'!$B:$B,0)),"")</f>
        <v/>
      </c>
      <c r="AM75" s="116">
        <f>IFERROR(INDEX('DRAFT 1'!$AI:$AI,MATCH($B75,'DRAFT 1'!$B:$B,0)),"")</f>
        <v/>
      </c>
      <c r="AN75" s="116">
        <f>IFERROR(INDEX('DRAFT 1'!$AJ:$AJ,MATCH($B75,'DRAFT 1'!$B:$B,0)),"")</f>
        <v/>
      </c>
      <c r="AO75" s="116">
        <f>IFERROR(Y75/AN75,0)</f>
        <v/>
      </c>
      <c r="AP75" s="116">
        <f>IFERROR(INDEX('DRAFT 1'!$AK:$AK,MATCH($B75,'DRAFT 1'!$B:$B,0)),"")</f>
        <v/>
      </c>
      <c r="AR75" s="116" t="inlineStr">
        <is>
          <t>NUTRIÇÃO</t>
        </is>
      </c>
      <c r="AS75" s="116">
        <f>IFERROR(LOOKUP(2,1/('DRAFT 2'!$D:$D=$B75),'DRAFT 2'!$T:$T),"")</f>
        <v/>
      </c>
      <c r="AT75" s="116">
        <f>IFERROR(LOOKUP(2,1/('DRAFT 2'!$D:$D=$B75),'DRAFT 2'!$A:$A),"")</f>
        <v/>
      </c>
      <c r="AU75" s="116">
        <f>IFERROR(LOOKUP(2,1/('DRAFT 2'!$D:$D=$B75),'DRAFT 2'!$R:$R),"")</f>
        <v/>
      </c>
      <c r="AV75" s="116">
        <f>IFERROR(LOOKUP(2,1/('DRAFT 2'!$D:$D=$B75),'DRAFT 2'!$S:$S),"")</f>
        <v/>
      </c>
      <c r="AW75" s="116" t="inlineStr">
        <is>
          <t>NOVO</t>
        </is>
      </c>
      <c r="AX75" s="116">
        <f>IFERROR(LOOKUP(2,1/('DRAFT 2'!$D:$D=$B75),'DRAFT 2'!$M:$M),"")</f>
        <v/>
      </c>
      <c r="AY75" s="116">
        <f>IFERROR(LOOKUP(2,1/('DRAFT 2'!$D:$D=$B75),'DRAFT 2'!$K:$K),"")</f>
        <v/>
      </c>
      <c r="BG75" s="116">
        <f>IFERROR(LOOKUP(2,1/('DRAFT 2'!$D:$D=$B75),'DRAFT 2'!$U:$U),"")</f>
        <v/>
      </c>
      <c r="BH75" s="116">
        <f>IFERROR(LOOKUP(2,1/('DRAFT 2'!$D:$D=$B75),'DRAFT 2'!$V:$V),"")</f>
        <v/>
      </c>
      <c r="CE75" s="116">
        <f>IFERROR(AJ75,0)</f>
        <v/>
      </c>
      <c r="CF75" s="116">
        <f>IFERROR(LOOKUP(2,1/('DRAFT 2'!$D:$D=$B75)*('DRAFT 2'!$A:$A&gt;=DATE(2026,1,1))*('DRAFT 2'!$A:$A&lt;DATE(2026,IF(1=12,1+1,1+1),1)),'DRAFT 2'!$A:$A),"")</f>
        <v/>
      </c>
      <c r="CG75" s="116">
        <f>COUNTIFS('DRAFT 2'!$D:$D,$B75,'DRAFT 2'!$A:$A,"&gt;="&amp;DATE(2026,1,1),'DRAFT 2'!$A:$A,"&lt;="&amp;DATE(2026,1,7))</f>
        <v/>
      </c>
      <c r="CH75" s="116">
        <f>COUNTIFS('DRAFT 2'!$D:$D,$B75,'DRAFT 2'!$A:$A,"&gt;="&amp;DATE(2026,1,8),'DRAFT 2'!$A:$A,"&lt;="&amp;DATE(2026,1,14))</f>
        <v/>
      </c>
      <c r="CI75" s="116">
        <f>COUNTIFS('DRAFT 2'!$D:$D,$B75,'DRAFT 2'!$A:$A,"&gt;="&amp;DATE(2026,1,15),'DRAFT 2'!$A:$A,"&lt;="&amp;DATE(2026,1,21))</f>
        <v/>
      </c>
      <c r="CJ75" s="116">
        <f>COUNTIFS('DRAFT 2'!$D:$D,$B75,'DRAFT 2'!$A:$A,"&gt;="&amp;DATE(2026,1,22),'DRAFT 2'!$A:$A,"&lt;"&amp;DATE(2026,IF(1=12,1+1,1+1),1))</f>
        <v/>
      </c>
      <c r="CK75" s="116">
        <f>SUM(CG75:CJ75)</f>
        <v/>
      </c>
      <c r="CT75" s="116" t="n">
        <v>0</v>
      </c>
      <c r="CU75" s="116">
        <f>IFERROR(LOOKUP(2,1/('DRAFT 2'!$D:$D=$B75)*('DRAFT 2'!$A:$A&gt;=DATE(2026,2,1))*('DRAFT 2'!$A:$A&lt;DATE(2026,IF(2=12,2+1,2+1),1)),'DRAFT 2'!$A:$A),"")</f>
        <v/>
      </c>
      <c r="CV75" s="116">
        <f>COUNTIFS('DRAFT 2'!$D:$D,$B75,'DRAFT 2'!$A:$A,"&gt;="&amp;DATE(2026,2,1),'DRAFT 2'!$A:$A,"&lt;="&amp;DATE(2026,2,7))</f>
        <v/>
      </c>
      <c r="CW75" s="116">
        <f>COUNTIFS('DRAFT 2'!$D:$D,$B75,'DRAFT 2'!$A:$A,"&gt;="&amp;DATE(2026,2,8),'DRAFT 2'!$A:$A,"&lt;="&amp;DATE(2026,2,14))</f>
        <v/>
      </c>
      <c r="CX75" s="116">
        <f>COUNTIFS('DRAFT 2'!$D:$D,$B75,'DRAFT 2'!$A:$A,"&gt;="&amp;DATE(2026,2,15),'DRAFT 2'!$A:$A,"&lt;="&amp;DATE(2026,2,21))</f>
        <v/>
      </c>
      <c r="CY75" s="116">
        <f>COUNTIFS('DRAFT 2'!$D:$D,$B75,'DRAFT 2'!$A:$A,"&gt;="&amp;DATE(2026,2,22),'DRAFT 2'!$A:$A,"&lt;"&amp;DATE(2026,IF(2=12,2+1,2+1),1))</f>
        <v/>
      </c>
      <c r="CZ75" s="116">
        <f>SUM(CV75:CY75)</f>
        <v/>
      </c>
      <c r="DJ75" s="116">
        <f>IFERROR(LOOKUP(2,1/('DRAFT 2'!$D:$D=$B75)*('DRAFT 2'!$A:$A&gt;=DATE(2026,3,1))*('DRAFT 2'!$A:$A&lt;DATE(2026,IF(3=12,3+1,3+1),1)),'DRAFT 2'!$A:$A),"")</f>
        <v/>
      </c>
      <c r="DK75" s="116">
        <f>COUNTIFS('DRAFT 2'!$D:$D,$B75,'DRAFT 2'!$A:$A,"&gt;="&amp;DATE(2026,3,1),'DRAFT 2'!$A:$A,"&lt;="&amp;DATE(2026,3,7))</f>
        <v/>
      </c>
      <c r="DL75" s="116">
        <f>COUNTIFS('DRAFT 2'!$D:$D,$B75,'DRAFT 2'!$A:$A,"&gt;="&amp;DATE(2026,3,8),'DRAFT 2'!$A:$A,"&lt;="&amp;DATE(2026,3,14))</f>
        <v/>
      </c>
      <c r="DM75" s="116">
        <f>COUNTIFS('DRAFT 2'!$D:$D,$B75,'DRAFT 2'!$A:$A,"&gt;="&amp;DATE(2026,3,15),'DRAFT 2'!$A:$A,"&lt;="&amp;DATE(2026,3,21))</f>
        <v/>
      </c>
      <c r="DN75" s="116">
        <f>COUNTIFS('DRAFT 2'!$D:$D,$B75,'DRAFT 2'!$A:$A,"&gt;="&amp;DATE(2026,3,22),'DRAFT 2'!$A:$A,"&lt;"&amp;DATE(2026,IF(3=12,3+1,3+1),1))</f>
        <v/>
      </c>
      <c r="DO75" s="116">
        <f>SUM(DK75:DN75)</f>
        <v/>
      </c>
      <c r="DZ75" s="116">
        <f>IFERROR(LOOKUP(2,1/('DRAFT 2'!$D:$D=$B75)*('DRAFT 2'!$A:$A&gt;=DATE(2026,4,1))*('DRAFT 2'!$A:$A&lt;DATE(2026,IF(4=12,4+1,4+1),1)),'DRAFT 2'!$A:$A),"")</f>
        <v/>
      </c>
      <c r="EA75" s="116">
        <f>COUNTIFS('DRAFT 2'!$D:$D,$B75,'DRAFT 2'!$A:$A,"&gt;="&amp;DATE(2026,4,1),'DRAFT 2'!$A:$A,"&lt;="&amp;DATE(2026,4,7))</f>
        <v/>
      </c>
      <c r="EB75" s="116">
        <f>COUNTIFS('DRAFT 2'!$D:$D,$B75,'DRAFT 2'!$A:$A,"&gt;="&amp;DATE(2026,4,8),'DRAFT 2'!$A:$A,"&lt;="&amp;DATE(2026,4,14))</f>
        <v/>
      </c>
      <c r="EC75" s="116">
        <f>COUNTIFS('DRAFT 2'!$D:$D,$B75,'DRAFT 2'!$A:$A,"&gt;="&amp;DATE(2026,4,15),'DRAFT 2'!$A:$A,"&lt;="&amp;DATE(2026,4,21))</f>
        <v/>
      </c>
      <c r="ED75" s="116">
        <f>COUNTIFS('DRAFT 2'!$D:$D,$B75,'DRAFT 2'!$A:$A,"&gt;="&amp;DATE(2026,4,22),'DRAFT 2'!$A:$A,"&lt;"&amp;DATE(2026,IF(4=12,4+1,4+1),1))</f>
        <v/>
      </c>
      <c r="EE75" s="116">
        <f>SUM(EA75:ED75)</f>
        <v/>
      </c>
      <c r="EO75" s="116">
        <f>IFERROR(LOOKUP(2,1/('DRAFT 2'!$D:$D=$B75)*('DRAFT 2'!$A:$A&gt;=DATE(2026,5,1))*('DRAFT 2'!$A:$A&lt;DATE(2026,IF(5=12,5+1,5+1),1)),'DRAFT 2'!$A:$A),"")</f>
        <v/>
      </c>
      <c r="EP75" s="116">
        <f>COUNTIFS('DRAFT 2'!$D:$D,$B75,'DRAFT 2'!$A:$A,"&gt;="&amp;DATE(2026,5,1),'DRAFT 2'!$A:$A,"&lt;="&amp;DATE(2026,5,7))</f>
        <v/>
      </c>
      <c r="EQ75" s="116">
        <f>COUNTIFS('DRAFT 2'!$D:$D,$B75,'DRAFT 2'!$A:$A,"&gt;="&amp;DATE(2026,5,8),'DRAFT 2'!$A:$A,"&lt;="&amp;DATE(2026,5,14))</f>
        <v/>
      </c>
      <c r="ER75" s="116">
        <f>COUNTIFS('DRAFT 2'!$D:$D,$B75,'DRAFT 2'!$A:$A,"&gt;="&amp;DATE(2026,5,15),'DRAFT 2'!$A:$A,"&lt;="&amp;DATE(2026,5,21))</f>
        <v/>
      </c>
      <c r="ES75" s="116">
        <f>COUNTIFS('DRAFT 2'!$D:$D,$B75,'DRAFT 2'!$A:$A,"&gt;="&amp;DATE(2026,5,22),'DRAFT 2'!$A:$A,"&lt;"&amp;DATE(2026,IF(5=12,5+1,5+1),1))</f>
        <v/>
      </c>
      <c r="ET75" s="116">
        <f>SUM(EP75:ES75)</f>
        <v/>
      </c>
      <c r="FD75" s="116">
        <f>IFERROR(LOOKUP(2,1/('DRAFT 2'!$D:$D=$B75)*('DRAFT 2'!$A:$A&gt;=DATE(2026,6,1))*('DRAFT 2'!$A:$A&lt;DATE(2026,IF(6=12,6+1,6+1),1)),'DRAFT 2'!$A:$A),"")</f>
        <v/>
      </c>
      <c r="FE75" s="116">
        <f>COUNTIFS('DRAFT 2'!$D:$D,$B75,'DRAFT 2'!$A:$A,"&gt;="&amp;DATE(2026,6,1),'DRAFT 2'!$A:$A,"&lt;="&amp;DATE(2026,6,7))</f>
        <v/>
      </c>
      <c r="FF75" s="116">
        <f>COUNTIFS('DRAFT 2'!$D:$D,$B75,'DRAFT 2'!$A:$A,"&gt;="&amp;DATE(2026,6,8),'DRAFT 2'!$A:$A,"&lt;="&amp;DATE(2026,6,14))</f>
        <v/>
      </c>
      <c r="FG75" s="116">
        <f>COUNTIFS('DRAFT 2'!$D:$D,$B75,'DRAFT 2'!$A:$A,"&gt;="&amp;DATE(2026,6,15),'DRAFT 2'!$A:$A,"&lt;="&amp;DATE(2026,6,21))</f>
        <v/>
      </c>
      <c r="FH75" s="116">
        <f>COUNTIFS('DRAFT 2'!$D:$D,$B75,'DRAFT 2'!$A:$A,"&gt;="&amp;DATE(2026,6,22),'DRAFT 2'!$A:$A,"&lt;"&amp;DATE(2026,IF(6=12,6+1,6+1),1))</f>
        <v/>
      </c>
      <c r="FI75" s="116">
        <f>SUM(FE75:FH75)</f>
        <v/>
      </c>
      <c r="FT75" s="116">
        <f>IFERROR(LOOKUP(2,1/('DRAFT 2'!$D:$D=$B75)*('DRAFT 2'!$A:$A&gt;=DATE(2026,7,1))*('DRAFT 2'!$A:$A&lt;DATE(2026,IF(7=12,7+1,7+1),1)),'DRAFT 2'!$A:$A),"")</f>
        <v/>
      </c>
      <c r="FU75" s="116">
        <f>COUNTIFS('DRAFT 2'!$D:$D,$B75,'DRAFT 2'!$A:$A,"&gt;="&amp;DATE(2026,7,1),'DRAFT 2'!$A:$A,"&lt;="&amp;DATE(2026,7,7))</f>
        <v/>
      </c>
      <c r="FV75" s="116">
        <f>COUNTIFS('DRAFT 2'!$D:$D,$B75,'DRAFT 2'!$A:$A,"&gt;="&amp;DATE(2026,7,8),'DRAFT 2'!$A:$A,"&lt;="&amp;DATE(2026,7,14))</f>
        <v/>
      </c>
      <c r="FW75" s="116">
        <f>COUNTIFS('DRAFT 2'!$D:$D,$B75,'DRAFT 2'!$A:$A,"&gt;="&amp;DATE(2026,7,15),'DRAFT 2'!$A:$A,"&lt;="&amp;DATE(2026,7,21))</f>
        <v/>
      </c>
      <c r="FX75" s="116">
        <f>COUNTIFS('DRAFT 2'!$D:$D,$B75,'DRAFT 2'!$A:$A,"&gt;="&amp;DATE(2026,7,22),'DRAFT 2'!$A:$A,"&lt;"&amp;DATE(2026,IF(7=12,7+1,7+1),1))</f>
        <v/>
      </c>
      <c r="FY75" s="116">
        <f>SUM(FU75:FX75)</f>
        <v/>
      </c>
      <c r="GI75" s="116">
        <f>IFERROR(LOOKUP(2,1/('DRAFT 2'!$D:$D=$B75)*('DRAFT 2'!$A:$A&gt;=DATE(2026,8,1))*('DRAFT 2'!$A:$A&lt;DATE(2026,IF(8=12,8+1,8+1),1)),'DRAFT 2'!$A:$A),"")</f>
        <v/>
      </c>
      <c r="GJ75" s="116">
        <f>COUNTIFS('DRAFT 2'!$D:$D,$B75,'DRAFT 2'!$A:$A,"&gt;="&amp;DATE(2026,8,1),'DRAFT 2'!$A:$A,"&lt;="&amp;DATE(2026,8,7))</f>
        <v/>
      </c>
      <c r="GK75" s="116">
        <f>COUNTIFS('DRAFT 2'!$D:$D,$B75,'DRAFT 2'!$A:$A,"&gt;="&amp;DATE(2026,8,8),'DRAFT 2'!$A:$A,"&lt;="&amp;DATE(2026,8,14))</f>
        <v/>
      </c>
      <c r="GL75" s="116">
        <f>COUNTIFS('DRAFT 2'!$D:$D,$B75,'DRAFT 2'!$A:$A,"&gt;="&amp;DATE(2026,8,15),'DRAFT 2'!$A:$A,"&lt;="&amp;DATE(2026,8,21))</f>
        <v/>
      </c>
      <c r="GM75" s="116">
        <f>COUNTIFS('DRAFT 2'!$D:$D,$B75,'DRAFT 2'!$A:$A,"&gt;="&amp;DATE(2026,8,22),'DRAFT 2'!$A:$A,"&lt;"&amp;DATE(2026,IF(8=12,8+1,8+1),1))</f>
        <v/>
      </c>
      <c r="GN75" s="116">
        <f>SUM(GJ75:GM75)</f>
        <v/>
      </c>
      <c r="GX75" s="116">
        <f>IFERROR(LOOKUP(2,1/('DRAFT 2'!$D:$D=$B75)*('DRAFT 2'!$A:$A&gt;=DATE(2026,9,1))*('DRAFT 2'!$A:$A&lt;DATE(2026,IF(9=12,9+1,9+1),1)),'DRAFT 2'!$A:$A),"")</f>
        <v/>
      </c>
      <c r="GY75" s="116">
        <f>COUNTIFS('DRAFT 2'!$D:$D,$B75,'DRAFT 2'!$A:$A,"&gt;="&amp;DATE(2026,9,1),'DRAFT 2'!$A:$A,"&lt;="&amp;DATE(2026,9,7))</f>
        <v/>
      </c>
      <c r="GZ75" s="116">
        <f>COUNTIFS('DRAFT 2'!$D:$D,$B75,'DRAFT 2'!$A:$A,"&gt;="&amp;DATE(2026,9,8),'DRAFT 2'!$A:$A,"&lt;="&amp;DATE(2026,9,14))</f>
        <v/>
      </c>
      <c r="HA75" s="116">
        <f>COUNTIFS('DRAFT 2'!$D:$D,$B75,'DRAFT 2'!$A:$A,"&gt;="&amp;DATE(2026,9,15),'DRAFT 2'!$A:$A,"&lt;="&amp;DATE(2026,9,21))</f>
        <v/>
      </c>
      <c r="HB75" s="116">
        <f>COUNTIFS('DRAFT 2'!$D:$D,$B75,'DRAFT 2'!$A:$A,"&gt;="&amp;DATE(2026,9,22),'DRAFT 2'!$A:$A,"&lt;"&amp;DATE(2026,IF(9=12,9+1,9+1),1))</f>
        <v/>
      </c>
      <c r="HC75" s="116">
        <f>SUM(GY75:HB75)</f>
        <v/>
      </c>
      <c r="HN75" s="116">
        <f>IFERROR(LOOKUP(2,1/('DRAFT 2'!$D:$D=$B75)*('DRAFT 2'!$A:$A&gt;=DATE(2026,10,1))*('DRAFT 2'!$A:$A&lt;DATE(2026,IF(10=12,10+1,10+1),1)),'DRAFT 2'!$A:$A),"")</f>
        <v/>
      </c>
      <c r="HO75" s="116">
        <f>COUNTIFS('DRAFT 2'!$D:$D,$B75,'DRAFT 2'!$A:$A,"&gt;="&amp;DATE(2026,10,1),'DRAFT 2'!$A:$A,"&lt;="&amp;DATE(2026,10,7))</f>
        <v/>
      </c>
      <c r="HP75" s="116">
        <f>COUNTIFS('DRAFT 2'!$D:$D,$B75,'DRAFT 2'!$A:$A,"&gt;="&amp;DATE(2026,10,8),'DRAFT 2'!$A:$A,"&lt;="&amp;DATE(2026,10,14))</f>
        <v/>
      </c>
      <c r="HQ75" s="116">
        <f>COUNTIFS('DRAFT 2'!$D:$D,$B75,'DRAFT 2'!$A:$A,"&gt;="&amp;DATE(2026,10,15),'DRAFT 2'!$A:$A,"&lt;="&amp;DATE(2026,10,21))</f>
        <v/>
      </c>
      <c r="HR75" s="116">
        <f>COUNTIFS('DRAFT 2'!$D:$D,$B75,'DRAFT 2'!$A:$A,"&gt;="&amp;DATE(2026,10,22),'DRAFT 2'!$A:$A,"&lt;"&amp;DATE(2026,IF(10=12,10+1,10+1),1))</f>
        <v/>
      </c>
      <c r="HS75" s="116">
        <f>SUM(HO75:HR75)</f>
        <v/>
      </c>
      <c r="IC75" s="116">
        <f>IFERROR(LOOKUP(2,1/('DRAFT 2'!$D:$D=$B75)*('DRAFT 2'!$A:$A&gt;=DATE(2026,11,1))*('DRAFT 2'!$A:$A&lt;DATE(2026,IF(11=12,11+1,11+1),1)),'DRAFT 2'!$A:$A),"")</f>
        <v/>
      </c>
      <c r="ID75" s="116">
        <f>COUNTIFS('DRAFT 2'!$D:$D,$B75,'DRAFT 2'!$A:$A,"&gt;="&amp;DATE(2026,11,1),'DRAFT 2'!$A:$A,"&lt;="&amp;DATE(2026,11,7))</f>
        <v/>
      </c>
      <c r="IE75" s="116">
        <f>COUNTIFS('DRAFT 2'!$D:$D,$B75,'DRAFT 2'!$A:$A,"&gt;="&amp;DATE(2026,11,8),'DRAFT 2'!$A:$A,"&lt;="&amp;DATE(2026,11,14))</f>
        <v/>
      </c>
      <c r="IF75" s="116">
        <f>COUNTIFS('DRAFT 2'!$D:$D,$B75,'DRAFT 2'!$A:$A,"&gt;="&amp;DATE(2026,11,15),'DRAFT 2'!$A:$A,"&lt;="&amp;DATE(2026,11,21))</f>
        <v/>
      </c>
      <c r="IG75" s="116">
        <f>COUNTIFS('DRAFT 2'!$D:$D,$B75,'DRAFT 2'!$A:$A,"&gt;="&amp;DATE(2026,11,22),'DRAFT 2'!$A:$A,"&lt;"&amp;DATE(2026,IF(11=12,11+1,11+1),1))</f>
        <v/>
      </c>
      <c r="IH75" s="116">
        <f>SUM(ID75:IG75)</f>
        <v/>
      </c>
      <c r="IR75" s="116">
        <f>IFERROR(LOOKUP(2,1/('DRAFT 2'!$D:$D=$B75)*('DRAFT 2'!$A:$A&gt;=DATE(2026,12,1))*('DRAFT 2'!$A:$A&lt;DATE(2026,IF(12=12,12+1,12+1),1)),'DRAFT 2'!$A:$A),"")</f>
        <v/>
      </c>
      <c r="IS75" s="116">
        <f>COUNTIFS('DRAFT 2'!$D:$D,$B75,'DRAFT 2'!$A:$A,"&gt;="&amp;DATE(2026,12,1),'DRAFT 2'!$A:$A,"&lt;="&amp;DATE(2026,12,7))</f>
        <v/>
      </c>
      <c r="IT75" s="116">
        <f>COUNTIFS('DRAFT 2'!$D:$D,$B75,'DRAFT 2'!$A:$A,"&gt;="&amp;DATE(2026,12,8),'DRAFT 2'!$A:$A,"&lt;="&amp;DATE(2026,12,14))</f>
        <v/>
      </c>
      <c r="IU75" s="116">
        <f>COUNTIFS('DRAFT 2'!$D:$D,$B75,'DRAFT 2'!$A:$A,"&gt;="&amp;DATE(2026,12,15),'DRAFT 2'!$A:$A,"&lt;="&amp;DATE(2026,12,21))</f>
        <v/>
      </c>
      <c r="IV75" s="116">
        <f>COUNTIFS('DRAFT 2'!$D:$D,$B75,'DRAFT 2'!$A:$A,"&gt;="&amp;DATE(2026,12,22),'DRAFT 2'!$A:$A,"&lt;"&amp;DATE(2026,IF(12=12,12+1,12+1),1))</f>
        <v/>
      </c>
      <c r="IW75" s="116">
        <f>SUM(IS75:IV75)</f>
        <v/>
      </c>
    </row>
    <row r="76">
      <c r="A76" s="116">
        <f>IFERROR(INDEX('DRAFT 1'!$A:$A,MATCH($B76,'DRAFT 1'!$B:$B,0)),"")</f>
        <v/>
      </c>
      <c r="C76" s="116">
        <f>IFERROR(INDEX('DRAFT 1'!$C:$C,MATCH($B76,'DRAFT 1'!$B:$B,0)),"")</f>
        <v/>
      </c>
      <c r="D76" s="116">
        <f>IFERROR(INDEX('DRAFT 1'!$D:$D,MATCH($B76,'DRAFT 1'!$B:$B,0)),"")</f>
        <v/>
      </c>
      <c r="E76" s="116">
        <f>IFERROR(INDEX('DRAFT 1'!$E:$E,MATCH($B76,'DRAFT 1'!$B:$B,0)),"")</f>
        <v/>
      </c>
      <c r="F76" s="116">
        <f>IFERROR(INDEX('DRAFT 1'!$F:$F,MATCH($B76,'DRAFT 1'!$B:$B,0)),"")</f>
        <v/>
      </c>
      <c r="G76" s="116">
        <f>IFERROR(INDEX('DRAFT 1'!$G:$G,MATCH($B76,'DRAFT 1'!$B:$B,0)),"")</f>
        <v/>
      </c>
      <c r="H76" s="116">
        <f>IFERROR(INDEX('DRAFT 1'!$H:$H,MATCH($B76,'DRAFT 1'!$B:$B,0)),"")</f>
        <v/>
      </c>
      <c r="I76" s="116" t="inlineStr">
        <is>
          <t>DEMAIS CLIENTES</t>
        </is>
      </c>
      <c r="K76" s="116">
        <f>IFERROR(INDEX('DRAFT 1'!$AL:$AL,MATCH($B76,'DRAFT 1'!$B:$B,0)),"")</f>
        <v/>
      </c>
      <c r="L76" s="116">
        <f>IFERROR(INDEX('DRAFT 1'!$J:$J,MATCH($B76,'DRAFT 1'!$B:$B,0)),"")</f>
        <v/>
      </c>
      <c r="M76" s="116">
        <f>IFERROR(INDEX('DRAFT 1'!$K:$K,MATCH($B76,'DRAFT 1'!$B:$B,0)),"")</f>
        <v/>
      </c>
      <c r="N76" s="116" t="inlineStr">
        <is>
          <t>INAT.ANT</t>
        </is>
      </c>
      <c r="P76" s="116">
        <f>IFERROR(INDEX('DRAFT 1'!$L:$L,MATCH($B76,'DRAFT 1'!$B:$B,0)),"")</f>
        <v/>
      </c>
      <c r="Q76" s="116">
        <f>IFERROR(INDEX('DRAFT 1'!$M:$M,MATCH($B76,'DRAFT 1'!$B:$B,0)),"")</f>
        <v/>
      </c>
      <c r="R76" s="116">
        <f>IFERROR(INDEX('DRAFT 1'!$N:$N,MATCH($B76,'DRAFT 1'!$B:$B,0)),"")</f>
        <v/>
      </c>
      <c r="S76" s="116">
        <f>IFERROR(INDEX('DRAFT 1'!$O:$O,MATCH($B76,'DRAFT 1'!$B:$B,0)),"")</f>
        <v/>
      </c>
      <c r="T76" s="116">
        <f>IFERROR(INDEX('DRAFT 1'!$P:$P,MATCH($B76,'DRAFT 1'!$B:$B,0)),"")</f>
        <v/>
      </c>
      <c r="U76" s="116">
        <f>IFERROR(INDEX('DRAFT 1'!$Q:$Q,MATCH($B76,'DRAFT 1'!$B:$B,0)),"")</f>
        <v/>
      </c>
      <c r="V76" s="116">
        <f>IFERROR(INDEX('DRAFT 1'!$R:$R,MATCH($B76,'DRAFT 1'!$B:$B,0)),"")</f>
        <v/>
      </c>
      <c r="W76" s="116">
        <f>IFERROR(INDEX('DRAFT 1'!$S:$S,MATCH($B76,'DRAFT 1'!$B:$B,0)),"")</f>
        <v/>
      </c>
      <c r="X76" s="116">
        <f>IFERROR(INDEX('DRAFT 1'!$T:$T,MATCH($B76,'DRAFT 1'!$B:$B,0)),"")</f>
        <v/>
      </c>
      <c r="Z76" s="116">
        <f>IFERROR(INDEX('DRAFT 1'!$U:$U,MATCH($B76,'DRAFT 1'!$B:$B,0)),"")</f>
        <v/>
      </c>
      <c r="AA76" s="116">
        <f>IFERROR(INDEX('DRAFT 1'!$V:$V,MATCH($B76,'DRAFT 1'!$B:$B,0)),"")</f>
        <v/>
      </c>
      <c r="AB76" s="116">
        <f>IFERROR(INDEX('DRAFT 1'!$W:$W,MATCH($B76,'DRAFT 1'!$B:$B,0)),"")</f>
        <v/>
      </c>
      <c r="AC76" s="116">
        <f>IFERROR(INDEX('DRAFT 1'!$X:$X,MATCH($B76,'DRAFT 1'!$B:$B,0)),"")</f>
        <v/>
      </c>
      <c r="AD76" s="116">
        <f>IFERROR(INDEX('DRAFT 1'!$Y:$Y,MATCH($B76,'DRAFT 1'!$B:$B,0)),"")</f>
        <v/>
      </c>
      <c r="AE76" s="116">
        <f>IFERROR(INDEX('DRAFT 1'!$Z:$Z,MATCH($B76,'DRAFT 1'!$B:$B,0)),"")</f>
        <v/>
      </c>
      <c r="AF76" s="116">
        <f>IFERROR(INDEX('DRAFT 1'!$AA:$AA,MATCH($B76,'DRAFT 1'!$B:$B,0)),"")</f>
        <v/>
      </c>
      <c r="AG76" s="116">
        <f>IFERROR(INDEX('DRAFT 1'!$AB:$AB,MATCH($B76,'DRAFT 1'!$B:$B,0)),"")</f>
        <v/>
      </c>
      <c r="AH76" s="116">
        <f>IFERROR(INDEX('DRAFT 1'!$AC:$AC,MATCH($B76,'DRAFT 1'!$B:$B,0)),"")</f>
        <v/>
      </c>
      <c r="AI76" s="116">
        <f>IFERROR(INDEX('DRAFT 1'!$AD:$AD,MATCH($B76,'DRAFT 1'!$B:$B,0)),"")</f>
        <v/>
      </c>
      <c r="AJ76" s="116">
        <f>IFERROR(INDEX('DRAFT 1'!$AE:$AE,MATCH($B76,'DRAFT 1'!$B:$B,0)),"")</f>
        <v/>
      </c>
      <c r="AK76" s="116">
        <f>IFERROR(INDEX('DRAFT 1'!$AG:$AG,MATCH($B76,'DRAFT 1'!$B:$B,0)),"")</f>
        <v/>
      </c>
      <c r="AL76" s="116">
        <f>IFERROR(INDEX('DRAFT 1'!$AH:$AH,MATCH($B76,'DRAFT 1'!$B:$B,0)),"")</f>
        <v/>
      </c>
      <c r="AM76" s="116">
        <f>IFERROR(INDEX('DRAFT 1'!$AI:$AI,MATCH($B76,'DRAFT 1'!$B:$B,0)),"")</f>
        <v/>
      </c>
      <c r="AN76" s="116">
        <f>IFERROR(INDEX('DRAFT 1'!$AJ:$AJ,MATCH($B76,'DRAFT 1'!$B:$B,0)),"")</f>
        <v/>
      </c>
      <c r="AO76" s="116">
        <f>IFERROR(Y76/AN76,0)</f>
        <v/>
      </c>
      <c r="AP76" s="116">
        <f>IFERROR(INDEX('DRAFT 1'!$AK:$AK,MATCH($B76,'DRAFT 1'!$B:$B,0)),"")</f>
        <v/>
      </c>
      <c r="AR76" s="116" t="inlineStr">
        <is>
          <t>CS</t>
        </is>
      </c>
      <c r="AS76" s="116">
        <f>IFERROR(LOOKUP(2,1/('DRAFT 2'!$D:$D=$B76),'DRAFT 2'!$T:$T),"")</f>
        <v/>
      </c>
      <c r="AT76" s="116">
        <f>IFERROR(LOOKUP(2,1/('DRAFT 2'!$D:$D=$B76),'DRAFT 2'!$A:$A),"")</f>
        <v/>
      </c>
      <c r="AU76" s="116">
        <f>IFERROR(LOOKUP(2,1/('DRAFT 2'!$D:$D=$B76),'DRAFT 2'!$R:$R),"")</f>
        <v/>
      </c>
      <c r="AV76" s="116">
        <f>IFERROR(LOOKUP(2,1/('DRAFT 2'!$D:$D=$B76),'DRAFT 2'!$S:$S),"")</f>
        <v/>
      </c>
      <c r="AW76" s="116" t="inlineStr">
        <is>
          <t>PROSPECT</t>
        </is>
      </c>
      <c r="AX76" s="116">
        <f>IFERROR(LOOKUP(2,1/('DRAFT 2'!$D:$D=$B76),'DRAFT 2'!$M:$M),"")</f>
        <v/>
      </c>
      <c r="AY76" s="116">
        <f>IFERROR(LOOKUP(2,1/('DRAFT 2'!$D:$D=$B76),'DRAFT 2'!$K:$K),"")</f>
        <v/>
      </c>
      <c r="BG76" s="116">
        <f>IFERROR(LOOKUP(2,1/('DRAFT 2'!$D:$D=$B76),'DRAFT 2'!$U:$U),"")</f>
        <v/>
      </c>
      <c r="BH76" s="116">
        <f>IFERROR(LOOKUP(2,1/('DRAFT 2'!$D:$D=$B76),'DRAFT 2'!$V:$V),"")</f>
        <v/>
      </c>
      <c r="CE76" s="116">
        <f>IFERROR(AJ76,0)</f>
        <v/>
      </c>
      <c r="CF76" s="116">
        <f>IFERROR(LOOKUP(2,1/('DRAFT 2'!$D:$D=$B76)*('DRAFT 2'!$A:$A&gt;=DATE(2026,1,1))*('DRAFT 2'!$A:$A&lt;DATE(2026,IF(1=12,1+1,1+1),1)),'DRAFT 2'!$A:$A),"")</f>
        <v/>
      </c>
      <c r="CG76" s="116">
        <f>COUNTIFS('DRAFT 2'!$D:$D,$B76,'DRAFT 2'!$A:$A,"&gt;="&amp;DATE(2026,1,1),'DRAFT 2'!$A:$A,"&lt;="&amp;DATE(2026,1,7))</f>
        <v/>
      </c>
      <c r="CH76" s="116">
        <f>COUNTIFS('DRAFT 2'!$D:$D,$B76,'DRAFT 2'!$A:$A,"&gt;="&amp;DATE(2026,1,8),'DRAFT 2'!$A:$A,"&lt;="&amp;DATE(2026,1,14))</f>
        <v/>
      </c>
      <c r="CI76" s="116">
        <f>COUNTIFS('DRAFT 2'!$D:$D,$B76,'DRAFT 2'!$A:$A,"&gt;="&amp;DATE(2026,1,15),'DRAFT 2'!$A:$A,"&lt;="&amp;DATE(2026,1,21))</f>
        <v/>
      </c>
      <c r="CJ76" s="116">
        <f>COUNTIFS('DRAFT 2'!$D:$D,$B76,'DRAFT 2'!$A:$A,"&gt;="&amp;DATE(2026,1,22),'DRAFT 2'!$A:$A,"&lt;"&amp;DATE(2026,IF(1=12,1+1,1+1),1))</f>
        <v/>
      </c>
      <c r="CK76" s="116">
        <f>SUM(CG76:CJ76)</f>
        <v/>
      </c>
      <c r="CT76" s="116" t="n">
        <v>0</v>
      </c>
      <c r="CU76" s="116">
        <f>IFERROR(LOOKUP(2,1/('DRAFT 2'!$D:$D=$B76)*('DRAFT 2'!$A:$A&gt;=DATE(2026,2,1))*('DRAFT 2'!$A:$A&lt;DATE(2026,IF(2=12,2+1,2+1),1)),'DRAFT 2'!$A:$A),"")</f>
        <v/>
      </c>
      <c r="CV76" s="116">
        <f>COUNTIFS('DRAFT 2'!$D:$D,$B76,'DRAFT 2'!$A:$A,"&gt;="&amp;DATE(2026,2,1),'DRAFT 2'!$A:$A,"&lt;="&amp;DATE(2026,2,7))</f>
        <v/>
      </c>
      <c r="CW76" s="116">
        <f>COUNTIFS('DRAFT 2'!$D:$D,$B76,'DRAFT 2'!$A:$A,"&gt;="&amp;DATE(2026,2,8),'DRAFT 2'!$A:$A,"&lt;="&amp;DATE(2026,2,14))</f>
        <v/>
      </c>
      <c r="CX76" s="116">
        <f>COUNTIFS('DRAFT 2'!$D:$D,$B76,'DRAFT 2'!$A:$A,"&gt;="&amp;DATE(2026,2,15),'DRAFT 2'!$A:$A,"&lt;="&amp;DATE(2026,2,21))</f>
        <v/>
      </c>
      <c r="CY76" s="116">
        <f>COUNTIFS('DRAFT 2'!$D:$D,$B76,'DRAFT 2'!$A:$A,"&gt;="&amp;DATE(2026,2,22),'DRAFT 2'!$A:$A,"&lt;"&amp;DATE(2026,IF(2=12,2+1,2+1),1))</f>
        <v/>
      </c>
      <c r="CZ76" s="116">
        <f>SUM(CV76:CY76)</f>
        <v/>
      </c>
      <c r="DJ76" s="116">
        <f>IFERROR(LOOKUP(2,1/('DRAFT 2'!$D:$D=$B76)*('DRAFT 2'!$A:$A&gt;=DATE(2026,3,1))*('DRAFT 2'!$A:$A&lt;DATE(2026,IF(3=12,3+1,3+1),1)),'DRAFT 2'!$A:$A),"")</f>
        <v/>
      </c>
      <c r="DK76" s="116">
        <f>COUNTIFS('DRAFT 2'!$D:$D,$B76,'DRAFT 2'!$A:$A,"&gt;="&amp;DATE(2026,3,1),'DRAFT 2'!$A:$A,"&lt;="&amp;DATE(2026,3,7))</f>
        <v/>
      </c>
      <c r="DL76" s="116">
        <f>COUNTIFS('DRAFT 2'!$D:$D,$B76,'DRAFT 2'!$A:$A,"&gt;="&amp;DATE(2026,3,8),'DRAFT 2'!$A:$A,"&lt;="&amp;DATE(2026,3,14))</f>
        <v/>
      </c>
      <c r="DM76" s="116">
        <f>COUNTIFS('DRAFT 2'!$D:$D,$B76,'DRAFT 2'!$A:$A,"&gt;="&amp;DATE(2026,3,15),'DRAFT 2'!$A:$A,"&lt;="&amp;DATE(2026,3,21))</f>
        <v/>
      </c>
      <c r="DN76" s="116">
        <f>COUNTIFS('DRAFT 2'!$D:$D,$B76,'DRAFT 2'!$A:$A,"&gt;="&amp;DATE(2026,3,22),'DRAFT 2'!$A:$A,"&lt;"&amp;DATE(2026,IF(3=12,3+1,3+1),1))</f>
        <v/>
      </c>
      <c r="DO76" s="116">
        <f>SUM(DK76:DN76)</f>
        <v/>
      </c>
      <c r="DZ76" s="116">
        <f>IFERROR(LOOKUP(2,1/('DRAFT 2'!$D:$D=$B76)*('DRAFT 2'!$A:$A&gt;=DATE(2026,4,1))*('DRAFT 2'!$A:$A&lt;DATE(2026,IF(4=12,4+1,4+1),1)),'DRAFT 2'!$A:$A),"")</f>
        <v/>
      </c>
      <c r="EA76" s="116">
        <f>COUNTIFS('DRAFT 2'!$D:$D,$B76,'DRAFT 2'!$A:$A,"&gt;="&amp;DATE(2026,4,1),'DRAFT 2'!$A:$A,"&lt;="&amp;DATE(2026,4,7))</f>
        <v/>
      </c>
      <c r="EB76" s="116">
        <f>COUNTIFS('DRAFT 2'!$D:$D,$B76,'DRAFT 2'!$A:$A,"&gt;="&amp;DATE(2026,4,8),'DRAFT 2'!$A:$A,"&lt;="&amp;DATE(2026,4,14))</f>
        <v/>
      </c>
      <c r="EC76" s="116">
        <f>COUNTIFS('DRAFT 2'!$D:$D,$B76,'DRAFT 2'!$A:$A,"&gt;="&amp;DATE(2026,4,15),'DRAFT 2'!$A:$A,"&lt;="&amp;DATE(2026,4,21))</f>
        <v/>
      </c>
      <c r="ED76" s="116">
        <f>COUNTIFS('DRAFT 2'!$D:$D,$B76,'DRAFT 2'!$A:$A,"&gt;="&amp;DATE(2026,4,22),'DRAFT 2'!$A:$A,"&lt;"&amp;DATE(2026,IF(4=12,4+1,4+1),1))</f>
        <v/>
      </c>
      <c r="EE76" s="116">
        <f>SUM(EA76:ED76)</f>
        <v/>
      </c>
      <c r="EO76" s="116">
        <f>IFERROR(LOOKUP(2,1/('DRAFT 2'!$D:$D=$B76)*('DRAFT 2'!$A:$A&gt;=DATE(2026,5,1))*('DRAFT 2'!$A:$A&lt;DATE(2026,IF(5=12,5+1,5+1),1)),'DRAFT 2'!$A:$A),"")</f>
        <v/>
      </c>
      <c r="EP76" s="116">
        <f>COUNTIFS('DRAFT 2'!$D:$D,$B76,'DRAFT 2'!$A:$A,"&gt;="&amp;DATE(2026,5,1),'DRAFT 2'!$A:$A,"&lt;="&amp;DATE(2026,5,7))</f>
        <v/>
      </c>
      <c r="EQ76" s="116">
        <f>COUNTIFS('DRAFT 2'!$D:$D,$B76,'DRAFT 2'!$A:$A,"&gt;="&amp;DATE(2026,5,8),'DRAFT 2'!$A:$A,"&lt;="&amp;DATE(2026,5,14))</f>
        <v/>
      </c>
      <c r="ER76" s="116">
        <f>COUNTIFS('DRAFT 2'!$D:$D,$B76,'DRAFT 2'!$A:$A,"&gt;="&amp;DATE(2026,5,15),'DRAFT 2'!$A:$A,"&lt;="&amp;DATE(2026,5,21))</f>
        <v/>
      </c>
      <c r="ES76" s="116">
        <f>COUNTIFS('DRAFT 2'!$D:$D,$B76,'DRAFT 2'!$A:$A,"&gt;="&amp;DATE(2026,5,22),'DRAFT 2'!$A:$A,"&lt;"&amp;DATE(2026,IF(5=12,5+1,5+1),1))</f>
        <v/>
      </c>
      <c r="ET76" s="116">
        <f>SUM(EP76:ES76)</f>
        <v/>
      </c>
      <c r="FD76" s="116">
        <f>IFERROR(LOOKUP(2,1/('DRAFT 2'!$D:$D=$B76)*('DRAFT 2'!$A:$A&gt;=DATE(2026,6,1))*('DRAFT 2'!$A:$A&lt;DATE(2026,IF(6=12,6+1,6+1),1)),'DRAFT 2'!$A:$A),"")</f>
        <v/>
      </c>
      <c r="FE76" s="116">
        <f>COUNTIFS('DRAFT 2'!$D:$D,$B76,'DRAFT 2'!$A:$A,"&gt;="&amp;DATE(2026,6,1),'DRAFT 2'!$A:$A,"&lt;="&amp;DATE(2026,6,7))</f>
        <v/>
      </c>
      <c r="FF76" s="116">
        <f>COUNTIFS('DRAFT 2'!$D:$D,$B76,'DRAFT 2'!$A:$A,"&gt;="&amp;DATE(2026,6,8),'DRAFT 2'!$A:$A,"&lt;="&amp;DATE(2026,6,14))</f>
        <v/>
      </c>
      <c r="FG76" s="116">
        <f>COUNTIFS('DRAFT 2'!$D:$D,$B76,'DRAFT 2'!$A:$A,"&gt;="&amp;DATE(2026,6,15),'DRAFT 2'!$A:$A,"&lt;="&amp;DATE(2026,6,21))</f>
        <v/>
      </c>
      <c r="FH76" s="116">
        <f>COUNTIFS('DRAFT 2'!$D:$D,$B76,'DRAFT 2'!$A:$A,"&gt;="&amp;DATE(2026,6,22),'DRAFT 2'!$A:$A,"&lt;"&amp;DATE(2026,IF(6=12,6+1,6+1),1))</f>
        <v/>
      </c>
      <c r="FI76" s="116">
        <f>SUM(FE76:FH76)</f>
        <v/>
      </c>
      <c r="FT76" s="116">
        <f>IFERROR(LOOKUP(2,1/('DRAFT 2'!$D:$D=$B76)*('DRAFT 2'!$A:$A&gt;=DATE(2026,7,1))*('DRAFT 2'!$A:$A&lt;DATE(2026,IF(7=12,7+1,7+1),1)),'DRAFT 2'!$A:$A),"")</f>
        <v/>
      </c>
      <c r="FU76" s="116">
        <f>COUNTIFS('DRAFT 2'!$D:$D,$B76,'DRAFT 2'!$A:$A,"&gt;="&amp;DATE(2026,7,1),'DRAFT 2'!$A:$A,"&lt;="&amp;DATE(2026,7,7))</f>
        <v/>
      </c>
      <c r="FV76" s="116">
        <f>COUNTIFS('DRAFT 2'!$D:$D,$B76,'DRAFT 2'!$A:$A,"&gt;="&amp;DATE(2026,7,8),'DRAFT 2'!$A:$A,"&lt;="&amp;DATE(2026,7,14))</f>
        <v/>
      </c>
      <c r="FW76" s="116">
        <f>COUNTIFS('DRAFT 2'!$D:$D,$B76,'DRAFT 2'!$A:$A,"&gt;="&amp;DATE(2026,7,15),'DRAFT 2'!$A:$A,"&lt;="&amp;DATE(2026,7,21))</f>
        <v/>
      </c>
      <c r="FX76" s="116">
        <f>COUNTIFS('DRAFT 2'!$D:$D,$B76,'DRAFT 2'!$A:$A,"&gt;="&amp;DATE(2026,7,22),'DRAFT 2'!$A:$A,"&lt;"&amp;DATE(2026,IF(7=12,7+1,7+1),1))</f>
        <v/>
      </c>
      <c r="FY76" s="116">
        <f>SUM(FU76:FX76)</f>
        <v/>
      </c>
      <c r="GI76" s="116">
        <f>IFERROR(LOOKUP(2,1/('DRAFT 2'!$D:$D=$B76)*('DRAFT 2'!$A:$A&gt;=DATE(2026,8,1))*('DRAFT 2'!$A:$A&lt;DATE(2026,IF(8=12,8+1,8+1),1)),'DRAFT 2'!$A:$A),"")</f>
        <v/>
      </c>
      <c r="GJ76" s="116">
        <f>COUNTIFS('DRAFT 2'!$D:$D,$B76,'DRAFT 2'!$A:$A,"&gt;="&amp;DATE(2026,8,1),'DRAFT 2'!$A:$A,"&lt;="&amp;DATE(2026,8,7))</f>
        <v/>
      </c>
      <c r="GK76" s="116">
        <f>COUNTIFS('DRAFT 2'!$D:$D,$B76,'DRAFT 2'!$A:$A,"&gt;="&amp;DATE(2026,8,8),'DRAFT 2'!$A:$A,"&lt;="&amp;DATE(2026,8,14))</f>
        <v/>
      </c>
      <c r="GL76" s="116">
        <f>COUNTIFS('DRAFT 2'!$D:$D,$B76,'DRAFT 2'!$A:$A,"&gt;="&amp;DATE(2026,8,15),'DRAFT 2'!$A:$A,"&lt;="&amp;DATE(2026,8,21))</f>
        <v/>
      </c>
      <c r="GM76" s="116">
        <f>COUNTIFS('DRAFT 2'!$D:$D,$B76,'DRAFT 2'!$A:$A,"&gt;="&amp;DATE(2026,8,22),'DRAFT 2'!$A:$A,"&lt;"&amp;DATE(2026,IF(8=12,8+1,8+1),1))</f>
        <v/>
      </c>
      <c r="GN76" s="116">
        <f>SUM(GJ76:GM76)</f>
        <v/>
      </c>
      <c r="GX76" s="116">
        <f>IFERROR(LOOKUP(2,1/('DRAFT 2'!$D:$D=$B76)*('DRAFT 2'!$A:$A&gt;=DATE(2026,9,1))*('DRAFT 2'!$A:$A&lt;DATE(2026,IF(9=12,9+1,9+1),1)),'DRAFT 2'!$A:$A),"")</f>
        <v/>
      </c>
      <c r="GY76" s="116">
        <f>COUNTIFS('DRAFT 2'!$D:$D,$B76,'DRAFT 2'!$A:$A,"&gt;="&amp;DATE(2026,9,1),'DRAFT 2'!$A:$A,"&lt;="&amp;DATE(2026,9,7))</f>
        <v/>
      </c>
      <c r="GZ76" s="116">
        <f>COUNTIFS('DRAFT 2'!$D:$D,$B76,'DRAFT 2'!$A:$A,"&gt;="&amp;DATE(2026,9,8),'DRAFT 2'!$A:$A,"&lt;="&amp;DATE(2026,9,14))</f>
        <v/>
      </c>
      <c r="HA76" s="116">
        <f>COUNTIFS('DRAFT 2'!$D:$D,$B76,'DRAFT 2'!$A:$A,"&gt;="&amp;DATE(2026,9,15),'DRAFT 2'!$A:$A,"&lt;="&amp;DATE(2026,9,21))</f>
        <v/>
      </c>
      <c r="HB76" s="116">
        <f>COUNTIFS('DRAFT 2'!$D:$D,$B76,'DRAFT 2'!$A:$A,"&gt;="&amp;DATE(2026,9,22),'DRAFT 2'!$A:$A,"&lt;"&amp;DATE(2026,IF(9=12,9+1,9+1),1))</f>
        <v/>
      </c>
      <c r="HC76" s="116">
        <f>SUM(GY76:HB76)</f>
        <v/>
      </c>
      <c r="HN76" s="116">
        <f>IFERROR(LOOKUP(2,1/('DRAFT 2'!$D:$D=$B76)*('DRAFT 2'!$A:$A&gt;=DATE(2026,10,1))*('DRAFT 2'!$A:$A&lt;DATE(2026,IF(10=12,10+1,10+1),1)),'DRAFT 2'!$A:$A),"")</f>
        <v/>
      </c>
      <c r="HO76" s="116">
        <f>COUNTIFS('DRAFT 2'!$D:$D,$B76,'DRAFT 2'!$A:$A,"&gt;="&amp;DATE(2026,10,1),'DRAFT 2'!$A:$A,"&lt;="&amp;DATE(2026,10,7))</f>
        <v/>
      </c>
      <c r="HP76" s="116">
        <f>COUNTIFS('DRAFT 2'!$D:$D,$B76,'DRAFT 2'!$A:$A,"&gt;="&amp;DATE(2026,10,8),'DRAFT 2'!$A:$A,"&lt;="&amp;DATE(2026,10,14))</f>
        <v/>
      </c>
      <c r="HQ76" s="116">
        <f>COUNTIFS('DRAFT 2'!$D:$D,$B76,'DRAFT 2'!$A:$A,"&gt;="&amp;DATE(2026,10,15),'DRAFT 2'!$A:$A,"&lt;="&amp;DATE(2026,10,21))</f>
        <v/>
      </c>
      <c r="HR76" s="116">
        <f>COUNTIFS('DRAFT 2'!$D:$D,$B76,'DRAFT 2'!$A:$A,"&gt;="&amp;DATE(2026,10,22),'DRAFT 2'!$A:$A,"&lt;"&amp;DATE(2026,IF(10=12,10+1,10+1),1))</f>
        <v/>
      </c>
      <c r="HS76" s="116">
        <f>SUM(HO76:HR76)</f>
        <v/>
      </c>
      <c r="IC76" s="116">
        <f>IFERROR(LOOKUP(2,1/('DRAFT 2'!$D:$D=$B76)*('DRAFT 2'!$A:$A&gt;=DATE(2026,11,1))*('DRAFT 2'!$A:$A&lt;DATE(2026,IF(11=12,11+1,11+1),1)),'DRAFT 2'!$A:$A),"")</f>
        <v/>
      </c>
      <c r="ID76" s="116">
        <f>COUNTIFS('DRAFT 2'!$D:$D,$B76,'DRAFT 2'!$A:$A,"&gt;="&amp;DATE(2026,11,1),'DRAFT 2'!$A:$A,"&lt;="&amp;DATE(2026,11,7))</f>
        <v/>
      </c>
      <c r="IE76" s="116">
        <f>COUNTIFS('DRAFT 2'!$D:$D,$B76,'DRAFT 2'!$A:$A,"&gt;="&amp;DATE(2026,11,8),'DRAFT 2'!$A:$A,"&lt;="&amp;DATE(2026,11,14))</f>
        <v/>
      </c>
      <c r="IF76" s="116">
        <f>COUNTIFS('DRAFT 2'!$D:$D,$B76,'DRAFT 2'!$A:$A,"&gt;="&amp;DATE(2026,11,15),'DRAFT 2'!$A:$A,"&lt;="&amp;DATE(2026,11,21))</f>
        <v/>
      </c>
      <c r="IG76" s="116">
        <f>COUNTIFS('DRAFT 2'!$D:$D,$B76,'DRAFT 2'!$A:$A,"&gt;="&amp;DATE(2026,11,22),'DRAFT 2'!$A:$A,"&lt;"&amp;DATE(2026,IF(11=12,11+1,11+1),1))</f>
        <v/>
      </c>
      <c r="IH76" s="116">
        <f>SUM(ID76:IG76)</f>
        <v/>
      </c>
      <c r="IR76" s="116">
        <f>IFERROR(LOOKUP(2,1/('DRAFT 2'!$D:$D=$B76)*('DRAFT 2'!$A:$A&gt;=DATE(2026,12,1))*('DRAFT 2'!$A:$A&lt;DATE(2026,IF(12=12,12+1,12+1),1)),'DRAFT 2'!$A:$A),"")</f>
        <v/>
      </c>
      <c r="IS76" s="116">
        <f>COUNTIFS('DRAFT 2'!$D:$D,$B76,'DRAFT 2'!$A:$A,"&gt;="&amp;DATE(2026,12,1),'DRAFT 2'!$A:$A,"&lt;="&amp;DATE(2026,12,7))</f>
        <v/>
      </c>
      <c r="IT76" s="116">
        <f>COUNTIFS('DRAFT 2'!$D:$D,$B76,'DRAFT 2'!$A:$A,"&gt;="&amp;DATE(2026,12,8),'DRAFT 2'!$A:$A,"&lt;="&amp;DATE(2026,12,14))</f>
        <v/>
      </c>
      <c r="IU76" s="116">
        <f>COUNTIFS('DRAFT 2'!$D:$D,$B76,'DRAFT 2'!$A:$A,"&gt;="&amp;DATE(2026,12,15),'DRAFT 2'!$A:$A,"&lt;="&amp;DATE(2026,12,21))</f>
        <v/>
      </c>
      <c r="IV76" s="116">
        <f>COUNTIFS('DRAFT 2'!$D:$D,$B76,'DRAFT 2'!$A:$A,"&gt;="&amp;DATE(2026,12,22),'DRAFT 2'!$A:$A,"&lt;"&amp;DATE(2026,IF(12=12,12+1,12+1),1))</f>
        <v/>
      </c>
      <c r="IW76" s="116">
        <f>SUM(IS76:IV76)</f>
        <v/>
      </c>
    </row>
    <row r="77">
      <c r="A77" s="116">
        <f>IFERROR(INDEX('DRAFT 1'!$A:$A,MATCH($B77,'DRAFT 1'!$B:$B,0)),"")</f>
        <v/>
      </c>
      <c r="C77" s="116">
        <f>IFERROR(INDEX('DRAFT 1'!$C:$C,MATCH($B77,'DRAFT 1'!$B:$B,0)),"")</f>
        <v/>
      </c>
      <c r="D77" s="116">
        <f>IFERROR(INDEX('DRAFT 1'!$D:$D,MATCH($B77,'DRAFT 1'!$B:$B,0)),"")</f>
        <v/>
      </c>
      <c r="E77" s="116">
        <f>IFERROR(INDEX('DRAFT 1'!$E:$E,MATCH($B77,'DRAFT 1'!$B:$B,0)),"")</f>
        <v/>
      </c>
      <c r="F77" s="116">
        <f>IFERROR(INDEX('DRAFT 1'!$F:$F,MATCH($B77,'DRAFT 1'!$B:$B,0)),"")</f>
        <v/>
      </c>
      <c r="G77" s="116">
        <f>IFERROR(INDEX('DRAFT 1'!$G:$G,MATCH($B77,'DRAFT 1'!$B:$B,0)),"")</f>
        <v/>
      </c>
      <c r="H77" s="116">
        <f>IFERROR(INDEX('DRAFT 1'!$H:$H,MATCH($B77,'DRAFT 1'!$B:$B,0)),"")</f>
        <v/>
      </c>
      <c r="I77" s="116" t="inlineStr">
        <is>
          <t>CIA DA SAUDE</t>
        </is>
      </c>
      <c r="K77" s="116">
        <f>IFERROR(INDEX('DRAFT 1'!$AL:$AL,MATCH($B77,'DRAFT 1'!$B:$B,0)),"")</f>
        <v/>
      </c>
      <c r="L77" s="116">
        <f>IFERROR(INDEX('DRAFT 1'!$J:$J,MATCH($B77,'DRAFT 1'!$B:$B,0)),"")</f>
        <v/>
      </c>
      <c r="M77" s="116">
        <f>IFERROR(INDEX('DRAFT 1'!$K:$K,MATCH($B77,'DRAFT 1'!$B:$B,0)),"")</f>
        <v/>
      </c>
      <c r="N77" s="116" t="inlineStr">
        <is>
          <t>ATIVO</t>
        </is>
      </c>
      <c r="P77" s="116">
        <f>IFERROR(INDEX('DRAFT 1'!$L:$L,MATCH($B77,'DRAFT 1'!$B:$B,0)),"")</f>
        <v/>
      </c>
      <c r="Q77" s="116">
        <f>IFERROR(INDEX('DRAFT 1'!$M:$M,MATCH($B77,'DRAFT 1'!$B:$B,0)),"")</f>
        <v/>
      </c>
      <c r="R77" s="116">
        <f>IFERROR(INDEX('DRAFT 1'!$N:$N,MATCH($B77,'DRAFT 1'!$B:$B,0)),"")</f>
        <v/>
      </c>
      <c r="S77" s="116">
        <f>IFERROR(INDEX('DRAFT 1'!$O:$O,MATCH($B77,'DRAFT 1'!$B:$B,0)),"")</f>
        <v/>
      </c>
      <c r="T77" s="116">
        <f>IFERROR(INDEX('DRAFT 1'!$P:$P,MATCH($B77,'DRAFT 1'!$B:$B,0)),"")</f>
        <v/>
      </c>
      <c r="U77" s="116">
        <f>IFERROR(INDEX('DRAFT 1'!$Q:$Q,MATCH($B77,'DRAFT 1'!$B:$B,0)),"")</f>
        <v/>
      </c>
      <c r="V77" s="116">
        <f>IFERROR(INDEX('DRAFT 1'!$R:$R,MATCH($B77,'DRAFT 1'!$B:$B,0)),"")</f>
        <v/>
      </c>
      <c r="W77" s="116">
        <f>IFERROR(INDEX('DRAFT 1'!$S:$S,MATCH($B77,'DRAFT 1'!$B:$B,0)),"")</f>
        <v/>
      </c>
      <c r="X77" s="116">
        <f>IFERROR(INDEX('DRAFT 1'!$T:$T,MATCH($B77,'DRAFT 1'!$B:$B,0)),"")</f>
        <v/>
      </c>
      <c r="Z77" s="116">
        <f>IFERROR(INDEX('DRAFT 1'!$U:$U,MATCH($B77,'DRAFT 1'!$B:$B,0)),"")</f>
        <v/>
      </c>
      <c r="AA77" s="116">
        <f>IFERROR(INDEX('DRAFT 1'!$V:$V,MATCH($B77,'DRAFT 1'!$B:$B,0)),"")</f>
        <v/>
      </c>
      <c r="AB77" s="116">
        <f>IFERROR(INDEX('DRAFT 1'!$W:$W,MATCH($B77,'DRAFT 1'!$B:$B,0)),"")</f>
        <v/>
      </c>
      <c r="AC77" s="116">
        <f>IFERROR(INDEX('DRAFT 1'!$X:$X,MATCH($B77,'DRAFT 1'!$B:$B,0)),"")</f>
        <v/>
      </c>
      <c r="AD77" s="116">
        <f>IFERROR(INDEX('DRAFT 1'!$Y:$Y,MATCH($B77,'DRAFT 1'!$B:$B,0)),"")</f>
        <v/>
      </c>
      <c r="AE77" s="116">
        <f>IFERROR(INDEX('DRAFT 1'!$Z:$Z,MATCH($B77,'DRAFT 1'!$B:$B,0)),"")</f>
        <v/>
      </c>
      <c r="AF77" s="116">
        <f>IFERROR(INDEX('DRAFT 1'!$AA:$AA,MATCH($B77,'DRAFT 1'!$B:$B,0)),"")</f>
        <v/>
      </c>
      <c r="AG77" s="116">
        <f>IFERROR(INDEX('DRAFT 1'!$AB:$AB,MATCH($B77,'DRAFT 1'!$B:$B,0)),"")</f>
        <v/>
      </c>
      <c r="AH77" s="116">
        <f>IFERROR(INDEX('DRAFT 1'!$AC:$AC,MATCH($B77,'DRAFT 1'!$B:$B,0)),"")</f>
        <v/>
      </c>
      <c r="AI77" s="116">
        <f>IFERROR(INDEX('DRAFT 1'!$AD:$AD,MATCH($B77,'DRAFT 1'!$B:$B,0)),"")</f>
        <v/>
      </c>
      <c r="AJ77" s="116">
        <f>IFERROR(INDEX('DRAFT 1'!$AE:$AE,MATCH($B77,'DRAFT 1'!$B:$B,0)),"")</f>
        <v/>
      </c>
      <c r="AK77" s="116">
        <f>IFERROR(INDEX('DRAFT 1'!$AG:$AG,MATCH($B77,'DRAFT 1'!$B:$B,0)),"")</f>
        <v/>
      </c>
      <c r="AL77" s="116">
        <f>IFERROR(INDEX('DRAFT 1'!$AH:$AH,MATCH($B77,'DRAFT 1'!$B:$B,0)),"")</f>
        <v/>
      </c>
      <c r="AM77" s="116">
        <f>IFERROR(INDEX('DRAFT 1'!$AI:$AI,MATCH($B77,'DRAFT 1'!$B:$B,0)),"")</f>
        <v/>
      </c>
      <c r="AN77" s="116">
        <f>IFERROR(INDEX('DRAFT 1'!$AJ:$AJ,MATCH($B77,'DRAFT 1'!$B:$B,0)),"")</f>
        <v/>
      </c>
      <c r="AO77" s="116">
        <f>IFERROR(Y77/AN77,0)</f>
        <v/>
      </c>
      <c r="AP77" s="116">
        <f>IFERROR(INDEX('DRAFT 1'!$AK:$AK,MATCH($B77,'DRAFT 1'!$B:$B,0)),"")</f>
        <v/>
      </c>
      <c r="AR77" s="116" t="inlineStr">
        <is>
          <t>EM ATENDIMENTO</t>
        </is>
      </c>
      <c r="AS77" s="116">
        <f>IFERROR(LOOKUP(2,1/('DRAFT 2'!$D:$D=$B77),'DRAFT 2'!$T:$T),"")</f>
        <v/>
      </c>
      <c r="AT77" s="116">
        <f>IFERROR(LOOKUP(2,1/('DRAFT 2'!$D:$D=$B77),'DRAFT 2'!$A:$A),"")</f>
        <v/>
      </c>
      <c r="AU77" s="116">
        <f>IFERROR(LOOKUP(2,1/('DRAFT 2'!$D:$D=$B77),'DRAFT 2'!$R:$R),"")</f>
        <v/>
      </c>
      <c r="AV77" s="116">
        <f>IFERROR(LOOKUP(2,1/('DRAFT 2'!$D:$D=$B77),'DRAFT 2'!$S:$S),"")</f>
        <v/>
      </c>
      <c r="AW77" s="116" t="inlineStr">
        <is>
          <t>RECORRENTE</t>
        </is>
      </c>
      <c r="AX77" s="116">
        <f>IFERROR(LOOKUP(2,1/('DRAFT 2'!$D:$D=$B77),'DRAFT 2'!$M:$M),"")</f>
        <v/>
      </c>
      <c r="AY77" s="116">
        <f>IFERROR(LOOKUP(2,1/('DRAFT 2'!$D:$D=$B77),'DRAFT 2'!$K:$K),"")</f>
        <v/>
      </c>
      <c r="BG77" s="116">
        <f>IFERROR(LOOKUP(2,1/('DRAFT 2'!$D:$D=$B77),'DRAFT 2'!$U:$U),"")</f>
        <v/>
      </c>
      <c r="BH77" s="116">
        <f>IFERROR(LOOKUP(2,1/('DRAFT 2'!$D:$D=$B77),'DRAFT 2'!$V:$V),"")</f>
        <v/>
      </c>
      <c r="CE77" s="116">
        <f>IFERROR(AJ77,0)</f>
        <v/>
      </c>
      <c r="CF77" s="116">
        <f>IFERROR(LOOKUP(2,1/('DRAFT 2'!$D:$D=$B77)*('DRAFT 2'!$A:$A&gt;=DATE(2026,1,1))*('DRAFT 2'!$A:$A&lt;DATE(2026,IF(1=12,1+1,1+1),1)),'DRAFT 2'!$A:$A),"")</f>
        <v/>
      </c>
      <c r="CG77" s="116">
        <f>COUNTIFS('DRAFT 2'!$D:$D,$B77,'DRAFT 2'!$A:$A,"&gt;="&amp;DATE(2026,1,1),'DRAFT 2'!$A:$A,"&lt;="&amp;DATE(2026,1,7))</f>
        <v/>
      </c>
      <c r="CH77" s="116">
        <f>COUNTIFS('DRAFT 2'!$D:$D,$B77,'DRAFT 2'!$A:$A,"&gt;="&amp;DATE(2026,1,8),'DRAFT 2'!$A:$A,"&lt;="&amp;DATE(2026,1,14))</f>
        <v/>
      </c>
      <c r="CI77" s="116">
        <f>COUNTIFS('DRAFT 2'!$D:$D,$B77,'DRAFT 2'!$A:$A,"&gt;="&amp;DATE(2026,1,15),'DRAFT 2'!$A:$A,"&lt;="&amp;DATE(2026,1,21))</f>
        <v/>
      </c>
      <c r="CJ77" s="116">
        <f>COUNTIFS('DRAFT 2'!$D:$D,$B77,'DRAFT 2'!$A:$A,"&gt;="&amp;DATE(2026,1,22),'DRAFT 2'!$A:$A,"&lt;"&amp;DATE(2026,IF(1=12,1+1,1+1),1))</f>
        <v/>
      </c>
      <c r="CK77" s="116">
        <f>SUM(CG77:CJ77)</f>
        <v/>
      </c>
      <c r="CT77" s="116" t="n">
        <v>0</v>
      </c>
      <c r="CU77" s="116">
        <f>IFERROR(LOOKUP(2,1/('DRAFT 2'!$D:$D=$B77)*('DRAFT 2'!$A:$A&gt;=DATE(2026,2,1))*('DRAFT 2'!$A:$A&lt;DATE(2026,IF(2=12,2+1,2+1),1)),'DRAFT 2'!$A:$A),"")</f>
        <v/>
      </c>
      <c r="CV77" s="116">
        <f>COUNTIFS('DRAFT 2'!$D:$D,$B77,'DRAFT 2'!$A:$A,"&gt;="&amp;DATE(2026,2,1),'DRAFT 2'!$A:$A,"&lt;="&amp;DATE(2026,2,7))</f>
        <v/>
      </c>
      <c r="CW77" s="116">
        <f>COUNTIFS('DRAFT 2'!$D:$D,$B77,'DRAFT 2'!$A:$A,"&gt;="&amp;DATE(2026,2,8),'DRAFT 2'!$A:$A,"&lt;="&amp;DATE(2026,2,14))</f>
        <v/>
      </c>
      <c r="CX77" s="116">
        <f>COUNTIFS('DRAFT 2'!$D:$D,$B77,'DRAFT 2'!$A:$A,"&gt;="&amp;DATE(2026,2,15),'DRAFT 2'!$A:$A,"&lt;="&amp;DATE(2026,2,21))</f>
        <v/>
      </c>
      <c r="CY77" s="116">
        <f>COUNTIFS('DRAFT 2'!$D:$D,$B77,'DRAFT 2'!$A:$A,"&gt;="&amp;DATE(2026,2,22),'DRAFT 2'!$A:$A,"&lt;"&amp;DATE(2026,IF(2=12,2+1,2+1),1))</f>
        <v/>
      </c>
      <c r="CZ77" s="116">
        <f>SUM(CV77:CY77)</f>
        <v/>
      </c>
      <c r="DJ77" s="116">
        <f>IFERROR(LOOKUP(2,1/('DRAFT 2'!$D:$D=$B77)*('DRAFT 2'!$A:$A&gt;=DATE(2026,3,1))*('DRAFT 2'!$A:$A&lt;DATE(2026,IF(3=12,3+1,3+1),1)),'DRAFT 2'!$A:$A),"")</f>
        <v/>
      </c>
      <c r="DK77" s="116">
        <f>COUNTIFS('DRAFT 2'!$D:$D,$B77,'DRAFT 2'!$A:$A,"&gt;="&amp;DATE(2026,3,1),'DRAFT 2'!$A:$A,"&lt;="&amp;DATE(2026,3,7))</f>
        <v/>
      </c>
      <c r="DL77" s="116">
        <f>COUNTIFS('DRAFT 2'!$D:$D,$B77,'DRAFT 2'!$A:$A,"&gt;="&amp;DATE(2026,3,8),'DRAFT 2'!$A:$A,"&lt;="&amp;DATE(2026,3,14))</f>
        <v/>
      </c>
      <c r="DM77" s="116">
        <f>COUNTIFS('DRAFT 2'!$D:$D,$B77,'DRAFT 2'!$A:$A,"&gt;="&amp;DATE(2026,3,15),'DRAFT 2'!$A:$A,"&lt;="&amp;DATE(2026,3,21))</f>
        <v/>
      </c>
      <c r="DN77" s="116">
        <f>COUNTIFS('DRAFT 2'!$D:$D,$B77,'DRAFT 2'!$A:$A,"&gt;="&amp;DATE(2026,3,22),'DRAFT 2'!$A:$A,"&lt;"&amp;DATE(2026,IF(3=12,3+1,3+1),1))</f>
        <v/>
      </c>
      <c r="DO77" s="116">
        <f>SUM(DK77:DN77)</f>
        <v/>
      </c>
      <c r="DZ77" s="116">
        <f>IFERROR(LOOKUP(2,1/('DRAFT 2'!$D:$D=$B77)*('DRAFT 2'!$A:$A&gt;=DATE(2026,4,1))*('DRAFT 2'!$A:$A&lt;DATE(2026,IF(4=12,4+1,4+1),1)),'DRAFT 2'!$A:$A),"")</f>
        <v/>
      </c>
      <c r="EA77" s="116">
        <f>COUNTIFS('DRAFT 2'!$D:$D,$B77,'DRAFT 2'!$A:$A,"&gt;="&amp;DATE(2026,4,1),'DRAFT 2'!$A:$A,"&lt;="&amp;DATE(2026,4,7))</f>
        <v/>
      </c>
      <c r="EB77" s="116">
        <f>COUNTIFS('DRAFT 2'!$D:$D,$B77,'DRAFT 2'!$A:$A,"&gt;="&amp;DATE(2026,4,8),'DRAFT 2'!$A:$A,"&lt;="&amp;DATE(2026,4,14))</f>
        <v/>
      </c>
      <c r="EC77" s="116">
        <f>COUNTIFS('DRAFT 2'!$D:$D,$B77,'DRAFT 2'!$A:$A,"&gt;="&amp;DATE(2026,4,15),'DRAFT 2'!$A:$A,"&lt;="&amp;DATE(2026,4,21))</f>
        <v/>
      </c>
      <c r="ED77" s="116">
        <f>COUNTIFS('DRAFT 2'!$D:$D,$B77,'DRAFT 2'!$A:$A,"&gt;="&amp;DATE(2026,4,22),'DRAFT 2'!$A:$A,"&lt;"&amp;DATE(2026,IF(4=12,4+1,4+1),1))</f>
        <v/>
      </c>
      <c r="EE77" s="116">
        <f>SUM(EA77:ED77)</f>
        <v/>
      </c>
      <c r="EO77" s="116">
        <f>IFERROR(LOOKUP(2,1/('DRAFT 2'!$D:$D=$B77)*('DRAFT 2'!$A:$A&gt;=DATE(2026,5,1))*('DRAFT 2'!$A:$A&lt;DATE(2026,IF(5=12,5+1,5+1),1)),'DRAFT 2'!$A:$A),"")</f>
        <v/>
      </c>
      <c r="EP77" s="116">
        <f>COUNTIFS('DRAFT 2'!$D:$D,$B77,'DRAFT 2'!$A:$A,"&gt;="&amp;DATE(2026,5,1),'DRAFT 2'!$A:$A,"&lt;="&amp;DATE(2026,5,7))</f>
        <v/>
      </c>
      <c r="EQ77" s="116">
        <f>COUNTIFS('DRAFT 2'!$D:$D,$B77,'DRAFT 2'!$A:$A,"&gt;="&amp;DATE(2026,5,8),'DRAFT 2'!$A:$A,"&lt;="&amp;DATE(2026,5,14))</f>
        <v/>
      </c>
      <c r="ER77" s="116">
        <f>COUNTIFS('DRAFT 2'!$D:$D,$B77,'DRAFT 2'!$A:$A,"&gt;="&amp;DATE(2026,5,15),'DRAFT 2'!$A:$A,"&lt;="&amp;DATE(2026,5,21))</f>
        <v/>
      </c>
      <c r="ES77" s="116">
        <f>COUNTIFS('DRAFT 2'!$D:$D,$B77,'DRAFT 2'!$A:$A,"&gt;="&amp;DATE(2026,5,22),'DRAFT 2'!$A:$A,"&lt;"&amp;DATE(2026,IF(5=12,5+1,5+1),1))</f>
        <v/>
      </c>
      <c r="ET77" s="116">
        <f>SUM(EP77:ES77)</f>
        <v/>
      </c>
      <c r="FD77" s="116">
        <f>IFERROR(LOOKUP(2,1/('DRAFT 2'!$D:$D=$B77)*('DRAFT 2'!$A:$A&gt;=DATE(2026,6,1))*('DRAFT 2'!$A:$A&lt;DATE(2026,IF(6=12,6+1,6+1),1)),'DRAFT 2'!$A:$A),"")</f>
        <v/>
      </c>
      <c r="FE77" s="116">
        <f>COUNTIFS('DRAFT 2'!$D:$D,$B77,'DRAFT 2'!$A:$A,"&gt;="&amp;DATE(2026,6,1),'DRAFT 2'!$A:$A,"&lt;="&amp;DATE(2026,6,7))</f>
        <v/>
      </c>
      <c r="FF77" s="116">
        <f>COUNTIFS('DRAFT 2'!$D:$D,$B77,'DRAFT 2'!$A:$A,"&gt;="&amp;DATE(2026,6,8),'DRAFT 2'!$A:$A,"&lt;="&amp;DATE(2026,6,14))</f>
        <v/>
      </c>
      <c r="FG77" s="116">
        <f>COUNTIFS('DRAFT 2'!$D:$D,$B77,'DRAFT 2'!$A:$A,"&gt;="&amp;DATE(2026,6,15),'DRAFT 2'!$A:$A,"&lt;="&amp;DATE(2026,6,21))</f>
        <v/>
      </c>
      <c r="FH77" s="116">
        <f>COUNTIFS('DRAFT 2'!$D:$D,$B77,'DRAFT 2'!$A:$A,"&gt;="&amp;DATE(2026,6,22),'DRAFT 2'!$A:$A,"&lt;"&amp;DATE(2026,IF(6=12,6+1,6+1),1))</f>
        <v/>
      </c>
      <c r="FI77" s="116">
        <f>SUM(FE77:FH77)</f>
        <v/>
      </c>
      <c r="FT77" s="116">
        <f>IFERROR(LOOKUP(2,1/('DRAFT 2'!$D:$D=$B77)*('DRAFT 2'!$A:$A&gt;=DATE(2026,7,1))*('DRAFT 2'!$A:$A&lt;DATE(2026,IF(7=12,7+1,7+1),1)),'DRAFT 2'!$A:$A),"")</f>
        <v/>
      </c>
      <c r="FU77" s="116">
        <f>COUNTIFS('DRAFT 2'!$D:$D,$B77,'DRAFT 2'!$A:$A,"&gt;="&amp;DATE(2026,7,1),'DRAFT 2'!$A:$A,"&lt;="&amp;DATE(2026,7,7))</f>
        <v/>
      </c>
      <c r="FV77" s="116">
        <f>COUNTIFS('DRAFT 2'!$D:$D,$B77,'DRAFT 2'!$A:$A,"&gt;="&amp;DATE(2026,7,8),'DRAFT 2'!$A:$A,"&lt;="&amp;DATE(2026,7,14))</f>
        <v/>
      </c>
      <c r="FW77" s="116">
        <f>COUNTIFS('DRAFT 2'!$D:$D,$B77,'DRAFT 2'!$A:$A,"&gt;="&amp;DATE(2026,7,15),'DRAFT 2'!$A:$A,"&lt;="&amp;DATE(2026,7,21))</f>
        <v/>
      </c>
      <c r="FX77" s="116">
        <f>COUNTIFS('DRAFT 2'!$D:$D,$B77,'DRAFT 2'!$A:$A,"&gt;="&amp;DATE(2026,7,22),'DRAFT 2'!$A:$A,"&lt;"&amp;DATE(2026,IF(7=12,7+1,7+1),1))</f>
        <v/>
      </c>
      <c r="FY77" s="116">
        <f>SUM(FU77:FX77)</f>
        <v/>
      </c>
      <c r="GI77" s="116">
        <f>IFERROR(LOOKUP(2,1/('DRAFT 2'!$D:$D=$B77)*('DRAFT 2'!$A:$A&gt;=DATE(2026,8,1))*('DRAFT 2'!$A:$A&lt;DATE(2026,IF(8=12,8+1,8+1),1)),'DRAFT 2'!$A:$A),"")</f>
        <v/>
      </c>
      <c r="GJ77" s="116">
        <f>COUNTIFS('DRAFT 2'!$D:$D,$B77,'DRAFT 2'!$A:$A,"&gt;="&amp;DATE(2026,8,1),'DRAFT 2'!$A:$A,"&lt;="&amp;DATE(2026,8,7))</f>
        <v/>
      </c>
      <c r="GK77" s="116">
        <f>COUNTIFS('DRAFT 2'!$D:$D,$B77,'DRAFT 2'!$A:$A,"&gt;="&amp;DATE(2026,8,8),'DRAFT 2'!$A:$A,"&lt;="&amp;DATE(2026,8,14))</f>
        <v/>
      </c>
      <c r="GL77" s="116">
        <f>COUNTIFS('DRAFT 2'!$D:$D,$B77,'DRAFT 2'!$A:$A,"&gt;="&amp;DATE(2026,8,15),'DRAFT 2'!$A:$A,"&lt;="&amp;DATE(2026,8,21))</f>
        <v/>
      </c>
      <c r="GM77" s="116">
        <f>COUNTIFS('DRAFT 2'!$D:$D,$B77,'DRAFT 2'!$A:$A,"&gt;="&amp;DATE(2026,8,22),'DRAFT 2'!$A:$A,"&lt;"&amp;DATE(2026,IF(8=12,8+1,8+1),1))</f>
        <v/>
      </c>
      <c r="GN77" s="116">
        <f>SUM(GJ77:GM77)</f>
        <v/>
      </c>
      <c r="GX77" s="116">
        <f>IFERROR(LOOKUP(2,1/('DRAFT 2'!$D:$D=$B77)*('DRAFT 2'!$A:$A&gt;=DATE(2026,9,1))*('DRAFT 2'!$A:$A&lt;DATE(2026,IF(9=12,9+1,9+1),1)),'DRAFT 2'!$A:$A),"")</f>
        <v/>
      </c>
      <c r="GY77" s="116">
        <f>COUNTIFS('DRAFT 2'!$D:$D,$B77,'DRAFT 2'!$A:$A,"&gt;="&amp;DATE(2026,9,1),'DRAFT 2'!$A:$A,"&lt;="&amp;DATE(2026,9,7))</f>
        <v/>
      </c>
      <c r="GZ77" s="116">
        <f>COUNTIFS('DRAFT 2'!$D:$D,$B77,'DRAFT 2'!$A:$A,"&gt;="&amp;DATE(2026,9,8),'DRAFT 2'!$A:$A,"&lt;="&amp;DATE(2026,9,14))</f>
        <v/>
      </c>
      <c r="HA77" s="116">
        <f>COUNTIFS('DRAFT 2'!$D:$D,$B77,'DRAFT 2'!$A:$A,"&gt;="&amp;DATE(2026,9,15),'DRAFT 2'!$A:$A,"&lt;="&amp;DATE(2026,9,21))</f>
        <v/>
      </c>
      <c r="HB77" s="116">
        <f>COUNTIFS('DRAFT 2'!$D:$D,$B77,'DRAFT 2'!$A:$A,"&gt;="&amp;DATE(2026,9,22),'DRAFT 2'!$A:$A,"&lt;"&amp;DATE(2026,IF(9=12,9+1,9+1),1))</f>
        <v/>
      </c>
      <c r="HC77" s="116">
        <f>SUM(GY77:HB77)</f>
        <v/>
      </c>
      <c r="HN77" s="116">
        <f>IFERROR(LOOKUP(2,1/('DRAFT 2'!$D:$D=$B77)*('DRAFT 2'!$A:$A&gt;=DATE(2026,10,1))*('DRAFT 2'!$A:$A&lt;DATE(2026,IF(10=12,10+1,10+1),1)),'DRAFT 2'!$A:$A),"")</f>
        <v/>
      </c>
      <c r="HO77" s="116">
        <f>COUNTIFS('DRAFT 2'!$D:$D,$B77,'DRAFT 2'!$A:$A,"&gt;="&amp;DATE(2026,10,1),'DRAFT 2'!$A:$A,"&lt;="&amp;DATE(2026,10,7))</f>
        <v/>
      </c>
      <c r="HP77" s="116">
        <f>COUNTIFS('DRAFT 2'!$D:$D,$B77,'DRAFT 2'!$A:$A,"&gt;="&amp;DATE(2026,10,8),'DRAFT 2'!$A:$A,"&lt;="&amp;DATE(2026,10,14))</f>
        <v/>
      </c>
      <c r="HQ77" s="116">
        <f>COUNTIFS('DRAFT 2'!$D:$D,$B77,'DRAFT 2'!$A:$A,"&gt;="&amp;DATE(2026,10,15),'DRAFT 2'!$A:$A,"&lt;="&amp;DATE(2026,10,21))</f>
        <v/>
      </c>
      <c r="HR77" s="116">
        <f>COUNTIFS('DRAFT 2'!$D:$D,$B77,'DRAFT 2'!$A:$A,"&gt;="&amp;DATE(2026,10,22),'DRAFT 2'!$A:$A,"&lt;"&amp;DATE(2026,IF(10=12,10+1,10+1),1))</f>
        <v/>
      </c>
      <c r="HS77" s="116">
        <f>SUM(HO77:HR77)</f>
        <v/>
      </c>
      <c r="IC77" s="116">
        <f>IFERROR(LOOKUP(2,1/('DRAFT 2'!$D:$D=$B77)*('DRAFT 2'!$A:$A&gt;=DATE(2026,11,1))*('DRAFT 2'!$A:$A&lt;DATE(2026,IF(11=12,11+1,11+1),1)),'DRAFT 2'!$A:$A),"")</f>
        <v/>
      </c>
      <c r="ID77" s="116">
        <f>COUNTIFS('DRAFT 2'!$D:$D,$B77,'DRAFT 2'!$A:$A,"&gt;="&amp;DATE(2026,11,1),'DRAFT 2'!$A:$A,"&lt;="&amp;DATE(2026,11,7))</f>
        <v/>
      </c>
      <c r="IE77" s="116">
        <f>COUNTIFS('DRAFT 2'!$D:$D,$B77,'DRAFT 2'!$A:$A,"&gt;="&amp;DATE(2026,11,8),'DRAFT 2'!$A:$A,"&lt;="&amp;DATE(2026,11,14))</f>
        <v/>
      </c>
      <c r="IF77" s="116">
        <f>COUNTIFS('DRAFT 2'!$D:$D,$B77,'DRAFT 2'!$A:$A,"&gt;="&amp;DATE(2026,11,15),'DRAFT 2'!$A:$A,"&lt;="&amp;DATE(2026,11,21))</f>
        <v/>
      </c>
      <c r="IG77" s="116">
        <f>COUNTIFS('DRAFT 2'!$D:$D,$B77,'DRAFT 2'!$A:$A,"&gt;="&amp;DATE(2026,11,22),'DRAFT 2'!$A:$A,"&lt;"&amp;DATE(2026,IF(11=12,11+1,11+1),1))</f>
        <v/>
      </c>
      <c r="IH77" s="116">
        <f>SUM(ID77:IG77)</f>
        <v/>
      </c>
      <c r="IR77" s="116">
        <f>IFERROR(LOOKUP(2,1/('DRAFT 2'!$D:$D=$B77)*('DRAFT 2'!$A:$A&gt;=DATE(2026,12,1))*('DRAFT 2'!$A:$A&lt;DATE(2026,IF(12=12,12+1,12+1),1)),'DRAFT 2'!$A:$A),"")</f>
        <v/>
      </c>
      <c r="IS77" s="116">
        <f>COUNTIFS('DRAFT 2'!$D:$D,$B77,'DRAFT 2'!$A:$A,"&gt;="&amp;DATE(2026,12,1),'DRAFT 2'!$A:$A,"&lt;="&amp;DATE(2026,12,7))</f>
        <v/>
      </c>
      <c r="IT77" s="116">
        <f>COUNTIFS('DRAFT 2'!$D:$D,$B77,'DRAFT 2'!$A:$A,"&gt;="&amp;DATE(2026,12,8),'DRAFT 2'!$A:$A,"&lt;="&amp;DATE(2026,12,14))</f>
        <v/>
      </c>
      <c r="IU77" s="116">
        <f>COUNTIFS('DRAFT 2'!$D:$D,$B77,'DRAFT 2'!$A:$A,"&gt;="&amp;DATE(2026,12,15),'DRAFT 2'!$A:$A,"&lt;="&amp;DATE(2026,12,21))</f>
        <v/>
      </c>
      <c r="IV77" s="116">
        <f>COUNTIFS('DRAFT 2'!$D:$D,$B77,'DRAFT 2'!$A:$A,"&gt;="&amp;DATE(2026,12,22),'DRAFT 2'!$A:$A,"&lt;"&amp;DATE(2026,IF(12=12,12+1,12+1),1))</f>
        <v/>
      </c>
      <c r="IW77" s="116">
        <f>SUM(IS77:IV77)</f>
        <v/>
      </c>
    </row>
    <row r="78">
      <c r="A78" s="116">
        <f>IFERROR(INDEX('DRAFT 1'!$A:$A,MATCH($B78,'DRAFT 1'!$B:$B,0)),"")</f>
        <v/>
      </c>
      <c r="C78" s="116">
        <f>IFERROR(INDEX('DRAFT 1'!$C:$C,MATCH($B78,'DRAFT 1'!$B:$B,0)),"")</f>
        <v/>
      </c>
      <c r="D78" s="116">
        <f>IFERROR(INDEX('DRAFT 1'!$D:$D,MATCH($B78,'DRAFT 1'!$B:$B,0)),"")</f>
        <v/>
      </c>
      <c r="E78" s="116">
        <f>IFERROR(INDEX('DRAFT 1'!$E:$E,MATCH($B78,'DRAFT 1'!$B:$B,0)),"")</f>
        <v/>
      </c>
      <c r="F78" s="116">
        <f>IFERROR(INDEX('DRAFT 1'!$F:$F,MATCH($B78,'DRAFT 1'!$B:$B,0)),"")</f>
        <v/>
      </c>
      <c r="G78" s="116">
        <f>IFERROR(INDEX('DRAFT 1'!$G:$G,MATCH($B78,'DRAFT 1'!$B:$B,0)),"")</f>
        <v/>
      </c>
      <c r="H78" s="116">
        <f>IFERROR(INDEX('DRAFT 1'!$H:$H,MATCH($B78,'DRAFT 1'!$B:$B,0)),"")</f>
        <v/>
      </c>
      <c r="I78" s="116" t="inlineStr">
        <is>
          <t>DEMAIS CLIENTES</t>
        </is>
      </c>
      <c r="K78" s="116">
        <f>IFERROR(INDEX('DRAFT 1'!$AL:$AL,MATCH($B78,'DRAFT 1'!$B:$B,0)),"")</f>
        <v/>
      </c>
      <c r="L78" s="116">
        <f>IFERROR(INDEX('DRAFT 1'!$J:$J,MATCH($B78,'DRAFT 1'!$B:$B,0)),"")</f>
        <v/>
      </c>
      <c r="M78" s="116">
        <f>IFERROR(INDEX('DRAFT 1'!$K:$K,MATCH($B78,'DRAFT 1'!$B:$B,0)),"")</f>
        <v/>
      </c>
      <c r="N78" s="116" t="inlineStr">
        <is>
          <t>ATIVO</t>
        </is>
      </c>
      <c r="P78" s="116">
        <f>IFERROR(INDEX('DRAFT 1'!$L:$L,MATCH($B78,'DRAFT 1'!$B:$B,0)),"")</f>
        <v/>
      </c>
      <c r="Q78" s="116">
        <f>IFERROR(INDEX('DRAFT 1'!$M:$M,MATCH($B78,'DRAFT 1'!$B:$B,0)),"")</f>
        <v/>
      </c>
      <c r="R78" s="116">
        <f>IFERROR(INDEX('DRAFT 1'!$N:$N,MATCH($B78,'DRAFT 1'!$B:$B,0)),"")</f>
        <v/>
      </c>
      <c r="S78" s="116">
        <f>IFERROR(INDEX('DRAFT 1'!$O:$O,MATCH($B78,'DRAFT 1'!$B:$B,0)),"")</f>
        <v/>
      </c>
      <c r="T78" s="116">
        <f>IFERROR(INDEX('DRAFT 1'!$P:$P,MATCH($B78,'DRAFT 1'!$B:$B,0)),"")</f>
        <v/>
      </c>
      <c r="U78" s="116">
        <f>IFERROR(INDEX('DRAFT 1'!$Q:$Q,MATCH($B78,'DRAFT 1'!$B:$B,0)),"")</f>
        <v/>
      </c>
      <c r="V78" s="116">
        <f>IFERROR(INDEX('DRAFT 1'!$R:$R,MATCH($B78,'DRAFT 1'!$B:$B,0)),"")</f>
        <v/>
      </c>
      <c r="W78" s="116">
        <f>IFERROR(INDEX('DRAFT 1'!$S:$S,MATCH($B78,'DRAFT 1'!$B:$B,0)),"")</f>
        <v/>
      </c>
      <c r="X78" s="116">
        <f>IFERROR(INDEX('DRAFT 1'!$T:$T,MATCH($B78,'DRAFT 1'!$B:$B,0)),"")</f>
        <v/>
      </c>
      <c r="Z78" s="116">
        <f>IFERROR(INDEX('DRAFT 1'!$U:$U,MATCH($B78,'DRAFT 1'!$B:$B,0)),"")</f>
        <v/>
      </c>
      <c r="AA78" s="116">
        <f>IFERROR(INDEX('DRAFT 1'!$V:$V,MATCH($B78,'DRAFT 1'!$B:$B,0)),"")</f>
        <v/>
      </c>
      <c r="AB78" s="116">
        <f>IFERROR(INDEX('DRAFT 1'!$W:$W,MATCH($B78,'DRAFT 1'!$B:$B,0)),"")</f>
        <v/>
      </c>
      <c r="AC78" s="116">
        <f>IFERROR(INDEX('DRAFT 1'!$X:$X,MATCH($B78,'DRAFT 1'!$B:$B,0)),"")</f>
        <v/>
      </c>
      <c r="AD78" s="116">
        <f>IFERROR(INDEX('DRAFT 1'!$Y:$Y,MATCH($B78,'DRAFT 1'!$B:$B,0)),"")</f>
        <v/>
      </c>
      <c r="AE78" s="116">
        <f>IFERROR(INDEX('DRAFT 1'!$Z:$Z,MATCH($B78,'DRAFT 1'!$B:$B,0)),"")</f>
        <v/>
      </c>
      <c r="AF78" s="116">
        <f>IFERROR(INDEX('DRAFT 1'!$AA:$AA,MATCH($B78,'DRAFT 1'!$B:$B,0)),"")</f>
        <v/>
      </c>
      <c r="AG78" s="116">
        <f>IFERROR(INDEX('DRAFT 1'!$AB:$AB,MATCH($B78,'DRAFT 1'!$B:$B,0)),"")</f>
        <v/>
      </c>
      <c r="AH78" s="116">
        <f>IFERROR(INDEX('DRAFT 1'!$AC:$AC,MATCH($B78,'DRAFT 1'!$B:$B,0)),"")</f>
        <v/>
      </c>
      <c r="AI78" s="116">
        <f>IFERROR(INDEX('DRAFT 1'!$AD:$AD,MATCH($B78,'DRAFT 1'!$B:$B,0)),"")</f>
        <v/>
      </c>
      <c r="AJ78" s="116">
        <f>IFERROR(INDEX('DRAFT 1'!$AE:$AE,MATCH($B78,'DRAFT 1'!$B:$B,0)),"")</f>
        <v/>
      </c>
      <c r="AK78" s="116">
        <f>IFERROR(INDEX('DRAFT 1'!$AG:$AG,MATCH($B78,'DRAFT 1'!$B:$B,0)),"")</f>
        <v/>
      </c>
      <c r="AL78" s="116">
        <f>IFERROR(INDEX('DRAFT 1'!$AH:$AH,MATCH($B78,'DRAFT 1'!$B:$B,0)),"")</f>
        <v/>
      </c>
      <c r="AM78" s="116">
        <f>IFERROR(INDEX('DRAFT 1'!$AI:$AI,MATCH($B78,'DRAFT 1'!$B:$B,0)),"")</f>
        <v/>
      </c>
      <c r="AN78" s="116">
        <f>IFERROR(INDEX('DRAFT 1'!$AJ:$AJ,MATCH($B78,'DRAFT 1'!$B:$B,0)),"")</f>
        <v/>
      </c>
      <c r="AO78" s="116">
        <f>IFERROR(Y78/AN78,0)</f>
        <v/>
      </c>
      <c r="AP78" s="116">
        <f>IFERROR(INDEX('DRAFT 1'!$AK:$AK,MATCH($B78,'DRAFT 1'!$B:$B,0)),"")</f>
        <v/>
      </c>
      <c r="AR78" s="116" t="inlineStr">
        <is>
          <t>NUTRIÇÃO</t>
        </is>
      </c>
      <c r="AS78" s="116">
        <f>IFERROR(LOOKUP(2,1/('DRAFT 2'!$D:$D=$B78),'DRAFT 2'!$T:$T),"")</f>
        <v/>
      </c>
      <c r="AT78" s="116">
        <f>IFERROR(LOOKUP(2,1/('DRAFT 2'!$D:$D=$B78),'DRAFT 2'!$A:$A),"")</f>
        <v/>
      </c>
      <c r="AU78" s="116">
        <f>IFERROR(LOOKUP(2,1/('DRAFT 2'!$D:$D=$B78),'DRAFT 2'!$R:$R),"")</f>
        <v/>
      </c>
      <c r="AV78" s="116">
        <f>IFERROR(LOOKUP(2,1/('DRAFT 2'!$D:$D=$B78),'DRAFT 2'!$S:$S),"")</f>
        <v/>
      </c>
      <c r="AW78" s="116" t="inlineStr">
        <is>
          <t>NOVO</t>
        </is>
      </c>
      <c r="AX78" s="116">
        <f>IFERROR(LOOKUP(2,1/('DRAFT 2'!$D:$D=$B78),'DRAFT 2'!$M:$M),"")</f>
        <v/>
      </c>
      <c r="AY78" s="116">
        <f>IFERROR(LOOKUP(2,1/('DRAFT 2'!$D:$D=$B78),'DRAFT 2'!$K:$K),"")</f>
        <v/>
      </c>
      <c r="BG78" s="116">
        <f>IFERROR(LOOKUP(2,1/('DRAFT 2'!$D:$D=$B78),'DRAFT 2'!$U:$U),"")</f>
        <v/>
      </c>
      <c r="BH78" s="116">
        <f>IFERROR(LOOKUP(2,1/('DRAFT 2'!$D:$D=$B78),'DRAFT 2'!$V:$V),"")</f>
        <v/>
      </c>
      <c r="CE78" s="116">
        <f>IFERROR(AJ78,0)</f>
        <v/>
      </c>
      <c r="CF78" s="116">
        <f>IFERROR(LOOKUP(2,1/('DRAFT 2'!$D:$D=$B78)*('DRAFT 2'!$A:$A&gt;=DATE(2026,1,1))*('DRAFT 2'!$A:$A&lt;DATE(2026,IF(1=12,1+1,1+1),1)),'DRAFT 2'!$A:$A),"")</f>
        <v/>
      </c>
      <c r="CG78" s="116">
        <f>COUNTIFS('DRAFT 2'!$D:$D,$B78,'DRAFT 2'!$A:$A,"&gt;="&amp;DATE(2026,1,1),'DRAFT 2'!$A:$A,"&lt;="&amp;DATE(2026,1,7))</f>
        <v/>
      </c>
      <c r="CH78" s="116">
        <f>COUNTIFS('DRAFT 2'!$D:$D,$B78,'DRAFT 2'!$A:$A,"&gt;="&amp;DATE(2026,1,8),'DRAFT 2'!$A:$A,"&lt;="&amp;DATE(2026,1,14))</f>
        <v/>
      </c>
      <c r="CI78" s="116">
        <f>COUNTIFS('DRAFT 2'!$D:$D,$B78,'DRAFT 2'!$A:$A,"&gt;="&amp;DATE(2026,1,15),'DRAFT 2'!$A:$A,"&lt;="&amp;DATE(2026,1,21))</f>
        <v/>
      </c>
      <c r="CJ78" s="116">
        <f>COUNTIFS('DRAFT 2'!$D:$D,$B78,'DRAFT 2'!$A:$A,"&gt;="&amp;DATE(2026,1,22),'DRAFT 2'!$A:$A,"&lt;"&amp;DATE(2026,IF(1=12,1+1,1+1),1))</f>
        <v/>
      </c>
      <c r="CK78" s="116">
        <f>SUM(CG78:CJ78)</f>
        <v/>
      </c>
      <c r="CT78" s="116" t="n">
        <v>0</v>
      </c>
      <c r="CU78" s="116">
        <f>IFERROR(LOOKUP(2,1/('DRAFT 2'!$D:$D=$B78)*('DRAFT 2'!$A:$A&gt;=DATE(2026,2,1))*('DRAFT 2'!$A:$A&lt;DATE(2026,IF(2=12,2+1,2+1),1)),'DRAFT 2'!$A:$A),"")</f>
        <v/>
      </c>
      <c r="CV78" s="116">
        <f>COUNTIFS('DRAFT 2'!$D:$D,$B78,'DRAFT 2'!$A:$A,"&gt;="&amp;DATE(2026,2,1),'DRAFT 2'!$A:$A,"&lt;="&amp;DATE(2026,2,7))</f>
        <v/>
      </c>
      <c r="CW78" s="116">
        <f>COUNTIFS('DRAFT 2'!$D:$D,$B78,'DRAFT 2'!$A:$A,"&gt;="&amp;DATE(2026,2,8),'DRAFT 2'!$A:$A,"&lt;="&amp;DATE(2026,2,14))</f>
        <v/>
      </c>
      <c r="CX78" s="116">
        <f>COUNTIFS('DRAFT 2'!$D:$D,$B78,'DRAFT 2'!$A:$A,"&gt;="&amp;DATE(2026,2,15),'DRAFT 2'!$A:$A,"&lt;="&amp;DATE(2026,2,21))</f>
        <v/>
      </c>
      <c r="CY78" s="116">
        <f>COUNTIFS('DRAFT 2'!$D:$D,$B78,'DRAFT 2'!$A:$A,"&gt;="&amp;DATE(2026,2,22),'DRAFT 2'!$A:$A,"&lt;"&amp;DATE(2026,IF(2=12,2+1,2+1),1))</f>
        <v/>
      </c>
      <c r="CZ78" s="116">
        <f>SUM(CV78:CY78)</f>
        <v/>
      </c>
      <c r="DJ78" s="116">
        <f>IFERROR(LOOKUP(2,1/('DRAFT 2'!$D:$D=$B78)*('DRAFT 2'!$A:$A&gt;=DATE(2026,3,1))*('DRAFT 2'!$A:$A&lt;DATE(2026,IF(3=12,3+1,3+1),1)),'DRAFT 2'!$A:$A),"")</f>
        <v/>
      </c>
      <c r="DK78" s="116">
        <f>COUNTIFS('DRAFT 2'!$D:$D,$B78,'DRAFT 2'!$A:$A,"&gt;="&amp;DATE(2026,3,1),'DRAFT 2'!$A:$A,"&lt;="&amp;DATE(2026,3,7))</f>
        <v/>
      </c>
      <c r="DL78" s="116">
        <f>COUNTIFS('DRAFT 2'!$D:$D,$B78,'DRAFT 2'!$A:$A,"&gt;="&amp;DATE(2026,3,8),'DRAFT 2'!$A:$A,"&lt;="&amp;DATE(2026,3,14))</f>
        <v/>
      </c>
      <c r="DM78" s="116">
        <f>COUNTIFS('DRAFT 2'!$D:$D,$B78,'DRAFT 2'!$A:$A,"&gt;="&amp;DATE(2026,3,15),'DRAFT 2'!$A:$A,"&lt;="&amp;DATE(2026,3,21))</f>
        <v/>
      </c>
      <c r="DN78" s="116">
        <f>COUNTIFS('DRAFT 2'!$D:$D,$B78,'DRAFT 2'!$A:$A,"&gt;="&amp;DATE(2026,3,22),'DRAFT 2'!$A:$A,"&lt;"&amp;DATE(2026,IF(3=12,3+1,3+1),1))</f>
        <v/>
      </c>
      <c r="DO78" s="116">
        <f>SUM(DK78:DN78)</f>
        <v/>
      </c>
      <c r="DZ78" s="116">
        <f>IFERROR(LOOKUP(2,1/('DRAFT 2'!$D:$D=$B78)*('DRAFT 2'!$A:$A&gt;=DATE(2026,4,1))*('DRAFT 2'!$A:$A&lt;DATE(2026,IF(4=12,4+1,4+1),1)),'DRAFT 2'!$A:$A),"")</f>
        <v/>
      </c>
      <c r="EA78" s="116">
        <f>COUNTIFS('DRAFT 2'!$D:$D,$B78,'DRAFT 2'!$A:$A,"&gt;="&amp;DATE(2026,4,1),'DRAFT 2'!$A:$A,"&lt;="&amp;DATE(2026,4,7))</f>
        <v/>
      </c>
      <c r="EB78" s="116">
        <f>COUNTIFS('DRAFT 2'!$D:$D,$B78,'DRAFT 2'!$A:$A,"&gt;="&amp;DATE(2026,4,8),'DRAFT 2'!$A:$A,"&lt;="&amp;DATE(2026,4,14))</f>
        <v/>
      </c>
      <c r="EC78" s="116">
        <f>COUNTIFS('DRAFT 2'!$D:$D,$B78,'DRAFT 2'!$A:$A,"&gt;="&amp;DATE(2026,4,15),'DRAFT 2'!$A:$A,"&lt;="&amp;DATE(2026,4,21))</f>
        <v/>
      </c>
      <c r="ED78" s="116">
        <f>COUNTIFS('DRAFT 2'!$D:$D,$B78,'DRAFT 2'!$A:$A,"&gt;="&amp;DATE(2026,4,22),'DRAFT 2'!$A:$A,"&lt;"&amp;DATE(2026,IF(4=12,4+1,4+1),1))</f>
        <v/>
      </c>
      <c r="EE78" s="116">
        <f>SUM(EA78:ED78)</f>
        <v/>
      </c>
      <c r="EO78" s="116">
        <f>IFERROR(LOOKUP(2,1/('DRAFT 2'!$D:$D=$B78)*('DRAFT 2'!$A:$A&gt;=DATE(2026,5,1))*('DRAFT 2'!$A:$A&lt;DATE(2026,IF(5=12,5+1,5+1),1)),'DRAFT 2'!$A:$A),"")</f>
        <v/>
      </c>
      <c r="EP78" s="116">
        <f>COUNTIFS('DRAFT 2'!$D:$D,$B78,'DRAFT 2'!$A:$A,"&gt;="&amp;DATE(2026,5,1),'DRAFT 2'!$A:$A,"&lt;="&amp;DATE(2026,5,7))</f>
        <v/>
      </c>
      <c r="EQ78" s="116">
        <f>COUNTIFS('DRAFT 2'!$D:$D,$B78,'DRAFT 2'!$A:$A,"&gt;="&amp;DATE(2026,5,8),'DRAFT 2'!$A:$A,"&lt;="&amp;DATE(2026,5,14))</f>
        <v/>
      </c>
      <c r="ER78" s="116">
        <f>COUNTIFS('DRAFT 2'!$D:$D,$B78,'DRAFT 2'!$A:$A,"&gt;="&amp;DATE(2026,5,15),'DRAFT 2'!$A:$A,"&lt;="&amp;DATE(2026,5,21))</f>
        <v/>
      </c>
      <c r="ES78" s="116">
        <f>COUNTIFS('DRAFT 2'!$D:$D,$B78,'DRAFT 2'!$A:$A,"&gt;="&amp;DATE(2026,5,22),'DRAFT 2'!$A:$A,"&lt;"&amp;DATE(2026,IF(5=12,5+1,5+1),1))</f>
        <v/>
      </c>
      <c r="ET78" s="116">
        <f>SUM(EP78:ES78)</f>
        <v/>
      </c>
      <c r="FD78" s="116">
        <f>IFERROR(LOOKUP(2,1/('DRAFT 2'!$D:$D=$B78)*('DRAFT 2'!$A:$A&gt;=DATE(2026,6,1))*('DRAFT 2'!$A:$A&lt;DATE(2026,IF(6=12,6+1,6+1),1)),'DRAFT 2'!$A:$A),"")</f>
        <v/>
      </c>
      <c r="FE78" s="116">
        <f>COUNTIFS('DRAFT 2'!$D:$D,$B78,'DRAFT 2'!$A:$A,"&gt;="&amp;DATE(2026,6,1),'DRAFT 2'!$A:$A,"&lt;="&amp;DATE(2026,6,7))</f>
        <v/>
      </c>
      <c r="FF78" s="116">
        <f>COUNTIFS('DRAFT 2'!$D:$D,$B78,'DRAFT 2'!$A:$A,"&gt;="&amp;DATE(2026,6,8),'DRAFT 2'!$A:$A,"&lt;="&amp;DATE(2026,6,14))</f>
        <v/>
      </c>
      <c r="FG78" s="116">
        <f>COUNTIFS('DRAFT 2'!$D:$D,$B78,'DRAFT 2'!$A:$A,"&gt;="&amp;DATE(2026,6,15),'DRAFT 2'!$A:$A,"&lt;="&amp;DATE(2026,6,21))</f>
        <v/>
      </c>
      <c r="FH78" s="116">
        <f>COUNTIFS('DRAFT 2'!$D:$D,$B78,'DRAFT 2'!$A:$A,"&gt;="&amp;DATE(2026,6,22),'DRAFT 2'!$A:$A,"&lt;"&amp;DATE(2026,IF(6=12,6+1,6+1),1))</f>
        <v/>
      </c>
      <c r="FI78" s="116">
        <f>SUM(FE78:FH78)</f>
        <v/>
      </c>
      <c r="FT78" s="116">
        <f>IFERROR(LOOKUP(2,1/('DRAFT 2'!$D:$D=$B78)*('DRAFT 2'!$A:$A&gt;=DATE(2026,7,1))*('DRAFT 2'!$A:$A&lt;DATE(2026,IF(7=12,7+1,7+1),1)),'DRAFT 2'!$A:$A),"")</f>
        <v/>
      </c>
      <c r="FU78" s="116">
        <f>COUNTIFS('DRAFT 2'!$D:$D,$B78,'DRAFT 2'!$A:$A,"&gt;="&amp;DATE(2026,7,1),'DRAFT 2'!$A:$A,"&lt;="&amp;DATE(2026,7,7))</f>
        <v/>
      </c>
      <c r="FV78" s="116">
        <f>COUNTIFS('DRAFT 2'!$D:$D,$B78,'DRAFT 2'!$A:$A,"&gt;="&amp;DATE(2026,7,8),'DRAFT 2'!$A:$A,"&lt;="&amp;DATE(2026,7,14))</f>
        <v/>
      </c>
      <c r="FW78" s="116">
        <f>COUNTIFS('DRAFT 2'!$D:$D,$B78,'DRAFT 2'!$A:$A,"&gt;="&amp;DATE(2026,7,15),'DRAFT 2'!$A:$A,"&lt;="&amp;DATE(2026,7,21))</f>
        <v/>
      </c>
      <c r="FX78" s="116">
        <f>COUNTIFS('DRAFT 2'!$D:$D,$B78,'DRAFT 2'!$A:$A,"&gt;="&amp;DATE(2026,7,22),'DRAFT 2'!$A:$A,"&lt;"&amp;DATE(2026,IF(7=12,7+1,7+1),1))</f>
        <v/>
      </c>
      <c r="FY78" s="116">
        <f>SUM(FU78:FX78)</f>
        <v/>
      </c>
      <c r="GI78" s="116">
        <f>IFERROR(LOOKUP(2,1/('DRAFT 2'!$D:$D=$B78)*('DRAFT 2'!$A:$A&gt;=DATE(2026,8,1))*('DRAFT 2'!$A:$A&lt;DATE(2026,IF(8=12,8+1,8+1),1)),'DRAFT 2'!$A:$A),"")</f>
        <v/>
      </c>
      <c r="GJ78" s="116">
        <f>COUNTIFS('DRAFT 2'!$D:$D,$B78,'DRAFT 2'!$A:$A,"&gt;="&amp;DATE(2026,8,1),'DRAFT 2'!$A:$A,"&lt;="&amp;DATE(2026,8,7))</f>
        <v/>
      </c>
      <c r="GK78" s="116">
        <f>COUNTIFS('DRAFT 2'!$D:$D,$B78,'DRAFT 2'!$A:$A,"&gt;="&amp;DATE(2026,8,8),'DRAFT 2'!$A:$A,"&lt;="&amp;DATE(2026,8,14))</f>
        <v/>
      </c>
      <c r="GL78" s="116">
        <f>COUNTIFS('DRAFT 2'!$D:$D,$B78,'DRAFT 2'!$A:$A,"&gt;="&amp;DATE(2026,8,15),'DRAFT 2'!$A:$A,"&lt;="&amp;DATE(2026,8,21))</f>
        <v/>
      </c>
      <c r="GM78" s="116">
        <f>COUNTIFS('DRAFT 2'!$D:$D,$B78,'DRAFT 2'!$A:$A,"&gt;="&amp;DATE(2026,8,22),'DRAFT 2'!$A:$A,"&lt;"&amp;DATE(2026,IF(8=12,8+1,8+1),1))</f>
        <v/>
      </c>
      <c r="GN78" s="116">
        <f>SUM(GJ78:GM78)</f>
        <v/>
      </c>
      <c r="GX78" s="116">
        <f>IFERROR(LOOKUP(2,1/('DRAFT 2'!$D:$D=$B78)*('DRAFT 2'!$A:$A&gt;=DATE(2026,9,1))*('DRAFT 2'!$A:$A&lt;DATE(2026,IF(9=12,9+1,9+1),1)),'DRAFT 2'!$A:$A),"")</f>
        <v/>
      </c>
      <c r="GY78" s="116">
        <f>COUNTIFS('DRAFT 2'!$D:$D,$B78,'DRAFT 2'!$A:$A,"&gt;="&amp;DATE(2026,9,1),'DRAFT 2'!$A:$A,"&lt;="&amp;DATE(2026,9,7))</f>
        <v/>
      </c>
      <c r="GZ78" s="116">
        <f>COUNTIFS('DRAFT 2'!$D:$D,$B78,'DRAFT 2'!$A:$A,"&gt;="&amp;DATE(2026,9,8),'DRAFT 2'!$A:$A,"&lt;="&amp;DATE(2026,9,14))</f>
        <v/>
      </c>
      <c r="HA78" s="116">
        <f>COUNTIFS('DRAFT 2'!$D:$D,$B78,'DRAFT 2'!$A:$A,"&gt;="&amp;DATE(2026,9,15),'DRAFT 2'!$A:$A,"&lt;="&amp;DATE(2026,9,21))</f>
        <v/>
      </c>
      <c r="HB78" s="116">
        <f>COUNTIFS('DRAFT 2'!$D:$D,$B78,'DRAFT 2'!$A:$A,"&gt;="&amp;DATE(2026,9,22),'DRAFT 2'!$A:$A,"&lt;"&amp;DATE(2026,IF(9=12,9+1,9+1),1))</f>
        <v/>
      </c>
      <c r="HC78" s="116">
        <f>SUM(GY78:HB78)</f>
        <v/>
      </c>
      <c r="HN78" s="116">
        <f>IFERROR(LOOKUP(2,1/('DRAFT 2'!$D:$D=$B78)*('DRAFT 2'!$A:$A&gt;=DATE(2026,10,1))*('DRAFT 2'!$A:$A&lt;DATE(2026,IF(10=12,10+1,10+1),1)),'DRAFT 2'!$A:$A),"")</f>
        <v/>
      </c>
      <c r="HO78" s="116">
        <f>COUNTIFS('DRAFT 2'!$D:$D,$B78,'DRAFT 2'!$A:$A,"&gt;="&amp;DATE(2026,10,1),'DRAFT 2'!$A:$A,"&lt;="&amp;DATE(2026,10,7))</f>
        <v/>
      </c>
      <c r="HP78" s="116">
        <f>COUNTIFS('DRAFT 2'!$D:$D,$B78,'DRAFT 2'!$A:$A,"&gt;="&amp;DATE(2026,10,8),'DRAFT 2'!$A:$A,"&lt;="&amp;DATE(2026,10,14))</f>
        <v/>
      </c>
      <c r="HQ78" s="116">
        <f>COUNTIFS('DRAFT 2'!$D:$D,$B78,'DRAFT 2'!$A:$A,"&gt;="&amp;DATE(2026,10,15),'DRAFT 2'!$A:$A,"&lt;="&amp;DATE(2026,10,21))</f>
        <v/>
      </c>
      <c r="HR78" s="116">
        <f>COUNTIFS('DRAFT 2'!$D:$D,$B78,'DRAFT 2'!$A:$A,"&gt;="&amp;DATE(2026,10,22),'DRAFT 2'!$A:$A,"&lt;"&amp;DATE(2026,IF(10=12,10+1,10+1),1))</f>
        <v/>
      </c>
      <c r="HS78" s="116">
        <f>SUM(HO78:HR78)</f>
        <v/>
      </c>
      <c r="IC78" s="116">
        <f>IFERROR(LOOKUP(2,1/('DRAFT 2'!$D:$D=$B78)*('DRAFT 2'!$A:$A&gt;=DATE(2026,11,1))*('DRAFT 2'!$A:$A&lt;DATE(2026,IF(11=12,11+1,11+1),1)),'DRAFT 2'!$A:$A),"")</f>
        <v/>
      </c>
      <c r="ID78" s="116">
        <f>COUNTIFS('DRAFT 2'!$D:$D,$B78,'DRAFT 2'!$A:$A,"&gt;="&amp;DATE(2026,11,1),'DRAFT 2'!$A:$A,"&lt;="&amp;DATE(2026,11,7))</f>
        <v/>
      </c>
      <c r="IE78" s="116">
        <f>COUNTIFS('DRAFT 2'!$D:$D,$B78,'DRAFT 2'!$A:$A,"&gt;="&amp;DATE(2026,11,8),'DRAFT 2'!$A:$A,"&lt;="&amp;DATE(2026,11,14))</f>
        <v/>
      </c>
      <c r="IF78" s="116">
        <f>COUNTIFS('DRAFT 2'!$D:$D,$B78,'DRAFT 2'!$A:$A,"&gt;="&amp;DATE(2026,11,15),'DRAFT 2'!$A:$A,"&lt;="&amp;DATE(2026,11,21))</f>
        <v/>
      </c>
      <c r="IG78" s="116">
        <f>COUNTIFS('DRAFT 2'!$D:$D,$B78,'DRAFT 2'!$A:$A,"&gt;="&amp;DATE(2026,11,22),'DRAFT 2'!$A:$A,"&lt;"&amp;DATE(2026,IF(11=12,11+1,11+1),1))</f>
        <v/>
      </c>
      <c r="IH78" s="116">
        <f>SUM(ID78:IG78)</f>
        <v/>
      </c>
      <c r="IR78" s="116">
        <f>IFERROR(LOOKUP(2,1/('DRAFT 2'!$D:$D=$B78)*('DRAFT 2'!$A:$A&gt;=DATE(2026,12,1))*('DRAFT 2'!$A:$A&lt;DATE(2026,IF(12=12,12+1,12+1),1)),'DRAFT 2'!$A:$A),"")</f>
        <v/>
      </c>
      <c r="IS78" s="116">
        <f>COUNTIFS('DRAFT 2'!$D:$D,$B78,'DRAFT 2'!$A:$A,"&gt;="&amp;DATE(2026,12,1),'DRAFT 2'!$A:$A,"&lt;="&amp;DATE(2026,12,7))</f>
        <v/>
      </c>
      <c r="IT78" s="116">
        <f>COUNTIFS('DRAFT 2'!$D:$D,$B78,'DRAFT 2'!$A:$A,"&gt;="&amp;DATE(2026,12,8),'DRAFT 2'!$A:$A,"&lt;="&amp;DATE(2026,12,14))</f>
        <v/>
      </c>
      <c r="IU78" s="116">
        <f>COUNTIFS('DRAFT 2'!$D:$D,$B78,'DRAFT 2'!$A:$A,"&gt;="&amp;DATE(2026,12,15),'DRAFT 2'!$A:$A,"&lt;="&amp;DATE(2026,12,21))</f>
        <v/>
      </c>
      <c r="IV78" s="116">
        <f>COUNTIFS('DRAFT 2'!$D:$D,$B78,'DRAFT 2'!$A:$A,"&gt;="&amp;DATE(2026,12,22),'DRAFT 2'!$A:$A,"&lt;"&amp;DATE(2026,IF(12=12,12+1,12+1),1))</f>
        <v/>
      </c>
      <c r="IW78" s="116">
        <f>SUM(IS78:IV78)</f>
        <v/>
      </c>
    </row>
    <row r="79">
      <c r="A79" s="116">
        <f>IFERROR(INDEX('DRAFT 1'!$A:$A,MATCH($B79,'DRAFT 1'!$B:$B,0)),"")</f>
        <v/>
      </c>
      <c r="C79" s="116">
        <f>IFERROR(INDEX('DRAFT 1'!$C:$C,MATCH($B79,'DRAFT 1'!$B:$B,0)),"")</f>
        <v/>
      </c>
      <c r="D79" s="116">
        <f>IFERROR(INDEX('DRAFT 1'!$D:$D,MATCH($B79,'DRAFT 1'!$B:$B,0)),"")</f>
        <v/>
      </c>
      <c r="E79" s="116">
        <f>IFERROR(INDEX('DRAFT 1'!$E:$E,MATCH($B79,'DRAFT 1'!$B:$B,0)),"")</f>
        <v/>
      </c>
      <c r="F79" s="116">
        <f>IFERROR(INDEX('DRAFT 1'!$F:$F,MATCH($B79,'DRAFT 1'!$B:$B,0)),"")</f>
        <v/>
      </c>
      <c r="G79" s="116">
        <f>IFERROR(INDEX('DRAFT 1'!$G:$G,MATCH($B79,'DRAFT 1'!$B:$B,0)),"")</f>
        <v/>
      </c>
      <c r="H79" s="116">
        <f>IFERROR(INDEX('DRAFT 1'!$H:$H,MATCH($B79,'DRAFT 1'!$B:$B,0)),"")</f>
        <v/>
      </c>
      <c r="I79" s="116" t="inlineStr">
        <is>
          <t>MUNDO VERDE</t>
        </is>
      </c>
      <c r="K79" s="116">
        <f>IFERROR(INDEX('DRAFT 1'!$AL:$AL,MATCH($B79,'DRAFT 1'!$B:$B,0)),"")</f>
        <v/>
      </c>
      <c r="L79" s="116">
        <f>IFERROR(INDEX('DRAFT 1'!$J:$J,MATCH($B79,'DRAFT 1'!$B:$B,0)),"")</f>
        <v/>
      </c>
      <c r="M79" s="116">
        <f>IFERROR(INDEX('DRAFT 1'!$K:$K,MATCH($B79,'DRAFT 1'!$B:$B,0)),"")</f>
        <v/>
      </c>
      <c r="N79" s="116" t="inlineStr">
        <is>
          <t>ATIVO</t>
        </is>
      </c>
      <c r="P79" s="116">
        <f>IFERROR(INDEX('DRAFT 1'!$L:$L,MATCH($B79,'DRAFT 1'!$B:$B,0)),"")</f>
        <v/>
      </c>
      <c r="Q79" s="116">
        <f>IFERROR(INDEX('DRAFT 1'!$M:$M,MATCH($B79,'DRAFT 1'!$B:$B,0)),"")</f>
        <v/>
      </c>
      <c r="R79" s="116">
        <f>IFERROR(INDEX('DRAFT 1'!$N:$N,MATCH($B79,'DRAFT 1'!$B:$B,0)),"")</f>
        <v/>
      </c>
      <c r="S79" s="116">
        <f>IFERROR(INDEX('DRAFT 1'!$O:$O,MATCH($B79,'DRAFT 1'!$B:$B,0)),"")</f>
        <v/>
      </c>
      <c r="T79" s="116">
        <f>IFERROR(INDEX('DRAFT 1'!$P:$P,MATCH($B79,'DRAFT 1'!$B:$B,0)),"")</f>
        <v/>
      </c>
      <c r="U79" s="116">
        <f>IFERROR(INDEX('DRAFT 1'!$Q:$Q,MATCH($B79,'DRAFT 1'!$B:$B,0)),"")</f>
        <v/>
      </c>
      <c r="V79" s="116">
        <f>IFERROR(INDEX('DRAFT 1'!$R:$R,MATCH($B79,'DRAFT 1'!$B:$B,0)),"")</f>
        <v/>
      </c>
      <c r="W79" s="116">
        <f>IFERROR(INDEX('DRAFT 1'!$S:$S,MATCH($B79,'DRAFT 1'!$B:$B,0)),"")</f>
        <v/>
      </c>
      <c r="X79" s="116">
        <f>IFERROR(INDEX('DRAFT 1'!$T:$T,MATCH($B79,'DRAFT 1'!$B:$B,0)),"")</f>
        <v/>
      </c>
      <c r="Z79" s="116">
        <f>IFERROR(INDEX('DRAFT 1'!$U:$U,MATCH($B79,'DRAFT 1'!$B:$B,0)),"")</f>
        <v/>
      </c>
      <c r="AA79" s="116">
        <f>IFERROR(INDEX('DRAFT 1'!$V:$V,MATCH($B79,'DRAFT 1'!$B:$B,0)),"")</f>
        <v/>
      </c>
      <c r="AB79" s="116">
        <f>IFERROR(INDEX('DRAFT 1'!$W:$W,MATCH($B79,'DRAFT 1'!$B:$B,0)),"")</f>
        <v/>
      </c>
      <c r="AC79" s="116">
        <f>IFERROR(INDEX('DRAFT 1'!$X:$X,MATCH($B79,'DRAFT 1'!$B:$B,0)),"")</f>
        <v/>
      </c>
      <c r="AD79" s="116">
        <f>IFERROR(INDEX('DRAFT 1'!$Y:$Y,MATCH($B79,'DRAFT 1'!$B:$B,0)),"")</f>
        <v/>
      </c>
      <c r="AE79" s="116">
        <f>IFERROR(INDEX('DRAFT 1'!$Z:$Z,MATCH($B79,'DRAFT 1'!$B:$B,0)),"")</f>
        <v/>
      </c>
      <c r="AF79" s="116">
        <f>IFERROR(INDEX('DRAFT 1'!$AA:$AA,MATCH($B79,'DRAFT 1'!$B:$B,0)),"")</f>
        <v/>
      </c>
      <c r="AG79" s="116">
        <f>IFERROR(INDEX('DRAFT 1'!$AB:$AB,MATCH($B79,'DRAFT 1'!$B:$B,0)),"")</f>
        <v/>
      </c>
      <c r="AH79" s="116">
        <f>IFERROR(INDEX('DRAFT 1'!$AC:$AC,MATCH($B79,'DRAFT 1'!$B:$B,0)),"")</f>
        <v/>
      </c>
      <c r="AI79" s="116">
        <f>IFERROR(INDEX('DRAFT 1'!$AD:$AD,MATCH($B79,'DRAFT 1'!$B:$B,0)),"")</f>
        <v/>
      </c>
      <c r="AJ79" s="116">
        <f>IFERROR(INDEX('DRAFT 1'!$AE:$AE,MATCH($B79,'DRAFT 1'!$B:$B,0)),"")</f>
        <v/>
      </c>
      <c r="AK79" s="116">
        <f>IFERROR(INDEX('DRAFT 1'!$AG:$AG,MATCH($B79,'DRAFT 1'!$B:$B,0)),"")</f>
        <v/>
      </c>
      <c r="AL79" s="116">
        <f>IFERROR(INDEX('DRAFT 1'!$AH:$AH,MATCH($B79,'DRAFT 1'!$B:$B,0)),"")</f>
        <v/>
      </c>
      <c r="AM79" s="116">
        <f>IFERROR(INDEX('DRAFT 1'!$AI:$AI,MATCH($B79,'DRAFT 1'!$B:$B,0)),"")</f>
        <v/>
      </c>
      <c r="AN79" s="116">
        <f>IFERROR(INDEX('DRAFT 1'!$AJ:$AJ,MATCH($B79,'DRAFT 1'!$B:$B,0)),"")</f>
        <v/>
      </c>
      <c r="AO79" s="116">
        <f>IFERROR(Y79/AN79,0)</f>
        <v/>
      </c>
      <c r="AP79" s="116">
        <f>IFERROR(INDEX('DRAFT 1'!$AK:$AK,MATCH($B79,'DRAFT 1'!$B:$B,0)),"")</f>
        <v/>
      </c>
      <c r="AR79" s="116" t="inlineStr">
        <is>
          <t>CS</t>
        </is>
      </c>
      <c r="AS79" s="116">
        <f>IFERROR(LOOKUP(2,1/('DRAFT 2'!$D:$D=$B79),'DRAFT 2'!$T:$T),"")</f>
        <v/>
      </c>
      <c r="AT79" s="116">
        <f>IFERROR(LOOKUP(2,1/('DRAFT 2'!$D:$D=$B79),'DRAFT 2'!$A:$A),"")</f>
        <v/>
      </c>
      <c r="AU79" s="116">
        <f>IFERROR(LOOKUP(2,1/('DRAFT 2'!$D:$D=$B79),'DRAFT 2'!$R:$R),"")</f>
        <v/>
      </c>
      <c r="AV79" s="116">
        <f>IFERROR(LOOKUP(2,1/('DRAFT 2'!$D:$D=$B79),'DRAFT 2'!$S:$S),"")</f>
        <v/>
      </c>
      <c r="AW79" s="116" t="inlineStr">
        <is>
          <t>NOVO</t>
        </is>
      </c>
      <c r="AX79" s="116">
        <f>IFERROR(LOOKUP(2,1/('DRAFT 2'!$D:$D=$B79),'DRAFT 2'!$M:$M),"")</f>
        <v/>
      </c>
      <c r="AY79" s="116">
        <f>IFERROR(LOOKUP(2,1/('DRAFT 2'!$D:$D=$B79),'DRAFT 2'!$K:$K),"")</f>
        <v/>
      </c>
      <c r="BG79" s="116">
        <f>IFERROR(LOOKUP(2,1/('DRAFT 2'!$D:$D=$B79),'DRAFT 2'!$U:$U),"")</f>
        <v/>
      </c>
      <c r="BH79" s="116">
        <f>IFERROR(LOOKUP(2,1/('DRAFT 2'!$D:$D=$B79),'DRAFT 2'!$V:$V),"")</f>
        <v/>
      </c>
      <c r="CE79" s="116">
        <f>IFERROR(AJ79,0)</f>
        <v/>
      </c>
      <c r="CF79" s="116">
        <f>IFERROR(LOOKUP(2,1/('DRAFT 2'!$D:$D=$B79)*('DRAFT 2'!$A:$A&gt;=DATE(2026,1,1))*('DRAFT 2'!$A:$A&lt;DATE(2026,IF(1=12,1+1,1+1),1)),'DRAFT 2'!$A:$A),"")</f>
        <v/>
      </c>
      <c r="CG79" s="116">
        <f>COUNTIFS('DRAFT 2'!$D:$D,$B79,'DRAFT 2'!$A:$A,"&gt;="&amp;DATE(2026,1,1),'DRAFT 2'!$A:$A,"&lt;="&amp;DATE(2026,1,7))</f>
        <v/>
      </c>
      <c r="CH79" s="116">
        <f>COUNTIFS('DRAFT 2'!$D:$D,$B79,'DRAFT 2'!$A:$A,"&gt;="&amp;DATE(2026,1,8),'DRAFT 2'!$A:$A,"&lt;="&amp;DATE(2026,1,14))</f>
        <v/>
      </c>
      <c r="CI79" s="116">
        <f>COUNTIFS('DRAFT 2'!$D:$D,$B79,'DRAFT 2'!$A:$A,"&gt;="&amp;DATE(2026,1,15),'DRAFT 2'!$A:$A,"&lt;="&amp;DATE(2026,1,21))</f>
        <v/>
      </c>
      <c r="CJ79" s="116">
        <f>COUNTIFS('DRAFT 2'!$D:$D,$B79,'DRAFT 2'!$A:$A,"&gt;="&amp;DATE(2026,1,22),'DRAFT 2'!$A:$A,"&lt;"&amp;DATE(2026,IF(1=12,1+1,1+1),1))</f>
        <v/>
      </c>
      <c r="CK79" s="116">
        <f>SUM(CG79:CJ79)</f>
        <v/>
      </c>
      <c r="CT79" s="116" t="n">
        <v>0</v>
      </c>
      <c r="CU79" s="116">
        <f>IFERROR(LOOKUP(2,1/('DRAFT 2'!$D:$D=$B79)*('DRAFT 2'!$A:$A&gt;=DATE(2026,2,1))*('DRAFT 2'!$A:$A&lt;DATE(2026,IF(2=12,2+1,2+1),1)),'DRAFT 2'!$A:$A),"")</f>
        <v/>
      </c>
      <c r="CV79" s="116">
        <f>COUNTIFS('DRAFT 2'!$D:$D,$B79,'DRAFT 2'!$A:$A,"&gt;="&amp;DATE(2026,2,1),'DRAFT 2'!$A:$A,"&lt;="&amp;DATE(2026,2,7))</f>
        <v/>
      </c>
      <c r="CW79" s="116">
        <f>COUNTIFS('DRAFT 2'!$D:$D,$B79,'DRAFT 2'!$A:$A,"&gt;="&amp;DATE(2026,2,8),'DRAFT 2'!$A:$A,"&lt;="&amp;DATE(2026,2,14))</f>
        <v/>
      </c>
      <c r="CX79" s="116">
        <f>COUNTIFS('DRAFT 2'!$D:$D,$B79,'DRAFT 2'!$A:$A,"&gt;="&amp;DATE(2026,2,15),'DRAFT 2'!$A:$A,"&lt;="&amp;DATE(2026,2,21))</f>
        <v/>
      </c>
      <c r="CY79" s="116">
        <f>COUNTIFS('DRAFT 2'!$D:$D,$B79,'DRAFT 2'!$A:$A,"&gt;="&amp;DATE(2026,2,22),'DRAFT 2'!$A:$A,"&lt;"&amp;DATE(2026,IF(2=12,2+1,2+1),1))</f>
        <v/>
      </c>
      <c r="CZ79" s="116">
        <f>SUM(CV79:CY79)</f>
        <v/>
      </c>
      <c r="DJ79" s="116">
        <f>IFERROR(LOOKUP(2,1/('DRAFT 2'!$D:$D=$B79)*('DRAFT 2'!$A:$A&gt;=DATE(2026,3,1))*('DRAFT 2'!$A:$A&lt;DATE(2026,IF(3=12,3+1,3+1),1)),'DRAFT 2'!$A:$A),"")</f>
        <v/>
      </c>
      <c r="DK79" s="116">
        <f>COUNTIFS('DRAFT 2'!$D:$D,$B79,'DRAFT 2'!$A:$A,"&gt;="&amp;DATE(2026,3,1),'DRAFT 2'!$A:$A,"&lt;="&amp;DATE(2026,3,7))</f>
        <v/>
      </c>
      <c r="DL79" s="116">
        <f>COUNTIFS('DRAFT 2'!$D:$D,$B79,'DRAFT 2'!$A:$A,"&gt;="&amp;DATE(2026,3,8),'DRAFT 2'!$A:$A,"&lt;="&amp;DATE(2026,3,14))</f>
        <v/>
      </c>
      <c r="DM79" s="116">
        <f>COUNTIFS('DRAFT 2'!$D:$D,$B79,'DRAFT 2'!$A:$A,"&gt;="&amp;DATE(2026,3,15),'DRAFT 2'!$A:$A,"&lt;="&amp;DATE(2026,3,21))</f>
        <v/>
      </c>
      <c r="DN79" s="116">
        <f>COUNTIFS('DRAFT 2'!$D:$D,$B79,'DRAFT 2'!$A:$A,"&gt;="&amp;DATE(2026,3,22),'DRAFT 2'!$A:$A,"&lt;"&amp;DATE(2026,IF(3=12,3+1,3+1),1))</f>
        <v/>
      </c>
      <c r="DO79" s="116">
        <f>SUM(DK79:DN79)</f>
        <v/>
      </c>
      <c r="DZ79" s="116">
        <f>IFERROR(LOOKUP(2,1/('DRAFT 2'!$D:$D=$B79)*('DRAFT 2'!$A:$A&gt;=DATE(2026,4,1))*('DRAFT 2'!$A:$A&lt;DATE(2026,IF(4=12,4+1,4+1),1)),'DRAFT 2'!$A:$A),"")</f>
        <v/>
      </c>
      <c r="EA79" s="116">
        <f>COUNTIFS('DRAFT 2'!$D:$D,$B79,'DRAFT 2'!$A:$A,"&gt;="&amp;DATE(2026,4,1),'DRAFT 2'!$A:$A,"&lt;="&amp;DATE(2026,4,7))</f>
        <v/>
      </c>
      <c r="EB79" s="116">
        <f>COUNTIFS('DRAFT 2'!$D:$D,$B79,'DRAFT 2'!$A:$A,"&gt;="&amp;DATE(2026,4,8),'DRAFT 2'!$A:$A,"&lt;="&amp;DATE(2026,4,14))</f>
        <v/>
      </c>
      <c r="EC79" s="116">
        <f>COUNTIFS('DRAFT 2'!$D:$D,$B79,'DRAFT 2'!$A:$A,"&gt;="&amp;DATE(2026,4,15),'DRAFT 2'!$A:$A,"&lt;="&amp;DATE(2026,4,21))</f>
        <v/>
      </c>
      <c r="ED79" s="116">
        <f>COUNTIFS('DRAFT 2'!$D:$D,$B79,'DRAFT 2'!$A:$A,"&gt;="&amp;DATE(2026,4,22),'DRAFT 2'!$A:$A,"&lt;"&amp;DATE(2026,IF(4=12,4+1,4+1),1))</f>
        <v/>
      </c>
      <c r="EE79" s="116">
        <f>SUM(EA79:ED79)</f>
        <v/>
      </c>
      <c r="EO79" s="116">
        <f>IFERROR(LOOKUP(2,1/('DRAFT 2'!$D:$D=$B79)*('DRAFT 2'!$A:$A&gt;=DATE(2026,5,1))*('DRAFT 2'!$A:$A&lt;DATE(2026,IF(5=12,5+1,5+1),1)),'DRAFT 2'!$A:$A),"")</f>
        <v/>
      </c>
      <c r="EP79" s="116">
        <f>COUNTIFS('DRAFT 2'!$D:$D,$B79,'DRAFT 2'!$A:$A,"&gt;="&amp;DATE(2026,5,1),'DRAFT 2'!$A:$A,"&lt;="&amp;DATE(2026,5,7))</f>
        <v/>
      </c>
      <c r="EQ79" s="116">
        <f>COUNTIFS('DRAFT 2'!$D:$D,$B79,'DRAFT 2'!$A:$A,"&gt;="&amp;DATE(2026,5,8),'DRAFT 2'!$A:$A,"&lt;="&amp;DATE(2026,5,14))</f>
        <v/>
      </c>
      <c r="ER79" s="116">
        <f>COUNTIFS('DRAFT 2'!$D:$D,$B79,'DRAFT 2'!$A:$A,"&gt;="&amp;DATE(2026,5,15),'DRAFT 2'!$A:$A,"&lt;="&amp;DATE(2026,5,21))</f>
        <v/>
      </c>
      <c r="ES79" s="116">
        <f>COUNTIFS('DRAFT 2'!$D:$D,$B79,'DRAFT 2'!$A:$A,"&gt;="&amp;DATE(2026,5,22),'DRAFT 2'!$A:$A,"&lt;"&amp;DATE(2026,IF(5=12,5+1,5+1),1))</f>
        <v/>
      </c>
      <c r="ET79" s="116">
        <f>SUM(EP79:ES79)</f>
        <v/>
      </c>
      <c r="FD79" s="116">
        <f>IFERROR(LOOKUP(2,1/('DRAFT 2'!$D:$D=$B79)*('DRAFT 2'!$A:$A&gt;=DATE(2026,6,1))*('DRAFT 2'!$A:$A&lt;DATE(2026,IF(6=12,6+1,6+1),1)),'DRAFT 2'!$A:$A),"")</f>
        <v/>
      </c>
      <c r="FE79" s="116">
        <f>COUNTIFS('DRAFT 2'!$D:$D,$B79,'DRAFT 2'!$A:$A,"&gt;="&amp;DATE(2026,6,1),'DRAFT 2'!$A:$A,"&lt;="&amp;DATE(2026,6,7))</f>
        <v/>
      </c>
      <c r="FF79" s="116">
        <f>COUNTIFS('DRAFT 2'!$D:$D,$B79,'DRAFT 2'!$A:$A,"&gt;="&amp;DATE(2026,6,8),'DRAFT 2'!$A:$A,"&lt;="&amp;DATE(2026,6,14))</f>
        <v/>
      </c>
      <c r="FG79" s="116">
        <f>COUNTIFS('DRAFT 2'!$D:$D,$B79,'DRAFT 2'!$A:$A,"&gt;="&amp;DATE(2026,6,15),'DRAFT 2'!$A:$A,"&lt;="&amp;DATE(2026,6,21))</f>
        <v/>
      </c>
      <c r="FH79" s="116">
        <f>COUNTIFS('DRAFT 2'!$D:$D,$B79,'DRAFT 2'!$A:$A,"&gt;="&amp;DATE(2026,6,22),'DRAFT 2'!$A:$A,"&lt;"&amp;DATE(2026,IF(6=12,6+1,6+1),1))</f>
        <v/>
      </c>
      <c r="FI79" s="116">
        <f>SUM(FE79:FH79)</f>
        <v/>
      </c>
      <c r="FT79" s="116">
        <f>IFERROR(LOOKUP(2,1/('DRAFT 2'!$D:$D=$B79)*('DRAFT 2'!$A:$A&gt;=DATE(2026,7,1))*('DRAFT 2'!$A:$A&lt;DATE(2026,IF(7=12,7+1,7+1),1)),'DRAFT 2'!$A:$A),"")</f>
        <v/>
      </c>
      <c r="FU79" s="116">
        <f>COUNTIFS('DRAFT 2'!$D:$D,$B79,'DRAFT 2'!$A:$A,"&gt;="&amp;DATE(2026,7,1),'DRAFT 2'!$A:$A,"&lt;="&amp;DATE(2026,7,7))</f>
        <v/>
      </c>
      <c r="FV79" s="116">
        <f>COUNTIFS('DRAFT 2'!$D:$D,$B79,'DRAFT 2'!$A:$A,"&gt;="&amp;DATE(2026,7,8),'DRAFT 2'!$A:$A,"&lt;="&amp;DATE(2026,7,14))</f>
        <v/>
      </c>
      <c r="FW79" s="116">
        <f>COUNTIFS('DRAFT 2'!$D:$D,$B79,'DRAFT 2'!$A:$A,"&gt;="&amp;DATE(2026,7,15),'DRAFT 2'!$A:$A,"&lt;="&amp;DATE(2026,7,21))</f>
        <v/>
      </c>
      <c r="FX79" s="116">
        <f>COUNTIFS('DRAFT 2'!$D:$D,$B79,'DRAFT 2'!$A:$A,"&gt;="&amp;DATE(2026,7,22),'DRAFT 2'!$A:$A,"&lt;"&amp;DATE(2026,IF(7=12,7+1,7+1),1))</f>
        <v/>
      </c>
      <c r="FY79" s="116">
        <f>SUM(FU79:FX79)</f>
        <v/>
      </c>
      <c r="GI79" s="116">
        <f>IFERROR(LOOKUP(2,1/('DRAFT 2'!$D:$D=$B79)*('DRAFT 2'!$A:$A&gt;=DATE(2026,8,1))*('DRAFT 2'!$A:$A&lt;DATE(2026,IF(8=12,8+1,8+1),1)),'DRAFT 2'!$A:$A),"")</f>
        <v/>
      </c>
      <c r="GJ79" s="116">
        <f>COUNTIFS('DRAFT 2'!$D:$D,$B79,'DRAFT 2'!$A:$A,"&gt;="&amp;DATE(2026,8,1),'DRAFT 2'!$A:$A,"&lt;="&amp;DATE(2026,8,7))</f>
        <v/>
      </c>
      <c r="GK79" s="116">
        <f>COUNTIFS('DRAFT 2'!$D:$D,$B79,'DRAFT 2'!$A:$A,"&gt;="&amp;DATE(2026,8,8),'DRAFT 2'!$A:$A,"&lt;="&amp;DATE(2026,8,14))</f>
        <v/>
      </c>
      <c r="GL79" s="116">
        <f>COUNTIFS('DRAFT 2'!$D:$D,$B79,'DRAFT 2'!$A:$A,"&gt;="&amp;DATE(2026,8,15),'DRAFT 2'!$A:$A,"&lt;="&amp;DATE(2026,8,21))</f>
        <v/>
      </c>
      <c r="GM79" s="116">
        <f>COUNTIFS('DRAFT 2'!$D:$D,$B79,'DRAFT 2'!$A:$A,"&gt;="&amp;DATE(2026,8,22),'DRAFT 2'!$A:$A,"&lt;"&amp;DATE(2026,IF(8=12,8+1,8+1),1))</f>
        <v/>
      </c>
      <c r="GN79" s="116">
        <f>SUM(GJ79:GM79)</f>
        <v/>
      </c>
      <c r="GX79" s="116">
        <f>IFERROR(LOOKUP(2,1/('DRAFT 2'!$D:$D=$B79)*('DRAFT 2'!$A:$A&gt;=DATE(2026,9,1))*('DRAFT 2'!$A:$A&lt;DATE(2026,IF(9=12,9+1,9+1),1)),'DRAFT 2'!$A:$A),"")</f>
        <v/>
      </c>
      <c r="GY79" s="116">
        <f>COUNTIFS('DRAFT 2'!$D:$D,$B79,'DRAFT 2'!$A:$A,"&gt;="&amp;DATE(2026,9,1),'DRAFT 2'!$A:$A,"&lt;="&amp;DATE(2026,9,7))</f>
        <v/>
      </c>
      <c r="GZ79" s="116">
        <f>COUNTIFS('DRAFT 2'!$D:$D,$B79,'DRAFT 2'!$A:$A,"&gt;="&amp;DATE(2026,9,8),'DRAFT 2'!$A:$A,"&lt;="&amp;DATE(2026,9,14))</f>
        <v/>
      </c>
      <c r="HA79" s="116">
        <f>COUNTIFS('DRAFT 2'!$D:$D,$B79,'DRAFT 2'!$A:$A,"&gt;="&amp;DATE(2026,9,15),'DRAFT 2'!$A:$A,"&lt;="&amp;DATE(2026,9,21))</f>
        <v/>
      </c>
      <c r="HB79" s="116">
        <f>COUNTIFS('DRAFT 2'!$D:$D,$B79,'DRAFT 2'!$A:$A,"&gt;="&amp;DATE(2026,9,22),'DRAFT 2'!$A:$A,"&lt;"&amp;DATE(2026,IF(9=12,9+1,9+1),1))</f>
        <v/>
      </c>
      <c r="HC79" s="116">
        <f>SUM(GY79:HB79)</f>
        <v/>
      </c>
      <c r="HN79" s="116">
        <f>IFERROR(LOOKUP(2,1/('DRAFT 2'!$D:$D=$B79)*('DRAFT 2'!$A:$A&gt;=DATE(2026,10,1))*('DRAFT 2'!$A:$A&lt;DATE(2026,IF(10=12,10+1,10+1),1)),'DRAFT 2'!$A:$A),"")</f>
        <v/>
      </c>
      <c r="HO79" s="116">
        <f>COUNTIFS('DRAFT 2'!$D:$D,$B79,'DRAFT 2'!$A:$A,"&gt;="&amp;DATE(2026,10,1),'DRAFT 2'!$A:$A,"&lt;="&amp;DATE(2026,10,7))</f>
        <v/>
      </c>
      <c r="HP79" s="116">
        <f>COUNTIFS('DRAFT 2'!$D:$D,$B79,'DRAFT 2'!$A:$A,"&gt;="&amp;DATE(2026,10,8),'DRAFT 2'!$A:$A,"&lt;="&amp;DATE(2026,10,14))</f>
        <v/>
      </c>
      <c r="HQ79" s="116">
        <f>COUNTIFS('DRAFT 2'!$D:$D,$B79,'DRAFT 2'!$A:$A,"&gt;="&amp;DATE(2026,10,15),'DRAFT 2'!$A:$A,"&lt;="&amp;DATE(2026,10,21))</f>
        <v/>
      </c>
      <c r="HR79" s="116">
        <f>COUNTIFS('DRAFT 2'!$D:$D,$B79,'DRAFT 2'!$A:$A,"&gt;="&amp;DATE(2026,10,22),'DRAFT 2'!$A:$A,"&lt;"&amp;DATE(2026,IF(10=12,10+1,10+1),1))</f>
        <v/>
      </c>
      <c r="HS79" s="116">
        <f>SUM(HO79:HR79)</f>
        <v/>
      </c>
      <c r="IC79" s="116">
        <f>IFERROR(LOOKUP(2,1/('DRAFT 2'!$D:$D=$B79)*('DRAFT 2'!$A:$A&gt;=DATE(2026,11,1))*('DRAFT 2'!$A:$A&lt;DATE(2026,IF(11=12,11+1,11+1),1)),'DRAFT 2'!$A:$A),"")</f>
        <v/>
      </c>
      <c r="ID79" s="116">
        <f>COUNTIFS('DRAFT 2'!$D:$D,$B79,'DRAFT 2'!$A:$A,"&gt;="&amp;DATE(2026,11,1),'DRAFT 2'!$A:$A,"&lt;="&amp;DATE(2026,11,7))</f>
        <v/>
      </c>
      <c r="IE79" s="116">
        <f>COUNTIFS('DRAFT 2'!$D:$D,$B79,'DRAFT 2'!$A:$A,"&gt;="&amp;DATE(2026,11,8),'DRAFT 2'!$A:$A,"&lt;="&amp;DATE(2026,11,14))</f>
        <v/>
      </c>
      <c r="IF79" s="116">
        <f>COUNTIFS('DRAFT 2'!$D:$D,$B79,'DRAFT 2'!$A:$A,"&gt;="&amp;DATE(2026,11,15),'DRAFT 2'!$A:$A,"&lt;="&amp;DATE(2026,11,21))</f>
        <v/>
      </c>
      <c r="IG79" s="116">
        <f>COUNTIFS('DRAFT 2'!$D:$D,$B79,'DRAFT 2'!$A:$A,"&gt;="&amp;DATE(2026,11,22),'DRAFT 2'!$A:$A,"&lt;"&amp;DATE(2026,IF(11=12,11+1,11+1),1))</f>
        <v/>
      </c>
      <c r="IH79" s="116">
        <f>SUM(ID79:IG79)</f>
        <v/>
      </c>
      <c r="IR79" s="116">
        <f>IFERROR(LOOKUP(2,1/('DRAFT 2'!$D:$D=$B79)*('DRAFT 2'!$A:$A&gt;=DATE(2026,12,1))*('DRAFT 2'!$A:$A&lt;DATE(2026,IF(12=12,12+1,12+1),1)),'DRAFT 2'!$A:$A),"")</f>
        <v/>
      </c>
      <c r="IS79" s="116">
        <f>COUNTIFS('DRAFT 2'!$D:$D,$B79,'DRAFT 2'!$A:$A,"&gt;="&amp;DATE(2026,12,1),'DRAFT 2'!$A:$A,"&lt;="&amp;DATE(2026,12,7))</f>
        <v/>
      </c>
      <c r="IT79" s="116">
        <f>COUNTIFS('DRAFT 2'!$D:$D,$B79,'DRAFT 2'!$A:$A,"&gt;="&amp;DATE(2026,12,8),'DRAFT 2'!$A:$A,"&lt;="&amp;DATE(2026,12,14))</f>
        <v/>
      </c>
      <c r="IU79" s="116">
        <f>COUNTIFS('DRAFT 2'!$D:$D,$B79,'DRAFT 2'!$A:$A,"&gt;="&amp;DATE(2026,12,15),'DRAFT 2'!$A:$A,"&lt;="&amp;DATE(2026,12,21))</f>
        <v/>
      </c>
      <c r="IV79" s="116">
        <f>COUNTIFS('DRAFT 2'!$D:$D,$B79,'DRAFT 2'!$A:$A,"&gt;="&amp;DATE(2026,12,22),'DRAFT 2'!$A:$A,"&lt;"&amp;DATE(2026,IF(12=12,12+1,12+1),1))</f>
        <v/>
      </c>
      <c r="IW79" s="116">
        <f>SUM(IS79:IV79)</f>
        <v/>
      </c>
    </row>
    <row r="80">
      <c r="A80" s="116">
        <f>IFERROR(INDEX('DRAFT 1'!$A:$A,MATCH($B80,'DRAFT 1'!$B:$B,0)),"")</f>
        <v/>
      </c>
      <c r="C80" s="116">
        <f>IFERROR(INDEX('DRAFT 1'!$C:$C,MATCH($B80,'DRAFT 1'!$B:$B,0)),"")</f>
        <v/>
      </c>
      <c r="D80" s="116">
        <f>IFERROR(INDEX('DRAFT 1'!$D:$D,MATCH($B80,'DRAFT 1'!$B:$B,0)),"")</f>
        <v/>
      </c>
      <c r="E80" s="116">
        <f>IFERROR(INDEX('DRAFT 1'!$E:$E,MATCH($B80,'DRAFT 1'!$B:$B,0)),"")</f>
        <v/>
      </c>
      <c r="F80" s="116">
        <f>IFERROR(INDEX('DRAFT 1'!$F:$F,MATCH($B80,'DRAFT 1'!$B:$B,0)),"")</f>
        <v/>
      </c>
      <c r="G80" s="116">
        <f>IFERROR(INDEX('DRAFT 1'!$G:$G,MATCH($B80,'DRAFT 1'!$B:$B,0)),"")</f>
        <v/>
      </c>
      <c r="H80" s="116">
        <f>IFERROR(INDEX('DRAFT 1'!$H:$H,MATCH($B80,'DRAFT 1'!$B:$B,0)),"")</f>
        <v/>
      </c>
      <c r="I80" s="116" t="inlineStr">
        <is>
          <t>TUDO EM GRAOS</t>
        </is>
      </c>
      <c r="K80" s="116">
        <f>IFERROR(INDEX('DRAFT 1'!$AL:$AL,MATCH($B80,'DRAFT 1'!$B:$B,0)),"")</f>
        <v/>
      </c>
      <c r="L80" s="116">
        <f>IFERROR(INDEX('DRAFT 1'!$J:$J,MATCH($B80,'DRAFT 1'!$B:$B,0)),"")</f>
        <v/>
      </c>
      <c r="M80" s="116">
        <f>IFERROR(INDEX('DRAFT 1'!$K:$K,MATCH($B80,'DRAFT 1'!$B:$B,0)),"")</f>
        <v/>
      </c>
      <c r="N80" s="116" t="inlineStr">
        <is>
          <t>INAT.REC</t>
        </is>
      </c>
      <c r="P80" s="116">
        <f>IFERROR(INDEX('DRAFT 1'!$L:$L,MATCH($B80,'DRAFT 1'!$B:$B,0)),"")</f>
        <v/>
      </c>
      <c r="Q80" s="116">
        <f>IFERROR(INDEX('DRAFT 1'!$M:$M,MATCH($B80,'DRAFT 1'!$B:$B,0)),"")</f>
        <v/>
      </c>
      <c r="R80" s="116">
        <f>IFERROR(INDEX('DRAFT 1'!$N:$N,MATCH($B80,'DRAFT 1'!$B:$B,0)),"")</f>
        <v/>
      </c>
      <c r="S80" s="116">
        <f>IFERROR(INDEX('DRAFT 1'!$O:$O,MATCH($B80,'DRAFT 1'!$B:$B,0)),"")</f>
        <v/>
      </c>
      <c r="T80" s="116">
        <f>IFERROR(INDEX('DRAFT 1'!$P:$P,MATCH($B80,'DRAFT 1'!$B:$B,0)),"")</f>
        <v/>
      </c>
      <c r="U80" s="116">
        <f>IFERROR(INDEX('DRAFT 1'!$Q:$Q,MATCH($B80,'DRAFT 1'!$B:$B,0)),"")</f>
        <v/>
      </c>
      <c r="V80" s="116">
        <f>IFERROR(INDEX('DRAFT 1'!$R:$R,MATCH($B80,'DRAFT 1'!$B:$B,0)),"")</f>
        <v/>
      </c>
      <c r="W80" s="116">
        <f>IFERROR(INDEX('DRAFT 1'!$S:$S,MATCH($B80,'DRAFT 1'!$B:$B,0)),"")</f>
        <v/>
      </c>
      <c r="X80" s="116">
        <f>IFERROR(INDEX('DRAFT 1'!$T:$T,MATCH($B80,'DRAFT 1'!$B:$B,0)),"")</f>
        <v/>
      </c>
      <c r="Z80" s="116">
        <f>IFERROR(INDEX('DRAFT 1'!$U:$U,MATCH($B80,'DRAFT 1'!$B:$B,0)),"")</f>
        <v/>
      </c>
      <c r="AA80" s="116">
        <f>IFERROR(INDEX('DRAFT 1'!$V:$V,MATCH($B80,'DRAFT 1'!$B:$B,0)),"")</f>
        <v/>
      </c>
      <c r="AB80" s="116">
        <f>IFERROR(INDEX('DRAFT 1'!$W:$W,MATCH($B80,'DRAFT 1'!$B:$B,0)),"")</f>
        <v/>
      </c>
      <c r="AC80" s="116">
        <f>IFERROR(INDEX('DRAFT 1'!$X:$X,MATCH($B80,'DRAFT 1'!$B:$B,0)),"")</f>
        <v/>
      </c>
      <c r="AD80" s="116">
        <f>IFERROR(INDEX('DRAFT 1'!$Y:$Y,MATCH($B80,'DRAFT 1'!$B:$B,0)),"")</f>
        <v/>
      </c>
      <c r="AE80" s="116">
        <f>IFERROR(INDEX('DRAFT 1'!$Z:$Z,MATCH($B80,'DRAFT 1'!$B:$B,0)),"")</f>
        <v/>
      </c>
      <c r="AF80" s="116">
        <f>IFERROR(INDEX('DRAFT 1'!$AA:$AA,MATCH($B80,'DRAFT 1'!$B:$B,0)),"")</f>
        <v/>
      </c>
      <c r="AG80" s="116">
        <f>IFERROR(INDEX('DRAFT 1'!$AB:$AB,MATCH($B80,'DRAFT 1'!$B:$B,0)),"")</f>
        <v/>
      </c>
      <c r="AH80" s="116">
        <f>IFERROR(INDEX('DRAFT 1'!$AC:$AC,MATCH($B80,'DRAFT 1'!$B:$B,0)),"")</f>
        <v/>
      </c>
      <c r="AI80" s="116">
        <f>IFERROR(INDEX('DRAFT 1'!$AD:$AD,MATCH($B80,'DRAFT 1'!$B:$B,0)),"")</f>
        <v/>
      </c>
      <c r="AJ80" s="116">
        <f>IFERROR(INDEX('DRAFT 1'!$AE:$AE,MATCH($B80,'DRAFT 1'!$B:$B,0)),"")</f>
        <v/>
      </c>
      <c r="AK80" s="116">
        <f>IFERROR(INDEX('DRAFT 1'!$AG:$AG,MATCH($B80,'DRAFT 1'!$B:$B,0)),"")</f>
        <v/>
      </c>
      <c r="AL80" s="116">
        <f>IFERROR(INDEX('DRAFT 1'!$AH:$AH,MATCH($B80,'DRAFT 1'!$B:$B,0)),"")</f>
        <v/>
      </c>
      <c r="AM80" s="116">
        <f>IFERROR(INDEX('DRAFT 1'!$AI:$AI,MATCH($B80,'DRAFT 1'!$B:$B,0)),"")</f>
        <v/>
      </c>
      <c r="AN80" s="116">
        <f>IFERROR(INDEX('DRAFT 1'!$AJ:$AJ,MATCH($B80,'DRAFT 1'!$B:$B,0)),"")</f>
        <v/>
      </c>
      <c r="AO80" s="116">
        <f>IFERROR(Y80/AN80,0)</f>
        <v/>
      </c>
      <c r="AP80" s="116">
        <f>IFERROR(INDEX('DRAFT 1'!$AK:$AK,MATCH($B80,'DRAFT 1'!$B:$B,0)),"")</f>
        <v/>
      </c>
      <c r="AR80" s="116" t="inlineStr">
        <is>
          <t>RECOMPRA</t>
        </is>
      </c>
      <c r="AS80" s="116">
        <f>IFERROR(LOOKUP(2,1/('DRAFT 2'!$D:$D=$B80),'DRAFT 2'!$T:$T),"")</f>
        <v/>
      </c>
      <c r="AT80" s="116">
        <f>IFERROR(LOOKUP(2,1/('DRAFT 2'!$D:$D=$B80),'DRAFT 2'!$A:$A),"")</f>
        <v/>
      </c>
      <c r="AU80" s="116">
        <f>IFERROR(LOOKUP(2,1/('DRAFT 2'!$D:$D=$B80),'DRAFT 2'!$R:$R),"")</f>
        <v/>
      </c>
      <c r="AV80" s="116">
        <f>IFERROR(LOOKUP(2,1/('DRAFT 2'!$D:$D=$B80),'DRAFT 2'!$S:$S),"")</f>
        <v/>
      </c>
      <c r="AW80" s="116" t="inlineStr">
        <is>
          <t>FIDELIZADO</t>
        </is>
      </c>
      <c r="AX80" s="116">
        <f>IFERROR(LOOKUP(2,1/('DRAFT 2'!$D:$D=$B80),'DRAFT 2'!$M:$M),"")</f>
        <v/>
      </c>
      <c r="AY80" s="116">
        <f>IFERROR(LOOKUP(2,1/('DRAFT 2'!$D:$D=$B80),'DRAFT 2'!$K:$K),"")</f>
        <v/>
      </c>
      <c r="BG80" s="116">
        <f>IFERROR(LOOKUP(2,1/('DRAFT 2'!$D:$D=$B80),'DRAFT 2'!$U:$U),"")</f>
        <v/>
      </c>
      <c r="BH80" s="116">
        <f>IFERROR(LOOKUP(2,1/('DRAFT 2'!$D:$D=$B80),'DRAFT 2'!$V:$V),"")</f>
        <v/>
      </c>
      <c r="CE80" s="116">
        <f>IFERROR(AJ80,0)</f>
        <v/>
      </c>
      <c r="CF80" s="116">
        <f>IFERROR(LOOKUP(2,1/('DRAFT 2'!$D:$D=$B80)*('DRAFT 2'!$A:$A&gt;=DATE(2026,1,1))*('DRAFT 2'!$A:$A&lt;DATE(2026,IF(1=12,1+1,1+1),1)),'DRAFT 2'!$A:$A),"")</f>
        <v/>
      </c>
      <c r="CG80" s="116">
        <f>COUNTIFS('DRAFT 2'!$D:$D,$B80,'DRAFT 2'!$A:$A,"&gt;="&amp;DATE(2026,1,1),'DRAFT 2'!$A:$A,"&lt;="&amp;DATE(2026,1,7))</f>
        <v/>
      </c>
      <c r="CH80" s="116">
        <f>COUNTIFS('DRAFT 2'!$D:$D,$B80,'DRAFT 2'!$A:$A,"&gt;="&amp;DATE(2026,1,8),'DRAFT 2'!$A:$A,"&lt;="&amp;DATE(2026,1,14))</f>
        <v/>
      </c>
      <c r="CI80" s="116">
        <f>COUNTIFS('DRAFT 2'!$D:$D,$B80,'DRAFT 2'!$A:$A,"&gt;="&amp;DATE(2026,1,15),'DRAFT 2'!$A:$A,"&lt;="&amp;DATE(2026,1,21))</f>
        <v/>
      </c>
      <c r="CJ80" s="116">
        <f>COUNTIFS('DRAFT 2'!$D:$D,$B80,'DRAFT 2'!$A:$A,"&gt;="&amp;DATE(2026,1,22),'DRAFT 2'!$A:$A,"&lt;"&amp;DATE(2026,IF(1=12,1+1,1+1),1))</f>
        <v/>
      </c>
      <c r="CK80" s="116">
        <f>SUM(CG80:CJ80)</f>
        <v/>
      </c>
      <c r="CT80" s="116" t="n">
        <v>0</v>
      </c>
      <c r="CU80" s="116">
        <f>IFERROR(LOOKUP(2,1/('DRAFT 2'!$D:$D=$B80)*('DRAFT 2'!$A:$A&gt;=DATE(2026,2,1))*('DRAFT 2'!$A:$A&lt;DATE(2026,IF(2=12,2+1,2+1),1)),'DRAFT 2'!$A:$A),"")</f>
        <v/>
      </c>
      <c r="CV80" s="116">
        <f>COUNTIFS('DRAFT 2'!$D:$D,$B80,'DRAFT 2'!$A:$A,"&gt;="&amp;DATE(2026,2,1),'DRAFT 2'!$A:$A,"&lt;="&amp;DATE(2026,2,7))</f>
        <v/>
      </c>
      <c r="CW80" s="116">
        <f>COUNTIFS('DRAFT 2'!$D:$D,$B80,'DRAFT 2'!$A:$A,"&gt;="&amp;DATE(2026,2,8),'DRAFT 2'!$A:$A,"&lt;="&amp;DATE(2026,2,14))</f>
        <v/>
      </c>
      <c r="CX80" s="116">
        <f>COUNTIFS('DRAFT 2'!$D:$D,$B80,'DRAFT 2'!$A:$A,"&gt;="&amp;DATE(2026,2,15),'DRAFT 2'!$A:$A,"&lt;="&amp;DATE(2026,2,21))</f>
        <v/>
      </c>
      <c r="CY80" s="116">
        <f>COUNTIFS('DRAFT 2'!$D:$D,$B80,'DRAFT 2'!$A:$A,"&gt;="&amp;DATE(2026,2,22),'DRAFT 2'!$A:$A,"&lt;"&amp;DATE(2026,IF(2=12,2+1,2+1),1))</f>
        <v/>
      </c>
      <c r="CZ80" s="116">
        <f>SUM(CV80:CY80)</f>
        <v/>
      </c>
      <c r="DJ80" s="116">
        <f>IFERROR(LOOKUP(2,1/('DRAFT 2'!$D:$D=$B80)*('DRAFT 2'!$A:$A&gt;=DATE(2026,3,1))*('DRAFT 2'!$A:$A&lt;DATE(2026,IF(3=12,3+1,3+1),1)),'DRAFT 2'!$A:$A),"")</f>
        <v/>
      </c>
      <c r="DK80" s="116">
        <f>COUNTIFS('DRAFT 2'!$D:$D,$B80,'DRAFT 2'!$A:$A,"&gt;="&amp;DATE(2026,3,1),'DRAFT 2'!$A:$A,"&lt;="&amp;DATE(2026,3,7))</f>
        <v/>
      </c>
      <c r="DL80" s="116">
        <f>COUNTIFS('DRAFT 2'!$D:$D,$B80,'DRAFT 2'!$A:$A,"&gt;="&amp;DATE(2026,3,8),'DRAFT 2'!$A:$A,"&lt;="&amp;DATE(2026,3,14))</f>
        <v/>
      </c>
      <c r="DM80" s="116">
        <f>COUNTIFS('DRAFT 2'!$D:$D,$B80,'DRAFT 2'!$A:$A,"&gt;="&amp;DATE(2026,3,15),'DRAFT 2'!$A:$A,"&lt;="&amp;DATE(2026,3,21))</f>
        <v/>
      </c>
      <c r="DN80" s="116">
        <f>COUNTIFS('DRAFT 2'!$D:$D,$B80,'DRAFT 2'!$A:$A,"&gt;="&amp;DATE(2026,3,22),'DRAFT 2'!$A:$A,"&lt;"&amp;DATE(2026,IF(3=12,3+1,3+1),1))</f>
        <v/>
      </c>
      <c r="DO80" s="116">
        <f>SUM(DK80:DN80)</f>
        <v/>
      </c>
      <c r="DZ80" s="116">
        <f>IFERROR(LOOKUP(2,1/('DRAFT 2'!$D:$D=$B80)*('DRAFT 2'!$A:$A&gt;=DATE(2026,4,1))*('DRAFT 2'!$A:$A&lt;DATE(2026,IF(4=12,4+1,4+1),1)),'DRAFT 2'!$A:$A),"")</f>
        <v/>
      </c>
      <c r="EA80" s="116">
        <f>COUNTIFS('DRAFT 2'!$D:$D,$B80,'DRAFT 2'!$A:$A,"&gt;="&amp;DATE(2026,4,1),'DRAFT 2'!$A:$A,"&lt;="&amp;DATE(2026,4,7))</f>
        <v/>
      </c>
      <c r="EB80" s="116">
        <f>COUNTIFS('DRAFT 2'!$D:$D,$B80,'DRAFT 2'!$A:$A,"&gt;="&amp;DATE(2026,4,8),'DRAFT 2'!$A:$A,"&lt;="&amp;DATE(2026,4,14))</f>
        <v/>
      </c>
      <c r="EC80" s="116">
        <f>COUNTIFS('DRAFT 2'!$D:$D,$B80,'DRAFT 2'!$A:$A,"&gt;="&amp;DATE(2026,4,15),'DRAFT 2'!$A:$A,"&lt;="&amp;DATE(2026,4,21))</f>
        <v/>
      </c>
      <c r="ED80" s="116">
        <f>COUNTIFS('DRAFT 2'!$D:$D,$B80,'DRAFT 2'!$A:$A,"&gt;="&amp;DATE(2026,4,22),'DRAFT 2'!$A:$A,"&lt;"&amp;DATE(2026,IF(4=12,4+1,4+1),1))</f>
        <v/>
      </c>
      <c r="EE80" s="116">
        <f>SUM(EA80:ED80)</f>
        <v/>
      </c>
      <c r="EO80" s="116">
        <f>IFERROR(LOOKUP(2,1/('DRAFT 2'!$D:$D=$B80)*('DRAFT 2'!$A:$A&gt;=DATE(2026,5,1))*('DRAFT 2'!$A:$A&lt;DATE(2026,IF(5=12,5+1,5+1),1)),'DRAFT 2'!$A:$A),"")</f>
        <v/>
      </c>
      <c r="EP80" s="116">
        <f>COUNTIFS('DRAFT 2'!$D:$D,$B80,'DRAFT 2'!$A:$A,"&gt;="&amp;DATE(2026,5,1),'DRAFT 2'!$A:$A,"&lt;="&amp;DATE(2026,5,7))</f>
        <v/>
      </c>
      <c r="EQ80" s="116">
        <f>COUNTIFS('DRAFT 2'!$D:$D,$B80,'DRAFT 2'!$A:$A,"&gt;="&amp;DATE(2026,5,8),'DRAFT 2'!$A:$A,"&lt;="&amp;DATE(2026,5,14))</f>
        <v/>
      </c>
      <c r="ER80" s="116">
        <f>COUNTIFS('DRAFT 2'!$D:$D,$B80,'DRAFT 2'!$A:$A,"&gt;="&amp;DATE(2026,5,15),'DRAFT 2'!$A:$A,"&lt;="&amp;DATE(2026,5,21))</f>
        <v/>
      </c>
      <c r="ES80" s="116">
        <f>COUNTIFS('DRAFT 2'!$D:$D,$B80,'DRAFT 2'!$A:$A,"&gt;="&amp;DATE(2026,5,22),'DRAFT 2'!$A:$A,"&lt;"&amp;DATE(2026,IF(5=12,5+1,5+1),1))</f>
        <v/>
      </c>
      <c r="ET80" s="116">
        <f>SUM(EP80:ES80)</f>
        <v/>
      </c>
      <c r="FD80" s="116">
        <f>IFERROR(LOOKUP(2,1/('DRAFT 2'!$D:$D=$B80)*('DRAFT 2'!$A:$A&gt;=DATE(2026,6,1))*('DRAFT 2'!$A:$A&lt;DATE(2026,IF(6=12,6+1,6+1),1)),'DRAFT 2'!$A:$A),"")</f>
        <v/>
      </c>
      <c r="FE80" s="116">
        <f>COUNTIFS('DRAFT 2'!$D:$D,$B80,'DRAFT 2'!$A:$A,"&gt;="&amp;DATE(2026,6,1),'DRAFT 2'!$A:$A,"&lt;="&amp;DATE(2026,6,7))</f>
        <v/>
      </c>
      <c r="FF80" s="116">
        <f>COUNTIFS('DRAFT 2'!$D:$D,$B80,'DRAFT 2'!$A:$A,"&gt;="&amp;DATE(2026,6,8),'DRAFT 2'!$A:$A,"&lt;="&amp;DATE(2026,6,14))</f>
        <v/>
      </c>
      <c r="FG80" s="116">
        <f>COUNTIFS('DRAFT 2'!$D:$D,$B80,'DRAFT 2'!$A:$A,"&gt;="&amp;DATE(2026,6,15),'DRAFT 2'!$A:$A,"&lt;="&amp;DATE(2026,6,21))</f>
        <v/>
      </c>
      <c r="FH80" s="116">
        <f>COUNTIFS('DRAFT 2'!$D:$D,$B80,'DRAFT 2'!$A:$A,"&gt;="&amp;DATE(2026,6,22),'DRAFT 2'!$A:$A,"&lt;"&amp;DATE(2026,IF(6=12,6+1,6+1),1))</f>
        <v/>
      </c>
      <c r="FI80" s="116">
        <f>SUM(FE80:FH80)</f>
        <v/>
      </c>
      <c r="FT80" s="116">
        <f>IFERROR(LOOKUP(2,1/('DRAFT 2'!$D:$D=$B80)*('DRAFT 2'!$A:$A&gt;=DATE(2026,7,1))*('DRAFT 2'!$A:$A&lt;DATE(2026,IF(7=12,7+1,7+1),1)),'DRAFT 2'!$A:$A),"")</f>
        <v/>
      </c>
      <c r="FU80" s="116">
        <f>COUNTIFS('DRAFT 2'!$D:$D,$B80,'DRAFT 2'!$A:$A,"&gt;="&amp;DATE(2026,7,1),'DRAFT 2'!$A:$A,"&lt;="&amp;DATE(2026,7,7))</f>
        <v/>
      </c>
      <c r="FV80" s="116">
        <f>COUNTIFS('DRAFT 2'!$D:$D,$B80,'DRAFT 2'!$A:$A,"&gt;="&amp;DATE(2026,7,8),'DRAFT 2'!$A:$A,"&lt;="&amp;DATE(2026,7,14))</f>
        <v/>
      </c>
      <c r="FW80" s="116">
        <f>COUNTIFS('DRAFT 2'!$D:$D,$B80,'DRAFT 2'!$A:$A,"&gt;="&amp;DATE(2026,7,15),'DRAFT 2'!$A:$A,"&lt;="&amp;DATE(2026,7,21))</f>
        <v/>
      </c>
      <c r="FX80" s="116">
        <f>COUNTIFS('DRAFT 2'!$D:$D,$B80,'DRAFT 2'!$A:$A,"&gt;="&amp;DATE(2026,7,22),'DRAFT 2'!$A:$A,"&lt;"&amp;DATE(2026,IF(7=12,7+1,7+1),1))</f>
        <v/>
      </c>
      <c r="FY80" s="116">
        <f>SUM(FU80:FX80)</f>
        <v/>
      </c>
      <c r="GI80" s="116">
        <f>IFERROR(LOOKUP(2,1/('DRAFT 2'!$D:$D=$B80)*('DRAFT 2'!$A:$A&gt;=DATE(2026,8,1))*('DRAFT 2'!$A:$A&lt;DATE(2026,IF(8=12,8+1,8+1),1)),'DRAFT 2'!$A:$A),"")</f>
        <v/>
      </c>
      <c r="GJ80" s="116">
        <f>COUNTIFS('DRAFT 2'!$D:$D,$B80,'DRAFT 2'!$A:$A,"&gt;="&amp;DATE(2026,8,1),'DRAFT 2'!$A:$A,"&lt;="&amp;DATE(2026,8,7))</f>
        <v/>
      </c>
      <c r="GK80" s="116">
        <f>COUNTIFS('DRAFT 2'!$D:$D,$B80,'DRAFT 2'!$A:$A,"&gt;="&amp;DATE(2026,8,8),'DRAFT 2'!$A:$A,"&lt;="&amp;DATE(2026,8,14))</f>
        <v/>
      </c>
      <c r="GL80" s="116">
        <f>COUNTIFS('DRAFT 2'!$D:$D,$B80,'DRAFT 2'!$A:$A,"&gt;="&amp;DATE(2026,8,15),'DRAFT 2'!$A:$A,"&lt;="&amp;DATE(2026,8,21))</f>
        <v/>
      </c>
      <c r="GM80" s="116">
        <f>COUNTIFS('DRAFT 2'!$D:$D,$B80,'DRAFT 2'!$A:$A,"&gt;="&amp;DATE(2026,8,22),'DRAFT 2'!$A:$A,"&lt;"&amp;DATE(2026,IF(8=12,8+1,8+1),1))</f>
        <v/>
      </c>
      <c r="GN80" s="116">
        <f>SUM(GJ80:GM80)</f>
        <v/>
      </c>
      <c r="GX80" s="116">
        <f>IFERROR(LOOKUP(2,1/('DRAFT 2'!$D:$D=$B80)*('DRAFT 2'!$A:$A&gt;=DATE(2026,9,1))*('DRAFT 2'!$A:$A&lt;DATE(2026,IF(9=12,9+1,9+1),1)),'DRAFT 2'!$A:$A),"")</f>
        <v/>
      </c>
      <c r="GY80" s="116">
        <f>COUNTIFS('DRAFT 2'!$D:$D,$B80,'DRAFT 2'!$A:$A,"&gt;="&amp;DATE(2026,9,1),'DRAFT 2'!$A:$A,"&lt;="&amp;DATE(2026,9,7))</f>
        <v/>
      </c>
      <c r="GZ80" s="116">
        <f>COUNTIFS('DRAFT 2'!$D:$D,$B80,'DRAFT 2'!$A:$A,"&gt;="&amp;DATE(2026,9,8),'DRAFT 2'!$A:$A,"&lt;="&amp;DATE(2026,9,14))</f>
        <v/>
      </c>
      <c r="HA80" s="116">
        <f>COUNTIFS('DRAFT 2'!$D:$D,$B80,'DRAFT 2'!$A:$A,"&gt;="&amp;DATE(2026,9,15),'DRAFT 2'!$A:$A,"&lt;="&amp;DATE(2026,9,21))</f>
        <v/>
      </c>
      <c r="HB80" s="116">
        <f>COUNTIFS('DRAFT 2'!$D:$D,$B80,'DRAFT 2'!$A:$A,"&gt;="&amp;DATE(2026,9,22),'DRAFT 2'!$A:$A,"&lt;"&amp;DATE(2026,IF(9=12,9+1,9+1),1))</f>
        <v/>
      </c>
      <c r="HC80" s="116">
        <f>SUM(GY80:HB80)</f>
        <v/>
      </c>
      <c r="HN80" s="116">
        <f>IFERROR(LOOKUP(2,1/('DRAFT 2'!$D:$D=$B80)*('DRAFT 2'!$A:$A&gt;=DATE(2026,10,1))*('DRAFT 2'!$A:$A&lt;DATE(2026,IF(10=12,10+1,10+1),1)),'DRAFT 2'!$A:$A),"")</f>
        <v/>
      </c>
      <c r="HO80" s="116">
        <f>COUNTIFS('DRAFT 2'!$D:$D,$B80,'DRAFT 2'!$A:$A,"&gt;="&amp;DATE(2026,10,1),'DRAFT 2'!$A:$A,"&lt;="&amp;DATE(2026,10,7))</f>
        <v/>
      </c>
      <c r="HP80" s="116">
        <f>COUNTIFS('DRAFT 2'!$D:$D,$B80,'DRAFT 2'!$A:$A,"&gt;="&amp;DATE(2026,10,8),'DRAFT 2'!$A:$A,"&lt;="&amp;DATE(2026,10,14))</f>
        <v/>
      </c>
      <c r="HQ80" s="116">
        <f>COUNTIFS('DRAFT 2'!$D:$D,$B80,'DRAFT 2'!$A:$A,"&gt;="&amp;DATE(2026,10,15),'DRAFT 2'!$A:$A,"&lt;="&amp;DATE(2026,10,21))</f>
        <v/>
      </c>
      <c r="HR80" s="116">
        <f>COUNTIFS('DRAFT 2'!$D:$D,$B80,'DRAFT 2'!$A:$A,"&gt;="&amp;DATE(2026,10,22),'DRAFT 2'!$A:$A,"&lt;"&amp;DATE(2026,IF(10=12,10+1,10+1),1))</f>
        <v/>
      </c>
      <c r="HS80" s="116">
        <f>SUM(HO80:HR80)</f>
        <v/>
      </c>
      <c r="IC80" s="116">
        <f>IFERROR(LOOKUP(2,1/('DRAFT 2'!$D:$D=$B80)*('DRAFT 2'!$A:$A&gt;=DATE(2026,11,1))*('DRAFT 2'!$A:$A&lt;DATE(2026,IF(11=12,11+1,11+1),1)),'DRAFT 2'!$A:$A),"")</f>
        <v/>
      </c>
      <c r="ID80" s="116">
        <f>COUNTIFS('DRAFT 2'!$D:$D,$B80,'DRAFT 2'!$A:$A,"&gt;="&amp;DATE(2026,11,1),'DRAFT 2'!$A:$A,"&lt;="&amp;DATE(2026,11,7))</f>
        <v/>
      </c>
      <c r="IE80" s="116">
        <f>COUNTIFS('DRAFT 2'!$D:$D,$B80,'DRAFT 2'!$A:$A,"&gt;="&amp;DATE(2026,11,8),'DRAFT 2'!$A:$A,"&lt;="&amp;DATE(2026,11,14))</f>
        <v/>
      </c>
      <c r="IF80" s="116">
        <f>COUNTIFS('DRAFT 2'!$D:$D,$B80,'DRAFT 2'!$A:$A,"&gt;="&amp;DATE(2026,11,15),'DRAFT 2'!$A:$A,"&lt;="&amp;DATE(2026,11,21))</f>
        <v/>
      </c>
      <c r="IG80" s="116">
        <f>COUNTIFS('DRAFT 2'!$D:$D,$B80,'DRAFT 2'!$A:$A,"&gt;="&amp;DATE(2026,11,22),'DRAFT 2'!$A:$A,"&lt;"&amp;DATE(2026,IF(11=12,11+1,11+1),1))</f>
        <v/>
      </c>
      <c r="IH80" s="116">
        <f>SUM(ID80:IG80)</f>
        <v/>
      </c>
      <c r="IR80" s="116">
        <f>IFERROR(LOOKUP(2,1/('DRAFT 2'!$D:$D=$B80)*('DRAFT 2'!$A:$A&gt;=DATE(2026,12,1))*('DRAFT 2'!$A:$A&lt;DATE(2026,IF(12=12,12+1,12+1),1)),'DRAFT 2'!$A:$A),"")</f>
        <v/>
      </c>
      <c r="IS80" s="116">
        <f>COUNTIFS('DRAFT 2'!$D:$D,$B80,'DRAFT 2'!$A:$A,"&gt;="&amp;DATE(2026,12,1),'DRAFT 2'!$A:$A,"&lt;="&amp;DATE(2026,12,7))</f>
        <v/>
      </c>
      <c r="IT80" s="116">
        <f>COUNTIFS('DRAFT 2'!$D:$D,$B80,'DRAFT 2'!$A:$A,"&gt;="&amp;DATE(2026,12,8),'DRAFT 2'!$A:$A,"&lt;="&amp;DATE(2026,12,14))</f>
        <v/>
      </c>
      <c r="IU80" s="116">
        <f>COUNTIFS('DRAFT 2'!$D:$D,$B80,'DRAFT 2'!$A:$A,"&gt;="&amp;DATE(2026,12,15),'DRAFT 2'!$A:$A,"&lt;="&amp;DATE(2026,12,21))</f>
        <v/>
      </c>
      <c r="IV80" s="116">
        <f>COUNTIFS('DRAFT 2'!$D:$D,$B80,'DRAFT 2'!$A:$A,"&gt;="&amp;DATE(2026,12,22),'DRAFT 2'!$A:$A,"&lt;"&amp;DATE(2026,IF(12=12,12+1,12+1),1))</f>
        <v/>
      </c>
      <c r="IW80" s="116">
        <f>SUM(IS80:IV80)</f>
        <v/>
      </c>
    </row>
    <row r="81">
      <c r="A81" s="116">
        <f>IFERROR(INDEX('DRAFT 1'!$A:$A,MATCH($B81,'DRAFT 1'!$B:$B,0)),"")</f>
        <v/>
      </c>
      <c r="C81" s="116">
        <f>IFERROR(INDEX('DRAFT 1'!$C:$C,MATCH($B81,'DRAFT 1'!$B:$B,0)),"")</f>
        <v/>
      </c>
      <c r="D81" s="116">
        <f>IFERROR(INDEX('DRAFT 1'!$D:$D,MATCH($B81,'DRAFT 1'!$B:$B,0)),"")</f>
        <v/>
      </c>
      <c r="E81" s="116">
        <f>IFERROR(INDEX('DRAFT 1'!$E:$E,MATCH($B81,'DRAFT 1'!$B:$B,0)),"")</f>
        <v/>
      </c>
      <c r="F81" s="116">
        <f>IFERROR(INDEX('DRAFT 1'!$F:$F,MATCH($B81,'DRAFT 1'!$B:$B,0)),"")</f>
        <v/>
      </c>
      <c r="G81" s="116">
        <f>IFERROR(INDEX('DRAFT 1'!$G:$G,MATCH($B81,'DRAFT 1'!$B:$B,0)),"")</f>
        <v/>
      </c>
      <c r="H81" s="116">
        <f>IFERROR(INDEX('DRAFT 1'!$H:$H,MATCH($B81,'DRAFT 1'!$B:$B,0)),"")</f>
        <v/>
      </c>
      <c r="I81" s="116" t="inlineStr">
        <is>
          <t>DEMAIS CLIENTES</t>
        </is>
      </c>
      <c r="K81" s="116">
        <f>IFERROR(INDEX('DRAFT 1'!$AL:$AL,MATCH($B81,'DRAFT 1'!$B:$B,0)),"")</f>
        <v/>
      </c>
      <c r="L81" s="116">
        <f>IFERROR(INDEX('DRAFT 1'!$J:$J,MATCH($B81,'DRAFT 1'!$B:$B,0)),"")</f>
        <v/>
      </c>
      <c r="M81" s="116">
        <f>IFERROR(INDEX('DRAFT 1'!$K:$K,MATCH($B81,'DRAFT 1'!$B:$B,0)),"")</f>
        <v/>
      </c>
      <c r="N81" s="116" t="inlineStr">
        <is>
          <t>INAT.ANT</t>
        </is>
      </c>
      <c r="P81" s="116">
        <f>IFERROR(INDEX('DRAFT 1'!$L:$L,MATCH($B81,'DRAFT 1'!$B:$B,0)),"")</f>
        <v/>
      </c>
      <c r="Q81" s="116">
        <f>IFERROR(INDEX('DRAFT 1'!$M:$M,MATCH($B81,'DRAFT 1'!$B:$B,0)),"")</f>
        <v/>
      </c>
      <c r="R81" s="116">
        <f>IFERROR(INDEX('DRAFT 1'!$N:$N,MATCH($B81,'DRAFT 1'!$B:$B,0)),"")</f>
        <v/>
      </c>
      <c r="S81" s="116">
        <f>IFERROR(INDEX('DRAFT 1'!$O:$O,MATCH($B81,'DRAFT 1'!$B:$B,0)),"")</f>
        <v/>
      </c>
      <c r="T81" s="116">
        <f>IFERROR(INDEX('DRAFT 1'!$P:$P,MATCH($B81,'DRAFT 1'!$B:$B,0)),"")</f>
        <v/>
      </c>
      <c r="U81" s="116">
        <f>IFERROR(INDEX('DRAFT 1'!$Q:$Q,MATCH($B81,'DRAFT 1'!$B:$B,0)),"")</f>
        <v/>
      </c>
      <c r="V81" s="116">
        <f>IFERROR(INDEX('DRAFT 1'!$R:$R,MATCH($B81,'DRAFT 1'!$B:$B,0)),"")</f>
        <v/>
      </c>
      <c r="W81" s="116">
        <f>IFERROR(INDEX('DRAFT 1'!$S:$S,MATCH($B81,'DRAFT 1'!$B:$B,0)),"")</f>
        <v/>
      </c>
      <c r="X81" s="116">
        <f>IFERROR(INDEX('DRAFT 1'!$T:$T,MATCH($B81,'DRAFT 1'!$B:$B,0)),"")</f>
        <v/>
      </c>
      <c r="Z81" s="116">
        <f>IFERROR(INDEX('DRAFT 1'!$U:$U,MATCH($B81,'DRAFT 1'!$B:$B,0)),"")</f>
        <v/>
      </c>
      <c r="AA81" s="116">
        <f>IFERROR(INDEX('DRAFT 1'!$V:$V,MATCH($B81,'DRAFT 1'!$B:$B,0)),"")</f>
        <v/>
      </c>
      <c r="AB81" s="116">
        <f>IFERROR(INDEX('DRAFT 1'!$W:$W,MATCH($B81,'DRAFT 1'!$B:$B,0)),"")</f>
        <v/>
      </c>
      <c r="AC81" s="116">
        <f>IFERROR(INDEX('DRAFT 1'!$X:$X,MATCH($B81,'DRAFT 1'!$B:$B,0)),"")</f>
        <v/>
      </c>
      <c r="AD81" s="116">
        <f>IFERROR(INDEX('DRAFT 1'!$Y:$Y,MATCH($B81,'DRAFT 1'!$B:$B,0)),"")</f>
        <v/>
      </c>
      <c r="AE81" s="116">
        <f>IFERROR(INDEX('DRAFT 1'!$Z:$Z,MATCH($B81,'DRAFT 1'!$B:$B,0)),"")</f>
        <v/>
      </c>
      <c r="AF81" s="116">
        <f>IFERROR(INDEX('DRAFT 1'!$AA:$AA,MATCH($B81,'DRAFT 1'!$B:$B,0)),"")</f>
        <v/>
      </c>
      <c r="AG81" s="116">
        <f>IFERROR(INDEX('DRAFT 1'!$AB:$AB,MATCH($B81,'DRAFT 1'!$B:$B,0)),"")</f>
        <v/>
      </c>
      <c r="AH81" s="116">
        <f>IFERROR(INDEX('DRAFT 1'!$AC:$AC,MATCH($B81,'DRAFT 1'!$B:$B,0)),"")</f>
        <v/>
      </c>
      <c r="AI81" s="116">
        <f>IFERROR(INDEX('DRAFT 1'!$AD:$AD,MATCH($B81,'DRAFT 1'!$B:$B,0)),"")</f>
        <v/>
      </c>
      <c r="AJ81" s="116">
        <f>IFERROR(INDEX('DRAFT 1'!$AE:$AE,MATCH($B81,'DRAFT 1'!$B:$B,0)),"")</f>
        <v/>
      </c>
      <c r="AK81" s="116">
        <f>IFERROR(INDEX('DRAFT 1'!$AG:$AG,MATCH($B81,'DRAFT 1'!$B:$B,0)),"")</f>
        <v/>
      </c>
      <c r="AL81" s="116">
        <f>IFERROR(INDEX('DRAFT 1'!$AH:$AH,MATCH($B81,'DRAFT 1'!$B:$B,0)),"")</f>
        <v/>
      </c>
      <c r="AM81" s="116">
        <f>IFERROR(INDEX('DRAFT 1'!$AI:$AI,MATCH($B81,'DRAFT 1'!$B:$B,0)),"")</f>
        <v/>
      </c>
      <c r="AN81" s="116">
        <f>IFERROR(INDEX('DRAFT 1'!$AJ:$AJ,MATCH($B81,'DRAFT 1'!$B:$B,0)),"")</f>
        <v/>
      </c>
      <c r="AO81" s="116">
        <f>IFERROR(Y81/AN81,0)</f>
        <v/>
      </c>
      <c r="AP81" s="116">
        <f>IFERROR(INDEX('DRAFT 1'!$AK:$AK,MATCH($B81,'DRAFT 1'!$B:$B,0)),"")</f>
        <v/>
      </c>
      <c r="AR81" s="116" t="inlineStr">
        <is>
          <t>RECOMPRA</t>
        </is>
      </c>
      <c r="AS81" s="116">
        <f>IFERROR(LOOKUP(2,1/('DRAFT 2'!$D:$D=$B81),'DRAFT 2'!$T:$T),"")</f>
        <v/>
      </c>
      <c r="AT81" s="116">
        <f>IFERROR(LOOKUP(2,1/('DRAFT 2'!$D:$D=$B81),'DRAFT 2'!$A:$A),"")</f>
        <v/>
      </c>
      <c r="AU81" s="116">
        <f>IFERROR(LOOKUP(2,1/('DRAFT 2'!$D:$D=$B81),'DRAFT 2'!$R:$R),"")</f>
        <v/>
      </c>
      <c r="AV81" s="116">
        <f>IFERROR(LOOKUP(2,1/('DRAFT 2'!$D:$D=$B81),'DRAFT 2'!$S:$S),"")</f>
        <v/>
      </c>
      <c r="AW81" s="116" t="inlineStr">
        <is>
          <t>LEAD</t>
        </is>
      </c>
      <c r="AX81" s="116">
        <f>IFERROR(LOOKUP(2,1/('DRAFT 2'!$D:$D=$B81),'DRAFT 2'!$M:$M),"")</f>
        <v/>
      </c>
      <c r="AY81" s="116">
        <f>IFERROR(LOOKUP(2,1/('DRAFT 2'!$D:$D=$B81),'DRAFT 2'!$K:$K),"")</f>
        <v/>
      </c>
      <c r="BG81" s="116">
        <f>IFERROR(LOOKUP(2,1/('DRAFT 2'!$D:$D=$B81),'DRAFT 2'!$U:$U),"")</f>
        <v/>
      </c>
      <c r="BH81" s="116">
        <f>IFERROR(LOOKUP(2,1/('DRAFT 2'!$D:$D=$B81),'DRAFT 2'!$V:$V),"")</f>
        <v/>
      </c>
      <c r="CE81" s="116">
        <f>IFERROR(AJ81,0)</f>
        <v/>
      </c>
      <c r="CF81" s="116">
        <f>IFERROR(LOOKUP(2,1/('DRAFT 2'!$D:$D=$B81)*('DRAFT 2'!$A:$A&gt;=DATE(2026,1,1))*('DRAFT 2'!$A:$A&lt;DATE(2026,IF(1=12,1+1,1+1),1)),'DRAFT 2'!$A:$A),"")</f>
        <v/>
      </c>
      <c r="CG81" s="116">
        <f>COUNTIFS('DRAFT 2'!$D:$D,$B81,'DRAFT 2'!$A:$A,"&gt;="&amp;DATE(2026,1,1),'DRAFT 2'!$A:$A,"&lt;="&amp;DATE(2026,1,7))</f>
        <v/>
      </c>
      <c r="CH81" s="116">
        <f>COUNTIFS('DRAFT 2'!$D:$D,$B81,'DRAFT 2'!$A:$A,"&gt;="&amp;DATE(2026,1,8),'DRAFT 2'!$A:$A,"&lt;="&amp;DATE(2026,1,14))</f>
        <v/>
      </c>
      <c r="CI81" s="116">
        <f>COUNTIFS('DRAFT 2'!$D:$D,$B81,'DRAFT 2'!$A:$A,"&gt;="&amp;DATE(2026,1,15),'DRAFT 2'!$A:$A,"&lt;="&amp;DATE(2026,1,21))</f>
        <v/>
      </c>
      <c r="CJ81" s="116">
        <f>COUNTIFS('DRAFT 2'!$D:$D,$B81,'DRAFT 2'!$A:$A,"&gt;="&amp;DATE(2026,1,22),'DRAFT 2'!$A:$A,"&lt;"&amp;DATE(2026,IF(1=12,1+1,1+1),1))</f>
        <v/>
      </c>
      <c r="CK81" s="116">
        <f>SUM(CG81:CJ81)</f>
        <v/>
      </c>
      <c r="CT81" s="116" t="n">
        <v>0</v>
      </c>
      <c r="CU81" s="116">
        <f>IFERROR(LOOKUP(2,1/('DRAFT 2'!$D:$D=$B81)*('DRAFT 2'!$A:$A&gt;=DATE(2026,2,1))*('DRAFT 2'!$A:$A&lt;DATE(2026,IF(2=12,2+1,2+1),1)),'DRAFT 2'!$A:$A),"")</f>
        <v/>
      </c>
      <c r="CV81" s="116">
        <f>COUNTIFS('DRAFT 2'!$D:$D,$B81,'DRAFT 2'!$A:$A,"&gt;="&amp;DATE(2026,2,1),'DRAFT 2'!$A:$A,"&lt;="&amp;DATE(2026,2,7))</f>
        <v/>
      </c>
      <c r="CW81" s="116">
        <f>COUNTIFS('DRAFT 2'!$D:$D,$B81,'DRAFT 2'!$A:$A,"&gt;="&amp;DATE(2026,2,8),'DRAFT 2'!$A:$A,"&lt;="&amp;DATE(2026,2,14))</f>
        <v/>
      </c>
      <c r="CX81" s="116">
        <f>COUNTIFS('DRAFT 2'!$D:$D,$B81,'DRAFT 2'!$A:$A,"&gt;="&amp;DATE(2026,2,15),'DRAFT 2'!$A:$A,"&lt;="&amp;DATE(2026,2,21))</f>
        <v/>
      </c>
      <c r="CY81" s="116">
        <f>COUNTIFS('DRAFT 2'!$D:$D,$B81,'DRAFT 2'!$A:$A,"&gt;="&amp;DATE(2026,2,22),'DRAFT 2'!$A:$A,"&lt;"&amp;DATE(2026,IF(2=12,2+1,2+1),1))</f>
        <v/>
      </c>
      <c r="CZ81" s="116">
        <f>SUM(CV81:CY81)</f>
        <v/>
      </c>
      <c r="DJ81" s="116">
        <f>IFERROR(LOOKUP(2,1/('DRAFT 2'!$D:$D=$B81)*('DRAFT 2'!$A:$A&gt;=DATE(2026,3,1))*('DRAFT 2'!$A:$A&lt;DATE(2026,IF(3=12,3+1,3+1),1)),'DRAFT 2'!$A:$A),"")</f>
        <v/>
      </c>
      <c r="DK81" s="116">
        <f>COUNTIFS('DRAFT 2'!$D:$D,$B81,'DRAFT 2'!$A:$A,"&gt;="&amp;DATE(2026,3,1),'DRAFT 2'!$A:$A,"&lt;="&amp;DATE(2026,3,7))</f>
        <v/>
      </c>
      <c r="DL81" s="116">
        <f>COUNTIFS('DRAFT 2'!$D:$D,$B81,'DRAFT 2'!$A:$A,"&gt;="&amp;DATE(2026,3,8),'DRAFT 2'!$A:$A,"&lt;="&amp;DATE(2026,3,14))</f>
        <v/>
      </c>
      <c r="DM81" s="116">
        <f>COUNTIFS('DRAFT 2'!$D:$D,$B81,'DRAFT 2'!$A:$A,"&gt;="&amp;DATE(2026,3,15),'DRAFT 2'!$A:$A,"&lt;="&amp;DATE(2026,3,21))</f>
        <v/>
      </c>
      <c r="DN81" s="116">
        <f>COUNTIFS('DRAFT 2'!$D:$D,$B81,'DRAFT 2'!$A:$A,"&gt;="&amp;DATE(2026,3,22),'DRAFT 2'!$A:$A,"&lt;"&amp;DATE(2026,IF(3=12,3+1,3+1),1))</f>
        <v/>
      </c>
      <c r="DO81" s="116">
        <f>SUM(DK81:DN81)</f>
        <v/>
      </c>
      <c r="DZ81" s="116">
        <f>IFERROR(LOOKUP(2,1/('DRAFT 2'!$D:$D=$B81)*('DRAFT 2'!$A:$A&gt;=DATE(2026,4,1))*('DRAFT 2'!$A:$A&lt;DATE(2026,IF(4=12,4+1,4+1),1)),'DRAFT 2'!$A:$A),"")</f>
        <v/>
      </c>
      <c r="EA81" s="116">
        <f>COUNTIFS('DRAFT 2'!$D:$D,$B81,'DRAFT 2'!$A:$A,"&gt;="&amp;DATE(2026,4,1),'DRAFT 2'!$A:$A,"&lt;="&amp;DATE(2026,4,7))</f>
        <v/>
      </c>
      <c r="EB81" s="116">
        <f>COUNTIFS('DRAFT 2'!$D:$D,$B81,'DRAFT 2'!$A:$A,"&gt;="&amp;DATE(2026,4,8),'DRAFT 2'!$A:$A,"&lt;="&amp;DATE(2026,4,14))</f>
        <v/>
      </c>
      <c r="EC81" s="116">
        <f>COUNTIFS('DRAFT 2'!$D:$D,$B81,'DRAFT 2'!$A:$A,"&gt;="&amp;DATE(2026,4,15),'DRAFT 2'!$A:$A,"&lt;="&amp;DATE(2026,4,21))</f>
        <v/>
      </c>
      <c r="ED81" s="116">
        <f>COUNTIFS('DRAFT 2'!$D:$D,$B81,'DRAFT 2'!$A:$A,"&gt;="&amp;DATE(2026,4,22),'DRAFT 2'!$A:$A,"&lt;"&amp;DATE(2026,IF(4=12,4+1,4+1),1))</f>
        <v/>
      </c>
      <c r="EE81" s="116">
        <f>SUM(EA81:ED81)</f>
        <v/>
      </c>
      <c r="EO81" s="116">
        <f>IFERROR(LOOKUP(2,1/('DRAFT 2'!$D:$D=$B81)*('DRAFT 2'!$A:$A&gt;=DATE(2026,5,1))*('DRAFT 2'!$A:$A&lt;DATE(2026,IF(5=12,5+1,5+1),1)),'DRAFT 2'!$A:$A),"")</f>
        <v/>
      </c>
      <c r="EP81" s="116">
        <f>COUNTIFS('DRAFT 2'!$D:$D,$B81,'DRAFT 2'!$A:$A,"&gt;="&amp;DATE(2026,5,1),'DRAFT 2'!$A:$A,"&lt;="&amp;DATE(2026,5,7))</f>
        <v/>
      </c>
      <c r="EQ81" s="116">
        <f>COUNTIFS('DRAFT 2'!$D:$D,$B81,'DRAFT 2'!$A:$A,"&gt;="&amp;DATE(2026,5,8),'DRAFT 2'!$A:$A,"&lt;="&amp;DATE(2026,5,14))</f>
        <v/>
      </c>
      <c r="ER81" s="116">
        <f>COUNTIFS('DRAFT 2'!$D:$D,$B81,'DRAFT 2'!$A:$A,"&gt;="&amp;DATE(2026,5,15),'DRAFT 2'!$A:$A,"&lt;="&amp;DATE(2026,5,21))</f>
        <v/>
      </c>
      <c r="ES81" s="116">
        <f>COUNTIFS('DRAFT 2'!$D:$D,$B81,'DRAFT 2'!$A:$A,"&gt;="&amp;DATE(2026,5,22),'DRAFT 2'!$A:$A,"&lt;"&amp;DATE(2026,IF(5=12,5+1,5+1),1))</f>
        <v/>
      </c>
      <c r="ET81" s="116">
        <f>SUM(EP81:ES81)</f>
        <v/>
      </c>
      <c r="FD81" s="116">
        <f>IFERROR(LOOKUP(2,1/('DRAFT 2'!$D:$D=$B81)*('DRAFT 2'!$A:$A&gt;=DATE(2026,6,1))*('DRAFT 2'!$A:$A&lt;DATE(2026,IF(6=12,6+1,6+1),1)),'DRAFT 2'!$A:$A),"")</f>
        <v/>
      </c>
      <c r="FE81" s="116">
        <f>COUNTIFS('DRAFT 2'!$D:$D,$B81,'DRAFT 2'!$A:$A,"&gt;="&amp;DATE(2026,6,1),'DRAFT 2'!$A:$A,"&lt;="&amp;DATE(2026,6,7))</f>
        <v/>
      </c>
      <c r="FF81" s="116">
        <f>COUNTIFS('DRAFT 2'!$D:$D,$B81,'DRAFT 2'!$A:$A,"&gt;="&amp;DATE(2026,6,8),'DRAFT 2'!$A:$A,"&lt;="&amp;DATE(2026,6,14))</f>
        <v/>
      </c>
      <c r="FG81" s="116">
        <f>COUNTIFS('DRAFT 2'!$D:$D,$B81,'DRAFT 2'!$A:$A,"&gt;="&amp;DATE(2026,6,15),'DRAFT 2'!$A:$A,"&lt;="&amp;DATE(2026,6,21))</f>
        <v/>
      </c>
      <c r="FH81" s="116">
        <f>COUNTIFS('DRAFT 2'!$D:$D,$B81,'DRAFT 2'!$A:$A,"&gt;="&amp;DATE(2026,6,22),'DRAFT 2'!$A:$A,"&lt;"&amp;DATE(2026,IF(6=12,6+1,6+1),1))</f>
        <v/>
      </c>
      <c r="FI81" s="116">
        <f>SUM(FE81:FH81)</f>
        <v/>
      </c>
      <c r="FT81" s="116">
        <f>IFERROR(LOOKUP(2,1/('DRAFT 2'!$D:$D=$B81)*('DRAFT 2'!$A:$A&gt;=DATE(2026,7,1))*('DRAFT 2'!$A:$A&lt;DATE(2026,IF(7=12,7+1,7+1),1)),'DRAFT 2'!$A:$A),"")</f>
        <v/>
      </c>
      <c r="FU81" s="116">
        <f>COUNTIFS('DRAFT 2'!$D:$D,$B81,'DRAFT 2'!$A:$A,"&gt;="&amp;DATE(2026,7,1),'DRAFT 2'!$A:$A,"&lt;="&amp;DATE(2026,7,7))</f>
        <v/>
      </c>
      <c r="FV81" s="116">
        <f>COUNTIFS('DRAFT 2'!$D:$D,$B81,'DRAFT 2'!$A:$A,"&gt;="&amp;DATE(2026,7,8),'DRAFT 2'!$A:$A,"&lt;="&amp;DATE(2026,7,14))</f>
        <v/>
      </c>
      <c r="FW81" s="116">
        <f>COUNTIFS('DRAFT 2'!$D:$D,$B81,'DRAFT 2'!$A:$A,"&gt;="&amp;DATE(2026,7,15),'DRAFT 2'!$A:$A,"&lt;="&amp;DATE(2026,7,21))</f>
        <v/>
      </c>
      <c r="FX81" s="116">
        <f>COUNTIFS('DRAFT 2'!$D:$D,$B81,'DRAFT 2'!$A:$A,"&gt;="&amp;DATE(2026,7,22),'DRAFT 2'!$A:$A,"&lt;"&amp;DATE(2026,IF(7=12,7+1,7+1),1))</f>
        <v/>
      </c>
      <c r="FY81" s="116">
        <f>SUM(FU81:FX81)</f>
        <v/>
      </c>
      <c r="GI81" s="116">
        <f>IFERROR(LOOKUP(2,1/('DRAFT 2'!$D:$D=$B81)*('DRAFT 2'!$A:$A&gt;=DATE(2026,8,1))*('DRAFT 2'!$A:$A&lt;DATE(2026,IF(8=12,8+1,8+1),1)),'DRAFT 2'!$A:$A),"")</f>
        <v/>
      </c>
      <c r="GJ81" s="116">
        <f>COUNTIFS('DRAFT 2'!$D:$D,$B81,'DRAFT 2'!$A:$A,"&gt;="&amp;DATE(2026,8,1),'DRAFT 2'!$A:$A,"&lt;="&amp;DATE(2026,8,7))</f>
        <v/>
      </c>
      <c r="GK81" s="116">
        <f>COUNTIFS('DRAFT 2'!$D:$D,$B81,'DRAFT 2'!$A:$A,"&gt;="&amp;DATE(2026,8,8),'DRAFT 2'!$A:$A,"&lt;="&amp;DATE(2026,8,14))</f>
        <v/>
      </c>
      <c r="GL81" s="116">
        <f>COUNTIFS('DRAFT 2'!$D:$D,$B81,'DRAFT 2'!$A:$A,"&gt;="&amp;DATE(2026,8,15),'DRAFT 2'!$A:$A,"&lt;="&amp;DATE(2026,8,21))</f>
        <v/>
      </c>
      <c r="GM81" s="116">
        <f>COUNTIFS('DRAFT 2'!$D:$D,$B81,'DRAFT 2'!$A:$A,"&gt;="&amp;DATE(2026,8,22),'DRAFT 2'!$A:$A,"&lt;"&amp;DATE(2026,IF(8=12,8+1,8+1),1))</f>
        <v/>
      </c>
      <c r="GN81" s="116">
        <f>SUM(GJ81:GM81)</f>
        <v/>
      </c>
      <c r="GX81" s="116">
        <f>IFERROR(LOOKUP(2,1/('DRAFT 2'!$D:$D=$B81)*('DRAFT 2'!$A:$A&gt;=DATE(2026,9,1))*('DRAFT 2'!$A:$A&lt;DATE(2026,IF(9=12,9+1,9+1),1)),'DRAFT 2'!$A:$A),"")</f>
        <v/>
      </c>
      <c r="GY81" s="116">
        <f>COUNTIFS('DRAFT 2'!$D:$D,$B81,'DRAFT 2'!$A:$A,"&gt;="&amp;DATE(2026,9,1),'DRAFT 2'!$A:$A,"&lt;="&amp;DATE(2026,9,7))</f>
        <v/>
      </c>
      <c r="GZ81" s="116">
        <f>COUNTIFS('DRAFT 2'!$D:$D,$B81,'DRAFT 2'!$A:$A,"&gt;="&amp;DATE(2026,9,8),'DRAFT 2'!$A:$A,"&lt;="&amp;DATE(2026,9,14))</f>
        <v/>
      </c>
      <c r="HA81" s="116">
        <f>COUNTIFS('DRAFT 2'!$D:$D,$B81,'DRAFT 2'!$A:$A,"&gt;="&amp;DATE(2026,9,15),'DRAFT 2'!$A:$A,"&lt;="&amp;DATE(2026,9,21))</f>
        <v/>
      </c>
      <c r="HB81" s="116">
        <f>COUNTIFS('DRAFT 2'!$D:$D,$B81,'DRAFT 2'!$A:$A,"&gt;="&amp;DATE(2026,9,22),'DRAFT 2'!$A:$A,"&lt;"&amp;DATE(2026,IF(9=12,9+1,9+1),1))</f>
        <v/>
      </c>
      <c r="HC81" s="116">
        <f>SUM(GY81:HB81)</f>
        <v/>
      </c>
      <c r="HN81" s="116">
        <f>IFERROR(LOOKUP(2,1/('DRAFT 2'!$D:$D=$B81)*('DRAFT 2'!$A:$A&gt;=DATE(2026,10,1))*('DRAFT 2'!$A:$A&lt;DATE(2026,IF(10=12,10+1,10+1),1)),'DRAFT 2'!$A:$A),"")</f>
        <v/>
      </c>
      <c r="HO81" s="116">
        <f>COUNTIFS('DRAFT 2'!$D:$D,$B81,'DRAFT 2'!$A:$A,"&gt;="&amp;DATE(2026,10,1),'DRAFT 2'!$A:$A,"&lt;="&amp;DATE(2026,10,7))</f>
        <v/>
      </c>
      <c r="HP81" s="116">
        <f>COUNTIFS('DRAFT 2'!$D:$D,$B81,'DRAFT 2'!$A:$A,"&gt;="&amp;DATE(2026,10,8),'DRAFT 2'!$A:$A,"&lt;="&amp;DATE(2026,10,14))</f>
        <v/>
      </c>
      <c r="HQ81" s="116">
        <f>COUNTIFS('DRAFT 2'!$D:$D,$B81,'DRAFT 2'!$A:$A,"&gt;="&amp;DATE(2026,10,15),'DRAFT 2'!$A:$A,"&lt;="&amp;DATE(2026,10,21))</f>
        <v/>
      </c>
      <c r="HR81" s="116">
        <f>COUNTIFS('DRAFT 2'!$D:$D,$B81,'DRAFT 2'!$A:$A,"&gt;="&amp;DATE(2026,10,22),'DRAFT 2'!$A:$A,"&lt;"&amp;DATE(2026,IF(10=12,10+1,10+1),1))</f>
        <v/>
      </c>
      <c r="HS81" s="116">
        <f>SUM(HO81:HR81)</f>
        <v/>
      </c>
      <c r="IC81" s="116">
        <f>IFERROR(LOOKUP(2,1/('DRAFT 2'!$D:$D=$B81)*('DRAFT 2'!$A:$A&gt;=DATE(2026,11,1))*('DRAFT 2'!$A:$A&lt;DATE(2026,IF(11=12,11+1,11+1),1)),'DRAFT 2'!$A:$A),"")</f>
        <v/>
      </c>
      <c r="ID81" s="116">
        <f>COUNTIFS('DRAFT 2'!$D:$D,$B81,'DRAFT 2'!$A:$A,"&gt;="&amp;DATE(2026,11,1),'DRAFT 2'!$A:$A,"&lt;="&amp;DATE(2026,11,7))</f>
        <v/>
      </c>
      <c r="IE81" s="116">
        <f>COUNTIFS('DRAFT 2'!$D:$D,$B81,'DRAFT 2'!$A:$A,"&gt;="&amp;DATE(2026,11,8),'DRAFT 2'!$A:$A,"&lt;="&amp;DATE(2026,11,14))</f>
        <v/>
      </c>
      <c r="IF81" s="116">
        <f>COUNTIFS('DRAFT 2'!$D:$D,$B81,'DRAFT 2'!$A:$A,"&gt;="&amp;DATE(2026,11,15),'DRAFT 2'!$A:$A,"&lt;="&amp;DATE(2026,11,21))</f>
        <v/>
      </c>
      <c r="IG81" s="116">
        <f>COUNTIFS('DRAFT 2'!$D:$D,$B81,'DRAFT 2'!$A:$A,"&gt;="&amp;DATE(2026,11,22),'DRAFT 2'!$A:$A,"&lt;"&amp;DATE(2026,IF(11=12,11+1,11+1),1))</f>
        <v/>
      </c>
      <c r="IH81" s="116">
        <f>SUM(ID81:IG81)</f>
        <v/>
      </c>
      <c r="IR81" s="116">
        <f>IFERROR(LOOKUP(2,1/('DRAFT 2'!$D:$D=$B81)*('DRAFT 2'!$A:$A&gt;=DATE(2026,12,1))*('DRAFT 2'!$A:$A&lt;DATE(2026,IF(12=12,12+1,12+1),1)),'DRAFT 2'!$A:$A),"")</f>
        <v/>
      </c>
      <c r="IS81" s="116">
        <f>COUNTIFS('DRAFT 2'!$D:$D,$B81,'DRAFT 2'!$A:$A,"&gt;="&amp;DATE(2026,12,1),'DRAFT 2'!$A:$A,"&lt;="&amp;DATE(2026,12,7))</f>
        <v/>
      </c>
      <c r="IT81" s="116">
        <f>COUNTIFS('DRAFT 2'!$D:$D,$B81,'DRAFT 2'!$A:$A,"&gt;="&amp;DATE(2026,12,8),'DRAFT 2'!$A:$A,"&lt;="&amp;DATE(2026,12,14))</f>
        <v/>
      </c>
      <c r="IU81" s="116">
        <f>COUNTIFS('DRAFT 2'!$D:$D,$B81,'DRAFT 2'!$A:$A,"&gt;="&amp;DATE(2026,12,15),'DRAFT 2'!$A:$A,"&lt;="&amp;DATE(2026,12,21))</f>
        <v/>
      </c>
      <c r="IV81" s="116">
        <f>COUNTIFS('DRAFT 2'!$D:$D,$B81,'DRAFT 2'!$A:$A,"&gt;="&amp;DATE(2026,12,22),'DRAFT 2'!$A:$A,"&lt;"&amp;DATE(2026,IF(12=12,12+1,12+1),1))</f>
        <v/>
      </c>
      <c r="IW81" s="116">
        <f>SUM(IS81:IV81)</f>
        <v/>
      </c>
    </row>
    <row r="82">
      <c r="A82" s="116">
        <f>IFERROR(INDEX('DRAFT 1'!$A:$A,MATCH($B82,'DRAFT 1'!$B:$B,0)),"")</f>
        <v/>
      </c>
      <c r="C82" s="116">
        <f>IFERROR(INDEX('DRAFT 1'!$C:$C,MATCH($B82,'DRAFT 1'!$B:$B,0)),"")</f>
        <v/>
      </c>
      <c r="D82" s="116">
        <f>IFERROR(INDEX('DRAFT 1'!$D:$D,MATCH($B82,'DRAFT 1'!$B:$B,0)),"")</f>
        <v/>
      </c>
      <c r="E82" s="116">
        <f>IFERROR(INDEX('DRAFT 1'!$E:$E,MATCH($B82,'DRAFT 1'!$B:$B,0)),"")</f>
        <v/>
      </c>
      <c r="F82" s="116">
        <f>IFERROR(INDEX('DRAFT 1'!$F:$F,MATCH($B82,'DRAFT 1'!$B:$B,0)),"")</f>
        <v/>
      </c>
      <c r="G82" s="116">
        <f>IFERROR(INDEX('DRAFT 1'!$G:$G,MATCH($B82,'DRAFT 1'!$B:$B,0)),"")</f>
        <v/>
      </c>
      <c r="H82" s="116">
        <f>IFERROR(INDEX('DRAFT 1'!$H:$H,MATCH($B82,'DRAFT 1'!$B:$B,0)),"")</f>
        <v/>
      </c>
      <c r="I82" s="116" t="inlineStr">
        <is>
          <t>DEMAIS CLIENTES</t>
        </is>
      </c>
      <c r="K82" s="116">
        <f>IFERROR(INDEX('DRAFT 1'!$AL:$AL,MATCH($B82,'DRAFT 1'!$B:$B,0)),"")</f>
        <v/>
      </c>
      <c r="L82" s="116">
        <f>IFERROR(INDEX('DRAFT 1'!$J:$J,MATCH($B82,'DRAFT 1'!$B:$B,0)),"")</f>
        <v/>
      </c>
      <c r="M82" s="116">
        <f>IFERROR(INDEX('DRAFT 1'!$K:$K,MATCH($B82,'DRAFT 1'!$B:$B,0)),"")</f>
        <v/>
      </c>
      <c r="N82" s="116" t="inlineStr">
        <is>
          <t>EM RISCO</t>
        </is>
      </c>
      <c r="P82" s="116">
        <f>IFERROR(INDEX('DRAFT 1'!$L:$L,MATCH($B82,'DRAFT 1'!$B:$B,0)),"")</f>
        <v/>
      </c>
      <c r="Q82" s="116">
        <f>IFERROR(INDEX('DRAFT 1'!$M:$M,MATCH($B82,'DRAFT 1'!$B:$B,0)),"")</f>
        <v/>
      </c>
      <c r="R82" s="116">
        <f>IFERROR(INDEX('DRAFT 1'!$N:$N,MATCH($B82,'DRAFT 1'!$B:$B,0)),"")</f>
        <v/>
      </c>
      <c r="S82" s="116">
        <f>IFERROR(INDEX('DRAFT 1'!$O:$O,MATCH($B82,'DRAFT 1'!$B:$B,0)),"")</f>
        <v/>
      </c>
      <c r="T82" s="116">
        <f>IFERROR(INDEX('DRAFT 1'!$P:$P,MATCH($B82,'DRAFT 1'!$B:$B,0)),"")</f>
        <v/>
      </c>
      <c r="U82" s="116">
        <f>IFERROR(INDEX('DRAFT 1'!$Q:$Q,MATCH($B82,'DRAFT 1'!$B:$B,0)),"")</f>
        <v/>
      </c>
      <c r="V82" s="116">
        <f>IFERROR(INDEX('DRAFT 1'!$R:$R,MATCH($B82,'DRAFT 1'!$B:$B,0)),"")</f>
        <v/>
      </c>
      <c r="W82" s="116">
        <f>IFERROR(INDEX('DRAFT 1'!$S:$S,MATCH($B82,'DRAFT 1'!$B:$B,0)),"")</f>
        <v/>
      </c>
      <c r="X82" s="116">
        <f>IFERROR(INDEX('DRAFT 1'!$T:$T,MATCH($B82,'DRAFT 1'!$B:$B,0)),"")</f>
        <v/>
      </c>
      <c r="Z82" s="116">
        <f>IFERROR(INDEX('DRAFT 1'!$U:$U,MATCH($B82,'DRAFT 1'!$B:$B,0)),"")</f>
        <v/>
      </c>
      <c r="AA82" s="116">
        <f>IFERROR(INDEX('DRAFT 1'!$V:$V,MATCH($B82,'DRAFT 1'!$B:$B,0)),"")</f>
        <v/>
      </c>
      <c r="AB82" s="116">
        <f>IFERROR(INDEX('DRAFT 1'!$W:$W,MATCH($B82,'DRAFT 1'!$B:$B,0)),"")</f>
        <v/>
      </c>
      <c r="AC82" s="116">
        <f>IFERROR(INDEX('DRAFT 1'!$X:$X,MATCH($B82,'DRAFT 1'!$B:$B,0)),"")</f>
        <v/>
      </c>
      <c r="AD82" s="116">
        <f>IFERROR(INDEX('DRAFT 1'!$Y:$Y,MATCH($B82,'DRAFT 1'!$B:$B,0)),"")</f>
        <v/>
      </c>
      <c r="AE82" s="116">
        <f>IFERROR(INDEX('DRAFT 1'!$Z:$Z,MATCH($B82,'DRAFT 1'!$B:$B,0)),"")</f>
        <v/>
      </c>
      <c r="AF82" s="116">
        <f>IFERROR(INDEX('DRAFT 1'!$AA:$AA,MATCH($B82,'DRAFT 1'!$B:$B,0)),"")</f>
        <v/>
      </c>
      <c r="AG82" s="116">
        <f>IFERROR(INDEX('DRAFT 1'!$AB:$AB,MATCH($B82,'DRAFT 1'!$B:$B,0)),"")</f>
        <v/>
      </c>
      <c r="AH82" s="116">
        <f>IFERROR(INDEX('DRAFT 1'!$AC:$AC,MATCH($B82,'DRAFT 1'!$B:$B,0)),"")</f>
        <v/>
      </c>
      <c r="AI82" s="116">
        <f>IFERROR(INDEX('DRAFT 1'!$AD:$AD,MATCH($B82,'DRAFT 1'!$B:$B,0)),"")</f>
        <v/>
      </c>
      <c r="AJ82" s="116">
        <f>IFERROR(INDEX('DRAFT 1'!$AE:$AE,MATCH($B82,'DRAFT 1'!$B:$B,0)),"")</f>
        <v/>
      </c>
      <c r="AK82" s="116">
        <f>IFERROR(INDEX('DRAFT 1'!$AG:$AG,MATCH($B82,'DRAFT 1'!$B:$B,0)),"")</f>
        <v/>
      </c>
      <c r="AL82" s="116">
        <f>IFERROR(INDEX('DRAFT 1'!$AH:$AH,MATCH($B82,'DRAFT 1'!$B:$B,0)),"")</f>
        <v/>
      </c>
      <c r="AM82" s="116">
        <f>IFERROR(INDEX('DRAFT 1'!$AI:$AI,MATCH($B82,'DRAFT 1'!$B:$B,0)),"")</f>
        <v/>
      </c>
      <c r="AN82" s="116">
        <f>IFERROR(INDEX('DRAFT 1'!$AJ:$AJ,MATCH($B82,'DRAFT 1'!$B:$B,0)),"")</f>
        <v/>
      </c>
      <c r="AO82" s="116">
        <f>IFERROR(Y82/AN82,0)</f>
        <v/>
      </c>
      <c r="AP82" s="116">
        <f>IFERROR(INDEX('DRAFT 1'!$AK:$AK,MATCH($B82,'DRAFT 1'!$B:$B,0)),"")</f>
        <v/>
      </c>
      <c r="AR82" s="116" t="inlineStr">
        <is>
          <t>PÓS-VENDA</t>
        </is>
      </c>
      <c r="AS82" s="116">
        <f>IFERROR(LOOKUP(2,1/('DRAFT 2'!$D:$D=$B82),'DRAFT 2'!$T:$T),"")</f>
        <v/>
      </c>
      <c r="AT82" s="116">
        <f>IFERROR(LOOKUP(2,1/('DRAFT 2'!$D:$D=$B82),'DRAFT 2'!$A:$A),"")</f>
        <v/>
      </c>
      <c r="AU82" s="116">
        <f>IFERROR(LOOKUP(2,1/('DRAFT 2'!$D:$D=$B82),'DRAFT 2'!$R:$R),"")</f>
        <v/>
      </c>
      <c r="AV82" s="116">
        <f>IFERROR(LOOKUP(2,1/('DRAFT 2'!$D:$D=$B82),'DRAFT 2'!$S:$S),"")</f>
        <v/>
      </c>
      <c r="AW82" s="116" t="inlineStr">
        <is>
          <t>LEAD</t>
        </is>
      </c>
      <c r="AX82" s="116">
        <f>IFERROR(LOOKUP(2,1/('DRAFT 2'!$D:$D=$B82),'DRAFT 2'!$M:$M),"")</f>
        <v/>
      </c>
      <c r="AY82" s="116">
        <f>IFERROR(LOOKUP(2,1/('DRAFT 2'!$D:$D=$B82),'DRAFT 2'!$K:$K),"")</f>
        <v/>
      </c>
      <c r="BG82" s="116">
        <f>IFERROR(LOOKUP(2,1/('DRAFT 2'!$D:$D=$B82),'DRAFT 2'!$U:$U),"")</f>
        <v/>
      </c>
      <c r="BH82" s="116">
        <f>IFERROR(LOOKUP(2,1/('DRAFT 2'!$D:$D=$B82),'DRAFT 2'!$V:$V),"")</f>
        <v/>
      </c>
      <c r="CE82" s="116">
        <f>IFERROR(AJ82,0)</f>
        <v/>
      </c>
      <c r="CF82" s="116">
        <f>IFERROR(LOOKUP(2,1/('DRAFT 2'!$D:$D=$B82)*('DRAFT 2'!$A:$A&gt;=DATE(2026,1,1))*('DRAFT 2'!$A:$A&lt;DATE(2026,IF(1=12,1+1,1+1),1)),'DRAFT 2'!$A:$A),"")</f>
        <v/>
      </c>
      <c r="CG82" s="116">
        <f>COUNTIFS('DRAFT 2'!$D:$D,$B82,'DRAFT 2'!$A:$A,"&gt;="&amp;DATE(2026,1,1),'DRAFT 2'!$A:$A,"&lt;="&amp;DATE(2026,1,7))</f>
        <v/>
      </c>
      <c r="CH82" s="116">
        <f>COUNTIFS('DRAFT 2'!$D:$D,$B82,'DRAFT 2'!$A:$A,"&gt;="&amp;DATE(2026,1,8),'DRAFT 2'!$A:$A,"&lt;="&amp;DATE(2026,1,14))</f>
        <v/>
      </c>
      <c r="CI82" s="116">
        <f>COUNTIFS('DRAFT 2'!$D:$D,$B82,'DRAFT 2'!$A:$A,"&gt;="&amp;DATE(2026,1,15),'DRAFT 2'!$A:$A,"&lt;="&amp;DATE(2026,1,21))</f>
        <v/>
      </c>
      <c r="CJ82" s="116">
        <f>COUNTIFS('DRAFT 2'!$D:$D,$B82,'DRAFT 2'!$A:$A,"&gt;="&amp;DATE(2026,1,22),'DRAFT 2'!$A:$A,"&lt;"&amp;DATE(2026,IF(1=12,1+1,1+1),1))</f>
        <v/>
      </c>
      <c r="CK82" s="116">
        <f>SUM(CG82:CJ82)</f>
        <v/>
      </c>
      <c r="CT82" s="116" t="n">
        <v>0</v>
      </c>
      <c r="CU82" s="116">
        <f>IFERROR(LOOKUP(2,1/('DRAFT 2'!$D:$D=$B82)*('DRAFT 2'!$A:$A&gt;=DATE(2026,2,1))*('DRAFT 2'!$A:$A&lt;DATE(2026,IF(2=12,2+1,2+1),1)),'DRAFT 2'!$A:$A),"")</f>
        <v/>
      </c>
      <c r="CV82" s="116">
        <f>COUNTIFS('DRAFT 2'!$D:$D,$B82,'DRAFT 2'!$A:$A,"&gt;="&amp;DATE(2026,2,1),'DRAFT 2'!$A:$A,"&lt;="&amp;DATE(2026,2,7))</f>
        <v/>
      </c>
      <c r="CW82" s="116">
        <f>COUNTIFS('DRAFT 2'!$D:$D,$B82,'DRAFT 2'!$A:$A,"&gt;="&amp;DATE(2026,2,8),'DRAFT 2'!$A:$A,"&lt;="&amp;DATE(2026,2,14))</f>
        <v/>
      </c>
      <c r="CX82" s="116">
        <f>COUNTIFS('DRAFT 2'!$D:$D,$B82,'DRAFT 2'!$A:$A,"&gt;="&amp;DATE(2026,2,15),'DRAFT 2'!$A:$A,"&lt;="&amp;DATE(2026,2,21))</f>
        <v/>
      </c>
      <c r="CY82" s="116">
        <f>COUNTIFS('DRAFT 2'!$D:$D,$B82,'DRAFT 2'!$A:$A,"&gt;="&amp;DATE(2026,2,22),'DRAFT 2'!$A:$A,"&lt;"&amp;DATE(2026,IF(2=12,2+1,2+1),1))</f>
        <v/>
      </c>
      <c r="CZ82" s="116">
        <f>SUM(CV82:CY82)</f>
        <v/>
      </c>
      <c r="DJ82" s="116">
        <f>IFERROR(LOOKUP(2,1/('DRAFT 2'!$D:$D=$B82)*('DRAFT 2'!$A:$A&gt;=DATE(2026,3,1))*('DRAFT 2'!$A:$A&lt;DATE(2026,IF(3=12,3+1,3+1),1)),'DRAFT 2'!$A:$A),"")</f>
        <v/>
      </c>
      <c r="DK82" s="116">
        <f>COUNTIFS('DRAFT 2'!$D:$D,$B82,'DRAFT 2'!$A:$A,"&gt;="&amp;DATE(2026,3,1),'DRAFT 2'!$A:$A,"&lt;="&amp;DATE(2026,3,7))</f>
        <v/>
      </c>
      <c r="DL82" s="116">
        <f>COUNTIFS('DRAFT 2'!$D:$D,$B82,'DRAFT 2'!$A:$A,"&gt;="&amp;DATE(2026,3,8),'DRAFT 2'!$A:$A,"&lt;="&amp;DATE(2026,3,14))</f>
        <v/>
      </c>
      <c r="DM82" s="116">
        <f>COUNTIFS('DRAFT 2'!$D:$D,$B82,'DRAFT 2'!$A:$A,"&gt;="&amp;DATE(2026,3,15),'DRAFT 2'!$A:$A,"&lt;="&amp;DATE(2026,3,21))</f>
        <v/>
      </c>
      <c r="DN82" s="116">
        <f>COUNTIFS('DRAFT 2'!$D:$D,$B82,'DRAFT 2'!$A:$A,"&gt;="&amp;DATE(2026,3,22),'DRAFT 2'!$A:$A,"&lt;"&amp;DATE(2026,IF(3=12,3+1,3+1),1))</f>
        <v/>
      </c>
      <c r="DO82" s="116">
        <f>SUM(DK82:DN82)</f>
        <v/>
      </c>
      <c r="DZ82" s="116">
        <f>IFERROR(LOOKUP(2,1/('DRAFT 2'!$D:$D=$B82)*('DRAFT 2'!$A:$A&gt;=DATE(2026,4,1))*('DRAFT 2'!$A:$A&lt;DATE(2026,IF(4=12,4+1,4+1),1)),'DRAFT 2'!$A:$A),"")</f>
        <v/>
      </c>
      <c r="EA82" s="116">
        <f>COUNTIFS('DRAFT 2'!$D:$D,$B82,'DRAFT 2'!$A:$A,"&gt;="&amp;DATE(2026,4,1),'DRAFT 2'!$A:$A,"&lt;="&amp;DATE(2026,4,7))</f>
        <v/>
      </c>
      <c r="EB82" s="116">
        <f>COUNTIFS('DRAFT 2'!$D:$D,$B82,'DRAFT 2'!$A:$A,"&gt;="&amp;DATE(2026,4,8),'DRAFT 2'!$A:$A,"&lt;="&amp;DATE(2026,4,14))</f>
        <v/>
      </c>
      <c r="EC82" s="116">
        <f>COUNTIFS('DRAFT 2'!$D:$D,$B82,'DRAFT 2'!$A:$A,"&gt;="&amp;DATE(2026,4,15),'DRAFT 2'!$A:$A,"&lt;="&amp;DATE(2026,4,21))</f>
        <v/>
      </c>
      <c r="ED82" s="116">
        <f>COUNTIFS('DRAFT 2'!$D:$D,$B82,'DRAFT 2'!$A:$A,"&gt;="&amp;DATE(2026,4,22),'DRAFT 2'!$A:$A,"&lt;"&amp;DATE(2026,IF(4=12,4+1,4+1),1))</f>
        <v/>
      </c>
      <c r="EE82" s="116">
        <f>SUM(EA82:ED82)</f>
        <v/>
      </c>
      <c r="EO82" s="116">
        <f>IFERROR(LOOKUP(2,1/('DRAFT 2'!$D:$D=$B82)*('DRAFT 2'!$A:$A&gt;=DATE(2026,5,1))*('DRAFT 2'!$A:$A&lt;DATE(2026,IF(5=12,5+1,5+1),1)),'DRAFT 2'!$A:$A),"")</f>
        <v/>
      </c>
      <c r="EP82" s="116">
        <f>COUNTIFS('DRAFT 2'!$D:$D,$B82,'DRAFT 2'!$A:$A,"&gt;="&amp;DATE(2026,5,1),'DRAFT 2'!$A:$A,"&lt;="&amp;DATE(2026,5,7))</f>
        <v/>
      </c>
      <c r="EQ82" s="116">
        <f>COUNTIFS('DRAFT 2'!$D:$D,$B82,'DRAFT 2'!$A:$A,"&gt;="&amp;DATE(2026,5,8),'DRAFT 2'!$A:$A,"&lt;="&amp;DATE(2026,5,14))</f>
        <v/>
      </c>
      <c r="ER82" s="116">
        <f>COUNTIFS('DRAFT 2'!$D:$D,$B82,'DRAFT 2'!$A:$A,"&gt;="&amp;DATE(2026,5,15),'DRAFT 2'!$A:$A,"&lt;="&amp;DATE(2026,5,21))</f>
        <v/>
      </c>
      <c r="ES82" s="116">
        <f>COUNTIFS('DRAFT 2'!$D:$D,$B82,'DRAFT 2'!$A:$A,"&gt;="&amp;DATE(2026,5,22),'DRAFT 2'!$A:$A,"&lt;"&amp;DATE(2026,IF(5=12,5+1,5+1),1))</f>
        <v/>
      </c>
      <c r="ET82" s="116">
        <f>SUM(EP82:ES82)</f>
        <v/>
      </c>
      <c r="FD82" s="116">
        <f>IFERROR(LOOKUP(2,1/('DRAFT 2'!$D:$D=$B82)*('DRAFT 2'!$A:$A&gt;=DATE(2026,6,1))*('DRAFT 2'!$A:$A&lt;DATE(2026,IF(6=12,6+1,6+1),1)),'DRAFT 2'!$A:$A),"")</f>
        <v/>
      </c>
      <c r="FE82" s="116">
        <f>COUNTIFS('DRAFT 2'!$D:$D,$B82,'DRAFT 2'!$A:$A,"&gt;="&amp;DATE(2026,6,1),'DRAFT 2'!$A:$A,"&lt;="&amp;DATE(2026,6,7))</f>
        <v/>
      </c>
      <c r="FF82" s="116">
        <f>COUNTIFS('DRAFT 2'!$D:$D,$B82,'DRAFT 2'!$A:$A,"&gt;="&amp;DATE(2026,6,8),'DRAFT 2'!$A:$A,"&lt;="&amp;DATE(2026,6,14))</f>
        <v/>
      </c>
      <c r="FG82" s="116">
        <f>COUNTIFS('DRAFT 2'!$D:$D,$B82,'DRAFT 2'!$A:$A,"&gt;="&amp;DATE(2026,6,15),'DRAFT 2'!$A:$A,"&lt;="&amp;DATE(2026,6,21))</f>
        <v/>
      </c>
      <c r="FH82" s="116">
        <f>COUNTIFS('DRAFT 2'!$D:$D,$B82,'DRAFT 2'!$A:$A,"&gt;="&amp;DATE(2026,6,22),'DRAFT 2'!$A:$A,"&lt;"&amp;DATE(2026,IF(6=12,6+1,6+1),1))</f>
        <v/>
      </c>
      <c r="FI82" s="116">
        <f>SUM(FE82:FH82)</f>
        <v/>
      </c>
      <c r="FT82" s="116">
        <f>IFERROR(LOOKUP(2,1/('DRAFT 2'!$D:$D=$B82)*('DRAFT 2'!$A:$A&gt;=DATE(2026,7,1))*('DRAFT 2'!$A:$A&lt;DATE(2026,IF(7=12,7+1,7+1),1)),'DRAFT 2'!$A:$A),"")</f>
        <v/>
      </c>
      <c r="FU82" s="116">
        <f>COUNTIFS('DRAFT 2'!$D:$D,$B82,'DRAFT 2'!$A:$A,"&gt;="&amp;DATE(2026,7,1),'DRAFT 2'!$A:$A,"&lt;="&amp;DATE(2026,7,7))</f>
        <v/>
      </c>
      <c r="FV82" s="116">
        <f>COUNTIFS('DRAFT 2'!$D:$D,$B82,'DRAFT 2'!$A:$A,"&gt;="&amp;DATE(2026,7,8),'DRAFT 2'!$A:$A,"&lt;="&amp;DATE(2026,7,14))</f>
        <v/>
      </c>
      <c r="FW82" s="116">
        <f>COUNTIFS('DRAFT 2'!$D:$D,$B82,'DRAFT 2'!$A:$A,"&gt;="&amp;DATE(2026,7,15),'DRAFT 2'!$A:$A,"&lt;="&amp;DATE(2026,7,21))</f>
        <v/>
      </c>
      <c r="FX82" s="116">
        <f>COUNTIFS('DRAFT 2'!$D:$D,$B82,'DRAFT 2'!$A:$A,"&gt;="&amp;DATE(2026,7,22),'DRAFT 2'!$A:$A,"&lt;"&amp;DATE(2026,IF(7=12,7+1,7+1),1))</f>
        <v/>
      </c>
      <c r="FY82" s="116">
        <f>SUM(FU82:FX82)</f>
        <v/>
      </c>
      <c r="GI82" s="116">
        <f>IFERROR(LOOKUP(2,1/('DRAFT 2'!$D:$D=$B82)*('DRAFT 2'!$A:$A&gt;=DATE(2026,8,1))*('DRAFT 2'!$A:$A&lt;DATE(2026,IF(8=12,8+1,8+1),1)),'DRAFT 2'!$A:$A),"")</f>
        <v/>
      </c>
      <c r="GJ82" s="116">
        <f>COUNTIFS('DRAFT 2'!$D:$D,$B82,'DRAFT 2'!$A:$A,"&gt;="&amp;DATE(2026,8,1),'DRAFT 2'!$A:$A,"&lt;="&amp;DATE(2026,8,7))</f>
        <v/>
      </c>
      <c r="GK82" s="116">
        <f>COUNTIFS('DRAFT 2'!$D:$D,$B82,'DRAFT 2'!$A:$A,"&gt;="&amp;DATE(2026,8,8),'DRAFT 2'!$A:$A,"&lt;="&amp;DATE(2026,8,14))</f>
        <v/>
      </c>
      <c r="GL82" s="116">
        <f>COUNTIFS('DRAFT 2'!$D:$D,$B82,'DRAFT 2'!$A:$A,"&gt;="&amp;DATE(2026,8,15),'DRAFT 2'!$A:$A,"&lt;="&amp;DATE(2026,8,21))</f>
        <v/>
      </c>
      <c r="GM82" s="116">
        <f>COUNTIFS('DRAFT 2'!$D:$D,$B82,'DRAFT 2'!$A:$A,"&gt;="&amp;DATE(2026,8,22),'DRAFT 2'!$A:$A,"&lt;"&amp;DATE(2026,IF(8=12,8+1,8+1),1))</f>
        <v/>
      </c>
      <c r="GN82" s="116">
        <f>SUM(GJ82:GM82)</f>
        <v/>
      </c>
      <c r="GX82" s="116">
        <f>IFERROR(LOOKUP(2,1/('DRAFT 2'!$D:$D=$B82)*('DRAFT 2'!$A:$A&gt;=DATE(2026,9,1))*('DRAFT 2'!$A:$A&lt;DATE(2026,IF(9=12,9+1,9+1),1)),'DRAFT 2'!$A:$A),"")</f>
        <v/>
      </c>
      <c r="GY82" s="116">
        <f>COUNTIFS('DRAFT 2'!$D:$D,$B82,'DRAFT 2'!$A:$A,"&gt;="&amp;DATE(2026,9,1),'DRAFT 2'!$A:$A,"&lt;="&amp;DATE(2026,9,7))</f>
        <v/>
      </c>
      <c r="GZ82" s="116">
        <f>COUNTIFS('DRAFT 2'!$D:$D,$B82,'DRAFT 2'!$A:$A,"&gt;="&amp;DATE(2026,9,8),'DRAFT 2'!$A:$A,"&lt;="&amp;DATE(2026,9,14))</f>
        <v/>
      </c>
      <c r="HA82" s="116">
        <f>COUNTIFS('DRAFT 2'!$D:$D,$B82,'DRAFT 2'!$A:$A,"&gt;="&amp;DATE(2026,9,15),'DRAFT 2'!$A:$A,"&lt;="&amp;DATE(2026,9,21))</f>
        <v/>
      </c>
      <c r="HB82" s="116">
        <f>COUNTIFS('DRAFT 2'!$D:$D,$B82,'DRAFT 2'!$A:$A,"&gt;="&amp;DATE(2026,9,22),'DRAFT 2'!$A:$A,"&lt;"&amp;DATE(2026,IF(9=12,9+1,9+1),1))</f>
        <v/>
      </c>
      <c r="HC82" s="116">
        <f>SUM(GY82:HB82)</f>
        <v/>
      </c>
      <c r="HN82" s="116">
        <f>IFERROR(LOOKUP(2,1/('DRAFT 2'!$D:$D=$B82)*('DRAFT 2'!$A:$A&gt;=DATE(2026,10,1))*('DRAFT 2'!$A:$A&lt;DATE(2026,IF(10=12,10+1,10+1),1)),'DRAFT 2'!$A:$A),"")</f>
        <v/>
      </c>
      <c r="HO82" s="116">
        <f>COUNTIFS('DRAFT 2'!$D:$D,$B82,'DRAFT 2'!$A:$A,"&gt;="&amp;DATE(2026,10,1),'DRAFT 2'!$A:$A,"&lt;="&amp;DATE(2026,10,7))</f>
        <v/>
      </c>
      <c r="HP82" s="116">
        <f>COUNTIFS('DRAFT 2'!$D:$D,$B82,'DRAFT 2'!$A:$A,"&gt;="&amp;DATE(2026,10,8),'DRAFT 2'!$A:$A,"&lt;="&amp;DATE(2026,10,14))</f>
        <v/>
      </c>
      <c r="HQ82" s="116">
        <f>COUNTIFS('DRAFT 2'!$D:$D,$B82,'DRAFT 2'!$A:$A,"&gt;="&amp;DATE(2026,10,15),'DRAFT 2'!$A:$A,"&lt;="&amp;DATE(2026,10,21))</f>
        <v/>
      </c>
      <c r="HR82" s="116">
        <f>COUNTIFS('DRAFT 2'!$D:$D,$B82,'DRAFT 2'!$A:$A,"&gt;="&amp;DATE(2026,10,22),'DRAFT 2'!$A:$A,"&lt;"&amp;DATE(2026,IF(10=12,10+1,10+1),1))</f>
        <v/>
      </c>
      <c r="HS82" s="116">
        <f>SUM(HO82:HR82)</f>
        <v/>
      </c>
      <c r="IC82" s="116">
        <f>IFERROR(LOOKUP(2,1/('DRAFT 2'!$D:$D=$B82)*('DRAFT 2'!$A:$A&gt;=DATE(2026,11,1))*('DRAFT 2'!$A:$A&lt;DATE(2026,IF(11=12,11+1,11+1),1)),'DRAFT 2'!$A:$A),"")</f>
        <v/>
      </c>
      <c r="ID82" s="116">
        <f>COUNTIFS('DRAFT 2'!$D:$D,$B82,'DRAFT 2'!$A:$A,"&gt;="&amp;DATE(2026,11,1),'DRAFT 2'!$A:$A,"&lt;="&amp;DATE(2026,11,7))</f>
        <v/>
      </c>
      <c r="IE82" s="116">
        <f>COUNTIFS('DRAFT 2'!$D:$D,$B82,'DRAFT 2'!$A:$A,"&gt;="&amp;DATE(2026,11,8),'DRAFT 2'!$A:$A,"&lt;="&amp;DATE(2026,11,14))</f>
        <v/>
      </c>
      <c r="IF82" s="116">
        <f>COUNTIFS('DRAFT 2'!$D:$D,$B82,'DRAFT 2'!$A:$A,"&gt;="&amp;DATE(2026,11,15),'DRAFT 2'!$A:$A,"&lt;="&amp;DATE(2026,11,21))</f>
        <v/>
      </c>
      <c r="IG82" s="116">
        <f>COUNTIFS('DRAFT 2'!$D:$D,$B82,'DRAFT 2'!$A:$A,"&gt;="&amp;DATE(2026,11,22),'DRAFT 2'!$A:$A,"&lt;"&amp;DATE(2026,IF(11=12,11+1,11+1),1))</f>
        <v/>
      </c>
      <c r="IH82" s="116">
        <f>SUM(ID82:IG82)</f>
        <v/>
      </c>
      <c r="IR82" s="116">
        <f>IFERROR(LOOKUP(2,1/('DRAFT 2'!$D:$D=$B82)*('DRAFT 2'!$A:$A&gt;=DATE(2026,12,1))*('DRAFT 2'!$A:$A&lt;DATE(2026,IF(12=12,12+1,12+1),1)),'DRAFT 2'!$A:$A),"")</f>
        <v/>
      </c>
      <c r="IS82" s="116">
        <f>COUNTIFS('DRAFT 2'!$D:$D,$B82,'DRAFT 2'!$A:$A,"&gt;="&amp;DATE(2026,12,1),'DRAFT 2'!$A:$A,"&lt;="&amp;DATE(2026,12,7))</f>
        <v/>
      </c>
      <c r="IT82" s="116">
        <f>COUNTIFS('DRAFT 2'!$D:$D,$B82,'DRAFT 2'!$A:$A,"&gt;="&amp;DATE(2026,12,8),'DRAFT 2'!$A:$A,"&lt;="&amp;DATE(2026,12,14))</f>
        <v/>
      </c>
      <c r="IU82" s="116">
        <f>COUNTIFS('DRAFT 2'!$D:$D,$B82,'DRAFT 2'!$A:$A,"&gt;="&amp;DATE(2026,12,15),'DRAFT 2'!$A:$A,"&lt;="&amp;DATE(2026,12,21))</f>
        <v/>
      </c>
      <c r="IV82" s="116">
        <f>COUNTIFS('DRAFT 2'!$D:$D,$B82,'DRAFT 2'!$A:$A,"&gt;="&amp;DATE(2026,12,22),'DRAFT 2'!$A:$A,"&lt;"&amp;DATE(2026,IF(12=12,12+1,12+1),1))</f>
        <v/>
      </c>
      <c r="IW82" s="116">
        <f>SUM(IS82:IV82)</f>
        <v/>
      </c>
    </row>
    <row r="83">
      <c r="A83" s="116">
        <f>IFERROR(INDEX('DRAFT 1'!$A:$A,MATCH($B83,'DRAFT 1'!$B:$B,0)),"")</f>
        <v/>
      </c>
      <c r="C83" s="116">
        <f>IFERROR(INDEX('DRAFT 1'!$C:$C,MATCH($B83,'DRAFT 1'!$B:$B,0)),"")</f>
        <v/>
      </c>
      <c r="D83" s="116">
        <f>IFERROR(INDEX('DRAFT 1'!$D:$D,MATCH($B83,'DRAFT 1'!$B:$B,0)),"")</f>
        <v/>
      </c>
      <c r="E83" s="116">
        <f>IFERROR(INDEX('DRAFT 1'!$E:$E,MATCH($B83,'DRAFT 1'!$B:$B,0)),"")</f>
        <v/>
      </c>
      <c r="F83" s="116">
        <f>IFERROR(INDEX('DRAFT 1'!$F:$F,MATCH($B83,'DRAFT 1'!$B:$B,0)),"")</f>
        <v/>
      </c>
      <c r="G83" s="116">
        <f>IFERROR(INDEX('DRAFT 1'!$G:$G,MATCH($B83,'DRAFT 1'!$B:$B,0)),"")</f>
        <v/>
      </c>
      <c r="H83" s="116">
        <f>IFERROR(INDEX('DRAFT 1'!$H:$H,MATCH($B83,'DRAFT 1'!$B:$B,0)),"")</f>
        <v/>
      </c>
      <c r="I83" s="116" t="inlineStr">
        <is>
          <t>FIT LAND</t>
        </is>
      </c>
      <c r="K83" s="116">
        <f>IFERROR(INDEX('DRAFT 1'!$AL:$AL,MATCH($B83,'DRAFT 1'!$B:$B,0)),"")</f>
        <v/>
      </c>
      <c r="L83" s="116">
        <f>IFERROR(INDEX('DRAFT 1'!$J:$J,MATCH($B83,'DRAFT 1'!$B:$B,0)),"")</f>
        <v/>
      </c>
      <c r="M83" s="116">
        <f>IFERROR(INDEX('DRAFT 1'!$K:$K,MATCH($B83,'DRAFT 1'!$B:$B,0)),"")</f>
        <v/>
      </c>
      <c r="N83" s="116" t="inlineStr">
        <is>
          <t>INAT.ANT</t>
        </is>
      </c>
      <c r="P83" s="116">
        <f>IFERROR(INDEX('DRAFT 1'!$L:$L,MATCH($B83,'DRAFT 1'!$B:$B,0)),"")</f>
        <v/>
      </c>
      <c r="Q83" s="116">
        <f>IFERROR(INDEX('DRAFT 1'!$M:$M,MATCH($B83,'DRAFT 1'!$B:$B,0)),"")</f>
        <v/>
      </c>
      <c r="R83" s="116">
        <f>IFERROR(INDEX('DRAFT 1'!$N:$N,MATCH($B83,'DRAFT 1'!$B:$B,0)),"")</f>
        <v/>
      </c>
      <c r="S83" s="116">
        <f>IFERROR(INDEX('DRAFT 1'!$O:$O,MATCH($B83,'DRAFT 1'!$B:$B,0)),"")</f>
        <v/>
      </c>
      <c r="T83" s="116">
        <f>IFERROR(INDEX('DRAFT 1'!$P:$P,MATCH($B83,'DRAFT 1'!$B:$B,0)),"")</f>
        <v/>
      </c>
      <c r="U83" s="116">
        <f>IFERROR(INDEX('DRAFT 1'!$Q:$Q,MATCH($B83,'DRAFT 1'!$B:$B,0)),"")</f>
        <v/>
      </c>
      <c r="V83" s="116">
        <f>IFERROR(INDEX('DRAFT 1'!$R:$R,MATCH($B83,'DRAFT 1'!$B:$B,0)),"")</f>
        <v/>
      </c>
      <c r="W83" s="116">
        <f>IFERROR(INDEX('DRAFT 1'!$S:$S,MATCH($B83,'DRAFT 1'!$B:$B,0)),"")</f>
        <v/>
      </c>
      <c r="X83" s="116">
        <f>IFERROR(INDEX('DRAFT 1'!$T:$T,MATCH($B83,'DRAFT 1'!$B:$B,0)),"")</f>
        <v/>
      </c>
      <c r="Z83" s="116">
        <f>IFERROR(INDEX('DRAFT 1'!$U:$U,MATCH($B83,'DRAFT 1'!$B:$B,0)),"")</f>
        <v/>
      </c>
      <c r="AA83" s="116">
        <f>IFERROR(INDEX('DRAFT 1'!$V:$V,MATCH($B83,'DRAFT 1'!$B:$B,0)),"")</f>
        <v/>
      </c>
      <c r="AB83" s="116">
        <f>IFERROR(INDEX('DRAFT 1'!$W:$W,MATCH($B83,'DRAFT 1'!$B:$B,0)),"")</f>
        <v/>
      </c>
      <c r="AC83" s="116">
        <f>IFERROR(INDEX('DRAFT 1'!$X:$X,MATCH($B83,'DRAFT 1'!$B:$B,0)),"")</f>
        <v/>
      </c>
      <c r="AD83" s="116">
        <f>IFERROR(INDEX('DRAFT 1'!$Y:$Y,MATCH($B83,'DRAFT 1'!$B:$B,0)),"")</f>
        <v/>
      </c>
      <c r="AE83" s="116">
        <f>IFERROR(INDEX('DRAFT 1'!$Z:$Z,MATCH($B83,'DRAFT 1'!$B:$B,0)),"")</f>
        <v/>
      </c>
      <c r="AF83" s="116">
        <f>IFERROR(INDEX('DRAFT 1'!$AA:$AA,MATCH($B83,'DRAFT 1'!$B:$B,0)),"")</f>
        <v/>
      </c>
      <c r="AG83" s="116">
        <f>IFERROR(INDEX('DRAFT 1'!$AB:$AB,MATCH($B83,'DRAFT 1'!$B:$B,0)),"")</f>
        <v/>
      </c>
      <c r="AH83" s="116">
        <f>IFERROR(INDEX('DRAFT 1'!$AC:$AC,MATCH($B83,'DRAFT 1'!$B:$B,0)),"")</f>
        <v/>
      </c>
      <c r="AI83" s="116">
        <f>IFERROR(INDEX('DRAFT 1'!$AD:$AD,MATCH($B83,'DRAFT 1'!$B:$B,0)),"")</f>
        <v/>
      </c>
      <c r="AJ83" s="116">
        <f>IFERROR(INDEX('DRAFT 1'!$AE:$AE,MATCH($B83,'DRAFT 1'!$B:$B,0)),"")</f>
        <v/>
      </c>
      <c r="AK83" s="116">
        <f>IFERROR(INDEX('DRAFT 1'!$AG:$AG,MATCH($B83,'DRAFT 1'!$B:$B,0)),"")</f>
        <v/>
      </c>
      <c r="AL83" s="116">
        <f>IFERROR(INDEX('DRAFT 1'!$AH:$AH,MATCH($B83,'DRAFT 1'!$B:$B,0)),"")</f>
        <v/>
      </c>
      <c r="AM83" s="116">
        <f>IFERROR(INDEX('DRAFT 1'!$AI:$AI,MATCH($B83,'DRAFT 1'!$B:$B,0)),"")</f>
        <v/>
      </c>
      <c r="AN83" s="116">
        <f>IFERROR(INDEX('DRAFT 1'!$AJ:$AJ,MATCH($B83,'DRAFT 1'!$B:$B,0)),"")</f>
        <v/>
      </c>
      <c r="AO83" s="116">
        <f>IFERROR(Y83/AN83,0)</f>
        <v/>
      </c>
      <c r="AP83" s="116">
        <f>IFERROR(INDEX('DRAFT 1'!$AK:$AK,MATCH($B83,'DRAFT 1'!$B:$B,0)),"")</f>
        <v/>
      </c>
      <c r="AR83" s="116" t="inlineStr">
        <is>
          <t>RECOMPRA</t>
        </is>
      </c>
      <c r="AS83" s="116">
        <f>IFERROR(LOOKUP(2,1/('DRAFT 2'!$D:$D=$B83),'DRAFT 2'!$T:$T),"")</f>
        <v/>
      </c>
      <c r="AT83" s="116">
        <f>IFERROR(LOOKUP(2,1/('DRAFT 2'!$D:$D=$B83),'DRAFT 2'!$A:$A),"")</f>
        <v/>
      </c>
      <c r="AU83" s="116">
        <f>IFERROR(LOOKUP(2,1/('DRAFT 2'!$D:$D=$B83),'DRAFT 2'!$R:$R),"")</f>
        <v/>
      </c>
      <c r="AV83" s="116">
        <f>IFERROR(LOOKUP(2,1/('DRAFT 2'!$D:$D=$B83),'DRAFT 2'!$S:$S),"")</f>
        <v/>
      </c>
      <c r="AW83" s="116" t="inlineStr">
        <is>
          <t>PROSPECT</t>
        </is>
      </c>
      <c r="AX83" s="116">
        <f>IFERROR(LOOKUP(2,1/('DRAFT 2'!$D:$D=$B83),'DRAFT 2'!$M:$M),"")</f>
        <v/>
      </c>
      <c r="AY83" s="116">
        <f>IFERROR(LOOKUP(2,1/('DRAFT 2'!$D:$D=$B83),'DRAFT 2'!$K:$K),"")</f>
        <v/>
      </c>
      <c r="BG83" s="116">
        <f>IFERROR(LOOKUP(2,1/('DRAFT 2'!$D:$D=$B83),'DRAFT 2'!$U:$U),"")</f>
        <v/>
      </c>
      <c r="BH83" s="116">
        <f>IFERROR(LOOKUP(2,1/('DRAFT 2'!$D:$D=$B83),'DRAFT 2'!$V:$V),"")</f>
        <v/>
      </c>
      <c r="CE83" s="116">
        <f>IFERROR(AJ83,0)</f>
        <v/>
      </c>
      <c r="CF83" s="116">
        <f>IFERROR(LOOKUP(2,1/('DRAFT 2'!$D:$D=$B83)*('DRAFT 2'!$A:$A&gt;=DATE(2026,1,1))*('DRAFT 2'!$A:$A&lt;DATE(2026,IF(1=12,1+1,1+1),1)),'DRAFT 2'!$A:$A),"")</f>
        <v/>
      </c>
      <c r="CG83" s="116">
        <f>COUNTIFS('DRAFT 2'!$D:$D,$B83,'DRAFT 2'!$A:$A,"&gt;="&amp;DATE(2026,1,1),'DRAFT 2'!$A:$A,"&lt;="&amp;DATE(2026,1,7))</f>
        <v/>
      </c>
      <c r="CH83" s="116">
        <f>COUNTIFS('DRAFT 2'!$D:$D,$B83,'DRAFT 2'!$A:$A,"&gt;="&amp;DATE(2026,1,8),'DRAFT 2'!$A:$A,"&lt;="&amp;DATE(2026,1,14))</f>
        <v/>
      </c>
      <c r="CI83" s="116">
        <f>COUNTIFS('DRAFT 2'!$D:$D,$B83,'DRAFT 2'!$A:$A,"&gt;="&amp;DATE(2026,1,15),'DRAFT 2'!$A:$A,"&lt;="&amp;DATE(2026,1,21))</f>
        <v/>
      </c>
      <c r="CJ83" s="116">
        <f>COUNTIFS('DRAFT 2'!$D:$D,$B83,'DRAFT 2'!$A:$A,"&gt;="&amp;DATE(2026,1,22),'DRAFT 2'!$A:$A,"&lt;"&amp;DATE(2026,IF(1=12,1+1,1+1),1))</f>
        <v/>
      </c>
      <c r="CK83" s="116">
        <f>SUM(CG83:CJ83)</f>
        <v/>
      </c>
      <c r="CT83" s="116" t="n">
        <v>0</v>
      </c>
      <c r="CU83" s="116">
        <f>IFERROR(LOOKUP(2,1/('DRAFT 2'!$D:$D=$B83)*('DRAFT 2'!$A:$A&gt;=DATE(2026,2,1))*('DRAFT 2'!$A:$A&lt;DATE(2026,IF(2=12,2+1,2+1),1)),'DRAFT 2'!$A:$A),"")</f>
        <v/>
      </c>
      <c r="CV83" s="116">
        <f>COUNTIFS('DRAFT 2'!$D:$D,$B83,'DRAFT 2'!$A:$A,"&gt;="&amp;DATE(2026,2,1),'DRAFT 2'!$A:$A,"&lt;="&amp;DATE(2026,2,7))</f>
        <v/>
      </c>
      <c r="CW83" s="116">
        <f>COUNTIFS('DRAFT 2'!$D:$D,$B83,'DRAFT 2'!$A:$A,"&gt;="&amp;DATE(2026,2,8),'DRAFT 2'!$A:$A,"&lt;="&amp;DATE(2026,2,14))</f>
        <v/>
      </c>
      <c r="CX83" s="116">
        <f>COUNTIFS('DRAFT 2'!$D:$D,$B83,'DRAFT 2'!$A:$A,"&gt;="&amp;DATE(2026,2,15),'DRAFT 2'!$A:$A,"&lt;="&amp;DATE(2026,2,21))</f>
        <v/>
      </c>
      <c r="CY83" s="116">
        <f>COUNTIFS('DRAFT 2'!$D:$D,$B83,'DRAFT 2'!$A:$A,"&gt;="&amp;DATE(2026,2,22),'DRAFT 2'!$A:$A,"&lt;"&amp;DATE(2026,IF(2=12,2+1,2+1),1))</f>
        <v/>
      </c>
      <c r="CZ83" s="116">
        <f>SUM(CV83:CY83)</f>
        <v/>
      </c>
      <c r="DJ83" s="116">
        <f>IFERROR(LOOKUP(2,1/('DRAFT 2'!$D:$D=$B83)*('DRAFT 2'!$A:$A&gt;=DATE(2026,3,1))*('DRAFT 2'!$A:$A&lt;DATE(2026,IF(3=12,3+1,3+1),1)),'DRAFT 2'!$A:$A),"")</f>
        <v/>
      </c>
      <c r="DK83" s="116">
        <f>COUNTIFS('DRAFT 2'!$D:$D,$B83,'DRAFT 2'!$A:$A,"&gt;="&amp;DATE(2026,3,1),'DRAFT 2'!$A:$A,"&lt;="&amp;DATE(2026,3,7))</f>
        <v/>
      </c>
      <c r="DL83" s="116">
        <f>COUNTIFS('DRAFT 2'!$D:$D,$B83,'DRAFT 2'!$A:$A,"&gt;="&amp;DATE(2026,3,8),'DRAFT 2'!$A:$A,"&lt;="&amp;DATE(2026,3,14))</f>
        <v/>
      </c>
      <c r="DM83" s="116">
        <f>COUNTIFS('DRAFT 2'!$D:$D,$B83,'DRAFT 2'!$A:$A,"&gt;="&amp;DATE(2026,3,15),'DRAFT 2'!$A:$A,"&lt;="&amp;DATE(2026,3,21))</f>
        <v/>
      </c>
      <c r="DN83" s="116">
        <f>COUNTIFS('DRAFT 2'!$D:$D,$B83,'DRAFT 2'!$A:$A,"&gt;="&amp;DATE(2026,3,22),'DRAFT 2'!$A:$A,"&lt;"&amp;DATE(2026,IF(3=12,3+1,3+1),1))</f>
        <v/>
      </c>
      <c r="DO83" s="116">
        <f>SUM(DK83:DN83)</f>
        <v/>
      </c>
      <c r="DZ83" s="116">
        <f>IFERROR(LOOKUP(2,1/('DRAFT 2'!$D:$D=$B83)*('DRAFT 2'!$A:$A&gt;=DATE(2026,4,1))*('DRAFT 2'!$A:$A&lt;DATE(2026,IF(4=12,4+1,4+1),1)),'DRAFT 2'!$A:$A),"")</f>
        <v/>
      </c>
      <c r="EA83" s="116">
        <f>COUNTIFS('DRAFT 2'!$D:$D,$B83,'DRAFT 2'!$A:$A,"&gt;="&amp;DATE(2026,4,1),'DRAFT 2'!$A:$A,"&lt;="&amp;DATE(2026,4,7))</f>
        <v/>
      </c>
      <c r="EB83" s="116">
        <f>COUNTIFS('DRAFT 2'!$D:$D,$B83,'DRAFT 2'!$A:$A,"&gt;="&amp;DATE(2026,4,8),'DRAFT 2'!$A:$A,"&lt;="&amp;DATE(2026,4,14))</f>
        <v/>
      </c>
      <c r="EC83" s="116">
        <f>COUNTIFS('DRAFT 2'!$D:$D,$B83,'DRAFT 2'!$A:$A,"&gt;="&amp;DATE(2026,4,15),'DRAFT 2'!$A:$A,"&lt;="&amp;DATE(2026,4,21))</f>
        <v/>
      </c>
      <c r="ED83" s="116">
        <f>COUNTIFS('DRAFT 2'!$D:$D,$B83,'DRAFT 2'!$A:$A,"&gt;="&amp;DATE(2026,4,22),'DRAFT 2'!$A:$A,"&lt;"&amp;DATE(2026,IF(4=12,4+1,4+1),1))</f>
        <v/>
      </c>
      <c r="EE83" s="116">
        <f>SUM(EA83:ED83)</f>
        <v/>
      </c>
      <c r="EO83" s="116">
        <f>IFERROR(LOOKUP(2,1/('DRAFT 2'!$D:$D=$B83)*('DRAFT 2'!$A:$A&gt;=DATE(2026,5,1))*('DRAFT 2'!$A:$A&lt;DATE(2026,IF(5=12,5+1,5+1),1)),'DRAFT 2'!$A:$A),"")</f>
        <v/>
      </c>
      <c r="EP83" s="116">
        <f>COUNTIFS('DRAFT 2'!$D:$D,$B83,'DRAFT 2'!$A:$A,"&gt;="&amp;DATE(2026,5,1),'DRAFT 2'!$A:$A,"&lt;="&amp;DATE(2026,5,7))</f>
        <v/>
      </c>
      <c r="EQ83" s="116">
        <f>COUNTIFS('DRAFT 2'!$D:$D,$B83,'DRAFT 2'!$A:$A,"&gt;="&amp;DATE(2026,5,8),'DRAFT 2'!$A:$A,"&lt;="&amp;DATE(2026,5,14))</f>
        <v/>
      </c>
      <c r="ER83" s="116">
        <f>COUNTIFS('DRAFT 2'!$D:$D,$B83,'DRAFT 2'!$A:$A,"&gt;="&amp;DATE(2026,5,15),'DRAFT 2'!$A:$A,"&lt;="&amp;DATE(2026,5,21))</f>
        <v/>
      </c>
      <c r="ES83" s="116">
        <f>COUNTIFS('DRAFT 2'!$D:$D,$B83,'DRAFT 2'!$A:$A,"&gt;="&amp;DATE(2026,5,22),'DRAFT 2'!$A:$A,"&lt;"&amp;DATE(2026,IF(5=12,5+1,5+1),1))</f>
        <v/>
      </c>
      <c r="ET83" s="116">
        <f>SUM(EP83:ES83)</f>
        <v/>
      </c>
      <c r="FD83" s="116">
        <f>IFERROR(LOOKUP(2,1/('DRAFT 2'!$D:$D=$B83)*('DRAFT 2'!$A:$A&gt;=DATE(2026,6,1))*('DRAFT 2'!$A:$A&lt;DATE(2026,IF(6=12,6+1,6+1),1)),'DRAFT 2'!$A:$A),"")</f>
        <v/>
      </c>
      <c r="FE83" s="116">
        <f>COUNTIFS('DRAFT 2'!$D:$D,$B83,'DRAFT 2'!$A:$A,"&gt;="&amp;DATE(2026,6,1),'DRAFT 2'!$A:$A,"&lt;="&amp;DATE(2026,6,7))</f>
        <v/>
      </c>
      <c r="FF83" s="116">
        <f>COUNTIFS('DRAFT 2'!$D:$D,$B83,'DRAFT 2'!$A:$A,"&gt;="&amp;DATE(2026,6,8),'DRAFT 2'!$A:$A,"&lt;="&amp;DATE(2026,6,14))</f>
        <v/>
      </c>
      <c r="FG83" s="116">
        <f>COUNTIFS('DRAFT 2'!$D:$D,$B83,'DRAFT 2'!$A:$A,"&gt;="&amp;DATE(2026,6,15),'DRAFT 2'!$A:$A,"&lt;="&amp;DATE(2026,6,21))</f>
        <v/>
      </c>
      <c r="FH83" s="116">
        <f>COUNTIFS('DRAFT 2'!$D:$D,$B83,'DRAFT 2'!$A:$A,"&gt;="&amp;DATE(2026,6,22),'DRAFT 2'!$A:$A,"&lt;"&amp;DATE(2026,IF(6=12,6+1,6+1),1))</f>
        <v/>
      </c>
      <c r="FI83" s="116">
        <f>SUM(FE83:FH83)</f>
        <v/>
      </c>
      <c r="FT83" s="116">
        <f>IFERROR(LOOKUP(2,1/('DRAFT 2'!$D:$D=$B83)*('DRAFT 2'!$A:$A&gt;=DATE(2026,7,1))*('DRAFT 2'!$A:$A&lt;DATE(2026,IF(7=12,7+1,7+1),1)),'DRAFT 2'!$A:$A),"")</f>
        <v/>
      </c>
      <c r="FU83" s="116">
        <f>COUNTIFS('DRAFT 2'!$D:$D,$B83,'DRAFT 2'!$A:$A,"&gt;="&amp;DATE(2026,7,1),'DRAFT 2'!$A:$A,"&lt;="&amp;DATE(2026,7,7))</f>
        <v/>
      </c>
      <c r="FV83" s="116">
        <f>COUNTIFS('DRAFT 2'!$D:$D,$B83,'DRAFT 2'!$A:$A,"&gt;="&amp;DATE(2026,7,8),'DRAFT 2'!$A:$A,"&lt;="&amp;DATE(2026,7,14))</f>
        <v/>
      </c>
      <c r="FW83" s="116">
        <f>COUNTIFS('DRAFT 2'!$D:$D,$B83,'DRAFT 2'!$A:$A,"&gt;="&amp;DATE(2026,7,15),'DRAFT 2'!$A:$A,"&lt;="&amp;DATE(2026,7,21))</f>
        <v/>
      </c>
      <c r="FX83" s="116">
        <f>COUNTIFS('DRAFT 2'!$D:$D,$B83,'DRAFT 2'!$A:$A,"&gt;="&amp;DATE(2026,7,22),'DRAFT 2'!$A:$A,"&lt;"&amp;DATE(2026,IF(7=12,7+1,7+1),1))</f>
        <v/>
      </c>
      <c r="FY83" s="116">
        <f>SUM(FU83:FX83)</f>
        <v/>
      </c>
      <c r="GI83" s="116">
        <f>IFERROR(LOOKUP(2,1/('DRAFT 2'!$D:$D=$B83)*('DRAFT 2'!$A:$A&gt;=DATE(2026,8,1))*('DRAFT 2'!$A:$A&lt;DATE(2026,IF(8=12,8+1,8+1),1)),'DRAFT 2'!$A:$A),"")</f>
        <v/>
      </c>
      <c r="GJ83" s="116">
        <f>COUNTIFS('DRAFT 2'!$D:$D,$B83,'DRAFT 2'!$A:$A,"&gt;="&amp;DATE(2026,8,1),'DRAFT 2'!$A:$A,"&lt;="&amp;DATE(2026,8,7))</f>
        <v/>
      </c>
      <c r="GK83" s="116">
        <f>COUNTIFS('DRAFT 2'!$D:$D,$B83,'DRAFT 2'!$A:$A,"&gt;="&amp;DATE(2026,8,8),'DRAFT 2'!$A:$A,"&lt;="&amp;DATE(2026,8,14))</f>
        <v/>
      </c>
      <c r="GL83" s="116">
        <f>COUNTIFS('DRAFT 2'!$D:$D,$B83,'DRAFT 2'!$A:$A,"&gt;="&amp;DATE(2026,8,15),'DRAFT 2'!$A:$A,"&lt;="&amp;DATE(2026,8,21))</f>
        <v/>
      </c>
      <c r="GM83" s="116">
        <f>COUNTIFS('DRAFT 2'!$D:$D,$B83,'DRAFT 2'!$A:$A,"&gt;="&amp;DATE(2026,8,22),'DRAFT 2'!$A:$A,"&lt;"&amp;DATE(2026,IF(8=12,8+1,8+1),1))</f>
        <v/>
      </c>
      <c r="GN83" s="116">
        <f>SUM(GJ83:GM83)</f>
        <v/>
      </c>
      <c r="GX83" s="116">
        <f>IFERROR(LOOKUP(2,1/('DRAFT 2'!$D:$D=$B83)*('DRAFT 2'!$A:$A&gt;=DATE(2026,9,1))*('DRAFT 2'!$A:$A&lt;DATE(2026,IF(9=12,9+1,9+1),1)),'DRAFT 2'!$A:$A),"")</f>
        <v/>
      </c>
      <c r="GY83" s="116">
        <f>COUNTIFS('DRAFT 2'!$D:$D,$B83,'DRAFT 2'!$A:$A,"&gt;="&amp;DATE(2026,9,1),'DRAFT 2'!$A:$A,"&lt;="&amp;DATE(2026,9,7))</f>
        <v/>
      </c>
      <c r="GZ83" s="116">
        <f>COUNTIFS('DRAFT 2'!$D:$D,$B83,'DRAFT 2'!$A:$A,"&gt;="&amp;DATE(2026,9,8),'DRAFT 2'!$A:$A,"&lt;="&amp;DATE(2026,9,14))</f>
        <v/>
      </c>
      <c r="HA83" s="116">
        <f>COUNTIFS('DRAFT 2'!$D:$D,$B83,'DRAFT 2'!$A:$A,"&gt;="&amp;DATE(2026,9,15),'DRAFT 2'!$A:$A,"&lt;="&amp;DATE(2026,9,21))</f>
        <v/>
      </c>
      <c r="HB83" s="116">
        <f>COUNTIFS('DRAFT 2'!$D:$D,$B83,'DRAFT 2'!$A:$A,"&gt;="&amp;DATE(2026,9,22),'DRAFT 2'!$A:$A,"&lt;"&amp;DATE(2026,IF(9=12,9+1,9+1),1))</f>
        <v/>
      </c>
      <c r="HC83" s="116">
        <f>SUM(GY83:HB83)</f>
        <v/>
      </c>
      <c r="HN83" s="116">
        <f>IFERROR(LOOKUP(2,1/('DRAFT 2'!$D:$D=$B83)*('DRAFT 2'!$A:$A&gt;=DATE(2026,10,1))*('DRAFT 2'!$A:$A&lt;DATE(2026,IF(10=12,10+1,10+1),1)),'DRAFT 2'!$A:$A),"")</f>
        <v/>
      </c>
      <c r="HO83" s="116">
        <f>COUNTIFS('DRAFT 2'!$D:$D,$B83,'DRAFT 2'!$A:$A,"&gt;="&amp;DATE(2026,10,1),'DRAFT 2'!$A:$A,"&lt;="&amp;DATE(2026,10,7))</f>
        <v/>
      </c>
      <c r="HP83" s="116">
        <f>COUNTIFS('DRAFT 2'!$D:$D,$B83,'DRAFT 2'!$A:$A,"&gt;="&amp;DATE(2026,10,8),'DRAFT 2'!$A:$A,"&lt;="&amp;DATE(2026,10,14))</f>
        <v/>
      </c>
      <c r="HQ83" s="116">
        <f>COUNTIFS('DRAFT 2'!$D:$D,$B83,'DRAFT 2'!$A:$A,"&gt;="&amp;DATE(2026,10,15),'DRAFT 2'!$A:$A,"&lt;="&amp;DATE(2026,10,21))</f>
        <v/>
      </c>
      <c r="HR83" s="116">
        <f>COUNTIFS('DRAFT 2'!$D:$D,$B83,'DRAFT 2'!$A:$A,"&gt;="&amp;DATE(2026,10,22),'DRAFT 2'!$A:$A,"&lt;"&amp;DATE(2026,IF(10=12,10+1,10+1),1))</f>
        <v/>
      </c>
      <c r="HS83" s="116">
        <f>SUM(HO83:HR83)</f>
        <v/>
      </c>
      <c r="IC83" s="116">
        <f>IFERROR(LOOKUP(2,1/('DRAFT 2'!$D:$D=$B83)*('DRAFT 2'!$A:$A&gt;=DATE(2026,11,1))*('DRAFT 2'!$A:$A&lt;DATE(2026,IF(11=12,11+1,11+1),1)),'DRAFT 2'!$A:$A),"")</f>
        <v/>
      </c>
      <c r="ID83" s="116">
        <f>COUNTIFS('DRAFT 2'!$D:$D,$B83,'DRAFT 2'!$A:$A,"&gt;="&amp;DATE(2026,11,1),'DRAFT 2'!$A:$A,"&lt;="&amp;DATE(2026,11,7))</f>
        <v/>
      </c>
      <c r="IE83" s="116">
        <f>COUNTIFS('DRAFT 2'!$D:$D,$B83,'DRAFT 2'!$A:$A,"&gt;="&amp;DATE(2026,11,8),'DRAFT 2'!$A:$A,"&lt;="&amp;DATE(2026,11,14))</f>
        <v/>
      </c>
      <c r="IF83" s="116">
        <f>COUNTIFS('DRAFT 2'!$D:$D,$B83,'DRAFT 2'!$A:$A,"&gt;="&amp;DATE(2026,11,15),'DRAFT 2'!$A:$A,"&lt;="&amp;DATE(2026,11,21))</f>
        <v/>
      </c>
      <c r="IG83" s="116">
        <f>COUNTIFS('DRAFT 2'!$D:$D,$B83,'DRAFT 2'!$A:$A,"&gt;="&amp;DATE(2026,11,22),'DRAFT 2'!$A:$A,"&lt;"&amp;DATE(2026,IF(11=12,11+1,11+1),1))</f>
        <v/>
      </c>
      <c r="IH83" s="116">
        <f>SUM(ID83:IG83)</f>
        <v/>
      </c>
      <c r="IR83" s="116">
        <f>IFERROR(LOOKUP(2,1/('DRAFT 2'!$D:$D=$B83)*('DRAFT 2'!$A:$A&gt;=DATE(2026,12,1))*('DRAFT 2'!$A:$A&lt;DATE(2026,IF(12=12,12+1,12+1),1)),'DRAFT 2'!$A:$A),"")</f>
        <v/>
      </c>
      <c r="IS83" s="116">
        <f>COUNTIFS('DRAFT 2'!$D:$D,$B83,'DRAFT 2'!$A:$A,"&gt;="&amp;DATE(2026,12,1),'DRAFT 2'!$A:$A,"&lt;="&amp;DATE(2026,12,7))</f>
        <v/>
      </c>
      <c r="IT83" s="116">
        <f>COUNTIFS('DRAFT 2'!$D:$D,$B83,'DRAFT 2'!$A:$A,"&gt;="&amp;DATE(2026,12,8),'DRAFT 2'!$A:$A,"&lt;="&amp;DATE(2026,12,14))</f>
        <v/>
      </c>
      <c r="IU83" s="116">
        <f>COUNTIFS('DRAFT 2'!$D:$D,$B83,'DRAFT 2'!$A:$A,"&gt;="&amp;DATE(2026,12,15),'DRAFT 2'!$A:$A,"&lt;="&amp;DATE(2026,12,21))</f>
        <v/>
      </c>
      <c r="IV83" s="116">
        <f>COUNTIFS('DRAFT 2'!$D:$D,$B83,'DRAFT 2'!$A:$A,"&gt;="&amp;DATE(2026,12,22),'DRAFT 2'!$A:$A,"&lt;"&amp;DATE(2026,IF(12=12,12+1,12+1),1))</f>
        <v/>
      </c>
      <c r="IW83" s="116">
        <f>SUM(IS83:IV83)</f>
        <v/>
      </c>
    </row>
    <row r="84">
      <c r="A84" s="116">
        <f>IFERROR(INDEX('DRAFT 1'!$A:$A,MATCH($B84,'DRAFT 1'!$B:$B,0)),"")</f>
        <v/>
      </c>
      <c r="C84" s="116">
        <f>IFERROR(INDEX('DRAFT 1'!$C:$C,MATCH($B84,'DRAFT 1'!$B:$B,0)),"")</f>
        <v/>
      </c>
      <c r="D84" s="116">
        <f>IFERROR(INDEX('DRAFT 1'!$D:$D,MATCH($B84,'DRAFT 1'!$B:$B,0)),"")</f>
        <v/>
      </c>
      <c r="E84" s="116">
        <f>IFERROR(INDEX('DRAFT 1'!$E:$E,MATCH($B84,'DRAFT 1'!$B:$B,0)),"")</f>
        <v/>
      </c>
      <c r="F84" s="116">
        <f>IFERROR(INDEX('DRAFT 1'!$F:$F,MATCH($B84,'DRAFT 1'!$B:$B,0)),"")</f>
        <v/>
      </c>
      <c r="G84" s="116">
        <f>IFERROR(INDEX('DRAFT 1'!$G:$G,MATCH($B84,'DRAFT 1'!$B:$B,0)),"")</f>
        <v/>
      </c>
      <c r="H84" s="116">
        <f>IFERROR(INDEX('DRAFT 1'!$H:$H,MATCH($B84,'DRAFT 1'!$B:$B,0)),"")</f>
        <v/>
      </c>
      <c r="I84" s="116" t="inlineStr">
        <is>
          <t>DEMAIS CLIENTES</t>
        </is>
      </c>
      <c r="K84" s="116">
        <f>IFERROR(INDEX('DRAFT 1'!$AL:$AL,MATCH($B84,'DRAFT 1'!$B:$B,0)),"")</f>
        <v/>
      </c>
      <c r="L84" s="116">
        <f>IFERROR(INDEX('DRAFT 1'!$J:$J,MATCH($B84,'DRAFT 1'!$B:$B,0)),"")</f>
        <v/>
      </c>
      <c r="M84" s="116">
        <f>IFERROR(INDEX('DRAFT 1'!$K:$K,MATCH($B84,'DRAFT 1'!$B:$B,0)),"")</f>
        <v/>
      </c>
      <c r="N84" s="116" t="inlineStr">
        <is>
          <t>LEAD</t>
        </is>
      </c>
      <c r="P84" s="116">
        <f>IFERROR(INDEX('DRAFT 1'!$L:$L,MATCH($B84,'DRAFT 1'!$B:$B,0)),"")</f>
        <v/>
      </c>
      <c r="Q84" s="116">
        <f>IFERROR(INDEX('DRAFT 1'!$M:$M,MATCH($B84,'DRAFT 1'!$B:$B,0)),"")</f>
        <v/>
      </c>
      <c r="R84" s="116">
        <f>IFERROR(INDEX('DRAFT 1'!$N:$N,MATCH($B84,'DRAFT 1'!$B:$B,0)),"")</f>
        <v/>
      </c>
      <c r="S84" s="116">
        <f>IFERROR(INDEX('DRAFT 1'!$O:$O,MATCH($B84,'DRAFT 1'!$B:$B,0)),"")</f>
        <v/>
      </c>
      <c r="T84" s="116">
        <f>IFERROR(INDEX('DRAFT 1'!$P:$P,MATCH($B84,'DRAFT 1'!$B:$B,0)),"")</f>
        <v/>
      </c>
      <c r="U84" s="116">
        <f>IFERROR(INDEX('DRAFT 1'!$Q:$Q,MATCH($B84,'DRAFT 1'!$B:$B,0)),"")</f>
        <v/>
      </c>
      <c r="V84" s="116">
        <f>IFERROR(INDEX('DRAFT 1'!$R:$R,MATCH($B84,'DRAFT 1'!$B:$B,0)),"")</f>
        <v/>
      </c>
      <c r="W84" s="116">
        <f>IFERROR(INDEX('DRAFT 1'!$S:$S,MATCH($B84,'DRAFT 1'!$B:$B,0)),"")</f>
        <v/>
      </c>
      <c r="X84" s="116">
        <f>IFERROR(INDEX('DRAFT 1'!$T:$T,MATCH($B84,'DRAFT 1'!$B:$B,0)),"")</f>
        <v/>
      </c>
      <c r="Z84" s="116">
        <f>IFERROR(INDEX('DRAFT 1'!$U:$U,MATCH($B84,'DRAFT 1'!$B:$B,0)),"")</f>
        <v/>
      </c>
      <c r="AA84" s="116">
        <f>IFERROR(INDEX('DRAFT 1'!$V:$V,MATCH($B84,'DRAFT 1'!$B:$B,0)),"")</f>
        <v/>
      </c>
      <c r="AB84" s="116">
        <f>IFERROR(INDEX('DRAFT 1'!$W:$W,MATCH($B84,'DRAFT 1'!$B:$B,0)),"")</f>
        <v/>
      </c>
      <c r="AC84" s="116">
        <f>IFERROR(INDEX('DRAFT 1'!$X:$X,MATCH($B84,'DRAFT 1'!$B:$B,0)),"")</f>
        <v/>
      </c>
      <c r="AD84" s="116">
        <f>IFERROR(INDEX('DRAFT 1'!$Y:$Y,MATCH($B84,'DRAFT 1'!$B:$B,0)),"")</f>
        <v/>
      </c>
      <c r="AE84" s="116">
        <f>IFERROR(INDEX('DRAFT 1'!$Z:$Z,MATCH($B84,'DRAFT 1'!$B:$B,0)),"")</f>
        <v/>
      </c>
      <c r="AF84" s="116">
        <f>IFERROR(INDEX('DRAFT 1'!$AA:$AA,MATCH($B84,'DRAFT 1'!$B:$B,0)),"")</f>
        <v/>
      </c>
      <c r="AG84" s="116">
        <f>IFERROR(INDEX('DRAFT 1'!$AB:$AB,MATCH($B84,'DRAFT 1'!$B:$B,0)),"")</f>
        <v/>
      </c>
      <c r="AH84" s="116">
        <f>IFERROR(INDEX('DRAFT 1'!$AC:$AC,MATCH($B84,'DRAFT 1'!$B:$B,0)),"")</f>
        <v/>
      </c>
      <c r="AI84" s="116">
        <f>IFERROR(INDEX('DRAFT 1'!$AD:$AD,MATCH($B84,'DRAFT 1'!$B:$B,0)),"")</f>
        <v/>
      </c>
      <c r="AJ84" s="116">
        <f>IFERROR(INDEX('DRAFT 1'!$AE:$AE,MATCH($B84,'DRAFT 1'!$B:$B,0)),"")</f>
        <v/>
      </c>
      <c r="AK84" s="116">
        <f>IFERROR(INDEX('DRAFT 1'!$AG:$AG,MATCH($B84,'DRAFT 1'!$B:$B,0)),"")</f>
        <v/>
      </c>
      <c r="AL84" s="116">
        <f>IFERROR(INDEX('DRAFT 1'!$AH:$AH,MATCH($B84,'DRAFT 1'!$B:$B,0)),"")</f>
        <v/>
      </c>
      <c r="AM84" s="116">
        <f>IFERROR(INDEX('DRAFT 1'!$AI:$AI,MATCH($B84,'DRAFT 1'!$B:$B,0)),"")</f>
        <v/>
      </c>
      <c r="AN84" s="116">
        <f>IFERROR(INDEX('DRAFT 1'!$AJ:$AJ,MATCH($B84,'DRAFT 1'!$B:$B,0)),"")</f>
        <v/>
      </c>
      <c r="AO84" s="116">
        <f>IFERROR(Y84/AN84,0)</f>
        <v/>
      </c>
      <c r="AP84" s="116">
        <f>IFERROR(INDEX('DRAFT 1'!$AK:$AK,MATCH($B84,'DRAFT 1'!$B:$B,0)),"")</f>
        <v/>
      </c>
      <c r="AR84" s="116" t="inlineStr">
        <is>
          <t>PÓS-VENDA</t>
        </is>
      </c>
      <c r="AS84" s="116">
        <f>IFERROR(LOOKUP(2,1/('DRAFT 2'!$D:$D=$B84),'DRAFT 2'!$T:$T),"")</f>
        <v/>
      </c>
      <c r="AT84" s="116">
        <f>IFERROR(LOOKUP(2,1/('DRAFT 2'!$D:$D=$B84),'DRAFT 2'!$A:$A),"")</f>
        <v/>
      </c>
      <c r="AU84" s="116">
        <f>IFERROR(LOOKUP(2,1/('DRAFT 2'!$D:$D=$B84),'DRAFT 2'!$R:$R),"")</f>
        <v/>
      </c>
      <c r="AV84" s="116">
        <f>IFERROR(LOOKUP(2,1/('DRAFT 2'!$D:$D=$B84),'DRAFT 2'!$S:$S),"")</f>
        <v/>
      </c>
      <c r="AW84" s="116" t="inlineStr">
        <is>
          <t>EM DESENVOLVIMENTO</t>
        </is>
      </c>
      <c r="AX84" s="116">
        <f>IFERROR(LOOKUP(2,1/('DRAFT 2'!$D:$D=$B84),'DRAFT 2'!$M:$M),"")</f>
        <v/>
      </c>
      <c r="AY84" s="116">
        <f>IFERROR(LOOKUP(2,1/('DRAFT 2'!$D:$D=$B84),'DRAFT 2'!$K:$K),"")</f>
        <v/>
      </c>
      <c r="BG84" s="116">
        <f>IFERROR(LOOKUP(2,1/('DRAFT 2'!$D:$D=$B84),'DRAFT 2'!$U:$U),"")</f>
        <v/>
      </c>
      <c r="BH84" s="116">
        <f>IFERROR(LOOKUP(2,1/('DRAFT 2'!$D:$D=$B84),'DRAFT 2'!$V:$V),"")</f>
        <v/>
      </c>
      <c r="CE84" s="116">
        <f>IFERROR(AJ84,0)</f>
        <v/>
      </c>
      <c r="CF84" s="116">
        <f>IFERROR(LOOKUP(2,1/('DRAFT 2'!$D:$D=$B84)*('DRAFT 2'!$A:$A&gt;=DATE(2026,1,1))*('DRAFT 2'!$A:$A&lt;DATE(2026,IF(1=12,1+1,1+1),1)),'DRAFT 2'!$A:$A),"")</f>
        <v/>
      </c>
      <c r="CG84" s="116">
        <f>COUNTIFS('DRAFT 2'!$D:$D,$B84,'DRAFT 2'!$A:$A,"&gt;="&amp;DATE(2026,1,1),'DRAFT 2'!$A:$A,"&lt;="&amp;DATE(2026,1,7))</f>
        <v/>
      </c>
      <c r="CH84" s="116">
        <f>COUNTIFS('DRAFT 2'!$D:$D,$B84,'DRAFT 2'!$A:$A,"&gt;="&amp;DATE(2026,1,8),'DRAFT 2'!$A:$A,"&lt;="&amp;DATE(2026,1,14))</f>
        <v/>
      </c>
      <c r="CI84" s="116">
        <f>COUNTIFS('DRAFT 2'!$D:$D,$B84,'DRAFT 2'!$A:$A,"&gt;="&amp;DATE(2026,1,15),'DRAFT 2'!$A:$A,"&lt;="&amp;DATE(2026,1,21))</f>
        <v/>
      </c>
      <c r="CJ84" s="116">
        <f>COUNTIFS('DRAFT 2'!$D:$D,$B84,'DRAFT 2'!$A:$A,"&gt;="&amp;DATE(2026,1,22),'DRAFT 2'!$A:$A,"&lt;"&amp;DATE(2026,IF(1=12,1+1,1+1),1))</f>
        <v/>
      </c>
      <c r="CK84" s="116">
        <f>SUM(CG84:CJ84)</f>
        <v/>
      </c>
      <c r="CT84" s="116" t="n">
        <v>0</v>
      </c>
      <c r="CU84" s="116">
        <f>IFERROR(LOOKUP(2,1/('DRAFT 2'!$D:$D=$B84)*('DRAFT 2'!$A:$A&gt;=DATE(2026,2,1))*('DRAFT 2'!$A:$A&lt;DATE(2026,IF(2=12,2+1,2+1),1)),'DRAFT 2'!$A:$A),"")</f>
        <v/>
      </c>
      <c r="CV84" s="116">
        <f>COUNTIFS('DRAFT 2'!$D:$D,$B84,'DRAFT 2'!$A:$A,"&gt;="&amp;DATE(2026,2,1),'DRAFT 2'!$A:$A,"&lt;="&amp;DATE(2026,2,7))</f>
        <v/>
      </c>
      <c r="CW84" s="116">
        <f>COUNTIFS('DRAFT 2'!$D:$D,$B84,'DRAFT 2'!$A:$A,"&gt;="&amp;DATE(2026,2,8),'DRAFT 2'!$A:$A,"&lt;="&amp;DATE(2026,2,14))</f>
        <v/>
      </c>
      <c r="CX84" s="116">
        <f>COUNTIFS('DRAFT 2'!$D:$D,$B84,'DRAFT 2'!$A:$A,"&gt;="&amp;DATE(2026,2,15),'DRAFT 2'!$A:$A,"&lt;="&amp;DATE(2026,2,21))</f>
        <v/>
      </c>
      <c r="CY84" s="116">
        <f>COUNTIFS('DRAFT 2'!$D:$D,$B84,'DRAFT 2'!$A:$A,"&gt;="&amp;DATE(2026,2,22),'DRAFT 2'!$A:$A,"&lt;"&amp;DATE(2026,IF(2=12,2+1,2+1),1))</f>
        <v/>
      </c>
      <c r="CZ84" s="116">
        <f>SUM(CV84:CY84)</f>
        <v/>
      </c>
      <c r="DJ84" s="116">
        <f>IFERROR(LOOKUP(2,1/('DRAFT 2'!$D:$D=$B84)*('DRAFT 2'!$A:$A&gt;=DATE(2026,3,1))*('DRAFT 2'!$A:$A&lt;DATE(2026,IF(3=12,3+1,3+1),1)),'DRAFT 2'!$A:$A),"")</f>
        <v/>
      </c>
      <c r="DK84" s="116">
        <f>COUNTIFS('DRAFT 2'!$D:$D,$B84,'DRAFT 2'!$A:$A,"&gt;="&amp;DATE(2026,3,1),'DRAFT 2'!$A:$A,"&lt;="&amp;DATE(2026,3,7))</f>
        <v/>
      </c>
      <c r="DL84" s="116">
        <f>COUNTIFS('DRAFT 2'!$D:$D,$B84,'DRAFT 2'!$A:$A,"&gt;="&amp;DATE(2026,3,8),'DRAFT 2'!$A:$A,"&lt;="&amp;DATE(2026,3,14))</f>
        <v/>
      </c>
      <c r="DM84" s="116">
        <f>COUNTIFS('DRAFT 2'!$D:$D,$B84,'DRAFT 2'!$A:$A,"&gt;="&amp;DATE(2026,3,15),'DRAFT 2'!$A:$A,"&lt;="&amp;DATE(2026,3,21))</f>
        <v/>
      </c>
      <c r="DN84" s="116">
        <f>COUNTIFS('DRAFT 2'!$D:$D,$B84,'DRAFT 2'!$A:$A,"&gt;="&amp;DATE(2026,3,22),'DRAFT 2'!$A:$A,"&lt;"&amp;DATE(2026,IF(3=12,3+1,3+1),1))</f>
        <v/>
      </c>
      <c r="DO84" s="116">
        <f>SUM(DK84:DN84)</f>
        <v/>
      </c>
      <c r="DZ84" s="116">
        <f>IFERROR(LOOKUP(2,1/('DRAFT 2'!$D:$D=$B84)*('DRAFT 2'!$A:$A&gt;=DATE(2026,4,1))*('DRAFT 2'!$A:$A&lt;DATE(2026,IF(4=12,4+1,4+1),1)),'DRAFT 2'!$A:$A),"")</f>
        <v/>
      </c>
      <c r="EA84" s="116">
        <f>COUNTIFS('DRAFT 2'!$D:$D,$B84,'DRAFT 2'!$A:$A,"&gt;="&amp;DATE(2026,4,1),'DRAFT 2'!$A:$A,"&lt;="&amp;DATE(2026,4,7))</f>
        <v/>
      </c>
      <c r="EB84" s="116">
        <f>COUNTIFS('DRAFT 2'!$D:$D,$B84,'DRAFT 2'!$A:$A,"&gt;="&amp;DATE(2026,4,8),'DRAFT 2'!$A:$A,"&lt;="&amp;DATE(2026,4,14))</f>
        <v/>
      </c>
      <c r="EC84" s="116">
        <f>COUNTIFS('DRAFT 2'!$D:$D,$B84,'DRAFT 2'!$A:$A,"&gt;="&amp;DATE(2026,4,15),'DRAFT 2'!$A:$A,"&lt;="&amp;DATE(2026,4,21))</f>
        <v/>
      </c>
      <c r="ED84" s="116">
        <f>COUNTIFS('DRAFT 2'!$D:$D,$B84,'DRAFT 2'!$A:$A,"&gt;="&amp;DATE(2026,4,22),'DRAFT 2'!$A:$A,"&lt;"&amp;DATE(2026,IF(4=12,4+1,4+1),1))</f>
        <v/>
      </c>
      <c r="EE84" s="116">
        <f>SUM(EA84:ED84)</f>
        <v/>
      </c>
      <c r="EO84" s="116">
        <f>IFERROR(LOOKUP(2,1/('DRAFT 2'!$D:$D=$B84)*('DRAFT 2'!$A:$A&gt;=DATE(2026,5,1))*('DRAFT 2'!$A:$A&lt;DATE(2026,IF(5=12,5+1,5+1),1)),'DRAFT 2'!$A:$A),"")</f>
        <v/>
      </c>
      <c r="EP84" s="116">
        <f>COUNTIFS('DRAFT 2'!$D:$D,$B84,'DRAFT 2'!$A:$A,"&gt;="&amp;DATE(2026,5,1),'DRAFT 2'!$A:$A,"&lt;="&amp;DATE(2026,5,7))</f>
        <v/>
      </c>
      <c r="EQ84" s="116">
        <f>COUNTIFS('DRAFT 2'!$D:$D,$B84,'DRAFT 2'!$A:$A,"&gt;="&amp;DATE(2026,5,8),'DRAFT 2'!$A:$A,"&lt;="&amp;DATE(2026,5,14))</f>
        <v/>
      </c>
      <c r="ER84" s="116">
        <f>COUNTIFS('DRAFT 2'!$D:$D,$B84,'DRAFT 2'!$A:$A,"&gt;="&amp;DATE(2026,5,15),'DRAFT 2'!$A:$A,"&lt;="&amp;DATE(2026,5,21))</f>
        <v/>
      </c>
      <c r="ES84" s="116">
        <f>COUNTIFS('DRAFT 2'!$D:$D,$B84,'DRAFT 2'!$A:$A,"&gt;="&amp;DATE(2026,5,22),'DRAFT 2'!$A:$A,"&lt;"&amp;DATE(2026,IF(5=12,5+1,5+1),1))</f>
        <v/>
      </c>
      <c r="ET84" s="116">
        <f>SUM(EP84:ES84)</f>
        <v/>
      </c>
      <c r="FD84" s="116">
        <f>IFERROR(LOOKUP(2,1/('DRAFT 2'!$D:$D=$B84)*('DRAFT 2'!$A:$A&gt;=DATE(2026,6,1))*('DRAFT 2'!$A:$A&lt;DATE(2026,IF(6=12,6+1,6+1),1)),'DRAFT 2'!$A:$A),"")</f>
        <v/>
      </c>
      <c r="FE84" s="116">
        <f>COUNTIFS('DRAFT 2'!$D:$D,$B84,'DRAFT 2'!$A:$A,"&gt;="&amp;DATE(2026,6,1),'DRAFT 2'!$A:$A,"&lt;="&amp;DATE(2026,6,7))</f>
        <v/>
      </c>
      <c r="FF84" s="116">
        <f>COUNTIFS('DRAFT 2'!$D:$D,$B84,'DRAFT 2'!$A:$A,"&gt;="&amp;DATE(2026,6,8),'DRAFT 2'!$A:$A,"&lt;="&amp;DATE(2026,6,14))</f>
        <v/>
      </c>
      <c r="FG84" s="116">
        <f>COUNTIFS('DRAFT 2'!$D:$D,$B84,'DRAFT 2'!$A:$A,"&gt;="&amp;DATE(2026,6,15),'DRAFT 2'!$A:$A,"&lt;="&amp;DATE(2026,6,21))</f>
        <v/>
      </c>
      <c r="FH84" s="116">
        <f>COUNTIFS('DRAFT 2'!$D:$D,$B84,'DRAFT 2'!$A:$A,"&gt;="&amp;DATE(2026,6,22),'DRAFT 2'!$A:$A,"&lt;"&amp;DATE(2026,IF(6=12,6+1,6+1),1))</f>
        <v/>
      </c>
      <c r="FI84" s="116">
        <f>SUM(FE84:FH84)</f>
        <v/>
      </c>
      <c r="FT84" s="116">
        <f>IFERROR(LOOKUP(2,1/('DRAFT 2'!$D:$D=$B84)*('DRAFT 2'!$A:$A&gt;=DATE(2026,7,1))*('DRAFT 2'!$A:$A&lt;DATE(2026,IF(7=12,7+1,7+1),1)),'DRAFT 2'!$A:$A),"")</f>
        <v/>
      </c>
      <c r="FU84" s="116">
        <f>COUNTIFS('DRAFT 2'!$D:$D,$B84,'DRAFT 2'!$A:$A,"&gt;="&amp;DATE(2026,7,1),'DRAFT 2'!$A:$A,"&lt;="&amp;DATE(2026,7,7))</f>
        <v/>
      </c>
      <c r="FV84" s="116">
        <f>COUNTIFS('DRAFT 2'!$D:$D,$B84,'DRAFT 2'!$A:$A,"&gt;="&amp;DATE(2026,7,8),'DRAFT 2'!$A:$A,"&lt;="&amp;DATE(2026,7,14))</f>
        <v/>
      </c>
      <c r="FW84" s="116">
        <f>COUNTIFS('DRAFT 2'!$D:$D,$B84,'DRAFT 2'!$A:$A,"&gt;="&amp;DATE(2026,7,15),'DRAFT 2'!$A:$A,"&lt;="&amp;DATE(2026,7,21))</f>
        <v/>
      </c>
      <c r="FX84" s="116">
        <f>COUNTIFS('DRAFT 2'!$D:$D,$B84,'DRAFT 2'!$A:$A,"&gt;="&amp;DATE(2026,7,22),'DRAFT 2'!$A:$A,"&lt;"&amp;DATE(2026,IF(7=12,7+1,7+1),1))</f>
        <v/>
      </c>
      <c r="FY84" s="116">
        <f>SUM(FU84:FX84)</f>
        <v/>
      </c>
      <c r="GI84" s="116">
        <f>IFERROR(LOOKUP(2,1/('DRAFT 2'!$D:$D=$B84)*('DRAFT 2'!$A:$A&gt;=DATE(2026,8,1))*('DRAFT 2'!$A:$A&lt;DATE(2026,IF(8=12,8+1,8+1),1)),'DRAFT 2'!$A:$A),"")</f>
        <v/>
      </c>
      <c r="GJ84" s="116">
        <f>COUNTIFS('DRAFT 2'!$D:$D,$B84,'DRAFT 2'!$A:$A,"&gt;="&amp;DATE(2026,8,1),'DRAFT 2'!$A:$A,"&lt;="&amp;DATE(2026,8,7))</f>
        <v/>
      </c>
      <c r="GK84" s="116">
        <f>COUNTIFS('DRAFT 2'!$D:$D,$B84,'DRAFT 2'!$A:$A,"&gt;="&amp;DATE(2026,8,8),'DRAFT 2'!$A:$A,"&lt;="&amp;DATE(2026,8,14))</f>
        <v/>
      </c>
      <c r="GL84" s="116">
        <f>COUNTIFS('DRAFT 2'!$D:$D,$B84,'DRAFT 2'!$A:$A,"&gt;="&amp;DATE(2026,8,15),'DRAFT 2'!$A:$A,"&lt;="&amp;DATE(2026,8,21))</f>
        <v/>
      </c>
      <c r="GM84" s="116">
        <f>COUNTIFS('DRAFT 2'!$D:$D,$B84,'DRAFT 2'!$A:$A,"&gt;="&amp;DATE(2026,8,22),'DRAFT 2'!$A:$A,"&lt;"&amp;DATE(2026,IF(8=12,8+1,8+1),1))</f>
        <v/>
      </c>
      <c r="GN84" s="116">
        <f>SUM(GJ84:GM84)</f>
        <v/>
      </c>
      <c r="GX84" s="116">
        <f>IFERROR(LOOKUP(2,1/('DRAFT 2'!$D:$D=$B84)*('DRAFT 2'!$A:$A&gt;=DATE(2026,9,1))*('DRAFT 2'!$A:$A&lt;DATE(2026,IF(9=12,9+1,9+1),1)),'DRAFT 2'!$A:$A),"")</f>
        <v/>
      </c>
      <c r="GY84" s="116">
        <f>COUNTIFS('DRAFT 2'!$D:$D,$B84,'DRAFT 2'!$A:$A,"&gt;="&amp;DATE(2026,9,1),'DRAFT 2'!$A:$A,"&lt;="&amp;DATE(2026,9,7))</f>
        <v/>
      </c>
      <c r="GZ84" s="116">
        <f>COUNTIFS('DRAFT 2'!$D:$D,$B84,'DRAFT 2'!$A:$A,"&gt;="&amp;DATE(2026,9,8),'DRAFT 2'!$A:$A,"&lt;="&amp;DATE(2026,9,14))</f>
        <v/>
      </c>
      <c r="HA84" s="116">
        <f>COUNTIFS('DRAFT 2'!$D:$D,$B84,'DRAFT 2'!$A:$A,"&gt;="&amp;DATE(2026,9,15),'DRAFT 2'!$A:$A,"&lt;="&amp;DATE(2026,9,21))</f>
        <v/>
      </c>
      <c r="HB84" s="116">
        <f>COUNTIFS('DRAFT 2'!$D:$D,$B84,'DRAFT 2'!$A:$A,"&gt;="&amp;DATE(2026,9,22),'DRAFT 2'!$A:$A,"&lt;"&amp;DATE(2026,IF(9=12,9+1,9+1),1))</f>
        <v/>
      </c>
      <c r="HC84" s="116">
        <f>SUM(GY84:HB84)</f>
        <v/>
      </c>
      <c r="HN84" s="116">
        <f>IFERROR(LOOKUP(2,1/('DRAFT 2'!$D:$D=$B84)*('DRAFT 2'!$A:$A&gt;=DATE(2026,10,1))*('DRAFT 2'!$A:$A&lt;DATE(2026,IF(10=12,10+1,10+1),1)),'DRAFT 2'!$A:$A),"")</f>
        <v/>
      </c>
      <c r="HO84" s="116">
        <f>COUNTIFS('DRAFT 2'!$D:$D,$B84,'DRAFT 2'!$A:$A,"&gt;="&amp;DATE(2026,10,1),'DRAFT 2'!$A:$A,"&lt;="&amp;DATE(2026,10,7))</f>
        <v/>
      </c>
      <c r="HP84" s="116">
        <f>COUNTIFS('DRAFT 2'!$D:$D,$B84,'DRAFT 2'!$A:$A,"&gt;="&amp;DATE(2026,10,8),'DRAFT 2'!$A:$A,"&lt;="&amp;DATE(2026,10,14))</f>
        <v/>
      </c>
      <c r="HQ84" s="116">
        <f>COUNTIFS('DRAFT 2'!$D:$D,$B84,'DRAFT 2'!$A:$A,"&gt;="&amp;DATE(2026,10,15),'DRAFT 2'!$A:$A,"&lt;="&amp;DATE(2026,10,21))</f>
        <v/>
      </c>
      <c r="HR84" s="116">
        <f>COUNTIFS('DRAFT 2'!$D:$D,$B84,'DRAFT 2'!$A:$A,"&gt;="&amp;DATE(2026,10,22),'DRAFT 2'!$A:$A,"&lt;"&amp;DATE(2026,IF(10=12,10+1,10+1),1))</f>
        <v/>
      </c>
      <c r="HS84" s="116">
        <f>SUM(HO84:HR84)</f>
        <v/>
      </c>
      <c r="IC84" s="116">
        <f>IFERROR(LOOKUP(2,1/('DRAFT 2'!$D:$D=$B84)*('DRAFT 2'!$A:$A&gt;=DATE(2026,11,1))*('DRAFT 2'!$A:$A&lt;DATE(2026,IF(11=12,11+1,11+1),1)),'DRAFT 2'!$A:$A),"")</f>
        <v/>
      </c>
      <c r="ID84" s="116">
        <f>COUNTIFS('DRAFT 2'!$D:$D,$B84,'DRAFT 2'!$A:$A,"&gt;="&amp;DATE(2026,11,1),'DRAFT 2'!$A:$A,"&lt;="&amp;DATE(2026,11,7))</f>
        <v/>
      </c>
      <c r="IE84" s="116">
        <f>COUNTIFS('DRAFT 2'!$D:$D,$B84,'DRAFT 2'!$A:$A,"&gt;="&amp;DATE(2026,11,8),'DRAFT 2'!$A:$A,"&lt;="&amp;DATE(2026,11,14))</f>
        <v/>
      </c>
      <c r="IF84" s="116">
        <f>COUNTIFS('DRAFT 2'!$D:$D,$B84,'DRAFT 2'!$A:$A,"&gt;="&amp;DATE(2026,11,15),'DRAFT 2'!$A:$A,"&lt;="&amp;DATE(2026,11,21))</f>
        <v/>
      </c>
      <c r="IG84" s="116">
        <f>COUNTIFS('DRAFT 2'!$D:$D,$B84,'DRAFT 2'!$A:$A,"&gt;="&amp;DATE(2026,11,22),'DRAFT 2'!$A:$A,"&lt;"&amp;DATE(2026,IF(11=12,11+1,11+1),1))</f>
        <v/>
      </c>
      <c r="IH84" s="116">
        <f>SUM(ID84:IG84)</f>
        <v/>
      </c>
      <c r="IR84" s="116">
        <f>IFERROR(LOOKUP(2,1/('DRAFT 2'!$D:$D=$B84)*('DRAFT 2'!$A:$A&gt;=DATE(2026,12,1))*('DRAFT 2'!$A:$A&lt;DATE(2026,IF(12=12,12+1,12+1),1)),'DRAFT 2'!$A:$A),"")</f>
        <v/>
      </c>
      <c r="IS84" s="116">
        <f>COUNTIFS('DRAFT 2'!$D:$D,$B84,'DRAFT 2'!$A:$A,"&gt;="&amp;DATE(2026,12,1),'DRAFT 2'!$A:$A,"&lt;="&amp;DATE(2026,12,7))</f>
        <v/>
      </c>
      <c r="IT84" s="116">
        <f>COUNTIFS('DRAFT 2'!$D:$D,$B84,'DRAFT 2'!$A:$A,"&gt;="&amp;DATE(2026,12,8),'DRAFT 2'!$A:$A,"&lt;="&amp;DATE(2026,12,14))</f>
        <v/>
      </c>
      <c r="IU84" s="116">
        <f>COUNTIFS('DRAFT 2'!$D:$D,$B84,'DRAFT 2'!$A:$A,"&gt;="&amp;DATE(2026,12,15),'DRAFT 2'!$A:$A,"&lt;="&amp;DATE(2026,12,21))</f>
        <v/>
      </c>
      <c r="IV84" s="116">
        <f>COUNTIFS('DRAFT 2'!$D:$D,$B84,'DRAFT 2'!$A:$A,"&gt;="&amp;DATE(2026,12,22),'DRAFT 2'!$A:$A,"&lt;"&amp;DATE(2026,IF(12=12,12+1,12+1),1))</f>
        <v/>
      </c>
      <c r="IW84" s="116">
        <f>SUM(IS84:IV84)</f>
        <v/>
      </c>
    </row>
    <row r="85">
      <c r="A85" s="116">
        <f>IFERROR(INDEX('DRAFT 1'!$A:$A,MATCH($B85,'DRAFT 1'!$B:$B,0)),"")</f>
        <v/>
      </c>
      <c r="C85" s="116">
        <f>IFERROR(INDEX('DRAFT 1'!$C:$C,MATCH($B85,'DRAFT 1'!$B:$B,0)),"")</f>
        <v/>
      </c>
      <c r="D85" s="116">
        <f>IFERROR(INDEX('DRAFT 1'!$D:$D,MATCH($B85,'DRAFT 1'!$B:$B,0)),"")</f>
        <v/>
      </c>
      <c r="E85" s="116">
        <f>IFERROR(INDEX('DRAFT 1'!$E:$E,MATCH($B85,'DRAFT 1'!$B:$B,0)),"")</f>
        <v/>
      </c>
      <c r="F85" s="116">
        <f>IFERROR(INDEX('DRAFT 1'!$F:$F,MATCH($B85,'DRAFT 1'!$B:$B,0)),"")</f>
        <v/>
      </c>
      <c r="G85" s="116">
        <f>IFERROR(INDEX('DRAFT 1'!$G:$G,MATCH($B85,'DRAFT 1'!$B:$B,0)),"")</f>
        <v/>
      </c>
      <c r="H85" s="116">
        <f>IFERROR(INDEX('DRAFT 1'!$H:$H,MATCH($B85,'DRAFT 1'!$B:$B,0)),"")</f>
        <v/>
      </c>
      <c r="I85" s="116" t="inlineStr">
        <is>
          <t>BIOMUNDO</t>
        </is>
      </c>
      <c r="K85" s="116">
        <f>IFERROR(INDEX('DRAFT 1'!$AL:$AL,MATCH($B85,'DRAFT 1'!$B:$B,0)),"")</f>
        <v/>
      </c>
      <c r="L85" s="116">
        <f>IFERROR(INDEX('DRAFT 1'!$J:$J,MATCH($B85,'DRAFT 1'!$B:$B,0)),"")</f>
        <v/>
      </c>
      <c r="M85" s="116">
        <f>IFERROR(INDEX('DRAFT 1'!$K:$K,MATCH($B85,'DRAFT 1'!$B:$B,0)),"")</f>
        <v/>
      </c>
      <c r="N85" s="116" t="inlineStr">
        <is>
          <t>ATIVO</t>
        </is>
      </c>
      <c r="P85" s="116">
        <f>IFERROR(INDEX('DRAFT 1'!$L:$L,MATCH($B85,'DRAFT 1'!$B:$B,0)),"")</f>
        <v/>
      </c>
      <c r="Q85" s="116">
        <f>IFERROR(INDEX('DRAFT 1'!$M:$M,MATCH($B85,'DRAFT 1'!$B:$B,0)),"")</f>
        <v/>
      </c>
      <c r="R85" s="116">
        <f>IFERROR(INDEX('DRAFT 1'!$N:$N,MATCH($B85,'DRAFT 1'!$B:$B,0)),"")</f>
        <v/>
      </c>
      <c r="S85" s="116">
        <f>IFERROR(INDEX('DRAFT 1'!$O:$O,MATCH($B85,'DRAFT 1'!$B:$B,0)),"")</f>
        <v/>
      </c>
      <c r="T85" s="116">
        <f>IFERROR(INDEX('DRAFT 1'!$P:$P,MATCH($B85,'DRAFT 1'!$B:$B,0)),"")</f>
        <v/>
      </c>
      <c r="U85" s="116">
        <f>IFERROR(INDEX('DRAFT 1'!$Q:$Q,MATCH($B85,'DRAFT 1'!$B:$B,0)),"")</f>
        <v/>
      </c>
      <c r="V85" s="116">
        <f>IFERROR(INDEX('DRAFT 1'!$R:$R,MATCH($B85,'DRAFT 1'!$B:$B,0)),"")</f>
        <v/>
      </c>
      <c r="W85" s="116">
        <f>IFERROR(INDEX('DRAFT 1'!$S:$S,MATCH($B85,'DRAFT 1'!$B:$B,0)),"")</f>
        <v/>
      </c>
      <c r="X85" s="116">
        <f>IFERROR(INDEX('DRAFT 1'!$T:$T,MATCH($B85,'DRAFT 1'!$B:$B,0)),"")</f>
        <v/>
      </c>
      <c r="Z85" s="116">
        <f>IFERROR(INDEX('DRAFT 1'!$U:$U,MATCH($B85,'DRAFT 1'!$B:$B,0)),"")</f>
        <v/>
      </c>
      <c r="AA85" s="116">
        <f>IFERROR(INDEX('DRAFT 1'!$V:$V,MATCH($B85,'DRAFT 1'!$B:$B,0)),"")</f>
        <v/>
      </c>
      <c r="AB85" s="116">
        <f>IFERROR(INDEX('DRAFT 1'!$W:$W,MATCH($B85,'DRAFT 1'!$B:$B,0)),"")</f>
        <v/>
      </c>
      <c r="AC85" s="116">
        <f>IFERROR(INDEX('DRAFT 1'!$X:$X,MATCH($B85,'DRAFT 1'!$B:$B,0)),"")</f>
        <v/>
      </c>
      <c r="AD85" s="116">
        <f>IFERROR(INDEX('DRAFT 1'!$Y:$Y,MATCH($B85,'DRAFT 1'!$B:$B,0)),"")</f>
        <v/>
      </c>
      <c r="AE85" s="116">
        <f>IFERROR(INDEX('DRAFT 1'!$Z:$Z,MATCH($B85,'DRAFT 1'!$B:$B,0)),"")</f>
        <v/>
      </c>
      <c r="AF85" s="116">
        <f>IFERROR(INDEX('DRAFT 1'!$AA:$AA,MATCH($B85,'DRAFT 1'!$B:$B,0)),"")</f>
        <v/>
      </c>
      <c r="AG85" s="116">
        <f>IFERROR(INDEX('DRAFT 1'!$AB:$AB,MATCH($B85,'DRAFT 1'!$B:$B,0)),"")</f>
        <v/>
      </c>
      <c r="AH85" s="116">
        <f>IFERROR(INDEX('DRAFT 1'!$AC:$AC,MATCH($B85,'DRAFT 1'!$B:$B,0)),"")</f>
        <v/>
      </c>
      <c r="AI85" s="116">
        <f>IFERROR(INDEX('DRAFT 1'!$AD:$AD,MATCH($B85,'DRAFT 1'!$B:$B,0)),"")</f>
        <v/>
      </c>
      <c r="AJ85" s="116">
        <f>IFERROR(INDEX('DRAFT 1'!$AE:$AE,MATCH($B85,'DRAFT 1'!$B:$B,0)),"")</f>
        <v/>
      </c>
      <c r="AK85" s="116">
        <f>IFERROR(INDEX('DRAFT 1'!$AG:$AG,MATCH($B85,'DRAFT 1'!$B:$B,0)),"")</f>
        <v/>
      </c>
      <c r="AL85" s="116">
        <f>IFERROR(INDEX('DRAFT 1'!$AH:$AH,MATCH($B85,'DRAFT 1'!$B:$B,0)),"")</f>
        <v/>
      </c>
      <c r="AM85" s="116">
        <f>IFERROR(INDEX('DRAFT 1'!$AI:$AI,MATCH($B85,'DRAFT 1'!$B:$B,0)),"")</f>
        <v/>
      </c>
      <c r="AN85" s="116">
        <f>IFERROR(INDEX('DRAFT 1'!$AJ:$AJ,MATCH($B85,'DRAFT 1'!$B:$B,0)),"")</f>
        <v/>
      </c>
      <c r="AO85" s="116">
        <f>IFERROR(Y85/AN85,0)</f>
        <v/>
      </c>
      <c r="AP85" s="116">
        <f>IFERROR(INDEX('DRAFT 1'!$AK:$AK,MATCH($B85,'DRAFT 1'!$B:$B,0)),"")</f>
        <v/>
      </c>
      <c r="AR85" s="116" t="inlineStr">
        <is>
          <t>RECUPERAÇÃO</t>
        </is>
      </c>
      <c r="AS85" s="116">
        <f>IFERROR(LOOKUP(2,1/('DRAFT 2'!$D:$D=$B85),'DRAFT 2'!$T:$T),"")</f>
        <v/>
      </c>
      <c r="AT85" s="116">
        <f>IFERROR(LOOKUP(2,1/('DRAFT 2'!$D:$D=$B85),'DRAFT 2'!$A:$A),"")</f>
        <v/>
      </c>
      <c r="AU85" s="116">
        <f>IFERROR(LOOKUP(2,1/('DRAFT 2'!$D:$D=$B85),'DRAFT 2'!$R:$R),"")</f>
        <v/>
      </c>
      <c r="AV85" s="116">
        <f>IFERROR(LOOKUP(2,1/('DRAFT 2'!$D:$D=$B85),'DRAFT 2'!$S:$S),"")</f>
        <v/>
      </c>
      <c r="AW85" s="116" t="inlineStr">
        <is>
          <t>PROSPECT</t>
        </is>
      </c>
      <c r="AX85" s="116">
        <f>IFERROR(LOOKUP(2,1/('DRAFT 2'!$D:$D=$B85),'DRAFT 2'!$M:$M),"")</f>
        <v/>
      </c>
      <c r="AY85" s="116">
        <f>IFERROR(LOOKUP(2,1/('DRAFT 2'!$D:$D=$B85),'DRAFT 2'!$K:$K),"")</f>
        <v/>
      </c>
      <c r="BG85" s="116">
        <f>IFERROR(LOOKUP(2,1/('DRAFT 2'!$D:$D=$B85),'DRAFT 2'!$U:$U),"")</f>
        <v/>
      </c>
      <c r="BH85" s="116">
        <f>IFERROR(LOOKUP(2,1/('DRAFT 2'!$D:$D=$B85),'DRAFT 2'!$V:$V),"")</f>
        <v/>
      </c>
      <c r="CE85" s="116">
        <f>IFERROR(AJ85,0)</f>
        <v/>
      </c>
      <c r="CF85" s="116">
        <f>IFERROR(LOOKUP(2,1/('DRAFT 2'!$D:$D=$B85)*('DRAFT 2'!$A:$A&gt;=DATE(2026,1,1))*('DRAFT 2'!$A:$A&lt;DATE(2026,IF(1=12,1+1,1+1),1)),'DRAFT 2'!$A:$A),"")</f>
        <v/>
      </c>
      <c r="CG85" s="116">
        <f>COUNTIFS('DRAFT 2'!$D:$D,$B85,'DRAFT 2'!$A:$A,"&gt;="&amp;DATE(2026,1,1),'DRAFT 2'!$A:$A,"&lt;="&amp;DATE(2026,1,7))</f>
        <v/>
      </c>
      <c r="CH85" s="116">
        <f>COUNTIFS('DRAFT 2'!$D:$D,$B85,'DRAFT 2'!$A:$A,"&gt;="&amp;DATE(2026,1,8),'DRAFT 2'!$A:$A,"&lt;="&amp;DATE(2026,1,14))</f>
        <v/>
      </c>
      <c r="CI85" s="116">
        <f>COUNTIFS('DRAFT 2'!$D:$D,$B85,'DRAFT 2'!$A:$A,"&gt;="&amp;DATE(2026,1,15),'DRAFT 2'!$A:$A,"&lt;="&amp;DATE(2026,1,21))</f>
        <v/>
      </c>
      <c r="CJ85" s="116">
        <f>COUNTIFS('DRAFT 2'!$D:$D,$B85,'DRAFT 2'!$A:$A,"&gt;="&amp;DATE(2026,1,22),'DRAFT 2'!$A:$A,"&lt;"&amp;DATE(2026,IF(1=12,1+1,1+1),1))</f>
        <v/>
      </c>
      <c r="CK85" s="116">
        <f>SUM(CG85:CJ85)</f>
        <v/>
      </c>
      <c r="CT85" s="116" t="n">
        <v>0</v>
      </c>
      <c r="CU85" s="116">
        <f>IFERROR(LOOKUP(2,1/('DRAFT 2'!$D:$D=$B85)*('DRAFT 2'!$A:$A&gt;=DATE(2026,2,1))*('DRAFT 2'!$A:$A&lt;DATE(2026,IF(2=12,2+1,2+1),1)),'DRAFT 2'!$A:$A),"")</f>
        <v/>
      </c>
      <c r="CV85" s="116">
        <f>COUNTIFS('DRAFT 2'!$D:$D,$B85,'DRAFT 2'!$A:$A,"&gt;="&amp;DATE(2026,2,1),'DRAFT 2'!$A:$A,"&lt;="&amp;DATE(2026,2,7))</f>
        <v/>
      </c>
      <c r="CW85" s="116">
        <f>COUNTIFS('DRAFT 2'!$D:$D,$B85,'DRAFT 2'!$A:$A,"&gt;="&amp;DATE(2026,2,8),'DRAFT 2'!$A:$A,"&lt;="&amp;DATE(2026,2,14))</f>
        <v/>
      </c>
      <c r="CX85" s="116">
        <f>COUNTIFS('DRAFT 2'!$D:$D,$B85,'DRAFT 2'!$A:$A,"&gt;="&amp;DATE(2026,2,15),'DRAFT 2'!$A:$A,"&lt;="&amp;DATE(2026,2,21))</f>
        <v/>
      </c>
      <c r="CY85" s="116">
        <f>COUNTIFS('DRAFT 2'!$D:$D,$B85,'DRAFT 2'!$A:$A,"&gt;="&amp;DATE(2026,2,22),'DRAFT 2'!$A:$A,"&lt;"&amp;DATE(2026,IF(2=12,2+1,2+1),1))</f>
        <v/>
      </c>
      <c r="CZ85" s="116">
        <f>SUM(CV85:CY85)</f>
        <v/>
      </c>
      <c r="DJ85" s="116">
        <f>IFERROR(LOOKUP(2,1/('DRAFT 2'!$D:$D=$B85)*('DRAFT 2'!$A:$A&gt;=DATE(2026,3,1))*('DRAFT 2'!$A:$A&lt;DATE(2026,IF(3=12,3+1,3+1),1)),'DRAFT 2'!$A:$A),"")</f>
        <v/>
      </c>
      <c r="DK85" s="116">
        <f>COUNTIFS('DRAFT 2'!$D:$D,$B85,'DRAFT 2'!$A:$A,"&gt;="&amp;DATE(2026,3,1),'DRAFT 2'!$A:$A,"&lt;="&amp;DATE(2026,3,7))</f>
        <v/>
      </c>
      <c r="DL85" s="116">
        <f>COUNTIFS('DRAFT 2'!$D:$D,$B85,'DRAFT 2'!$A:$A,"&gt;="&amp;DATE(2026,3,8),'DRAFT 2'!$A:$A,"&lt;="&amp;DATE(2026,3,14))</f>
        <v/>
      </c>
      <c r="DM85" s="116">
        <f>COUNTIFS('DRAFT 2'!$D:$D,$B85,'DRAFT 2'!$A:$A,"&gt;="&amp;DATE(2026,3,15),'DRAFT 2'!$A:$A,"&lt;="&amp;DATE(2026,3,21))</f>
        <v/>
      </c>
      <c r="DN85" s="116">
        <f>COUNTIFS('DRAFT 2'!$D:$D,$B85,'DRAFT 2'!$A:$A,"&gt;="&amp;DATE(2026,3,22),'DRAFT 2'!$A:$A,"&lt;"&amp;DATE(2026,IF(3=12,3+1,3+1),1))</f>
        <v/>
      </c>
      <c r="DO85" s="116">
        <f>SUM(DK85:DN85)</f>
        <v/>
      </c>
      <c r="DZ85" s="116">
        <f>IFERROR(LOOKUP(2,1/('DRAFT 2'!$D:$D=$B85)*('DRAFT 2'!$A:$A&gt;=DATE(2026,4,1))*('DRAFT 2'!$A:$A&lt;DATE(2026,IF(4=12,4+1,4+1),1)),'DRAFT 2'!$A:$A),"")</f>
        <v/>
      </c>
      <c r="EA85" s="116">
        <f>COUNTIFS('DRAFT 2'!$D:$D,$B85,'DRAFT 2'!$A:$A,"&gt;="&amp;DATE(2026,4,1),'DRAFT 2'!$A:$A,"&lt;="&amp;DATE(2026,4,7))</f>
        <v/>
      </c>
      <c r="EB85" s="116">
        <f>COUNTIFS('DRAFT 2'!$D:$D,$B85,'DRAFT 2'!$A:$A,"&gt;="&amp;DATE(2026,4,8),'DRAFT 2'!$A:$A,"&lt;="&amp;DATE(2026,4,14))</f>
        <v/>
      </c>
      <c r="EC85" s="116">
        <f>COUNTIFS('DRAFT 2'!$D:$D,$B85,'DRAFT 2'!$A:$A,"&gt;="&amp;DATE(2026,4,15),'DRAFT 2'!$A:$A,"&lt;="&amp;DATE(2026,4,21))</f>
        <v/>
      </c>
      <c r="ED85" s="116">
        <f>COUNTIFS('DRAFT 2'!$D:$D,$B85,'DRAFT 2'!$A:$A,"&gt;="&amp;DATE(2026,4,22),'DRAFT 2'!$A:$A,"&lt;"&amp;DATE(2026,IF(4=12,4+1,4+1),1))</f>
        <v/>
      </c>
      <c r="EE85" s="116">
        <f>SUM(EA85:ED85)</f>
        <v/>
      </c>
      <c r="EO85" s="116">
        <f>IFERROR(LOOKUP(2,1/('DRAFT 2'!$D:$D=$B85)*('DRAFT 2'!$A:$A&gt;=DATE(2026,5,1))*('DRAFT 2'!$A:$A&lt;DATE(2026,IF(5=12,5+1,5+1),1)),'DRAFT 2'!$A:$A),"")</f>
        <v/>
      </c>
      <c r="EP85" s="116">
        <f>COUNTIFS('DRAFT 2'!$D:$D,$B85,'DRAFT 2'!$A:$A,"&gt;="&amp;DATE(2026,5,1),'DRAFT 2'!$A:$A,"&lt;="&amp;DATE(2026,5,7))</f>
        <v/>
      </c>
      <c r="EQ85" s="116">
        <f>COUNTIFS('DRAFT 2'!$D:$D,$B85,'DRAFT 2'!$A:$A,"&gt;="&amp;DATE(2026,5,8),'DRAFT 2'!$A:$A,"&lt;="&amp;DATE(2026,5,14))</f>
        <v/>
      </c>
      <c r="ER85" s="116">
        <f>COUNTIFS('DRAFT 2'!$D:$D,$B85,'DRAFT 2'!$A:$A,"&gt;="&amp;DATE(2026,5,15),'DRAFT 2'!$A:$A,"&lt;="&amp;DATE(2026,5,21))</f>
        <v/>
      </c>
      <c r="ES85" s="116">
        <f>COUNTIFS('DRAFT 2'!$D:$D,$B85,'DRAFT 2'!$A:$A,"&gt;="&amp;DATE(2026,5,22),'DRAFT 2'!$A:$A,"&lt;"&amp;DATE(2026,IF(5=12,5+1,5+1),1))</f>
        <v/>
      </c>
      <c r="ET85" s="116">
        <f>SUM(EP85:ES85)</f>
        <v/>
      </c>
      <c r="FD85" s="116">
        <f>IFERROR(LOOKUP(2,1/('DRAFT 2'!$D:$D=$B85)*('DRAFT 2'!$A:$A&gt;=DATE(2026,6,1))*('DRAFT 2'!$A:$A&lt;DATE(2026,IF(6=12,6+1,6+1),1)),'DRAFT 2'!$A:$A),"")</f>
        <v/>
      </c>
      <c r="FE85" s="116">
        <f>COUNTIFS('DRAFT 2'!$D:$D,$B85,'DRAFT 2'!$A:$A,"&gt;="&amp;DATE(2026,6,1),'DRAFT 2'!$A:$A,"&lt;="&amp;DATE(2026,6,7))</f>
        <v/>
      </c>
      <c r="FF85" s="116">
        <f>COUNTIFS('DRAFT 2'!$D:$D,$B85,'DRAFT 2'!$A:$A,"&gt;="&amp;DATE(2026,6,8),'DRAFT 2'!$A:$A,"&lt;="&amp;DATE(2026,6,14))</f>
        <v/>
      </c>
      <c r="FG85" s="116">
        <f>COUNTIFS('DRAFT 2'!$D:$D,$B85,'DRAFT 2'!$A:$A,"&gt;="&amp;DATE(2026,6,15),'DRAFT 2'!$A:$A,"&lt;="&amp;DATE(2026,6,21))</f>
        <v/>
      </c>
      <c r="FH85" s="116">
        <f>COUNTIFS('DRAFT 2'!$D:$D,$B85,'DRAFT 2'!$A:$A,"&gt;="&amp;DATE(2026,6,22),'DRAFT 2'!$A:$A,"&lt;"&amp;DATE(2026,IF(6=12,6+1,6+1),1))</f>
        <v/>
      </c>
      <c r="FI85" s="116">
        <f>SUM(FE85:FH85)</f>
        <v/>
      </c>
      <c r="FT85" s="116">
        <f>IFERROR(LOOKUP(2,1/('DRAFT 2'!$D:$D=$B85)*('DRAFT 2'!$A:$A&gt;=DATE(2026,7,1))*('DRAFT 2'!$A:$A&lt;DATE(2026,IF(7=12,7+1,7+1),1)),'DRAFT 2'!$A:$A),"")</f>
        <v/>
      </c>
      <c r="FU85" s="116">
        <f>COUNTIFS('DRAFT 2'!$D:$D,$B85,'DRAFT 2'!$A:$A,"&gt;="&amp;DATE(2026,7,1),'DRAFT 2'!$A:$A,"&lt;="&amp;DATE(2026,7,7))</f>
        <v/>
      </c>
      <c r="FV85" s="116">
        <f>COUNTIFS('DRAFT 2'!$D:$D,$B85,'DRAFT 2'!$A:$A,"&gt;="&amp;DATE(2026,7,8),'DRAFT 2'!$A:$A,"&lt;="&amp;DATE(2026,7,14))</f>
        <v/>
      </c>
      <c r="FW85" s="116">
        <f>COUNTIFS('DRAFT 2'!$D:$D,$B85,'DRAFT 2'!$A:$A,"&gt;="&amp;DATE(2026,7,15),'DRAFT 2'!$A:$A,"&lt;="&amp;DATE(2026,7,21))</f>
        <v/>
      </c>
      <c r="FX85" s="116">
        <f>COUNTIFS('DRAFT 2'!$D:$D,$B85,'DRAFT 2'!$A:$A,"&gt;="&amp;DATE(2026,7,22),'DRAFT 2'!$A:$A,"&lt;"&amp;DATE(2026,IF(7=12,7+1,7+1),1))</f>
        <v/>
      </c>
      <c r="FY85" s="116">
        <f>SUM(FU85:FX85)</f>
        <v/>
      </c>
      <c r="GI85" s="116">
        <f>IFERROR(LOOKUP(2,1/('DRAFT 2'!$D:$D=$B85)*('DRAFT 2'!$A:$A&gt;=DATE(2026,8,1))*('DRAFT 2'!$A:$A&lt;DATE(2026,IF(8=12,8+1,8+1),1)),'DRAFT 2'!$A:$A),"")</f>
        <v/>
      </c>
      <c r="GJ85" s="116">
        <f>COUNTIFS('DRAFT 2'!$D:$D,$B85,'DRAFT 2'!$A:$A,"&gt;="&amp;DATE(2026,8,1),'DRAFT 2'!$A:$A,"&lt;="&amp;DATE(2026,8,7))</f>
        <v/>
      </c>
      <c r="GK85" s="116">
        <f>COUNTIFS('DRAFT 2'!$D:$D,$B85,'DRAFT 2'!$A:$A,"&gt;="&amp;DATE(2026,8,8),'DRAFT 2'!$A:$A,"&lt;="&amp;DATE(2026,8,14))</f>
        <v/>
      </c>
      <c r="GL85" s="116">
        <f>COUNTIFS('DRAFT 2'!$D:$D,$B85,'DRAFT 2'!$A:$A,"&gt;="&amp;DATE(2026,8,15),'DRAFT 2'!$A:$A,"&lt;="&amp;DATE(2026,8,21))</f>
        <v/>
      </c>
      <c r="GM85" s="116">
        <f>COUNTIFS('DRAFT 2'!$D:$D,$B85,'DRAFT 2'!$A:$A,"&gt;="&amp;DATE(2026,8,22),'DRAFT 2'!$A:$A,"&lt;"&amp;DATE(2026,IF(8=12,8+1,8+1),1))</f>
        <v/>
      </c>
      <c r="GN85" s="116">
        <f>SUM(GJ85:GM85)</f>
        <v/>
      </c>
      <c r="GX85" s="116">
        <f>IFERROR(LOOKUP(2,1/('DRAFT 2'!$D:$D=$B85)*('DRAFT 2'!$A:$A&gt;=DATE(2026,9,1))*('DRAFT 2'!$A:$A&lt;DATE(2026,IF(9=12,9+1,9+1),1)),'DRAFT 2'!$A:$A),"")</f>
        <v/>
      </c>
      <c r="GY85" s="116">
        <f>COUNTIFS('DRAFT 2'!$D:$D,$B85,'DRAFT 2'!$A:$A,"&gt;="&amp;DATE(2026,9,1),'DRAFT 2'!$A:$A,"&lt;="&amp;DATE(2026,9,7))</f>
        <v/>
      </c>
      <c r="GZ85" s="116">
        <f>COUNTIFS('DRAFT 2'!$D:$D,$B85,'DRAFT 2'!$A:$A,"&gt;="&amp;DATE(2026,9,8),'DRAFT 2'!$A:$A,"&lt;="&amp;DATE(2026,9,14))</f>
        <v/>
      </c>
      <c r="HA85" s="116">
        <f>COUNTIFS('DRAFT 2'!$D:$D,$B85,'DRAFT 2'!$A:$A,"&gt;="&amp;DATE(2026,9,15),'DRAFT 2'!$A:$A,"&lt;="&amp;DATE(2026,9,21))</f>
        <v/>
      </c>
      <c r="HB85" s="116">
        <f>COUNTIFS('DRAFT 2'!$D:$D,$B85,'DRAFT 2'!$A:$A,"&gt;="&amp;DATE(2026,9,22),'DRAFT 2'!$A:$A,"&lt;"&amp;DATE(2026,IF(9=12,9+1,9+1),1))</f>
        <v/>
      </c>
      <c r="HC85" s="116">
        <f>SUM(GY85:HB85)</f>
        <v/>
      </c>
      <c r="HN85" s="116">
        <f>IFERROR(LOOKUP(2,1/('DRAFT 2'!$D:$D=$B85)*('DRAFT 2'!$A:$A&gt;=DATE(2026,10,1))*('DRAFT 2'!$A:$A&lt;DATE(2026,IF(10=12,10+1,10+1),1)),'DRAFT 2'!$A:$A),"")</f>
        <v/>
      </c>
      <c r="HO85" s="116">
        <f>COUNTIFS('DRAFT 2'!$D:$D,$B85,'DRAFT 2'!$A:$A,"&gt;="&amp;DATE(2026,10,1),'DRAFT 2'!$A:$A,"&lt;="&amp;DATE(2026,10,7))</f>
        <v/>
      </c>
      <c r="HP85" s="116">
        <f>COUNTIFS('DRAFT 2'!$D:$D,$B85,'DRAFT 2'!$A:$A,"&gt;="&amp;DATE(2026,10,8),'DRAFT 2'!$A:$A,"&lt;="&amp;DATE(2026,10,14))</f>
        <v/>
      </c>
      <c r="HQ85" s="116">
        <f>COUNTIFS('DRAFT 2'!$D:$D,$B85,'DRAFT 2'!$A:$A,"&gt;="&amp;DATE(2026,10,15),'DRAFT 2'!$A:$A,"&lt;="&amp;DATE(2026,10,21))</f>
        <v/>
      </c>
      <c r="HR85" s="116">
        <f>COUNTIFS('DRAFT 2'!$D:$D,$B85,'DRAFT 2'!$A:$A,"&gt;="&amp;DATE(2026,10,22),'DRAFT 2'!$A:$A,"&lt;"&amp;DATE(2026,IF(10=12,10+1,10+1),1))</f>
        <v/>
      </c>
      <c r="HS85" s="116">
        <f>SUM(HO85:HR85)</f>
        <v/>
      </c>
      <c r="IC85" s="116">
        <f>IFERROR(LOOKUP(2,1/('DRAFT 2'!$D:$D=$B85)*('DRAFT 2'!$A:$A&gt;=DATE(2026,11,1))*('DRAFT 2'!$A:$A&lt;DATE(2026,IF(11=12,11+1,11+1),1)),'DRAFT 2'!$A:$A),"")</f>
        <v/>
      </c>
      <c r="ID85" s="116">
        <f>COUNTIFS('DRAFT 2'!$D:$D,$B85,'DRAFT 2'!$A:$A,"&gt;="&amp;DATE(2026,11,1),'DRAFT 2'!$A:$A,"&lt;="&amp;DATE(2026,11,7))</f>
        <v/>
      </c>
      <c r="IE85" s="116">
        <f>COUNTIFS('DRAFT 2'!$D:$D,$B85,'DRAFT 2'!$A:$A,"&gt;="&amp;DATE(2026,11,8),'DRAFT 2'!$A:$A,"&lt;="&amp;DATE(2026,11,14))</f>
        <v/>
      </c>
      <c r="IF85" s="116">
        <f>COUNTIFS('DRAFT 2'!$D:$D,$B85,'DRAFT 2'!$A:$A,"&gt;="&amp;DATE(2026,11,15),'DRAFT 2'!$A:$A,"&lt;="&amp;DATE(2026,11,21))</f>
        <v/>
      </c>
      <c r="IG85" s="116">
        <f>COUNTIFS('DRAFT 2'!$D:$D,$B85,'DRAFT 2'!$A:$A,"&gt;="&amp;DATE(2026,11,22),'DRAFT 2'!$A:$A,"&lt;"&amp;DATE(2026,IF(11=12,11+1,11+1),1))</f>
        <v/>
      </c>
      <c r="IH85" s="116">
        <f>SUM(ID85:IG85)</f>
        <v/>
      </c>
      <c r="IR85" s="116">
        <f>IFERROR(LOOKUP(2,1/('DRAFT 2'!$D:$D=$B85)*('DRAFT 2'!$A:$A&gt;=DATE(2026,12,1))*('DRAFT 2'!$A:$A&lt;DATE(2026,IF(12=12,12+1,12+1),1)),'DRAFT 2'!$A:$A),"")</f>
        <v/>
      </c>
      <c r="IS85" s="116">
        <f>COUNTIFS('DRAFT 2'!$D:$D,$B85,'DRAFT 2'!$A:$A,"&gt;="&amp;DATE(2026,12,1),'DRAFT 2'!$A:$A,"&lt;="&amp;DATE(2026,12,7))</f>
        <v/>
      </c>
      <c r="IT85" s="116">
        <f>COUNTIFS('DRAFT 2'!$D:$D,$B85,'DRAFT 2'!$A:$A,"&gt;="&amp;DATE(2026,12,8),'DRAFT 2'!$A:$A,"&lt;="&amp;DATE(2026,12,14))</f>
        <v/>
      </c>
      <c r="IU85" s="116">
        <f>COUNTIFS('DRAFT 2'!$D:$D,$B85,'DRAFT 2'!$A:$A,"&gt;="&amp;DATE(2026,12,15),'DRAFT 2'!$A:$A,"&lt;="&amp;DATE(2026,12,21))</f>
        <v/>
      </c>
      <c r="IV85" s="116">
        <f>COUNTIFS('DRAFT 2'!$D:$D,$B85,'DRAFT 2'!$A:$A,"&gt;="&amp;DATE(2026,12,22),'DRAFT 2'!$A:$A,"&lt;"&amp;DATE(2026,IF(12=12,12+1,12+1),1))</f>
        <v/>
      </c>
      <c r="IW85" s="116">
        <f>SUM(IS85:IV85)</f>
        <v/>
      </c>
    </row>
    <row r="86">
      <c r="A86" s="116">
        <f>IFERROR(INDEX('DRAFT 1'!$A:$A,MATCH($B86,'DRAFT 1'!$B:$B,0)),"")</f>
        <v/>
      </c>
      <c r="C86" s="116">
        <f>IFERROR(INDEX('DRAFT 1'!$C:$C,MATCH($B86,'DRAFT 1'!$B:$B,0)),"")</f>
        <v/>
      </c>
      <c r="D86" s="116">
        <f>IFERROR(INDEX('DRAFT 1'!$D:$D,MATCH($B86,'DRAFT 1'!$B:$B,0)),"")</f>
        <v/>
      </c>
      <c r="E86" s="116">
        <f>IFERROR(INDEX('DRAFT 1'!$E:$E,MATCH($B86,'DRAFT 1'!$B:$B,0)),"")</f>
        <v/>
      </c>
      <c r="F86" s="116">
        <f>IFERROR(INDEX('DRAFT 1'!$F:$F,MATCH($B86,'DRAFT 1'!$B:$B,0)),"")</f>
        <v/>
      </c>
      <c r="G86" s="116">
        <f>IFERROR(INDEX('DRAFT 1'!$G:$G,MATCH($B86,'DRAFT 1'!$B:$B,0)),"")</f>
        <v/>
      </c>
      <c r="H86" s="116">
        <f>IFERROR(INDEX('DRAFT 1'!$H:$H,MATCH($B86,'DRAFT 1'!$B:$B,0)),"")</f>
        <v/>
      </c>
      <c r="I86" s="116" t="inlineStr">
        <is>
          <t>TUDO EM GRAOS</t>
        </is>
      </c>
      <c r="K86" s="116">
        <f>IFERROR(INDEX('DRAFT 1'!$AL:$AL,MATCH($B86,'DRAFT 1'!$B:$B,0)),"")</f>
        <v/>
      </c>
      <c r="L86" s="116">
        <f>IFERROR(INDEX('DRAFT 1'!$J:$J,MATCH($B86,'DRAFT 1'!$B:$B,0)),"")</f>
        <v/>
      </c>
      <c r="M86" s="116">
        <f>IFERROR(INDEX('DRAFT 1'!$K:$K,MATCH($B86,'DRAFT 1'!$B:$B,0)),"")</f>
        <v/>
      </c>
      <c r="N86" s="116" t="inlineStr">
        <is>
          <t>INAT.ANT</t>
        </is>
      </c>
      <c r="P86" s="116">
        <f>IFERROR(INDEX('DRAFT 1'!$L:$L,MATCH($B86,'DRAFT 1'!$B:$B,0)),"")</f>
        <v/>
      </c>
      <c r="Q86" s="116">
        <f>IFERROR(INDEX('DRAFT 1'!$M:$M,MATCH($B86,'DRAFT 1'!$B:$B,0)),"")</f>
        <v/>
      </c>
      <c r="R86" s="116">
        <f>IFERROR(INDEX('DRAFT 1'!$N:$N,MATCH($B86,'DRAFT 1'!$B:$B,0)),"")</f>
        <v/>
      </c>
      <c r="S86" s="116">
        <f>IFERROR(INDEX('DRAFT 1'!$O:$O,MATCH($B86,'DRAFT 1'!$B:$B,0)),"")</f>
        <v/>
      </c>
      <c r="T86" s="116">
        <f>IFERROR(INDEX('DRAFT 1'!$P:$P,MATCH($B86,'DRAFT 1'!$B:$B,0)),"")</f>
        <v/>
      </c>
      <c r="U86" s="116">
        <f>IFERROR(INDEX('DRAFT 1'!$Q:$Q,MATCH($B86,'DRAFT 1'!$B:$B,0)),"")</f>
        <v/>
      </c>
      <c r="V86" s="116">
        <f>IFERROR(INDEX('DRAFT 1'!$R:$R,MATCH($B86,'DRAFT 1'!$B:$B,0)),"")</f>
        <v/>
      </c>
      <c r="W86" s="116">
        <f>IFERROR(INDEX('DRAFT 1'!$S:$S,MATCH($B86,'DRAFT 1'!$B:$B,0)),"")</f>
        <v/>
      </c>
      <c r="X86" s="116">
        <f>IFERROR(INDEX('DRAFT 1'!$T:$T,MATCH($B86,'DRAFT 1'!$B:$B,0)),"")</f>
        <v/>
      </c>
      <c r="Z86" s="116">
        <f>IFERROR(INDEX('DRAFT 1'!$U:$U,MATCH($B86,'DRAFT 1'!$B:$B,0)),"")</f>
        <v/>
      </c>
      <c r="AA86" s="116">
        <f>IFERROR(INDEX('DRAFT 1'!$V:$V,MATCH($B86,'DRAFT 1'!$B:$B,0)),"")</f>
        <v/>
      </c>
      <c r="AB86" s="116">
        <f>IFERROR(INDEX('DRAFT 1'!$W:$W,MATCH($B86,'DRAFT 1'!$B:$B,0)),"")</f>
        <v/>
      </c>
      <c r="AC86" s="116">
        <f>IFERROR(INDEX('DRAFT 1'!$X:$X,MATCH($B86,'DRAFT 1'!$B:$B,0)),"")</f>
        <v/>
      </c>
      <c r="AD86" s="116">
        <f>IFERROR(INDEX('DRAFT 1'!$Y:$Y,MATCH($B86,'DRAFT 1'!$B:$B,0)),"")</f>
        <v/>
      </c>
      <c r="AE86" s="116">
        <f>IFERROR(INDEX('DRAFT 1'!$Z:$Z,MATCH($B86,'DRAFT 1'!$B:$B,0)),"")</f>
        <v/>
      </c>
      <c r="AF86" s="116">
        <f>IFERROR(INDEX('DRAFT 1'!$AA:$AA,MATCH($B86,'DRAFT 1'!$B:$B,0)),"")</f>
        <v/>
      </c>
      <c r="AG86" s="116">
        <f>IFERROR(INDEX('DRAFT 1'!$AB:$AB,MATCH($B86,'DRAFT 1'!$B:$B,0)),"")</f>
        <v/>
      </c>
      <c r="AH86" s="116">
        <f>IFERROR(INDEX('DRAFT 1'!$AC:$AC,MATCH($B86,'DRAFT 1'!$B:$B,0)),"")</f>
        <v/>
      </c>
      <c r="AI86" s="116">
        <f>IFERROR(INDEX('DRAFT 1'!$AD:$AD,MATCH($B86,'DRAFT 1'!$B:$B,0)),"")</f>
        <v/>
      </c>
      <c r="AJ86" s="116">
        <f>IFERROR(INDEX('DRAFT 1'!$AE:$AE,MATCH($B86,'DRAFT 1'!$B:$B,0)),"")</f>
        <v/>
      </c>
      <c r="AK86" s="116">
        <f>IFERROR(INDEX('DRAFT 1'!$AG:$AG,MATCH($B86,'DRAFT 1'!$B:$B,0)),"")</f>
        <v/>
      </c>
      <c r="AL86" s="116">
        <f>IFERROR(INDEX('DRAFT 1'!$AH:$AH,MATCH($B86,'DRAFT 1'!$B:$B,0)),"")</f>
        <v/>
      </c>
      <c r="AM86" s="116">
        <f>IFERROR(INDEX('DRAFT 1'!$AI:$AI,MATCH($B86,'DRAFT 1'!$B:$B,0)),"")</f>
        <v/>
      </c>
      <c r="AN86" s="116">
        <f>IFERROR(INDEX('DRAFT 1'!$AJ:$AJ,MATCH($B86,'DRAFT 1'!$B:$B,0)),"")</f>
        <v/>
      </c>
      <c r="AO86" s="116">
        <f>IFERROR(Y86/AN86,0)</f>
        <v/>
      </c>
      <c r="AP86" s="116">
        <f>IFERROR(INDEX('DRAFT 1'!$AK:$AK,MATCH($B86,'DRAFT 1'!$B:$B,0)),"")</f>
        <v/>
      </c>
      <c r="AR86" s="116" t="inlineStr">
        <is>
          <t>CS</t>
        </is>
      </c>
      <c r="AS86" s="116">
        <f>IFERROR(LOOKUP(2,1/('DRAFT 2'!$D:$D=$B86),'DRAFT 2'!$T:$T),"")</f>
        <v/>
      </c>
      <c r="AT86" s="116">
        <f>IFERROR(LOOKUP(2,1/('DRAFT 2'!$D:$D=$B86),'DRAFT 2'!$A:$A),"")</f>
        <v/>
      </c>
      <c r="AU86" s="116">
        <f>IFERROR(LOOKUP(2,1/('DRAFT 2'!$D:$D=$B86),'DRAFT 2'!$R:$R),"")</f>
        <v/>
      </c>
      <c r="AV86" s="116">
        <f>IFERROR(LOOKUP(2,1/('DRAFT 2'!$D:$D=$B86),'DRAFT 2'!$S:$S),"")</f>
        <v/>
      </c>
      <c r="AW86" s="116" t="inlineStr">
        <is>
          <t>PROSPECT</t>
        </is>
      </c>
      <c r="AX86" s="116">
        <f>IFERROR(LOOKUP(2,1/('DRAFT 2'!$D:$D=$B86),'DRAFT 2'!$M:$M),"")</f>
        <v/>
      </c>
      <c r="AY86" s="116">
        <f>IFERROR(LOOKUP(2,1/('DRAFT 2'!$D:$D=$B86),'DRAFT 2'!$K:$K),"")</f>
        <v/>
      </c>
      <c r="BG86" s="116">
        <f>IFERROR(LOOKUP(2,1/('DRAFT 2'!$D:$D=$B86),'DRAFT 2'!$U:$U),"")</f>
        <v/>
      </c>
      <c r="BH86" s="116">
        <f>IFERROR(LOOKUP(2,1/('DRAFT 2'!$D:$D=$B86),'DRAFT 2'!$V:$V),"")</f>
        <v/>
      </c>
      <c r="CE86" s="116">
        <f>IFERROR(AJ86,0)</f>
        <v/>
      </c>
      <c r="CF86" s="116">
        <f>IFERROR(LOOKUP(2,1/('DRAFT 2'!$D:$D=$B86)*('DRAFT 2'!$A:$A&gt;=DATE(2026,1,1))*('DRAFT 2'!$A:$A&lt;DATE(2026,IF(1=12,1+1,1+1),1)),'DRAFT 2'!$A:$A),"")</f>
        <v/>
      </c>
      <c r="CG86" s="116">
        <f>COUNTIFS('DRAFT 2'!$D:$D,$B86,'DRAFT 2'!$A:$A,"&gt;="&amp;DATE(2026,1,1),'DRAFT 2'!$A:$A,"&lt;="&amp;DATE(2026,1,7))</f>
        <v/>
      </c>
      <c r="CH86" s="116">
        <f>COUNTIFS('DRAFT 2'!$D:$D,$B86,'DRAFT 2'!$A:$A,"&gt;="&amp;DATE(2026,1,8),'DRAFT 2'!$A:$A,"&lt;="&amp;DATE(2026,1,14))</f>
        <v/>
      </c>
      <c r="CI86" s="116">
        <f>COUNTIFS('DRAFT 2'!$D:$D,$B86,'DRAFT 2'!$A:$A,"&gt;="&amp;DATE(2026,1,15),'DRAFT 2'!$A:$A,"&lt;="&amp;DATE(2026,1,21))</f>
        <v/>
      </c>
      <c r="CJ86" s="116">
        <f>COUNTIFS('DRAFT 2'!$D:$D,$B86,'DRAFT 2'!$A:$A,"&gt;="&amp;DATE(2026,1,22),'DRAFT 2'!$A:$A,"&lt;"&amp;DATE(2026,IF(1=12,1+1,1+1),1))</f>
        <v/>
      </c>
      <c r="CK86" s="116">
        <f>SUM(CG86:CJ86)</f>
        <v/>
      </c>
      <c r="CT86" s="116" t="n">
        <v>0</v>
      </c>
      <c r="CU86" s="116">
        <f>IFERROR(LOOKUP(2,1/('DRAFT 2'!$D:$D=$B86)*('DRAFT 2'!$A:$A&gt;=DATE(2026,2,1))*('DRAFT 2'!$A:$A&lt;DATE(2026,IF(2=12,2+1,2+1),1)),'DRAFT 2'!$A:$A),"")</f>
        <v/>
      </c>
      <c r="CV86" s="116">
        <f>COUNTIFS('DRAFT 2'!$D:$D,$B86,'DRAFT 2'!$A:$A,"&gt;="&amp;DATE(2026,2,1),'DRAFT 2'!$A:$A,"&lt;="&amp;DATE(2026,2,7))</f>
        <v/>
      </c>
      <c r="CW86" s="116">
        <f>COUNTIFS('DRAFT 2'!$D:$D,$B86,'DRAFT 2'!$A:$A,"&gt;="&amp;DATE(2026,2,8),'DRAFT 2'!$A:$A,"&lt;="&amp;DATE(2026,2,14))</f>
        <v/>
      </c>
      <c r="CX86" s="116">
        <f>COUNTIFS('DRAFT 2'!$D:$D,$B86,'DRAFT 2'!$A:$A,"&gt;="&amp;DATE(2026,2,15),'DRAFT 2'!$A:$A,"&lt;="&amp;DATE(2026,2,21))</f>
        <v/>
      </c>
      <c r="CY86" s="116">
        <f>COUNTIFS('DRAFT 2'!$D:$D,$B86,'DRAFT 2'!$A:$A,"&gt;="&amp;DATE(2026,2,22),'DRAFT 2'!$A:$A,"&lt;"&amp;DATE(2026,IF(2=12,2+1,2+1),1))</f>
        <v/>
      </c>
      <c r="CZ86" s="116">
        <f>SUM(CV86:CY86)</f>
        <v/>
      </c>
      <c r="DJ86" s="116">
        <f>IFERROR(LOOKUP(2,1/('DRAFT 2'!$D:$D=$B86)*('DRAFT 2'!$A:$A&gt;=DATE(2026,3,1))*('DRAFT 2'!$A:$A&lt;DATE(2026,IF(3=12,3+1,3+1),1)),'DRAFT 2'!$A:$A),"")</f>
        <v/>
      </c>
      <c r="DK86" s="116">
        <f>COUNTIFS('DRAFT 2'!$D:$D,$B86,'DRAFT 2'!$A:$A,"&gt;="&amp;DATE(2026,3,1),'DRAFT 2'!$A:$A,"&lt;="&amp;DATE(2026,3,7))</f>
        <v/>
      </c>
      <c r="DL86" s="116">
        <f>COUNTIFS('DRAFT 2'!$D:$D,$B86,'DRAFT 2'!$A:$A,"&gt;="&amp;DATE(2026,3,8),'DRAFT 2'!$A:$A,"&lt;="&amp;DATE(2026,3,14))</f>
        <v/>
      </c>
      <c r="DM86" s="116">
        <f>COUNTIFS('DRAFT 2'!$D:$D,$B86,'DRAFT 2'!$A:$A,"&gt;="&amp;DATE(2026,3,15),'DRAFT 2'!$A:$A,"&lt;="&amp;DATE(2026,3,21))</f>
        <v/>
      </c>
      <c r="DN86" s="116">
        <f>COUNTIFS('DRAFT 2'!$D:$D,$B86,'DRAFT 2'!$A:$A,"&gt;="&amp;DATE(2026,3,22),'DRAFT 2'!$A:$A,"&lt;"&amp;DATE(2026,IF(3=12,3+1,3+1),1))</f>
        <v/>
      </c>
      <c r="DO86" s="116">
        <f>SUM(DK86:DN86)</f>
        <v/>
      </c>
      <c r="DZ86" s="116">
        <f>IFERROR(LOOKUP(2,1/('DRAFT 2'!$D:$D=$B86)*('DRAFT 2'!$A:$A&gt;=DATE(2026,4,1))*('DRAFT 2'!$A:$A&lt;DATE(2026,IF(4=12,4+1,4+1),1)),'DRAFT 2'!$A:$A),"")</f>
        <v/>
      </c>
      <c r="EA86" s="116">
        <f>COUNTIFS('DRAFT 2'!$D:$D,$B86,'DRAFT 2'!$A:$A,"&gt;="&amp;DATE(2026,4,1),'DRAFT 2'!$A:$A,"&lt;="&amp;DATE(2026,4,7))</f>
        <v/>
      </c>
      <c r="EB86" s="116">
        <f>COUNTIFS('DRAFT 2'!$D:$D,$B86,'DRAFT 2'!$A:$A,"&gt;="&amp;DATE(2026,4,8),'DRAFT 2'!$A:$A,"&lt;="&amp;DATE(2026,4,14))</f>
        <v/>
      </c>
      <c r="EC86" s="116">
        <f>COUNTIFS('DRAFT 2'!$D:$D,$B86,'DRAFT 2'!$A:$A,"&gt;="&amp;DATE(2026,4,15),'DRAFT 2'!$A:$A,"&lt;="&amp;DATE(2026,4,21))</f>
        <v/>
      </c>
      <c r="ED86" s="116">
        <f>COUNTIFS('DRAFT 2'!$D:$D,$B86,'DRAFT 2'!$A:$A,"&gt;="&amp;DATE(2026,4,22),'DRAFT 2'!$A:$A,"&lt;"&amp;DATE(2026,IF(4=12,4+1,4+1),1))</f>
        <v/>
      </c>
      <c r="EE86" s="116">
        <f>SUM(EA86:ED86)</f>
        <v/>
      </c>
      <c r="EO86" s="116">
        <f>IFERROR(LOOKUP(2,1/('DRAFT 2'!$D:$D=$B86)*('DRAFT 2'!$A:$A&gt;=DATE(2026,5,1))*('DRAFT 2'!$A:$A&lt;DATE(2026,IF(5=12,5+1,5+1),1)),'DRAFT 2'!$A:$A),"")</f>
        <v/>
      </c>
      <c r="EP86" s="116">
        <f>COUNTIFS('DRAFT 2'!$D:$D,$B86,'DRAFT 2'!$A:$A,"&gt;="&amp;DATE(2026,5,1),'DRAFT 2'!$A:$A,"&lt;="&amp;DATE(2026,5,7))</f>
        <v/>
      </c>
      <c r="EQ86" s="116">
        <f>COUNTIFS('DRAFT 2'!$D:$D,$B86,'DRAFT 2'!$A:$A,"&gt;="&amp;DATE(2026,5,8),'DRAFT 2'!$A:$A,"&lt;="&amp;DATE(2026,5,14))</f>
        <v/>
      </c>
      <c r="ER86" s="116">
        <f>COUNTIFS('DRAFT 2'!$D:$D,$B86,'DRAFT 2'!$A:$A,"&gt;="&amp;DATE(2026,5,15),'DRAFT 2'!$A:$A,"&lt;="&amp;DATE(2026,5,21))</f>
        <v/>
      </c>
      <c r="ES86" s="116">
        <f>COUNTIFS('DRAFT 2'!$D:$D,$B86,'DRAFT 2'!$A:$A,"&gt;="&amp;DATE(2026,5,22),'DRAFT 2'!$A:$A,"&lt;"&amp;DATE(2026,IF(5=12,5+1,5+1),1))</f>
        <v/>
      </c>
      <c r="ET86" s="116">
        <f>SUM(EP86:ES86)</f>
        <v/>
      </c>
      <c r="FD86" s="116">
        <f>IFERROR(LOOKUP(2,1/('DRAFT 2'!$D:$D=$B86)*('DRAFT 2'!$A:$A&gt;=DATE(2026,6,1))*('DRAFT 2'!$A:$A&lt;DATE(2026,IF(6=12,6+1,6+1),1)),'DRAFT 2'!$A:$A),"")</f>
        <v/>
      </c>
      <c r="FE86" s="116">
        <f>COUNTIFS('DRAFT 2'!$D:$D,$B86,'DRAFT 2'!$A:$A,"&gt;="&amp;DATE(2026,6,1),'DRAFT 2'!$A:$A,"&lt;="&amp;DATE(2026,6,7))</f>
        <v/>
      </c>
      <c r="FF86" s="116">
        <f>COUNTIFS('DRAFT 2'!$D:$D,$B86,'DRAFT 2'!$A:$A,"&gt;="&amp;DATE(2026,6,8),'DRAFT 2'!$A:$A,"&lt;="&amp;DATE(2026,6,14))</f>
        <v/>
      </c>
      <c r="FG86" s="116">
        <f>COUNTIFS('DRAFT 2'!$D:$D,$B86,'DRAFT 2'!$A:$A,"&gt;="&amp;DATE(2026,6,15),'DRAFT 2'!$A:$A,"&lt;="&amp;DATE(2026,6,21))</f>
        <v/>
      </c>
      <c r="FH86" s="116">
        <f>COUNTIFS('DRAFT 2'!$D:$D,$B86,'DRAFT 2'!$A:$A,"&gt;="&amp;DATE(2026,6,22),'DRAFT 2'!$A:$A,"&lt;"&amp;DATE(2026,IF(6=12,6+1,6+1),1))</f>
        <v/>
      </c>
      <c r="FI86" s="116">
        <f>SUM(FE86:FH86)</f>
        <v/>
      </c>
      <c r="FT86" s="116">
        <f>IFERROR(LOOKUP(2,1/('DRAFT 2'!$D:$D=$B86)*('DRAFT 2'!$A:$A&gt;=DATE(2026,7,1))*('DRAFT 2'!$A:$A&lt;DATE(2026,IF(7=12,7+1,7+1),1)),'DRAFT 2'!$A:$A),"")</f>
        <v/>
      </c>
      <c r="FU86" s="116">
        <f>COUNTIFS('DRAFT 2'!$D:$D,$B86,'DRAFT 2'!$A:$A,"&gt;="&amp;DATE(2026,7,1),'DRAFT 2'!$A:$A,"&lt;="&amp;DATE(2026,7,7))</f>
        <v/>
      </c>
      <c r="FV86" s="116">
        <f>COUNTIFS('DRAFT 2'!$D:$D,$B86,'DRAFT 2'!$A:$A,"&gt;="&amp;DATE(2026,7,8),'DRAFT 2'!$A:$A,"&lt;="&amp;DATE(2026,7,14))</f>
        <v/>
      </c>
      <c r="FW86" s="116">
        <f>COUNTIFS('DRAFT 2'!$D:$D,$B86,'DRAFT 2'!$A:$A,"&gt;="&amp;DATE(2026,7,15),'DRAFT 2'!$A:$A,"&lt;="&amp;DATE(2026,7,21))</f>
        <v/>
      </c>
      <c r="FX86" s="116">
        <f>COUNTIFS('DRAFT 2'!$D:$D,$B86,'DRAFT 2'!$A:$A,"&gt;="&amp;DATE(2026,7,22),'DRAFT 2'!$A:$A,"&lt;"&amp;DATE(2026,IF(7=12,7+1,7+1),1))</f>
        <v/>
      </c>
      <c r="FY86" s="116">
        <f>SUM(FU86:FX86)</f>
        <v/>
      </c>
      <c r="GI86" s="116">
        <f>IFERROR(LOOKUP(2,1/('DRAFT 2'!$D:$D=$B86)*('DRAFT 2'!$A:$A&gt;=DATE(2026,8,1))*('DRAFT 2'!$A:$A&lt;DATE(2026,IF(8=12,8+1,8+1),1)),'DRAFT 2'!$A:$A),"")</f>
        <v/>
      </c>
      <c r="GJ86" s="116">
        <f>COUNTIFS('DRAFT 2'!$D:$D,$B86,'DRAFT 2'!$A:$A,"&gt;="&amp;DATE(2026,8,1),'DRAFT 2'!$A:$A,"&lt;="&amp;DATE(2026,8,7))</f>
        <v/>
      </c>
      <c r="GK86" s="116">
        <f>COUNTIFS('DRAFT 2'!$D:$D,$B86,'DRAFT 2'!$A:$A,"&gt;="&amp;DATE(2026,8,8),'DRAFT 2'!$A:$A,"&lt;="&amp;DATE(2026,8,14))</f>
        <v/>
      </c>
      <c r="GL86" s="116">
        <f>COUNTIFS('DRAFT 2'!$D:$D,$B86,'DRAFT 2'!$A:$A,"&gt;="&amp;DATE(2026,8,15),'DRAFT 2'!$A:$A,"&lt;="&amp;DATE(2026,8,21))</f>
        <v/>
      </c>
      <c r="GM86" s="116">
        <f>COUNTIFS('DRAFT 2'!$D:$D,$B86,'DRAFT 2'!$A:$A,"&gt;="&amp;DATE(2026,8,22),'DRAFT 2'!$A:$A,"&lt;"&amp;DATE(2026,IF(8=12,8+1,8+1),1))</f>
        <v/>
      </c>
      <c r="GN86" s="116">
        <f>SUM(GJ86:GM86)</f>
        <v/>
      </c>
      <c r="GX86" s="116">
        <f>IFERROR(LOOKUP(2,1/('DRAFT 2'!$D:$D=$B86)*('DRAFT 2'!$A:$A&gt;=DATE(2026,9,1))*('DRAFT 2'!$A:$A&lt;DATE(2026,IF(9=12,9+1,9+1),1)),'DRAFT 2'!$A:$A),"")</f>
        <v/>
      </c>
      <c r="GY86" s="116">
        <f>COUNTIFS('DRAFT 2'!$D:$D,$B86,'DRAFT 2'!$A:$A,"&gt;="&amp;DATE(2026,9,1),'DRAFT 2'!$A:$A,"&lt;="&amp;DATE(2026,9,7))</f>
        <v/>
      </c>
      <c r="GZ86" s="116">
        <f>COUNTIFS('DRAFT 2'!$D:$D,$B86,'DRAFT 2'!$A:$A,"&gt;="&amp;DATE(2026,9,8),'DRAFT 2'!$A:$A,"&lt;="&amp;DATE(2026,9,14))</f>
        <v/>
      </c>
      <c r="HA86" s="116">
        <f>COUNTIFS('DRAFT 2'!$D:$D,$B86,'DRAFT 2'!$A:$A,"&gt;="&amp;DATE(2026,9,15),'DRAFT 2'!$A:$A,"&lt;="&amp;DATE(2026,9,21))</f>
        <v/>
      </c>
      <c r="HB86" s="116">
        <f>COUNTIFS('DRAFT 2'!$D:$D,$B86,'DRAFT 2'!$A:$A,"&gt;="&amp;DATE(2026,9,22),'DRAFT 2'!$A:$A,"&lt;"&amp;DATE(2026,IF(9=12,9+1,9+1),1))</f>
        <v/>
      </c>
      <c r="HC86" s="116">
        <f>SUM(GY86:HB86)</f>
        <v/>
      </c>
      <c r="HN86" s="116">
        <f>IFERROR(LOOKUP(2,1/('DRAFT 2'!$D:$D=$B86)*('DRAFT 2'!$A:$A&gt;=DATE(2026,10,1))*('DRAFT 2'!$A:$A&lt;DATE(2026,IF(10=12,10+1,10+1),1)),'DRAFT 2'!$A:$A),"")</f>
        <v/>
      </c>
      <c r="HO86" s="116">
        <f>COUNTIFS('DRAFT 2'!$D:$D,$B86,'DRAFT 2'!$A:$A,"&gt;="&amp;DATE(2026,10,1),'DRAFT 2'!$A:$A,"&lt;="&amp;DATE(2026,10,7))</f>
        <v/>
      </c>
      <c r="HP86" s="116">
        <f>COUNTIFS('DRAFT 2'!$D:$D,$B86,'DRAFT 2'!$A:$A,"&gt;="&amp;DATE(2026,10,8),'DRAFT 2'!$A:$A,"&lt;="&amp;DATE(2026,10,14))</f>
        <v/>
      </c>
      <c r="HQ86" s="116">
        <f>COUNTIFS('DRAFT 2'!$D:$D,$B86,'DRAFT 2'!$A:$A,"&gt;="&amp;DATE(2026,10,15),'DRAFT 2'!$A:$A,"&lt;="&amp;DATE(2026,10,21))</f>
        <v/>
      </c>
      <c r="HR86" s="116">
        <f>COUNTIFS('DRAFT 2'!$D:$D,$B86,'DRAFT 2'!$A:$A,"&gt;="&amp;DATE(2026,10,22),'DRAFT 2'!$A:$A,"&lt;"&amp;DATE(2026,IF(10=12,10+1,10+1),1))</f>
        <v/>
      </c>
      <c r="HS86" s="116">
        <f>SUM(HO86:HR86)</f>
        <v/>
      </c>
      <c r="IC86" s="116">
        <f>IFERROR(LOOKUP(2,1/('DRAFT 2'!$D:$D=$B86)*('DRAFT 2'!$A:$A&gt;=DATE(2026,11,1))*('DRAFT 2'!$A:$A&lt;DATE(2026,IF(11=12,11+1,11+1),1)),'DRAFT 2'!$A:$A),"")</f>
        <v/>
      </c>
      <c r="ID86" s="116">
        <f>COUNTIFS('DRAFT 2'!$D:$D,$B86,'DRAFT 2'!$A:$A,"&gt;="&amp;DATE(2026,11,1),'DRAFT 2'!$A:$A,"&lt;="&amp;DATE(2026,11,7))</f>
        <v/>
      </c>
      <c r="IE86" s="116">
        <f>COUNTIFS('DRAFT 2'!$D:$D,$B86,'DRAFT 2'!$A:$A,"&gt;="&amp;DATE(2026,11,8),'DRAFT 2'!$A:$A,"&lt;="&amp;DATE(2026,11,14))</f>
        <v/>
      </c>
      <c r="IF86" s="116">
        <f>COUNTIFS('DRAFT 2'!$D:$D,$B86,'DRAFT 2'!$A:$A,"&gt;="&amp;DATE(2026,11,15),'DRAFT 2'!$A:$A,"&lt;="&amp;DATE(2026,11,21))</f>
        <v/>
      </c>
      <c r="IG86" s="116">
        <f>COUNTIFS('DRAFT 2'!$D:$D,$B86,'DRAFT 2'!$A:$A,"&gt;="&amp;DATE(2026,11,22),'DRAFT 2'!$A:$A,"&lt;"&amp;DATE(2026,IF(11=12,11+1,11+1),1))</f>
        <v/>
      </c>
      <c r="IH86" s="116">
        <f>SUM(ID86:IG86)</f>
        <v/>
      </c>
      <c r="IR86" s="116">
        <f>IFERROR(LOOKUP(2,1/('DRAFT 2'!$D:$D=$B86)*('DRAFT 2'!$A:$A&gt;=DATE(2026,12,1))*('DRAFT 2'!$A:$A&lt;DATE(2026,IF(12=12,12+1,12+1),1)),'DRAFT 2'!$A:$A),"")</f>
        <v/>
      </c>
      <c r="IS86" s="116">
        <f>COUNTIFS('DRAFT 2'!$D:$D,$B86,'DRAFT 2'!$A:$A,"&gt;="&amp;DATE(2026,12,1),'DRAFT 2'!$A:$A,"&lt;="&amp;DATE(2026,12,7))</f>
        <v/>
      </c>
      <c r="IT86" s="116">
        <f>COUNTIFS('DRAFT 2'!$D:$D,$B86,'DRAFT 2'!$A:$A,"&gt;="&amp;DATE(2026,12,8),'DRAFT 2'!$A:$A,"&lt;="&amp;DATE(2026,12,14))</f>
        <v/>
      </c>
      <c r="IU86" s="116">
        <f>COUNTIFS('DRAFT 2'!$D:$D,$B86,'DRAFT 2'!$A:$A,"&gt;="&amp;DATE(2026,12,15),'DRAFT 2'!$A:$A,"&lt;="&amp;DATE(2026,12,21))</f>
        <v/>
      </c>
      <c r="IV86" s="116">
        <f>COUNTIFS('DRAFT 2'!$D:$D,$B86,'DRAFT 2'!$A:$A,"&gt;="&amp;DATE(2026,12,22),'DRAFT 2'!$A:$A,"&lt;"&amp;DATE(2026,IF(12=12,12+1,12+1),1))</f>
        <v/>
      </c>
      <c r="IW86" s="116">
        <f>SUM(IS86:IV86)</f>
        <v/>
      </c>
    </row>
    <row r="87">
      <c r="A87" s="116">
        <f>IFERROR(INDEX('DRAFT 1'!$A:$A,MATCH($B87,'DRAFT 1'!$B:$B,0)),"")</f>
        <v/>
      </c>
      <c r="C87" s="116">
        <f>IFERROR(INDEX('DRAFT 1'!$C:$C,MATCH($B87,'DRAFT 1'!$B:$B,0)),"")</f>
        <v/>
      </c>
      <c r="D87" s="116">
        <f>IFERROR(INDEX('DRAFT 1'!$D:$D,MATCH($B87,'DRAFT 1'!$B:$B,0)),"")</f>
        <v/>
      </c>
      <c r="E87" s="116">
        <f>IFERROR(INDEX('DRAFT 1'!$E:$E,MATCH($B87,'DRAFT 1'!$B:$B,0)),"")</f>
        <v/>
      </c>
      <c r="F87" s="116">
        <f>IFERROR(INDEX('DRAFT 1'!$F:$F,MATCH($B87,'DRAFT 1'!$B:$B,0)),"")</f>
        <v/>
      </c>
      <c r="G87" s="116">
        <f>IFERROR(INDEX('DRAFT 1'!$G:$G,MATCH($B87,'DRAFT 1'!$B:$B,0)),"")</f>
        <v/>
      </c>
      <c r="H87" s="116">
        <f>IFERROR(INDEX('DRAFT 1'!$H:$H,MATCH($B87,'DRAFT 1'!$B:$B,0)),"")</f>
        <v/>
      </c>
      <c r="I87" s="116" t="inlineStr">
        <is>
          <t>VIDA LEVE</t>
        </is>
      </c>
      <c r="K87" s="116">
        <f>IFERROR(INDEX('DRAFT 1'!$AL:$AL,MATCH($B87,'DRAFT 1'!$B:$B,0)),"")</f>
        <v/>
      </c>
      <c r="L87" s="116">
        <f>IFERROR(INDEX('DRAFT 1'!$J:$J,MATCH($B87,'DRAFT 1'!$B:$B,0)),"")</f>
        <v/>
      </c>
      <c r="M87" s="116">
        <f>IFERROR(INDEX('DRAFT 1'!$K:$K,MATCH($B87,'DRAFT 1'!$B:$B,0)),"")</f>
        <v/>
      </c>
      <c r="N87" s="116" t="inlineStr">
        <is>
          <t>NOVO</t>
        </is>
      </c>
      <c r="P87" s="116">
        <f>IFERROR(INDEX('DRAFT 1'!$L:$L,MATCH($B87,'DRAFT 1'!$B:$B,0)),"")</f>
        <v/>
      </c>
      <c r="Q87" s="116">
        <f>IFERROR(INDEX('DRAFT 1'!$M:$M,MATCH($B87,'DRAFT 1'!$B:$B,0)),"")</f>
        <v/>
      </c>
      <c r="R87" s="116">
        <f>IFERROR(INDEX('DRAFT 1'!$N:$N,MATCH($B87,'DRAFT 1'!$B:$B,0)),"")</f>
        <v/>
      </c>
      <c r="S87" s="116">
        <f>IFERROR(INDEX('DRAFT 1'!$O:$O,MATCH($B87,'DRAFT 1'!$B:$B,0)),"")</f>
        <v/>
      </c>
      <c r="T87" s="116">
        <f>IFERROR(INDEX('DRAFT 1'!$P:$P,MATCH($B87,'DRAFT 1'!$B:$B,0)),"")</f>
        <v/>
      </c>
      <c r="U87" s="116">
        <f>IFERROR(INDEX('DRAFT 1'!$Q:$Q,MATCH($B87,'DRAFT 1'!$B:$B,0)),"")</f>
        <v/>
      </c>
      <c r="V87" s="116">
        <f>IFERROR(INDEX('DRAFT 1'!$R:$R,MATCH($B87,'DRAFT 1'!$B:$B,0)),"")</f>
        <v/>
      </c>
      <c r="W87" s="116">
        <f>IFERROR(INDEX('DRAFT 1'!$S:$S,MATCH($B87,'DRAFT 1'!$B:$B,0)),"")</f>
        <v/>
      </c>
      <c r="X87" s="116">
        <f>IFERROR(INDEX('DRAFT 1'!$T:$T,MATCH($B87,'DRAFT 1'!$B:$B,0)),"")</f>
        <v/>
      </c>
      <c r="Z87" s="116">
        <f>IFERROR(INDEX('DRAFT 1'!$U:$U,MATCH($B87,'DRAFT 1'!$B:$B,0)),"")</f>
        <v/>
      </c>
      <c r="AA87" s="116">
        <f>IFERROR(INDEX('DRAFT 1'!$V:$V,MATCH($B87,'DRAFT 1'!$B:$B,0)),"")</f>
        <v/>
      </c>
      <c r="AB87" s="116">
        <f>IFERROR(INDEX('DRAFT 1'!$W:$W,MATCH($B87,'DRAFT 1'!$B:$B,0)),"")</f>
        <v/>
      </c>
      <c r="AC87" s="116">
        <f>IFERROR(INDEX('DRAFT 1'!$X:$X,MATCH($B87,'DRAFT 1'!$B:$B,0)),"")</f>
        <v/>
      </c>
      <c r="AD87" s="116">
        <f>IFERROR(INDEX('DRAFT 1'!$Y:$Y,MATCH($B87,'DRAFT 1'!$B:$B,0)),"")</f>
        <v/>
      </c>
      <c r="AE87" s="116">
        <f>IFERROR(INDEX('DRAFT 1'!$Z:$Z,MATCH($B87,'DRAFT 1'!$B:$B,0)),"")</f>
        <v/>
      </c>
      <c r="AF87" s="116">
        <f>IFERROR(INDEX('DRAFT 1'!$AA:$AA,MATCH($B87,'DRAFT 1'!$B:$B,0)),"")</f>
        <v/>
      </c>
      <c r="AG87" s="116">
        <f>IFERROR(INDEX('DRAFT 1'!$AB:$AB,MATCH($B87,'DRAFT 1'!$B:$B,0)),"")</f>
        <v/>
      </c>
      <c r="AH87" s="116">
        <f>IFERROR(INDEX('DRAFT 1'!$AC:$AC,MATCH($B87,'DRAFT 1'!$B:$B,0)),"")</f>
        <v/>
      </c>
      <c r="AI87" s="116">
        <f>IFERROR(INDEX('DRAFT 1'!$AD:$AD,MATCH($B87,'DRAFT 1'!$B:$B,0)),"")</f>
        <v/>
      </c>
      <c r="AJ87" s="116">
        <f>IFERROR(INDEX('DRAFT 1'!$AE:$AE,MATCH($B87,'DRAFT 1'!$B:$B,0)),"")</f>
        <v/>
      </c>
      <c r="AK87" s="116">
        <f>IFERROR(INDEX('DRAFT 1'!$AG:$AG,MATCH($B87,'DRAFT 1'!$B:$B,0)),"")</f>
        <v/>
      </c>
      <c r="AL87" s="116">
        <f>IFERROR(INDEX('DRAFT 1'!$AH:$AH,MATCH($B87,'DRAFT 1'!$B:$B,0)),"")</f>
        <v/>
      </c>
      <c r="AM87" s="116">
        <f>IFERROR(INDEX('DRAFT 1'!$AI:$AI,MATCH($B87,'DRAFT 1'!$B:$B,0)),"")</f>
        <v/>
      </c>
      <c r="AN87" s="116">
        <f>IFERROR(INDEX('DRAFT 1'!$AJ:$AJ,MATCH($B87,'DRAFT 1'!$B:$B,0)),"")</f>
        <v/>
      </c>
      <c r="AO87" s="116">
        <f>IFERROR(Y87/AN87,0)</f>
        <v/>
      </c>
      <c r="AP87" s="116">
        <f>IFERROR(INDEX('DRAFT 1'!$AK:$AK,MATCH($B87,'DRAFT 1'!$B:$B,0)),"")</f>
        <v/>
      </c>
      <c r="AR87" s="116" t="inlineStr">
        <is>
          <t>CS</t>
        </is>
      </c>
      <c r="AS87" s="116">
        <f>IFERROR(LOOKUP(2,1/('DRAFT 2'!$D:$D=$B87),'DRAFT 2'!$T:$T),"")</f>
        <v/>
      </c>
      <c r="AT87" s="116">
        <f>IFERROR(LOOKUP(2,1/('DRAFT 2'!$D:$D=$B87),'DRAFT 2'!$A:$A),"")</f>
        <v/>
      </c>
      <c r="AU87" s="116">
        <f>IFERROR(LOOKUP(2,1/('DRAFT 2'!$D:$D=$B87),'DRAFT 2'!$R:$R),"")</f>
        <v/>
      </c>
      <c r="AV87" s="116">
        <f>IFERROR(LOOKUP(2,1/('DRAFT 2'!$D:$D=$B87),'DRAFT 2'!$S:$S),"")</f>
        <v/>
      </c>
      <c r="AW87" s="116" t="inlineStr">
        <is>
          <t>LEAD</t>
        </is>
      </c>
      <c r="AX87" s="116">
        <f>IFERROR(LOOKUP(2,1/('DRAFT 2'!$D:$D=$B87),'DRAFT 2'!$M:$M),"")</f>
        <v/>
      </c>
      <c r="AY87" s="116">
        <f>IFERROR(LOOKUP(2,1/('DRAFT 2'!$D:$D=$B87),'DRAFT 2'!$K:$K),"")</f>
        <v/>
      </c>
      <c r="BG87" s="116">
        <f>IFERROR(LOOKUP(2,1/('DRAFT 2'!$D:$D=$B87),'DRAFT 2'!$U:$U),"")</f>
        <v/>
      </c>
      <c r="BH87" s="116">
        <f>IFERROR(LOOKUP(2,1/('DRAFT 2'!$D:$D=$B87),'DRAFT 2'!$V:$V),"")</f>
        <v/>
      </c>
      <c r="CE87" s="116">
        <f>IFERROR(AJ87,0)</f>
        <v/>
      </c>
      <c r="CF87" s="116">
        <f>IFERROR(LOOKUP(2,1/('DRAFT 2'!$D:$D=$B87)*('DRAFT 2'!$A:$A&gt;=DATE(2026,1,1))*('DRAFT 2'!$A:$A&lt;DATE(2026,IF(1=12,1+1,1+1),1)),'DRAFT 2'!$A:$A),"")</f>
        <v/>
      </c>
      <c r="CG87" s="116">
        <f>COUNTIFS('DRAFT 2'!$D:$D,$B87,'DRAFT 2'!$A:$A,"&gt;="&amp;DATE(2026,1,1),'DRAFT 2'!$A:$A,"&lt;="&amp;DATE(2026,1,7))</f>
        <v/>
      </c>
      <c r="CH87" s="116">
        <f>COUNTIFS('DRAFT 2'!$D:$D,$B87,'DRAFT 2'!$A:$A,"&gt;="&amp;DATE(2026,1,8),'DRAFT 2'!$A:$A,"&lt;="&amp;DATE(2026,1,14))</f>
        <v/>
      </c>
      <c r="CI87" s="116">
        <f>COUNTIFS('DRAFT 2'!$D:$D,$B87,'DRAFT 2'!$A:$A,"&gt;="&amp;DATE(2026,1,15),'DRAFT 2'!$A:$A,"&lt;="&amp;DATE(2026,1,21))</f>
        <v/>
      </c>
      <c r="CJ87" s="116">
        <f>COUNTIFS('DRAFT 2'!$D:$D,$B87,'DRAFT 2'!$A:$A,"&gt;="&amp;DATE(2026,1,22),'DRAFT 2'!$A:$A,"&lt;"&amp;DATE(2026,IF(1=12,1+1,1+1),1))</f>
        <v/>
      </c>
      <c r="CK87" s="116">
        <f>SUM(CG87:CJ87)</f>
        <v/>
      </c>
      <c r="CT87" s="116" t="n">
        <v>0</v>
      </c>
      <c r="CU87" s="116">
        <f>IFERROR(LOOKUP(2,1/('DRAFT 2'!$D:$D=$B87)*('DRAFT 2'!$A:$A&gt;=DATE(2026,2,1))*('DRAFT 2'!$A:$A&lt;DATE(2026,IF(2=12,2+1,2+1),1)),'DRAFT 2'!$A:$A),"")</f>
        <v/>
      </c>
      <c r="CV87" s="116">
        <f>COUNTIFS('DRAFT 2'!$D:$D,$B87,'DRAFT 2'!$A:$A,"&gt;="&amp;DATE(2026,2,1),'DRAFT 2'!$A:$A,"&lt;="&amp;DATE(2026,2,7))</f>
        <v/>
      </c>
      <c r="CW87" s="116">
        <f>COUNTIFS('DRAFT 2'!$D:$D,$B87,'DRAFT 2'!$A:$A,"&gt;="&amp;DATE(2026,2,8),'DRAFT 2'!$A:$A,"&lt;="&amp;DATE(2026,2,14))</f>
        <v/>
      </c>
      <c r="CX87" s="116">
        <f>COUNTIFS('DRAFT 2'!$D:$D,$B87,'DRAFT 2'!$A:$A,"&gt;="&amp;DATE(2026,2,15),'DRAFT 2'!$A:$A,"&lt;="&amp;DATE(2026,2,21))</f>
        <v/>
      </c>
      <c r="CY87" s="116">
        <f>COUNTIFS('DRAFT 2'!$D:$D,$B87,'DRAFT 2'!$A:$A,"&gt;="&amp;DATE(2026,2,22),'DRAFT 2'!$A:$A,"&lt;"&amp;DATE(2026,IF(2=12,2+1,2+1),1))</f>
        <v/>
      </c>
      <c r="CZ87" s="116">
        <f>SUM(CV87:CY87)</f>
        <v/>
      </c>
      <c r="DJ87" s="116">
        <f>IFERROR(LOOKUP(2,1/('DRAFT 2'!$D:$D=$B87)*('DRAFT 2'!$A:$A&gt;=DATE(2026,3,1))*('DRAFT 2'!$A:$A&lt;DATE(2026,IF(3=12,3+1,3+1),1)),'DRAFT 2'!$A:$A),"")</f>
        <v/>
      </c>
      <c r="DK87" s="116">
        <f>COUNTIFS('DRAFT 2'!$D:$D,$B87,'DRAFT 2'!$A:$A,"&gt;="&amp;DATE(2026,3,1),'DRAFT 2'!$A:$A,"&lt;="&amp;DATE(2026,3,7))</f>
        <v/>
      </c>
      <c r="DL87" s="116">
        <f>COUNTIFS('DRAFT 2'!$D:$D,$B87,'DRAFT 2'!$A:$A,"&gt;="&amp;DATE(2026,3,8),'DRAFT 2'!$A:$A,"&lt;="&amp;DATE(2026,3,14))</f>
        <v/>
      </c>
      <c r="DM87" s="116">
        <f>COUNTIFS('DRAFT 2'!$D:$D,$B87,'DRAFT 2'!$A:$A,"&gt;="&amp;DATE(2026,3,15),'DRAFT 2'!$A:$A,"&lt;="&amp;DATE(2026,3,21))</f>
        <v/>
      </c>
      <c r="DN87" s="116">
        <f>COUNTIFS('DRAFT 2'!$D:$D,$B87,'DRAFT 2'!$A:$A,"&gt;="&amp;DATE(2026,3,22),'DRAFT 2'!$A:$A,"&lt;"&amp;DATE(2026,IF(3=12,3+1,3+1),1))</f>
        <v/>
      </c>
      <c r="DO87" s="116">
        <f>SUM(DK87:DN87)</f>
        <v/>
      </c>
      <c r="DZ87" s="116">
        <f>IFERROR(LOOKUP(2,1/('DRAFT 2'!$D:$D=$B87)*('DRAFT 2'!$A:$A&gt;=DATE(2026,4,1))*('DRAFT 2'!$A:$A&lt;DATE(2026,IF(4=12,4+1,4+1),1)),'DRAFT 2'!$A:$A),"")</f>
        <v/>
      </c>
      <c r="EA87" s="116">
        <f>COUNTIFS('DRAFT 2'!$D:$D,$B87,'DRAFT 2'!$A:$A,"&gt;="&amp;DATE(2026,4,1),'DRAFT 2'!$A:$A,"&lt;="&amp;DATE(2026,4,7))</f>
        <v/>
      </c>
      <c r="EB87" s="116">
        <f>COUNTIFS('DRAFT 2'!$D:$D,$B87,'DRAFT 2'!$A:$A,"&gt;="&amp;DATE(2026,4,8),'DRAFT 2'!$A:$A,"&lt;="&amp;DATE(2026,4,14))</f>
        <v/>
      </c>
      <c r="EC87" s="116">
        <f>COUNTIFS('DRAFT 2'!$D:$D,$B87,'DRAFT 2'!$A:$A,"&gt;="&amp;DATE(2026,4,15),'DRAFT 2'!$A:$A,"&lt;="&amp;DATE(2026,4,21))</f>
        <v/>
      </c>
      <c r="ED87" s="116">
        <f>COUNTIFS('DRAFT 2'!$D:$D,$B87,'DRAFT 2'!$A:$A,"&gt;="&amp;DATE(2026,4,22),'DRAFT 2'!$A:$A,"&lt;"&amp;DATE(2026,IF(4=12,4+1,4+1),1))</f>
        <v/>
      </c>
      <c r="EE87" s="116">
        <f>SUM(EA87:ED87)</f>
        <v/>
      </c>
      <c r="EO87" s="116">
        <f>IFERROR(LOOKUP(2,1/('DRAFT 2'!$D:$D=$B87)*('DRAFT 2'!$A:$A&gt;=DATE(2026,5,1))*('DRAFT 2'!$A:$A&lt;DATE(2026,IF(5=12,5+1,5+1),1)),'DRAFT 2'!$A:$A),"")</f>
        <v/>
      </c>
      <c r="EP87" s="116">
        <f>COUNTIFS('DRAFT 2'!$D:$D,$B87,'DRAFT 2'!$A:$A,"&gt;="&amp;DATE(2026,5,1),'DRAFT 2'!$A:$A,"&lt;="&amp;DATE(2026,5,7))</f>
        <v/>
      </c>
      <c r="EQ87" s="116">
        <f>COUNTIFS('DRAFT 2'!$D:$D,$B87,'DRAFT 2'!$A:$A,"&gt;="&amp;DATE(2026,5,8),'DRAFT 2'!$A:$A,"&lt;="&amp;DATE(2026,5,14))</f>
        <v/>
      </c>
      <c r="ER87" s="116">
        <f>COUNTIFS('DRAFT 2'!$D:$D,$B87,'DRAFT 2'!$A:$A,"&gt;="&amp;DATE(2026,5,15),'DRAFT 2'!$A:$A,"&lt;="&amp;DATE(2026,5,21))</f>
        <v/>
      </c>
      <c r="ES87" s="116">
        <f>COUNTIFS('DRAFT 2'!$D:$D,$B87,'DRAFT 2'!$A:$A,"&gt;="&amp;DATE(2026,5,22),'DRAFT 2'!$A:$A,"&lt;"&amp;DATE(2026,IF(5=12,5+1,5+1),1))</f>
        <v/>
      </c>
      <c r="ET87" s="116">
        <f>SUM(EP87:ES87)</f>
        <v/>
      </c>
      <c r="FD87" s="116">
        <f>IFERROR(LOOKUP(2,1/('DRAFT 2'!$D:$D=$B87)*('DRAFT 2'!$A:$A&gt;=DATE(2026,6,1))*('DRAFT 2'!$A:$A&lt;DATE(2026,IF(6=12,6+1,6+1),1)),'DRAFT 2'!$A:$A),"")</f>
        <v/>
      </c>
      <c r="FE87" s="116">
        <f>COUNTIFS('DRAFT 2'!$D:$D,$B87,'DRAFT 2'!$A:$A,"&gt;="&amp;DATE(2026,6,1),'DRAFT 2'!$A:$A,"&lt;="&amp;DATE(2026,6,7))</f>
        <v/>
      </c>
      <c r="FF87" s="116">
        <f>COUNTIFS('DRAFT 2'!$D:$D,$B87,'DRAFT 2'!$A:$A,"&gt;="&amp;DATE(2026,6,8),'DRAFT 2'!$A:$A,"&lt;="&amp;DATE(2026,6,14))</f>
        <v/>
      </c>
      <c r="FG87" s="116">
        <f>COUNTIFS('DRAFT 2'!$D:$D,$B87,'DRAFT 2'!$A:$A,"&gt;="&amp;DATE(2026,6,15),'DRAFT 2'!$A:$A,"&lt;="&amp;DATE(2026,6,21))</f>
        <v/>
      </c>
      <c r="FH87" s="116">
        <f>COUNTIFS('DRAFT 2'!$D:$D,$B87,'DRAFT 2'!$A:$A,"&gt;="&amp;DATE(2026,6,22),'DRAFT 2'!$A:$A,"&lt;"&amp;DATE(2026,IF(6=12,6+1,6+1),1))</f>
        <v/>
      </c>
      <c r="FI87" s="116">
        <f>SUM(FE87:FH87)</f>
        <v/>
      </c>
      <c r="FT87" s="116">
        <f>IFERROR(LOOKUP(2,1/('DRAFT 2'!$D:$D=$B87)*('DRAFT 2'!$A:$A&gt;=DATE(2026,7,1))*('DRAFT 2'!$A:$A&lt;DATE(2026,IF(7=12,7+1,7+1),1)),'DRAFT 2'!$A:$A),"")</f>
        <v/>
      </c>
      <c r="FU87" s="116">
        <f>COUNTIFS('DRAFT 2'!$D:$D,$B87,'DRAFT 2'!$A:$A,"&gt;="&amp;DATE(2026,7,1),'DRAFT 2'!$A:$A,"&lt;="&amp;DATE(2026,7,7))</f>
        <v/>
      </c>
      <c r="FV87" s="116">
        <f>COUNTIFS('DRAFT 2'!$D:$D,$B87,'DRAFT 2'!$A:$A,"&gt;="&amp;DATE(2026,7,8),'DRAFT 2'!$A:$A,"&lt;="&amp;DATE(2026,7,14))</f>
        <v/>
      </c>
      <c r="FW87" s="116">
        <f>COUNTIFS('DRAFT 2'!$D:$D,$B87,'DRAFT 2'!$A:$A,"&gt;="&amp;DATE(2026,7,15),'DRAFT 2'!$A:$A,"&lt;="&amp;DATE(2026,7,21))</f>
        <v/>
      </c>
      <c r="FX87" s="116">
        <f>COUNTIFS('DRAFT 2'!$D:$D,$B87,'DRAFT 2'!$A:$A,"&gt;="&amp;DATE(2026,7,22),'DRAFT 2'!$A:$A,"&lt;"&amp;DATE(2026,IF(7=12,7+1,7+1),1))</f>
        <v/>
      </c>
      <c r="FY87" s="116">
        <f>SUM(FU87:FX87)</f>
        <v/>
      </c>
      <c r="GI87" s="116">
        <f>IFERROR(LOOKUP(2,1/('DRAFT 2'!$D:$D=$B87)*('DRAFT 2'!$A:$A&gt;=DATE(2026,8,1))*('DRAFT 2'!$A:$A&lt;DATE(2026,IF(8=12,8+1,8+1),1)),'DRAFT 2'!$A:$A),"")</f>
        <v/>
      </c>
      <c r="GJ87" s="116">
        <f>COUNTIFS('DRAFT 2'!$D:$D,$B87,'DRAFT 2'!$A:$A,"&gt;="&amp;DATE(2026,8,1),'DRAFT 2'!$A:$A,"&lt;="&amp;DATE(2026,8,7))</f>
        <v/>
      </c>
      <c r="GK87" s="116">
        <f>COUNTIFS('DRAFT 2'!$D:$D,$B87,'DRAFT 2'!$A:$A,"&gt;="&amp;DATE(2026,8,8),'DRAFT 2'!$A:$A,"&lt;="&amp;DATE(2026,8,14))</f>
        <v/>
      </c>
      <c r="GL87" s="116">
        <f>COUNTIFS('DRAFT 2'!$D:$D,$B87,'DRAFT 2'!$A:$A,"&gt;="&amp;DATE(2026,8,15),'DRAFT 2'!$A:$A,"&lt;="&amp;DATE(2026,8,21))</f>
        <v/>
      </c>
      <c r="GM87" s="116">
        <f>COUNTIFS('DRAFT 2'!$D:$D,$B87,'DRAFT 2'!$A:$A,"&gt;="&amp;DATE(2026,8,22),'DRAFT 2'!$A:$A,"&lt;"&amp;DATE(2026,IF(8=12,8+1,8+1),1))</f>
        <v/>
      </c>
      <c r="GN87" s="116">
        <f>SUM(GJ87:GM87)</f>
        <v/>
      </c>
      <c r="GX87" s="116">
        <f>IFERROR(LOOKUP(2,1/('DRAFT 2'!$D:$D=$B87)*('DRAFT 2'!$A:$A&gt;=DATE(2026,9,1))*('DRAFT 2'!$A:$A&lt;DATE(2026,IF(9=12,9+1,9+1),1)),'DRAFT 2'!$A:$A),"")</f>
        <v/>
      </c>
      <c r="GY87" s="116">
        <f>COUNTIFS('DRAFT 2'!$D:$D,$B87,'DRAFT 2'!$A:$A,"&gt;="&amp;DATE(2026,9,1),'DRAFT 2'!$A:$A,"&lt;="&amp;DATE(2026,9,7))</f>
        <v/>
      </c>
      <c r="GZ87" s="116">
        <f>COUNTIFS('DRAFT 2'!$D:$D,$B87,'DRAFT 2'!$A:$A,"&gt;="&amp;DATE(2026,9,8),'DRAFT 2'!$A:$A,"&lt;="&amp;DATE(2026,9,14))</f>
        <v/>
      </c>
      <c r="HA87" s="116">
        <f>COUNTIFS('DRAFT 2'!$D:$D,$B87,'DRAFT 2'!$A:$A,"&gt;="&amp;DATE(2026,9,15),'DRAFT 2'!$A:$A,"&lt;="&amp;DATE(2026,9,21))</f>
        <v/>
      </c>
      <c r="HB87" s="116">
        <f>COUNTIFS('DRAFT 2'!$D:$D,$B87,'DRAFT 2'!$A:$A,"&gt;="&amp;DATE(2026,9,22),'DRAFT 2'!$A:$A,"&lt;"&amp;DATE(2026,IF(9=12,9+1,9+1),1))</f>
        <v/>
      </c>
      <c r="HC87" s="116">
        <f>SUM(GY87:HB87)</f>
        <v/>
      </c>
      <c r="HN87" s="116">
        <f>IFERROR(LOOKUP(2,1/('DRAFT 2'!$D:$D=$B87)*('DRAFT 2'!$A:$A&gt;=DATE(2026,10,1))*('DRAFT 2'!$A:$A&lt;DATE(2026,IF(10=12,10+1,10+1),1)),'DRAFT 2'!$A:$A),"")</f>
        <v/>
      </c>
      <c r="HO87" s="116">
        <f>COUNTIFS('DRAFT 2'!$D:$D,$B87,'DRAFT 2'!$A:$A,"&gt;="&amp;DATE(2026,10,1),'DRAFT 2'!$A:$A,"&lt;="&amp;DATE(2026,10,7))</f>
        <v/>
      </c>
      <c r="HP87" s="116">
        <f>COUNTIFS('DRAFT 2'!$D:$D,$B87,'DRAFT 2'!$A:$A,"&gt;="&amp;DATE(2026,10,8),'DRAFT 2'!$A:$A,"&lt;="&amp;DATE(2026,10,14))</f>
        <v/>
      </c>
      <c r="HQ87" s="116">
        <f>COUNTIFS('DRAFT 2'!$D:$D,$B87,'DRAFT 2'!$A:$A,"&gt;="&amp;DATE(2026,10,15),'DRAFT 2'!$A:$A,"&lt;="&amp;DATE(2026,10,21))</f>
        <v/>
      </c>
      <c r="HR87" s="116">
        <f>COUNTIFS('DRAFT 2'!$D:$D,$B87,'DRAFT 2'!$A:$A,"&gt;="&amp;DATE(2026,10,22),'DRAFT 2'!$A:$A,"&lt;"&amp;DATE(2026,IF(10=12,10+1,10+1),1))</f>
        <v/>
      </c>
      <c r="HS87" s="116">
        <f>SUM(HO87:HR87)</f>
        <v/>
      </c>
      <c r="IC87" s="116">
        <f>IFERROR(LOOKUP(2,1/('DRAFT 2'!$D:$D=$B87)*('DRAFT 2'!$A:$A&gt;=DATE(2026,11,1))*('DRAFT 2'!$A:$A&lt;DATE(2026,IF(11=12,11+1,11+1),1)),'DRAFT 2'!$A:$A),"")</f>
        <v/>
      </c>
      <c r="ID87" s="116">
        <f>COUNTIFS('DRAFT 2'!$D:$D,$B87,'DRAFT 2'!$A:$A,"&gt;="&amp;DATE(2026,11,1),'DRAFT 2'!$A:$A,"&lt;="&amp;DATE(2026,11,7))</f>
        <v/>
      </c>
      <c r="IE87" s="116">
        <f>COUNTIFS('DRAFT 2'!$D:$D,$B87,'DRAFT 2'!$A:$A,"&gt;="&amp;DATE(2026,11,8),'DRAFT 2'!$A:$A,"&lt;="&amp;DATE(2026,11,14))</f>
        <v/>
      </c>
      <c r="IF87" s="116">
        <f>COUNTIFS('DRAFT 2'!$D:$D,$B87,'DRAFT 2'!$A:$A,"&gt;="&amp;DATE(2026,11,15),'DRAFT 2'!$A:$A,"&lt;="&amp;DATE(2026,11,21))</f>
        <v/>
      </c>
      <c r="IG87" s="116">
        <f>COUNTIFS('DRAFT 2'!$D:$D,$B87,'DRAFT 2'!$A:$A,"&gt;="&amp;DATE(2026,11,22),'DRAFT 2'!$A:$A,"&lt;"&amp;DATE(2026,IF(11=12,11+1,11+1),1))</f>
        <v/>
      </c>
      <c r="IH87" s="116">
        <f>SUM(ID87:IG87)</f>
        <v/>
      </c>
      <c r="IR87" s="116">
        <f>IFERROR(LOOKUP(2,1/('DRAFT 2'!$D:$D=$B87)*('DRAFT 2'!$A:$A&gt;=DATE(2026,12,1))*('DRAFT 2'!$A:$A&lt;DATE(2026,IF(12=12,12+1,12+1),1)),'DRAFT 2'!$A:$A),"")</f>
        <v/>
      </c>
      <c r="IS87" s="116">
        <f>COUNTIFS('DRAFT 2'!$D:$D,$B87,'DRAFT 2'!$A:$A,"&gt;="&amp;DATE(2026,12,1),'DRAFT 2'!$A:$A,"&lt;="&amp;DATE(2026,12,7))</f>
        <v/>
      </c>
      <c r="IT87" s="116">
        <f>COUNTIFS('DRAFT 2'!$D:$D,$B87,'DRAFT 2'!$A:$A,"&gt;="&amp;DATE(2026,12,8),'DRAFT 2'!$A:$A,"&lt;="&amp;DATE(2026,12,14))</f>
        <v/>
      </c>
      <c r="IU87" s="116">
        <f>COUNTIFS('DRAFT 2'!$D:$D,$B87,'DRAFT 2'!$A:$A,"&gt;="&amp;DATE(2026,12,15),'DRAFT 2'!$A:$A,"&lt;="&amp;DATE(2026,12,21))</f>
        <v/>
      </c>
      <c r="IV87" s="116">
        <f>COUNTIFS('DRAFT 2'!$D:$D,$B87,'DRAFT 2'!$A:$A,"&gt;="&amp;DATE(2026,12,22),'DRAFT 2'!$A:$A,"&lt;"&amp;DATE(2026,IF(12=12,12+1,12+1),1))</f>
        <v/>
      </c>
      <c r="IW87" s="116">
        <f>SUM(IS87:IV87)</f>
        <v/>
      </c>
    </row>
    <row r="88">
      <c r="A88" s="116">
        <f>IFERROR(INDEX('DRAFT 1'!$A:$A,MATCH($B88,'DRAFT 1'!$B:$B,0)),"")</f>
        <v/>
      </c>
      <c r="C88" s="116">
        <f>IFERROR(INDEX('DRAFT 1'!$C:$C,MATCH($B88,'DRAFT 1'!$B:$B,0)),"")</f>
        <v/>
      </c>
      <c r="D88" s="116">
        <f>IFERROR(INDEX('DRAFT 1'!$D:$D,MATCH($B88,'DRAFT 1'!$B:$B,0)),"")</f>
        <v/>
      </c>
      <c r="E88" s="116">
        <f>IFERROR(INDEX('DRAFT 1'!$E:$E,MATCH($B88,'DRAFT 1'!$B:$B,0)),"")</f>
        <v/>
      </c>
      <c r="F88" s="116">
        <f>IFERROR(INDEX('DRAFT 1'!$F:$F,MATCH($B88,'DRAFT 1'!$B:$B,0)),"")</f>
        <v/>
      </c>
      <c r="G88" s="116">
        <f>IFERROR(INDEX('DRAFT 1'!$G:$G,MATCH($B88,'DRAFT 1'!$B:$B,0)),"")</f>
        <v/>
      </c>
      <c r="H88" s="116">
        <f>IFERROR(INDEX('DRAFT 1'!$H:$H,MATCH($B88,'DRAFT 1'!$B:$B,0)),"")</f>
        <v/>
      </c>
      <c r="I88" s="116" t="inlineStr">
        <is>
          <t>DEMAIS CLIENTES</t>
        </is>
      </c>
      <c r="K88" s="116">
        <f>IFERROR(INDEX('DRAFT 1'!$AL:$AL,MATCH($B88,'DRAFT 1'!$B:$B,0)),"")</f>
        <v/>
      </c>
      <c r="L88" s="116">
        <f>IFERROR(INDEX('DRAFT 1'!$J:$J,MATCH($B88,'DRAFT 1'!$B:$B,0)),"")</f>
        <v/>
      </c>
      <c r="M88" s="116">
        <f>IFERROR(INDEX('DRAFT 1'!$K:$K,MATCH($B88,'DRAFT 1'!$B:$B,0)),"")</f>
        <v/>
      </c>
      <c r="N88" s="116" t="inlineStr">
        <is>
          <t>ATIVO</t>
        </is>
      </c>
      <c r="P88" s="116">
        <f>IFERROR(INDEX('DRAFT 1'!$L:$L,MATCH($B88,'DRAFT 1'!$B:$B,0)),"")</f>
        <v/>
      </c>
      <c r="Q88" s="116">
        <f>IFERROR(INDEX('DRAFT 1'!$M:$M,MATCH($B88,'DRAFT 1'!$B:$B,0)),"")</f>
        <v/>
      </c>
      <c r="R88" s="116">
        <f>IFERROR(INDEX('DRAFT 1'!$N:$N,MATCH($B88,'DRAFT 1'!$B:$B,0)),"")</f>
        <v/>
      </c>
      <c r="S88" s="116">
        <f>IFERROR(INDEX('DRAFT 1'!$O:$O,MATCH($B88,'DRAFT 1'!$B:$B,0)),"")</f>
        <v/>
      </c>
      <c r="T88" s="116">
        <f>IFERROR(INDEX('DRAFT 1'!$P:$P,MATCH($B88,'DRAFT 1'!$B:$B,0)),"")</f>
        <v/>
      </c>
      <c r="U88" s="116">
        <f>IFERROR(INDEX('DRAFT 1'!$Q:$Q,MATCH($B88,'DRAFT 1'!$B:$B,0)),"")</f>
        <v/>
      </c>
      <c r="V88" s="116">
        <f>IFERROR(INDEX('DRAFT 1'!$R:$R,MATCH($B88,'DRAFT 1'!$B:$B,0)),"")</f>
        <v/>
      </c>
      <c r="W88" s="116">
        <f>IFERROR(INDEX('DRAFT 1'!$S:$S,MATCH($B88,'DRAFT 1'!$B:$B,0)),"")</f>
        <v/>
      </c>
      <c r="X88" s="116">
        <f>IFERROR(INDEX('DRAFT 1'!$T:$T,MATCH($B88,'DRAFT 1'!$B:$B,0)),"")</f>
        <v/>
      </c>
      <c r="Z88" s="116">
        <f>IFERROR(INDEX('DRAFT 1'!$U:$U,MATCH($B88,'DRAFT 1'!$B:$B,0)),"")</f>
        <v/>
      </c>
      <c r="AA88" s="116">
        <f>IFERROR(INDEX('DRAFT 1'!$V:$V,MATCH($B88,'DRAFT 1'!$B:$B,0)),"")</f>
        <v/>
      </c>
      <c r="AB88" s="116">
        <f>IFERROR(INDEX('DRAFT 1'!$W:$W,MATCH($B88,'DRAFT 1'!$B:$B,0)),"")</f>
        <v/>
      </c>
      <c r="AC88" s="116">
        <f>IFERROR(INDEX('DRAFT 1'!$X:$X,MATCH($B88,'DRAFT 1'!$B:$B,0)),"")</f>
        <v/>
      </c>
      <c r="AD88" s="116">
        <f>IFERROR(INDEX('DRAFT 1'!$Y:$Y,MATCH($B88,'DRAFT 1'!$B:$B,0)),"")</f>
        <v/>
      </c>
      <c r="AE88" s="116">
        <f>IFERROR(INDEX('DRAFT 1'!$Z:$Z,MATCH($B88,'DRAFT 1'!$B:$B,0)),"")</f>
        <v/>
      </c>
      <c r="AF88" s="116">
        <f>IFERROR(INDEX('DRAFT 1'!$AA:$AA,MATCH($B88,'DRAFT 1'!$B:$B,0)),"")</f>
        <v/>
      </c>
      <c r="AG88" s="116">
        <f>IFERROR(INDEX('DRAFT 1'!$AB:$AB,MATCH($B88,'DRAFT 1'!$B:$B,0)),"")</f>
        <v/>
      </c>
      <c r="AH88" s="116">
        <f>IFERROR(INDEX('DRAFT 1'!$AC:$AC,MATCH($B88,'DRAFT 1'!$B:$B,0)),"")</f>
        <v/>
      </c>
      <c r="AI88" s="116">
        <f>IFERROR(INDEX('DRAFT 1'!$AD:$AD,MATCH($B88,'DRAFT 1'!$B:$B,0)),"")</f>
        <v/>
      </c>
      <c r="AJ88" s="116">
        <f>IFERROR(INDEX('DRAFT 1'!$AE:$AE,MATCH($B88,'DRAFT 1'!$B:$B,0)),"")</f>
        <v/>
      </c>
      <c r="AK88" s="116">
        <f>IFERROR(INDEX('DRAFT 1'!$AG:$AG,MATCH($B88,'DRAFT 1'!$B:$B,0)),"")</f>
        <v/>
      </c>
      <c r="AL88" s="116">
        <f>IFERROR(INDEX('DRAFT 1'!$AH:$AH,MATCH($B88,'DRAFT 1'!$B:$B,0)),"")</f>
        <v/>
      </c>
      <c r="AM88" s="116">
        <f>IFERROR(INDEX('DRAFT 1'!$AI:$AI,MATCH($B88,'DRAFT 1'!$B:$B,0)),"")</f>
        <v/>
      </c>
      <c r="AN88" s="116">
        <f>IFERROR(INDEX('DRAFT 1'!$AJ:$AJ,MATCH($B88,'DRAFT 1'!$B:$B,0)),"")</f>
        <v/>
      </c>
      <c r="AO88" s="116">
        <f>IFERROR(Y88/AN88,0)</f>
        <v/>
      </c>
      <c r="AP88" s="116">
        <f>IFERROR(INDEX('DRAFT 1'!$AK:$AK,MATCH($B88,'DRAFT 1'!$B:$B,0)),"")</f>
        <v/>
      </c>
      <c r="AR88" s="116" t="inlineStr">
        <is>
          <t>RECOMPRA</t>
        </is>
      </c>
      <c r="AS88" s="116">
        <f>IFERROR(LOOKUP(2,1/('DRAFT 2'!$D:$D=$B88),'DRAFT 2'!$T:$T),"")</f>
        <v/>
      </c>
      <c r="AT88" s="116">
        <f>IFERROR(LOOKUP(2,1/('DRAFT 2'!$D:$D=$B88),'DRAFT 2'!$A:$A),"")</f>
        <v/>
      </c>
      <c r="AU88" s="116">
        <f>IFERROR(LOOKUP(2,1/('DRAFT 2'!$D:$D=$B88),'DRAFT 2'!$R:$R),"")</f>
        <v/>
      </c>
      <c r="AV88" s="116">
        <f>IFERROR(LOOKUP(2,1/('DRAFT 2'!$D:$D=$B88),'DRAFT 2'!$S:$S),"")</f>
        <v/>
      </c>
      <c r="AW88" s="116" t="inlineStr">
        <is>
          <t>PROSPECT</t>
        </is>
      </c>
      <c r="AX88" s="116">
        <f>IFERROR(LOOKUP(2,1/('DRAFT 2'!$D:$D=$B88),'DRAFT 2'!$M:$M),"")</f>
        <v/>
      </c>
      <c r="AY88" s="116">
        <f>IFERROR(LOOKUP(2,1/('DRAFT 2'!$D:$D=$B88),'DRAFT 2'!$K:$K),"")</f>
        <v/>
      </c>
      <c r="BG88" s="116">
        <f>IFERROR(LOOKUP(2,1/('DRAFT 2'!$D:$D=$B88),'DRAFT 2'!$U:$U),"")</f>
        <v/>
      </c>
      <c r="BH88" s="116">
        <f>IFERROR(LOOKUP(2,1/('DRAFT 2'!$D:$D=$B88),'DRAFT 2'!$V:$V),"")</f>
        <v/>
      </c>
      <c r="CE88" s="116">
        <f>IFERROR(AJ88,0)</f>
        <v/>
      </c>
      <c r="CF88" s="116">
        <f>IFERROR(LOOKUP(2,1/('DRAFT 2'!$D:$D=$B88)*('DRAFT 2'!$A:$A&gt;=DATE(2026,1,1))*('DRAFT 2'!$A:$A&lt;DATE(2026,IF(1=12,1+1,1+1),1)),'DRAFT 2'!$A:$A),"")</f>
        <v/>
      </c>
      <c r="CG88" s="116">
        <f>COUNTIFS('DRAFT 2'!$D:$D,$B88,'DRAFT 2'!$A:$A,"&gt;="&amp;DATE(2026,1,1),'DRAFT 2'!$A:$A,"&lt;="&amp;DATE(2026,1,7))</f>
        <v/>
      </c>
      <c r="CH88" s="116">
        <f>COUNTIFS('DRAFT 2'!$D:$D,$B88,'DRAFT 2'!$A:$A,"&gt;="&amp;DATE(2026,1,8),'DRAFT 2'!$A:$A,"&lt;="&amp;DATE(2026,1,14))</f>
        <v/>
      </c>
      <c r="CI88" s="116">
        <f>COUNTIFS('DRAFT 2'!$D:$D,$B88,'DRAFT 2'!$A:$A,"&gt;="&amp;DATE(2026,1,15),'DRAFT 2'!$A:$A,"&lt;="&amp;DATE(2026,1,21))</f>
        <v/>
      </c>
      <c r="CJ88" s="116">
        <f>COUNTIFS('DRAFT 2'!$D:$D,$B88,'DRAFT 2'!$A:$A,"&gt;="&amp;DATE(2026,1,22),'DRAFT 2'!$A:$A,"&lt;"&amp;DATE(2026,IF(1=12,1+1,1+1),1))</f>
        <v/>
      </c>
      <c r="CK88" s="116">
        <f>SUM(CG88:CJ88)</f>
        <v/>
      </c>
      <c r="CT88" s="116" t="n">
        <v>0</v>
      </c>
      <c r="CU88" s="116">
        <f>IFERROR(LOOKUP(2,1/('DRAFT 2'!$D:$D=$B88)*('DRAFT 2'!$A:$A&gt;=DATE(2026,2,1))*('DRAFT 2'!$A:$A&lt;DATE(2026,IF(2=12,2+1,2+1),1)),'DRAFT 2'!$A:$A),"")</f>
        <v/>
      </c>
      <c r="CV88" s="116">
        <f>COUNTIFS('DRAFT 2'!$D:$D,$B88,'DRAFT 2'!$A:$A,"&gt;="&amp;DATE(2026,2,1),'DRAFT 2'!$A:$A,"&lt;="&amp;DATE(2026,2,7))</f>
        <v/>
      </c>
      <c r="CW88" s="116">
        <f>COUNTIFS('DRAFT 2'!$D:$D,$B88,'DRAFT 2'!$A:$A,"&gt;="&amp;DATE(2026,2,8),'DRAFT 2'!$A:$A,"&lt;="&amp;DATE(2026,2,14))</f>
        <v/>
      </c>
      <c r="CX88" s="116">
        <f>COUNTIFS('DRAFT 2'!$D:$D,$B88,'DRAFT 2'!$A:$A,"&gt;="&amp;DATE(2026,2,15),'DRAFT 2'!$A:$A,"&lt;="&amp;DATE(2026,2,21))</f>
        <v/>
      </c>
      <c r="CY88" s="116">
        <f>COUNTIFS('DRAFT 2'!$D:$D,$B88,'DRAFT 2'!$A:$A,"&gt;="&amp;DATE(2026,2,22),'DRAFT 2'!$A:$A,"&lt;"&amp;DATE(2026,IF(2=12,2+1,2+1),1))</f>
        <v/>
      </c>
      <c r="CZ88" s="116">
        <f>SUM(CV88:CY88)</f>
        <v/>
      </c>
      <c r="DJ88" s="116">
        <f>IFERROR(LOOKUP(2,1/('DRAFT 2'!$D:$D=$B88)*('DRAFT 2'!$A:$A&gt;=DATE(2026,3,1))*('DRAFT 2'!$A:$A&lt;DATE(2026,IF(3=12,3+1,3+1),1)),'DRAFT 2'!$A:$A),"")</f>
        <v/>
      </c>
      <c r="DK88" s="116">
        <f>COUNTIFS('DRAFT 2'!$D:$D,$B88,'DRAFT 2'!$A:$A,"&gt;="&amp;DATE(2026,3,1),'DRAFT 2'!$A:$A,"&lt;="&amp;DATE(2026,3,7))</f>
        <v/>
      </c>
      <c r="DL88" s="116">
        <f>COUNTIFS('DRAFT 2'!$D:$D,$B88,'DRAFT 2'!$A:$A,"&gt;="&amp;DATE(2026,3,8),'DRAFT 2'!$A:$A,"&lt;="&amp;DATE(2026,3,14))</f>
        <v/>
      </c>
      <c r="DM88" s="116">
        <f>COUNTIFS('DRAFT 2'!$D:$D,$B88,'DRAFT 2'!$A:$A,"&gt;="&amp;DATE(2026,3,15),'DRAFT 2'!$A:$A,"&lt;="&amp;DATE(2026,3,21))</f>
        <v/>
      </c>
      <c r="DN88" s="116">
        <f>COUNTIFS('DRAFT 2'!$D:$D,$B88,'DRAFT 2'!$A:$A,"&gt;="&amp;DATE(2026,3,22),'DRAFT 2'!$A:$A,"&lt;"&amp;DATE(2026,IF(3=12,3+1,3+1),1))</f>
        <v/>
      </c>
      <c r="DO88" s="116">
        <f>SUM(DK88:DN88)</f>
        <v/>
      </c>
      <c r="DZ88" s="116">
        <f>IFERROR(LOOKUP(2,1/('DRAFT 2'!$D:$D=$B88)*('DRAFT 2'!$A:$A&gt;=DATE(2026,4,1))*('DRAFT 2'!$A:$A&lt;DATE(2026,IF(4=12,4+1,4+1),1)),'DRAFT 2'!$A:$A),"")</f>
        <v/>
      </c>
      <c r="EA88" s="116">
        <f>COUNTIFS('DRAFT 2'!$D:$D,$B88,'DRAFT 2'!$A:$A,"&gt;="&amp;DATE(2026,4,1),'DRAFT 2'!$A:$A,"&lt;="&amp;DATE(2026,4,7))</f>
        <v/>
      </c>
      <c r="EB88" s="116">
        <f>COUNTIFS('DRAFT 2'!$D:$D,$B88,'DRAFT 2'!$A:$A,"&gt;="&amp;DATE(2026,4,8),'DRAFT 2'!$A:$A,"&lt;="&amp;DATE(2026,4,14))</f>
        <v/>
      </c>
      <c r="EC88" s="116">
        <f>COUNTIFS('DRAFT 2'!$D:$D,$B88,'DRAFT 2'!$A:$A,"&gt;="&amp;DATE(2026,4,15),'DRAFT 2'!$A:$A,"&lt;="&amp;DATE(2026,4,21))</f>
        <v/>
      </c>
      <c r="ED88" s="116">
        <f>COUNTIFS('DRAFT 2'!$D:$D,$B88,'DRAFT 2'!$A:$A,"&gt;="&amp;DATE(2026,4,22),'DRAFT 2'!$A:$A,"&lt;"&amp;DATE(2026,IF(4=12,4+1,4+1),1))</f>
        <v/>
      </c>
      <c r="EE88" s="116">
        <f>SUM(EA88:ED88)</f>
        <v/>
      </c>
      <c r="EO88" s="116">
        <f>IFERROR(LOOKUP(2,1/('DRAFT 2'!$D:$D=$B88)*('DRAFT 2'!$A:$A&gt;=DATE(2026,5,1))*('DRAFT 2'!$A:$A&lt;DATE(2026,IF(5=12,5+1,5+1),1)),'DRAFT 2'!$A:$A),"")</f>
        <v/>
      </c>
      <c r="EP88" s="116">
        <f>COUNTIFS('DRAFT 2'!$D:$D,$B88,'DRAFT 2'!$A:$A,"&gt;="&amp;DATE(2026,5,1),'DRAFT 2'!$A:$A,"&lt;="&amp;DATE(2026,5,7))</f>
        <v/>
      </c>
      <c r="EQ88" s="116">
        <f>COUNTIFS('DRAFT 2'!$D:$D,$B88,'DRAFT 2'!$A:$A,"&gt;="&amp;DATE(2026,5,8),'DRAFT 2'!$A:$A,"&lt;="&amp;DATE(2026,5,14))</f>
        <v/>
      </c>
      <c r="ER88" s="116">
        <f>COUNTIFS('DRAFT 2'!$D:$D,$B88,'DRAFT 2'!$A:$A,"&gt;="&amp;DATE(2026,5,15),'DRAFT 2'!$A:$A,"&lt;="&amp;DATE(2026,5,21))</f>
        <v/>
      </c>
      <c r="ES88" s="116">
        <f>COUNTIFS('DRAFT 2'!$D:$D,$B88,'DRAFT 2'!$A:$A,"&gt;="&amp;DATE(2026,5,22),'DRAFT 2'!$A:$A,"&lt;"&amp;DATE(2026,IF(5=12,5+1,5+1),1))</f>
        <v/>
      </c>
      <c r="ET88" s="116">
        <f>SUM(EP88:ES88)</f>
        <v/>
      </c>
      <c r="FD88" s="116">
        <f>IFERROR(LOOKUP(2,1/('DRAFT 2'!$D:$D=$B88)*('DRAFT 2'!$A:$A&gt;=DATE(2026,6,1))*('DRAFT 2'!$A:$A&lt;DATE(2026,IF(6=12,6+1,6+1),1)),'DRAFT 2'!$A:$A),"")</f>
        <v/>
      </c>
      <c r="FE88" s="116">
        <f>COUNTIFS('DRAFT 2'!$D:$D,$B88,'DRAFT 2'!$A:$A,"&gt;="&amp;DATE(2026,6,1),'DRAFT 2'!$A:$A,"&lt;="&amp;DATE(2026,6,7))</f>
        <v/>
      </c>
      <c r="FF88" s="116">
        <f>COUNTIFS('DRAFT 2'!$D:$D,$B88,'DRAFT 2'!$A:$A,"&gt;="&amp;DATE(2026,6,8),'DRAFT 2'!$A:$A,"&lt;="&amp;DATE(2026,6,14))</f>
        <v/>
      </c>
      <c r="FG88" s="116">
        <f>COUNTIFS('DRAFT 2'!$D:$D,$B88,'DRAFT 2'!$A:$A,"&gt;="&amp;DATE(2026,6,15),'DRAFT 2'!$A:$A,"&lt;="&amp;DATE(2026,6,21))</f>
        <v/>
      </c>
      <c r="FH88" s="116">
        <f>COUNTIFS('DRAFT 2'!$D:$D,$B88,'DRAFT 2'!$A:$A,"&gt;="&amp;DATE(2026,6,22),'DRAFT 2'!$A:$A,"&lt;"&amp;DATE(2026,IF(6=12,6+1,6+1),1))</f>
        <v/>
      </c>
      <c r="FI88" s="116">
        <f>SUM(FE88:FH88)</f>
        <v/>
      </c>
      <c r="FT88" s="116">
        <f>IFERROR(LOOKUP(2,1/('DRAFT 2'!$D:$D=$B88)*('DRAFT 2'!$A:$A&gt;=DATE(2026,7,1))*('DRAFT 2'!$A:$A&lt;DATE(2026,IF(7=12,7+1,7+1),1)),'DRAFT 2'!$A:$A),"")</f>
        <v/>
      </c>
      <c r="FU88" s="116">
        <f>COUNTIFS('DRAFT 2'!$D:$D,$B88,'DRAFT 2'!$A:$A,"&gt;="&amp;DATE(2026,7,1),'DRAFT 2'!$A:$A,"&lt;="&amp;DATE(2026,7,7))</f>
        <v/>
      </c>
      <c r="FV88" s="116">
        <f>COUNTIFS('DRAFT 2'!$D:$D,$B88,'DRAFT 2'!$A:$A,"&gt;="&amp;DATE(2026,7,8),'DRAFT 2'!$A:$A,"&lt;="&amp;DATE(2026,7,14))</f>
        <v/>
      </c>
      <c r="FW88" s="116">
        <f>COUNTIFS('DRAFT 2'!$D:$D,$B88,'DRAFT 2'!$A:$A,"&gt;="&amp;DATE(2026,7,15),'DRAFT 2'!$A:$A,"&lt;="&amp;DATE(2026,7,21))</f>
        <v/>
      </c>
      <c r="FX88" s="116">
        <f>COUNTIFS('DRAFT 2'!$D:$D,$B88,'DRAFT 2'!$A:$A,"&gt;="&amp;DATE(2026,7,22),'DRAFT 2'!$A:$A,"&lt;"&amp;DATE(2026,IF(7=12,7+1,7+1),1))</f>
        <v/>
      </c>
      <c r="FY88" s="116">
        <f>SUM(FU88:FX88)</f>
        <v/>
      </c>
      <c r="GI88" s="116">
        <f>IFERROR(LOOKUP(2,1/('DRAFT 2'!$D:$D=$B88)*('DRAFT 2'!$A:$A&gt;=DATE(2026,8,1))*('DRAFT 2'!$A:$A&lt;DATE(2026,IF(8=12,8+1,8+1),1)),'DRAFT 2'!$A:$A),"")</f>
        <v/>
      </c>
      <c r="GJ88" s="116">
        <f>COUNTIFS('DRAFT 2'!$D:$D,$B88,'DRAFT 2'!$A:$A,"&gt;="&amp;DATE(2026,8,1),'DRAFT 2'!$A:$A,"&lt;="&amp;DATE(2026,8,7))</f>
        <v/>
      </c>
      <c r="GK88" s="116">
        <f>COUNTIFS('DRAFT 2'!$D:$D,$B88,'DRAFT 2'!$A:$A,"&gt;="&amp;DATE(2026,8,8),'DRAFT 2'!$A:$A,"&lt;="&amp;DATE(2026,8,14))</f>
        <v/>
      </c>
      <c r="GL88" s="116">
        <f>COUNTIFS('DRAFT 2'!$D:$D,$B88,'DRAFT 2'!$A:$A,"&gt;="&amp;DATE(2026,8,15),'DRAFT 2'!$A:$A,"&lt;="&amp;DATE(2026,8,21))</f>
        <v/>
      </c>
      <c r="GM88" s="116">
        <f>COUNTIFS('DRAFT 2'!$D:$D,$B88,'DRAFT 2'!$A:$A,"&gt;="&amp;DATE(2026,8,22),'DRAFT 2'!$A:$A,"&lt;"&amp;DATE(2026,IF(8=12,8+1,8+1),1))</f>
        <v/>
      </c>
      <c r="GN88" s="116">
        <f>SUM(GJ88:GM88)</f>
        <v/>
      </c>
      <c r="GX88" s="116">
        <f>IFERROR(LOOKUP(2,1/('DRAFT 2'!$D:$D=$B88)*('DRAFT 2'!$A:$A&gt;=DATE(2026,9,1))*('DRAFT 2'!$A:$A&lt;DATE(2026,IF(9=12,9+1,9+1),1)),'DRAFT 2'!$A:$A),"")</f>
        <v/>
      </c>
      <c r="GY88" s="116">
        <f>COUNTIFS('DRAFT 2'!$D:$D,$B88,'DRAFT 2'!$A:$A,"&gt;="&amp;DATE(2026,9,1),'DRAFT 2'!$A:$A,"&lt;="&amp;DATE(2026,9,7))</f>
        <v/>
      </c>
      <c r="GZ88" s="116">
        <f>COUNTIFS('DRAFT 2'!$D:$D,$B88,'DRAFT 2'!$A:$A,"&gt;="&amp;DATE(2026,9,8),'DRAFT 2'!$A:$A,"&lt;="&amp;DATE(2026,9,14))</f>
        <v/>
      </c>
      <c r="HA88" s="116">
        <f>COUNTIFS('DRAFT 2'!$D:$D,$B88,'DRAFT 2'!$A:$A,"&gt;="&amp;DATE(2026,9,15),'DRAFT 2'!$A:$A,"&lt;="&amp;DATE(2026,9,21))</f>
        <v/>
      </c>
      <c r="HB88" s="116">
        <f>COUNTIFS('DRAFT 2'!$D:$D,$B88,'DRAFT 2'!$A:$A,"&gt;="&amp;DATE(2026,9,22),'DRAFT 2'!$A:$A,"&lt;"&amp;DATE(2026,IF(9=12,9+1,9+1),1))</f>
        <v/>
      </c>
      <c r="HC88" s="116">
        <f>SUM(GY88:HB88)</f>
        <v/>
      </c>
      <c r="HN88" s="116">
        <f>IFERROR(LOOKUP(2,1/('DRAFT 2'!$D:$D=$B88)*('DRAFT 2'!$A:$A&gt;=DATE(2026,10,1))*('DRAFT 2'!$A:$A&lt;DATE(2026,IF(10=12,10+1,10+1),1)),'DRAFT 2'!$A:$A),"")</f>
        <v/>
      </c>
      <c r="HO88" s="116">
        <f>COUNTIFS('DRAFT 2'!$D:$D,$B88,'DRAFT 2'!$A:$A,"&gt;="&amp;DATE(2026,10,1),'DRAFT 2'!$A:$A,"&lt;="&amp;DATE(2026,10,7))</f>
        <v/>
      </c>
      <c r="HP88" s="116">
        <f>COUNTIFS('DRAFT 2'!$D:$D,$B88,'DRAFT 2'!$A:$A,"&gt;="&amp;DATE(2026,10,8),'DRAFT 2'!$A:$A,"&lt;="&amp;DATE(2026,10,14))</f>
        <v/>
      </c>
      <c r="HQ88" s="116">
        <f>COUNTIFS('DRAFT 2'!$D:$D,$B88,'DRAFT 2'!$A:$A,"&gt;="&amp;DATE(2026,10,15),'DRAFT 2'!$A:$A,"&lt;="&amp;DATE(2026,10,21))</f>
        <v/>
      </c>
      <c r="HR88" s="116">
        <f>COUNTIFS('DRAFT 2'!$D:$D,$B88,'DRAFT 2'!$A:$A,"&gt;="&amp;DATE(2026,10,22),'DRAFT 2'!$A:$A,"&lt;"&amp;DATE(2026,IF(10=12,10+1,10+1),1))</f>
        <v/>
      </c>
      <c r="HS88" s="116">
        <f>SUM(HO88:HR88)</f>
        <v/>
      </c>
      <c r="IC88" s="116">
        <f>IFERROR(LOOKUP(2,1/('DRAFT 2'!$D:$D=$B88)*('DRAFT 2'!$A:$A&gt;=DATE(2026,11,1))*('DRAFT 2'!$A:$A&lt;DATE(2026,IF(11=12,11+1,11+1),1)),'DRAFT 2'!$A:$A),"")</f>
        <v/>
      </c>
      <c r="ID88" s="116">
        <f>COUNTIFS('DRAFT 2'!$D:$D,$B88,'DRAFT 2'!$A:$A,"&gt;="&amp;DATE(2026,11,1),'DRAFT 2'!$A:$A,"&lt;="&amp;DATE(2026,11,7))</f>
        <v/>
      </c>
      <c r="IE88" s="116">
        <f>COUNTIFS('DRAFT 2'!$D:$D,$B88,'DRAFT 2'!$A:$A,"&gt;="&amp;DATE(2026,11,8),'DRAFT 2'!$A:$A,"&lt;="&amp;DATE(2026,11,14))</f>
        <v/>
      </c>
      <c r="IF88" s="116">
        <f>COUNTIFS('DRAFT 2'!$D:$D,$B88,'DRAFT 2'!$A:$A,"&gt;="&amp;DATE(2026,11,15),'DRAFT 2'!$A:$A,"&lt;="&amp;DATE(2026,11,21))</f>
        <v/>
      </c>
      <c r="IG88" s="116">
        <f>COUNTIFS('DRAFT 2'!$D:$D,$B88,'DRAFT 2'!$A:$A,"&gt;="&amp;DATE(2026,11,22),'DRAFT 2'!$A:$A,"&lt;"&amp;DATE(2026,IF(11=12,11+1,11+1),1))</f>
        <v/>
      </c>
      <c r="IH88" s="116">
        <f>SUM(ID88:IG88)</f>
        <v/>
      </c>
      <c r="IR88" s="116">
        <f>IFERROR(LOOKUP(2,1/('DRAFT 2'!$D:$D=$B88)*('DRAFT 2'!$A:$A&gt;=DATE(2026,12,1))*('DRAFT 2'!$A:$A&lt;DATE(2026,IF(12=12,12+1,12+1),1)),'DRAFT 2'!$A:$A),"")</f>
        <v/>
      </c>
      <c r="IS88" s="116">
        <f>COUNTIFS('DRAFT 2'!$D:$D,$B88,'DRAFT 2'!$A:$A,"&gt;="&amp;DATE(2026,12,1),'DRAFT 2'!$A:$A,"&lt;="&amp;DATE(2026,12,7))</f>
        <v/>
      </c>
      <c r="IT88" s="116">
        <f>COUNTIFS('DRAFT 2'!$D:$D,$B88,'DRAFT 2'!$A:$A,"&gt;="&amp;DATE(2026,12,8),'DRAFT 2'!$A:$A,"&lt;="&amp;DATE(2026,12,14))</f>
        <v/>
      </c>
      <c r="IU88" s="116">
        <f>COUNTIFS('DRAFT 2'!$D:$D,$B88,'DRAFT 2'!$A:$A,"&gt;="&amp;DATE(2026,12,15),'DRAFT 2'!$A:$A,"&lt;="&amp;DATE(2026,12,21))</f>
        <v/>
      </c>
      <c r="IV88" s="116">
        <f>COUNTIFS('DRAFT 2'!$D:$D,$B88,'DRAFT 2'!$A:$A,"&gt;="&amp;DATE(2026,12,22),'DRAFT 2'!$A:$A,"&lt;"&amp;DATE(2026,IF(12=12,12+1,12+1),1))</f>
        <v/>
      </c>
      <c r="IW88" s="116">
        <f>SUM(IS88:IV88)</f>
        <v/>
      </c>
    </row>
    <row r="89">
      <c r="A89" s="116">
        <f>IFERROR(INDEX('DRAFT 1'!$A:$A,MATCH($B89,'DRAFT 1'!$B:$B,0)),"")</f>
        <v/>
      </c>
      <c r="C89" s="116">
        <f>IFERROR(INDEX('DRAFT 1'!$C:$C,MATCH($B89,'DRAFT 1'!$B:$B,0)),"")</f>
        <v/>
      </c>
      <c r="D89" s="116">
        <f>IFERROR(INDEX('DRAFT 1'!$D:$D,MATCH($B89,'DRAFT 1'!$B:$B,0)),"")</f>
        <v/>
      </c>
      <c r="E89" s="116">
        <f>IFERROR(INDEX('DRAFT 1'!$E:$E,MATCH($B89,'DRAFT 1'!$B:$B,0)),"")</f>
        <v/>
      </c>
      <c r="F89" s="116">
        <f>IFERROR(INDEX('DRAFT 1'!$F:$F,MATCH($B89,'DRAFT 1'!$B:$B,0)),"")</f>
        <v/>
      </c>
      <c r="G89" s="116">
        <f>IFERROR(INDEX('DRAFT 1'!$G:$G,MATCH($B89,'DRAFT 1'!$B:$B,0)),"")</f>
        <v/>
      </c>
      <c r="H89" s="116">
        <f>IFERROR(INDEX('DRAFT 1'!$H:$H,MATCH($B89,'DRAFT 1'!$B:$B,0)),"")</f>
        <v/>
      </c>
      <c r="I89" s="116" t="inlineStr">
        <is>
          <t>VIDA LEVE</t>
        </is>
      </c>
      <c r="K89" s="116">
        <f>IFERROR(INDEX('DRAFT 1'!$AL:$AL,MATCH($B89,'DRAFT 1'!$B:$B,0)),"")</f>
        <v/>
      </c>
      <c r="L89" s="116">
        <f>IFERROR(INDEX('DRAFT 1'!$J:$J,MATCH($B89,'DRAFT 1'!$B:$B,0)),"")</f>
        <v/>
      </c>
      <c r="M89" s="116">
        <f>IFERROR(INDEX('DRAFT 1'!$K:$K,MATCH($B89,'DRAFT 1'!$B:$B,0)),"")</f>
        <v/>
      </c>
      <c r="N89" s="116" t="inlineStr">
        <is>
          <t>ATIVO</t>
        </is>
      </c>
      <c r="P89" s="116">
        <f>IFERROR(INDEX('DRAFT 1'!$L:$L,MATCH($B89,'DRAFT 1'!$B:$B,0)),"")</f>
        <v/>
      </c>
      <c r="Q89" s="116">
        <f>IFERROR(INDEX('DRAFT 1'!$M:$M,MATCH($B89,'DRAFT 1'!$B:$B,0)),"")</f>
        <v/>
      </c>
      <c r="R89" s="116">
        <f>IFERROR(INDEX('DRAFT 1'!$N:$N,MATCH($B89,'DRAFT 1'!$B:$B,0)),"")</f>
        <v/>
      </c>
      <c r="S89" s="116">
        <f>IFERROR(INDEX('DRAFT 1'!$O:$O,MATCH($B89,'DRAFT 1'!$B:$B,0)),"")</f>
        <v/>
      </c>
      <c r="T89" s="116">
        <f>IFERROR(INDEX('DRAFT 1'!$P:$P,MATCH($B89,'DRAFT 1'!$B:$B,0)),"")</f>
        <v/>
      </c>
      <c r="U89" s="116">
        <f>IFERROR(INDEX('DRAFT 1'!$Q:$Q,MATCH($B89,'DRAFT 1'!$B:$B,0)),"")</f>
        <v/>
      </c>
      <c r="V89" s="116">
        <f>IFERROR(INDEX('DRAFT 1'!$R:$R,MATCH($B89,'DRAFT 1'!$B:$B,0)),"")</f>
        <v/>
      </c>
      <c r="W89" s="116">
        <f>IFERROR(INDEX('DRAFT 1'!$S:$S,MATCH($B89,'DRAFT 1'!$B:$B,0)),"")</f>
        <v/>
      </c>
      <c r="X89" s="116">
        <f>IFERROR(INDEX('DRAFT 1'!$T:$T,MATCH($B89,'DRAFT 1'!$B:$B,0)),"")</f>
        <v/>
      </c>
      <c r="Z89" s="116">
        <f>IFERROR(INDEX('DRAFT 1'!$U:$U,MATCH($B89,'DRAFT 1'!$B:$B,0)),"")</f>
        <v/>
      </c>
      <c r="AA89" s="116">
        <f>IFERROR(INDEX('DRAFT 1'!$V:$V,MATCH($B89,'DRAFT 1'!$B:$B,0)),"")</f>
        <v/>
      </c>
      <c r="AB89" s="116">
        <f>IFERROR(INDEX('DRAFT 1'!$W:$W,MATCH($B89,'DRAFT 1'!$B:$B,0)),"")</f>
        <v/>
      </c>
      <c r="AC89" s="116">
        <f>IFERROR(INDEX('DRAFT 1'!$X:$X,MATCH($B89,'DRAFT 1'!$B:$B,0)),"")</f>
        <v/>
      </c>
      <c r="AD89" s="116">
        <f>IFERROR(INDEX('DRAFT 1'!$Y:$Y,MATCH($B89,'DRAFT 1'!$B:$B,0)),"")</f>
        <v/>
      </c>
      <c r="AE89" s="116">
        <f>IFERROR(INDEX('DRAFT 1'!$Z:$Z,MATCH($B89,'DRAFT 1'!$B:$B,0)),"")</f>
        <v/>
      </c>
      <c r="AF89" s="116">
        <f>IFERROR(INDEX('DRAFT 1'!$AA:$AA,MATCH($B89,'DRAFT 1'!$B:$B,0)),"")</f>
        <v/>
      </c>
      <c r="AG89" s="116">
        <f>IFERROR(INDEX('DRAFT 1'!$AB:$AB,MATCH($B89,'DRAFT 1'!$B:$B,0)),"")</f>
        <v/>
      </c>
      <c r="AH89" s="116">
        <f>IFERROR(INDEX('DRAFT 1'!$AC:$AC,MATCH($B89,'DRAFT 1'!$B:$B,0)),"")</f>
        <v/>
      </c>
      <c r="AI89" s="116">
        <f>IFERROR(INDEX('DRAFT 1'!$AD:$AD,MATCH($B89,'DRAFT 1'!$B:$B,0)),"")</f>
        <v/>
      </c>
      <c r="AJ89" s="116">
        <f>IFERROR(INDEX('DRAFT 1'!$AE:$AE,MATCH($B89,'DRAFT 1'!$B:$B,0)),"")</f>
        <v/>
      </c>
      <c r="AK89" s="116">
        <f>IFERROR(INDEX('DRAFT 1'!$AG:$AG,MATCH($B89,'DRAFT 1'!$B:$B,0)),"")</f>
        <v/>
      </c>
      <c r="AL89" s="116">
        <f>IFERROR(INDEX('DRAFT 1'!$AH:$AH,MATCH($B89,'DRAFT 1'!$B:$B,0)),"")</f>
        <v/>
      </c>
      <c r="AM89" s="116">
        <f>IFERROR(INDEX('DRAFT 1'!$AI:$AI,MATCH($B89,'DRAFT 1'!$B:$B,0)),"")</f>
        <v/>
      </c>
      <c r="AN89" s="116">
        <f>IFERROR(INDEX('DRAFT 1'!$AJ:$AJ,MATCH($B89,'DRAFT 1'!$B:$B,0)),"")</f>
        <v/>
      </c>
      <c r="AO89" s="116">
        <f>IFERROR(Y89/AN89,0)</f>
        <v/>
      </c>
      <c r="AP89" s="116">
        <f>IFERROR(INDEX('DRAFT 1'!$AK:$AK,MATCH($B89,'DRAFT 1'!$B:$B,0)),"")</f>
        <v/>
      </c>
      <c r="AR89" s="116" t="inlineStr">
        <is>
          <t>ORÇAMENTO</t>
        </is>
      </c>
      <c r="AS89" s="116">
        <f>IFERROR(LOOKUP(2,1/('DRAFT 2'!$D:$D=$B89),'DRAFT 2'!$T:$T),"")</f>
        <v/>
      </c>
      <c r="AT89" s="116">
        <f>IFERROR(LOOKUP(2,1/('DRAFT 2'!$D:$D=$B89),'DRAFT 2'!$A:$A),"")</f>
        <v/>
      </c>
      <c r="AU89" s="116">
        <f>IFERROR(LOOKUP(2,1/('DRAFT 2'!$D:$D=$B89),'DRAFT 2'!$R:$R),"")</f>
        <v/>
      </c>
      <c r="AV89" s="116">
        <f>IFERROR(LOOKUP(2,1/('DRAFT 2'!$D:$D=$B89),'DRAFT 2'!$S:$S),"")</f>
        <v/>
      </c>
      <c r="AW89" s="116" t="inlineStr">
        <is>
          <t>NOVO</t>
        </is>
      </c>
      <c r="AX89" s="116">
        <f>IFERROR(LOOKUP(2,1/('DRAFT 2'!$D:$D=$B89),'DRAFT 2'!$M:$M),"")</f>
        <v/>
      </c>
      <c r="AY89" s="116">
        <f>IFERROR(LOOKUP(2,1/('DRAFT 2'!$D:$D=$B89),'DRAFT 2'!$K:$K),"")</f>
        <v/>
      </c>
      <c r="BG89" s="116">
        <f>IFERROR(LOOKUP(2,1/('DRAFT 2'!$D:$D=$B89),'DRAFT 2'!$U:$U),"")</f>
        <v/>
      </c>
      <c r="BH89" s="116">
        <f>IFERROR(LOOKUP(2,1/('DRAFT 2'!$D:$D=$B89),'DRAFT 2'!$V:$V),"")</f>
        <v/>
      </c>
      <c r="CE89" s="116">
        <f>IFERROR(AJ89,0)</f>
        <v/>
      </c>
      <c r="CF89" s="116">
        <f>IFERROR(LOOKUP(2,1/('DRAFT 2'!$D:$D=$B89)*('DRAFT 2'!$A:$A&gt;=DATE(2026,1,1))*('DRAFT 2'!$A:$A&lt;DATE(2026,IF(1=12,1+1,1+1),1)),'DRAFT 2'!$A:$A),"")</f>
        <v/>
      </c>
      <c r="CG89" s="116">
        <f>COUNTIFS('DRAFT 2'!$D:$D,$B89,'DRAFT 2'!$A:$A,"&gt;="&amp;DATE(2026,1,1),'DRAFT 2'!$A:$A,"&lt;="&amp;DATE(2026,1,7))</f>
        <v/>
      </c>
      <c r="CH89" s="116">
        <f>COUNTIFS('DRAFT 2'!$D:$D,$B89,'DRAFT 2'!$A:$A,"&gt;="&amp;DATE(2026,1,8),'DRAFT 2'!$A:$A,"&lt;="&amp;DATE(2026,1,14))</f>
        <v/>
      </c>
      <c r="CI89" s="116">
        <f>COUNTIFS('DRAFT 2'!$D:$D,$B89,'DRAFT 2'!$A:$A,"&gt;="&amp;DATE(2026,1,15),'DRAFT 2'!$A:$A,"&lt;="&amp;DATE(2026,1,21))</f>
        <v/>
      </c>
      <c r="CJ89" s="116">
        <f>COUNTIFS('DRAFT 2'!$D:$D,$B89,'DRAFT 2'!$A:$A,"&gt;="&amp;DATE(2026,1,22),'DRAFT 2'!$A:$A,"&lt;"&amp;DATE(2026,IF(1=12,1+1,1+1),1))</f>
        <v/>
      </c>
      <c r="CK89" s="116">
        <f>SUM(CG89:CJ89)</f>
        <v/>
      </c>
      <c r="CT89" s="116" t="n">
        <v>0</v>
      </c>
      <c r="CU89" s="116">
        <f>IFERROR(LOOKUP(2,1/('DRAFT 2'!$D:$D=$B89)*('DRAFT 2'!$A:$A&gt;=DATE(2026,2,1))*('DRAFT 2'!$A:$A&lt;DATE(2026,IF(2=12,2+1,2+1),1)),'DRAFT 2'!$A:$A),"")</f>
        <v/>
      </c>
      <c r="CV89" s="116">
        <f>COUNTIFS('DRAFT 2'!$D:$D,$B89,'DRAFT 2'!$A:$A,"&gt;="&amp;DATE(2026,2,1),'DRAFT 2'!$A:$A,"&lt;="&amp;DATE(2026,2,7))</f>
        <v/>
      </c>
      <c r="CW89" s="116">
        <f>COUNTIFS('DRAFT 2'!$D:$D,$B89,'DRAFT 2'!$A:$A,"&gt;="&amp;DATE(2026,2,8),'DRAFT 2'!$A:$A,"&lt;="&amp;DATE(2026,2,14))</f>
        <v/>
      </c>
      <c r="CX89" s="116">
        <f>COUNTIFS('DRAFT 2'!$D:$D,$B89,'DRAFT 2'!$A:$A,"&gt;="&amp;DATE(2026,2,15),'DRAFT 2'!$A:$A,"&lt;="&amp;DATE(2026,2,21))</f>
        <v/>
      </c>
      <c r="CY89" s="116">
        <f>COUNTIFS('DRAFT 2'!$D:$D,$B89,'DRAFT 2'!$A:$A,"&gt;="&amp;DATE(2026,2,22),'DRAFT 2'!$A:$A,"&lt;"&amp;DATE(2026,IF(2=12,2+1,2+1),1))</f>
        <v/>
      </c>
      <c r="CZ89" s="116">
        <f>SUM(CV89:CY89)</f>
        <v/>
      </c>
      <c r="DJ89" s="116">
        <f>IFERROR(LOOKUP(2,1/('DRAFT 2'!$D:$D=$B89)*('DRAFT 2'!$A:$A&gt;=DATE(2026,3,1))*('DRAFT 2'!$A:$A&lt;DATE(2026,IF(3=12,3+1,3+1),1)),'DRAFT 2'!$A:$A),"")</f>
        <v/>
      </c>
      <c r="DK89" s="116">
        <f>COUNTIFS('DRAFT 2'!$D:$D,$B89,'DRAFT 2'!$A:$A,"&gt;="&amp;DATE(2026,3,1),'DRAFT 2'!$A:$A,"&lt;="&amp;DATE(2026,3,7))</f>
        <v/>
      </c>
      <c r="DL89" s="116">
        <f>COUNTIFS('DRAFT 2'!$D:$D,$B89,'DRAFT 2'!$A:$A,"&gt;="&amp;DATE(2026,3,8),'DRAFT 2'!$A:$A,"&lt;="&amp;DATE(2026,3,14))</f>
        <v/>
      </c>
      <c r="DM89" s="116">
        <f>COUNTIFS('DRAFT 2'!$D:$D,$B89,'DRAFT 2'!$A:$A,"&gt;="&amp;DATE(2026,3,15),'DRAFT 2'!$A:$A,"&lt;="&amp;DATE(2026,3,21))</f>
        <v/>
      </c>
      <c r="DN89" s="116">
        <f>COUNTIFS('DRAFT 2'!$D:$D,$B89,'DRAFT 2'!$A:$A,"&gt;="&amp;DATE(2026,3,22),'DRAFT 2'!$A:$A,"&lt;"&amp;DATE(2026,IF(3=12,3+1,3+1),1))</f>
        <v/>
      </c>
      <c r="DO89" s="116">
        <f>SUM(DK89:DN89)</f>
        <v/>
      </c>
      <c r="DZ89" s="116">
        <f>IFERROR(LOOKUP(2,1/('DRAFT 2'!$D:$D=$B89)*('DRAFT 2'!$A:$A&gt;=DATE(2026,4,1))*('DRAFT 2'!$A:$A&lt;DATE(2026,IF(4=12,4+1,4+1),1)),'DRAFT 2'!$A:$A),"")</f>
        <v/>
      </c>
      <c r="EA89" s="116">
        <f>COUNTIFS('DRAFT 2'!$D:$D,$B89,'DRAFT 2'!$A:$A,"&gt;="&amp;DATE(2026,4,1),'DRAFT 2'!$A:$A,"&lt;="&amp;DATE(2026,4,7))</f>
        <v/>
      </c>
      <c r="EB89" s="116">
        <f>COUNTIFS('DRAFT 2'!$D:$D,$B89,'DRAFT 2'!$A:$A,"&gt;="&amp;DATE(2026,4,8),'DRAFT 2'!$A:$A,"&lt;="&amp;DATE(2026,4,14))</f>
        <v/>
      </c>
      <c r="EC89" s="116">
        <f>COUNTIFS('DRAFT 2'!$D:$D,$B89,'DRAFT 2'!$A:$A,"&gt;="&amp;DATE(2026,4,15),'DRAFT 2'!$A:$A,"&lt;="&amp;DATE(2026,4,21))</f>
        <v/>
      </c>
      <c r="ED89" s="116">
        <f>COUNTIFS('DRAFT 2'!$D:$D,$B89,'DRAFT 2'!$A:$A,"&gt;="&amp;DATE(2026,4,22),'DRAFT 2'!$A:$A,"&lt;"&amp;DATE(2026,IF(4=12,4+1,4+1),1))</f>
        <v/>
      </c>
      <c r="EE89" s="116">
        <f>SUM(EA89:ED89)</f>
        <v/>
      </c>
      <c r="EO89" s="116">
        <f>IFERROR(LOOKUP(2,1/('DRAFT 2'!$D:$D=$B89)*('DRAFT 2'!$A:$A&gt;=DATE(2026,5,1))*('DRAFT 2'!$A:$A&lt;DATE(2026,IF(5=12,5+1,5+1),1)),'DRAFT 2'!$A:$A),"")</f>
        <v/>
      </c>
      <c r="EP89" s="116">
        <f>COUNTIFS('DRAFT 2'!$D:$D,$B89,'DRAFT 2'!$A:$A,"&gt;="&amp;DATE(2026,5,1),'DRAFT 2'!$A:$A,"&lt;="&amp;DATE(2026,5,7))</f>
        <v/>
      </c>
      <c r="EQ89" s="116">
        <f>COUNTIFS('DRAFT 2'!$D:$D,$B89,'DRAFT 2'!$A:$A,"&gt;="&amp;DATE(2026,5,8),'DRAFT 2'!$A:$A,"&lt;="&amp;DATE(2026,5,14))</f>
        <v/>
      </c>
      <c r="ER89" s="116">
        <f>COUNTIFS('DRAFT 2'!$D:$D,$B89,'DRAFT 2'!$A:$A,"&gt;="&amp;DATE(2026,5,15),'DRAFT 2'!$A:$A,"&lt;="&amp;DATE(2026,5,21))</f>
        <v/>
      </c>
      <c r="ES89" s="116">
        <f>COUNTIFS('DRAFT 2'!$D:$D,$B89,'DRAFT 2'!$A:$A,"&gt;="&amp;DATE(2026,5,22),'DRAFT 2'!$A:$A,"&lt;"&amp;DATE(2026,IF(5=12,5+1,5+1),1))</f>
        <v/>
      </c>
      <c r="ET89" s="116">
        <f>SUM(EP89:ES89)</f>
        <v/>
      </c>
      <c r="FD89" s="116">
        <f>IFERROR(LOOKUP(2,1/('DRAFT 2'!$D:$D=$B89)*('DRAFT 2'!$A:$A&gt;=DATE(2026,6,1))*('DRAFT 2'!$A:$A&lt;DATE(2026,IF(6=12,6+1,6+1),1)),'DRAFT 2'!$A:$A),"")</f>
        <v/>
      </c>
      <c r="FE89" s="116">
        <f>COUNTIFS('DRAFT 2'!$D:$D,$B89,'DRAFT 2'!$A:$A,"&gt;="&amp;DATE(2026,6,1),'DRAFT 2'!$A:$A,"&lt;="&amp;DATE(2026,6,7))</f>
        <v/>
      </c>
      <c r="FF89" s="116">
        <f>COUNTIFS('DRAFT 2'!$D:$D,$B89,'DRAFT 2'!$A:$A,"&gt;="&amp;DATE(2026,6,8),'DRAFT 2'!$A:$A,"&lt;="&amp;DATE(2026,6,14))</f>
        <v/>
      </c>
      <c r="FG89" s="116">
        <f>COUNTIFS('DRAFT 2'!$D:$D,$B89,'DRAFT 2'!$A:$A,"&gt;="&amp;DATE(2026,6,15),'DRAFT 2'!$A:$A,"&lt;="&amp;DATE(2026,6,21))</f>
        <v/>
      </c>
      <c r="FH89" s="116">
        <f>COUNTIFS('DRAFT 2'!$D:$D,$B89,'DRAFT 2'!$A:$A,"&gt;="&amp;DATE(2026,6,22),'DRAFT 2'!$A:$A,"&lt;"&amp;DATE(2026,IF(6=12,6+1,6+1),1))</f>
        <v/>
      </c>
      <c r="FI89" s="116">
        <f>SUM(FE89:FH89)</f>
        <v/>
      </c>
      <c r="FT89" s="116">
        <f>IFERROR(LOOKUP(2,1/('DRAFT 2'!$D:$D=$B89)*('DRAFT 2'!$A:$A&gt;=DATE(2026,7,1))*('DRAFT 2'!$A:$A&lt;DATE(2026,IF(7=12,7+1,7+1),1)),'DRAFT 2'!$A:$A),"")</f>
        <v/>
      </c>
      <c r="FU89" s="116">
        <f>COUNTIFS('DRAFT 2'!$D:$D,$B89,'DRAFT 2'!$A:$A,"&gt;="&amp;DATE(2026,7,1),'DRAFT 2'!$A:$A,"&lt;="&amp;DATE(2026,7,7))</f>
        <v/>
      </c>
      <c r="FV89" s="116">
        <f>COUNTIFS('DRAFT 2'!$D:$D,$B89,'DRAFT 2'!$A:$A,"&gt;="&amp;DATE(2026,7,8),'DRAFT 2'!$A:$A,"&lt;="&amp;DATE(2026,7,14))</f>
        <v/>
      </c>
      <c r="FW89" s="116">
        <f>COUNTIFS('DRAFT 2'!$D:$D,$B89,'DRAFT 2'!$A:$A,"&gt;="&amp;DATE(2026,7,15),'DRAFT 2'!$A:$A,"&lt;="&amp;DATE(2026,7,21))</f>
        <v/>
      </c>
      <c r="FX89" s="116">
        <f>COUNTIFS('DRAFT 2'!$D:$D,$B89,'DRAFT 2'!$A:$A,"&gt;="&amp;DATE(2026,7,22),'DRAFT 2'!$A:$A,"&lt;"&amp;DATE(2026,IF(7=12,7+1,7+1),1))</f>
        <v/>
      </c>
      <c r="FY89" s="116">
        <f>SUM(FU89:FX89)</f>
        <v/>
      </c>
      <c r="GI89" s="116">
        <f>IFERROR(LOOKUP(2,1/('DRAFT 2'!$D:$D=$B89)*('DRAFT 2'!$A:$A&gt;=DATE(2026,8,1))*('DRAFT 2'!$A:$A&lt;DATE(2026,IF(8=12,8+1,8+1),1)),'DRAFT 2'!$A:$A),"")</f>
        <v/>
      </c>
      <c r="GJ89" s="116">
        <f>COUNTIFS('DRAFT 2'!$D:$D,$B89,'DRAFT 2'!$A:$A,"&gt;="&amp;DATE(2026,8,1),'DRAFT 2'!$A:$A,"&lt;="&amp;DATE(2026,8,7))</f>
        <v/>
      </c>
      <c r="GK89" s="116">
        <f>COUNTIFS('DRAFT 2'!$D:$D,$B89,'DRAFT 2'!$A:$A,"&gt;="&amp;DATE(2026,8,8),'DRAFT 2'!$A:$A,"&lt;="&amp;DATE(2026,8,14))</f>
        <v/>
      </c>
      <c r="GL89" s="116">
        <f>COUNTIFS('DRAFT 2'!$D:$D,$B89,'DRAFT 2'!$A:$A,"&gt;="&amp;DATE(2026,8,15),'DRAFT 2'!$A:$A,"&lt;="&amp;DATE(2026,8,21))</f>
        <v/>
      </c>
      <c r="GM89" s="116">
        <f>COUNTIFS('DRAFT 2'!$D:$D,$B89,'DRAFT 2'!$A:$A,"&gt;="&amp;DATE(2026,8,22),'DRAFT 2'!$A:$A,"&lt;"&amp;DATE(2026,IF(8=12,8+1,8+1),1))</f>
        <v/>
      </c>
      <c r="GN89" s="116">
        <f>SUM(GJ89:GM89)</f>
        <v/>
      </c>
      <c r="GX89" s="116">
        <f>IFERROR(LOOKUP(2,1/('DRAFT 2'!$D:$D=$B89)*('DRAFT 2'!$A:$A&gt;=DATE(2026,9,1))*('DRAFT 2'!$A:$A&lt;DATE(2026,IF(9=12,9+1,9+1),1)),'DRAFT 2'!$A:$A),"")</f>
        <v/>
      </c>
      <c r="GY89" s="116">
        <f>COUNTIFS('DRAFT 2'!$D:$D,$B89,'DRAFT 2'!$A:$A,"&gt;="&amp;DATE(2026,9,1),'DRAFT 2'!$A:$A,"&lt;="&amp;DATE(2026,9,7))</f>
        <v/>
      </c>
      <c r="GZ89" s="116">
        <f>COUNTIFS('DRAFT 2'!$D:$D,$B89,'DRAFT 2'!$A:$A,"&gt;="&amp;DATE(2026,9,8),'DRAFT 2'!$A:$A,"&lt;="&amp;DATE(2026,9,14))</f>
        <v/>
      </c>
      <c r="HA89" s="116">
        <f>COUNTIFS('DRAFT 2'!$D:$D,$B89,'DRAFT 2'!$A:$A,"&gt;="&amp;DATE(2026,9,15),'DRAFT 2'!$A:$A,"&lt;="&amp;DATE(2026,9,21))</f>
        <v/>
      </c>
      <c r="HB89" s="116">
        <f>COUNTIFS('DRAFT 2'!$D:$D,$B89,'DRAFT 2'!$A:$A,"&gt;="&amp;DATE(2026,9,22),'DRAFT 2'!$A:$A,"&lt;"&amp;DATE(2026,IF(9=12,9+1,9+1),1))</f>
        <v/>
      </c>
      <c r="HC89" s="116">
        <f>SUM(GY89:HB89)</f>
        <v/>
      </c>
      <c r="HN89" s="116">
        <f>IFERROR(LOOKUP(2,1/('DRAFT 2'!$D:$D=$B89)*('DRAFT 2'!$A:$A&gt;=DATE(2026,10,1))*('DRAFT 2'!$A:$A&lt;DATE(2026,IF(10=12,10+1,10+1),1)),'DRAFT 2'!$A:$A),"")</f>
        <v/>
      </c>
      <c r="HO89" s="116">
        <f>COUNTIFS('DRAFT 2'!$D:$D,$B89,'DRAFT 2'!$A:$A,"&gt;="&amp;DATE(2026,10,1),'DRAFT 2'!$A:$A,"&lt;="&amp;DATE(2026,10,7))</f>
        <v/>
      </c>
      <c r="HP89" s="116">
        <f>COUNTIFS('DRAFT 2'!$D:$D,$B89,'DRAFT 2'!$A:$A,"&gt;="&amp;DATE(2026,10,8),'DRAFT 2'!$A:$A,"&lt;="&amp;DATE(2026,10,14))</f>
        <v/>
      </c>
      <c r="HQ89" s="116">
        <f>COUNTIFS('DRAFT 2'!$D:$D,$B89,'DRAFT 2'!$A:$A,"&gt;="&amp;DATE(2026,10,15),'DRAFT 2'!$A:$A,"&lt;="&amp;DATE(2026,10,21))</f>
        <v/>
      </c>
      <c r="HR89" s="116">
        <f>COUNTIFS('DRAFT 2'!$D:$D,$B89,'DRAFT 2'!$A:$A,"&gt;="&amp;DATE(2026,10,22),'DRAFT 2'!$A:$A,"&lt;"&amp;DATE(2026,IF(10=12,10+1,10+1),1))</f>
        <v/>
      </c>
      <c r="HS89" s="116">
        <f>SUM(HO89:HR89)</f>
        <v/>
      </c>
      <c r="IC89" s="116">
        <f>IFERROR(LOOKUP(2,1/('DRAFT 2'!$D:$D=$B89)*('DRAFT 2'!$A:$A&gt;=DATE(2026,11,1))*('DRAFT 2'!$A:$A&lt;DATE(2026,IF(11=12,11+1,11+1),1)),'DRAFT 2'!$A:$A),"")</f>
        <v/>
      </c>
      <c r="ID89" s="116">
        <f>COUNTIFS('DRAFT 2'!$D:$D,$B89,'DRAFT 2'!$A:$A,"&gt;="&amp;DATE(2026,11,1),'DRAFT 2'!$A:$A,"&lt;="&amp;DATE(2026,11,7))</f>
        <v/>
      </c>
      <c r="IE89" s="116">
        <f>COUNTIFS('DRAFT 2'!$D:$D,$B89,'DRAFT 2'!$A:$A,"&gt;="&amp;DATE(2026,11,8),'DRAFT 2'!$A:$A,"&lt;="&amp;DATE(2026,11,14))</f>
        <v/>
      </c>
      <c r="IF89" s="116">
        <f>COUNTIFS('DRAFT 2'!$D:$D,$B89,'DRAFT 2'!$A:$A,"&gt;="&amp;DATE(2026,11,15),'DRAFT 2'!$A:$A,"&lt;="&amp;DATE(2026,11,21))</f>
        <v/>
      </c>
      <c r="IG89" s="116">
        <f>COUNTIFS('DRAFT 2'!$D:$D,$B89,'DRAFT 2'!$A:$A,"&gt;="&amp;DATE(2026,11,22),'DRAFT 2'!$A:$A,"&lt;"&amp;DATE(2026,IF(11=12,11+1,11+1),1))</f>
        <v/>
      </c>
      <c r="IH89" s="116">
        <f>SUM(ID89:IG89)</f>
        <v/>
      </c>
      <c r="IR89" s="116">
        <f>IFERROR(LOOKUP(2,1/('DRAFT 2'!$D:$D=$B89)*('DRAFT 2'!$A:$A&gt;=DATE(2026,12,1))*('DRAFT 2'!$A:$A&lt;DATE(2026,IF(12=12,12+1,12+1),1)),'DRAFT 2'!$A:$A),"")</f>
        <v/>
      </c>
      <c r="IS89" s="116">
        <f>COUNTIFS('DRAFT 2'!$D:$D,$B89,'DRAFT 2'!$A:$A,"&gt;="&amp;DATE(2026,12,1),'DRAFT 2'!$A:$A,"&lt;="&amp;DATE(2026,12,7))</f>
        <v/>
      </c>
      <c r="IT89" s="116">
        <f>COUNTIFS('DRAFT 2'!$D:$D,$B89,'DRAFT 2'!$A:$A,"&gt;="&amp;DATE(2026,12,8),'DRAFT 2'!$A:$A,"&lt;="&amp;DATE(2026,12,14))</f>
        <v/>
      </c>
      <c r="IU89" s="116">
        <f>COUNTIFS('DRAFT 2'!$D:$D,$B89,'DRAFT 2'!$A:$A,"&gt;="&amp;DATE(2026,12,15),'DRAFT 2'!$A:$A,"&lt;="&amp;DATE(2026,12,21))</f>
        <v/>
      </c>
      <c r="IV89" s="116">
        <f>COUNTIFS('DRAFT 2'!$D:$D,$B89,'DRAFT 2'!$A:$A,"&gt;="&amp;DATE(2026,12,22),'DRAFT 2'!$A:$A,"&lt;"&amp;DATE(2026,IF(12=12,12+1,12+1),1))</f>
        <v/>
      </c>
      <c r="IW89" s="116">
        <f>SUM(IS89:IV89)</f>
        <v/>
      </c>
    </row>
    <row r="90">
      <c r="A90" s="116">
        <f>IFERROR(INDEX('DRAFT 1'!$A:$A,MATCH($B90,'DRAFT 1'!$B:$B,0)),"")</f>
        <v/>
      </c>
      <c r="C90" s="116">
        <f>IFERROR(INDEX('DRAFT 1'!$C:$C,MATCH($B90,'DRAFT 1'!$B:$B,0)),"")</f>
        <v/>
      </c>
      <c r="D90" s="116">
        <f>IFERROR(INDEX('DRAFT 1'!$D:$D,MATCH($B90,'DRAFT 1'!$B:$B,0)),"")</f>
        <v/>
      </c>
      <c r="E90" s="116">
        <f>IFERROR(INDEX('DRAFT 1'!$E:$E,MATCH($B90,'DRAFT 1'!$B:$B,0)),"")</f>
        <v/>
      </c>
      <c r="F90" s="116">
        <f>IFERROR(INDEX('DRAFT 1'!$F:$F,MATCH($B90,'DRAFT 1'!$B:$B,0)),"")</f>
        <v/>
      </c>
      <c r="G90" s="116">
        <f>IFERROR(INDEX('DRAFT 1'!$G:$G,MATCH($B90,'DRAFT 1'!$B:$B,0)),"")</f>
        <v/>
      </c>
      <c r="H90" s="116">
        <f>IFERROR(INDEX('DRAFT 1'!$H:$H,MATCH($B90,'DRAFT 1'!$B:$B,0)),"")</f>
        <v/>
      </c>
      <c r="I90" s="116" t="inlineStr">
        <is>
          <t>MUNDO VERDE</t>
        </is>
      </c>
      <c r="K90" s="116">
        <f>IFERROR(INDEX('DRAFT 1'!$AL:$AL,MATCH($B90,'DRAFT 1'!$B:$B,0)),"")</f>
        <v/>
      </c>
      <c r="L90" s="116">
        <f>IFERROR(INDEX('DRAFT 1'!$J:$J,MATCH($B90,'DRAFT 1'!$B:$B,0)),"")</f>
        <v/>
      </c>
      <c r="M90" s="116">
        <f>IFERROR(INDEX('DRAFT 1'!$K:$K,MATCH($B90,'DRAFT 1'!$B:$B,0)),"")</f>
        <v/>
      </c>
      <c r="N90" s="116" t="inlineStr">
        <is>
          <t>ATIVO</t>
        </is>
      </c>
      <c r="P90" s="116">
        <f>IFERROR(INDEX('DRAFT 1'!$L:$L,MATCH($B90,'DRAFT 1'!$B:$B,0)),"")</f>
        <v/>
      </c>
      <c r="Q90" s="116">
        <f>IFERROR(INDEX('DRAFT 1'!$M:$M,MATCH($B90,'DRAFT 1'!$B:$B,0)),"")</f>
        <v/>
      </c>
      <c r="R90" s="116">
        <f>IFERROR(INDEX('DRAFT 1'!$N:$N,MATCH($B90,'DRAFT 1'!$B:$B,0)),"")</f>
        <v/>
      </c>
      <c r="S90" s="116">
        <f>IFERROR(INDEX('DRAFT 1'!$O:$O,MATCH($B90,'DRAFT 1'!$B:$B,0)),"")</f>
        <v/>
      </c>
      <c r="T90" s="116">
        <f>IFERROR(INDEX('DRAFT 1'!$P:$P,MATCH($B90,'DRAFT 1'!$B:$B,0)),"")</f>
        <v/>
      </c>
      <c r="U90" s="116">
        <f>IFERROR(INDEX('DRAFT 1'!$Q:$Q,MATCH($B90,'DRAFT 1'!$B:$B,0)),"")</f>
        <v/>
      </c>
      <c r="V90" s="116">
        <f>IFERROR(INDEX('DRAFT 1'!$R:$R,MATCH($B90,'DRAFT 1'!$B:$B,0)),"")</f>
        <v/>
      </c>
      <c r="W90" s="116">
        <f>IFERROR(INDEX('DRAFT 1'!$S:$S,MATCH($B90,'DRAFT 1'!$B:$B,0)),"")</f>
        <v/>
      </c>
      <c r="X90" s="116">
        <f>IFERROR(INDEX('DRAFT 1'!$T:$T,MATCH($B90,'DRAFT 1'!$B:$B,0)),"")</f>
        <v/>
      </c>
      <c r="Z90" s="116">
        <f>IFERROR(INDEX('DRAFT 1'!$U:$U,MATCH($B90,'DRAFT 1'!$B:$B,0)),"")</f>
        <v/>
      </c>
      <c r="AA90" s="116">
        <f>IFERROR(INDEX('DRAFT 1'!$V:$V,MATCH($B90,'DRAFT 1'!$B:$B,0)),"")</f>
        <v/>
      </c>
      <c r="AB90" s="116">
        <f>IFERROR(INDEX('DRAFT 1'!$W:$W,MATCH($B90,'DRAFT 1'!$B:$B,0)),"")</f>
        <v/>
      </c>
      <c r="AC90" s="116">
        <f>IFERROR(INDEX('DRAFT 1'!$X:$X,MATCH($B90,'DRAFT 1'!$B:$B,0)),"")</f>
        <v/>
      </c>
      <c r="AD90" s="116">
        <f>IFERROR(INDEX('DRAFT 1'!$Y:$Y,MATCH($B90,'DRAFT 1'!$B:$B,0)),"")</f>
        <v/>
      </c>
      <c r="AE90" s="116">
        <f>IFERROR(INDEX('DRAFT 1'!$Z:$Z,MATCH($B90,'DRAFT 1'!$B:$B,0)),"")</f>
        <v/>
      </c>
      <c r="AF90" s="116">
        <f>IFERROR(INDEX('DRAFT 1'!$AA:$AA,MATCH($B90,'DRAFT 1'!$B:$B,0)),"")</f>
        <v/>
      </c>
      <c r="AG90" s="116">
        <f>IFERROR(INDEX('DRAFT 1'!$AB:$AB,MATCH($B90,'DRAFT 1'!$B:$B,0)),"")</f>
        <v/>
      </c>
      <c r="AH90" s="116">
        <f>IFERROR(INDEX('DRAFT 1'!$AC:$AC,MATCH($B90,'DRAFT 1'!$B:$B,0)),"")</f>
        <v/>
      </c>
      <c r="AI90" s="116">
        <f>IFERROR(INDEX('DRAFT 1'!$AD:$AD,MATCH($B90,'DRAFT 1'!$B:$B,0)),"")</f>
        <v/>
      </c>
      <c r="AJ90" s="116">
        <f>IFERROR(INDEX('DRAFT 1'!$AE:$AE,MATCH($B90,'DRAFT 1'!$B:$B,0)),"")</f>
        <v/>
      </c>
      <c r="AK90" s="116">
        <f>IFERROR(INDEX('DRAFT 1'!$AG:$AG,MATCH($B90,'DRAFT 1'!$B:$B,0)),"")</f>
        <v/>
      </c>
      <c r="AL90" s="116">
        <f>IFERROR(INDEX('DRAFT 1'!$AH:$AH,MATCH($B90,'DRAFT 1'!$B:$B,0)),"")</f>
        <v/>
      </c>
      <c r="AM90" s="116">
        <f>IFERROR(INDEX('DRAFT 1'!$AI:$AI,MATCH($B90,'DRAFT 1'!$B:$B,0)),"")</f>
        <v/>
      </c>
      <c r="AN90" s="116">
        <f>IFERROR(INDEX('DRAFT 1'!$AJ:$AJ,MATCH($B90,'DRAFT 1'!$B:$B,0)),"")</f>
        <v/>
      </c>
      <c r="AO90" s="116">
        <f>IFERROR(Y90/AN90,0)</f>
        <v/>
      </c>
      <c r="AP90" s="116">
        <f>IFERROR(INDEX('DRAFT 1'!$AK:$AK,MATCH($B90,'DRAFT 1'!$B:$B,0)),"")</f>
        <v/>
      </c>
      <c r="AR90" s="116" t="inlineStr">
        <is>
          <t>RECOMPRA</t>
        </is>
      </c>
      <c r="AS90" s="116">
        <f>IFERROR(LOOKUP(2,1/('DRAFT 2'!$D:$D=$B90),'DRAFT 2'!$T:$T),"")</f>
        <v/>
      </c>
      <c r="AT90" s="116">
        <f>IFERROR(LOOKUP(2,1/('DRAFT 2'!$D:$D=$B90),'DRAFT 2'!$A:$A),"")</f>
        <v/>
      </c>
      <c r="AU90" s="116">
        <f>IFERROR(LOOKUP(2,1/('DRAFT 2'!$D:$D=$B90),'DRAFT 2'!$R:$R),"")</f>
        <v/>
      </c>
      <c r="AV90" s="116">
        <f>IFERROR(LOOKUP(2,1/('DRAFT 2'!$D:$D=$B90),'DRAFT 2'!$S:$S),"")</f>
        <v/>
      </c>
      <c r="AW90" s="116" t="inlineStr">
        <is>
          <t>RECORRENTE</t>
        </is>
      </c>
      <c r="AX90" s="116">
        <f>IFERROR(LOOKUP(2,1/('DRAFT 2'!$D:$D=$B90),'DRAFT 2'!$M:$M),"")</f>
        <v/>
      </c>
      <c r="AY90" s="116">
        <f>IFERROR(LOOKUP(2,1/('DRAFT 2'!$D:$D=$B90),'DRAFT 2'!$K:$K),"")</f>
        <v/>
      </c>
      <c r="BG90" s="116">
        <f>IFERROR(LOOKUP(2,1/('DRAFT 2'!$D:$D=$B90),'DRAFT 2'!$U:$U),"")</f>
        <v/>
      </c>
      <c r="BH90" s="116">
        <f>IFERROR(LOOKUP(2,1/('DRAFT 2'!$D:$D=$B90),'DRAFT 2'!$V:$V),"")</f>
        <v/>
      </c>
      <c r="CE90" s="116">
        <f>IFERROR(AJ90,0)</f>
        <v/>
      </c>
      <c r="CF90" s="116">
        <f>IFERROR(LOOKUP(2,1/('DRAFT 2'!$D:$D=$B90)*('DRAFT 2'!$A:$A&gt;=DATE(2026,1,1))*('DRAFT 2'!$A:$A&lt;DATE(2026,IF(1=12,1+1,1+1),1)),'DRAFT 2'!$A:$A),"")</f>
        <v/>
      </c>
      <c r="CG90" s="116">
        <f>COUNTIFS('DRAFT 2'!$D:$D,$B90,'DRAFT 2'!$A:$A,"&gt;="&amp;DATE(2026,1,1),'DRAFT 2'!$A:$A,"&lt;="&amp;DATE(2026,1,7))</f>
        <v/>
      </c>
      <c r="CH90" s="116">
        <f>COUNTIFS('DRAFT 2'!$D:$D,$B90,'DRAFT 2'!$A:$A,"&gt;="&amp;DATE(2026,1,8),'DRAFT 2'!$A:$A,"&lt;="&amp;DATE(2026,1,14))</f>
        <v/>
      </c>
      <c r="CI90" s="116">
        <f>COUNTIFS('DRAFT 2'!$D:$D,$B90,'DRAFT 2'!$A:$A,"&gt;="&amp;DATE(2026,1,15),'DRAFT 2'!$A:$A,"&lt;="&amp;DATE(2026,1,21))</f>
        <v/>
      </c>
      <c r="CJ90" s="116">
        <f>COUNTIFS('DRAFT 2'!$D:$D,$B90,'DRAFT 2'!$A:$A,"&gt;="&amp;DATE(2026,1,22),'DRAFT 2'!$A:$A,"&lt;"&amp;DATE(2026,IF(1=12,1+1,1+1),1))</f>
        <v/>
      </c>
      <c r="CK90" s="116">
        <f>SUM(CG90:CJ90)</f>
        <v/>
      </c>
      <c r="CT90" s="116" t="n">
        <v>0</v>
      </c>
      <c r="CU90" s="116">
        <f>IFERROR(LOOKUP(2,1/('DRAFT 2'!$D:$D=$B90)*('DRAFT 2'!$A:$A&gt;=DATE(2026,2,1))*('DRAFT 2'!$A:$A&lt;DATE(2026,IF(2=12,2+1,2+1),1)),'DRAFT 2'!$A:$A),"")</f>
        <v/>
      </c>
      <c r="CV90" s="116">
        <f>COUNTIFS('DRAFT 2'!$D:$D,$B90,'DRAFT 2'!$A:$A,"&gt;="&amp;DATE(2026,2,1),'DRAFT 2'!$A:$A,"&lt;="&amp;DATE(2026,2,7))</f>
        <v/>
      </c>
      <c r="CW90" s="116">
        <f>COUNTIFS('DRAFT 2'!$D:$D,$B90,'DRAFT 2'!$A:$A,"&gt;="&amp;DATE(2026,2,8),'DRAFT 2'!$A:$A,"&lt;="&amp;DATE(2026,2,14))</f>
        <v/>
      </c>
      <c r="CX90" s="116">
        <f>COUNTIFS('DRAFT 2'!$D:$D,$B90,'DRAFT 2'!$A:$A,"&gt;="&amp;DATE(2026,2,15),'DRAFT 2'!$A:$A,"&lt;="&amp;DATE(2026,2,21))</f>
        <v/>
      </c>
      <c r="CY90" s="116">
        <f>COUNTIFS('DRAFT 2'!$D:$D,$B90,'DRAFT 2'!$A:$A,"&gt;="&amp;DATE(2026,2,22),'DRAFT 2'!$A:$A,"&lt;"&amp;DATE(2026,IF(2=12,2+1,2+1),1))</f>
        <v/>
      </c>
      <c r="CZ90" s="116">
        <f>SUM(CV90:CY90)</f>
        <v/>
      </c>
      <c r="DJ90" s="116">
        <f>IFERROR(LOOKUP(2,1/('DRAFT 2'!$D:$D=$B90)*('DRAFT 2'!$A:$A&gt;=DATE(2026,3,1))*('DRAFT 2'!$A:$A&lt;DATE(2026,IF(3=12,3+1,3+1),1)),'DRAFT 2'!$A:$A),"")</f>
        <v/>
      </c>
      <c r="DK90" s="116">
        <f>COUNTIFS('DRAFT 2'!$D:$D,$B90,'DRAFT 2'!$A:$A,"&gt;="&amp;DATE(2026,3,1),'DRAFT 2'!$A:$A,"&lt;="&amp;DATE(2026,3,7))</f>
        <v/>
      </c>
      <c r="DL90" s="116">
        <f>COUNTIFS('DRAFT 2'!$D:$D,$B90,'DRAFT 2'!$A:$A,"&gt;="&amp;DATE(2026,3,8),'DRAFT 2'!$A:$A,"&lt;="&amp;DATE(2026,3,14))</f>
        <v/>
      </c>
      <c r="DM90" s="116">
        <f>COUNTIFS('DRAFT 2'!$D:$D,$B90,'DRAFT 2'!$A:$A,"&gt;="&amp;DATE(2026,3,15),'DRAFT 2'!$A:$A,"&lt;="&amp;DATE(2026,3,21))</f>
        <v/>
      </c>
      <c r="DN90" s="116">
        <f>COUNTIFS('DRAFT 2'!$D:$D,$B90,'DRAFT 2'!$A:$A,"&gt;="&amp;DATE(2026,3,22),'DRAFT 2'!$A:$A,"&lt;"&amp;DATE(2026,IF(3=12,3+1,3+1),1))</f>
        <v/>
      </c>
      <c r="DO90" s="116">
        <f>SUM(DK90:DN90)</f>
        <v/>
      </c>
      <c r="DZ90" s="116">
        <f>IFERROR(LOOKUP(2,1/('DRAFT 2'!$D:$D=$B90)*('DRAFT 2'!$A:$A&gt;=DATE(2026,4,1))*('DRAFT 2'!$A:$A&lt;DATE(2026,IF(4=12,4+1,4+1),1)),'DRAFT 2'!$A:$A),"")</f>
        <v/>
      </c>
      <c r="EA90" s="116">
        <f>COUNTIFS('DRAFT 2'!$D:$D,$B90,'DRAFT 2'!$A:$A,"&gt;="&amp;DATE(2026,4,1),'DRAFT 2'!$A:$A,"&lt;="&amp;DATE(2026,4,7))</f>
        <v/>
      </c>
      <c r="EB90" s="116">
        <f>COUNTIFS('DRAFT 2'!$D:$D,$B90,'DRAFT 2'!$A:$A,"&gt;="&amp;DATE(2026,4,8),'DRAFT 2'!$A:$A,"&lt;="&amp;DATE(2026,4,14))</f>
        <v/>
      </c>
      <c r="EC90" s="116">
        <f>COUNTIFS('DRAFT 2'!$D:$D,$B90,'DRAFT 2'!$A:$A,"&gt;="&amp;DATE(2026,4,15),'DRAFT 2'!$A:$A,"&lt;="&amp;DATE(2026,4,21))</f>
        <v/>
      </c>
      <c r="ED90" s="116">
        <f>COUNTIFS('DRAFT 2'!$D:$D,$B90,'DRAFT 2'!$A:$A,"&gt;="&amp;DATE(2026,4,22),'DRAFT 2'!$A:$A,"&lt;"&amp;DATE(2026,IF(4=12,4+1,4+1),1))</f>
        <v/>
      </c>
      <c r="EE90" s="116">
        <f>SUM(EA90:ED90)</f>
        <v/>
      </c>
      <c r="EO90" s="116">
        <f>IFERROR(LOOKUP(2,1/('DRAFT 2'!$D:$D=$B90)*('DRAFT 2'!$A:$A&gt;=DATE(2026,5,1))*('DRAFT 2'!$A:$A&lt;DATE(2026,IF(5=12,5+1,5+1),1)),'DRAFT 2'!$A:$A),"")</f>
        <v/>
      </c>
      <c r="EP90" s="116">
        <f>COUNTIFS('DRAFT 2'!$D:$D,$B90,'DRAFT 2'!$A:$A,"&gt;="&amp;DATE(2026,5,1),'DRAFT 2'!$A:$A,"&lt;="&amp;DATE(2026,5,7))</f>
        <v/>
      </c>
      <c r="EQ90" s="116">
        <f>COUNTIFS('DRAFT 2'!$D:$D,$B90,'DRAFT 2'!$A:$A,"&gt;="&amp;DATE(2026,5,8),'DRAFT 2'!$A:$A,"&lt;="&amp;DATE(2026,5,14))</f>
        <v/>
      </c>
      <c r="ER90" s="116">
        <f>COUNTIFS('DRAFT 2'!$D:$D,$B90,'DRAFT 2'!$A:$A,"&gt;="&amp;DATE(2026,5,15),'DRAFT 2'!$A:$A,"&lt;="&amp;DATE(2026,5,21))</f>
        <v/>
      </c>
      <c r="ES90" s="116">
        <f>COUNTIFS('DRAFT 2'!$D:$D,$B90,'DRAFT 2'!$A:$A,"&gt;="&amp;DATE(2026,5,22),'DRAFT 2'!$A:$A,"&lt;"&amp;DATE(2026,IF(5=12,5+1,5+1),1))</f>
        <v/>
      </c>
      <c r="ET90" s="116">
        <f>SUM(EP90:ES90)</f>
        <v/>
      </c>
      <c r="FD90" s="116">
        <f>IFERROR(LOOKUP(2,1/('DRAFT 2'!$D:$D=$B90)*('DRAFT 2'!$A:$A&gt;=DATE(2026,6,1))*('DRAFT 2'!$A:$A&lt;DATE(2026,IF(6=12,6+1,6+1),1)),'DRAFT 2'!$A:$A),"")</f>
        <v/>
      </c>
      <c r="FE90" s="116">
        <f>COUNTIFS('DRAFT 2'!$D:$D,$B90,'DRAFT 2'!$A:$A,"&gt;="&amp;DATE(2026,6,1),'DRAFT 2'!$A:$A,"&lt;="&amp;DATE(2026,6,7))</f>
        <v/>
      </c>
      <c r="FF90" s="116">
        <f>COUNTIFS('DRAFT 2'!$D:$D,$B90,'DRAFT 2'!$A:$A,"&gt;="&amp;DATE(2026,6,8),'DRAFT 2'!$A:$A,"&lt;="&amp;DATE(2026,6,14))</f>
        <v/>
      </c>
      <c r="FG90" s="116">
        <f>COUNTIFS('DRAFT 2'!$D:$D,$B90,'DRAFT 2'!$A:$A,"&gt;="&amp;DATE(2026,6,15),'DRAFT 2'!$A:$A,"&lt;="&amp;DATE(2026,6,21))</f>
        <v/>
      </c>
      <c r="FH90" s="116">
        <f>COUNTIFS('DRAFT 2'!$D:$D,$B90,'DRAFT 2'!$A:$A,"&gt;="&amp;DATE(2026,6,22),'DRAFT 2'!$A:$A,"&lt;"&amp;DATE(2026,IF(6=12,6+1,6+1),1))</f>
        <v/>
      </c>
      <c r="FI90" s="116">
        <f>SUM(FE90:FH90)</f>
        <v/>
      </c>
      <c r="FT90" s="116">
        <f>IFERROR(LOOKUP(2,1/('DRAFT 2'!$D:$D=$B90)*('DRAFT 2'!$A:$A&gt;=DATE(2026,7,1))*('DRAFT 2'!$A:$A&lt;DATE(2026,IF(7=12,7+1,7+1),1)),'DRAFT 2'!$A:$A),"")</f>
        <v/>
      </c>
      <c r="FU90" s="116">
        <f>COUNTIFS('DRAFT 2'!$D:$D,$B90,'DRAFT 2'!$A:$A,"&gt;="&amp;DATE(2026,7,1),'DRAFT 2'!$A:$A,"&lt;="&amp;DATE(2026,7,7))</f>
        <v/>
      </c>
      <c r="FV90" s="116">
        <f>COUNTIFS('DRAFT 2'!$D:$D,$B90,'DRAFT 2'!$A:$A,"&gt;="&amp;DATE(2026,7,8),'DRAFT 2'!$A:$A,"&lt;="&amp;DATE(2026,7,14))</f>
        <v/>
      </c>
      <c r="FW90" s="116">
        <f>COUNTIFS('DRAFT 2'!$D:$D,$B90,'DRAFT 2'!$A:$A,"&gt;="&amp;DATE(2026,7,15),'DRAFT 2'!$A:$A,"&lt;="&amp;DATE(2026,7,21))</f>
        <v/>
      </c>
      <c r="FX90" s="116">
        <f>COUNTIFS('DRAFT 2'!$D:$D,$B90,'DRAFT 2'!$A:$A,"&gt;="&amp;DATE(2026,7,22),'DRAFT 2'!$A:$A,"&lt;"&amp;DATE(2026,IF(7=12,7+1,7+1),1))</f>
        <v/>
      </c>
      <c r="FY90" s="116">
        <f>SUM(FU90:FX90)</f>
        <v/>
      </c>
      <c r="GI90" s="116">
        <f>IFERROR(LOOKUP(2,1/('DRAFT 2'!$D:$D=$B90)*('DRAFT 2'!$A:$A&gt;=DATE(2026,8,1))*('DRAFT 2'!$A:$A&lt;DATE(2026,IF(8=12,8+1,8+1),1)),'DRAFT 2'!$A:$A),"")</f>
        <v/>
      </c>
      <c r="GJ90" s="116">
        <f>COUNTIFS('DRAFT 2'!$D:$D,$B90,'DRAFT 2'!$A:$A,"&gt;="&amp;DATE(2026,8,1),'DRAFT 2'!$A:$A,"&lt;="&amp;DATE(2026,8,7))</f>
        <v/>
      </c>
      <c r="GK90" s="116">
        <f>COUNTIFS('DRAFT 2'!$D:$D,$B90,'DRAFT 2'!$A:$A,"&gt;="&amp;DATE(2026,8,8),'DRAFT 2'!$A:$A,"&lt;="&amp;DATE(2026,8,14))</f>
        <v/>
      </c>
      <c r="GL90" s="116">
        <f>COUNTIFS('DRAFT 2'!$D:$D,$B90,'DRAFT 2'!$A:$A,"&gt;="&amp;DATE(2026,8,15),'DRAFT 2'!$A:$A,"&lt;="&amp;DATE(2026,8,21))</f>
        <v/>
      </c>
      <c r="GM90" s="116">
        <f>COUNTIFS('DRAFT 2'!$D:$D,$B90,'DRAFT 2'!$A:$A,"&gt;="&amp;DATE(2026,8,22),'DRAFT 2'!$A:$A,"&lt;"&amp;DATE(2026,IF(8=12,8+1,8+1),1))</f>
        <v/>
      </c>
      <c r="GN90" s="116">
        <f>SUM(GJ90:GM90)</f>
        <v/>
      </c>
      <c r="GX90" s="116">
        <f>IFERROR(LOOKUP(2,1/('DRAFT 2'!$D:$D=$B90)*('DRAFT 2'!$A:$A&gt;=DATE(2026,9,1))*('DRAFT 2'!$A:$A&lt;DATE(2026,IF(9=12,9+1,9+1),1)),'DRAFT 2'!$A:$A),"")</f>
        <v/>
      </c>
      <c r="GY90" s="116">
        <f>COUNTIFS('DRAFT 2'!$D:$D,$B90,'DRAFT 2'!$A:$A,"&gt;="&amp;DATE(2026,9,1),'DRAFT 2'!$A:$A,"&lt;="&amp;DATE(2026,9,7))</f>
        <v/>
      </c>
      <c r="GZ90" s="116">
        <f>COUNTIFS('DRAFT 2'!$D:$D,$B90,'DRAFT 2'!$A:$A,"&gt;="&amp;DATE(2026,9,8),'DRAFT 2'!$A:$A,"&lt;="&amp;DATE(2026,9,14))</f>
        <v/>
      </c>
      <c r="HA90" s="116">
        <f>COUNTIFS('DRAFT 2'!$D:$D,$B90,'DRAFT 2'!$A:$A,"&gt;="&amp;DATE(2026,9,15),'DRAFT 2'!$A:$A,"&lt;="&amp;DATE(2026,9,21))</f>
        <v/>
      </c>
      <c r="HB90" s="116">
        <f>COUNTIFS('DRAFT 2'!$D:$D,$B90,'DRAFT 2'!$A:$A,"&gt;="&amp;DATE(2026,9,22),'DRAFT 2'!$A:$A,"&lt;"&amp;DATE(2026,IF(9=12,9+1,9+1),1))</f>
        <v/>
      </c>
      <c r="HC90" s="116">
        <f>SUM(GY90:HB90)</f>
        <v/>
      </c>
      <c r="HN90" s="116">
        <f>IFERROR(LOOKUP(2,1/('DRAFT 2'!$D:$D=$B90)*('DRAFT 2'!$A:$A&gt;=DATE(2026,10,1))*('DRAFT 2'!$A:$A&lt;DATE(2026,IF(10=12,10+1,10+1),1)),'DRAFT 2'!$A:$A),"")</f>
        <v/>
      </c>
      <c r="HO90" s="116">
        <f>COUNTIFS('DRAFT 2'!$D:$D,$B90,'DRAFT 2'!$A:$A,"&gt;="&amp;DATE(2026,10,1),'DRAFT 2'!$A:$A,"&lt;="&amp;DATE(2026,10,7))</f>
        <v/>
      </c>
      <c r="HP90" s="116">
        <f>COUNTIFS('DRAFT 2'!$D:$D,$B90,'DRAFT 2'!$A:$A,"&gt;="&amp;DATE(2026,10,8),'DRAFT 2'!$A:$A,"&lt;="&amp;DATE(2026,10,14))</f>
        <v/>
      </c>
      <c r="HQ90" s="116">
        <f>COUNTIFS('DRAFT 2'!$D:$D,$B90,'DRAFT 2'!$A:$A,"&gt;="&amp;DATE(2026,10,15),'DRAFT 2'!$A:$A,"&lt;="&amp;DATE(2026,10,21))</f>
        <v/>
      </c>
      <c r="HR90" s="116">
        <f>COUNTIFS('DRAFT 2'!$D:$D,$B90,'DRAFT 2'!$A:$A,"&gt;="&amp;DATE(2026,10,22),'DRAFT 2'!$A:$A,"&lt;"&amp;DATE(2026,IF(10=12,10+1,10+1),1))</f>
        <v/>
      </c>
      <c r="HS90" s="116">
        <f>SUM(HO90:HR90)</f>
        <v/>
      </c>
      <c r="IC90" s="116">
        <f>IFERROR(LOOKUP(2,1/('DRAFT 2'!$D:$D=$B90)*('DRAFT 2'!$A:$A&gt;=DATE(2026,11,1))*('DRAFT 2'!$A:$A&lt;DATE(2026,IF(11=12,11+1,11+1),1)),'DRAFT 2'!$A:$A),"")</f>
        <v/>
      </c>
      <c r="ID90" s="116">
        <f>COUNTIFS('DRAFT 2'!$D:$D,$B90,'DRAFT 2'!$A:$A,"&gt;="&amp;DATE(2026,11,1),'DRAFT 2'!$A:$A,"&lt;="&amp;DATE(2026,11,7))</f>
        <v/>
      </c>
      <c r="IE90" s="116">
        <f>COUNTIFS('DRAFT 2'!$D:$D,$B90,'DRAFT 2'!$A:$A,"&gt;="&amp;DATE(2026,11,8),'DRAFT 2'!$A:$A,"&lt;="&amp;DATE(2026,11,14))</f>
        <v/>
      </c>
      <c r="IF90" s="116">
        <f>COUNTIFS('DRAFT 2'!$D:$D,$B90,'DRAFT 2'!$A:$A,"&gt;="&amp;DATE(2026,11,15),'DRAFT 2'!$A:$A,"&lt;="&amp;DATE(2026,11,21))</f>
        <v/>
      </c>
      <c r="IG90" s="116">
        <f>COUNTIFS('DRAFT 2'!$D:$D,$B90,'DRAFT 2'!$A:$A,"&gt;="&amp;DATE(2026,11,22),'DRAFT 2'!$A:$A,"&lt;"&amp;DATE(2026,IF(11=12,11+1,11+1),1))</f>
        <v/>
      </c>
      <c r="IH90" s="116">
        <f>SUM(ID90:IG90)</f>
        <v/>
      </c>
      <c r="IR90" s="116">
        <f>IFERROR(LOOKUP(2,1/('DRAFT 2'!$D:$D=$B90)*('DRAFT 2'!$A:$A&gt;=DATE(2026,12,1))*('DRAFT 2'!$A:$A&lt;DATE(2026,IF(12=12,12+1,12+1),1)),'DRAFT 2'!$A:$A),"")</f>
        <v/>
      </c>
      <c r="IS90" s="116">
        <f>COUNTIFS('DRAFT 2'!$D:$D,$B90,'DRAFT 2'!$A:$A,"&gt;="&amp;DATE(2026,12,1),'DRAFT 2'!$A:$A,"&lt;="&amp;DATE(2026,12,7))</f>
        <v/>
      </c>
      <c r="IT90" s="116">
        <f>COUNTIFS('DRAFT 2'!$D:$D,$B90,'DRAFT 2'!$A:$A,"&gt;="&amp;DATE(2026,12,8),'DRAFT 2'!$A:$A,"&lt;="&amp;DATE(2026,12,14))</f>
        <v/>
      </c>
      <c r="IU90" s="116">
        <f>COUNTIFS('DRAFT 2'!$D:$D,$B90,'DRAFT 2'!$A:$A,"&gt;="&amp;DATE(2026,12,15),'DRAFT 2'!$A:$A,"&lt;="&amp;DATE(2026,12,21))</f>
        <v/>
      </c>
      <c r="IV90" s="116">
        <f>COUNTIFS('DRAFT 2'!$D:$D,$B90,'DRAFT 2'!$A:$A,"&gt;="&amp;DATE(2026,12,22),'DRAFT 2'!$A:$A,"&lt;"&amp;DATE(2026,IF(12=12,12+1,12+1),1))</f>
        <v/>
      </c>
      <c r="IW90" s="116">
        <f>SUM(IS90:IV90)</f>
        <v/>
      </c>
    </row>
    <row r="91">
      <c r="A91" s="116">
        <f>IFERROR(INDEX('DRAFT 1'!$A:$A,MATCH($B91,'DRAFT 1'!$B:$B,0)),"")</f>
        <v/>
      </c>
      <c r="C91" s="116">
        <f>IFERROR(INDEX('DRAFT 1'!$C:$C,MATCH($B91,'DRAFT 1'!$B:$B,0)),"")</f>
        <v/>
      </c>
      <c r="D91" s="116">
        <f>IFERROR(INDEX('DRAFT 1'!$D:$D,MATCH($B91,'DRAFT 1'!$B:$B,0)),"")</f>
        <v/>
      </c>
      <c r="E91" s="116">
        <f>IFERROR(INDEX('DRAFT 1'!$E:$E,MATCH($B91,'DRAFT 1'!$B:$B,0)),"")</f>
        <v/>
      </c>
      <c r="F91" s="116">
        <f>IFERROR(INDEX('DRAFT 1'!$F:$F,MATCH($B91,'DRAFT 1'!$B:$B,0)),"")</f>
        <v/>
      </c>
      <c r="G91" s="116">
        <f>IFERROR(INDEX('DRAFT 1'!$G:$G,MATCH($B91,'DRAFT 1'!$B:$B,0)),"")</f>
        <v/>
      </c>
      <c r="H91" s="116">
        <f>IFERROR(INDEX('DRAFT 1'!$H:$H,MATCH($B91,'DRAFT 1'!$B:$B,0)),"")</f>
        <v/>
      </c>
      <c r="I91" s="116" t="inlineStr">
        <is>
          <t>BIOMUNDO</t>
        </is>
      </c>
      <c r="K91" s="116">
        <f>IFERROR(INDEX('DRAFT 1'!$AL:$AL,MATCH($B91,'DRAFT 1'!$B:$B,0)),"")</f>
        <v/>
      </c>
      <c r="L91" s="116">
        <f>IFERROR(INDEX('DRAFT 1'!$J:$J,MATCH($B91,'DRAFT 1'!$B:$B,0)),"")</f>
        <v/>
      </c>
      <c r="M91" s="116">
        <f>IFERROR(INDEX('DRAFT 1'!$K:$K,MATCH($B91,'DRAFT 1'!$B:$B,0)),"")</f>
        <v/>
      </c>
      <c r="N91" s="116" t="inlineStr">
        <is>
          <t>INAT.ANT</t>
        </is>
      </c>
      <c r="P91" s="116">
        <f>IFERROR(INDEX('DRAFT 1'!$L:$L,MATCH($B91,'DRAFT 1'!$B:$B,0)),"")</f>
        <v/>
      </c>
      <c r="Q91" s="116">
        <f>IFERROR(INDEX('DRAFT 1'!$M:$M,MATCH($B91,'DRAFT 1'!$B:$B,0)),"")</f>
        <v/>
      </c>
      <c r="R91" s="116">
        <f>IFERROR(INDEX('DRAFT 1'!$N:$N,MATCH($B91,'DRAFT 1'!$B:$B,0)),"")</f>
        <v/>
      </c>
      <c r="S91" s="116">
        <f>IFERROR(INDEX('DRAFT 1'!$O:$O,MATCH($B91,'DRAFT 1'!$B:$B,0)),"")</f>
        <v/>
      </c>
      <c r="T91" s="116">
        <f>IFERROR(INDEX('DRAFT 1'!$P:$P,MATCH($B91,'DRAFT 1'!$B:$B,0)),"")</f>
        <v/>
      </c>
      <c r="U91" s="116">
        <f>IFERROR(INDEX('DRAFT 1'!$Q:$Q,MATCH($B91,'DRAFT 1'!$B:$B,0)),"")</f>
        <v/>
      </c>
      <c r="V91" s="116">
        <f>IFERROR(INDEX('DRAFT 1'!$R:$R,MATCH($B91,'DRAFT 1'!$B:$B,0)),"")</f>
        <v/>
      </c>
      <c r="W91" s="116">
        <f>IFERROR(INDEX('DRAFT 1'!$S:$S,MATCH($B91,'DRAFT 1'!$B:$B,0)),"")</f>
        <v/>
      </c>
      <c r="X91" s="116">
        <f>IFERROR(INDEX('DRAFT 1'!$T:$T,MATCH($B91,'DRAFT 1'!$B:$B,0)),"")</f>
        <v/>
      </c>
      <c r="Z91" s="116">
        <f>IFERROR(INDEX('DRAFT 1'!$U:$U,MATCH($B91,'DRAFT 1'!$B:$B,0)),"")</f>
        <v/>
      </c>
      <c r="AA91" s="116">
        <f>IFERROR(INDEX('DRAFT 1'!$V:$V,MATCH($B91,'DRAFT 1'!$B:$B,0)),"")</f>
        <v/>
      </c>
      <c r="AB91" s="116">
        <f>IFERROR(INDEX('DRAFT 1'!$W:$W,MATCH($B91,'DRAFT 1'!$B:$B,0)),"")</f>
        <v/>
      </c>
      <c r="AC91" s="116">
        <f>IFERROR(INDEX('DRAFT 1'!$X:$X,MATCH($B91,'DRAFT 1'!$B:$B,0)),"")</f>
        <v/>
      </c>
      <c r="AD91" s="116">
        <f>IFERROR(INDEX('DRAFT 1'!$Y:$Y,MATCH($B91,'DRAFT 1'!$B:$B,0)),"")</f>
        <v/>
      </c>
      <c r="AE91" s="116">
        <f>IFERROR(INDEX('DRAFT 1'!$Z:$Z,MATCH($B91,'DRAFT 1'!$B:$B,0)),"")</f>
        <v/>
      </c>
      <c r="AF91" s="116">
        <f>IFERROR(INDEX('DRAFT 1'!$AA:$AA,MATCH($B91,'DRAFT 1'!$B:$B,0)),"")</f>
        <v/>
      </c>
      <c r="AG91" s="116">
        <f>IFERROR(INDEX('DRAFT 1'!$AB:$AB,MATCH($B91,'DRAFT 1'!$B:$B,0)),"")</f>
        <v/>
      </c>
      <c r="AH91" s="116">
        <f>IFERROR(INDEX('DRAFT 1'!$AC:$AC,MATCH($B91,'DRAFT 1'!$B:$B,0)),"")</f>
        <v/>
      </c>
      <c r="AI91" s="116">
        <f>IFERROR(INDEX('DRAFT 1'!$AD:$AD,MATCH($B91,'DRAFT 1'!$B:$B,0)),"")</f>
        <v/>
      </c>
      <c r="AJ91" s="116">
        <f>IFERROR(INDEX('DRAFT 1'!$AE:$AE,MATCH($B91,'DRAFT 1'!$B:$B,0)),"")</f>
        <v/>
      </c>
      <c r="AK91" s="116">
        <f>IFERROR(INDEX('DRAFT 1'!$AG:$AG,MATCH($B91,'DRAFT 1'!$B:$B,0)),"")</f>
        <v/>
      </c>
      <c r="AL91" s="116">
        <f>IFERROR(INDEX('DRAFT 1'!$AH:$AH,MATCH($B91,'DRAFT 1'!$B:$B,0)),"")</f>
        <v/>
      </c>
      <c r="AM91" s="116">
        <f>IFERROR(INDEX('DRAFT 1'!$AI:$AI,MATCH($B91,'DRAFT 1'!$B:$B,0)),"")</f>
        <v/>
      </c>
      <c r="AN91" s="116">
        <f>IFERROR(INDEX('DRAFT 1'!$AJ:$AJ,MATCH($B91,'DRAFT 1'!$B:$B,0)),"")</f>
        <v/>
      </c>
      <c r="AO91" s="116">
        <f>IFERROR(Y91/AN91,0)</f>
        <v/>
      </c>
      <c r="AP91" s="116">
        <f>IFERROR(INDEX('DRAFT 1'!$AK:$AK,MATCH($B91,'DRAFT 1'!$B:$B,0)),"")</f>
        <v/>
      </c>
      <c r="AR91" s="116" t="inlineStr">
        <is>
          <t>SALVAMENTO</t>
        </is>
      </c>
      <c r="AS91" s="116">
        <f>IFERROR(LOOKUP(2,1/('DRAFT 2'!$D:$D=$B91),'DRAFT 2'!$T:$T),"")</f>
        <v/>
      </c>
      <c r="AT91" s="116">
        <f>IFERROR(LOOKUP(2,1/('DRAFT 2'!$D:$D=$B91),'DRAFT 2'!$A:$A),"")</f>
        <v/>
      </c>
      <c r="AU91" s="116">
        <f>IFERROR(LOOKUP(2,1/('DRAFT 2'!$D:$D=$B91),'DRAFT 2'!$R:$R),"")</f>
        <v/>
      </c>
      <c r="AV91" s="116">
        <f>IFERROR(LOOKUP(2,1/('DRAFT 2'!$D:$D=$B91),'DRAFT 2'!$S:$S),"")</f>
        <v/>
      </c>
      <c r="AW91" s="116" t="inlineStr">
        <is>
          <t>NOVO</t>
        </is>
      </c>
      <c r="AX91" s="116">
        <f>IFERROR(LOOKUP(2,1/('DRAFT 2'!$D:$D=$B91),'DRAFT 2'!$M:$M),"")</f>
        <v/>
      </c>
      <c r="AY91" s="116">
        <f>IFERROR(LOOKUP(2,1/('DRAFT 2'!$D:$D=$B91),'DRAFT 2'!$K:$K),"")</f>
        <v/>
      </c>
      <c r="BG91" s="116">
        <f>IFERROR(LOOKUP(2,1/('DRAFT 2'!$D:$D=$B91),'DRAFT 2'!$U:$U),"")</f>
        <v/>
      </c>
      <c r="BH91" s="116">
        <f>IFERROR(LOOKUP(2,1/('DRAFT 2'!$D:$D=$B91),'DRAFT 2'!$V:$V),"")</f>
        <v/>
      </c>
      <c r="CE91" s="116">
        <f>IFERROR(AJ91,0)</f>
        <v/>
      </c>
      <c r="CF91" s="116">
        <f>IFERROR(LOOKUP(2,1/('DRAFT 2'!$D:$D=$B91)*('DRAFT 2'!$A:$A&gt;=DATE(2026,1,1))*('DRAFT 2'!$A:$A&lt;DATE(2026,IF(1=12,1+1,1+1),1)),'DRAFT 2'!$A:$A),"")</f>
        <v/>
      </c>
      <c r="CG91" s="116">
        <f>COUNTIFS('DRAFT 2'!$D:$D,$B91,'DRAFT 2'!$A:$A,"&gt;="&amp;DATE(2026,1,1),'DRAFT 2'!$A:$A,"&lt;="&amp;DATE(2026,1,7))</f>
        <v/>
      </c>
      <c r="CH91" s="116">
        <f>COUNTIFS('DRAFT 2'!$D:$D,$B91,'DRAFT 2'!$A:$A,"&gt;="&amp;DATE(2026,1,8),'DRAFT 2'!$A:$A,"&lt;="&amp;DATE(2026,1,14))</f>
        <v/>
      </c>
      <c r="CI91" s="116">
        <f>COUNTIFS('DRAFT 2'!$D:$D,$B91,'DRAFT 2'!$A:$A,"&gt;="&amp;DATE(2026,1,15),'DRAFT 2'!$A:$A,"&lt;="&amp;DATE(2026,1,21))</f>
        <v/>
      </c>
      <c r="CJ91" s="116">
        <f>COUNTIFS('DRAFT 2'!$D:$D,$B91,'DRAFT 2'!$A:$A,"&gt;="&amp;DATE(2026,1,22),'DRAFT 2'!$A:$A,"&lt;"&amp;DATE(2026,IF(1=12,1+1,1+1),1))</f>
        <v/>
      </c>
      <c r="CK91" s="116">
        <f>SUM(CG91:CJ91)</f>
        <v/>
      </c>
      <c r="CT91" s="116" t="n">
        <v>0</v>
      </c>
      <c r="CU91" s="116">
        <f>IFERROR(LOOKUP(2,1/('DRAFT 2'!$D:$D=$B91)*('DRAFT 2'!$A:$A&gt;=DATE(2026,2,1))*('DRAFT 2'!$A:$A&lt;DATE(2026,IF(2=12,2+1,2+1),1)),'DRAFT 2'!$A:$A),"")</f>
        <v/>
      </c>
      <c r="CV91" s="116">
        <f>COUNTIFS('DRAFT 2'!$D:$D,$B91,'DRAFT 2'!$A:$A,"&gt;="&amp;DATE(2026,2,1),'DRAFT 2'!$A:$A,"&lt;="&amp;DATE(2026,2,7))</f>
        <v/>
      </c>
      <c r="CW91" s="116">
        <f>COUNTIFS('DRAFT 2'!$D:$D,$B91,'DRAFT 2'!$A:$A,"&gt;="&amp;DATE(2026,2,8),'DRAFT 2'!$A:$A,"&lt;="&amp;DATE(2026,2,14))</f>
        <v/>
      </c>
      <c r="CX91" s="116">
        <f>COUNTIFS('DRAFT 2'!$D:$D,$B91,'DRAFT 2'!$A:$A,"&gt;="&amp;DATE(2026,2,15),'DRAFT 2'!$A:$A,"&lt;="&amp;DATE(2026,2,21))</f>
        <v/>
      </c>
      <c r="CY91" s="116">
        <f>COUNTIFS('DRAFT 2'!$D:$D,$B91,'DRAFT 2'!$A:$A,"&gt;="&amp;DATE(2026,2,22),'DRAFT 2'!$A:$A,"&lt;"&amp;DATE(2026,IF(2=12,2+1,2+1),1))</f>
        <v/>
      </c>
      <c r="CZ91" s="116">
        <f>SUM(CV91:CY91)</f>
        <v/>
      </c>
      <c r="DJ91" s="116">
        <f>IFERROR(LOOKUP(2,1/('DRAFT 2'!$D:$D=$B91)*('DRAFT 2'!$A:$A&gt;=DATE(2026,3,1))*('DRAFT 2'!$A:$A&lt;DATE(2026,IF(3=12,3+1,3+1),1)),'DRAFT 2'!$A:$A),"")</f>
        <v/>
      </c>
      <c r="DK91" s="116">
        <f>COUNTIFS('DRAFT 2'!$D:$D,$B91,'DRAFT 2'!$A:$A,"&gt;="&amp;DATE(2026,3,1),'DRAFT 2'!$A:$A,"&lt;="&amp;DATE(2026,3,7))</f>
        <v/>
      </c>
      <c r="DL91" s="116">
        <f>COUNTIFS('DRAFT 2'!$D:$D,$B91,'DRAFT 2'!$A:$A,"&gt;="&amp;DATE(2026,3,8),'DRAFT 2'!$A:$A,"&lt;="&amp;DATE(2026,3,14))</f>
        <v/>
      </c>
      <c r="DM91" s="116">
        <f>COUNTIFS('DRAFT 2'!$D:$D,$B91,'DRAFT 2'!$A:$A,"&gt;="&amp;DATE(2026,3,15),'DRAFT 2'!$A:$A,"&lt;="&amp;DATE(2026,3,21))</f>
        <v/>
      </c>
      <c r="DN91" s="116">
        <f>COUNTIFS('DRAFT 2'!$D:$D,$B91,'DRAFT 2'!$A:$A,"&gt;="&amp;DATE(2026,3,22),'DRAFT 2'!$A:$A,"&lt;"&amp;DATE(2026,IF(3=12,3+1,3+1),1))</f>
        <v/>
      </c>
      <c r="DO91" s="116">
        <f>SUM(DK91:DN91)</f>
        <v/>
      </c>
      <c r="DZ91" s="116">
        <f>IFERROR(LOOKUP(2,1/('DRAFT 2'!$D:$D=$B91)*('DRAFT 2'!$A:$A&gt;=DATE(2026,4,1))*('DRAFT 2'!$A:$A&lt;DATE(2026,IF(4=12,4+1,4+1),1)),'DRAFT 2'!$A:$A),"")</f>
        <v/>
      </c>
      <c r="EA91" s="116">
        <f>COUNTIFS('DRAFT 2'!$D:$D,$B91,'DRAFT 2'!$A:$A,"&gt;="&amp;DATE(2026,4,1),'DRAFT 2'!$A:$A,"&lt;="&amp;DATE(2026,4,7))</f>
        <v/>
      </c>
      <c r="EB91" s="116">
        <f>COUNTIFS('DRAFT 2'!$D:$D,$B91,'DRAFT 2'!$A:$A,"&gt;="&amp;DATE(2026,4,8),'DRAFT 2'!$A:$A,"&lt;="&amp;DATE(2026,4,14))</f>
        <v/>
      </c>
      <c r="EC91" s="116">
        <f>COUNTIFS('DRAFT 2'!$D:$D,$B91,'DRAFT 2'!$A:$A,"&gt;="&amp;DATE(2026,4,15),'DRAFT 2'!$A:$A,"&lt;="&amp;DATE(2026,4,21))</f>
        <v/>
      </c>
      <c r="ED91" s="116">
        <f>COUNTIFS('DRAFT 2'!$D:$D,$B91,'DRAFT 2'!$A:$A,"&gt;="&amp;DATE(2026,4,22),'DRAFT 2'!$A:$A,"&lt;"&amp;DATE(2026,IF(4=12,4+1,4+1),1))</f>
        <v/>
      </c>
      <c r="EE91" s="116">
        <f>SUM(EA91:ED91)</f>
        <v/>
      </c>
      <c r="EO91" s="116">
        <f>IFERROR(LOOKUP(2,1/('DRAFT 2'!$D:$D=$B91)*('DRAFT 2'!$A:$A&gt;=DATE(2026,5,1))*('DRAFT 2'!$A:$A&lt;DATE(2026,IF(5=12,5+1,5+1),1)),'DRAFT 2'!$A:$A),"")</f>
        <v/>
      </c>
      <c r="EP91" s="116">
        <f>COUNTIFS('DRAFT 2'!$D:$D,$B91,'DRAFT 2'!$A:$A,"&gt;="&amp;DATE(2026,5,1),'DRAFT 2'!$A:$A,"&lt;="&amp;DATE(2026,5,7))</f>
        <v/>
      </c>
      <c r="EQ91" s="116">
        <f>COUNTIFS('DRAFT 2'!$D:$D,$B91,'DRAFT 2'!$A:$A,"&gt;="&amp;DATE(2026,5,8),'DRAFT 2'!$A:$A,"&lt;="&amp;DATE(2026,5,14))</f>
        <v/>
      </c>
      <c r="ER91" s="116">
        <f>COUNTIFS('DRAFT 2'!$D:$D,$B91,'DRAFT 2'!$A:$A,"&gt;="&amp;DATE(2026,5,15),'DRAFT 2'!$A:$A,"&lt;="&amp;DATE(2026,5,21))</f>
        <v/>
      </c>
      <c r="ES91" s="116">
        <f>COUNTIFS('DRAFT 2'!$D:$D,$B91,'DRAFT 2'!$A:$A,"&gt;="&amp;DATE(2026,5,22),'DRAFT 2'!$A:$A,"&lt;"&amp;DATE(2026,IF(5=12,5+1,5+1),1))</f>
        <v/>
      </c>
      <c r="ET91" s="116">
        <f>SUM(EP91:ES91)</f>
        <v/>
      </c>
      <c r="FD91" s="116">
        <f>IFERROR(LOOKUP(2,1/('DRAFT 2'!$D:$D=$B91)*('DRAFT 2'!$A:$A&gt;=DATE(2026,6,1))*('DRAFT 2'!$A:$A&lt;DATE(2026,IF(6=12,6+1,6+1),1)),'DRAFT 2'!$A:$A),"")</f>
        <v/>
      </c>
      <c r="FE91" s="116">
        <f>COUNTIFS('DRAFT 2'!$D:$D,$B91,'DRAFT 2'!$A:$A,"&gt;="&amp;DATE(2026,6,1),'DRAFT 2'!$A:$A,"&lt;="&amp;DATE(2026,6,7))</f>
        <v/>
      </c>
      <c r="FF91" s="116">
        <f>COUNTIFS('DRAFT 2'!$D:$D,$B91,'DRAFT 2'!$A:$A,"&gt;="&amp;DATE(2026,6,8),'DRAFT 2'!$A:$A,"&lt;="&amp;DATE(2026,6,14))</f>
        <v/>
      </c>
      <c r="FG91" s="116">
        <f>COUNTIFS('DRAFT 2'!$D:$D,$B91,'DRAFT 2'!$A:$A,"&gt;="&amp;DATE(2026,6,15),'DRAFT 2'!$A:$A,"&lt;="&amp;DATE(2026,6,21))</f>
        <v/>
      </c>
      <c r="FH91" s="116">
        <f>COUNTIFS('DRAFT 2'!$D:$D,$B91,'DRAFT 2'!$A:$A,"&gt;="&amp;DATE(2026,6,22),'DRAFT 2'!$A:$A,"&lt;"&amp;DATE(2026,IF(6=12,6+1,6+1),1))</f>
        <v/>
      </c>
      <c r="FI91" s="116">
        <f>SUM(FE91:FH91)</f>
        <v/>
      </c>
      <c r="FT91" s="116">
        <f>IFERROR(LOOKUP(2,1/('DRAFT 2'!$D:$D=$B91)*('DRAFT 2'!$A:$A&gt;=DATE(2026,7,1))*('DRAFT 2'!$A:$A&lt;DATE(2026,IF(7=12,7+1,7+1),1)),'DRAFT 2'!$A:$A),"")</f>
        <v/>
      </c>
      <c r="FU91" s="116">
        <f>COUNTIFS('DRAFT 2'!$D:$D,$B91,'DRAFT 2'!$A:$A,"&gt;="&amp;DATE(2026,7,1),'DRAFT 2'!$A:$A,"&lt;="&amp;DATE(2026,7,7))</f>
        <v/>
      </c>
      <c r="FV91" s="116">
        <f>COUNTIFS('DRAFT 2'!$D:$D,$B91,'DRAFT 2'!$A:$A,"&gt;="&amp;DATE(2026,7,8),'DRAFT 2'!$A:$A,"&lt;="&amp;DATE(2026,7,14))</f>
        <v/>
      </c>
      <c r="FW91" s="116">
        <f>COUNTIFS('DRAFT 2'!$D:$D,$B91,'DRAFT 2'!$A:$A,"&gt;="&amp;DATE(2026,7,15),'DRAFT 2'!$A:$A,"&lt;="&amp;DATE(2026,7,21))</f>
        <v/>
      </c>
      <c r="FX91" s="116">
        <f>COUNTIFS('DRAFT 2'!$D:$D,$B91,'DRAFT 2'!$A:$A,"&gt;="&amp;DATE(2026,7,22),'DRAFT 2'!$A:$A,"&lt;"&amp;DATE(2026,IF(7=12,7+1,7+1),1))</f>
        <v/>
      </c>
      <c r="FY91" s="116">
        <f>SUM(FU91:FX91)</f>
        <v/>
      </c>
      <c r="GI91" s="116">
        <f>IFERROR(LOOKUP(2,1/('DRAFT 2'!$D:$D=$B91)*('DRAFT 2'!$A:$A&gt;=DATE(2026,8,1))*('DRAFT 2'!$A:$A&lt;DATE(2026,IF(8=12,8+1,8+1),1)),'DRAFT 2'!$A:$A),"")</f>
        <v/>
      </c>
      <c r="GJ91" s="116">
        <f>COUNTIFS('DRAFT 2'!$D:$D,$B91,'DRAFT 2'!$A:$A,"&gt;="&amp;DATE(2026,8,1),'DRAFT 2'!$A:$A,"&lt;="&amp;DATE(2026,8,7))</f>
        <v/>
      </c>
      <c r="GK91" s="116">
        <f>COUNTIFS('DRAFT 2'!$D:$D,$B91,'DRAFT 2'!$A:$A,"&gt;="&amp;DATE(2026,8,8),'DRAFT 2'!$A:$A,"&lt;="&amp;DATE(2026,8,14))</f>
        <v/>
      </c>
      <c r="GL91" s="116">
        <f>COUNTIFS('DRAFT 2'!$D:$D,$B91,'DRAFT 2'!$A:$A,"&gt;="&amp;DATE(2026,8,15),'DRAFT 2'!$A:$A,"&lt;="&amp;DATE(2026,8,21))</f>
        <v/>
      </c>
      <c r="GM91" s="116">
        <f>COUNTIFS('DRAFT 2'!$D:$D,$B91,'DRAFT 2'!$A:$A,"&gt;="&amp;DATE(2026,8,22),'DRAFT 2'!$A:$A,"&lt;"&amp;DATE(2026,IF(8=12,8+1,8+1),1))</f>
        <v/>
      </c>
      <c r="GN91" s="116">
        <f>SUM(GJ91:GM91)</f>
        <v/>
      </c>
      <c r="GX91" s="116">
        <f>IFERROR(LOOKUP(2,1/('DRAFT 2'!$D:$D=$B91)*('DRAFT 2'!$A:$A&gt;=DATE(2026,9,1))*('DRAFT 2'!$A:$A&lt;DATE(2026,IF(9=12,9+1,9+1),1)),'DRAFT 2'!$A:$A),"")</f>
        <v/>
      </c>
      <c r="GY91" s="116">
        <f>COUNTIFS('DRAFT 2'!$D:$D,$B91,'DRAFT 2'!$A:$A,"&gt;="&amp;DATE(2026,9,1),'DRAFT 2'!$A:$A,"&lt;="&amp;DATE(2026,9,7))</f>
        <v/>
      </c>
      <c r="GZ91" s="116">
        <f>COUNTIFS('DRAFT 2'!$D:$D,$B91,'DRAFT 2'!$A:$A,"&gt;="&amp;DATE(2026,9,8),'DRAFT 2'!$A:$A,"&lt;="&amp;DATE(2026,9,14))</f>
        <v/>
      </c>
      <c r="HA91" s="116">
        <f>COUNTIFS('DRAFT 2'!$D:$D,$B91,'DRAFT 2'!$A:$A,"&gt;="&amp;DATE(2026,9,15),'DRAFT 2'!$A:$A,"&lt;="&amp;DATE(2026,9,21))</f>
        <v/>
      </c>
      <c r="HB91" s="116">
        <f>COUNTIFS('DRAFT 2'!$D:$D,$B91,'DRAFT 2'!$A:$A,"&gt;="&amp;DATE(2026,9,22),'DRAFT 2'!$A:$A,"&lt;"&amp;DATE(2026,IF(9=12,9+1,9+1),1))</f>
        <v/>
      </c>
      <c r="HC91" s="116">
        <f>SUM(GY91:HB91)</f>
        <v/>
      </c>
      <c r="HN91" s="116">
        <f>IFERROR(LOOKUP(2,1/('DRAFT 2'!$D:$D=$B91)*('DRAFT 2'!$A:$A&gt;=DATE(2026,10,1))*('DRAFT 2'!$A:$A&lt;DATE(2026,IF(10=12,10+1,10+1),1)),'DRAFT 2'!$A:$A),"")</f>
        <v/>
      </c>
      <c r="HO91" s="116">
        <f>COUNTIFS('DRAFT 2'!$D:$D,$B91,'DRAFT 2'!$A:$A,"&gt;="&amp;DATE(2026,10,1),'DRAFT 2'!$A:$A,"&lt;="&amp;DATE(2026,10,7))</f>
        <v/>
      </c>
      <c r="HP91" s="116">
        <f>COUNTIFS('DRAFT 2'!$D:$D,$B91,'DRAFT 2'!$A:$A,"&gt;="&amp;DATE(2026,10,8),'DRAFT 2'!$A:$A,"&lt;="&amp;DATE(2026,10,14))</f>
        <v/>
      </c>
      <c r="HQ91" s="116">
        <f>COUNTIFS('DRAFT 2'!$D:$D,$B91,'DRAFT 2'!$A:$A,"&gt;="&amp;DATE(2026,10,15),'DRAFT 2'!$A:$A,"&lt;="&amp;DATE(2026,10,21))</f>
        <v/>
      </c>
      <c r="HR91" s="116">
        <f>COUNTIFS('DRAFT 2'!$D:$D,$B91,'DRAFT 2'!$A:$A,"&gt;="&amp;DATE(2026,10,22),'DRAFT 2'!$A:$A,"&lt;"&amp;DATE(2026,IF(10=12,10+1,10+1),1))</f>
        <v/>
      </c>
      <c r="HS91" s="116">
        <f>SUM(HO91:HR91)</f>
        <v/>
      </c>
      <c r="IC91" s="116">
        <f>IFERROR(LOOKUP(2,1/('DRAFT 2'!$D:$D=$B91)*('DRAFT 2'!$A:$A&gt;=DATE(2026,11,1))*('DRAFT 2'!$A:$A&lt;DATE(2026,IF(11=12,11+1,11+1),1)),'DRAFT 2'!$A:$A),"")</f>
        <v/>
      </c>
      <c r="ID91" s="116">
        <f>COUNTIFS('DRAFT 2'!$D:$D,$B91,'DRAFT 2'!$A:$A,"&gt;="&amp;DATE(2026,11,1),'DRAFT 2'!$A:$A,"&lt;="&amp;DATE(2026,11,7))</f>
        <v/>
      </c>
      <c r="IE91" s="116">
        <f>COUNTIFS('DRAFT 2'!$D:$D,$B91,'DRAFT 2'!$A:$A,"&gt;="&amp;DATE(2026,11,8),'DRAFT 2'!$A:$A,"&lt;="&amp;DATE(2026,11,14))</f>
        <v/>
      </c>
      <c r="IF91" s="116">
        <f>COUNTIFS('DRAFT 2'!$D:$D,$B91,'DRAFT 2'!$A:$A,"&gt;="&amp;DATE(2026,11,15),'DRAFT 2'!$A:$A,"&lt;="&amp;DATE(2026,11,21))</f>
        <v/>
      </c>
      <c r="IG91" s="116">
        <f>COUNTIFS('DRAFT 2'!$D:$D,$B91,'DRAFT 2'!$A:$A,"&gt;="&amp;DATE(2026,11,22),'DRAFT 2'!$A:$A,"&lt;"&amp;DATE(2026,IF(11=12,11+1,11+1),1))</f>
        <v/>
      </c>
      <c r="IH91" s="116">
        <f>SUM(ID91:IG91)</f>
        <v/>
      </c>
      <c r="IR91" s="116">
        <f>IFERROR(LOOKUP(2,1/('DRAFT 2'!$D:$D=$B91)*('DRAFT 2'!$A:$A&gt;=DATE(2026,12,1))*('DRAFT 2'!$A:$A&lt;DATE(2026,IF(12=12,12+1,12+1),1)),'DRAFT 2'!$A:$A),"")</f>
        <v/>
      </c>
      <c r="IS91" s="116">
        <f>COUNTIFS('DRAFT 2'!$D:$D,$B91,'DRAFT 2'!$A:$A,"&gt;="&amp;DATE(2026,12,1),'DRAFT 2'!$A:$A,"&lt;="&amp;DATE(2026,12,7))</f>
        <v/>
      </c>
      <c r="IT91" s="116">
        <f>COUNTIFS('DRAFT 2'!$D:$D,$B91,'DRAFT 2'!$A:$A,"&gt;="&amp;DATE(2026,12,8),'DRAFT 2'!$A:$A,"&lt;="&amp;DATE(2026,12,14))</f>
        <v/>
      </c>
      <c r="IU91" s="116">
        <f>COUNTIFS('DRAFT 2'!$D:$D,$B91,'DRAFT 2'!$A:$A,"&gt;="&amp;DATE(2026,12,15),'DRAFT 2'!$A:$A,"&lt;="&amp;DATE(2026,12,21))</f>
        <v/>
      </c>
      <c r="IV91" s="116">
        <f>COUNTIFS('DRAFT 2'!$D:$D,$B91,'DRAFT 2'!$A:$A,"&gt;="&amp;DATE(2026,12,22),'DRAFT 2'!$A:$A,"&lt;"&amp;DATE(2026,IF(12=12,12+1,12+1),1))</f>
        <v/>
      </c>
      <c r="IW91" s="116">
        <f>SUM(IS91:IV91)</f>
        <v/>
      </c>
    </row>
    <row r="92">
      <c r="A92" s="116">
        <f>IFERROR(INDEX('DRAFT 1'!$A:$A,MATCH($B92,'DRAFT 1'!$B:$B,0)),"")</f>
        <v/>
      </c>
      <c r="C92" s="116">
        <f>IFERROR(INDEX('DRAFT 1'!$C:$C,MATCH($B92,'DRAFT 1'!$B:$B,0)),"")</f>
        <v/>
      </c>
      <c r="D92" s="116">
        <f>IFERROR(INDEX('DRAFT 1'!$D:$D,MATCH($B92,'DRAFT 1'!$B:$B,0)),"")</f>
        <v/>
      </c>
      <c r="E92" s="116">
        <f>IFERROR(INDEX('DRAFT 1'!$E:$E,MATCH($B92,'DRAFT 1'!$B:$B,0)),"")</f>
        <v/>
      </c>
      <c r="F92" s="116">
        <f>IFERROR(INDEX('DRAFT 1'!$F:$F,MATCH($B92,'DRAFT 1'!$B:$B,0)),"")</f>
        <v/>
      </c>
      <c r="G92" s="116">
        <f>IFERROR(INDEX('DRAFT 1'!$G:$G,MATCH($B92,'DRAFT 1'!$B:$B,0)),"")</f>
        <v/>
      </c>
      <c r="H92" s="116">
        <f>IFERROR(INDEX('DRAFT 1'!$H:$H,MATCH($B92,'DRAFT 1'!$B:$B,0)),"")</f>
        <v/>
      </c>
      <c r="I92" s="116" t="inlineStr">
        <is>
          <t>BIOMUNDO</t>
        </is>
      </c>
      <c r="K92" s="116">
        <f>IFERROR(INDEX('DRAFT 1'!$AL:$AL,MATCH($B92,'DRAFT 1'!$B:$B,0)),"")</f>
        <v/>
      </c>
      <c r="L92" s="116">
        <f>IFERROR(INDEX('DRAFT 1'!$J:$J,MATCH($B92,'DRAFT 1'!$B:$B,0)),"")</f>
        <v/>
      </c>
      <c r="M92" s="116">
        <f>IFERROR(INDEX('DRAFT 1'!$K:$K,MATCH($B92,'DRAFT 1'!$B:$B,0)),"")</f>
        <v/>
      </c>
      <c r="N92" s="116" t="inlineStr">
        <is>
          <t>INAT.ANT</t>
        </is>
      </c>
      <c r="P92" s="116">
        <f>IFERROR(INDEX('DRAFT 1'!$L:$L,MATCH($B92,'DRAFT 1'!$B:$B,0)),"")</f>
        <v/>
      </c>
      <c r="Q92" s="116">
        <f>IFERROR(INDEX('DRAFT 1'!$M:$M,MATCH($B92,'DRAFT 1'!$B:$B,0)),"")</f>
        <v/>
      </c>
      <c r="R92" s="116">
        <f>IFERROR(INDEX('DRAFT 1'!$N:$N,MATCH($B92,'DRAFT 1'!$B:$B,0)),"")</f>
        <v/>
      </c>
      <c r="S92" s="116">
        <f>IFERROR(INDEX('DRAFT 1'!$O:$O,MATCH($B92,'DRAFT 1'!$B:$B,0)),"")</f>
        <v/>
      </c>
      <c r="T92" s="116">
        <f>IFERROR(INDEX('DRAFT 1'!$P:$P,MATCH($B92,'DRAFT 1'!$B:$B,0)),"")</f>
        <v/>
      </c>
      <c r="U92" s="116">
        <f>IFERROR(INDEX('DRAFT 1'!$Q:$Q,MATCH($B92,'DRAFT 1'!$B:$B,0)),"")</f>
        <v/>
      </c>
      <c r="V92" s="116">
        <f>IFERROR(INDEX('DRAFT 1'!$R:$R,MATCH($B92,'DRAFT 1'!$B:$B,0)),"")</f>
        <v/>
      </c>
      <c r="W92" s="116">
        <f>IFERROR(INDEX('DRAFT 1'!$S:$S,MATCH($B92,'DRAFT 1'!$B:$B,0)),"")</f>
        <v/>
      </c>
      <c r="X92" s="116">
        <f>IFERROR(INDEX('DRAFT 1'!$T:$T,MATCH($B92,'DRAFT 1'!$B:$B,0)),"")</f>
        <v/>
      </c>
      <c r="Z92" s="116">
        <f>IFERROR(INDEX('DRAFT 1'!$U:$U,MATCH($B92,'DRAFT 1'!$B:$B,0)),"")</f>
        <v/>
      </c>
      <c r="AA92" s="116">
        <f>IFERROR(INDEX('DRAFT 1'!$V:$V,MATCH($B92,'DRAFT 1'!$B:$B,0)),"")</f>
        <v/>
      </c>
      <c r="AB92" s="116">
        <f>IFERROR(INDEX('DRAFT 1'!$W:$W,MATCH($B92,'DRAFT 1'!$B:$B,0)),"")</f>
        <v/>
      </c>
      <c r="AC92" s="116">
        <f>IFERROR(INDEX('DRAFT 1'!$X:$X,MATCH($B92,'DRAFT 1'!$B:$B,0)),"")</f>
        <v/>
      </c>
      <c r="AD92" s="116">
        <f>IFERROR(INDEX('DRAFT 1'!$Y:$Y,MATCH($B92,'DRAFT 1'!$B:$B,0)),"")</f>
        <v/>
      </c>
      <c r="AE92" s="116">
        <f>IFERROR(INDEX('DRAFT 1'!$Z:$Z,MATCH($B92,'DRAFT 1'!$B:$B,0)),"")</f>
        <v/>
      </c>
      <c r="AF92" s="116">
        <f>IFERROR(INDEX('DRAFT 1'!$AA:$AA,MATCH($B92,'DRAFT 1'!$B:$B,0)),"")</f>
        <v/>
      </c>
      <c r="AG92" s="116">
        <f>IFERROR(INDEX('DRAFT 1'!$AB:$AB,MATCH($B92,'DRAFT 1'!$B:$B,0)),"")</f>
        <v/>
      </c>
      <c r="AH92" s="116">
        <f>IFERROR(INDEX('DRAFT 1'!$AC:$AC,MATCH($B92,'DRAFT 1'!$B:$B,0)),"")</f>
        <v/>
      </c>
      <c r="AI92" s="116">
        <f>IFERROR(INDEX('DRAFT 1'!$AD:$AD,MATCH($B92,'DRAFT 1'!$B:$B,0)),"")</f>
        <v/>
      </c>
      <c r="AJ92" s="116">
        <f>IFERROR(INDEX('DRAFT 1'!$AE:$AE,MATCH($B92,'DRAFT 1'!$B:$B,0)),"")</f>
        <v/>
      </c>
      <c r="AK92" s="116">
        <f>IFERROR(INDEX('DRAFT 1'!$AG:$AG,MATCH($B92,'DRAFT 1'!$B:$B,0)),"")</f>
        <v/>
      </c>
      <c r="AL92" s="116">
        <f>IFERROR(INDEX('DRAFT 1'!$AH:$AH,MATCH($B92,'DRAFT 1'!$B:$B,0)),"")</f>
        <v/>
      </c>
      <c r="AM92" s="116">
        <f>IFERROR(INDEX('DRAFT 1'!$AI:$AI,MATCH($B92,'DRAFT 1'!$B:$B,0)),"")</f>
        <v/>
      </c>
      <c r="AN92" s="116">
        <f>IFERROR(INDEX('DRAFT 1'!$AJ:$AJ,MATCH($B92,'DRAFT 1'!$B:$B,0)),"")</f>
        <v/>
      </c>
      <c r="AO92" s="116">
        <f>IFERROR(Y92/AN92,0)</f>
        <v/>
      </c>
      <c r="AP92" s="116">
        <f>IFERROR(INDEX('DRAFT 1'!$AK:$AK,MATCH($B92,'DRAFT 1'!$B:$B,0)),"")</f>
        <v/>
      </c>
      <c r="AR92" s="116" t="inlineStr">
        <is>
          <t>RECUPERAÇÃO</t>
        </is>
      </c>
      <c r="AS92" s="116">
        <f>IFERROR(LOOKUP(2,1/('DRAFT 2'!$D:$D=$B92),'DRAFT 2'!$T:$T),"")</f>
        <v/>
      </c>
      <c r="AT92" s="116">
        <f>IFERROR(LOOKUP(2,1/('DRAFT 2'!$D:$D=$B92),'DRAFT 2'!$A:$A),"")</f>
        <v/>
      </c>
      <c r="AU92" s="116">
        <f>IFERROR(LOOKUP(2,1/('DRAFT 2'!$D:$D=$B92),'DRAFT 2'!$R:$R),"")</f>
        <v/>
      </c>
      <c r="AV92" s="116">
        <f>IFERROR(LOOKUP(2,1/('DRAFT 2'!$D:$D=$B92),'DRAFT 2'!$S:$S),"")</f>
        <v/>
      </c>
      <c r="AW92" s="116" t="inlineStr">
        <is>
          <t>FIDELIZADO</t>
        </is>
      </c>
      <c r="AX92" s="116">
        <f>IFERROR(LOOKUP(2,1/('DRAFT 2'!$D:$D=$B92),'DRAFT 2'!$M:$M),"")</f>
        <v/>
      </c>
      <c r="AY92" s="116">
        <f>IFERROR(LOOKUP(2,1/('DRAFT 2'!$D:$D=$B92),'DRAFT 2'!$K:$K),"")</f>
        <v/>
      </c>
      <c r="BG92" s="116">
        <f>IFERROR(LOOKUP(2,1/('DRAFT 2'!$D:$D=$B92),'DRAFT 2'!$U:$U),"")</f>
        <v/>
      </c>
      <c r="BH92" s="116">
        <f>IFERROR(LOOKUP(2,1/('DRAFT 2'!$D:$D=$B92),'DRAFT 2'!$V:$V),"")</f>
        <v/>
      </c>
      <c r="CE92" s="116">
        <f>IFERROR(AJ92,0)</f>
        <v/>
      </c>
      <c r="CF92" s="116">
        <f>IFERROR(LOOKUP(2,1/('DRAFT 2'!$D:$D=$B92)*('DRAFT 2'!$A:$A&gt;=DATE(2026,1,1))*('DRAFT 2'!$A:$A&lt;DATE(2026,IF(1=12,1+1,1+1),1)),'DRAFT 2'!$A:$A),"")</f>
        <v/>
      </c>
      <c r="CG92" s="116">
        <f>COUNTIFS('DRAFT 2'!$D:$D,$B92,'DRAFT 2'!$A:$A,"&gt;="&amp;DATE(2026,1,1),'DRAFT 2'!$A:$A,"&lt;="&amp;DATE(2026,1,7))</f>
        <v/>
      </c>
      <c r="CH92" s="116">
        <f>COUNTIFS('DRAFT 2'!$D:$D,$B92,'DRAFT 2'!$A:$A,"&gt;="&amp;DATE(2026,1,8),'DRAFT 2'!$A:$A,"&lt;="&amp;DATE(2026,1,14))</f>
        <v/>
      </c>
      <c r="CI92" s="116">
        <f>COUNTIFS('DRAFT 2'!$D:$D,$B92,'DRAFT 2'!$A:$A,"&gt;="&amp;DATE(2026,1,15),'DRAFT 2'!$A:$A,"&lt;="&amp;DATE(2026,1,21))</f>
        <v/>
      </c>
      <c r="CJ92" s="116">
        <f>COUNTIFS('DRAFT 2'!$D:$D,$B92,'DRAFT 2'!$A:$A,"&gt;="&amp;DATE(2026,1,22),'DRAFT 2'!$A:$A,"&lt;"&amp;DATE(2026,IF(1=12,1+1,1+1),1))</f>
        <v/>
      </c>
      <c r="CK92" s="116">
        <f>SUM(CG92:CJ92)</f>
        <v/>
      </c>
      <c r="CT92" s="116" t="n">
        <v>0</v>
      </c>
      <c r="CU92" s="116">
        <f>IFERROR(LOOKUP(2,1/('DRAFT 2'!$D:$D=$B92)*('DRAFT 2'!$A:$A&gt;=DATE(2026,2,1))*('DRAFT 2'!$A:$A&lt;DATE(2026,IF(2=12,2+1,2+1),1)),'DRAFT 2'!$A:$A),"")</f>
        <v/>
      </c>
      <c r="CV92" s="116">
        <f>COUNTIFS('DRAFT 2'!$D:$D,$B92,'DRAFT 2'!$A:$A,"&gt;="&amp;DATE(2026,2,1),'DRAFT 2'!$A:$A,"&lt;="&amp;DATE(2026,2,7))</f>
        <v/>
      </c>
      <c r="CW92" s="116">
        <f>COUNTIFS('DRAFT 2'!$D:$D,$B92,'DRAFT 2'!$A:$A,"&gt;="&amp;DATE(2026,2,8),'DRAFT 2'!$A:$A,"&lt;="&amp;DATE(2026,2,14))</f>
        <v/>
      </c>
      <c r="CX92" s="116">
        <f>COUNTIFS('DRAFT 2'!$D:$D,$B92,'DRAFT 2'!$A:$A,"&gt;="&amp;DATE(2026,2,15),'DRAFT 2'!$A:$A,"&lt;="&amp;DATE(2026,2,21))</f>
        <v/>
      </c>
      <c r="CY92" s="116">
        <f>COUNTIFS('DRAFT 2'!$D:$D,$B92,'DRAFT 2'!$A:$A,"&gt;="&amp;DATE(2026,2,22),'DRAFT 2'!$A:$A,"&lt;"&amp;DATE(2026,IF(2=12,2+1,2+1),1))</f>
        <v/>
      </c>
      <c r="CZ92" s="116">
        <f>SUM(CV92:CY92)</f>
        <v/>
      </c>
      <c r="DJ92" s="116">
        <f>IFERROR(LOOKUP(2,1/('DRAFT 2'!$D:$D=$B92)*('DRAFT 2'!$A:$A&gt;=DATE(2026,3,1))*('DRAFT 2'!$A:$A&lt;DATE(2026,IF(3=12,3+1,3+1),1)),'DRAFT 2'!$A:$A),"")</f>
        <v/>
      </c>
      <c r="DK92" s="116">
        <f>COUNTIFS('DRAFT 2'!$D:$D,$B92,'DRAFT 2'!$A:$A,"&gt;="&amp;DATE(2026,3,1),'DRAFT 2'!$A:$A,"&lt;="&amp;DATE(2026,3,7))</f>
        <v/>
      </c>
      <c r="DL92" s="116">
        <f>COUNTIFS('DRAFT 2'!$D:$D,$B92,'DRAFT 2'!$A:$A,"&gt;="&amp;DATE(2026,3,8),'DRAFT 2'!$A:$A,"&lt;="&amp;DATE(2026,3,14))</f>
        <v/>
      </c>
      <c r="DM92" s="116">
        <f>COUNTIFS('DRAFT 2'!$D:$D,$B92,'DRAFT 2'!$A:$A,"&gt;="&amp;DATE(2026,3,15),'DRAFT 2'!$A:$A,"&lt;="&amp;DATE(2026,3,21))</f>
        <v/>
      </c>
      <c r="DN92" s="116">
        <f>COUNTIFS('DRAFT 2'!$D:$D,$B92,'DRAFT 2'!$A:$A,"&gt;="&amp;DATE(2026,3,22),'DRAFT 2'!$A:$A,"&lt;"&amp;DATE(2026,IF(3=12,3+1,3+1),1))</f>
        <v/>
      </c>
      <c r="DO92" s="116">
        <f>SUM(DK92:DN92)</f>
        <v/>
      </c>
      <c r="DZ92" s="116">
        <f>IFERROR(LOOKUP(2,1/('DRAFT 2'!$D:$D=$B92)*('DRAFT 2'!$A:$A&gt;=DATE(2026,4,1))*('DRAFT 2'!$A:$A&lt;DATE(2026,IF(4=12,4+1,4+1),1)),'DRAFT 2'!$A:$A),"")</f>
        <v/>
      </c>
      <c r="EA92" s="116">
        <f>COUNTIFS('DRAFT 2'!$D:$D,$B92,'DRAFT 2'!$A:$A,"&gt;="&amp;DATE(2026,4,1),'DRAFT 2'!$A:$A,"&lt;="&amp;DATE(2026,4,7))</f>
        <v/>
      </c>
      <c r="EB92" s="116">
        <f>COUNTIFS('DRAFT 2'!$D:$D,$B92,'DRAFT 2'!$A:$A,"&gt;="&amp;DATE(2026,4,8),'DRAFT 2'!$A:$A,"&lt;="&amp;DATE(2026,4,14))</f>
        <v/>
      </c>
      <c r="EC92" s="116">
        <f>COUNTIFS('DRAFT 2'!$D:$D,$B92,'DRAFT 2'!$A:$A,"&gt;="&amp;DATE(2026,4,15),'DRAFT 2'!$A:$A,"&lt;="&amp;DATE(2026,4,21))</f>
        <v/>
      </c>
      <c r="ED92" s="116">
        <f>COUNTIFS('DRAFT 2'!$D:$D,$B92,'DRAFT 2'!$A:$A,"&gt;="&amp;DATE(2026,4,22),'DRAFT 2'!$A:$A,"&lt;"&amp;DATE(2026,IF(4=12,4+1,4+1),1))</f>
        <v/>
      </c>
      <c r="EE92" s="116">
        <f>SUM(EA92:ED92)</f>
        <v/>
      </c>
      <c r="EO92" s="116">
        <f>IFERROR(LOOKUP(2,1/('DRAFT 2'!$D:$D=$B92)*('DRAFT 2'!$A:$A&gt;=DATE(2026,5,1))*('DRAFT 2'!$A:$A&lt;DATE(2026,IF(5=12,5+1,5+1),1)),'DRAFT 2'!$A:$A),"")</f>
        <v/>
      </c>
      <c r="EP92" s="116">
        <f>COUNTIFS('DRAFT 2'!$D:$D,$B92,'DRAFT 2'!$A:$A,"&gt;="&amp;DATE(2026,5,1),'DRAFT 2'!$A:$A,"&lt;="&amp;DATE(2026,5,7))</f>
        <v/>
      </c>
      <c r="EQ92" s="116">
        <f>COUNTIFS('DRAFT 2'!$D:$D,$B92,'DRAFT 2'!$A:$A,"&gt;="&amp;DATE(2026,5,8),'DRAFT 2'!$A:$A,"&lt;="&amp;DATE(2026,5,14))</f>
        <v/>
      </c>
      <c r="ER92" s="116">
        <f>COUNTIFS('DRAFT 2'!$D:$D,$B92,'DRAFT 2'!$A:$A,"&gt;="&amp;DATE(2026,5,15),'DRAFT 2'!$A:$A,"&lt;="&amp;DATE(2026,5,21))</f>
        <v/>
      </c>
      <c r="ES92" s="116">
        <f>COUNTIFS('DRAFT 2'!$D:$D,$B92,'DRAFT 2'!$A:$A,"&gt;="&amp;DATE(2026,5,22),'DRAFT 2'!$A:$A,"&lt;"&amp;DATE(2026,IF(5=12,5+1,5+1),1))</f>
        <v/>
      </c>
      <c r="ET92" s="116">
        <f>SUM(EP92:ES92)</f>
        <v/>
      </c>
      <c r="FD92" s="116">
        <f>IFERROR(LOOKUP(2,1/('DRAFT 2'!$D:$D=$B92)*('DRAFT 2'!$A:$A&gt;=DATE(2026,6,1))*('DRAFT 2'!$A:$A&lt;DATE(2026,IF(6=12,6+1,6+1),1)),'DRAFT 2'!$A:$A),"")</f>
        <v/>
      </c>
      <c r="FE92" s="116">
        <f>COUNTIFS('DRAFT 2'!$D:$D,$B92,'DRAFT 2'!$A:$A,"&gt;="&amp;DATE(2026,6,1),'DRAFT 2'!$A:$A,"&lt;="&amp;DATE(2026,6,7))</f>
        <v/>
      </c>
      <c r="FF92" s="116">
        <f>COUNTIFS('DRAFT 2'!$D:$D,$B92,'DRAFT 2'!$A:$A,"&gt;="&amp;DATE(2026,6,8),'DRAFT 2'!$A:$A,"&lt;="&amp;DATE(2026,6,14))</f>
        <v/>
      </c>
      <c r="FG92" s="116">
        <f>COUNTIFS('DRAFT 2'!$D:$D,$B92,'DRAFT 2'!$A:$A,"&gt;="&amp;DATE(2026,6,15),'DRAFT 2'!$A:$A,"&lt;="&amp;DATE(2026,6,21))</f>
        <v/>
      </c>
      <c r="FH92" s="116">
        <f>COUNTIFS('DRAFT 2'!$D:$D,$B92,'DRAFT 2'!$A:$A,"&gt;="&amp;DATE(2026,6,22),'DRAFT 2'!$A:$A,"&lt;"&amp;DATE(2026,IF(6=12,6+1,6+1),1))</f>
        <v/>
      </c>
      <c r="FI92" s="116">
        <f>SUM(FE92:FH92)</f>
        <v/>
      </c>
      <c r="FT92" s="116">
        <f>IFERROR(LOOKUP(2,1/('DRAFT 2'!$D:$D=$B92)*('DRAFT 2'!$A:$A&gt;=DATE(2026,7,1))*('DRAFT 2'!$A:$A&lt;DATE(2026,IF(7=12,7+1,7+1),1)),'DRAFT 2'!$A:$A),"")</f>
        <v/>
      </c>
      <c r="FU92" s="116">
        <f>COUNTIFS('DRAFT 2'!$D:$D,$B92,'DRAFT 2'!$A:$A,"&gt;="&amp;DATE(2026,7,1),'DRAFT 2'!$A:$A,"&lt;="&amp;DATE(2026,7,7))</f>
        <v/>
      </c>
      <c r="FV92" s="116">
        <f>COUNTIFS('DRAFT 2'!$D:$D,$B92,'DRAFT 2'!$A:$A,"&gt;="&amp;DATE(2026,7,8),'DRAFT 2'!$A:$A,"&lt;="&amp;DATE(2026,7,14))</f>
        <v/>
      </c>
      <c r="FW92" s="116">
        <f>COUNTIFS('DRAFT 2'!$D:$D,$B92,'DRAFT 2'!$A:$A,"&gt;="&amp;DATE(2026,7,15),'DRAFT 2'!$A:$A,"&lt;="&amp;DATE(2026,7,21))</f>
        <v/>
      </c>
      <c r="FX92" s="116">
        <f>COUNTIFS('DRAFT 2'!$D:$D,$B92,'DRAFT 2'!$A:$A,"&gt;="&amp;DATE(2026,7,22),'DRAFT 2'!$A:$A,"&lt;"&amp;DATE(2026,IF(7=12,7+1,7+1),1))</f>
        <v/>
      </c>
      <c r="FY92" s="116">
        <f>SUM(FU92:FX92)</f>
        <v/>
      </c>
      <c r="GI92" s="116">
        <f>IFERROR(LOOKUP(2,1/('DRAFT 2'!$D:$D=$B92)*('DRAFT 2'!$A:$A&gt;=DATE(2026,8,1))*('DRAFT 2'!$A:$A&lt;DATE(2026,IF(8=12,8+1,8+1),1)),'DRAFT 2'!$A:$A),"")</f>
        <v/>
      </c>
      <c r="GJ92" s="116">
        <f>COUNTIFS('DRAFT 2'!$D:$D,$B92,'DRAFT 2'!$A:$A,"&gt;="&amp;DATE(2026,8,1),'DRAFT 2'!$A:$A,"&lt;="&amp;DATE(2026,8,7))</f>
        <v/>
      </c>
      <c r="GK92" s="116">
        <f>COUNTIFS('DRAFT 2'!$D:$D,$B92,'DRAFT 2'!$A:$A,"&gt;="&amp;DATE(2026,8,8),'DRAFT 2'!$A:$A,"&lt;="&amp;DATE(2026,8,14))</f>
        <v/>
      </c>
      <c r="GL92" s="116">
        <f>COUNTIFS('DRAFT 2'!$D:$D,$B92,'DRAFT 2'!$A:$A,"&gt;="&amp;DATE(2026,8,15),'DRAFT 2'!$A:$A,"&lt;="&amp;DATE(2026,8,21))</f>
        <v/>
      </c>
      <c r="GM92" s="116">
        <f>COUNTIFS('DRAFT 2'!$D:$D,$B92,'DRAFT 2'!$A:$A,"&gt;="&amp;DATE(2026,8,22),'DRAFT 2'!$A:$A,"&lt;"&amp;DATE(2026,IF(8=12,8+1,8+1),1))</f>
        <v/>
      </c>
      <c r="GN92" s="116">
        <f>SUM(GJ92:GM92)</f>
        <v/>
      </c>
      <c r="GX92" s="116">
        <f>IFERROR(LOOKUP(2,1/('DRAFT 2'!$D:$D=$B92)*('DRAFT 2'!$A:$A&gt;=DATE(2026,9,1))*('DRAFT 2'!$A:$A&lt;DATE(2026,IF(9=12,9+1,9+1),1)),'DRAFT 2'!$A:$A),"")</f>
        <v/>
      </c>
      <c r="GY92" s="116">
        <f>COUNTIFS('DRAFT 2'!$D:$D,$B92,'DRAFT 2'!$A:$A,"&gt;="&amp;DATE(2026,9,1),'DRAFT 2'!$A:$A,"&lt;="&amp;DATE(2026,9,7))</f>
        <v/>
      </c>
      <c r="GZ92" s="116">
        <f>COUNTIFS('DRAFT 2'!$D:$D,$B92,'DRAFT 2'!$A:$A,"&gt;="&amp;DATE(2026,9,8),'DRAFT 2'!$A:$A,"&lt;="&amp;DATE(2026,9,14))</f>
        <v/>
      </c>
      <c r="HA92" s="116">
        <f>COUNTIFS('DRAFT 2'!$D:$D,$B92,'DRAFT 2'!$A:$A,"&gt;="&amp;DATE(2026,9,15),'DRAFT 2'!$A:$A,"&lt;="&amp;DATE(2026,9,21))</f>
        <v/>
      </c>
      <c r="HB92" s="116">
        <f>COUNTIFS('DRAFT 2'!$D:$D,$B92,'DRAFT 2'!$A:$A,"&gt;="&amp;DATE(2026,9,22),'DRAFT 2'!$A:$A,"&lt;"&amp;DATE(2026,IF(9=12,9+1,9+1),1))</f>
        <v/>
      </c>
      <c r="HC92" s="116">
        <f>SUM(GY92:HB92)</f>
        <v/>
      </c>
      <c r="HN92" s="116">
        <f>IFERROR(LOOKUP(2,1/('DRAFT 2'!$D:$D=$B92)*('DRAFT 2'!$A:$A&gt;=DATE(2026,10,1))*('DRAFT 2'!$A:$A&lt;DATE(2026,IF(10=12,10+1,10+1),1)),'DRAFT 2'!$A:$A),"")</f>
        <v/>
      </c>
      <c r="HO92" s="116">
        <f>COUNTIFS('DRAFT 2'!$D:$D,$B92,'DRAFT 2'!$A:$A,"&gt;="&amp;DATE(2026,10,1),'DRAFT 2'!$A:$A,"&lt;="&amp;DATE(2026,10,7))</f>
        <v/>
      </c>
      <c r="HP92" s="116">
        <f>COUNTIFS('DRAFT 2'!$D:$D,$B92,'DRAFT 2'!$A:$A,"&gt;="&amp;DATE(2026,10,8),'DRAFT 2'!$A:$A,"&lt;="&amp;DATE(2026,10,14))</f>
        <v/>
      </c>
      <c r="HQ92" s="116">
        <f>COUNTIFS('DRAFT 2'!$D:$D,$B92,'DRAFT 2'!$A:$A,"&gt;="&amp;DATE(2026,10,15),'DRAFT 2'!$A:$A,"&lt;="&amp;DATE(2026,10,21))</f>
        <v/>
      </c>
      <c r="HR92" s="116">
        <f>COUNTIFS('DRAFT 2'!$D:$D,$B92,'DRAFT 2'!$A:$A,"&gt;="&amp;DATE(2026,10,22),'DRAFT 2'!$A:$A,"&lt;"&amp;DATE(2026,IF(10=12,10+1,10+1),1))</f>
        <v/>
      </c>
      <c r="HS92" s="116">
        <f>SUM(HO92:HR92)</f>
        <v/>
      </c>
      <c r="IC92" s="116">
        <f>IFERROR(LOOKUP(2,1/('DRAFT 2'!$D:$D=$B92)*('DRAFT 2'!$A:$A&gt;=DATE(2026,11,1))*('DRAFT 2'!$A:$A&lt;DATE(2026,IF(11=12,11+1,11+1),1)),'DRAFT 2'!$A:$A),"")</f>
        <v/>
      </c>
      <c r="ID92" s="116">
        <f>COUNTIFS('DRAFT 2'!$D:$D,$B92,'DRAFT 2'!$A:$A,"&gt;="&amp;DATE(2026,11,1),'DRAFT 2'!$A:$A,"&lt;="&amp;DATE(2026,11,7))</f>
        <v/>
      </c>
      <c r="IE92" s="116">
        <f>COUNTIFS('DRAFT 2'!$D:$D,$B92,'DRAFT 2'!$A:$A,"&gt;="&amp;DATE(2026,11,8),'DRAFT 2'!$A:$A,"&lt;="&amp;DATE(2026,11,14))</f>
        <v/>
      </c>
      <c r="IF92" s="116">
        <f>COUNTIFS('DRAFT 2'!$D:$D,$B92,'DRAFT 2'!$A:$A,"&gt;="&amp;DATE(2026,11,15),'DRAFT 2'!$A:$A,"&lt;="&amp;DATE(2026,11,21))</f>
        <v/>
      </c>
      <c r="IG92" s="116">
        <f>COUNTIFS('DRAFT 2'!$D:$D,$B92,'DRAFT 2'!$A:$A,"&gt;="&amp;DATE(2026,11,22),'DRAFT 2'!$A:$A,"&lt;"&amp;DATE(2026,IF(11=12,11+1,11+1),1))</f>
        <v/>
      </c>
      <c r="IH92" s="116">
        <f>SUM(ID92:IG92)</f>
        <v/>
      </c>
      <c r="IR92" s="116">
        <f>IFERROR(LOOKUP(2,1/('DRAFT 2'!$D:$D=$B92)*('DRAFT 2'!$A:$A&gt;=DATE(2026,12,1))*('DRAFT 2'!$A:$A&lt;DATE(2026,IF(12=12,12+1,12+1),1)),'DRAFT 2'!$A:$A),"")</f>
        <v/>
      </c>
      <c r="IS92" s="116">
        <f>COUNTIFS('DRAFT 2'!$D:$D,$B92,'DRAFT 2'!$A:$A,"&gt;="&amp;DATE(2026,12,1),'DRAFT 2'!$A:$A,"&lt;="&amp;DATE(2026,12,7))</f>
        <v/>
      </c>
      <c r="IT92" s="116">
        <f>COUNTIFS('DRAFT 2'!$D:$D,$B92,'DRAFT 2'!$A:$A,"&gt;="&amp;DATE(2026,12,8),'DRAFT 2'!$A:$A,"&lt;="&amp;DATE(2026,12,14))</f>
        <v/>
      </c>
      <c r="IU92" s="116">
        <f>COUNTIFS('DRAFT 2'!$D:$D,$B92,'DRAFT 2'!$A:$A,"&gt;="&amp;DATE(2026,12,15),'DRAFT 2'!$A:$A,"&lt;="&amp;DATE(2026,12,21))</f>
        <v/>
      </c>
      <c r="IV92" s="116">
        <f>COUNTIFS('DRAFT 2'!$D:$D,$B92,'DRAFT 2'!$A:$A,"&gt;="&amp;DATE(2026,12,22),'DRAFT 2'!$A:$A,"&lt;"&amp;DATE(2026,IF(12=12,12+1,12+1),1))</f>
        <v/>
      </c>
      <c r="IW92" s="116">
        <f>SUM(IS92:IV92)</f>
        <v/>
      </c>
    </row>
    <row r="93">
      <c r="A93" s="116">
        <f>IFERROR(INDEX('DRAFT 1'!$A:$A,MATCH($B93,'DRAFT 1'!$B:$B,0)),"")</f>
        <v/>
      </c>
      <c r="C93" s="116">
        <f>IFERROR(INDEX('DRAFT 1'!$C:$C,MATCH($B93,'DRAFT 1'!$B:$B,0)),"")</f>
        <v/>
      </c>
      <c r="D93" s="116">
        <f>IFERROR(INDEX('DRAFT 1'!$D:$D,MATCH($B93,'DRAFT 1'!$B:$B,0)),"")</f>
        <v/>
      </c>
      <c r="E93" s="116">
        <f>IFERROR(INDEX('DRAFT 1'!$E:$E,MATCH($B93,'DRAFT 1'!$B:$B,0)),"")</f>
        <v/>
      </c>
      <c r="F93" s="116">
        <f>IFERROR(INDEX('DRAFT 1'!$F:$F,MATCH($B93,'DRAFT 1'!$B:$B,0)),"")</f>
        <v/>
      </c>
      <c r="G93" s="116">
        <f>IFERROR(INDEX('DRAFT 1'!$G:$G,MATCH($B93,'DRAFT 1'!$B:$B,0)),"")</f>
        <v/>
      </c>
      <c r="H93" s="116">
        <f>IFERROR(INDEX('DRAFT 1'!$H:$H,MATCH($B93,'DRAFT 1'!$B:$B,0)),"")</f>
        <v/>
      </c>
      <c r="I93" s="116" t="inlineStr">
        <is>
          <t>DEMAIS CLIENTES</t>
        </is>
      </c>
      <c r="K93" s="116">
        <f>IFERROR(INDEX('DRAFT 1'!$AL:$AL,MATCH($B93,'DRAFT 1'!$B:$B,0)),"")</f>
        <v/>
      </c>
      <c r="L93" s="116">
        <f>IFERROR(INDEX('DRAFT 1'!$J:$J,MATCH($B93,'DRAFT 1'!$B:$B,0)),"")</f>
        <v/>
      </c>
      <c r="M93" s="116">
        <f>IFERROR(INDEX('DRAFT 1'!$K:$K,MATCH($B93,'DRAFT 1'!$B:$B,0)),"")</f>
        <v/>
      </c>
      <c r="N93" s="116" t="inlineStr">
        <is>
          <t>PROSPECT</t>
        </is>
      </c>
      <c r="P93" s="116">
        <f>IFERROR(INDEX('DRAFT 1'!$L:$L,MATCH($B93,'DRAFT 1'!$B:$B,0)),"")</f>
        <v/>
      </c>
      <c r="Q93" s="116">
        <f>IFERROR(INDEX('DRAFT 1'!$M:$M,MATCH($B93,'DRAFT 1'!$B:$B,0)),"")</f>
        <v/>
      </c>
      <c r="R93" s="116">
        <f>IFERROR(INDEX('DRAFT 1'!$N:$N,MATCH($B93,'DRAFT 1'!$B:$B,0)),"")</f>
        <v/>
      </c>
      <c r="S93" s="116">
        <f>IFERROR(INDEX('DRAFT 1'!$O:$O,MATCH($B93,'DRAFT 1'!$B:$B,0)),"")</f>
        <v/>
      </c>
      <c r="T93" s="116">
        <f>IFERROR(INDEX('DRAFT 1'!$P:$P,MATCH($B93,'DRAFT 1'!$B:$B,0)),"")</f>
        <v/>
      </c>
      <c r="U93" s="116">
        <f>IFERROR(INDEX('DRAFT 1'!$Q:$Q,MATCH($B93,'DRAFT 1'!$B:$B,0)),"")</f>
        <v/>
      </c>
      <c r="V93" s="116">
        <f>IFERROR(INDEX('DRAFT 1'!$R:$R,MATCH($B93,'DRAFT 1'!$B:$B,0)),"")</f>
        <v/>
      </c>
      <c r="W93" s="116">
        <f>IFERROR(INDEX('DRAFT 1'!$S:$S,MATCH($B93,'DRAFT 1'!$B:$B,0)),"")</f>
        <v/>
      </c>
      <c r="X93" s="116">
        <f>IFERROR(INDEX('DRAFT 1'!$T:$T,MATCH($B93,'DRAFT 1'!$B:$B,0)),"")</f>
        <v/>
      </c>
      <c r="Z93" s="116">
        <f>IFERROR(INDEX('DRAFT 1'!$U:$U,MATCH($B93,'DRAFT 1'!$B:$B,0)),"")</f>
        <v/>
      </c>
      <c r="AA93" s="116">
        <f>IFERROR(INDEX('DRAFT 1'!$V:$V,MATCH($B93,'DRAFT 1'!$B:$B,0)),"")</f>
        <v/>
      </c>
      <c r="AB93" s="116">
        <f>IFERROR(INDEX('DRAFT 1'!$W:$W,MATCH($B93,'DRAFT 1'!$B:$B,0)),"")</f>
        <v/>
      </c>
      <c r="AC93" s="116">
        <f>IFERROR(INDEX('DRAFT 1'!$X:$X,MATCH($B93,'DRAFT 1'!$B:$B,0)),"")</f>
        <v/>
      </c>
      <c r="AD93" s="116">
        <f>IFERROR(INDEX('DRAFT 1'!$Y:$Y,MATCH($B93,'DRAFT 1'!$B:$B,0)),"")</f>
        <v/>
      </c>
      <c r="AE93" s="116">
        <f>IFERROR(INDEX('DRAFT 1'!$Z:$Z,MATCH($B93,'DRAFT 1'!$B:$B,0)),"")</f>
        <v/>
      </c>
      <c r="AF93" s="116">
        <f>IFERROR(INDEX('DRAFT 1'!$AA:$AA,MATCH($B93,'DRAFT 1'!$B:$B,0)),"")</f>
        <v/>
      </c>
      <c r="AG93" s="116">
        <f>IFERROR(INDEX('DRAFT 1'!$AB:$AB,MATCH($B93,'DRAFT 1'!$B:$B,0)),"")</f>
        <v/>
      </c>
      <c r="AH93" s="116">
        <f>IFERROR(INDEX('DRAFT 1'!$AC:$AC,MATCH($B93,'DRAFT 1'!$B:$B,0)),"")</f>
        <v/>
      </c>
      <c r="AI93" s="116">
        <f>IFERROR(INDEX('DRAFT 1'!$AD:$AD,MATCH($B93,'DRAFT 1'!$B:$B,0)),"")</f>
        <v/>
      </c>
      <c r="AJ93" s="116">
        <f>IFERROR(INDEX('DRAFT 1'!$AE:$AE,MATCH($B93,'DRAFT 1'!$B:$B,0)),"")</f>
        <v/>
      </c>
      <c r="AK93" s="116">
        <f>IFERROR(INDEX('DRAFT 1'!$AG:$AG,MATCH($B93,'DRAFT 1'!$B:$B,0)),"")</f>
        <v/>
      </c>
      <c r="AL93" s="116">
        <f>IFERROR(INDEX('DRAFT 1'!$AH:$AH,MATCH($B93,'DRAFT 1'!$B:$B,0)),"")</f>
        <v/>
      </c>
      <c r="AM93" s="116">
        <f>IFERROR(INDEX('DRAFT 1'!$AI:$AI,MATCH($B93,'DRAFT 1'!$B:$B,0)),"")</f>
        <v/>
      </c>
      <c r="AN93" s="116">
        <f>IFERROR(INDEX('DRAFT 1'!$AJ:$AJ,MATCH($B93,'DRAFT 1'!$B:$B,0)),"")</f>
        <v/>
      </c>
      <c r="AO93" s="116">
        <f>IFERROR(Y93/AN93,0)</f>
        <v/>
      </c>
      <c r="AP93" s="116">
        <f>IFERROR(INDEX('DRAFT 1'!$AK:$AK,MATCH($B93,'DRAFT 1'!$B:$B,0)),"")</f>
        <v/>
      </c>
      <c r="AR93" s="116" t="inlineStr">
        <is>
          <t>PROSPECÇÃO</t>
        </is>
      </c>
      <c r="AS93" s="116">
        <f>IFERROR(LOOKUP(2,1/('DRAFT 2'!$D:$D=$B93),'DRAFT 2'!$T:$T),"")</f>
        <v/>
      </c>
      <c r="AT93" s="116">
        <f>IFERROR(LOOKUP(2,1/('DRAFT 2'!$D:$D=$B93),'DRAFT 2'!$A:$A),"")</f>
        <v/>
      </c>
      <c r="AU93" s="116">
        <f>IFERROR(LOOKUP(2,1/('DRAFT 2'!$D:$D=$B93),'DRAFT 2'!$R:$R),"")</f>
        <v/>
      </c>
      <c r="AV93" s="116">
        <f>IFERROR(LOOKUP(2,1/('DRAFT 2'!$D:$D=$B93),'DRAFT 2'!$S:$S),"")</f>
        <v/>
      </c>
      <c r="AW93" s="116" t="inlineStr">
        <is>
          <t>PROSPECT</t>
        </is>
      </c>
      <c r="AX93" s="116">
        <f>IFERROR(LOOKUP(2,1/('DRAFT 2'!$D:$D=$B93),'DRAFT 2'!$M:$M),"")</f>
        <v/>
      </c>
      <c r="AY93" s="116">
        <f>IFERROR(LOOKUP(2,1/('DRAFT 2'!$D:$D=$B93),'DRAFT 2'!$K:$K),"")</f>
        <v/>
      </c>
      <c r="BG93" s="116">
        <f>IFERROR(LOOKUP(2,1/('DRAFT 2'!$D:$D=$B93),'DRAFT 2'!$U:$U),"")</f>
        <v/>
      </c>
      <c r="BH93" s="116">
        <f>IFERROR(LOOKUP(2,1/('DRAFT 2'!$D:$D=$B93),'DRAFT 2'!$V:$V),"")</f>
        <v/>
      </c>
      <c r="CE93" s="116">
        <f>IFERROR(AJ93,0)</f>
        <v/>
      </c>
      <c r="CF93" s="116">
        <f>IFERROR(LOOKUP(2,1/('DRAFT 2'!$D:$D=$B93)*('DRAFT 2'!$A:$A&gt;=DATE(2026,1,1))*('DRAFT 2'!$A:$A&lt;DATE(2026,IF(1=12,1+1,1+1),1)),'DRAFT 2'!$A:$A),"")</f>
        <v/>
      </c>
      <c r="CG93" s="116">
        <f>COUNTIFS('DRAFT 2'!$D:$D,$B93,'DRAFT 2'!$A:$A,"&gt;="&amp;DATE(2026,1,1),'DRAFT 2'!$A:$A,"&lt;="&amp;DATE(2026,1,7))</f>
        <v/>
      </c>
      <c r="CH93" s="116">
        <f>COUNTIFS('DRAFT 2'!$D:$D,$B93,'DRAFT 2'!$A:$A,"&gt;="&amp;DATE(2026,1,8),'DRAFT 2'!$A:$A,"&lt;="&amp;DATE(2026,1,14))</f>
        <v/>
      </c>
      <c r="CI93" s="116">
        <f>COUNTIFS('DRAFT 2'!$D:$D,$B93,'DRAFT 2'!$A:$A,"&gt;="&amp;DATE(2026,1,15),'DRAFT 2'!$A:$A,"&lt;="&amp;DATE(2026,1,21))</f>
        <v/>
      </c>
      <c r="CJ93" s="116">
        <f>COUNTIFS('DRAFT 2'!$D:$D,$B93,'DRAFT 2'!$A:$A,"&gt;="&amp;DATE(2026,1,22),'DRAFT 2'!$A:$A,"&lt;"&amp;DATE(2026,IF(1=12,1+1,1+1),1))</f>
        <v/>
      </c>
      <c r="CK93" s="116">
        <f>SUM(CG93:CJ93)</f>
        <v/>
      </c>
      <c r="CT93" s="116" t="n">
        <v>0</v>
      </c>
      <c r="CU93" s="116">
        <f>IFERROR(LOOKUP(2,1/('DRAFT 2'!$D:$D=$B93)*('DRAFT 2'!$A:$A&gt;=DATE(2026,2,1))*('DRAFT 2'!$A:$A&lt;DATE(2026,IF(2=12,2+1,2+1),1)),'DRAFT 2'!$A:$A),"")</f>
        <v/>
      </c>
      <c r="CV93" s="116">
        <f>COUNTIFS('DRAFT 2'!$D:$D,$B93,'DRAFT 2'!$A:$A,"&gt;="&amp;DATE(2026,2,1),'DRAFT 2'!$A:$A,"&lt;="&amp;DATE(2026,2,7))</f>
        <v/>
      </c>
      <c r="CW93" s="116">
        <f>COUNTIFS('DRAFT 2'!$D:$D,$B93,'DRAFT 2'!$A:$A,"&gt;="&amp;DATE(2026,2,8),'DRAFT 2'!$A:$A,"&lt;="&amp;DATE(2026,2,14))</f>
        <v/>
      </c>
      <c r="CX93" s="116">
        <f>COUNTIFS('DRAFT 2'!$D:$D,$B93,'DRAFT 2'!$A:$A,"&gt;="&amp;DATE(2026,2,15),'DRAFT 2'!$A:$A,"&lt;="&amp;DATE(2026,2,21))</f>
        <v/>
      </c>
      <c r="CY93" s="116">
        <f>COUNTIFS('DRAFT 2'!$D:$D,$B93,'DRAFT 2'!$A:$A,"&gt;="&amp;DATE(2026,2,22),'DRAFT 2'!$A:$A,"&lt;"&amp;DATE(2026,IF(2=12,2+1,2+1),1))</f>
        <v/>
      </c>
      <c r="CZ93" s="116">
        <f>SUM(CV93:CY93)</f>
        <v/>
      </c>
      <c r="DJ93" s="116">
        <f>IFERROR(LOOKUP(2,1/('DRAFT 2'!$D:$D=$B93)*('DRAFT 2'!$A:$A&gt;=DATE(2026,3,1))*('DRAFT 2'!$A:$A&lt;DATE(2026,IF(3=12,3+1,3+1),1)),'DRAFT 2'!$A:$A),"")</f>
        <v/>
      </c>
      <c r="DK93" s="116">
        <f>COUNTIFS('DRAFT 2'!$D:$D,$B93,'DRAFT 2'!$A:$A,"&gt;="&amp;DATE(2026,3,1),'DRAFT 2'!$A:$A,"&lt;="&amp;DATE(2026,3,7))</f>
        <v/>
      </c>
      <c r="DL93" s="116">
        <f>COUNTIFS('DRAFT 2'!$D:$D,$B93,'DRAFT 2'!$A:$A,"&gt;="&amp;DATE(2026,3,8),'DRAFT 2'!$A:$A,"&lt;="&amp;DATE(2026,3,14))</f>
        <v/>
      </c>
      <c r="DM93" s="116">
        <f>COUNTIFS('DRAFT 2'!$D:$D,$B93,'DRAFT 2'!$A:$A,"&gt;="&amp;DATE(2026,3,15),'DRAFT 2'!$A:$A,"&lt;="&amp;DATE(2026,3,21))</f>
        <v/>
      </c>
      <c r="DN93" s="116">
        <f>COUNTIFS('DRAFT 2'!$D:$D,$B93,'DRAFT 2'!$A:$A,"&gt;="&amp;DATE(2026,3,22),'DRAFT 2'!$A:$A,"&lt;"&amp;DATE(2026,IF(3=12,3+1,3+1),1))</f>
        <v/>
      </c>
      <c r="DO93" s="116">
        <f>SUM(DK93:DN93)</f>
        <v/>
      </c>
      <c r="DZ93" s="116">
        <f>IFERROR(LOOKUP(2,1/('DRAFT 2'!$D:$D=$B93)*('DRAFT 2'!$A:$A&gt;=DATE(2026,4,1))*('DRAFT 2'!$A:$A&lt;DATE(2026,IF(4=12,4+1,4+1),1)),'DRAFT 2'!$A:$A),"")</f>
        <v/>
      </c>
      <c r="EA93" s="116">
        <f>COUNTIFS('DRAFT 2'!$D:$D,$B93,'DRAFT 2'!$A:$A,"&gt;="&amp;DATE(2026,4,1),'DRAFT 2'!$A:$A,"&lt;="&amp;DATE(2026,4,7))</f>
        <v/>
      </c>
      <c r="EB93" s="116">
        <f>COUNTIFS('DRAFT 2'!$D:$D,$B93,'DRAFT 2'!$A:$A,"&gt;="&amp;DATE(2026,4,8),'DRAFT 2'!$A:$A,"&lt;="&amp;DATE(2026,4,14))</f>
        <v/>
      </c>
      <c r="EC93" s="116">
        <f>COUNTIFS('DRAFT 2'!$D:$D,$B93,'DRAFT 2'!$A:$A,"&gt;="&amp;DATE(2026,4,15),'DRAFT 2'!$A:$A,"&lt;="&amp;DATE(2026,4,21))</f>
        <v/>
      </c>
      <c r="ED93" s="116">
        <f>COUNTIFS('DRAFT 2'!$D:$D,$B93,'DRAFT 2'!$A:$A,"&gt;="&amp;DATE(2026,4,22),'DRAFT 2'!$A:$A,"&lt;"&amp;DATE(2026,IF(4=12,4+1,4+1),1))</f>
        <v/>
      </c>
      <c r="EE93" s="116">
        <f>SUM(EA93:ED93)</f>
        <v/>
      </c>
      <c r="EO93" s="116">
        <f>IFERROR(LOOKUP(2,1/('DRAFT 2'!$D:$D=$B93)*('DRAFT 2'!$A:$A&gt;=DATE(2026,5,1))*('DRAFT 2'!$A:$A&lt;DATE(2026,IF(5=12,5+1,5+1),1)),'DRAFT 2'!$A:$A),"")</f>
        <v/>
      </c>
      <c r="EP93" s="116">
        <f>COUNTIFS('DRAFT 2'!$D:$D,$B93,'DRAFT 2'!$A:$A,"&gt;="&amp;DATE(2026,5,1),'DRAFT 2'!$A:$A,"&lt;="&amp;DATE(2026,5,7))</f>
        <v/>
      </c>
      <c r="EQ93" s="116">
        <f>COUNTIFS('DRAFT 2'!$D:$D,$B93,'DRAFT 2'!$A:$A,"&gt;="&amp;DATE(2026,5,8),'DRAFT 2'!$A:$A,"&lt;="&amp;DATE(2026,5,14))</f>
        <v/>
      </c>
      <c r="ER93" s="116">
        <f>COUNTIFS('DRAFT 2'!$D:$D,$B93,'DRAFT 2'!$A:$A,"&gt;="&amp;DATE(2026,5,15),'DRAFT 2'!$A:$A,"&lt;="&amp;DATE(2026,5,21))</f>
        <v/>
      </c>
      <c r="ES93" s="116">
        <f>COUNTIFS('DRAFT 2'!$D:$D,$B93,'DRAFT 2'!$A:$A,"&gt;="&amp;DATE(2026,5,22),'DRAFT 2'!$A:$A,"&lt;"&amp;DATE(2026,IF(5=12,5+1,5+1),1))</f>
        <v/>
      </c>
      <c r="ET93" s="116">
        <f>SUM(EP93:ES93)</f>
        <v/>
      </c>
      <c r="FD93" s="116">
        <f>IFERROR(LOOKUP(2,1/('DRAFT 2'!$D:$D=$B93)*('DRAFT 2'!$A:$A&gt;=DATE(2026,6,1))*('DRAFT 2'!$A:$A&lt;DATE(2026,IF(6=12,6+1,6+1),1)),'DRAFT 2'!$A:$A),"")</f>
        <v/>
      </c>
      <c r="FE93" s="116">
        <f>COUNTIFS('DRAFT 2'!$D:$D,$B93,'DRAFT 2'!$A:$A,"&gt;="&amp;DATE(2026,6,1),'DRAFT 2'!$A:$A,"&lt;="&amp;DATE(2026,6,7))</f>
        <v/>
      </c>
      <c r="FF93" s="116">
        <f>COUNTIFS('DRAFT 2'!$D:$D,$B93,'DRAFT 2'!$A:$A,"&gt;="&amp;DATE(2026,6,8),'DRAFT 2'!$A:$A,"&lt;="&amp;DATE(2026,6,14))</f>
        <v/>
      </c>
      <c r="FG93" s="116">
        <f>COUNTIFS('DRAFT 2'!$D:$D,$B93,'DRAFT 2'!$A:$A,"&gt;="&amp;DATE(2026,6,15),'DRAFT 2'!$A:$A,"&lt;="&amp;DATE(2026,6,21))</f>
        <v/>
      </c>
      <c r="FH93" s="116">
        <f>COUNTIFS('DRAFT 2'!$D:$D,$B93,'DRAFT 2'!$A:$A,"&gt;="&amp;DATE(2026,6,22),'DRAFT 2'!$A:$A,"&lt;"&amp;DATE(2026,IF(6=12,6+1,6+1),1))</f>
        <v/>
      </c>
      <c r="FI93" s="116">
        <f>SUM(FE93:FH93)</f>
        <v/>
      </c>
      <c r="FT93" s="116">
        <f>IFERROR(LOOKUP(2,1/('DRAFT 2'!$D:$D=$B93)*('DRAFT 2'!$A:$A&gt;=DATE(2026,7,1))*('DRAFT 2'!$A:$A&lt;DATE(2026,IF(7=12,7+1,7+1),1)),'DRAFT 2'!$A:$A),"")</f>
        <v/>
      </c>
      <c r="FU93" s="116">
        <f>COUNTIFS('DRAFT 2'!$D:$D,$B93,'DRAFT 2'!$A:$A,"&gt;="&amp;DATE(2026,7,1),'DRAFT 2'!$A:$A,"&lt;="&amp;DATE(2026,7,7))</f>
        <v/>
      </c>
      <c r="FV93" s="116">
        <f>COUNTIFS('DRAFT 2'!$D:$D,$B93,'DRAFT 2'!$A:$A,"&gt;="&amp;DATE(2026,7,8),'DRAFT 2'!$A:$A,"&lt;="&amp;DATE(2026,7,14))</f>
        <v/>
      </c>
      <c r="FW93" s="116">
        <f>COUNTIFS('DRAFT 2'!$D:$D,$B93,'DRAFT 2'!$A:$A,"&gt;="&amp;DATE(2026,7,15),'DRAFT 2'!$A:$A,"&lt;="&amp;DATE(2026,7,21))</f>
        <v/>
      </c>
      <c r="FX93" s="116">
        <f>COUNTIFS('DRAFT 2'!$D:$D,$B93,'DRAFT 2'!$A:$A,"&gt;="&amp;DATE(2026,7,22),'DRAFT 2'!$A:$A,"&lt;"&amp;DATE(2026,IF(7=12,7+1,7+1),1))</f>
        <v/>
      </c>
      <c r="FY93" s="116">
        <f>SUM(FU93:FX93)</f>
        <v/>
      </c>
      <c r="GI93" s="116">
        <f>IFERROR(LOOKUP(2,1/('DRAFT 2'!$D:$D=$B93)*('DRAFT 2'!$A:$A&gt;=DATE(2026,8,1))*('DRAFT 2'!$A:$A&lt;DATE(2026,IF(8=12,8+1,8+1),1)),'DRAFT 2'!$A:$A),"")</f>
        <v/>
      </c>
      <c r="GJ93" s="116">
        <f>COUNTIFS('DRAFT 2'!$D:$D,$B93,'DRAFT 2'!$A:$A,"&gt;="&amp;DATE(2026,8,1),'DRAFT 2'!$A:$A,"&lt;="&amp;DATE(2026,8,7))</f>
        <v/>
      </c>
      <c r="GK93" s="116">
        <f>COUNTIFS('DRAFT 2'!$D:$D,$B93,'DRAFT 2'!$A:$A,"&gt;="&amp;DATE(2026,8,8),'DRAFT 2'!$A:$A,"&lt;="&amp;DATE(2026,8,14))</f>
        <v/>
      </c>
      <c r="GL93" s="116">
        <f>COUNTIFS('DRAFT 2'!$D:$D,$B93,'DRAFT 2'!$A:$A,"&gt;="&amp;DATE(2026,8,15),'DRAFT 2'!$A:$A,"&lt;="&amp;DATE(2026,8,21))</f>
        <v/>
      </c>
      <c r="GM93" s="116">
        <f>COUNTIFS('DRAFT 2'!$D:$D,$B93,'DRAFT 2'!$A:$A,"&gt;="&amp;DATE(2026,8,22),'DRAFT 2'!$A:$A,"&lt;"&amp;DATE(2026,IF(8=12,8+1,8+1),1))</f>
        <v/>
      </c>
      <c r="GN93" s="116">
        <f>SUM(GJ93:GM93)</f>
        <v/>
      </c>
      <c r="GX93" s="116">
        <f>IFERROR(LOOKUP(2,1/('DRAFT 2'!$D:$D=$B93)*('DRAFT 2'!$A:$A&gt;=DATE(2026,9,1))*('DRAFT 2'!$A:$A&lt;DATE(2026,IF(9=12,9+1,9+1),1)),'DRAFT 2'!$A:$A),"")</f>
        <v/>
      </c>
      <c r="GY93" s="116">
        <f>COUNTIFS('DRAFT 2'!$D:$D,$B93,'DRAFT 2'!$A:$A,"&gt;="&amp;DATE(2026,9,1),'DRAFT 2'!$A:$A,"&lt;="&amp;DATE(2026,9,7))</f>
        <v/>
      </c>
      <c r="GZ93" s="116">
        <f>COUNTIFS('DRAFT 2'!$D:$D,$B93,'DRAFT 2'!$A:$A,"&gt;="&amp;DATE(2026,9,8),'DRAFT 2'!$A:$A,"&lt;="&amp;DATE(2026,9,14))</f>
        <v/>
      </c>
      <c r="HA93" s="116">
        <f>COUNTIFS('DRAFT 2'!$D:$D,$B93,'DRAFT 2'!$A:$A,"&gt;="&amp;DATE(2026,9,15),'DRAFT 2'!$A:$A,"&lt;="&amp;DATE(2026,9,21))</f>
        <v/>
      </c>
      <c r="HB93" s="116">
        <f>COUNTIFS('DRAFT 2'!$D:$D,$B93,'DRAFT 2'!$A:$A,"&gt;="&amp;DATE(2026,9,22),'DRAFT 2'!$A:$A,"&lt;"&amp;DATE(2026,IF(9=12,9+1,9+1),1))</f>
        <v/>
      </c>
      <c r="HC93" s="116">
        <f>SUM(GY93:HB93)</f>
        <v/>
      </c>
      <c r="HN93" s="116">
        <f>IFERROR(LOOKUP(2,1/('DRAFT 2'!$D:$D=$B93)*('DRAFT 2'!$A:$A&gt;=DATE(2026,10,1))*('DRAFT 2'!$A:$A&lt;DATE(2026,IF(10=12,10+1,10+1),1)),'DRAFT 2'!$A:$A),"")</f>
        <v/>
      </c>
      <c r="HO93" s="116">
        <f>COUNTIFS('DRAFT 2'!$D:$D,$B93,'DRAFT 2'!$A:$A,"&gt;="&amp;DATE(2026,10,1),'DRAFT 2'!$A:$A,"&lt;="&amp;DATE(2026,10,7))</f>
        <v/>
      </c>
      <c r="HP93" s="116">
        <f>COUNTIFS('DRAFT 2'!$D:$D,$B93,'DRAFT 2'!$A:$A,"&gt;="&amp;DATE(2026,10,8),'DRAFT 2'!$A:$A,"&lt;="&amp;DATE(2026,10,14))</f>
        <v/>
      </c>
      <c r="HQ93" s="116">
        <f>COUNTIFS('DRAFT 2'!$D:$D,$B93,'DRAFT 2'!$A:$A,"&gt;="&amp;DATE(2026,10,15),'DRAFT 2'!$A:$A,"&lt;="&amp;DATE(2026,10,21))</f>
        <v/>
      </c>
      <c r="HR93" s="116">
        <f>COUNTIFS('DRAFT 2'!$D:$D,$B93,'DRAFT 2'!$A:$A,"&gt;="&amp;DATE(2026,10,22),'DRAFT 2'!$A:$A,"&lt;"&amp;DATE(2026,IF(10=12,10+1,10+1),1))</f>
        <v/>
      </c>
      <c r="HS93" s="116">
        <f>SUM(HO93:HR93)</f>
        <v/>
      </c>
      <c r="IC93" s="116">
        <f>IFERROR(LOOKUP(2,1/('DRAFT 2'!$D:$D=$B93)*('DRAFT 2'!$A:$A&gt;=DATE(2026,11,1))*('DRAFT 2'!$A:$A&lt;DATE(2026,IF(11=12,11+1,11+1),1)),'DRAFT 2'!$A:$A),"")</f>
        <v/>
      </c>
      <c r="ID93" s="116">
        <f>COUNTIFS('DRAFT 2'!$D:$D,$B93,'DRAFT 2'!$A:$A,"&gt;="&amp;DATE(2026,11,1),'DRAFT 2'!$A:$A,"&lt;="&amp;DATE(2026,11,7))</f>
        <v/>
      </c>
      <c r="IE93" s="116">
        <f>COUNTIFS('DRAFT 2'!$D:$D,$B93,'DRAFT 2'!$A:$A,"&gt;="&amp;DATE(2026,11,8),'DRAFT 2'!$A:$A,"&lt;="&amp;DATE(2026,11,14))</f>
        <v/>
      </c>
      <c r="IF93" s="116">
        <f>COUNTIFS('DRAFT 2'!$D:$D,$B93,'DRAFT 2'!$A:$A,"&gt;="&amp;DATE(2026,11,15),'DRAFT 2'!$A:$A,"&lt;="&amp;DATE(2026,11,21))</f>
        <v/>
      </c>
      <c r="IG93" s="116">
        <f>COUNTIFS('DRAFT 2'!$D:$D,$B93,'DRAFT 2'!$A:$A,"&gt;="&amp;DATE(2026,11,22),'DRAFT 2'!$A:$A,"&lt;"&amp;DATE(2026,IF(11=12,11+1,11+1),1))</f>
        <v/>
      </c>
      <c r="IH93" s="116">
        <f>SUM(ID93:IG93)</f>
        <v/>
      </c>
      <c r="IR93" s="116">
        <f>IFERROR(LOOKUP(2,1/('DRAFT 2'!$D:$D=$B93)*('DRAFT 2'!$A:$A&gt;=DATE(2026,12,1))*('DRAFT 2'!$A:$A&lt;DATE(2026,IF(12=12,12+1,12+1),1)),'DRAFT 2'!$A:$A),"")</f>
        <v/>
      </c>
      <c r="IS93" s="116">
        <f>COUNTIFS('DRAFT 2'!$D:$D,$B93,'DRAFT 2'!$A:$A,"&gt;="&amp;DATE(2026,12,1),'DRAFT 2'!$A:$A,"&lt;="&amp;DATE(2026,12,7))</f>
        <v/>
      </c>
      <c r="IT93" s="116">
        <f>COUNTIFS('DRAFT 2'!$D:$D,$B93,'DRAFT 2'!$A:$A,"&gt;="&amp;DATE(2026,12,8),'DRAFT 2'!$A:$A,"&lt;="&amp;DATE(2026,12,14))</f>
        <v/>
      </c>
      <c r="IU93" s="116">
        <f>COUNTIFS('DRAFT 2'!$D:$D,$B93,'DRAFT 2'!$A:$A,"&gt;="&amp;DATE(2026,12,15),'DRAFT 2'!$A:$A,"&lt;="&amp;DATE(2026,12,21))</f>
        <v/>
      </c>
      <c r="IV93" s="116">
        <f>COUNTIFS('DRAFT 2'!$D:$D,$B93,'DRAFT 2'!$A:$A,"&gt;="&amp;DATE(2026,12,22),'DRAFT 2'!$A:$A,"&lt;"&amp;DATE(2026,IF(12=12,12+1,12+1),1))</f>
        <v/>
      </c>
      <c r="IW93" s="116">
        <f>SUM(IS93:IV93)</f>
        <v/>
      </c>
    </row>
    <row r="94">
      <c r="A94" s="116">
        <f>IFERROR(INDEX('DRAFT 1'!$A:$A,MATCH($B94,'DRAFT 1'!$B:$B,0)),"")</f>
        <v/>
      </c>
      <c r="C94" s="116">
        <f>IFERROR(INDEX('DRAFT 1'!$C:$C,MATCH($B94,'DRAFT 1'!$B:$B,0)),"")</f>
        <v/>
      </c>
      <c r="D94" s="116">
        <f>IFERROR(INDEX('DRAFT 1'!$D:$D,MATCH($B94,'DRAFT 1'!$B:$B,0)),"")</f>
        <v/>
      </c>
      <c r="E94" s="116">
        <f>IFERROR(INDEX('DRAFT 1'!$E:$E,MATCH($B94,'DRAFT 1'!$B:$B,0)),"")</f>
        <v/>
      </c>
      <c r="F94" s="116">
        <f>IFERROR(INDEX('DRAFT 1'!$F:$F,MATCH($B94,'DRAFT 1'!$B:$B,0)),"")</f>
        <v/>
      </c>
      <c r="G94" s="116">
        <f>IFERROR(INDEX('DRAFT 1'!$G:$G,MATCH($B94,'DRAFT 1'!$B:$B,0)),"")</f>
        <v/>
      </c>
      <c r="H94" s="116">
        <f>IFERROR(INDEX('DRAFT 1'!$H:$H,MATCH($B94,'DRAFT 1'!$B:$B,0)),"")</f>
        <v/>
      </c>
      <c r="I94" s="116" t="inlineStr">
        <is>
          <t>CIA DA SAUDE</t>
        </is>
      </c>
      <c r="K94" s="116">
        <f>IFERROR(INDEX('DRAFT 1'!$AL:$AL,MATCH($B94,'DRAFT 1'!$B:$B,0)),"")</f>
        <v/>
      </c>
      <c r="L94" s="116">
        <f>IFERROR(INDEX('DRAFT 1'!$J:$J,MATCH($B94,'DRAFT 1'!$B:$B,0)),"")</f>
        <v/>
      </c>
      <c r="M94" s="116">
        <f>IFERROR(INDEX('DRAFT 1'!$K:$K,MATCH($B94,'DRAFT 1'!$B:$B,0)),"")</f>
        <v/>
      </c>
      <c r="N94" s="116" t="inlineStr">
        <is>
          <t>PROSPECT</t>
        </is>
      </c>
      <c r="P94" s="116">
        <f>IFERROR(INDEX('DRAFT 1'!$L:$L,MATCH($B94,'DRAFT 1'!$B:$B,0)),"")</f>
        <v/>
      </c>
      <c r="Q94" s="116">
        <f>IFERROR(INDEX('DRAFT 1'!$M:$M,MATCH($B94,'DRAFT 1'!$B:$B,0)),"")</f>
        <v/>
      </c>
      <c r="R94" s="116">
        <f>IFERROR(INDEX('DRAFT 1'!$N:$N,MATCH($B94,'DRAFT 1'!$B:$B,0)),"")</f>
        <v/>
      </c>
      <c r="S94" s="116">
        <f>IFERROR(INDEX('DRAFT 1'!$O:$O,MATCH($B94,'DRAFT 1'!$B:$B,0)),"")</f>
        <v/>
      </c>
      <c r="T94" s="116">
        <f>IFERROR(INDEX('DRAFT 1'!$P:$P,MATCH($B94,'DRAFT 1'!$B:$B,0)),"")</f>
        <v/>
      </c>
      <c r="U94" s="116">
        <f>IFERROR(INDEX('DRAFT 1'!$Q:$Q,MATCH($B94,'DRAFT 1'!$B:$B,0)),"")</f>
        <v/>
      </c>
      <c r="V94" s="116">
        <f>IFERROR(INDEX('DRAFT 1'!$R:$R,MATCH($B94,'DRAFT 1'!$B:$B,0)),"")</f>
        <v/>
      </c>
      <c r="W94" s="116">
        <f>IFERROR(INDEX('DRAFT 1'!$S:$S,MATCH($B94,'DRAFT 1'!$B:$B,0)),"")</f>
        <v/>
      </c>
      <c r="X94" s="116">
        <f>IFERROR(INDEX('DRAFT 1'!$T:$T,MATCH($B94,'DRAFT 1'!$B:$B,0)),"")</f>
        <v/>
      </c>
      <c r="Z94" s="116">
        <f>IFERROR(INDEX('DRAFT 1'!$U:$U,MATCH($B94,'DRAFT 1'!$B:$B,0)),"")</f>
        <v/>
      </c>
      <c r="AA94" s="116">
        <f>IFERROR(INDEX('DRAFT 1'!$V:$V,MATCH($B94,'DRAFT 1'!$B:$B,0)),"")</f>
        <v/>
      </c>
      <c r="AB94" s="116">
        <f>IFERROR(INDEX('DRAFT 1'!$W:$W,MATCH($B94,'DRAFT 1'!$B:$B,0)),"")</f>
        <v/>
      </c>
      <c r="AC94" s="116">
        <f>IFERROR(INDEX('DRAFT 1'!$X:$X,MATCH($B94,'DRAFT 1'!$B:$B,0)),"")</f>
        <v/>
      </c>
      <c r="AD94" s="116">
        <f>IFERROR(INDEX('DRAFT 1'!$Y:$Y,MATCH($B94,'DRAFT 1'!$B:$B,0)),"")</f>
        <v/>
      </c>
      <c r="AE94" s="116">
        <f>IFERROR(INDEX('DRAFT 1'!$Z:$Z,MATCH($B94,'DRAFT 1'!$B:$B,0)),"")</f>
        <v/>
      </c>
      <c r="AF94" s="116">
        <f>IFERROR(INDEX('DRAFT 1'!$AA:$AA,MATCH($B94,'DRAFT 1'!$B:$B,0)),"")</f>
        <v/>
      </c>
      <c r="AG94" s="116">
        <f>IFERROR(INDEX('DRAFT 1'!$AB:$AB,MATCH($B94,'DRAFT 1'!$B:$B,0)),"")</f>
        <v/>
      </c>
      <c r="AH94" s="116">
        <f>IFERROR(INDEX('DRAFT 1'!$AC:$AC,MATCH($B94,'DRAFT 1'!$B:$B,0)),"")</f>
        <v/>
      </c>
      <c r="AI94" s="116">
        <f>IFERROR(INDEX('DRAFT 1'!$AD:$AD,MATCH($B94,'DRAFT 1'!$B:$B,0)),"")</f>
        <v/>
      </c>
      <c r="AJ94" s="116">
        <f>IFERROR(INDEX('DRAFT 1'!$AE:$AE,MATCH($B94,'DRAFT 1'!$B:$B,0)),"")</f>
        <v/>
      </c>
      <c r="AK94" s="116">
        <f>IFERROR(INDEX('DRAFT 1'!$AG:$AG,MATCH($B94,'DRAFT 1'!$B:$B,0)),"")</f>
        <v/>
      </c>
      <c r="AL94" s="116">
        <f>IFERROR(INDEX('DRAFT 1'!$AH:$AH,MATCH($B94,'DRAFT 1'!$B:$B,0)),"")</f>
        <v/>
      </c>
      <c r="AM94" s="116">
        <f>IFERROR(INDEX('DRAFT 1'!$AI:$AI,MATCH($B94,'DRAFT 1'!$B:$B,0)),"")</f>
        <v/>
      </c>
      <c r="AN94" s="116">
        <f>IFERROR(INDEX('DRAFT 1'!$AJ:$AJ,MATCH($B94,'DRAFT 1'!$B:$B,0)),"")</f>
        <v/>
      </c>
      <c r="AO94" s="116">
        <f>IFERROR(Y94/AN94,0)</f>
        <v/>
      </c>
      <c r="AP94" s="116">
        <f>IFERROR(INDEX('DRAFT 1'!$AK:$AK,MATCH($B94,'DRAFT 1'!$B:$B,0)),"")</f>
        <v/>
      </c>
      <c r="AR94" s="116" t="inlineStr">
        <is>
          <t>PÓS-VENDA</t>
        </is>
      </c>
      <c r="AS94" s="116">
        <f>IFERROR(LOOKUP(2,1/('DRAFT 2'!$D:$D=$B94),'DRAFT 2'!$T:$T),"")</f>
        <v/>
      </c>
      <c r="AT94" s="116">
        <f>IFERROR(LOOKUP(2,1/('DRAFT 2'!$D:$D=$B94),'DRAFT 2'!$A:$A),"")</f>
        <v/>
      </c>
      <c r="AU94" s="116">
        <f>IFERROR(LOOKUP(2,1/('DRAFT 2'!$D:$D=$B94),'DRAFT 2'!$R:$R),"")</f>
        <v/>
      </c>
      <c r="AV94" s="116">
        <f>IFERROR(LOOKUP(2,1/('DRAFT 2'!$D:$D=$B94),'DRAFT 2'!$S:$S),"")</f>
        <v/>
      </c>
      <c r="AW94" s="116" t="inlineStr">
        <is>
          <t>LEAD</t>
        </is>
      </c>
      <c r="AX94" s="116">
        <f>IFERROR(LOOKUP(2,1/('DRAFT 2'!$D:$D=$B94),'DRAFT 2'!$M:$M),"")</f>
        <v/>
      </c>
      <c r="AY94" s="116">
        <f>IFERROR(LOOKUP(2,1/('DRAFT 2'!$D:$D=$B94),'DRAFT 2'!$K:$K),"")</f>
        <v/>
      </c>
      <c r="BG94" s="116">
        <f>IFERROR(LOOKUP(2,1/('DRAFT 2'!$D:$D=$B94),'DRAFT 2'!$U:$U),"")</f>
        <v/>
      </c>
      <c r="BH94" s="116">
        <f>IFERROR(LOOKUP(2,1/('DRAFT 2'!$D:$D=$B94),'DRAFT 2'!$V:$V),"")</f>
        <v/>
      </c>
      <c r="CE94" s="116">
        <f>IFERROR(AJ94,0)</f>
        <v/>
      </c>
      <c r="CF94" s="116">
        <f>IFERROR(LOOKUP(2,1/('DRAFT 2'!$D:$D=$B94)*('DRAFT 2'!$A:$A&gt;=DATE(2026,1,1))*('DRAFT 2'!$A:$A&lt;DATE(2026,IF(1=12,1+1,1+1),1)),'DRAFT 2'!$A:$A),"")</f>
        <v/>
      </c>
      <c r="CG94" s="116">
        <f>COUNTIFS('DRAFT 2'!$D:$D,$B94,'DRAFT 2'!$A:$A,"&gt;="&amp;DATE(2026,1,1),'DRAFT 2'!$A:$A,"&lt;="&amp;DATE(2026,1,7))</f>
        <v/>
      </c>
      <c r="CH94" s="116">
        <f>COUNTIFS('DRAFT 2'!$D:$D,$B94,'DRAFT 2'!$A:$A,"&gt;="&amp;DATE(2026,1,8),'DRAFT 2'!$A:$A,"&lt;="&amp;DATE(2026,1,14))</f>
        <v/>
      </c>
      <c r="CI94" s="116">
        <f>COUNTIFS('DRAFT 2'!$D:$D,$B94,'DRAFT 2'!$A:$A,"&gt;="&amp;DATE(2026,1,15),'DRAFT 2'!$A:$A,"&lt;="&amp;DATE(2026,1,21))</f>
        <v/>
      </c>
      <c r="CJ94" s="116">
        <f>COUNTIFS('DRAFT 2'!$D:$D,$B94,'DRAFT 2'!$A:$A,"&gt;="&amp;DATE(2026,1,22),'DRAFT 2'!$A:$A,"&lt;"&amp;DATE(2026,IF(1=12,1+1,1+1),1))</f>
        <v/>
      </c>
      <c r="CK94" s="116">
        <f>SUM(CG94:CJ94)</f>
        <v/>
      </c>
      <c r="CT94" s="116" t="n">
        <v>0</v>
      </c>
      <c r="CU94" s="116">
        <f>IFERROR(LOOKUP(2,1/('DRAFT 2'!$D:$D=$B94)*('DRAFT 2'!$A:$A&gt;=DATE(2026,2,1))*('DRAFT 2'!$A:$A&lt;DATE(2026,IF(2=12,2+1,2+1),1)),'DRAFT 2'!$A:$A),"")</f>
        <v/>
      </c>
      <c r="CV94" s="116">
        <f>COUNTIFS('DRAFT 2'!$D:$D,$B94,'DRAFT 2'!$A:$A,"&gt;="&amp;DATE(2026,2,1),'DRAFT 2'!$A:$A,"&lt;="&amp;DATE(2026,2,7))</f>
        <v/>
      </c>
      <c r="CW94" s="116">
        <f>COUNTIFS('DRAFT 2'!$D:$D,$B94,'DRAFT 2'!$A:$A,"&gt;="&amp;DATE(2026,2,8),'DRAFT 2'!$A:$A,"&lt;="&amp;DATE(2026,2,14))</f>
        <v/>
      </c>
      <c r="CX94" s="116">
        <f>COUNTIFS('DRAFT 2'!$D:$D,$B94,'DRAFT 2'!$A:$A,"&gt;="&amp;DATE(2026,2,15),'DRAFT 2'!$A:$A,"&lt;="&amp;DATE(2026,2,21))</f>
        <v/>
      </c>
      <c r="CY94" s="116">
        <f>COUNTIFS('DRAFT 2'!$D:$D,$B94,'DRAFT 2'!$A:$A,"&gt;="&amp;DATE(2026,2,22),'DRAFT 2'!$A:$A,"&lt;"&amp;DATE(2026,IF(2=12,2+1,2+1),1))</f>
        <v/>
      </c>
      <c r="CZ94" s="116">
        <f>SUM(CV94:CY94)</f>
        <v/>
      </c>
      <c r="DJ94" s="116">
        <f>IFERROR(LOOKUP(2,1/('DRAFT 2'!$D:$D=$B94)*('DRAFT 2'!$A:$A&gt;=DATE(2026,3,1))*('DRAFT 2'!$A:$A&lt;DATE(2026,IF(3=12,3+1,3+1),1)),'DRAFT 2'!$A:$A),"")</f>
        <v/>
      </c>
      <c r="DK94" s="116">
        <f>COUNTIFS('DRAFT 2'!$D:$D,$B94,'DRAFT 2'!$A:$A,"&gt;="&amp;DATE(2026,3,1),'DRAFT 2'!$A:$A,"&lt;="&amp;DATE(2026,3,7))</f>
        <v/>
      </c>
      <c r="DL94" s="116">
        <f>COUNTIFS('DRAFT 2'!$D:$D,$B94,'DRAFT 2'!$A:$A,"&gt;="&amp;DATE(2026,3,8),'DRAFT 2'!$A:$A,"&lt;="&amp;DATE(2026,3,14))</f>
        <v/>
      </c>
      <c r="DM94" s="116">
        <f>COUNTIFS('DRAFT 2'!$D:$D,$B94,'DRAFT 2'!$A:$A,"&gt;="&amp;DATE(2026,3,15),'DRAFT 2'!$A:$A,"&lt;="&amp;DATE(2026,3,21))</f>
        <v/>
      </c>
      <c r="DN94" s="116">
        <f>COUNTIFS('DRAFT 2'!$D:$D,$B94,'DRAFT 2'!$A:$A,"&gt;="&amp;DATE(2026,3,22),'DRAFT 2'!$A:$A,"&lt;"&amp;DATE(2026,IF(3=12,3+1,3+1),1))</f>
        <v/>
      </c>
      <c r="DO94" s="116">
        <f>SUM(DK94:DN94)</f>
        <v/>
      </c>
      <c r="DZ94" s="116">
        <f>IFERROR(LOOKUP(2,1/('DRAFT 2'!$D:$D=$B94)*('DRAFT 2'!$A:$A&gt;=DATE(2026,4,1))*('DRAFT 2'!$A:$A&lt;DATE(2026,IF(4=12,4+1,4+1),1)),'DRAFT 2'!$A:$A),"")</f>
        <v/>
      </c>
      <c r="EA94" s="116">
        <f>COUNTIFS('DRAFT 2'!$D:$D,$B94,'DRAFT 2'!$A:$A,"&gt;="&amp;DATE(2026,4,1),'DRAFT 2'!$A:$A,"&lt;="&amp;DATE(2026,4,7))</f>
        <v/>
      </c>
      <c r="EB94" s="116">
        <f>COUNTIFS('DRAFT 2'!$D:$D,$B94,'DRAFT 2'!$A:$A,"&gt;="&amp;DATE(2026,4,8),'DRAFT 2'!$A:$A,"&lt;="&amp;DATE(2026,4,14))</f>
        <v/>
      </c>
      <c r="EC94" s="116">
        <f>COUNTIFS('DRAFT 2'!$D:$D,$B94,'DRAFT 2'!$A:$A,"&gt;="&amp;DATE(2026,4,15),'DRAFT 2'!$A:$A,"&lt;="&amp;DATE(2026,4,21))</f>
        <v/>
      </c>
      <c r="ED94" s="116">
        <f>COUNTIFS('DRAFT 2'!$D:$D,$B94,'DRAFT 2'!$A:$A,"&gt;="&amp;DATE(2026,4,22),'DRAFT 2'!$A:$A,"&lt;"&amp;DATE(2026,IF(4=12,4+1,4+1),1))</f>
        <v/>
      </c>
      <c r="EE94" s="116">
        <f>SUM(EA94:ED94)</f>
        <v/>
      </c>
      <c r="EO94" s="116">
        <f>IFERROR(LOOKUP(2,1/('DRAFT 2'!$D:$D=$B94)*('DRAFT 2'!$A:$A&gt;=DATE(2026,5,1))*('DRAFT 2'!$A:$A&lt;DATE(2026,IF(5=12,5+1,5+1),1)),'DRAFT 2'!$A:$A),"")</f>
        <v/>
      </c>
      <c r="EP94" s="116">
        <f>COUNTIFS('DRAFT 2'!$D:$D,$B94,'DRAFT 2'!$A:$A,"&gt;="&amp;DATE(2026,5,1),'DRAFT 2'!$A:$A,"&lt;="&amp;DATE(2026,5,7))</f>
        <v/>
      </c>
      <c r="EQ94" s="116">
        <f>COUNTIFS('DRAFT 2'!$D:$D,$B94,'DRAFT 2'!$A:$A,"&gt;="&amp;DATE(2026,5,8),'DRAFT 2'!$A:$A,"&lt;="&amp;DATE(2026,5,14))</f>
        <v/>
      </c>
      <c r="ER94" s="116">
        <f>COUNTIFS('DRAFT 2'!$D:$D,$B94,'DRAFT 2'!$A:$A,"&gt;="&amp;DATE(2026,5,15),'DRAFT 2'!$A:$A,"&lt;="&amp;DATE(2026,5,21))</f>
        <v/>
      </c>
      <c r="ES94" s="116">
        <f>COUNTIFS('DRAFT 2'!$D:$D,$B94,'DRAFT 2'!$A:$A,"&gt;="&amp;DATE(2026,5,22),'DRAFT 2'!$A:$A,"&lt;"&amp;DATE(2026,IF(5=12,5+1,5+1),1))</f>
        <v/>
      </c>
      <c r="ET94" s="116">
        <f>SUM(EP94:ES94)</f>
        <v/>
      </c>
      <c r="FD94" s="116">
        <f>IFERROR(LOOKUP(2,1/('DRAFT 2'!$D:$D=$B94)*('DRAFT 2'!$A:$A&gt;=DATE(2026,6,1))*('DRAFT 2'!$A:$A&lt;DATE(2026,IF(6=12,6+1,6+1),1)),'DRAFT 2'!$A:$A),"")</f>
        <v/>
      </c>
      <c r="FE94" s="116">
        <f>COUNTIFS('DRAFT 2'!$D:$D,$B94,'DRAFT 2'!$A:$A,"&gt;="&amp;DATE(2026,6,1),'DRAFT 2'!$A:$A,"&lt;="&amp;DATE(2026,6,7))</f>
        <v/>
      </c>
      <c r="FF94" s="116">
        <f>COUNTIFS('DRAFT 2'!$D:$D,$B94,'DRAFT 2'!$A:$A,"&gt;="&amp;DATE(2026,6,8),'DRAFT 2'!$A:$A,"&lt;="&amp;DATE(2026,6,14))</f>
        <v/>
      </c>
      <c r="FG94" s="116">
        <f>COUNTIFS('DRAFT 2'!$D:$D,$B94,'DRAFT 2'!$A:$A,"&gt;="&amp;DATE(2026,6,15),'DRAFT 2'!$A:$A,"&lt;="&amp;DATE(2026,6,21))</f>
        <v/>
      </c>
      <c r="FH94" s="116">
        <f>COUNTIFS('DRAFT 2'!$D:$D,$B94,'DRAFT 2'!$A:$A,"&gt;="&amp;DATE(2026,6,22),'DRAFT 2'!$A:$A,"&lt;"&amp;DATE(2026,IF(6=12,6+1,6+1),1))</f>
        <v/>
      </c>
      <c r="FI94" s="116">
        <f>SUM(FE94:FH94)</f>
        <v/>
      </c>
      <c r="FT94" s="116">
        <f>IFERROR(LOOKUP(2,1/('DRAFT 2'!$D:$D=$B94)*('DRAFT 2'!$A:$A&gt;=DATE(2026,7,1))*('DRAFT 2'!$A:$A&lt;DATE(2026,IF(7=12,7+1,7+1),1)),'DRAFT 2'!$A:$A),"")</f>
        <v/>
      </c>
      <c r="FU94" s="116">
        <f>COUNTIFS('DRAFT 2'!$D:$D,$B94,'DRAFT 2'!$A:$A,"&gt;="&amp;DATE(2026,7,1),'DRAFT 2'!$A:$A,"&lt;="&amp;DATE(2026,7,7))</f>
        <v/>
      </c>
      <c r="FV94" s="116">
        <f>COUNTIFS('DRAFT 2'!$D:$D,$B94,'DRAFT 2'!$A:$A,"&gt;="&amp;DATE(2026,7,8),'DRAFT 2'!$A:$A,"&lt;="&amp;DATE(2026,7,14))</f>
        <v/>
      </c>
      <c r="FW94" s="116">
        <f>COUNTIFS('DRAFT 2'!$D:$D,$B94,'DRAFT 2'!$A:$A,"&gt;="&amp;DATE(2026,7,15),'DRAFT 2'!$A:$A,"&lt;="&amp;DATE(2026,7,21))</f>
        <v/>
      </c>
      <c r="FX94" s="116">
        <f>COUNTIFS('DRAFT 2'!$D:$D,$B94,'DRAFT 2'!$A:$A,"&gt;="&amp;DATE(2026,7,22),'DRAFT 2'!$A:$A,"&lt;"&amp;DATE(2026,IF(7=12,7+1,7+1),1))</f>
        <v/>
      </c>
      <c r="FY94" s="116">
        <f>SUM(FU94:FX94)</f>
        <v/>
      </c>
      <c r="GI94" s="116">
        <f>IFERROR(LOOKUP(2,1/('DRAFT 2'!$D:$D=$B94)*('DRAFT 2'!$A:$A&gt;=DATE(2026,8,1))*('DRAFT 2'!$A:$A&lt;DATE(2026,IF(8=12,8+1,8+1),1)),'DRAFT 2'!$A:$A),"")</f>
        <v/>
      </c>
      <c r="GJ94" s="116">
        <f>COUNTIFS('DRAFT 2'!$D:$D,$B94,'DRAFT 2'!$A:$A,"&gt;="&amp;DATE(2026,8,1),'DRAFT 2'!$A:$A,"&lt;="&amp;DATE(2026,8,7))</f>
        <v/>
      </c>
      <c r="GK94" s="116">
        <f>COUNTIFS('DRAFT 2'!$D:$D,$B94,'DRAFT 2'!$A:$A,"&gt;="&amp;DATE(2026,8,8),'DRAFT 2'!$A:$A,"&lt;="&amp;DATE(2026,8,14))</f>
        <v/>
      </c>
      <c r="GL94" s="116">
        <f>COUNTIFS('DRAFT 2'!$D:$D,$B94,'DRAFT 2'!$A:$A,"&gt;="&amp;DATE(2026,8,15),'DRAFT 2'!$A:$A,"&lt;="&amp;DATE(2026,8,21))</f>
        <v/>
      </c>
      <c r="GM94" s="116">
        <f>COUNTIFS('DRAFT 2'!$D:$D,$B94,'DRAFT 2'!$A:$A,"&gt;="&amp;DATE(2026,8,22),'DRAFT 2'!$A:$A,"&lt;"&amp;DATE(2026,IF(8=12,8+1,8+1),1))</f>
        <v/>
      </c>
      <c r="GN94" s="116">
        <f>SUM(GJ94:GM94)</f>
        <v/>
      </c>
      <c r="GX94" s="116">
        <f>IFERROR(LOOKUP(2,1/('DRAFT 2'!$D:$D=$B94)*('DRAFT 2'!$A:$A&gt;=DATE(2026,9,1))*('DRAFT 2'!$A:$A&lt;DATE(2026,IF(9=12,9+1,9+1),1)),'DRAFT 2'!$A:$A),"")</f>
        <v/>
      </c>
      <c r="GY94" s="116">
        <f>COUNTIFS('DRAFT 2'!$D:$D,$B94,'DRAFT 2'!$A:$A,"&gt;="&amp;DATE(2026,9,1),'DRAFT 2'!$A:$A,"&lt;="&amp;DATE(2026,9,7))</f>
        <v/>
      </c>
      <c r="GZ94" s="116">
        <f>COUNTIFS('DRAFT 2'!$D:$D,$B94,'DRAFT 2'!$A:$A,"&gt;="&amp;DATE(2026,9,8),'DRAFT 2'!$A:$A,"&lt;="&amp;DATE(2026,9,14))</f>
        <v/>
      </c>
      <c r="HA94" s="116">
        <f>COUNTIFS('DRAFT 2'!$D:$D,$B94,'DRAFT 2'!$A:$A,"&gt;="&amp;DATE(2026,9,15),'DRAFT 2'!$A:$A,"&lt;="&amp;DATE(2026,9,21))</f>
        <v/>
      </c>
      <c r="HB94" s="116">
        <f>COUNTIFS('DRAFT 2'!$D:$D,$B94,'DRAFT 2'!$A:$A,"&gt;="&amp;DATE(2026,9,22),'DRAFT 2'!$A:$A,"&lt;"&amp;DATE(2026,IF(9=12,9+1,9+1),1))</f>
        <v/>
      </c>
      <c r="HC94" s="116">
        <f>SUM(GY94:HB94)</f>
        <v/>
      </c>
      <c r="HN94" s="116">
        <f>IFERROR(LOOKUP(2,1/('DRAFT 2'!$D:$D=$B94)*('DRAFT 2'!$A:$A&gt;=DATE(2026,10,1))*('DRAFT 2'!$A:$A&lt;DATE(2026,IF(10=12,10+1,10+1),1)),'DRAFT 2'!$A:$A),"")</f>
        <v/>
      </c>
      <c r="HO94" s="116">
        <f>COUNTIFS('DRAFT 2'!$D:$D,$B94,'DRAFT 2'!$A:$A,"&gt;="&amp;DATE(2026,10,1),'DRAFT 2'!$A:$A,"&lt;="&amp;DATE(2026,10,7))</f>
        <v/>
      </c>
      <c r="HP94" s="116">
        <f>COUNTIFS('DRAFT 2'!$D:$D,$B94,'DRAFT 2'!$A:$A,"&gt;="&amp;DATE(2026,10,8),'DRAFT 2'!$A:$A,"&lt;="&amp;DATE(2026,10,14))</f>
        <v/>
      </c>
      <c r="HQ94" s="116">
        <f>COUNTIFS('DRAFT 2'!$D:$D,$B94,'DRAFT 2'!$A:$A,"&gt;="&amp;DATE(2026,10,15),'DRAFT 2'!$A:$A,"&lt;="&amp;DATE(2026,10,21))</f>
        <v/>
      </c>
      <c r="HR94" s="116">
        <f>COUNTIFS('DRAFT 2'!$D:$D,$B94,'DRAFT 2'!$A:$A,"&gt;="&amp;DATE(2026,10,22),'DRAFT 2'!$A:$A,"&lt;"&amp;DATE(2026,IF(10=12,10+1,10+1),1))</f>
        <v/>
      </c>
      <c r="HS94" s="116">
        <f>SUM(HO94:HR94)</f>
        <v/>
      </c>
      <c r="IC94" s="116">
        <f>IFERROR(LOOKUP(2,1/('DRAFT 2'!$D:$D=$B94)*('DRAFT 2'!$A:$A&gt;=DATE(2026,11,1))*('DRAFT 2'!$A:$A&lt;DATE(2026,IF(11=12,11+1,11+1),1)),'DRAFT 2'!$A:$A),"")</f>
        <v/>
      </c>
      <c r="ID94" s="116">
        <f>COUNTIFS('DRAFT 2'!$D:$D,$B94,'DRAFT 2'!$A:$A,"&gt;="&amp;DATE(2026,11,1),'DRAFT 2'!$A:$A,"&lt;="&amp;DATE(2026,11,7))</f>
        <v/>
      </c>
      <c r="IE94" s="116">
        <f>COUNTIFS('DRAFT 2'!$D:$D,$B94,'DRAFT 2'!$A:$A,"&gt;="&amp;DATE(2026,11,8),'DRAFT 2'!$A:$A,"&lt;="&amp;DATE(2026,11,14))</f>
        <v/>
      </c>
      <c r="IF94" s="116">
        <f>COUNTIFS('DRAFT 2'!$D:$D,$B94,'DRAFT 2'!$A:$A,"&gt;="&amp;DATE(2026,11,15),'DRAFT 2'!$A:$A,"&lt;="&amp;DATE(2026,11,21))</f>
        <v/>
      </c>
      <c r="IG94" s="116">
        <f>COUNTIFS('DRAFT 2'!$D:$D,$B94,'DRAFT 2'!$A:$A,"&gt;="&amp;DATE(2026,11,22),'DRAFT 2'!$A:$A,"&lt;"&amp;DATE(2026,IF(11=12,11+1,11+1),1))</f>
        <v/>
      </c>
      <c r="IH94" s="116">
        <f>SUM(ID94:IG94)</f>
        <v/>
      </c>
      <c r="IR94" s="116">
        <f>IFERROR(LOOKUP(2,1/('DRAFT 2'!$D:$D=$B94)*('DRAFT 2'!$A:$A&gt;=DATE(2026,12,1))*('DRAFT 2'!$A:$A&lt;DATE(2026,IF(12=12,12+1,12+1),1)),'DRAFT 2'!$A:$A),"")</f>
        <v/>
      </c>
      <c r="IS94" s="116">
        <f>COUNTIFS('DRAFT 2'!$D:$D,$B94,'DRAFT 2'!$A:$A,"&gt;="&amp;DATE(2026,12,1),'DRAFT 2'!$A:$A,"&lt;="&amp;DATE(2026,12,7))</f>
        <v/>
      </c>
      <c r="IT94" s="116">
        <f>COUNTIFS('DRAFT 2'!$D:$D,$B94,'DRAFT 2'!$A:$A,"&gt;="&amp;DATE(2026,12,8),'DRAFT 2'!$A:$A,"&lt;="&amp;DATE(2026,12,14))</f>
        <v/>
      </c>
      <c r="IU94" s="116">
        <f>COUNTIFS('DRAFT 2'!$D:$D,$B94,'DRAFT 2'!$A:$A,"&gt;="&amp;DATE(2026,12,15),'DRAFT 2'!$A:$A,"&lt;="&amp;DATE(2026,12,21))</f>
        <v/>
      </c>
      <c r="IV94" s="116">
        <f>COUNTIFS('DRAFT 2'!$D:$D,$B94,'DRAFT 2'!$A:$A,"&gt;="&amp;DATE(2026,12,22),'DRAFT 2'!$A:$A,"&lt;"&amp;DATE(2026,IF(12=12,12+1,12+1),1))</f>
        <v/>
      </c>
      <c r="IW94" s="116">
        <f>SUM(IS94:IV94)</f>
        <v/>
      </c>
    </row>
    <row r="95">
      <c r="A95" s="116">
        <f>IFERROR(INDEX('DRAFT 1'!$A:$A,MATCH($B95,'DRAFT 1'!$B:$B,0)),"")</f>
        <v/>
      </c>
      <c r="C95" s="116">
        <f>IFERROR(INDEX('DRAFT 1'!$C:$C,MATCH($B95,'DRAFT 1'!$B:$B,0)),"")</f>
        <v/>
      </c>
      <c r="D95" s="116">
        <f>IFERROR(INDEX('DRAFT 1'!$D:$D,MATCH($B95,'DRAFT 1'!$B:$B,0)),"")</f>
        <v/>
      </c>
      <c r="E95" s="116">
        <f>IFERROR(INDEX('DRAFT 1'!$E:$E,MATCH($B95,'DRAFT 1'!$B:$B,0)),"")</f>
        <v/>
      </c>
      <c r="F95" s="116">
        <f>IFERROR(INDEX('DRAFT 1'!$F:$F,MATCH($B95,'DRAFT 1'!$B:$B,0)),"")</f>
        <v/>
      </c>
      <c r="G95" s="116">
        <f>IFERROR(INDEX('DRAFT 1'!$G:$G,MATCH($B95,'DRAFT 1'!$B:$B,0)),"")</f>
        <v/>
      </c>
      <c r="H95" s="116">
        <f>IFERROR(INDEX('DRAFT 1'!$H:$H,MATCH($B95,'DRAFT 1'!$B:$B,0)),"")</f>
        <v/>
      </c>
      <c r="I95" s="116" t="inlineStr">
        <is>
          <t>TUDO EM GRAOS</t>
        </is>
      </c>
      <c r="K95" s="116">
        <f>IFERROR(INDEX('DRAFT 1'!$AL:$AL,MATCH($B95,'DRAFT 1'!$B:$B,0)),"")</f>
        <v/>
      </c>
      <c r="L95" s="116">
        <f>IFERROR(INDEX('DRAFT 1'!$J:$J,MATCH($B95,'DRAFT 1'!$B:$B,0)),"")</f>
        <v/>
      </c>
      <c r="M95" s="116">
        <f>IFERROR(INDEX('DRAFT 1'!$K:$K,MATCH($B95,'DRAFT 1'!$B:$B,0)),"")</f>
        <v/>
      </c>
      <c r="N95" s="116" t="inlineStr">
        <is>
          <t>INAT.ANT</t>
        </is>
      </c>
      <c r="P95" s="116">
        <f>IFERROR(INDEX('DRAFT 1'!$L:$L,MATCH($B95,'DRAFT 1'!$B:$B,0)),"")</f>
        <v/>
      </c>
      <c r="Q95" s="116">
        <f>IFERROR(INDEX('DRAFT 1'!$M:$M,MATCH($B95,'DRAFT 1'!$B:$B,0)),"")</f>
        <v/>
      </c>
      <c r="R95" s="116">
        <f>IFERROR(INDEX('DRAFT 1'!$N:$N,MATCH($B95,'DRAFT 1'!$B:$B,0)),"")</f>
        <v/>
      </c>
      <c r="S95" s="116">
        <f>IFERROR(INDEX('DRAFT 1'!$O:$O,MATCH($B95,'DRAFT 1'!$B:$B,0)),"")</f>
        <v/>
      </c>
      <c r="T95" s="116">
        <f>IFERROR(INDEX('DRAFT 1'!$P:$P,MATCH($B95,'DRAFT 1'!$B:$B,0)),"")</f>
        <v/>
      </c>
      <c r="U95" s="116">
        <f>IFERROR(INDEX('DRAFT 1'!$Q:$Q,MATCH($B95,'DRAFT 1'!$B:$B,0)),"")</f>
        <v/>
      </c>
      <c r="V95" s="116">
        <f>IFERROR(INDEX('DRAFT 1'!$R:$R,MATCH($B95,'DRAFT 1'!$B:$B,0)),"")</f>
        <v/>
      </c>
      <c r="W95" s="116">
        <f>IFERROR(INDEX('DRAFT 1'!$S:$S,MATCH($B95,'DRAFT 1'!$B:$B,0)),"")</f>
        <v/>
      </c>
      <c r="X95" s="116">
        <f>IFERROR(INDEX('DRAFT 1'!$T:$T,MATCH($B95,'DRAFT 1'!$B:$B,0)),"")</f>
        <v/>
      </c>
      <c r="Z95" s="116">
        <f>IFERROR(INDEX('DRAFT 1'!$U:$U,MATCH($B95,'DRAFT 1'!$B:$B,0)),"")</f>
        <v/>
      </c>
      <c r="AA95" s="116">
        <f>IFERROR(INDEX('DRAFT 1'!$V:$V,MATCH($B95,'DRAFT 1'!$B:$B,0)),"")</f>
        <v/>
      </c>
      <c r="AB95" s="116">
        <f>IFERROR(INDEX('DRAFT 1'!$W:$W,MATCH($B95,'DRAFT 1'!$B:$B,0)),"")</f>
        <v/>
      </c>
      <c r="AC95" s="116">
        <f>IFERROR(INDEX('DRAFT 1'!$X:$X,MATCH($B95,'DRAFT 1'!$B:$B,0)),"")</f>
        <v/>
      </c>
      <c r="AD95" s="116">
        <f>IFERROR(INDEX('DRAFT 1'!$Y:$Y,MATCH($B95,'DRAFT 1'!$B:$B,0)),"")</f>
        <v/>
      </c>
      <c r="AE95" s="116">
        <f>IFERROR(INDEX('DRAFT 1'!$Z:$Z,MATCH($B95,'DRAFT 1'!$B:$B,0)),"")</f>
        <v/>
      </c>
      <c r="AF95" s="116">
        <f>IFERROR(INDEX('DRAFT 1'!$AA:$AA,MATCH($B95,'DRAFT 1'!$B:$B,0)),"")</f>
        <v/>
      </c>
      <c r="AG95" s="116">
        <f>IFERROR(INDEX('DRAFT 1'!$AB:$AB,MATCH($B95,'DRAFT 1'!$B:$B,0)),"")</f>
        <v/>
      </c>
      <c r="AH95" s="116">
        <f>IFERROR(INDEX('DRAFT 1'!$AC:$AC,MATCH($B95,'DRAFT 1'!$B:$B,0)),"")</f>
        <v/>
      </c>
      <c r="AI95" s="116">
        <f>IFERROR(INDEX('DRAFT 1'!$AD:$AD,MATCH($B95,'DRAFT 1'!$B:$B,0)),"")</f>
        <v/>
      </c>
      <c r="AJ95" s="116">
        <f>IFERROR(INDEX('DRAFT 1'!$AE:$AE,MATCH($B95,'DRAFT 1'!$B:$B,0)),"")</f>
        <v/>
      </c>
      <c r="AK95" s="116">
        <f>IFERROR(INDEX('DRAFT 1'!$AG:$AG,MATCH($B95,'DRAFT 1'!$B:$B,0)),"")</f>
        <v/>
      </c>
      <c r="AL95" s="116">
        <f>IFERROR(INDEX('DRAFT 1'!$AH:$AH,MATCH($B95,'DRAFT 1'!$B:$B,0)),"")</f>
        <v/>
      </c>
      <c r="AM95" s="116">
        <f>IFERROR(INDEX('DRAFT 1'!$AI:$AI,MATCH($B95,'DRAFT 1'!$B:$B,0)),"")</f>
        <v/>
      </c>
      <c r="AN95" s="116">
        <f>IFERROR(INDEX('DRAFT 1'!$AJ:$AJ,MATCH($B95,'DRAFT 1'!$B:$B,0)),"")</f>
        <v/>
      </c>
      <c r="AO95" s="116">
        <f>IFERROR(Y95/AN95,0)</f>
        <v/>
      </c>
      <c r="AP95" s="116">
        <f>IFERROR(INDEX('DRAFT 1'!$AK:$AK,MATCH($B95,'DRAFT 1'!$B:$B,0)),"")</f>
        <v/>
      </c>
      <c r="AR95" s="116" t="inlineStr">
        <is>
          <t>SALVAMENTO</t>
        </is>
      </c>
      <c r="AS95" s="116">
        <f>IFERROR(LOOKUP(2,1/('DRAFT 2'!$D:$D=$B95),'DRAFT 2'!$T:$T),"")</f>
        <v/>
      </c>
      <c r="AT95" s="116">
        <f>IFERROR(LOOKUP(2,1/('DRAFT 2'!$D:$D=$B95),'DRAFT 2'!$A:$A),"")</f>
        <v/>
      </c>
      <c r="AU95" s="116">
        <f>IFERROR(LOOKUP(2,1/('DRAFT 2'!$D:$D=$B95),'DRAFT 2'!$R:$R),"")</f>
        <v/>
      </c>
      <c r="AV95" s="116">
        <f>IFERROR(LOOKUP(2,1/('DRAFT 2'!$D:$D=$B95),'DRAFT 2'!$S:$S),"")</f>
        <v/>
      </c>
      <c r="AW95" s="116" t="inlineStr">
        <is>
          <t>LEAD</t>
        </is>
      </c>
      <c r="AX95" s="116">
        <f>IFERROR(LOOKUP(2,1/('DRAFT 2'!$D:$D=$B95),'DRAFT 2'!$M:$M),"")</f>
        <v/>
      </c>
      <c r="AY95" s="116">
        <f>IFERROR(LOOKUP(2,1/('DRAFT 2'!$D:$D=$B95),'DRAFT 2'!$K:$K),"")</f>
        <v/>
      </c>
      <c r="BG95" s="116">
        <f>IFERROR(LOOKUP(2,1/('DRAFT 2'!$D:$D=$B95),'DRAFT 2'!$U:$U),"")</f>
        <v/>
      </c>
      <c r="BH95" s="116">
        <f>IFERROR(LOOKUP(2,1/('DRAFT 2'!$D:$D=$B95),'DRAFT 2'!$V:$V),"")</f>
        <v/>
      </c>
      <c r="CE95" s="116">
        <f>IFERROR(AJ95,0)</f>
        <v/>
      </c>
      <c r="CF95" s="116">
        <f>IFERROR(LOOKUP(2,1/('DRAFT 2'!$D:$D=$B95)*('DRAFT 2'!$A:$A&gt;=DATE(2026,1,1))*('DRAFT 2'!$A:$A&lt;DATE(2026,IF(1=12,1+1,1+1),1)),'DRAFT 2'!$A:$A),"")</f>
        <v/>
      </c>
      <c r="CG95" s="116">
        <f>COUNTIFS('DRAFT 2'!$D:$D,$B95,'DRAFT 2'!$A:$A,"&gt;="&amp;DATE(2026,1,1),'DRAFT 2'!$A:$A,"&lt;="&amp;DATE(2026,1,7))</f>
        <v/>
      </c>
      <c r="CH95" s="116">
        <f>COUNTIFS('DRAFT 2'!$D:$D,$B95,'DRAFT 2'!$A:$A,"&gt;="&amp;DATE(2026,1,8),'DRAFT 2'!$A:$A,"&lt;="&amp;DATE(2026,1,14))</f>
        <v/>
      </c>
      <c r="CI95" s="116">
        <f>COUNTIFS('DRAFT 2'!$D:$D,$B95,'DRAFT 2'!$A:$A,"&gt;="&amp;DATE(2026,1,15),'DRAFT 2'!$A:$A,"&lt;="&amp;DATE(2026,1,21))</f>
        <v/>
      </c>
      <c r="CJ95" s="116">
        <f>COUNTIFS('DRAFT 2'!$D:$D,$B95,'DRAFT 2'!$A:$A,"&gt;="&amp;DATE(2026,1,22),'DRAFT 2'!$A:$A,"&lt;"&amp;DATE(2026,IF(1=12,1+1,1+1),1))</f>
        <v/>
      </c>
      <c r="CK95" s="116">
        <f>SUM(CG95:CJ95)</f>
        <v/>
      </c>
      <c r="CT95" s="116" t="n">
        <v>0</v>
      </c>
      <c r="CU95" s="116">
        <f>IFERROR(LOOKUP(2,1/('DRAFT 2'!$D:$D=$B95)*('DRAFT 2'!$A:$A&gt;=DATE(2026,2,1))*('DRAFT 2'!$A:$A&lt;DATE(2026,IF(2=12,2+1,2+1),1)),'DRAFT 2'!$A:$A),"")</f>
        <v/>
      </c>
      <c r="CV95" s="116">
        <f>COUNTIFS('DRAFT 2'!$D:$D,$B95,'DRAFT 2'!$A:$A,"&gt;="&amp;DATE(2026,2,1),'DRAFT 2'!$A:$A,"&lt;="&amp;DATE(2026,2,7))</f>
        <v/>
      </c>
      <c r="CW95" s="116">
        <f>COUNTIFS('DRAFT 2'!$D:$D,$B95,'DRAFT 2'!$A:$A,"&gt;="&amp;DATE(2026,2,8),'DRAFT 2'!$A:$A,"&lt;="&amp;DATE(2026,2,14))</f>
        <v/>
      </c>
      <c r="CX95" s="116">
        <f>COUNTIFS('DRAFT 2'!$D:$D,$B95,'DRAFT 2'!$A:$A,"&gt;="&amp;DATE(2026,2,15),'DRAFT 2'!$A:$A,"&lt;="&amp;DATE(2026,2,21))</f>
        <v/>
      </c>
      <c r="CY95" s="116">
        <f>COUNTIFS('DRAFT 2'!$D:$D,$B95,'DRAFT 2'!$A:$A,"&gt;="&amp;DATE(2026,2,22),'DRAFT 2'!$A:$A,"&lt;"&amp;DATE(2026,IF(2=12,2+1,2+1),1))</f>
        <v/>
      </c>
      <c r="CZ95" s="116">
        <f>SUM(CV95:CY95)</f>
        <v/>
      </c>
      <c r="DJ95" s="116">
        <f>IFERROR(LOOKUP(2,1/('DRAFT 2'!$D:$D=$B95)*('DRAFT 2'!$A:$A&gt;=DATE(2026,3,1))*('DRAFT 2'!$A:$A&lt;DATE(2026,IF(3=12,3+1,3+1),1)),'DRAFT 2'!$A:$A),"")</f>
        <v/>
      </c>
      <c r="DK95" s="116">
        <f>COUNTIFS('DRAFT 2'!$D:$D,$B95,'DRAFT 2'!$A:$A,"&gt;="&amp;DATE(2026,3,1),'DRAFT 2'!$A:$A,"&lt;="&amp;DATE(2026,3,7))</f>
        <v/>
      </c>
      <c r="DL95" s="116">
        <f>COUNTIFS('DRAFT 2'!$D:$D,$B95,'DRAFT 2'!$A:$A,"&gt;="&amp;DATE(2026,3,8),'DRAFT 2'!$A:$A,"&lt;="&amp;DATE(2026,3,14))</f>
        <v/>
      </c>
      <c r="DM95" s="116">
        <f>COUNTIFS('DRAFT 2'!$D:$D,$B95,'DRAFT 2'!$A:$A,"&gt;="&amp;DATE(2026,3,15),'DRAFT 2'!$A:$A,"&lt;="&amp;DATE(2026,3,21))</f>
        <v/>
      </c>
      <c r="DN95" s="116">
        <f>COUNTIFS('DRAFT 2'!$D:$D,$B95,'DRAFT 2'!$A:$A,"&gt;="&amp;DATE(2026,3,22),'DRAFT 2'!$A:$A,"&lt;"&amp;DATE(2026,IF(3=12,3+1,3+1),1))</f>
        <v/>
      </c>
      <c r="DO95" s="116">
        <f>SUM(DK95:DN95)</f>
        <v/>
      </c>
      <c r="DZ95" s="116">
        <f>IFERROR(LOOKUP(2,1/('DRAFT 2'!$D:$D=$B95)*('DRAFT 2'!$A:$A&gt;=DATE(2026,4,1))*('DRAFT 2'!$A:$A&lt;DATE(2026,IF(4=12,4+1,4+1),1)),'DRAFT 2'!$A:$A),"")</f>
        <v/>
      </c>
      <c r="EA95" s="116">
        <f>COUNTIFS('DRAFT 2'!$D:$D,$B95,'DRAFT 2'!$A:$A,"&gt;="&amp;DATE(2026,4,1),'DRAFT 2'!$A:$A,"&lt;="&amp;DATE(2026,4,7))</f>
        <v/>
      </c>
      <c r="EB95" s="116">
        <f>COUNTIFS('DRAFT 2'!$D:$D,$B95,'DRAFT 2'!$A:$A,"&gt;="&amp;DATE(2026,4,8),'DRAFT 2'!$A:$A,"&lt;="&amp;DATE(2026,4,14))</f>
        <v/>
      </c>
      <c r="EC95" s="116">
        <f>COUNTIFS('DRAFT 2'!$D:$D,$B95,'DRAFT 2'!$A:$A,"&gt;="&amp;DATE(2026,4,15),'DRAFT 2'!$A:$A,"&lt;="&amp;DATE(2026,4,21))</f>
        <v/>
      </c>
      <c r="ED95" s="116">
        <f>COUNTIFS('DRAFT 2'!$D:$D,$B95,'DRAFT 2'!$A:$A,"&gt;="&amp;DATE(2026,4,22),'DRAFT 2'!$A:$A,"&lt;"&amp;DATE(2026,IF(4=12,4+1,4+1),1))</f>
        <v/>
      </c>
      <c r="EE95" s="116">
        <f>SUM(EA95:ED95)</f>
        <v/>
      </c>
      <c r="EO95" s="116">
        <f>IFERROR(LOOKUP(2,1/('DRAFT 2'!$D:$D=$B95)*('DRAFT 2'!$A:$A&gt;=DATE(2026,5,1))*('DRAFT 2'!$A:$A&lt;DATE(2026,IF(5=12,5+1,5+1),1)),'DRAFT 2'!$A:$A),"")</f>
        <v/>
      </c>
      <c r="EP95" s="116">
        <f>COUNTIFS('DRAFT 2'!$D:$D,$B95,'DRAFT 2'!$A:$A,"&gt;="&amp;DATE(2026,5,1),'DRAFT 2'!$A:$A,"&lt;="&amp;DATE(2026,5,7))</f>
        <v/>
      </c>
      <c r="EQ95" s="116">
        <f>COUNTIFS('DRAFT 2'!$D:$D,$B95,'DRAFT 2'!$A:$A,"&gt;="&amp;DATE(2026,5,8),'DRAFT 2'!$A:$A,"&lt;="&amp;DATE(2026,5,14))</f>
        <v/>
      </c>
      <c r="ER95" s="116">
        <f>COUNTIFS('DRAFT 2'!$D:$D,$B95,'DRAFT 2'!$A:$A,"&gt;="&amp;DATE(2026,5,15),'DRAFT 2'!$A:$A,"&lt;="&amp;DATE(2026,5,21))</f>
        <v/>
      </c>
      <c r="ES95" s="116">
        <f>COUNTIFS('DRAFT 2'!$D:$D,$B95,'DRAFT 2'!$A:$A,"&gt;="&amp;DATE(2026,5,22),'DRAFT 2'!$A:$A,"&lt;"&amp;DATE(2026,IF(5=12,5+1,5+1),1))</f>
        <v/>
      </c>
      <c r="ET95" s="116">
        <f>SUM(EP95:ES95)</f>
        <v/>
      </c>
      <c r="FD95" s="116">
        <f>IFERROR(LOOKUP(2,1/('DRAFT 2'!$D:$D=$B95)*('DRAFT 2'!$A:$A&gt;=DATE(2026,6,1))*('DRAFT 2'!$A:$A&lt;DATE(2026,IF(6=12,6+1,6+1),1)),'DRAFT 2'!$A:$A),"")</f>
        <v/>
      </c>
      <c r="FE95" s="116">
        <f>COUNTIFS('DRAFT 2'!$D:$D,$B95,'DRAFT 2'!$A:$A,"&gt;="&amp;DATE(2026,6,1),'DRAFT 2'!$A:$A,"&lt;="&amp;DATE(2026,6,7))</f>
        <v/>
      </c>
      <c r="FF95" s="116">
        <f>COUNTIFS('DRAFT 2'!$D:$D,$B95,'DRAFT 2'!$A:$A,"&gt;="&amp;DATE(2026,6,8),'DRAFT 2'!$A:$A,"&lt;="&amp;DATE(2026,6,14))</f>
        <v/>
      </c>
      <c r="FG95" s="116">
        <f>COUNTIFS('DRAFT 2'!$D:$D,$B95,'DRAFT 2'!$A:$A,"&gt;="&amp;DATE(2026,6,15),'DRAFT 2'!$A:$A,"&lt;="&amp;DATE(2026,6,21))</f>
        <v/>
      </c>
      <c r="FH95" s="116">
        <f>COUNTIFS('DRAFT 2'!$D:$D,$B95,'DRAFT 2'!$A:$A,"&gt;="&amp;DATE(2026,6,22),'DRAFT 2'!$A:$A,"&lt;"&amp;DATE(2026,IF(6=12,6+1,6+1),1))</f>
        <v/>
      </c>
      <c r="FI95" s="116">
        <f>SUM(FE95:FH95)</f>
        <v/>
      </c>
      <c r="FT95" s="116">
        <f>IFERROR(LOOKUP(2,1/('DRAFT 2'!$D:$D=$B95)*('DRAFT 2'!$A:$A&gt;=DATE(2026,7,1))*('DRAFT 2'!$A:$A&lt;DATE(2026,IF(7=12,7+1,7+1),1)),'DRAFT 2'!$A:$A),"")</f>
        <v/>
      </c>
      <c r="FU95" s="116">
        <f>COUNTIFS('DRAFT 2'!$D:$D,$B95,'DRAFT 2'!$A:$A,"&gt;="&amp;DATE(2026,7,1),'DRAFT 2'!$A:$A,"&lt;="&amp;DATE(2026,7,7))</f>
        <v/>
      </c>
      <c r="FV95" s="116">
        <f>COUNTIFS('DRAFT 2'!$D:$D,$B95,'DRAFT 2'!$A:$A,"&gt;="&amp;DATE(2026,7,8),'DRAFT 2'!$A:$A,"&lt;="&amp;DATE(2026,7,14))</f>
        <v/>
      </c>
      <c r="FW95" s="116">
        <f>COUNTIFS('DRAFT 2'!$D:$D,$B95,'DRAFT 2'!$A:$A,"&gt;="&amp;DATE(2026,7,15),'DRAFT 2'!$A:$A,"&lt;="&amp;DATE(2026,7,21))</f>
        <v/>
      </c>
      <c r="FX95" s="116">
        <f>COUNTIFS('DRAFT 2'!$D:$D,$B95,'DRAFT 2'!$A:$A,"&gt;="&amp;DATE(2026,7,22),'DRAFT 2'!$A:$A,"&lt;"&amp;DATE(2026,IF(7=12,7+1,7+1),1))</f>
        <v/>
      </c>
      <c r="FY95" s="116">
        <f>SUM(FU95:FX95)</f>
        <v/>
      </c>
      <c r="GI95" s="116">
        <f>IFERROR(LOOKUP(2,1/('DRAFT 2'!$D:$D=$B95)*('DRAFT 2'!$A:$A&gt;=DATE(2026,8,1))*('DRAFT 2'!$A:$A&lt;DATE(2026,IF(8=12,8+1,8+1),1)),'DRAFT 2'!$A:$A),"")</f>
        <v/>
      </c>
      <c r="GJ95" s="116">
        <f>COUNTIFS('DRAFT 2'!$D:$D,$B95,'DRAFT 2'!$A:$A,"&gt;="&amp;DATE(2026,8,1),'DRAFT 2'!$A:$A,"&lt;="&amp;DATE(2026,8,7))</f>
        <v/>
      </c>
      <c r="GK95" s="116">
        <f>COUNTIFS('DRAFT 2'!$D:$D,$B95,'DRAFT 2'!$A:$A,"&gt;="&amp;DATE(2026,8,8),'DRAFT 2'!$A:$A,"&lt;="&amp;DATE(2026,8,14))</f>
        <v/>
      </c>
      <c r="GL95" s="116">
        <f>COUNTIFS('DRAFT 2'!$D:$D,$B95,'DRAFT 2'!$A:$A,"&gt;="&amp;DATE(2026,8,15),'DRAFT 2'!$A:$A,"&lt;="&amp;DATE(2026,8,21))</f>
        <v/>
      </c>
      <c r="GM95" s="116">
        <f>COUNTIFS('DRAFT 2'!$D:$D,$B95,'DRAFT 2'!$A:$A,"&gt;="&amp;DATE(2026,8,22),'DRAFT 2'!$A:$A,"&lt;"&amp;DATE(2026,IF(8=12,8+1,8+1),1))</f>
        <v/>
      </c>
      <c r="GN95" s="116">
        <f>SUM(GJ95:GM95)</f>
        <v/>
      </c>
      <c r="GX95" s="116">
        <f>IFERROR(LOOKUP(2,1/('DRAFT 2'!$D:$D=$B95)*('DRAFT 2'!$A:$A&gt;=DATE(2026,9,1))*('DRAFT 2'!$A:$A&lt;DATE(2026,IF(9=12,9+1,9+1),1)),'DRAFT 2'!$A:$A),"")</f>
        <v/>
      </c>
      <c r="GY95" s="116">
        <f>COUNTIFS('DRAFT 2'!$D:$D,$B95,'DRAFT 2'!$A:$A,"&gt;="&amp;DATE(2026,9,1),'DRAFT 2'!$A:$A,"&lt;="&amp;DATE(2026,9,7))</f>
        <v/>
      </c>
      <c r="GZ95" s="116">
        <f>COUNTIFS('DRAFT 2'!$D:$D,$B95,'DRAFT 2'!$A:$A,"&gt;="&amp;DATE(2026,9,8),'DRAFT 2'!$A:$A,"&lt;="&amp;DATE(2026,9,14))</f>
        <v/>
      </c>
      <c r="HA95" s="116">
        <f>COUNTIFS('DRAFT 2'!$D:$D,$B95,'DRAFT 2'!$A:$A,"&gt;="&amp;DATE(2026,9,15),'DRAFT 2'!$A:$A,"&lt;="&amp;DATE(2026,9,21))</f>
        <v/>
      </c>
      <c r="HB95" s="116">
        <f>COUNTIFS('DRAFT 2'!$D:$D,$B95,'DRAFT 2'!$A:$A,"&gt;="&amp;DATE(2026,9,22),'DRAFT 2'!$A:$A,"&lt;"&amp;DATE(2026,IF(9=12,9+1,9+1),1))</f>
        <v/>
      </c>
      <c r="HC95" s="116">
        <f>SUM(GY95:HB95)</f>
        <v/>
      </c>
      <c r="HN95" s="116">
        <f>IFERROR(LOOKUP(2,1/('DRAFT 2'!$D:$D=$B95)*('DRAFT 2'!$A:$A&gt;=DATE(2026,10,1))*('DRAFT 2'!$A:$A&lt;DATE(2026,IF(10=12,10+1,10+1),1)),'DRAFT 2'!$A:$A),"")</f>
        <v/>
      </c>
      <c r="HO95" s="116">
        <f>COUNTIFS('DRAFT 2'!$D:$D,$B95,'DRAFT 2'!$A:$A,"&gt;="&amp;DATE(2026,10,1),'DRAFT 2'!$A:$A,"&lt;="&amp;DATE(2026,10,7))</f>
        <v/>
      </c>
      <c r="HP95" s="116">
        <f>COUNTIFS('DRAFT 2'!$D:$D,$B95,'DRAFT 2'!$A:$A,"&gt;="&amp;DATE(2026,10,8),'DRAFT 2'!$A:$A,"&lt;="&amp;DATE(2026,10,14))</f>
        <v/>
      </c>
      <c r="HQ95" s="116">
        <f>COUNTIFS('DRAFT 2'!$D:$D,$B95,'DRAFT 2'!$A:$A,"&gt;="&amp;DATE(2026,10,15),'DRAFT 2'!$A:$A,"&lt;="&amp;DATE(2026,10,21))</f>
        <v/>
      </c>
      <c r="HR95" s="116">
        <f>COUNTIFS('DRAFT 2'!$D:$D,$B95,'DRAFT 2'!$A:$A,"&gt;="&amp;DATE(2026,10,22),'DRAFT 2'!$A:$A,"&lt;"&amp;DATE(2026,IF(10=12,10+1,10+1),1))</f>
        <v/>
      </c>
      <c r="HS95" s="116">
        <f>SUM(HO95:HR95)</f>
        <v/>
      </c>
      <c r="IC95" s="116">
        <f>IFERROR(LOOKUP(2,1/('DRAFT 2'!$D:$D=$B95)*('DRAFT 2'!$A:$A&gt;=DATE(2026,11,1))*('DRAFT 2'!$A:$A&lt;DATE(2026,IF(11=12,11+1,11+1),1)),'DRAFT 2'!$A:$A),"")</f>
        <v/>
      </c>
      <c r="ID95" s="116">
        <f>COUNTIFS('DRAFT 2'!$D:$D,$B95,'DRAFT 2'!$A:$A,"&gt;="&amp;DATE(2026,11,1),'DRAFT 2'!$A:$A,"&lt;="&amp;DATE(2026,11,7))</f>
        <v/>
      </c>
      <c r="IE95" s="116">
        <f>COUNTIFS('DRAFT 2'!$D:$D,$B95,'DRAFT 2'!$A:$A,"&gt;="&amp;DATE(2026,11,8),'DRAFT 2'!$A:$A,"&lt;="&amp;DATE(2026,11,14))</f>
        <v/>
      </c>
      <c r="IF95" s="116">
        <f>COUNTIFS('DRAFT 2'!$D:$D,$B95,'DRAFT 2'!$A:$A,"&gt;="&amp;DATE(2026,11,15),'DRAFT 2'!$A:$A,"&lt;="&amp;DATE(2026,11,21))</f>
        <v/>
      </c>
      <c r="IG95" s="116">
        <f>COUNTIFS('DRAFT 2'!$D:$D,$B95,'DRAFT 2'!$A:$A,"&gt;="&amp;DATE(2026,11,22),'DRAFT 2'!$A:$A,"&lt;"&amp;DATE(2026,IF(11=12,11+1,11+1),1))</f>
        <v/>
      </c>
      <c r="IH95" s="116">
        <f>SUM(ID95:IG95)</f>
        <v/>
      </c>
      <c r="IR95" s="116">
        <f>IFERROR(LOOKUP(2,1/('DRAFT 2'!$D:$D=$B95)*('DRAFT 2'!$A:$A&gt;=DATE(2026,12,1))*('DRAFT 2'!$A:$A&lt;DATE(2026,IF(12=12,12+1,12+1),1)),'DRAFT 2'!$A:$A),"")</f>
        <v/>
      </c>
      <c r="IS95" s="116">
        <f>COUNTIFS('DRAFT 2'!$D:$D,$B95,'DRAFT 2'!$A:$A,"&gt;="&amp;DATE(2026,12,1),'DRAFT 2'!$A:$A,"&lt;="&amp;DATE(2026,12,7))</f>
        <v/>
      </c>
      <c r="IT95" s="116">
        <f>COUNTIFS('DRAFT 2'!$D:$D,$B95,'DRAFT 2'!$A:$A,"&gt;="&amp;DATE(2026,12,8),'DRAFT 2'!$A:$A,"&lt;="&amp;DATE(2026,12,14))</f>
        <v/>
      </c>
      <c r="IU95" s="116">
        <f>COUNTIFS('DRAFT 2'!$D:$D,$B95,'DRAFT 2'!$A:$A,"&gt;="&amp;DATE(2026,12,15),'DRAFT 2'!$A:$A,"&lt;="&amp;DATE(2026,12,21))</f>
        <v/>
      </c>
      <c r="IV95" s="116">
        <f>COUNTIFS('DRAFT 2'!$D:$D,$B95,'DRAFT 2'!$A:$A,"&gt;="&amp;DATE(2026,12,22),'DRAFT 2'!$A:$A,"&lt;"&amp;DATE(2026,IF(12=12,12+1,12+1),1))</f>
        <v/>
      </c>
      <c r="IW95" s="116">
        <f>SUM(IS95:IV95)</f>
        <v/>
      </c>
    </row>
    <row r="96">
      <c r="A96" s="116">
        <f>IFERROR(INDEX('DRAFT 1'!$A:$A,MATCH($B96,'DRAFT 1'!$B:$B,0)),"")</f>
        <v/>
      </c>
      <c r="C96" s="116">
        <f>IFERROR(INDEX('DRAFT 1'!$C:$C,MATCH($B96,'DRAFT 1'!$B:$B,0)),"")</f>
        <v/>
      </c>
      <c r="D96" s="116">
        <f>IFERROR(INDEX('DRAFT 1'!$D:$D,MATCH($B96,'DRAFT 1'!$B:$B,0)),"")</f>
        <v/>
      </c>
      <c r="E96" s="116">
        <f>IFERROR(INDEX('DRAFT 1'!$E:$E,MATCH($B96,'DRAFT 1'!$B:$B,0)),"")</f>
        <v/>
      </c>
      <c r="F96" s="116">
        <f>IFERROR(INDEX('DRAFT 1'!$F:$F,MATCH($B96,'DRAFT 1'!$B:$B,0)),"")</f>
        <v/>
      </c>
      <c r="G96" s="116">
        <f>IFERROR(INDEX('DRAFT 1'!$G:$G,MATCH($B96,'DRAFT 1'!$B:$B,0)),"")</f>
        <v/>
      </c>
      <c r="H96" s="116">
        <f>IFERROR(INDEX('DRAFT 1'!$H:$H,MATCH($B96,'DRAFT 1'!$B:$B,0)),"")</f>
        <v/>
      </c>
      <c r="I96" s="116" t="inlineStr">
        <is>
          <t>MUNDO VERDE</t>
        </is>
      </c>
      <c r="K96" s="116">
        <f>IFERROR(INDEX('DRAFT 1'!$AL:$AL,MATCH($B96,'DRAFT 1'!$B:$B,0)),"")</f>
        <v/>
      </c>
      <c r="L96" s="116">
        <f>IFERROR(INDEX('DRAFT 1'!$J:$J,MATCH($B96,'DRAFT 1'!$B:$B,0)),"")</f>
        <v/>
      </c>
      <c r="M96" s="116">
        <f>IFERROR(INDEX('DRAFT 1'!$K:$K,MATCH($B96,'DRAFT 1'!$B:$B,0)),"")</f>
        <v/>
      </c>
      <c r="N96" s="116" t="inlineStr">
        <is>
          <t>EM RISCO</t>
        </is>
      </c>
      <c r="P96" s="116">
        <f>IFERROR(INDEX('DRAFT 1'!$L:$L,MATCH($B96,'DRAFT 1'!$B:$B,0)),"")</f>
        <v/>
      </c>
      <c r="Q96" s="116">
        <f>IFERROR(INDEX('DRAFT 1'!$M:$M,MATCH($B96,'DRAFT 1'!$B:$B,0)),"")</f>
        <v/>
      </c>
      <c r="R96" s="116">
        <f>IFERROR(INDEX('DRAFT 1'!$N:$N,MATCH($B96,'DRAFT 1'!$B:$B,0)),"")</f>
        <v/>
      </c>
      <c r="S96" s="116">
        <f>IFERROR(INDEX('DRAFT 1'!$O:$O,MATCH($B96,'DRAFT 1'!$B:$B,0)),"")</f>
        <v/>
      </c>
      <c r="T96" s="116">
        <f>IFERROR(INDEX('DRAFT 1'!$P:$P,MATCH($B96,'DRAFT 1'!$B:$B,0)),"")</f>
        <v/>
      </c>
      <c r="U96" s="116">
        <f>IFERROR(INDEX('DRAFT 1'!$Q:$Q,MATCH($B96,'DRAFT 1'!$B:$B,0)),"")</f>
        <v/>
      </c>
      <c r="V96" s="116">
        <f>IFERROR(INDEX('DRAFT 1'!$R:$R,MATCH($B96,'DRAFT 1'!$B:$B,0)),"")</f>
        <v/>
      </c>
      <c r="W96" s="116">
        <f>IFERROR(INDEX('DRAFT 1'!$S:$S,MATCH($B96,'DRAFT 1'!$B:$B,0)),"")</f>
        <v/>
      </c>
      <c r="X96" s="116">
        <f>IFERROR(INDEX('DRAFT 1'!$T:$T,MATCH($B96,'DRAFT 1'!$B:$B,0)),"")</f>
        <v/>
      </c>
      <c r="Z96" s="116">
        <f>IFERROR(INDEX('DRAFT 1'!$U:$U,MATCH($B96,'DRAFT 1'!$B:$B,0)),"")</f>
        <v/>
      </c>
      <c r="AA96" s="116">
        <f>IFERROR(INDEX('DRAFT 1'!$V:$V,MATCH($B96,'DRAFT 1'!$B:$B,0)),"")</f>
        <v/>
      </c>
      <c r="AB96" s="116">
        <f>IFERROR(INDEX('DRAFT 1'!$W:$W,MATCH($B96,'DRAFT 1'!$B:$B,0)),"")</f>
        <v/>
      </c>
      <c r="AC96" s="116">
        <f>IFERROR(INDEX('DRAFT 1'!$X:$X,MATCH($B96,'DRAFT 1'!$B:$B,0)),"")</f>
        <v/>
      </c>
      <c r="AD96" s="116">
        <f>IFERROR(INDEX('DRAFT 1'!$Y:$Y,MATCH($B96,'DRAFT 1'!$B:$B,0)),"")</f>
        <v/>
      </c>
      <c r="AE96" s="116">
        <f>IFERROR(INDEX('DRAFT 1'!$Z:$Z,MATCH($B96,'DRAFT 1'!$B:$B,0)),"")</f>
        <v/>
      </c>
      <c r="AF96" s="116">
        <f>IFERROR(INDEX('DRAFT 1'!$AA:$AA,MATCH($B96,'DRAFT 1'!$B:$B,0)),"")</f>
        <v/>
      </c>
      <c r="AG96" s="116">
        <f>IFERROR(INDEX('DRAFT 1'!$AB:$AB,MATCH($B96,'DRAFT 1'!$B:$B,0)),"")</f>
        <v/>
      </c>
      <c r="AH96" s="116">
        <f>IFERROR(INDEX('DRAFT 1'!$AC:$AC,MATCH($B96,'DRAFT 1'!$B:$B,0)),"")</f>
        <v/>
      </c>
      <c r="AI96" s="116">
        <f>IFERROR(INDEX('DRAFT 1'!$AD:$AD,MATCH($B96,'DRAFT 1'!$B:$B,0)),"")</f>
        <v/>
      </c>
      <c r="AJ96" s="116">
        <f>IFERROR(INDEX('DRAFT 1'!$AE:$AE,MATCH($B96,'DRAFT 1'!$B:$B,0)),"")</f>
        <v/>
      </c>
      <c r="AK96" s="116">
        <f>IFERROR(INDEX('DRAFT 1'!$AG:$AG,MATCH($B96,'DRAFT 1'!$B:$B,0)),"")</f>
        <v/>
      </c>
      <c r="AL96" s="116">
        <f>IFERROR(INDEX('DRAFT 1'!$AH:$AH,MATCH($B96,'DRAFT 1'!$B:$B,0)),"")</f>
        <v/>
      </c>
      <c r="AM96" s="116">
        <f>IFERROR(INDEX('DRAFT 1'!$AI:$AI,MATCH($B96,'DRAFT 1'!$B:$B,0)),"")</f>
        <v/>
      </c>
      <c r="AN96" s="116">
        <f>IFERROR(INDEX('DRAFT 1'!$AJ:$AJ,MATCH($B96,'DRAFT 1'!$B:$B,0)),"")</f>
        <v/>
      </c>
      <c r="AO96" s="116">
        <f>IFERROR(Y96/AN96,0)</f>
        <v/>
      </c>
      <c r="AP96" s="116">
        <f>IFERROR(INDEX('DRAFT 1'!$AK:$AK,MATCH($B96,'DRAFT 1'!$B:$B,0)),"")</f>
        <v/>
      </c>
      <c r="AR96" s="116" t="inlineStr">
        <is>
          <t>SALVAMENTO</t>
        </is>
      </c>
      <c r="AS96" s="116">
        <f>IFERROR(LOOKUP(2,1/('DRAFT 2'!$D:$D=$B96),'DRAFT 2'!$T:$T),"")</f>
        <v/>
      </c>
      <c r="AT96" s="116">
        <f>IFERROR(LOOKUP(2,1/('DRAFT 2'!$D:$D=$B96),'DRAFT 2'!$A:$A),"")</f>
        <v/>
      </c>
      <c r="AU96" s="116">
        <f>IFERROR(LOOKUP(2,1/('DRAFT 2'!$D:$D=$B96),'DRAFT 2'!$R:$R),"")</f>
        <v/>
      </c>
      <c r="AV96" s="116">
        <f>IFERROR(LOOKUP(2,1/('DRAFT 2'!$D:$D=$B96),'DRAFT 2'!$S:$S),"")</f>
        <v/>
      </c>
      <c r="AW96" s="116" t="inlineStr">
        <is>
          <t>PROSPECT</t>
        </is>
      </c>
      <c r="AX96" s="116">
        <f>IFERROR(LOOKUP(2,1/('DRAFT 2'!$D:$D=$B96),'DRAFT 2'!$M:$M),"")</f>
        <v/>
      </c>
      <c r="AY96" s="116">
        <f>IFERROR(LOOKUP(2,1/('DRAFT 2'!$D:$D=$B96),'DRAFT 2'!$K:$K),"")</f>
        <v/>
      </c>
      <c r="BG96" s="116">
        <f>IFERROR(LOOKUP(2,1/('DRAFT 2'!$D:$D=$B96),'DRAFT 2'!$U:$U),"")</f>
        <v/>
      </c>
      <c r="BH96" s="116">
        <f>IFERROR(LOOKUP(2,1/('DRAFT 2'!$D:$D=$B96),'DRAFT 2'!$V:$V),"")</f>
        <v/>
      </c>
      <c r="CE96" s="116">
        <f>IFERROR(AJ96,0)</f>
        <v/>
      </c>
      <c r="CF96" s="116">
        <f>IFERROR(LOOKUP(2,1/('DRAFT 2'!$D:$D=$B96)*('DRAFT 2'!$A:$A&gt;=DATE(2026,1,1))*('DRAFT 2'!$A:$A&lt;DATE(2026,IF(1=12,1+1,1+1),1)),'DRAFT 2'!$A:$A),"")</f>
        <v/>
      </c>
      <c r="CG96" s="116">
        <f>COUNTIFS('DRAFT 2'!$D:$D,$B96,'DRAFT 2'!$A:$A,"&gt;="&amp;DATE(2026,1,1),'DRAFT 2'!$A:$A,"&lt;="&amp;DATE(2026,1,7))</f>
        <v/>
      </c>
      <c r="CH96" s="116">
        <f>COUNTIFS('DRAFT 2'!$D:$D,$B96,'DRAFT 2'!$A:$A,"&gt;="&amp;DATE(2026,1,8),'DRAFT 2'!$A:$A,"&lt;="&amp;DATE(2026,1,14))</f>
        <v/>
      </c>
      <c r="CI96" s="116">
        <f>COUNTIFS('DRAFT 2'!$D:$D,$B96,'DRAFT 2'!$A:$A,"&gt;="&amp;DATE(2026,1,15),'DRAFT 2'!$A:$A,"&lt;="&amp;DATE(2026,1,21))</f>
        <v/>
      </c>
      <c r="CJ96" s="116">
        <f>COUNTIFS('DRAFT 2'!$D:$D,$B96,'DRAFT 2'!$A:$A,"&gt;="&amp;DATE(2026,1,22),'DRAFT 2'!$A:$A,"&lt;"&amp;DATE(2026,IF(1=12,1+1,1+1),1))</f>
        <v/>
      </c>
      <c r="CK96" s="116">
        <f>SUM(CG96:CJ96)</f>
        <v/>
      </c>
      <c r="CT96" s="116" t="n">
        <v>0</v>
      </c>
      <c r="CU96" s="116">
        <f>IFERROR(LOOKUP(2,1/('DRAFT 2'!$D:$D=$B96)*('DRAFT 2'!$A:$A&gt;=DATE(2026,2,1))*('DRAFT 2'!$A:$A&lt;DATE(2026,IF(2=12,2+1,2+1),1)),'DRAFT 2'!$A:$A),"")</f>
        <v/>
      </c>
      <c r="CV96" s="116">
        <f>COUNTIFS('DRAFT 2'!$D:$D,$B96,'DRAFT 2'!$A:$A,"&gt;="&amp;DATE(2026,2,1),'DRAFT 2'!$A:$A,"&lt;="&amp;DATE(2026,2,7))</f>
        <v/>
      </c>
      <c r="CW96" s="116">
        <f>COUNTIFS('DRAFT 2'!$D:$D,$B96,'DRAFT 2'!$A:$A,"&gt;="&amp;DATE(2026,2,8),'DRAFT 2'!$A:$A,"&lt;="&amp;DATE(2026,2,14))</f>
        <v/>
      </c>
      <c r="CX96" s="116">
        <f>COUNTIFS('DRAFT 2'!$D:$D,$B96,'DRAFT 2'!$A:$A,"&gt;="&amp;DATE(2026,2,15),'DRAFT 2'!$A:$A,"&lt;="&amp;DATE(2026,2,21))</f>
        <v/>
      </c>
      <c r="CY96" s="116">
        <f>COUNTIFS('DRAFT 2'!$D:$D,$B96,'DRAFT 2'!$A:$A,"&gt;="&amp;DATE(2026,2,22),'DRAFT 2'!$A:$A,"&lt;"&amp;DATE(2026,IF(2=12,2+1,2+1),1))</f>
        <v/>
      </c>
      <c r="CZ96" s="116">
        <f>SUM(CV96:CY96)</f>
        <v/>
      </c>
      <c r="DJ96" s="116">
        <f>IFERROR(LOOKUP(2,1/('DRAFT 2'!$D:$D=$B96)*('DRAFT 2'!$A:$A&gt;=DATE(2026,3,1))*('DRAFT 2'!$A:$A&lt;DATE(2026,IF(3=12,3+1,3+1),1)),'DRAFT 2'!$A:$A),"")</f>
        <v/>
      </c>
      <c r="DK96" s="116">
        <f>COUNTIFS('DRAFT 2'!$D:$D,$B96,'DRAFT 2'!$A:$A,"&gt;="&amp;DATE(2026,3,1),'DRAFT 2'!$A:$A,"&lt;="&amp;DATE(2026,3,7))</f>
        <v/>
      </c>
      <c r="DL96" s="116">
        <f>COUNTIFS('DRAFT 2'!$D:$D,$B96,'DRAFT 2'!$A:$A,"&gt;="&amp;DATE(2026,3,8),'DRAFT 2'!$A:$A,"&lt;="&amp;DATE(2026,3,14))</f>
        <v/>
      </c>
      <c r="DM96" s="116">
        <f>COUNTIFS('DRAFT 2'!$D:$D,$B96,'DRAFT 2'!$A:$A,"&gt;="&amp;DATE(2026,3,15),'DRAFT 2'!$A:$A,"&lt;="&amp;DATE(2026,3,21))</f>
        <v/>
      </c>
      <c r="DN96" s="116">
        <f>COUNTIFS('DRAFT 2'!$D:$D,$B96,'DRAFT 2'!$A:$A,"&gt;="&amp;DATE(2026,3,22),'DRAFT 2'!$A:$A,"&lt;"&amp;DATE(2026,IF(3=12,3+1,3+1),1))</f>
        <v/>
      </c>
      <c r="DO96" s="116">
        <f>SUM(DK96:DN96)</f>
        <v/>
      </c>
      <c r="DZ96" s="116">
        <f>IFERROR(LOOKUP(2,1/('DRAFT 2'!$D:$D=$B96)*('DRAFT 2'!$A:$A&gt;=DATE(2026,4,1))*('DRAFT 2'!$A:$A&lt;DATE(2026,IF(4=12,4+1,4+1),1)),'DRAFT 2'!$A:$A),"")</f>
        <v/>
      </c>
      <c r="EA96" s="116">
        <f>COUNTIFS('DRAFT 2'!$D:$D,$B96,'DRAFT 2'!$A:$A,"&gt;="&amp;DATE(2026,4,1),'DRAFT 2'!$A:$A,"&lt;="&amp;DATE(2026,4,7))</f>
        <v/>
      </c>
      <c r="EB96" s="116">
        <f>COUNTIFS('DRAFT 2'!$D:$D,$B96,'DRAFT 2'!$A:$A,"&gt;="&amp;DATE(2026,4,8),'DRAFT 2'!$A:$A,"&lt;="&amp;DATE(2026,4,14))</f>
        <v/>
      </c>
      <c r="EC96" s="116">
        <f>COUNTIFS('DRAFT 2'!$D:$D,$B96,'DRAFT 2'!$A:$A,"&gt;="&amp;DATE(2026,4,15),'DRAFT 2'!$A:$A,"&lt;="&amp;DATE(2026,4,21))</f>
        <v/>
      </c>
      <c r="ED96" s="116">
        <f>COUNTIFS('DRAFT 2'!$D:$D,$B96,'DRAFT 2'!$A:$A,"&gt;="&amp;DATE(2026,4,22),'DRAFT 2'!$A:$A,"&lt;"&amp;DATE(2026,IF(4=12,4+1,4+1),1))</f>
        <v/>
      </c>
      <c r="EE96" s="116">
        <f>SUM(EA96:ED96)</f>
        <v/>
      </c>
      <c r="EO96" s="116">
        <f>IFERROR(LOOKUP(2,1/('DRAFT 2'!$D:$D=$B96)*('DRAFT 2'!$A:$A&gt;=DATE(2026,5,1))*('DRAFT 2'!$A:$A&lt;DATE(2026,IF(5=12,5+1,5+1),1)),'DRAFT 2'!$A:$A),"")</f>
        <v/>
      </c>
      <c r="EP96" s="116">
        <f>COUNTIFS('DRAFT 2'!$D:$D,$B96,'DRAFT 2'!$A:$A,"&gt;="&amp;DATE(2026,5,1),'DRAFT 2'!$A:$A,"&lt;="&amp;DATE(2026,5,7))</f>
        <v/>
      </c>
      <c r="EQ96" s="116">
        <f>COUNTIFS('DRAFT 2'!$D:$D,$B96,'DRAFT 2'!$A:$A,"&gt;="&amp;DATE(2026,5,8),'DRAFT 2'!$A:$A,"&lt;="&amp;DATE(2026,5,14))</f>
        <v/>
      </c>
      <c r="ER96" s="116">
        <f>COUNTIFS('DRAFT 2'!$D:$D,$B96,'DRAFT 2'!$A:$A,"&gt;="&amp;DATE(2026,5,15),'DRAFT 2'!$A:$A,"&lt;="&amp;DATE(2026,5,21))</f>
        <v/>
      </c>
      <c r="ES96" s="116">
        <f>COUNTIFS('DRAFT 2'!$D:$D,$B96,'DRAFT 2'!$A:$A,"&gt;="&amp;DATE(2026,5,22),'DRAFT 2'!$A:$A,"&lt;"&amp;DATE(2026,IF(5=12,5+1,5+1),1))</f>
        <v/>
      </c>
      <c r="ET96" s="116">
        <f>SUM(EP96:ES96)</f>
        <v/>
      </c>
      <c r="FD96" s="116">
        <f>IFERROR(LOOKUP(2,1/('DRAFT 2'!$D:$D=$B96)*('DRAFT 2'!$A:$A&gt;=DATE(2026,6,1))*('DRAFT 2'!$A:$A&lt;DATE(2026,IF(6=12,6+1,6+1),1)),'DRAFT 2'!$A:$A),"")</f>
        <v/>
      </c>
      <c r="FE96" s="116">
        <f>COUNTIFS('DRAFT 2'!$D:$D,$B96,'DRAFT 2'!$A:$A,"&gt;="&amp;DATE(2026,6,1),'DRAFT 2'!$A:$A,"&lt;="&amp;DATE(2026,6,7))</f>
        <v/>
      </c>
      <c r="FF96" s="116">
        <f>COUNTIFS('DRAFT 2'!$D:$D,$B96,'DRAFT 2'!$A:$A,"&gt;="&amp;DATE(2026,6,8),'DRAFT 2'!$A:$A,"&lt;="&amp;DATE(2026,6,14))</f>
        <v/>
      </c>
      <c r="FG96" s="116">
        <f>COUNTIFS('DRAFT 2'!$D:$D,$B96,'DRAFT 2'!$A:$A,"&gt;="&amp;DATE(2026,6,15),'DRAFT 2'!$A:$A,"&lt;="&amp;DATE(2026,6,21))</f>
        <v/>
      </c>
      <c r="FH96" s="116">
        <f>COUNTIFS('DRAFT 2'!$D:$D,$B96,'DRAFT 2'!$A:$A,"&gt;="&amp;DATE(2026,6,22),'DRAFT 2'!$A:$A,"&lt;"&amp;DATE(2026,IF(6=12,6+1,6+1),1))</f>
        <v/>
      </c>
      <c r="FI96" s="116">
        <f>SUM(FE96:FH96)</f>
        <v/>
      </c>
      <c r="FT96" s="116">
        <f>IFERROR(LOOKUP(2,1/('DRAFT 2'!$D:$D=$B96)*('DRAFT 2'!$A:$A&gt;=DATE(2026,7,1))*('DRAFT 2'!$A:$A&lt;DATE(2026,IF(7=12,7+1,7+1),1)),'DRAFT 2'!$A:$A),"")</f>
        <v/>
      </c>
      <c r="FU96" s="116">
        <f>COUNTIFS('DRAFT 2'!$D:$D,$B96,'DRAFT 2'!$A:$A,"&gt;="&amp;DATE(2026,7,1),'DRAFT 2'!$A:$A,"&lt;="&amp;DATE(2026,7,7))</f>
        <v/>
      </c>
      <c r="FV96" s="116">
        <f>COUNTIFS('DRAFT 2'!$D:$D,$B96,'DRAFT 2'!$A:$A,"&gt;="&amp;DATE(2026,7,8),'DRAFT 2'!$A:$A,"&lt;="&amp;DATE(2026,7,14))</f>
        <v/>
      </c>
      <c r="FW96" s="116">
        <f>COUNTIFS('DRAFT 2'!$D:$D,$B96,'DRAFT 2'!$A:$A,"&gt;="&amp;DATE(2026,7,15),'DRAFT 2'!$A:$A,"&lt;="&amp;DATE(2026,7,21))</f>
        <v/>
      </c>
      <c r="FX96" s="116">
        <f>COUNTIFS('DRAFT 2'!$D:$D,$B96,'DRAFT 2'!$A:$A,"&gt;="&amp;DATE(2026,7,22),'DRAFT 2'!$A:$A,"&lt;"&amp;DATE(2026,IF(7=12,7+1,7+1),1))</f>
        <v/>
      </c>
      <c r="FY96" s="116">
        <f>SUM(FU96:FX96)</f>
        <v/>
      </c>
      <c r="GI96" s="116">
        <f>IFERROR(LOOKUP(2,1/('DRAFT 2'!$D:$D=$B96)*('DRAFT 2'!$A:$A&gt;=DATE(2026,8,1))*('DRAFT 2'!$A:$A&lt;DATE(2026,IF(8=12,8+1,8+1),1)),'DRAFT 2'!$A:$A),"")</f>
        <v/>
      </c>
      <c r="GJ96" s="116">
        <f>COUNTIFS('DRAFT 2'!$D:$D,$B96,'DRAFT 2'!$A:$A,"&gt;="&amp;DATE(2026,8,1),'DRAFT 2'!$A:$A,"&lt;="&amp;DATE(2026,8,7))</f>
        <v/>
      </c>
      <c r="GK96" s="116">
        <f>COUNTIFS('DRAFT 2'!$D:$D,$B96,'DRAFT 2'!$A:$A,"&gt;="&amp;DATE(2026,8,8),'DRAFT 2'!$A:$A,"&lt;="&amp;DATE(2026,8,14))</f>
        <v/>
      </c>
      <c r="GL96" s="116">
        <f>COUNTIFS('DRAFT 2'!$D:$D,$B96,'DRAFT 2'!$A:$A,"&gt;="&amp;DATE(2026,8,15),'DRAFT 2'!$A:$A,"&lt;="&amp;DATE(2026,8,21))</f>
        <v/>
      </c>
      <c r="GM96" s="116">
        <f>COUNTIFS('DRAFT 2'!$D:$D,$B96,'DRAFT 2'!$A:$A,"&gt;="&amp;DATE(2026,8,22),'DRAFT 2'!$A:$A,"&lt;"&amp;DATE(2026,IF(8=12,8+1,8+1),1))</f>
        <v/>
      </c>
      <c r="GN96" s="116">
        <f>SUM(GJ96:GM96)</f>
        <v/>
      </c>
      <c r="GX96" s="116">
        <f>IFERROR(LOOKUP(2,1/('DRAFT 2'!$D:$D=$B96)*('DRAFT 2'!$A:$A&gt;=DATE(2026,9,1))*('DRAFT 2'!$A:$A&lt;DATE(2026,IF(9=12,9+1,9+1),1)),'DRAFT 2'!$A:$A),"")</f>
        <v/>
      </c>
      <c r="GY96" s="116">
        <f>COUNTIFS('DRAFT 2'!$D:$D,$B96,'DRAFT 2'!$A:$A,"&gt;="&amp;DATE(2026,9,1),'DRAFT 2'!$A:$A,"&lt;="&amp;DATE(2026,9,7))</f>
        <v/>
      </c>
      <c r="GZ96" s="116">
        <f>COUNTIFS('DRAFT 2'!$D:$D,$B96,'DRAFT 2'!$A:$A,"&gt;="&amp;DATE(2026,9,8),'DRAFT 2'!$A:$A,"&lt;="&amp;DATE(2026,9,14))</f>
        <v/>
      </c>
      <c r="HA96" s="116">
        <f>COUNTIFS('DRAFT 2'!$D:$D,$B96,'DRAFT 2'!$A:$A,"&gt;="&amp;DATE(2026,9,15),'DRAFT 2'!$A:$A,"&lt;="&amp;DATE(2026,9,21))</f>
        <v/>
      </c>
      <c r="HB96" s="116">
        <f>COUNTIFS('DRAFT 2'!$D:$D,$B96,'DRAFT 2'!$A:$A,"&gt;="&amp;DATE(2026,9,22),'DRAFT 2'!$A:$A,"&lt;"&amp;DATE(2026,IF(9=12,9+1,9+1),1))</f>
        <v/>
      </c>
      <c r="HC96" s="116">
        <f>SUM(GY96:HB96)</f>
        <v/>
      </c>
      <c r="HN96" s="116">
        <f>IFERROR(LOOKUP(2,1/('DRAFT 2'!$D:$D=$B96)*('DRAFT 2'!$A:$A&gt;=DATE(2026,10,1))*('DRAFT 2'!$A:$A&lt;DATE(2026,IF(10=12,10+1,10+1),1)),'DRAFT 2'!$A:$A),"")</f>
        <v/>
      </c>
      <c r="HO96" s="116">
        <f>COUNTIFS('DRAFT 2'!$D:$D,$B96,'DRAFT 2'!$A:$A,"&gt;="&amp;DATE(2026,10,1),'DRAFT 2'!$A:$A,"&lt;="&amp;DATE(2026,10,7))</f>
        <v/>
      </c>
      <c r="HP96" s="116">
        <f>COUNTIFS('DRAFT 2'!$D:$D,$B96,'DRAFT 2'!$A:$A,"&gt;="&amp;DATE(2026,10,8),'DRAFT 2'!$A:$A,"&lt;="&amp;DATE(2026,10,14))</f>
        <v/>
      </c>
      <c r="HQ96" s="116">
        <f>COUNTIFS('DRAFT 2'!$D:$D,$B96,'DRAFT 2'!$A:$A,"&gt;="&amp;DATE(2026,10,15),'DRAFT 2'!$A:$A,"&lt;="&amp;DATE(2026,10,21))</f>
        <v/>
      </c>
      <c r="HR96" s="116">
        <f>COUNTIFS('DRAFT 2'!$D:$D,$B96,'DRAFT 2'!$A:$A,"&gt;="&amp;DATE(2026,10,22),'DRAFT 2'!$A:$A,"&lt;"&amp;DATE(2026,IF(10=12,10+1,10+1),1))</f>
        <v/>
      </c>
      <c r="HS96" s="116">
        <f>SUM(HO96:HR96)</f>
        <v/>
      </c>
      <c r="IC96" s="116">
        <f>IFERROR(LOOKUP(2,1/('DRAFT 2'!$D:$D=$B96)*('DRAFT 2'!$A:$A&gt;=DATE(2026,11,1))*('DRAFT 2'!$A:$A&lt;DATE(2026,IF(11=12,11+1,11+1),1)),'DRAFT 2'!$A:$A),"")</f>
        <v/>
      </c>
      <c r="ID96" s="116">
        <f>COUNTIFS('DRAFT 2'!$D:$D,$B96,'DRAFT 2'!$A:$A,"&gt;="&amp;DATE(2026,11,1),'DRAFT 2'!$A:$A,"&lt;="&amp;DATE(2026,11,7))</f>
        <v/>
      </c>
      <c r="IE96" s="116">
        <f>COUNTIFS('DRAFT 2'!$D:$D,$B96,'DRAFT 2'!$A:$A,"&gt;="&amp;DATE(2026,11,8),'DRAFT 2'!$A:$A,"&lt;="&amp;DATE(2026,11,14))</f>
        <v/>
      </c>
      <c r="IF96" s="116">
        <f>COUNTIFS('DRAFT 2'!$D:$D,$B96,'DRAFT 2'!$A:$A,"&gt;="&amp;DATE(2026,11,15),'DRAFT 2'!$A:$A,"&lt;="&amp;DATE(2026,11,21))</f>
        <v/>
      </c>
      <c r="IG96" s="116">
        <f>COUNTIFS('DRAFT 2'!$D:$D,$B96,'DRAFT 2'!$A:$A,"&gt;="&amp;DATE(2026,11,22),'DRAFT 2'!$A:$A,"&lt;"&amp;DATE(2026,IF(11=12,11+1,11+1),1))</f>
        <v/>
      </c>
      <c r="IH96" s="116">
        <f>SUM(ID96:IG96)</f>
        <v/>
      </c>
      <c r="IR96" s="116">
        <f>IFERROR(LOOKUP(2,1/('DRAFT 2'!$D:$D=$B96)*('DRAFT 2'!$A:$A&gt;=DATE(2026,12,1))*('DRAFT 2'!$A:$A&lt;DATE(2026,IF(12=12,12+1,12+1),1)),'DRAFT 2'!$A:$A),"")</f>
        <v/>
      </c>
      <c r="IS96" s="116">
        <f>COUNTIFS('DRAFT 2'!$D:$D,$B96,'DRAFT 2'!$A:$A,"&gt;="&amp;DATE(2026,12,1),'DRAFT 2'!$A:$A,"&lt;="&amp;DATE(2026,12,7))</f>
        <v/>
      </c>
      <c r="IT96" s="116">
        <f>COUNTIFS('DRAFT 2'!$D:$D,$B96,'DRAFT 2'!$A:$A,"&gt;="&amp;DATE(2026,12,8),'DRAFT 2'!$A:$A,"&lt;="&amp;DATE(2026,12,14))</f>
        <v/>
      </c>
      <c r="IU96" s="116">
        <f>COUNTIFS('DRAFT 2'!$D:$D,$B96,'DRAFT 2'!$A:$A,"&gt;="&amp;DATE(2026,12,15),'DRAFT 2'!$A:$A,"&lt;="&amp;DATE(2026,12,21))</f>
        <v/>
      </c>
      <c r="IV96" s="116">
        <f>COUNTIFS('DRAFT 2'!$D:$D,$B96,'DRAFT 2'!$A:$A,"&gt;="&amp;DATE(2026,12,22),'DRAFT 2'!$A:$A,"&lt;"&amp;DATE(2026,IF(12=12,12+1,12+1),1))</f>
        <v/>
      </c>
      <c r="IW96" s="116">
        <f>SUM(IS96:IV96)</f>
        <v/>
      </c>
    </row>
    <row r="97">
      <c r="A97" s="116">
        <f>IFERROR(INDEX('DRAFT 1'!$A:$A,MATCH($B97,'DRAFT 1'!$B:$B,0)),"")</f>
        <v/>
      </c>
      <c r="C97" s="116">
        <f>IFERROR(INDEX('DRAFT 1'!$C:$C,MATCH($B97,'DRAFT 1'!$B:$B,0)),"")</f>
        <v/>
      </c>
      <c r="D97" s="116">
        <f>IFERROR(INDEX('DRAFT 1'!$D:$D,MATCH($B97,'DRAFT 1'!$B:$B,0)),"")</f>
        <v/>
      </c>
      <c r="E97" s="116">
        <f>IFERROR(INDEX('DRAFT 1'!$E:$E,MATCH($B97,'DRAFT 1'!$B:$B,0)),"")</f>
        <v/>
      </c>
      <c r="F97" s="116">
        <f>IFERROR(INDEX('DRAFT 1'!$F:$F,MATCH($B97,'DRAFT 1'!$B:$B,0)),"")</f>
        <v/>
      </c>
      <c r="G97" s="116">
        <f>IFERROR(INDEX('DRAFT 1'!$G:$G,MATCH($B97,'DRAFT 1'!$B:$B,0)),"")</f>
        <v/>
      </c>
      <c r="H97" s="116">
        <f>IFERROR(INDEX('DRAFT 1'!$H:$H,MATCH($B97,'DRAFT 1'!$B:$B,0)),"")</f>
        <v/>
      </c>
      <c r="I97" s="116" t="inlineStr">
        <is>
          <t>DEMAIS CLIENTES</t>
        </is>
      </c>
      <c r="K97" s="116">
        <f>IFERROR(INDEX('DRAFT 1'!$AL:$AL,MATCH($B97,'DRAFT 1'!$B:$B,0)),"")</f>
        <v/>
      </c>
      <c r="L97" s="116">
        <f>IFERROR(INDEX('DRAFT 1'!$J:$J,MATCH($B97,'DRAFT 1'!$B:$B,0)),"")</f>
        <v/>
      </c>
      <c r="M97" s="116">
        <f>IFERROR(INDEX('DRAFT 1'!$K:$K,MATCH($B97,'DRAFT 1'!$B:$B,0)),"")</f>
        <v/>
      </c>
      <c r="N97" s="116" t="inlineStr">
        <is>
          <t>ATIVO</t>
        </is>
      </c>
      <c r="P97" s="116">
        <f>IFERROR(INDEX('DRAFT 1'!$L:$L,MATCH($B97,'DRAFT 1'!$B:$B,0)),"")</f>
        <v/>
      </c>
      <c r="Q97" s="116">
        <f>IFERROR(INDEX('DRAFT 1'!$M:$M,MATCH($B97,'DRAFT 1'!$B:$B,0)),"")</f>
        <v/>
      </c>
      <c r="R97" s="116">
        <f>IFERROR(INDEX('DRAFT 1'!$N:$N,MATCH($B97,'DRAFT 1'!$B:$B,0)),"")</f>
        <v/>
      </c>
      <c r="S97" s="116">
        <f>IFERROR(INDEX('DRAFT 1'!$O:$O,MATCH($B97,'DRAFT 1'!$B:$B,0)),"")</f>
        <v/>
      </c>
      <c r="T97" s="116">
        <f>IFERROR(INDEX('DRAFT 1'!$P:$P,MATCH($B97,'DRAFT 1'!$B:$B,0)),"")</f>
        <v/>
      </c>
      <c r="U97" s="116">
        <f>IFERROR(INDEX('DRAFT 1'!$Q:$Q,MATCH($B97,'DRAFT 1'!$B:$B,0)),"")</f>
        <v/>
      </c>
      <c r="V97" s="116">
        <f>IFERROR(INDEX('DRAFT 1'!$R:$R,MATCH($B97,'DRAFT 1'!$B:$B,0)),"")</f>
        <v/>
      </c>
      <c r="W97" s="116">
        <f>IFERROR(INDEX('DRAFT 1'!$S:$S,MATCH($B97,'DRAFT 1'!$B:$B,0)),"")</f>
        <v/>
      </c>
      <c r="X97" s="116">
        <f>IFERROR(INDEX('DRAFT 1'!$T:$T,MATCH($B97,'DRAFT 1'!$B:$B,0)),"")</f>
        <v/>
      </c>
      <c r="Z97" s="116">
        <f>IFERROR(INDEX('DRAFT 1'!$U:$U,MATCH($B97,'DRAFT 1'!$B:$B,0)),"")</f>
        <v/>
      </c>
      <c r="AA97" s="116">
        <f>IFERROR(INDEX('DRAFT 1'!$V:$V,MATCH($B97,'DRAFT 1'!$B:$B,0)),"")</f>
        <v/>
      </c>
      <c r="AB97" s="116">
        <f>IFERROR(INDEX('DRAFT 1'!$W:$W,MATCH($B97,'DRAFT 1'!$B:$B,0)),"")</f>
        <v/>
      </c>
      <c r="AC97" s="116">
        <f>IFERROR(INDEX('DRAFT 1'!$X:$X,MATCH($B97,'DRAFT 1'!$B:$B,0)),"")</f>
        <v/>
      </c>
      <c r="AD97" s="116">
        <f>IFERROR(INDEX('DRAFT 1'!$Y:$Y,MATCH($B97,'DRAFT 1'!$B:$B,0)),"")</f>
        <v/>
      </c>
      <c r="AE97" s="116">
        <f>IFERROR(INDEX('DRAFT 1'!$Z:$Z,MATCH($B97,'DRAFT 1'!$B:$B,0)),"")</f>
        <v/>
      </c>
      <c r="AF97" s="116">
        <f>IFERROR(INDEX('DRAFT 1'!$AA:$AA,MATCH($B97,'DRAFT 1'!$B:$B,0)),"")</f>
        <v/>
      </c>
      <c r="AG97" s="116">
        <f>IFERROR(INDEX('DRAFT 1'!$AB:$AB,MATCH($B97,'DRAFT 1'!$B:$B,0)),"")</f>
        <v/>
      </c>
      <c r="AH97" s="116">
        <f>IFERROR(INDEX('DRAFT 1'!$AC:$AC,MATCH($B97,'DRAFT 1'!$B:$B,0)),"")</f>
        <v/>
      </c>
      <c r="AI97" s="116">
        <f>IFERROR(INDEX('DRAFT 1'!$AD:$AD,MATCH($B97,'DRAFT 1'!$B:$B,0)),"")</f>
        <v/>
      </c>
      <c r="AJ97" s="116">
        <f>IFERROR(INDEX('DRAFT 1'!$AE:$AE,MATCH($B97,'DRAFT 1'!$B:$B,0)),"")</f>
        <v/>
      </c>
      <c r="AK97" s="116">
        <f>IFERROR(INDEX('DRAFT 1'!$AG:$AG,MATCH($B97,'DRAFT 1'!$B:$B,0)),"")</f>
        <v/>
      </c>
      <c r="AL97" s="116">
        <f>IFERROR(INDEX('DRAFT 1'!$AH:$AH,MATCH($B97,'DRAFT 1'!$B:$B,0)),"")</f>
        <v/>
      </c>
      <c r="AM97" s="116">
        <f>IFERROR(INDEX('DRAFT 1'!$AI:$AI,MATCH($B97,'DRAFT 1'!$B:$B,0)),"")</f>
        <v/>
      </c>
      <c r="AN97" s="116">
        <f>IFERROR(INDEX('DRAFT 1'!$AJ:$AJ,MATCH($B97,'DRAFT 1'!$B:$B,0)),"")</f>
        <v/>
      </c>
      <c r="AO97" s="116">
        <f>IFERROR(Y97/AN97,0)</f>
        <v/>
      </c>
      <c r="AP97" s="116">
        <f>IFERROR(INDEX('DRAFT 1'!$AK:$AK,MATCH($B97,'DRAFT 1'!$B:$B,0)),"")</f>
        <v/>
      </c>
      <c r="AR97" s="116" t="inlineStr">
        <is>
          <t>PROSPECÇÃO</t>
        </is>
      </c>
      <c r="AS97" s="116">
        <f>IFERROR(LOOKUP(2,1/('DRAFT 2'!$D:$D=$B97),'DRAFT 2'!$T:$T),"")</f>
        <v/>
      </c>
      <c r="AT97" s="116">
        <f>IFERROR(LOOKUP(2,1/('DRAFT 2'!$D:$D=$B97),'DRAFT 2'!$A:$A),"")</f>
        <v/>
      </c>
      <c r="AU97" s="116">
        <f>IFERROR(LOOKUP(2,1/('DRAFT 2'!$D:$D=$B97),'DRAFT 2'!$R:$R),"")</f>
        <v/>
      </c>
      <c r="AV97" s="116">
        <f>IFERROR(LOOKUP(2,1/('DRAFT 2'!$D:$D=$B97),'DRAFT 2'!$S:$S),"")</f>
        <v/>
      </c>
      <c r="AW97" s="116" t="inlineStr">
        <is>
          <t>EM DESENVOLVIMENTO</t>
        </is>
      </c>
      <c r="AX97" s="116">
        <f>IFERROR(LOOKUP(2,1/('DRAFT 2'!$D:$D=$B97),'DRAFT 2'!$M:$M),"")</f>
        <v/>
      </c>
      <c r="AY97" s="116">
        <f>IFERROR(LOOKUP(2,1/('DRAFT 2'!$D:$D=$B97),'DRAFT 2'!$K:$K),"")</f>
        <v/>
      </c>
      <c r="BG97" s="116">
        <f>IFERROR(LOOKUP(2,1/('DRAFT 2'!$D:$D=$B97),'DRAFT 2'!$U:$U),"")</f>
        <v/>
      </c>
      <c r="BH97" s="116">
        <f>IFERROR(LOOKUP(2,1/('DRAFT 2'!$D:$D=$B97),'DRAFT 2'!$V:$V),"")</f>
        <v/>
      </c>
      <c r="CE97" s="116">
        <f>IFERROR(AJ97,0)</f>
        <v/>
      </c>
      <c r="CF97" s="116">
        <f>IFERROR(LOOKUP(2,1/('DRAFT 2'!$D:$D=$B97)*('DRAFT 2'!$A:$A&gt;=DATE(2026,1,1))*('DRAFT 2'!$A:$A&lt;DATE(2026,IF(1=12,1+1,1+1),1)),'DRAFT 2'!$A:$A),"")</f>
        <v/>
      </c>
      <c r="CG97" s="116">
        <f>COUNTIFS('DRAFT 2'!$D:$D,$B97,'DRAFT 2'!$A:$A,"&gt;="&amp;DATE(2026,1,1),'DRAFT 2'!$A:$A,"&lt;="&amp;DATE(2026,1,7))</f>
        <v/>
      </c>
      <c r="CH97" s="116">
        <f>COUNTIFS('DRAFT 2'!$D:$D,$B97,'DRAFT 2'!$A:$A,"&gt;="&amp;DATE(2026,1,8),'DRAFT 2'!$A:$A,"&lt;="&amp;DATE(2026,1,14))</f>
        <v/>
      </c>
      <c r="CI97" s="116">
        <f>COUNTIFS('DRAFT 2'!$D:$D,$B97,'DRAFT 2'!$A:$A,"&gt;="&amp;DATE(2026,1,15),'DRAFT 2'!$A:$A,"&lt;="&amp;DATE(2026,1,21))</f>
        <v/>
      </c>
      <c r="CJ97" s="116">
        <f>COUNTIFS('DRAFT 2'!$D:$D,$B97,'DRAFT 2'!$A:$A,"&gt;="&amp;DATE(2026,1,22),'DRAFT 2'!$A:$A,"&lt;"&amp;DATE(2026,IF(1=12,1+1,1+1),1))</f>
        <v/>
      </c>
      <c r="CK97" s="116">
        <f>SUM(CG97:CJ97)</f>
        <v/>
      </c>
      <c r="CT97" s="116" t="n">
        <v>0</v>
      </c>
      <c r="CU97" s="116">
        <f>IFERROR(LOOKUP(2,1/('DRAFT 2'!$D:$D=$B97)*('DRAFT 2'!$A:$A&gt;=DATE(2026,2,1))*('DRAFT 2'!$A:$A&lt;DATE(2026,IF(2=12,2+1,2+1),1)),'DRAFT 2'!$A:$A),"")</f>
        <v/>
      </c>
      <c r="CV97" s="116">
        <f>COUNTIFS('DRAFT 2'!$D:$D,$B97,'DRAFT 2'!$A:$A,"&gt;="&amp;DATE(2026,2,1),'DRAFT 2'!$A:$A,"&lt;="&amp;DATE(2026,2,7))</f>
        <v/>
      </c>
      <c r="CW97" s="116">
        <f>COUNTIFS('DRAFT 2'!$D:$D,$B97,'DRAFT 2'!$A:$A,"&gt;="&amp;DATE(2026,2,8),'DRAFT 2'!$A:$A,"&lt;="&amp;DATE(2026,2,14))</f>
        <v/>
      </c>
      <c r="CX97" s="116">
        <f>COUNTIFS('DRAFT 2'!$D:$D,$B97,'DRAFT 2'!$A:$A,"&gt;="&amp;DATE(2026,2,15),'DRAFT 2'!$A:$A,"&lt;="&amp;DATE(2026,2,21))</f>
        <v/>
      </c>
      <c r="CY97" s="116">
        <f>COUNTIFS('DRAFT 2'!$D:$D,$B97,'DRAFT 2'!$A:$A,"&gt;="&amp;DATE(2026,2,22),'DRAFT 2'!$A:$A,"&lt;"&amp;DATE(2026,IF(2=12,2+1,2+1),1))</f>
        <v/>
      </c>
      <c r="CZ97" s="116">
        <f>SUM(CV97:CY97)</f>
        <v/>
      </c>
      <c r="DJ97" s="116">
        <f>IFERROR(LOOKUP(2,1/('DRAFT 2'!$D:$D=$B97)*('DRAFT 2'!$A:$A&gt;=DATE(2026,3,1))*('DRAFT 2'!$A:$A&lt;DATE(2026,IF(3=12,3+1,3+1),1)),'DRAFT 2'!$A:$A),"")</f>
        <v/>
      </c>
      <c r="DK97" s="116">
        <f>COUNTIFS('DRAFT 2'!$D:$D,$B97,'DRAFT 2'!$A:$A,"&gt;="&amp;DATE(2026,3,1),'DRAFT 2'!$A:$A,"&lt;="&amp;DATE(2026,3,7))</f>
        <v/>
      </c>
      <c r="DL97" s="116">
        <f>COUNTIFS('DRAFT 2'!$D:$D,$B97,'DRAFT 2'!$A:$A,"&gt;="&amp;DATE(2026,3,8),'DRAFT 2'!$A:$A,"&lt;="&amp;DATE(2026,3,14))</f>
        <v/>
      </c>
      <c r="DM97" s="116">
        <f>COUNTIFS('DRAFT 2'!$D:$D,$B97,'DRAFT 2'!$A:$A,"&gt;="&amp;DATE(2026,3,15),'DRAFT 2'!$A:$A,"&lt;="&amp;DATE(2026,3,21))</f>
        <v/>
      </c>
      <c r="DN97" s="116">
        <f>COUNTIFS('DRAFT 2'!$D:$D,$B97,'DRAFT 2'!$A:$A,"&gt;="&amp;DATE(2026,3,22),'DRAFT 2'!$A:$A,"&lt;"&amp;DATE(2026,IF(3=12,3+1,3+1),1))</f>
        <v/>
      </c>
      <c r="DO97" s="116">
        <f>SUM(DK97:DN97)</f>
        <v/>
      </c>
      <c r="DZ97" s="116">
        <f>IFERROR(LOOKUP(2,1/('DRAFT 2'!$D:$D=$B97)*('DRAFT 2'!$A:$A&gt;=DATE(2026,4,1))*('DRAFT 2'!$A:$A&lt;DATE(2026,IF(4=12,4+1,4+1),1)),'DRAFT 2'!$A:$A),"")</f>
        <v/>
      </c>
      <c r="EA97" s="116">
        <f>COUNTIFS('DRAFT 2'!$D:$D,$B97,'DRAFT 2'!$A:$A,"&gt;="&amp;DATE(2026,4,1),'DRAFT 2'!$A:$A,"&lt;="&amp;DATE(2026,4,7))</f>
        <v/>
      </c>
      <c r="EB97" s="116">
        <f>COUNTIFS('DRAFT 2'!$D:$D,$B97,'DRAFT 2'!$A:$A,"&gt;="&amp;DATE(2026,4,8),'DRAFT 2'!$A:$A,"&lt;="&amp;DATE(2026,4,14))</f>
        <v/>
      </c>
      <c r="EC97" s="116">
        <f>COUNTIFS('DRAFT 2'!$D:$D,$B97,'DRAFT 2'!$A:$A,"&gt;="&amp;DATE(2026,4,15),'DRAFT 2'!$A:$A,"&lt;="&amp;DATE(2026,4,21))</f>
        <v/>
      </c>
      <c r="ED97" s="116">
        <f>COUNTIFS('DRAFT 2'!$D:$D,$B97,'DRAFT 2'!$A:$A,"&gt;="&amp;DATE(2026,4,22),'DRAFT 2'!$A:$A,"&lt;"&amp;DATE(2026,IF(4=12,4+1,4+1),1))</f>
        <v/>
      </c>
      <c r="EE97" s="116">
        <f>SUM(EA97:ED97)</f>
        <v/>
      </c>
      <c r="EO97" s="116">
        <f>IFERROR(LOOKUP(2,1/('DRAFT 2'!$D:$D=$B97)*('DRAFT 2'!$A:$A&gt;=DATE(2026,5,1))*('DRAFT 2'!$A:$A&lt;DATE(2026,IF(5=12,5+1,5+1),1)),'DRAFT 2'!$A:$A),"")</f>
        <v/>
      </c>
      <c r="EP97" s="116">
        <f>COUNTIFS('DRAFT 2'!$D:$D,$B97,'DRAFT 2'!$A:$A,"&gt;="&amp;DATE(2026,5,1),'DRAFT 2'!$A:$A,"&lt;="&amp;DATE(2026,5,7))</f>
        <v/>
      </c>
      <c r="EQ97" s="116">
        <f>COUNTIFS('DRAFT 2'!$D:$D,$B97,'DRAFT 2'!$A:$A,"&gt;="&amp;DATE(2026,5,8),'DRAFT 2'!$A:$A,"&lt;="&amp;DATE(2026,5,14))</f>
        <v/>
      </c>
      <c r="ER97" s="116">
        <f>COUNTIFS('DRAFT 2'!$D:$D,$B97,'DRAFT 2'!$A:$A,"&gt;="&amp;DATE(2026,5,15),'DRAFT 2'!$A:$A,"&lt;="&amp;DATE(2026,5,21))</f>
        <v/>
      </c>
      <c r="ES97" s="116">
        <f>COUNTIFS('DRAFT 2'!$D:$D,$B97,'DRAFT 2'!$A:$A,"&gt;="&amp;DATE(2026,5,22),'DRAFT 2'!$A:$A,"&lt;"&amp;DATE(2026,IF(5=12,5+1,5+1),1))</f>
        <v/>
      </c>
      <c r="ET97" s="116">
        <f>SUM(EP97:ES97)</f>
        <v/>
      </c>
      <c r="FD97" s="116">
        <f>IFERROR(LOOKUP(2,1/('DRAFT 2'!$D:$D=$B97)*('DRAFT 2'!$A:$A&gt;=DATE(2026,6,1))*('DRAFT 2'!$A:$A&lt;DATE(2026,IF(6=12,6+1,6+1),1)),'DRAFT 2'!$A:$A),"")</f>
        <v/>
      </c>
      <c r="FE97" s="116">
        <f>COUNTIFS('DRAFT 2'!$D:$D,$B97,'DRAFT 2'!$A:$A,"&gt;="&amp;DATE(2026,6,1),'DRAFT 2'!$A:$A,"&lt;="&amp;DATE(2026,6,7))</f>
        <v/>
      </c>
      <c r="FF97" s="116">
        <f>COUNTIFS('DRAFT 2'!$D:$D,$B97,'DRAFT 2'!$A:$A,"&gt;="&amp;DATE(2026,6,8),'DRAFT 2'!$A:$A,"&lt;="&amp;DATE(2026,6,14))</f>
        <v/>
      </c>
      <c r="FG97" s="116">
        <f>COUNTIFS('DRAFT 2'!$D:$D,$B97,'DRAFT 2'!$A:$A,"&gt;="&amp;DATE(2026,6,15),'DRAFT 2'!$A:$A,"&lt;="&amp;DATE(2026,6,21))</f>
        <v/>
      </c>
      <c r="FH97" s="116">
        <f>COUNTIFS('DRAFT 2'!$D:$D,$B97,'DRAFT 2'!$A:$A,"&gt;="&amp;DATE(2026,6,22),'DRAFT 2'!$A:$A,"&lt;"&amp;DATE(2026,IF(6=12,6+1,6+1),1))</f>
        <v/>
      </c>
      <c r="FI97" s="116">
        <f>SUM(FE97:FH97)</f>
        <v/>
      </c>
      <c r="FT97" s="116">
        <f>IFERROR(LOOKUP(2,1/('DRAFT 2'!$D:$D=$B97)*('DRAFT 2'!$A:$A&gt;=DATE(2026,7,1))*('DRAFT 2'!$A:$A&lt;DATE(2026,IF(7=12,7+1,7+1),1)),'DRAFT 2'!$A:$A),"")</f>
        <v/>
      </c>
      <c r="FU97" s="116">
        <f>COUNTIFS('DRAFT 2'!$D:$D,$B97,'DRAFT 2'!$A:$A,"&gt;="&amp;DATE(2026,7,1),'DRAFT 2'!$A:$A,"&lt;="&amp;DATE(2026,7,7))</f>
        <v/>
      </c>
      <c r="FV97" s="116">
        <f>COUNTIFS('DRAFT 2'!$D:$D,$B97,'DRAFT 2'!$A:$A,"&gt;="&amp;DATE(2026,7,8),'DRAFT 2'!$A:$A,"&lt;="&amp;DATE(2026,7,14))</f>
        <v/>
      </c>
      <c r="FW97" s="116">
        <f>COUNTIFS('DRAFT 2'!$D:$D,$B97,'DRAFT 2'!$A:$A,"&gt;="&amp;DATE(2026,7,15),'DRAFT 2'!$A:$A,"&lt;="&amp;DATE(2026,7,21))</f>
        <v/>
      </c>
      <c r="FX97" s="116">
        <f>COUNTIFS('DRAFT 2'!$D:$D,$B97,'DRAFT 2'!$A:$A,"&gt;="&amp;DATE(2026,7,22),'DRAFT 2'!$A:$A,"&lt;"&amp;DATE(2026,IF(7=12,7+1,7+1),1))</f>
        <v/>
      </c>
      <c r="FY97" s="116">
        <f>SUM(FU97:FX97)</f>
        <v/>
      </c>
      <c r="GI97" s="116">
        <f>IFERROR(LOOKUP(2,1/('DRAFT 2'!$D:$D=$B97)*('DRAFT 2'!$A:$A&gt;=DATE(2026,8,1))*('DRAFT 2'!$A:$A&lt;DATE(2026,IF(8=12,8+1,8+1),1)),'DRAFT 2'!$A:$A),"")</f>
        <v/>
      </c>
      <c r="GJ97" s="116">
        <f>COUNTIFS('DRAFT 2'!$D:$D,$B97,'DRAFT 2'!$A:$A,"&gt;="&amp;DATE(2026,8,1),'DRAFT 2'!$A:$A,"&lt;="&amp;DATE(2026,8,7))</f>
        <v/>
      </c>
      <c r="GK97" s="116">
        <f>COUNTIFS('DRAFT 2'!$D:$D,$B97,'DRAFT 2'!$A:$A,"&gt;="&amp;DATE(2026,8,8),'DRAFT 2'!$A:$A,"&lt;="&amp;DATE(2026,8,14))</f>
        <v/>
      </c>
      <c r="GL97" s="116">
        <f>COUNTIFS('DRAFT 2'!$D:$D,$B97,'DRAFT 2'!$A:$A,"&gt;="&amp;DATE(2026,8,15),'DRAFT 2'!$A:$A,"&lt;="&amp;DATE(2026,8,21))</f>
        <v/>
      </c>
      <c r="GM97" s="116">
        <f>COUNTIFS('DRAFT 2'!$D:$D,$B97,'DRAFT 2'!$A:$A,"&gt;="&amp;DATE(2026,8,22),'DRAFT 2'!$A:$A,"&lt;"&amp;DATE(2026,IF(8=12,8+1,8+1),1))</f>
        <v/>
      </c>
      <c r="GN97" s="116">
        <f>SUM(GJ97:GM97)</f>
        <v/>
      </c>
      <c r="GX97" s="116">
        <f>IFERROR(LOOKUP(2,1/('DRAFT 2'!$D:$D=$B97)*('DRAFT 2'!$A:$A&gt;=DATE(2026,9,1))*('DRAFT 2'!$A:$A&lt;DATE(2026,IF(9=12,9+1,9+1),1)),'DRAFT 2'!$A:$A),"")</f>
        <v/>
      </c>
      <c r="GY97" s="116">
        <f>COUNTIFS('DRAFT 2'!$D:$D,$B97,'DRAFT 2'!$A:$A,"&gt;="&amp;DATE(2026,9,1),'DRAFT 2'!$A:$A,"&lt;="&amp;DATE(2026,9,7))</f>
        <v/>
      </c>
      <c r="GZ97" s="116">
        <f>COUNTIFS('DRAFT 2'!$D:$D,$B97,'DRAFT 2'!$A:$A,"&gt;="&amp;DATE(2026,9,8),'DRAFT 2'!$A:$A,"&lt;="&amp;DATE(2026,9,14))</f>
        <v/>
      </c>
      <c r="HA97" s="116">
        <f>COUNTIFS('DRAFT 2'!$D:$D,$B97,'DRAFT 2'!$A:$A,"&gt;="&amp;DATE(2026,9,15),'DRAFT 2'!$A:$A,"&lt;="&amp;DATE(2026,9,21))</f>
        <v/>
      </c>
      <c r="HB97" s="116">
        <f>COUNTIFS('DRAFT 2'!$D:$D,$B97,'DRAFT 2'!$A:$A,"&gt;="&amp;DATE(2026,9,22),'DRAFT 2'!$A:$A,"&lt;"&amp;DATE(2026,IF(9=12,9+1,9+1),1))</f>
        <v/>
      </c>
      <c r="HC97" s="116">
        <f>SUM(GY97:HB97)</f>
        <v/>
      </c>
      <c r="HN97" s="116">
        <f>IFERROR(LOOKUP(2,1/('DRAFT 2'!$D:$D=$B97)*('DRAFT 2'!$A:$A&gt;=DATE(2026,10,1))*('DRAFT 2'!$A:$A&lt;DATE(2026,IF(10=12,10+1,10+1),1)),'DRAFT 2'!$A:$A),"")</f>
        <v/>
      </c>
      <c r="HO97" s="116">
        <f>COUNTIFS('DRAFT 2'!$D:$D,$B97,'DRAFT 2'!$A:$A,"&gt;="&amp;DATE(2026,10,1),'DRAFT 2'!$A:$A,"&lt;="&amp;DATE(2026,10,7))</f>
        <v/>
      </c>
      <c r="HP97" s="116">
        <f>COUNTIFS('DRAFT 2'!$D:$D,$B97,'DRAFT 2'!$A:$A,"&gt;="&amp;DATE(2026,10,8),'DRAFT 2'!$A:$A,"&lt;="&amp;DATE(2026,10,14))</f>
        <v/>
      </c>
      <c r="HQ97" s="116">
        <f>COUNTIFS('DRAFT 2'!$D:$D,$B97,'DRAFT 2'!$A:$A,"&gt;="&amp;DATE(2026,10,15),'DRAFT 2'!$A:$A,"&lt;="&amp;DATE(2026,10,21))</f>
        <v/>
      </c>
      <c r="HR97" s="116">
        <f>COUNTIFS('DRAFT 2'!$D:$D,$B97,'DRAFT 2'!$A:$A,"&gt;="&amp;DATE(2026,10,22),'DRAFT 2'!$A:$A,"&lt;"&amp;DATE(2026,IF(10=12,10+1,10+1),1))</f>
        <v/>
      </c>
      <c r="HS97" s="116">
        <f>SUM(HO97:HR97)</f>
        <v/>
      </c>
      <c r="IC97" s="116">
        <f>IFERROR(LOOKUP(2,1/('DRAFT 2'!$D:$D=$B97)*('DRAFT 2'!$A:$A&gt;=DATE(2026,11,1))*('DRAFT 2'!$A:$A&lt;DATE(2026,IF(11=12,11+1,11+1),1)),'DRAFT 2'!$A:$A),"")</f>
        <v/>
      </c>
      <c r="ID97" s="116">
        <f>COUNTIFS('DRAFT 2'!$D:$D,$B97,'DRAFT 2'!$A:$A,"&gt;="&amp;DATE(2026,11,1),'DRAFT 2'!$A:$A,"&lt;="&amp;DATE(2026,11,7))</f>
        <v/>
      </c>
      <c r="IE97" s="116">
        <f>COUNTIFS('DRAFT 2'!$D:$D,$B97,'DRAFT 2'!$A:$A,"&gt;="&amp;DATE(2026,11,8),'DRAFT 2'!$A:$A,"&lt;="&amp;DATE(2026,11,14))</f>
        <v/>
      </c>
      <c r="IF97" s="116">
        <f>COUNTIFS('DRAFT 2'!$D:$D,$B97,'DRAFT 2'!$A:$A,"&gt;="&amp;DATE(2026,11,15),'DRAFT 2'!$A:$A,"&lt;="&amp;DATE(2026,11,21))</f>
        <v/>
      </c>
      <c r="IG97" s="116">
        <f>COUNTIFS('DRAFT 2'!$D:$D,$B97,'DRAFT 2'!$A:$A,"&gt;="&amp;DATE(2026,11,22),'DRAFT 2'!$A:$A,"&lt;"&amp;DATE(2026,IF(11=12,11+1,11+1),1))</f>
        <v/>
      </c>
      <c r="IH97" s="116">
        <f>SUM(ID97:IG97)</f>
        <v/>
      </c>
      <c r="IR97" s="116">
        <f>IFERROR(LOOKUP(2,1/('DRAFT 2'!$D:$D=$B97)*('DRAFT 2'!$A:$A&gt;=DATE(2026,12,1))*('DRAFT 2'!$A:$A&lt;DATE(2026,IF(12=12,12+1,12+1),1)),'DRAFT 2'!$A:$A),"")</f>
        <v/>
      </c>
      <c r="IS97" s="116">
        <f>COUNTIFS('DRAFT 2'!$D:$D,$B97,'DRAFT 2'!$A:$A,"&gt;="&amp;DATE(2026,12,1),'DRAFT 2'!$A:$A,"&lt;="&amp;DATE(2026,12,7))</f>
        <v/>
      </c>
      <c r="IT97" s="116">
        <f>COUNTIFS('DRAFT 2'!$D:$D,$B97,'DRAFT 2'!$A:$A,"&gt;="&amp;DATE(2026,12,8),'DRAFT 2'!$A:$A,"&lt;="&amp;DATE(2026,12,14))</f>
        <v/>
      </c>
      <c r="IU97" s="116">
        <f>COUNTIFS('DRAFT 2'!$D:$D,$B97,'DRAFT 2'!$A:$A,"&gt;="&amp;DATE(2026,12,15),'DRAFT 2'!$A:$A,"&lt;="&amp;DATE(2026,12,21))</f>
        <v/>
      </c>
      <c r="IV97" s="116">
        <f>COUNTIFS('DRAFT 2'!$D:$D,$B97,'DRAFT 2'!$A:$A,"&gt;="&amp;DATE(2026,12,22),'DRAFT 2'!$A:$A,"&lt;"&amp;DATE(2026,IF(12=12,12+1,12+1),1))</f>
        <v/>
      </c>
      <c r="IW97" s="116">
        <f>SUM(IS97:IV97)</f>
        <v/>
      </c>
    </row>
    <row r="98">
      <c r="A98" s="116">
        <f>IFERROR(INDEX('DRAFT 1'!$A:$A,MATCH($B98,'DRAFT 1'!$B:$B,0)),"")</f>
        <v/>
      </c>
      <c r="C98" s="116">
        <f>IFERROR(INDEX('DRAFT 1'!$C:$C,MATCH($B98,'DRAFT 1'!$B:$B,0)),"")</f>
        <v/>
      </c>
      <c r="D98" s="116">
        <f>IFERROR(INDEX('DRAFT 1'!$D:$D,MATCH($B98,'DRAFT 1'!$B:$B,0)),"")</f>
        <v/>
      </c>
      <c r="E98" s="116">
        <f>IFERROR(INDEX('DRAFT 1'!$E:$E,MATCH($B98,'DRAFT 1'!$B:$B,0)),"")</f>
        <v/>
      </c>
      <c r="F98" s="116">
        <f>IFERROR(INDEX('DRAFT 1'!$F:$F,MATCH($B98,'DRAFT 1'!$B:$B,0)),"")</f>
        <v/>
      </c>
      <c r="G98" s="116">
        <f>IFERROR(INDEX('DRAFT 1'!$G:$G,MATCH($B98,'DRAFT 1'!$B:$B,0)),"")</f>
        <v/>
      </c>
      <c r="H98" s="116">
        <f>IFERROR(INDEX('DRAFT 1'!$H:$H,MATCH($B98,'DRAFT 1'!$B:$B,0)),"")</f>
        <v/>
      </c>
      <c r="I98" s="116" t="inlineStr">
        <is>
          <t>MUNDO VERDE</t>
        </is>
      </c>
      <c r="K98" s="116">
        <f>IFERROR(INDEX('DRAFT 1'!$AL:$AL,MATCH($B98,'DRAFT 1'!$B:$B,0)),"")</f>
        <v/>
      </c>
      <c r="L98" s="116">
        <f>IFERROR(INDEX('DRAFT 1'!$J:$J,MATCH($B98,'DRAFT 1'!$B:$B,0)),"")</f>
        <v/>
      </c>
      <c r="M98" s="116">
        <f>IFERROR(INDEX('DRAFT 1'!$K:$K,MATCH($B98,'DRAFT 1'!$B:$B,0)),"")</f>
        <v/>
      </c>
      <c r="N98" s="116" t="inlineStr">
        <is>
          <t>INAT.REC</t>
        </is>
      </c>
      <c r="P98" s="116">
        <f>IFERROR(INDEX('DRAFT 1'!$L:$L,MATCH($B98,'DRAFT 1'!$B:$B,0)),"")</f>
        <v/>
      </c>
      <c r="Q98" s="116">
        <f>IFERROR(INDEX('DRAFT 1'!$M:$M,MATCH($B98,'DRAFT 1'!$B:$B,0)),"")</f>
        <v/>
      </c>
      <c r="R98" s="116">
        <f>IFERROR(INDEX('DRAFT 1'!$N:$N,MATCH($B98,'DRAFT 1'!$B:$B,0)),"")</f>
        <v/>
      </c>
      <c r="S98" s="116">
        <f>IFERROR(INDEX('DRAFT 1'!$O:$O,MATCH($B98,'DRAFT 1'!$B:$B,0)),"")</f>
        <v/>
      </c>
      <c r="T98" s="116">
        <f>IFERROR(INDEX('DRAFT 1'!$P:$P,MATCH($B98,'DRAFT 1'!$B:$B,0)),"")</f>
        <v/>
      </c>
      <c r="U98" s="116">
        <f>IFERROR(INDEX('DRAFT 1'!$Q:$Q,MATCH($B98,'DRAFT 1'!$B:$B,0)),"")</f>
        <v/>
      </c>
      <c r="V98" s="116">
        <f>IFERROR(INDEX('DRAFT 1'!$R:$R,MATCH($B98,'DRAFT 1'!$B:$B,0)),"")</f>
        <v/>
      </c>
      <c r="W98" s="116">
        <f>IFERROR(INDEX('DRAFT 1'!$S:$S,MATCH($B98,'DRAFT 1'!$B:$B,0)),"")</f>
        <v/>
      </c>
      <c r="X98" s="116">
        <f>IFERROR(INDEX('DRAFT 1'!$T:$T,MATCH($B98,'DRAFT 1'!$B:$B,0)),"")</f>
        <v/>
      </c>
      <c r="Z98" s="116">
        <f>IFERROR(INDEX('DRAFT 1'!$U:$U,MATCH($B98,'DRAFT 1'!$B:$B,0)),"")</f>
        <v/>
      </c>
      <c r="AA98" s="116">
        <f>IFERROR(INDEX('DRAFT 1'!$V:$V,MATCH($B98,'DRAFT 1'!$B:$B,0)),"")</f>
        <v/>
      </c>
      <c r="AB98" s="116">
        <f>IFERROR(INDEX('DRAFT 1'!$W:$W,MATCH($B98,'DRAFT 1'!$B:$B,0)),"")</f>
        <v/>
      </c>
      <c r="AC98" s="116">
        <f>IFERROR(INDEX('DRAFT 1'!$X:$X,MATCH($B98,'DRAFT 1'!$B:$B,0)),"")</f>
        <v/>
      </c>
      <c r="AD98" s="116">
        <f>IFERROR(INDEX('DRAFT 1'!$Y:$Y,MATCH($B98,'DRAFT 1'!$B:$B,0)),"")</f>
        <v/>
      </c>
      <c r="AE98" s="116">
        <f>IFERROR(INDEX('DRAFT 1'!$Z:$Z,MATCH($B98,'DRAFT 1'!$B:$B,0)),"")</f>
        <v/>
      </c>
      <c r="AF98" s="116">
        <f>IFERROR(INDEX('DRAFT 1'!$AA:$AA,MATCH($B98,'DRAFT 1'!$B:$B,0)),"")</f>
        <v/>
      </c>
      <c r="AG98" s="116">
        <f>IFERROR(INDEX('DRAFT 1'!$AB:$AB,MATCH($B98,'DRAFT 1'!$B:$B,0)),"")</f>
        <v/>
      </c>
      <c r="AH98" s="116">
        <f>IFERROR(INDEX('DRAFT 1'!$AC:$AC,MATCH($B98,'DRAFT 1'!$B:$B,0)),"")</f>
        <v/>
      </c>
      <c r="AI98" s="116">
        <f>IFERROR(INDEX('DRAFT 1'!$AD:$AD,MATCH($B98,'DRAFT 1'!$B:$B,0)),"")</f>
        <v/>
      </c>
      <c r="AJ98" s="116">
        <f>IFERROR(INDEX('DRAFT 1'!$AE:$AE,MATCH($B98,'DRAFT 1'!$B:$B,0)),"")</f>
        <v/>
      </c>
      <c r="AK98" s="116">
        <f>IFERROR(INDEX('DRAFT 1'!$AG:$AG,MATCH($B98,'DRAFT 1'!$B:$B,0)),"")</f>
        <v/>
      </c>
      <c r="AL98" s="116">
        <f>IFERROR(INDEX('DRAFT 1'!$AH:$AH,MATCH($B98,'DRAFT 1'!$B:$B,0)),"")</f>
        <v/>
      </c>
      <c r="AM98" s="116">
        <f>IFERROR(INDEX('DRAFT 1'!$AI:$AI,MATCH($B98,'DRAFT 1'!$B:$B,0)),"")</f>
        <v/>
      </c>
      <c r="AN98" s="116">
        <f>IFERROR(INDEX('DRAFT 1'!$AJ:$AJ,MATCH($B98,'DRAFT 1'!$B:$B,0)),"")</f>
        <v/>
      </c>
      <c r="AO98" s="116">
        <f>IFERROR(Y98/AN98,0)</f>
        <v/>
      </c>
      <c r="AP98" s="116">
        <f>IFERROR(INDEX('DRAFT 1'!$AK:$AK,MATCH($B98,'DRAFT 1'!$B:$B,0)),"")</f>
        <v/>
      </c>
      <c r="AR98" s="116" t="inlineStr">
        <is>
          <t>RECOMPRA</t>
        </is>
      </c>
      <c r="AS98" s="116">
        <f>IFERROR(LOOKUP(2,1/('DRAFT 2'!$D:$D=$B98),'DRAFT 2'!$T:$T),"")</f>
        <v/>
      </c>
      <c r="AT98" s="116">
        <f>IFERROR(LOOKUP(2,1/('DRAFT 2'!$D:$D=$B98),'DRAFT 2'!$A:$A),"")</f>
        <v/>
      </c>
      <c r="AU98" s="116">
        <f>IFERROR(LOOKUP(2,1/('DRAFT 2'!$D:$D=$B98),'DRAFT 2'!$R:$R),"")</f>
        <v/>
      </c>
      <c r="AV98" s="116">
        <f>IFERROR(LOOKUP(2,1/('DRAFT 2'!$D:$D=$B98),'DRAFT 2'!$S:$S),"")</f>
        <v/>
      </c>
      <c r="AW98" s="116" t="inlineStr">
        <is>
          <t>EM DESENVOLVIMENTO</t>
        </is>
      </c>
      <c r="AX98" s="116">
        <f>IFERROR(LOOKUP(2,1/('DRAFT 2'!$D:$D=$B98),'DRAFT 2'!$M:$M),"")</f>
        <v/>
      </c>
      <c r="AY98" s="116">
        <f>IFERROR(LOOKUP(2,1/('DRAFT 2'!$D:$D=$B98),'DRAFT 2'!$K:$K),"")</f>
        <v/>
      </c>
      <c r="BG98" s="116">
        <f>IFERROR(LOOKUP(2,1/('DRAFT 2'!$D:$D=$B98),'DRAFT 2'!$U:$U),"")</f>
        <v/>
      </c>
      <c r="BH98" s="116">
        <f>IFERROR(LOOKUP(2,1/('DRAFT 2'!$D:$D=$B98),'DRAFT 2'!$V:$V),"")</f>
        <v/>
      </c>
      <c r="CE98" s="116">
        <f>IFERROR(AJ98,0)</f>
        <v/>
      </c>
      <c r="CF98" s="116">
        <f>IFERROR(LOOKUP(2,1/('DRAFT 2'!$D:$D=$B98)*('DRAFT 2'!$A:$A&gt;=DATE(2026,1,1))*('DRAFT 2'!$A:$A&lt;DATE(2026,IF(1=12,1+1,1+1),1)),'DRAFT 2'!$A:$A),"")</f>
        <v/>
      </c>
      <c r="CG98" s="116">
        <f>COUNTIFS('DRAFT 2'!$D:$D,$B98,'DRAFT 2'!$A:$A,"&gt;="&amp;DATE(2026,1,1),'DRAFT 2'!$A:$A,"&lt;="&amp;DATE(2026,1,7))</f>
        <v/>
      </c>
      <c r="CH98" s="116">
        <f>COUNTIFS('DRAFT 2'!$D:$D,$B98,'DRAFT 2'!$A:$A,"&gt;="&amp;DATE(2026,1,8),'DRAFT 2'!$A:$A,"&lt;="&amp;DATE(2026,1,14))</f>
        <v/>
      </c>
      <c r="CI98" s="116">
        <f>COUNTIFS('DRAFT 2'!$D:$D,$B98,'DRAFT 2'!$A:$A,"&gt;="&amp;DATE(2026,1,15),'DRAFT 2'!$A:$A,"&lt;="&amp;DATE(2026,1,21))</f>
        <v/>
      </c>
      <c r="CJ98" s="116">
        <f>COUNTIFS('DRAFT 2'!$D:$D,$B98,'DRAFT 2'!$A:$A,"&gt;="&amp;DATE(2026,1,22),'DRAFT 2'!$A:$A,"&lt;"&amp;DATE(2026,IF(1=12,1+1,1+1),1))</f>
        <v/>
      </c>
      <c r="CK98" s="116">
        <f>SUM(CG98:CJ98)</f>
        <v/>
      </c>
      <c r="CT98" s="116" t="n">
        <v>0</v>
      </c>
      <c r="CU98" s="116">
        <f>IFERROR(LOOKUP(2,1/('DRAFT 2'!$D:$D=$B98)*('DRAFT 2'!$A:$A&gt;=DATE(2026,2,1))*('DRAFT 2'!$A:$A&lt;DATE(2026,IF(2=12,2+1,2+1),1)),'DRAFT 2'!$A:$A),"")</f>
        <v/>
      </c>
      <c r="CV98" s="116">
        <f>COUNTIFS('DRAFT 2'!$D:$D,$B98,'DRAFT 2'!$A:$A,"&gt;="&amp;DATE(2026,2,1),'DRAFT 2'!$A:$A,"&lt;="&amp;DATE(2026,2,7))</f>
        <v/>
      </c>
      <c r="CW98" s="116">
        <f>COUNTIFS('DRAFT 2'!$D:$D,$B98,'DRAFT 2'!$A:$A,"&gt;="&amp;DATE(2026,2,8),'DRAFT 2'!$A:$A,"&lt;="&amp;DATE(2026,2,14))</f>
        <v/>
      </c>
      <c r="CX98" s="116">
        <f>COUNTIFS('DRAFT 2'!$D:$D,$B98,'DRAFT 2'!$A:$A,"&gt;="&amp;DATE(2026,2,15),'DRAFT 2'!$A:$A,"&lt;="&amp;DATE(2026,2,21))</f>
        <v/>
      </c>
      <c r="CY98" s="116">
        <f>COUNTIFS('DRAFT 2'!$D:$D,$B98,'DRAFT 2'!$A:$A,"&gt;="&amp;DATE(2026,2,22),'DRAFT 2'!$A:$A,"&lt;"&amp;DATE(2026,IF(2=12,2+1,2+1),1))</f>
        <v/>
      </c>
      <c r="CZ98" s="116">
        <f>SUM(CV98:CY98)</f>
        <v/>
      </c>
      <c r="DJ98" s="116">
        <f>IFERROR(LOOKUP(2,1/('DRAFT 2'!$D:$D=$B98)*('DRAFT 2'!$A:$A&gt;=DATE(2026,3,1))*('DRAFT 2'!$A:$A&lt;DATE(2026,IF(3=12,3+1,3+1),1)),'DRAFT 2'!$A:$A),"")</f>
        <v/>
      </c>
      <c r="DK98" s="116">
        <f>COUNTIFS('DRAFT 2'!$D:$D,$B98,'DRAFT 2'!$A:$A,"&gt;="&amp;DATE(2026,3,1),'DRAFT 2'!$A:$A,"&lt;="&amp;DATE(2026,3,7))</f>
        <v/>
      </c>
      <c r="DL98" s="116">
        <f>COUNTIFS('DRAFT 2'!$D:$D,$B98,'DRAFT 2'!$A:$A,"&gt;="&amp;DATE(2026,3,8),'DRAFT 2'!$A:$A,"&lt;="&amp;DATE(2026,3,14))</f>
        <v/>
      </c>
      <c r="DM98" s="116">
        <f>COUNTIFS('DRAFT 2'!$D:$D,$B98,'DRAFT 2'!$A:$A,"&gt;="&amp;DATE(2026,3,15),'DRAFT 2'!$A:$A,"&lt;="&amp;DATE(2026,3,21))</f>
        <v/>
      </c>
      <c r="DN98" s="116">
        <f>COUNTIFS('DRAFT 2'!$D:$D,$B98,'DRAFT 2'!$A:$A,"&gt;="&amp;DATE(2026,3,22),'DRAFT 2'!$A:$A,"&lt;"&amp;DATE(2026,IF(3=12,3+1,3+1),1))</f>
        <v/>
      </c>
      <c r="DO98" s="116">
        <f>SUM(DK98:DN98)</f>
        <v/>
      </c>
      <c r="DZ98" s="116">
        <f>IFERROR(LOOKUP(2,1/('DRAFT 2'!$D:$D=$B98)*('DRAFT 2'!$A:$A&gt;=DATE(2026,4,1))*('DRAFT 2'!$A:$A&lt;DATE(2026,IF(4=12,4+1,4+1),1)),'DRAFT 2'!$A:$A),"")</f>
        <v/>
      </c>
      <c r="EA98" s="116">
        <f>COUNTIFS('DRAFT 2'!$D:$D,$B98,'DRAFT 2'!$A:$A,"&gt;="&amp;DATE(2026,4,1),'DRAFT 2'!$A:$A,"&lt;="&amp;DATE(2026,4,7))</f>
        <v/>
      </c>
      <c r="EB98" s="116">
        <f>COUNTIFS('DRAFT 2'!$D:$D,$B98,'DRAFT 2'!$A:$A,"&gt;="&amp;DATE(2026,4,8),'DRAFT 2'!$A:$A,"&lt;="&amp;DATE(2026,4,14))</f>
        <v/>
      </c>
      <c r="EC98" s="116">
        <f>COUNTIFS('DRAFT 2'!$D:$D,$B98,'DRAFT 2'!$A:$A,"&gt;="&amp;DATE(2026,4,15),'DRAFT 2'!$A:$A,"&lt;="&amp;DATE(2026,4,21))</f>
        <v/>
      </c>
      <c r="ED98" s="116">
        <f>COUNTIFS('DRAFT 2'!$D:$D,$B98,'DRAFT 2'!$A:$A,"&gt;="&amp;DATE(2026,4,22),'DRAFT 2'!$A:$A,"&lt;"&amp;DATE(2026,IF(4=12,4+1,4+1),1))</f>
        <v/>
      </c>
      <c r="EE98" s="116">
        <f>SUM(EA98:ED98)</f>
        <v/>
      </c>
      <c r="EO98" s="116">
        <f>IFERROR(LOOKUP(2,1/('DRAFT 2'!$D:$D=$B98)*('DRAFT 2'!$A:$A&gt;=DATE(2026,5,1))*('DRAFT 2'!$A:$A&lt;DATE(2026,IF(5=12,5+1,5+1),1)),'DRAFT 2'!$A:$A),"")</f>
        <v/>
      </c>
      <c r="EP98" s="116">
        <f>COUNTIFS('DRAFT 2'!$D:$D,$B98,'DRAFT 2'!$A:$A,"&gt;="&amp;DATE(2026,5,1),'DRAFT 2'!$A:$A,"&lt;="&amp;DATE(2026,5,7))</f>
        <v/>
      </c>
      <c r="EQ98" s="116">
        <f>COUNTIFS('DRAFT 2'!$D:$D,$B98,'DRAFT 2'!$A:$A,"&gt;="&amp;DATE(2026,5,8),'DRAFT 2'!$A:$A,"&lt;="&amp;DATE(2026,5,14))</f>
        <v/>
      </c>
      <c r="ER98" s="116">
        <f>COUNTIFS('DRAFT 2'!$D:$D,$B98,'DRAFT 2'!$A:$A,"&gt;="&amp;DATE(2026,5,15),'DRAFT 2'!$A:$A,"&lt;="&amp;DATE(2026,5,21))</f>
        <v/>
      </c>
      <c r="ES98" s="116">
        <f>COUNTIFS('DRAFT 2'!$D:$D,$B98,'DRAFT 2'!$A:$A,"&gt;="&amp;DATE(2026,5,22),'DRAFT 2'!$A:$A,"&lt;"&amp;DATE(2026,IF(5=12,5+1,5+1),1))</f>
        <v/>
      </c>
      <c r="ET98" s="116">
        <f>SUM(EP98:ES98)</f>
        <v/>
      </c>
      <c r="FD98" s="116">
        <f>IFERROR(LOOKUP(2,1/('DRAFT 2'!$D:$D=$B98)*('DRAFT 2'!$A:$A&gt;=DATE(2026,6,1))*('DRAFT 2'!$A:$A&lt;DATE(2026,IF(6=12,6+1,6+1),1)),'DRAFT 2'!$A:$A),"")</f>
        <v/>
      </c>
      <c r="FE98" s="116">
        <f>COUNTIFS('DRAFT 2'!$D:$D,$B98,'DRAFT 2'!$A:$A,"&gt;="&amp;DATE(2026,6,1),'DRAFT 2'!$A:$A,"&lt;="&amp;DATE(2026,6,7))</f>
        <v/>
      </c>
      <c r="FF98" s="116">
        <f>COUNTIFS('DRAFT 2'!$D:$D,$B98,'DRAFT 2'!$A:$A,"&gt;="&amp;DATE(2026,6,8),'DRAFT 2'!$A:$A,"&lt;="&amp;DATE(2026,6,14))</f>
        <v/>
      </c>
      <c r="FG98" s="116">
        <f>COUNTIFS('DRAFT 2'!$D:$D,$B98,'DRAFT 2'!$A:$A,"&gt;="&amp;DATE(2026,6,15),'DRAFT 2'!$A:$A,"&lt;="&amp;DATE(2026,6,21))</f>
        <v/>
      </c>
      <c r="FH98" s="116">
        <f>COUNTIFS('DRAFT 2'!$D:$D,$B98,'DRAFT 2'!$A:$A,"&gt;="&amp;DATE(2026,6,22),'DRAFT 2'!$A:$A,"&lt;"&amp;DATE(2026,IF(6=12,6+1,6+1),1))</f>
        <v/>
      </c>
      <c r="FI98" s="116">
        <f>SUM(FE98:FH98)</f>
        <v/>
      </c>
      <c r="FT98" s="116">
        <f>IFERROR(LOOKUP(2,1/('DRAFT 2'!$D:$D=$B98)*('DRAFT 2'!$A:$A&gt;=DATE(2026,7,1))*('DRAFT 2'!$A:$A&lt;DATE(2026,IF(7=12,7+1,7+1),1)),'DRAFT 2'!$A:$A),"")</f>
        <v/>
      </c>
      <c r="FU98" s="116">
        <f>COUNTIFS('DRAFT 2'!$D:$D,$B98,'DRAFT 2'!$A:$A,"&gt;="&amp;DATE(2026,7,1),'DRAFT 2'!$A:$A,"&lt;="&amp;DATE(2026,7,7))</f>
        <v/>
      </c>
      <c r="FV98" s="116">
        <f>COUNTIFS('DRAFT 2'!$D:$D,$B98,'DRAFT 2'!$A:$A,"&gt;="&amp;DATE(2026,7,8),'DRAFT 2'!$A:$A,"&lt;="&amp;DATE(2026,7,14))</f>
        <v/>
      </c>
      <c r="FW98" s="116">
        <f>COUNTIFS('DRAFT 2'!$D:$D,$B98,'DRAFT 2'!$A:$A,"&gt;="&amp;DATE(2026,7,15),'DRAFT 2'!$A:$A,"&lt;="&amp;DATE(2026,7,21))</f>
        <v/>
      </c>
      <c r="FX98" s="116">
        <f>COUNTIFS('DRAFT 2'!$D:$D,$B98,'DRAFT 2'!$A:$A,"&gt;="&amp;DATE(2026,7,22),'DRAFT 2'!$A:$A,"&lt;"&amp;DATE(2026,IF(7=12,7+1,7+1),1))</f>
        <v/>
      </c>
      <c r="FY98" s="116">
        <f>SUM(FU98:FX98)</f>
        <v/>
      </c>
      <c r="GI98" s="116">
        <f>IFERROR(LOOKUP(2,1/('DRAFT 2'!$D:$D=$B98)*('DRAFT 2'!$A:$A&gt;=DATE(2026,8,1))*('DRAFT 2'!$A:$A&lt;DATE(2026,IF(8=12,8+1,8+1),1)),'DRAFT 2'!$A:$A),"")</f>
        <v/>
      </c>
      <c r="GJ98" s="116">
        <f>COUNTIFS('DRAFT 2'!$D:$D,$B98,'DRAFT 2'!$A:$A,"&gt;="&amp;DATE(2026,8,1),'DRAFT 2'!$A:$A,"&lt;="&amp;DATE(2026,8,7))</f>
        <v/>
      </c>
      <c r="GK98" s="116">
        <f>COUNTIFS('DRAFT 2'!$D:$D,$B98,'DRAFT 2'!$A:$A,"&gt;="&amp;DATE(2026,8,8),'DRAFT 2'!$A:$A,"&lt;="&amp;DATE(2026,8,14))</f>
        <v/>
      </c>
      <c r="GL98" s="116">
        <f>COUNTIFS('DRAFT 2'!$D:$D,$B98,'DRAFT 2'!$A:$A,"&gt;="&amp;DATE(2026,8,15),'DRAFT 2'!$A:$A,"&lt;="&amp;DATE(2026,8,21))</f>
        <v/>
      </c>
      <c r="GM98" s="116">
        <f>COUNTIFS('DRAFT 2'!$D:$D,$B98,'DRAFT 2'!$A:$A,"&gt;="&amp;DATE(2026,8,22),'DRAFT 2'!$A:$A,"&lt;"&amp;DATE(2026,IF(8=12,8+1,8+1),1))</f>
        <v/>
      </c>
      <c r="GN98" s="116">
        <f>SUM(GJ98:GM98)</f>
        <v/>
      </c>
      <c r="GX98" s="116">
        <f>IFERROR(LOOKUP(2,1/('DRAFT 2'!$D:$D=$B98)*('DRAFT 2'!$A:$A&gt;=DATE(2026,9,1))*('DRAFT 2'!$A:$A&lt;DATE(2026,IF(9=12,9+1,9+1),1)),'DRAFT 2'!$A:$A),"")</f>
        <v/>
      </c>
      <c r="GY98" s="116">
        <f>COUNTIFS('DRAFT 2'!$D:$D,$B98,'DRAFT 2'!$A:$A,"&gt;="&amp;DATE(2026,9,1),'DRAFT 2'!$A:$A,"&lt;="&amp;DATE(2026,9,7))</f>
        <v/>
      </c>
      <c r="GZ98" s="116">
        <f>COUNTIFS('DRAFT 2'!$D:$D,$B98,'DRAFT 2'!$A:$A,"&gt;="&amp;DATE(2026,9,8),'DRAFT 2'!$A:$A,"&lt;="&amp;DATE(2026,9,14))</f>
        <v/>
      </c>
      <c r="HA98" s="116">
        <f>COUNTIFS('DRAFT 2'!$D:$D,$B98,'DRAFT 2'!$A:$A,"&gt;="&amp;DATE(2026,9,15),'DRAFT 2'!$A:$A,"&lt;="&amp;DATE(2026,9,21))</f>
        <v/>
      </c>
      <c r="HB98" s="116">
        <f>COUNTIFS('DRAFT 2'!$D:$D,$B98,'DRAFT 2'!$A:$A,"&gt;="&amp;DATE(2026,9,22),'DRAFT 2'!$A:$A,"&lt;"&amp;DATE(2026,IF(9=12,9+1,9+1),1))</f>
        <v/>
      </c>
      <c r="HC98" s="116">
        <f>SUM(GY98:HB98)</f>
        <v/>
      </c>
      <c r="HN98" s="116">
        <f>IFERROR(LOOKUP(2,1/('DRAFT 2'!$D:$D=$B98)*('DRAFT 2'!$A:$A&gt;=DATE(2026,10,1))*('DRAFT 2'!$A:$A&lt;DATE(2026,IF(10=12,10+1,10+1),1)),'DRAFT 2'!$A:$A),"")</f>
        <v/>
      </c>
      <c r="HO98" s="116">
        <f>COUNTIFS('DRAFT 2'!$D:$D,$B98,'DRAFT 2'!$A:$A,"&gt;="&amp;DATE(2026,10,1),'DRAFT 2'!$A:$A,"&lt;="&amp;DATE(2026,10,7))</f>
        <v/>
      </c>
      <c r="HP98" s="116">
        <f>COUNTIFS('DRAFT 2'!$D:$D,$B98,'DRAFT 2'!$A:$A,"&gt;="&amp;DATE(2026,10,8),'DRAFT 2'!$A:$A,"&lt;="&amp;DATE(2026,10,14))</f>
        <v/>
      </c>
      <c r="HQ98" s="116">
        <f>COUNTIFS('DRAFT 2'!$D:$D,$B98,'DRAFT 2'!$A:$A,"&gt;="&amp;DATE(2026,10,15),'DRAFT 2'!$A:$A,"&lt;="&amp;DATE(2026,10,21))</f>
        <v/>
      </c>
      <c r="HR98" s="116">
        <f>COUNTIFS('DRAFT 2'!$D:$D,$B98,'DRAFT 2'!$A:$A,"&gt;="&amp;DATE(2026,10,22),'DRAFT 2'!$A:$A,"&lt;"&amp;DATE(2026,IF(10=12,10+1,10+1),1))</f>
        <v/>
      </c>
      <c r="HS98" s="116">
        <f>SUM(HO98:HR98)</f>
        <v/>
      </c>
      <c r="IC98" s="116">
        <f>IFERROR(LOOKUP(2,1/('DRAFT 2'!$D:$D=$B98)*('DRAFT 2'!$A:$A&gt;=DATE(2026,11,1))*('DRAFT 2'!$A:$A&lt;DATE(2026,IF(11=12,11+1,11+1),1)),'DRAFT 2'!$A:$A),"")</f>
        <v/>
      </c>
      <c r="ID98" s="116">
        <f>COUNTIFS('DRAFT 2'!$D:$D,$B98,'DRAFT 2'!$A:$A,"&gt;="&amp;DATE(2026,11,1),'DRAFT 2'!$A:$A,"&lt;="&amp;DATE(2026,11,7))</f>
        <v/>
      </c>
      <c r="IE98" s="116">
        <f>COUNTIFS('DRAFT 2'!$D:$D,$B98,'DRAFT 2'!$A:$A,"&gt;="&amp;DATE(2026,11,8),'DRAFT 2'!$A:$A,"&lt;="&amp;DATE(2026,11,14))</f>
        <v/>
      </c>
      <c r="IF98" s="116">
        <f>COUNTIFS('DRAFT 2'!$D:$D,$B98,'DRAFT 2'!$A:$A,"&gt;="&amp;DATE(2026,11,15),'DRAFT 2'!$A:$A,"&lt;="&amp;DATE(2026,11,21))</f>
        <v/>
      </c>
      <c r="IG98" s="116">
        <f>COUNTIFS('DRAFT 2'!$D:$D,$B98,'DRAFT 2'!$A:$A,"&gt;="&amp;DATE(2026,11,22),'DRAFT 2'!$A:$A,"&lt;"&amp;DATE(2026,IF(11=12,11+1,11+1),1))</f>
        <v/>
      </c>
      <c r="IH98" s="116">
        <f>SUM(ID98:IG98)</f>
        <v/>
      </c>
      <c r="IR98" s="116">
        <f>IFERROR(LOOKUP(2,1/('DRAFT 2'!$D:$D=$B98)*('DRAFT 2'!$A:$A&gt;=DATE(2026,12,1))*('DRAFT 2'!$A:$A&lt;DATE(2026,IF(12=12,12+1,12+1),1)),'DRAFT 2'!$A:$A),"")</f>
        <v/>
      </c>
      <c r="IS98" s="116">
        <f>COUNTIFS('DRAFT 2'!$D:$D,$B98,'DRAFT 2'!$A:$A,"&gt;="&amp;DATE(2026,12,1),'DRAFT 2'!$A:$A,"&lt;="&amp;DATE(2026,12,7))</f>
        <v/>
      </c>
      <c r="IT98" s="116">
        <f>COUNTIFS('DRAFT 2'!$D:$D,$B98,'DRAFT 2'!$A:$A,"&gt;="&amp;DATE(2026,12,8),'DRAFT 2'!$A:$A,"&lt;="&amp;DATE(2026,12,14))</f>
        <v/>
      </c>
      <c r="IU98" s="116">
        <f>COUNTIFS('DRAFT 2'!$D:$D,$B98,'DRAFT 2'!$A:$A,"&gt;="&amp;DATE(2026,12,15),'DRAFT 2'!$A:$A,"&lt;="&amp;DATE(2026,12,21))</f>
        <v/>
      </c>
      <c r="IV98" s="116">
        <f>COUNTIFS('DRAFT 2'!$D:$D,$B98,'DRAFT 2'!$A:$A,"&gt;="&amp;DATE(2026,12,22),'DRAFT 2'!$A:$A,"&lt;"&amp;DATE(2026,IF(12=12,12+1,12+1),1))</f>
        <v/>
      </c>
      <c r="IW98" s="116">
        <f>SUM(IS98:IV98)</f>
        <v/>
      </c>
    </row>
    <row r="99">
      <c r="A99" s="116">
        <f>IFERROR(INDEX('DRAFT 1'!$A:$A,MATCH($B99,'DRAFT 1'!$B:$B,0)),"")</f>
        <v/>
      </c>
      <c r="C99" s="116">
        <f>IFERROR(INDEX('DRAFT 1'!$C:$C,MATCH($B99,'DRAFT 1'!$B:$B,0)),"")</f>
        <v/>
      </c>
      <c r="D99" s="116">
        <f>IFERROR(INDEX('DRAFT 1'!$D:$D,MATCH($B99,'DRAFT 1'!$B:$B,0)),"")</f>
        <v/>
      </c>
      <c r="E99" s="116">
        <f>IFERROR(INDEX('DRAFT 1'!$E:$E,MATCH($B99,'DRAFT 1'!$B:$B,0)),"")</f>
        <v/>
      </c>
      <c r="F99" s="116">
        <f>IFERROR(INDEX('DRAFT 1'!$F:$F,MATCH($B99,'DRAFT 1'!$B:$B,0)),"")</f>
        <v/>
      </c>
      <c r="G99" s="116">
        <f>IFERROR(INDEX('DRAFT 1'!$G:$G,MATCH($B99,'DRAFT 1'!$B:$B,0)),"")</f>
        <v/>
      </c>
      <c r="H99" s="116">
        <f>IFERROR(INDEX('DRAFT 1'!$H:$H,MATCH($B99,'DRAFT 1'!$B:$B,0)),"")</f>
        <v/>
      </c>
      <c r="I99" s="116" t="inlineStr">
        <is>
          <t>MUNDO VERDE</t>
        </is>
      </c>
      <c r="K99" s="116">
        <f>IFERROR(INDEX('DRAFT 1'!$AL:$AL,MATCH($B99,'DRAFT 1'!$B:$B,0)),"")</f>
        <v/>
      </c>
      <c r="L99" s="116">
        <f>IFERROR(INDEX('DRAFT 1'!$J:$J,MATCH($B99,'DRAFT 1'!$B:$B,0)),"")</f>
        <v/>
      </c>
      <c r="M99" s="116">
        <f>IFERROR(INDEX('DRAFT 1'!$K:$K,MATCH($B99,'DRAFT 1'!$B:$B,0)),"")</f>
        <v/>
      </c>
      <c r="N99" s="116" t="inlineStr">
        <is>
          <t>INAT.ANT</t>
        </is>
      </c>
      <c r="P99" s="116">
        <f>IFERROR(INDEX('DRAFT 1'!$L:$L,MATCH($B99,'DRAFT 1'!$B:$B,0)),"")</f>
        <v/>
      </c>
      <c r="Q99" s="116">
        <f>IFERROR(INDEX('DRAFT 1'!$M:$M,MATCH($B99,'DRAFT 1'!$B:$B,0)),"")</f>
        <v/>
      </c>
      <c r="R99" s="116">
        <f>IFERROR(INDEX('DRAFT 1'!$N:$N,MATCH($B99,'DRAFT 1'!$B:$B,0)),"")</f>
        <v/>
      </c>
      <c r="S99" s="116">
        <f>IFERROR(INDEX('DRAFT 1'!$O:$O,MATCH($B99,'DRAFT 1'!$B:$B,0)),"")</f>
        <v/>
      </c>
      <c r="T99" s="116">
        <f>IFERROR(INDEX('DRAFT 1'!$P:$P,MATCH($B99,'DRAFT 1'!$B:$B,0)),"")</f>
        <v/>
      </c>
      <c r="U99" s="116">
        <f>IFERROR(INDEX('DRAFT 1'!$Q:$Q,MATCH($B99,'DRAFT 1'!$B:$B,0)),"")</f>
        <v/>
      </c>
      <c r="V99" s="116">
        <f>IFERROR(INDEX('DRAFT 1'!$R:$R,MATCH($B99,'DRAFT 1'!$B:$B,0)),"")</f>
        <v/>
      </c>
      <c r="W99" s="116">
        <f>IFERROR(INDEX('DRAFT 1'!$S:$S,MATCH($B99,'DRAFT 1'!$B:$B,0)),"")</f>
        <v/>
      </c>
      <c r="X99" s="116">
        <f>IFERROR(INDEX('DRAFT 1'!$T:$T,MATCH($B99,'DRAFT 1'!$B:$B,0)),"")</f>
        <v/>
      </c>
      <c r="Z99" s="116">
        <f>IFERROR(INDEX('DRAFT 1'!$U:$U,MATCH($B99,'DRAFT 1'!$B:$B,0)),"")</f>
        <v/>
      </c>
      <c r="AA99" s="116">
        <f>IFERROR(INDEX('DRAFT 1'!$V:$V,MATCH($B99,'DRAFT 1'!$B:$B,0)),"")</f>
        <v/>
      </c>
      <c r="AB99" s="116">
        <f>IFERROR(INDEX('DRAFT 1'!$W:$W,MATCH($B99,'DRAFT 1'!$B:$B,0)),"")</f>
        <v/>
      </c>
      <c r="AC99" s="116">
        <f>IFERROR(INDEX('DRAFT 1'!$X:$X,MATCH($B99,'DRAFT 1'!$B:$B,0)),"")</f>
        <v/>
      </c>
      <c r="AD99" s="116">
        <f>IFERROR(INDEX('DRAFT 1'!$Y:$Y,MATCH($B99,'DRAFT 1'!$B:$B,0)),"")</f>
        <v/>
      </c>
      <c r="AE99" s="116">
        <f>IFERROR(INDEX('DRAFT 1'!$Z:$Z,MATCH($B99,'DRAFT 1'!$B:$B,0)),"")</f>
        <v/>
      </c>
      <c r="AF99" s="116">
        <f>IFERROR(INDEX('DRAFT 1'!$AA:$AA,MATCH($B99,'DRAFT 1'!$B:$B,0)),"")</f>
        <v/>
      </c>
      <c r="AG99" s="116">
        <f>IFERROR(INDEX('DRAFT 1'!$AB:$AB,MATCH($B99,'DRAFT 1'!$B:$B,0)),"")</f>
        <v/>
      </c>
      <c r="AH99" s="116">
        <f>IFERROR(INDEX('DRAFT 1'!$AC:$AC,MATCH($B99,'DRAFT 1'!$B:$B,0)),"")</f>
        <v/>
      </c>
      <c r="AI99" s="116">
        <f>IFERROR(INDEX('DRAFT 1'!$AD:$AD,MATCH($B99,'DRAFT 1'!$B:$B,0)),"")</f>
        <v/>
      </c>
      <c r="AJ99" s="116">
        <f>IFERROR(INDEX('DRAFT 1'!$AE:$AE,MATCH($B99,'DRAFT 1'!$B:$B,0)),"")</f>
        <v/>
      </c>
      <c r="AK99" s="116">
        <f>IFERROR(INDEX('DRAFT 1'!$AG:$AG,MATCH($B99,'DRAFT 1'!$B:$B,0)),"")</f>
        <v/>
      </c>
      <c r="AL99" s="116">
        <f>IFERROR(INDEX('DRAFT 1'!$AH:$AH,MATCH($B99,'DRAFT 1'!$B:$B,0)),"")</f>
        <v/>
      </c>
      <c r="AM99" s="116">
        <f>IFERROR(INDEX('DRAFT 1'!$AI:$AI,MATCH($B99,'DRAFT 1'!$B:$B,0)),"")</f>
        <v/>
      </c>
      <c r="AN99" s="116">
        <f>IFERROR(INDEX('DRAFT 1'!$AJ:$AJ,MATCH($B99,'DRAFT 1'!$B:$B,0)),"")</f>
        <v/>
      </c>
      <c r="AO99" s="116">
        <f>IFERROR(Y99/AN99,0)</f>
        <v/>
      </c>
      <c r="AP99" s="116">
        <f>IFERROR(INDEX('DRAFT 1'!$AK:$AK,MATCH($B99,'DRAFT 1'!$B:$B,0)),"")</f>
        <v/>
      </c>
      <c r="AR99" s="116" t="inlineStr">
        <is>
          <t>PÓS-VENDA</t>
        </is>
      </c>
      <c r="AS99" s="116">
        <f>IFERROR(LOOKUP(2,1/('DRAFT 2'!$D:$D=$B99),'DRAFT 2'!$T:$T),"")</f>
        <v/>
      </c>
      <c r="AT99" s="116">
        <f>IFERROR(LOOKUP(2,1/('DRAFT 2'!$D:$D=$B99),'DRAFT 2'!$A:$A),"")</f>
        <v/>
      </c>
      <c r="AU99" s="116">
        <f>IFERROR(LOOKUP(2,1/('DRAFT 2'!$D:$D=$B99),'DRAFT 2'!$R:$R),"")</f>
        <v/>
      </c>
      <c r="AV99" s="116">
        <f>IFERROR(LOOKUP(2,1/('DRAFT 2'!$D:$D=$B99),'DRAFT 2'!$S:$S),"")</f>
        <v/>
      </c>
      <c r="AW99" s="116" t="inlineStr">
        <is>
          <t>LEAD</t>
        </is>
      </c>
      <c r="AX99" s="116">
        <f>IFERROR(LOOKUP(2,1/('DRAFT 2'!$D:$D=$B99),'DRAFT 2'!$M:$M),"")</f>
        <v/>
      </c>
      <c r="AY99" s="116">
        <f>IFERROR(LOOKUP(2,1/('DRAFT 2'!$D:$D=$B99),'DRAFT 2'!$K:$K),"")</f>
        <v/>
      </c>
      <c r="BG99" s="116">
        <f>IFERROR(LOOKUP(2,1/('DRAFT 2'!$D:$D=$B99),'DRAFT 2'!$U:$U),"")</f>
        <v/>
      </c>
      <c r="BH99" s="116">
        <f>IFERROR(LOOKUP(2,1/('DRAFT 2'!$D:$D=$B99),'DRAFT 2'!$V:$V),"")</f>
        <v/>
      </c>
      <c r="CE99" s="116">
        <f>IFERROR(AJ99,0)</f>
        <v/>
      </c>
      <c r="CF99" s="116">
        <f>IFERROR(LOOKUP(2,1/('DRAFT 2'!$D:$D=$B99)*('DRAFT 2'!$A:$A&gt;=DATE(2026,1,1))*('DRAFT 2'!$A:$A&lt;DATE(2026,IF(1=12,1+1,1+1),1)),'DRAFT 2'!$A:$A),"")</f>
        <v/>
      </c>
      <c r="CG99" s="116">
        <f>COUNTIFS('DRAFT 2'!$D:$D,$B99,'DRAFT 2'!$A:$A,"&gt;="&amp;DATE(2026,1,1),'DRAFT 2'!$A:$A,"&lt;="&amp;DATE(2026,1,7))</f>
        <v/>
      </c>
      <c r="CH99" s="116">
        <f>COUNTIFS('DRAFT 2'!$D:$D,$B99,'DRAFT 2'!$A:$A,"&gt;="&amp;DATE(2026,1,8),'DRAFT 2'!$A:$A,"&lt;="&amp;DATE(2026,1,14))</f>
        <v/>
      </c>
      <c r="CI99" s="116">
        <f>COUNTIFS('DRAFT 2'!$D:$D,$B99,'DRAFT 2'!$A:$A,"&gt;="&amp;DATE(2026,1,15),'DRAFT 2'!$A:$A,"&lt;="&amp;DATE(2026,1,21))</f>
        <v/>
      </c>
      <c r="CJ99" s="116">
        <f>COUNTIFS('DRAFT 2'!$D:$D,$B99,'DRAFT 2'!$A:$A,"&gt;="&amp;DATE(2026,1,22),'DRAFT 2'!$A:$A,"&lt;"&amp;DATE(2026,IF(1=12,1+1,1+1),1))</f>
        <v/>
      </c>
      <c r="CK99" s="116">
        <f>SUM(CG99:CJ99)</f>
        <v/>
      </c>
      <c r="CT99" s="116" t="n">
        <v>0</v>
      </c>
      <c r="CU99" s="116">
        <f>IFERROR(LOOKUP(2,1/('DRAFT 2'!$D:$D=$B99)*('DRAFT 2'!$A:$A&gt;=DATE(2026,2,1))*('DRAFT 2'!$A:$A&lt;DATE(2026,IF(2=12,2+1,2+1),1)),'DRAFT 2'!$A:$A),"")</f>
        <v/>
      </c>
      <c r="CV99" s="116">
        <f>COUNTIFS('DRAFT 2'!$D:$D,$B99,'DRAFT 2'!$A:$A,"&gt;="&amp;DATE(2026,2,1),'DRAFT 2'!$A:$A,"&lt;="&amp;DATE(2026,2,7))</f>
        <v/>
      </c>
      <c r="CW99" s="116">
        <f>COUNTIFS('DRAFT 2'!$D:$D,$B99,'DRAFT 2'!$A:$A,"&gt;="&amp;DATE(2026,2,8),'DRAFT 2'!$A:$A,"&lt;="&amp;DATE(2026,2,14))</f>
        <v/>
      </c>
      <c r="CX99" s="116">
        <f>COUNTIFS('DRAFT 2'!$D:$D,$B99,'DRAFT 2'!$A:$A,"&gt;="&amp;DATE(2026,2,15),'DRAFT 2'!$A:$A,"&lt;="&amp;DATE(2026,2,21))</f>
        <v/>
      </c>
      <c r="CY99" s="116">
        <f>COUNTIFS('DRAFT 2'!$D:$D,$B99,'DRAFT 2'!$A:$A,"&gt;="&amp;DATE(2026,2,22),'DRAFT 2'!$A:$A,"&lt;"&amp;DATE(2026,IF(2=12,2+1,2+1),1))</f>
        <v/>
      </c>
      <c r="CZ99" s="116">
        <f>SUM(CV99:CY99)</f>
        <v/>
      </c>
      <c r="DJ99" s="116">
        <f>IFERROR(LOOKUP(2,1/('DRAFT 2'!$D:$D=$B99)*('DRAFT 2'!$A:$A&gt;=DATE(2026,3,1))*('DRAFT 2'!$A:$A&lt;DATE(2026,IF(3=12,3+1,3+1),1)),'DRAFT 2'!$A:$A),"")</f>
        <v/>
      </c>
      <c r="DK99" s="116">
        <f>COUNTIFS('DRAFT 2'!$D:$D,$B99,'DRAFT 2'!$A:$A,"&gt;="&amp;DATE(2026,3,1),'DRAFT 2'!$A:$A,"&lt;="&amp;DATE(2026,3,7))</f>
        <v/>
      </c>
      <c r="DL99" s="116">
        <f>COUNTIFS('DRAFT 2'!$D:$D,$B99,'DRAFT 2'!$A:$A,"&gt;="&amp;DATE(2026,3,8),'DRAFT 2'!$A:$A,"&lt;="&amp;DATE(2026,3,14))</f>
        <v/>
      </c>
      <c r="DM99" s="116">
        <f>COUNTIFS('DRAFT 2'!$D:$D,$B99,'DRAFT 2'!$A:$A,"&gt;="&amp;DATE(2026,3,15),'DRAFT 2'!$A:$A,"&lt;="&amp;DATE(2026,3,21))</f>
        <v/>
      </c>
      <c r="DN99" s="116">
        <f>COUNTIFS('DRAFT 2'!$D:$D,$B99,'DRAFT 2'!$A:$A,"&gt;="&amp;DATE(2026,3,22),'DRAFT 2'!$A:$A,"&lt;"&amp;DATE(2026,IF(3=12,3+1,3+1),1))</f>
        <v/>
      </c>
      <c r="DO99" s="116">
        <f>SUM(DK99:DN99)</f>
        <v/>
      </c>
      <c r="DZ99" s="116">
        <f>IFERROR(LOOKUP(2,1/('DRAFT 2'!$D:$D=$B99)*('DRAFT 2'!$A:$A&gt;=DATE(2026,4,1))*('DRAFT 2'!$A:$A&lt;DATE(2026,IF(4=12,4+1,4+1),1)),'DRAFT 2'!$A:$A),"")</f>
        <v/>
      </c>
      <c r="EA99" s="116">
        <f>COUNTIFS('DRAFT 2'!$D:$D,$B99,'DRAFT 2'!$A:$A,"&gt;="&amp;DATE(2026,4,1),'DRAFT 2'!$A:$A,"&lt;="&amp;DATE(2026,4,7))</f>
        <v/>
      </c>
      <c r="EB99" s="116">
        <f>COUNTIFS('DRAFT 2'!$D:$D,$B99,'DRAFT 2'!$A:$A,"&gt;="&amp;DATE(2026,4,8),'DRAFT 2'!$A:$A,"&lt;="&amp;DATE(2026,4,14))</f>
        <v/>
      </c>
      <c r="EC99" s="116">
        <f>COUNTIFS('DRAFT 2'!$D:$D,$B99,'DRAFT 2'!$A:$A,"&gt;="&amp;DATE(2026,4,15),'DRAFT 2'!$A:$A,"&lt;="&amp;DATE(2026,4,21))</f>
        <v/>
      </c>
      <c r="ED99" s="116">
        <f>COUNTIFS('DRAFT 2'!$D:$D,$B99,'DRAFT 2'!$A:$A,"&gt;="&amp;DATE(2026,4,22),'DRAFT 2'!$A:$A,"&lt;"&amp;DATE(2026,IF(4=12,4+1,4+1),1))</f>
        <v/>
      </c>
      <c r="EE99" s="116">
        <f>SUM(EA99:ED99)</f>
        <v/>
      </c>
      <c r="EO99" s="116">
        <f>IFERROR(LOOKUP(2,1/('DRAFT 2'!$D:$D=$B99)*('DRAFT 2'!$A:$A&gt;=DATE(2026,5,1))*('DRAFT 2'!$A:$A&lt;DATE(2026,IF(5=12,5+1,5+1),1)),'DRAFT 2'!$A:$A),"")</f>
        <v/>
      </c>
      <c r="EP99" s="116">
        <f>COUNTIFS('DRAFT 2'!$D:$D,$B99,'DRAFT 2'!$A:$A,"&gt;="&amp;DATE(2026,5,1),'DRAFT 2'!$A:$A,"&lt;="&amp;DATE(2026,5,7))</f>
        <v/>
      </c>
      <c r="EQ99" s="116">
        <f>COUNTIFS('DRAFT 2'!$D:$D,$B99,'DRAFT 2'!$A:$A,"&gt;="&amp;DATE(2026,5,8),'DRAFT 2'!$A:$A,"&lt;="&amp;DATE(2026,5,14))</f>
        <v/>
      </c>
      <c r="ER99" s="116">
        <f>COUNTIFS('DRAFT 2'!$D:$D,$B99,'DRAFT 2'!$A:$A,"&gt;="&amp;DATE(2026,5,15),'DRAFT 2'!$A:$A,"&lt;="&amp;DATE(2026,5,21))</f>
        <v/>
      </c>
      <c r="ES99" s="116">
        <f>COUNTIFS('DRAFT 2'!$D:$D,$B99,'DRAFT 2'!$A:$A,"&gt;="&amp;DATE(2026,5,22),'DRAFT 2'!$A:$A,"&lt;"&amp;DATE(2026,IF(5=12,5+1,5+1),1))</f>
        <v/>
      </c>
      <c r="ET99" s="116">
        <f>SUM(EP99:ES99)</f>
        <v/>
      </c>
      <c r="FD99" s="116">
        <f>IFERROR(LOOKUP(2,1/('DRAFT 2'!$D:$D=$B99)*('DRAFT 2'!$A:$A&gt;=DATE(2026,6,1))*('DRAFT 2'!$A:$A&lt;DATE(2026,IF(6=12,6+1,6+1),1)),'DRAFT 2'!$A:$A),"")</f>
        <v/>
      </c>
      <c r="FE99" s="116">
        <f>COUNTIFS('DRAFT 2'!$D:$D,$B99,'DRAFT 2'!$A:$A,"&gt;="&amp;DATE(2026,6,1),'DRAFT 2'!$A:$A,"&lt;="&amp;DATE(2026,6,7))</f>
        <v/>
      </c>
      <c r="FF99" s="116">
        <f>COUNTIFS('DRAFT 2'!$D:$D,$B99,'DRAFT 2'!$A:$A,"&gt;="&amp;DATE(2026,6,8),'DRAFT 2'!$A:$A,"&lt;="&amp;DATE(2026,6,14))</f>
        <v/>
      </c>
      <c r="FG99" s="116">
        <f>COUNTIFS('DRAFT 2'!$D:$D,$B99,'DRAFT 2'!$A:$A,"&gt;="&amp;DATE(2026,6,15),'DRAFT 2'!$A:$A,"&lt;="&amp;DATE(2026,6,21))</f>
        <v/>
      </c>
      <c r="FH99" s="116">
        <f>COUNTIFS('DRAFT 2'!$D:$D,$B99,'DRAFT 2'!$A:$A,"&gt;="&amp;DATE(2026,6,22),'DRAFT 2'!$A:$A,"&lt;"&amp;DATE(2026,IF(6=12,6+1,6+1),1))</f>
        <v/>
      </c>
      <c r="FI99" s="116">
        <f>SUM(FE99:FH99)</f>
        <v/>
      </c>
      <c r="FT99" s="116">
        <f>IFERROR(LOOKUP(2,1/('DRAFT 2'!$D:$D=$B99)*('DRAFT 2'!$A:$A&gt;=DATE(2026,7,1))*('DRAFT 2'!$A:$A&lt;DATE(2026,IF(7=12,7+1,7+1),1)),'DRAFT 2'!$A:$A),"")</f>
        <v/>
      </c>
      <c r="FU99" s="116">
        <f>COUNTIFS('DRAFT 2'!$D:$D,$B99,'DRAFT 2'!$A:$A,"&gt;="&amp;DATE(2026,7,1),'DRAFT 2'!$A:$A,"&lt;="&amp;DATE(2026,7,7))</f>
        <v/>
      </c>
      <c r="FV99" s="116">
        <f>COUNTIFS('DRAFT 2'!$D:$D,$B99,'DRAFT 2'!$A:$A,"&gt;="&amp;DATE(2026,7,8),'DRAFT 2'!$A:$A,"&lt;="&amp;DATE(2026,7,14))</f>
        <v/>
      </c>
      <c r="FW99" s="116">
        <f>COUNTIFS('DRAFT 2'!$D:$D,$B99,'DRAFT 2'!$A:$A,"&gt;="&amp;DATE(2026,7,15),'DRAFT 2'!$A:$A,"&lt;="&amp;DATE(2026,7,21))</f>
        <v/>
      </c>
      <c r="FX99" s="116">
        <f>COUNTIFS('DRAFT 2'!$D:$D,$B99,'DRAFT 2'!$A:$A,"&gt;="&amp;DATE(2026,7,22),'DRAFT 2'!$A:$A,"&lt;"&amp;DATE(2026,IF(7=12,7+1,7+1),1))</f>
        <v/>
      </c>
      <c r="FY99" s="116">
        <f>SUM(FU99:FX99)</f>
        <v/>
      </c>
      <c r="GI99" s="116">
        <f>IFERROR(LOOKUP(2,1/('DRAFT 2'!$D:$D=$B99)*('DRAFT 2'!$A:$A&gt;=DATE(2026,8,1))*('DRAFT 2'!$A:$A&lt;DATE(2026,IF(8=12,8+1,8+1),1)),'DRAFT 2'!$A:$A),"")</f>
        <v/>
      </c>
      <c r="GJ99" s="116">
        <f>COUNTIFS('DRAFT 2'!$D:$D,$B99,'DRAFT 2'!$A:$A,"&gt;="&amp;DATE(2026,8,1),'DRAFT 2'!$A:$A,"&lt;="&amp;DATE(2026,8,7))</f>
        <v/>
      </c>
      <c r="GK99" s="116">
        <f>COUNTIFS('DRAFT 2'!$D:$D,$B99,'DRAFT 2'!$A:$A,"&gt;="&amp;DATE(2026,8,8),'DRAFT 2'!$A:$A,"&lt;="&amp;DATE(2026,8,14))</f>
        <v/>
      </c>
      <c r="GL99" s="116">
        <f>COUNTIFS('DRAFT 2'!$D:$D,$B99,'DRAFT 2'!$A:$A,"&gt;="&amp;DATE(2026,8,15),'DRAFT 2'!$A:$A,"&lt;="&amp;DATE(2026,8,21))</f>
        <v/>
      </c>
      <c r="GM99" s="116">
        <f>COUNTIFS('DRAFT 2'!$D:$D,$B99,'DRAFT 2'!$A:$A,"&gt;="&amp;DATE(2026,8,22),'DRAFT 2'!$A:$A,"&lt;"&amp;DATE(2026,IF(8=12,8+1,8+1),1))</f>
        <v/>
      </c>
      <c r="GN99" s="116">
        <f>SUM(GJ99:GM99)</f>
        <v/>
      </c>
      <c r="GX99" s="116">
        <f>IFERROR(LOOKUP(2,1/('DRAFT 2'!$D:$D=$B99)*('DRAFT 2'!$A:$A&gt;=DATE(2026,9,1))*('DRAFT 2'!$A:$A&lt;DATE(2026,IF(9=12,9+1,9+1),1)),'DRAFT 2'!$A:$A),"")</f>
        <v/>
      </c>
      <c r="GY99" s="116">
        <f>COUNTIFS('DRAFT 2'!$D:$D,$B99,'DRAFT 2'!$A:$A,"&gt;="&amp;DATE(2026,9,1),'DRAFT 2'!$A:$A,"&lt;="&amp;DATE(2026,9,7))</f>
        <v/>
      </c>
      <c r="GZ99" s="116">
        <f>COUNTIFS('DRAFT 2'!$D:$D,$B99,'DRAFT 2'!$A:$A,"&gt;="&amp;DATE(2026,9,8),'DRAFT 2'!$A:$A,"&lt;="&amp;DATE(2026,9,14))</f>
        <v/>
      </c>
      <c r="HA99" s="116">
        <f>COUNTIFS('DRAFT 2'!$D:$D,$B99,'DRAFT 2'!$A:$A,"&gt;="&amp;DATE(2026,9,15),'DRAFT 2'!$A:$A,"&lt;="&amp;DATE(2026,9,21))</f>
        <v/>
      </c>
      <c r="HB99" s="116">
        <f>COUNTIFS('DRAFT 2'!$D:$D,$B99,'DRAFT 2'!$A:$A,"&gt;="&amp;DATE(2026,9,22),'DRAFT 2'!$A:$A,"&lt;"&amp;DATE(2026,IF(9=12,9+1,9+1),1))</f>
        <v/>
      </c>
      <c r="HC99" s="116">
        <f>SUM(GY99:HB99)</f>
        <v/>
      </c>
      <c r="HN99" s="116">
        <f>IFERROR(LOOKUP(2,1/('DRAFT 2'!$D:$D=$B99)*('DRAFT 2'!$A:$A&gt;=DATE(2026,10,1))*('DRAFT 2'!$A:$A&lt;DATE(2026,IF(10=12,10+1,10+1),1)),'DRAFT 2'!$A:$A),"")</f>
        <v/>
      </c>
      <c r="HO99" s="116">
        <f>COUNTIFS('DRAFT 2'!$D:$D,$B99,'DRAFT 2'!$A:$A,"&gt;="&amp;DATE(2026,10,1),'DRAFT 2'!$A:$A,"&lt;="&amp;DATE(2026,10,7))</f>
        <v/>
      </c>
      <c r="HP99" s="116">
        <f>COUNTIFS('DRAFT 2'!$D:$D,$B99,'DRAFT 2'!$A:$A,"&gt;="&amp;DATE(2026,10,8),'DRAFT 2'!$A:$A,"&lt;="&amp;DATE(2026,10,14))</f>
        <v/>
      </c>
      <c r="HQ99" s="116">
        <f>COUNTIFS('DRAFT 2'!$D:$D,$B99,'DRAFT 2'!$A:$A,"&gt;="&amp;DATE(2026,10,15),'DRAFT 2'!$A:$A,"&lt;="&amp;DATE(2026,10,21))</f>
        <v/>
      </c>
      <c r="HR99" s="116">
        <f>COUNTIFS('DRAFT 2'!$D:$D,$B99,'DRAFT 2'!$A:$A,"&gt;="&amp;DATE(2026,10,22),'DRAFT 2'!$A:$A,"&lt;"&amp;DATE(2026,IF(10=12,10+1,10+1),1))</f>
        <v/>
      </c>
      <c r="HS99" s="116">
        <f>SUM(HO99:HR99)</f>
        <v/>
      </c>
      <c r="IC99" s="116">
        <f>IFERROR(LOOKUP(2,1/('DRAFT 2'!$D:$D=$B99)*('DRAFT 2'!$A:$A&gt;=DATE(2026,11,1))*('DRAFT 2'!$A:$A&lt;DATE(2026,IF(11=12,11+1,11+1),1)),'DRAFT 2'!$A:$A),"")</f>
        <v/>
      </c>
      <c r="ID99" s="116">
        <f>COUNTIFS('DRAFT 2'!$D:$D,$B99,'DRAFT 2'!$A:$A,"&gt;="&amp;DATE(2026,11,1),'DRAFT 2'!$A:$A,"&lt;="&amp;DATE(2026,11,7))</f>
        <v/>
      </c>
      <c r="IE99" s="116">
        <f>COUNTIFS('DRAFT 2'!$D:$D,$B99,'DRAFT 2'!$A:$A,"&gt;="&amp;DATE(2026,11,8),'DRAFT 2'!$A:$A,"&lt;="&amp;DATE(2026,11,14))</f>
        <v/>
      </c>
      <c r="IF99" s="116">
        <f>COUNTIFS('DRAFT 2'!$D:$D,$B99,'DRAFT 2'!$A:$A,"&gt;="&amp;DATE(2026,11,15),'DRAFT 2'!$A:$A,"&lt;="&amp;DATE(2026,11,21))</f>
        <v/>
      </c>
      <c r="IG99" s="116">
        <f>COUNTIFS('DRAFT 2'!$D:$D,$B99,'DRAFT 2'!$A:$A,"&gt;="&amp;DATE(2026,11,22),'DRAFT 2'!$A:$A,"&lt;"&amp;DATE(2026,IF(11=12,11+1,11+1),1))</f>
        <v/>
      </c>
      <c r="IH99" s="116">
        <f>SUM(ID99:IG99)</f>
        <v/>
      </c>
      <c r="IR99" s="116">
        <f>IFERROR(LOOKUP(2,1/('DRAFT 2'!$D:$D=$B99)*('DRAFT 2'!$A:$A&gt;=DATE(2026,12,1))*('DRAFT 2'!$A:$A&lt;DATE(2026,IF(12=12,12+1,12+1),1)),'DRAFT 2'!$A:$A),"")</f>
        <v/>
      </c>
      <c r="IS99" s="116">
        <f>COUNTIFS('DRAFT 2'!$D:$D,$B99,'DRAFT 2'!$A:$A,"&gt;="&amp;DATE(2026,12,1),'DRAFT 2'!$A:$A,"&lt;="&amp;DATE(2026,12,7))</f>
        <v/>
      </c>
      <c r="IT99" s="116">
        <f>COUNTIFS('DRAFT 2'!$D:$D,$B99,'DRAFT 2'!$A:$A,"&gt;="&amp;DATE(2026,12,8),'DRAFT 2'!$A:$A,"&lt;="&amp;DATE(2026,12,14))</f>
        <v/>
      </c>
      <c r="IU99" s="116">
        <f>COUNTIFS('DRAFT 2'!$D:$D,$B99,'DRAFT 2'!$A:$A,"&gt;="&amp;DATE(2026,12,15),'DRAFT 2'!$A:$A,"&lt;="&amp;DATE(2026,12,21))</f>
        <v/>
      </c>
      <c r="IV99" s="116">
        <f>COUNTIFS('DRAFT 2'!$D:$D,$B99,'DRAFT 2'!$A:$A,"&gt;="&amp;DATE(2026,12,22),'DRAFT 2'!$A:$A,"&lt;"&amp;DATE(2026,IF(12=12,12+1,12+1),1))</f>
        <v/>
      </c>
      <c r="IW99" s="116">
        <f>SUM(IS99:IV99)</f>
        <v/>
      </c>
    </row>
    <row r="100">
      <c r="A100" s="116">
        <f>IFERROR(INDEX('DRAFT 1'!$A:$A,MATCH($B100,'DRAFT 1'!$B:$B,0)),"")</f>
        <v/>
      </c>
      <c r="C100" s="116">
        <f>IFERROR(INDEX('DRAFT 1'!$C:$C,MATCH($B100,'DRAFT 1'!$B:$B,0)),"")</f>
        <v/>
      </c>
      <c r="D100" s="116">
        <f>IFERROR(INDEX('DRAFT 1'!$D:$D,MATCH($B100,'DRAFT 1'!$B:$B,0)),"")</f>
        <v/>
      </c>
      <c r="E100" s="116">
        <f>IFERROR(INDEX('DRAFT 1'!$E:$E,MATCH($B100,'DRAFT 1'!$B:$B,0)),"")</f>
        <v/>
      </c>
      <c r="F100" s="116">
        <f>IFERROR(INDEX('DRAFT 1'!$F:$F,MATCH($B100,'DRAFT 1'!$B:$B,0)),"")</f>
        <v/>
      </c>
      <c r="G100" s="116">
        <f>IFERROR(INDEX('DRAFT 1'!$G:$G,MATCH($B100,'DRAFT 1'!$B:$B,0)),"")</f>
        <v/>
      </c>
      <c r="H100" s="116">
        <f>IFERROR(INDEX('DRAFT 1'!$H:$H,MATCH($B100,'DRAFT 1'!$B:$B,0)),"")</f>
        <v/>
      </c>
      <c r="I100" s="116" t="inlineStr">
        <is>
          <t>VIDA LEVE</t>
        </is>
      </c>
      <c r="K100" s="116">
        <f>IFERROR(INDEX('DRAFT 1'!$AL:$AL,MATCH($B100,'DRAFT 1'!$B:$B,0)),"")</f>
        <v/>
      </c>
      <c r="L100" s="116">
        <f>IFERROR(INDEX('DRAFT 1'!$J:$J,MATCH($B100,'DRAFT 1'!$B:$B,0)),"")</f>
        <v/>
      </c>
      <c r="M100" s="116">
        <f>IFERROR(INDEX('DRAFT 1'!$K:$K,MATCH($B100,'DRAFT 1'!$B:$B,0)),"")</f>
        <v/>
      </c>
      <c r="N100" s="116" t="inlineStr">
        <is>
          <t>ATIVO</t>
        </is>
      </c>
      <c r="P100" s="116">
        <f>IFERROR(INDEX('DRAFT 1'!$L:$L,MATCH($B100,'DRAFT 1'!$B:$B,0)),"")</f>
        <v/>
      </c>
      <c r="Q100" s="116">
        <f>IFERROR(INDEX('DRAFT 1'!$M:$M,MATCH($B100,'DRAFT 1'!$B:$B,0)),"")</f>
        <v/>
      </c>
      <c r="R100" s="116">
        <f>IFERROR(INDEX('DRAFT 1'!$N:$N,MATCH($B100,'DRAFT 1'!$B:$B,0)),"")</f>
        <v/>
      </c>
      <c r="S100" s="116">
        <f>IFERROR(INDEX('DRAFT 1'!$O:$O,MATCH($B100,'DRAFT 1'!$B:$B,0)),"")</f>
        <v/>
      </c>
      <c r="T100" s="116">
        <f>IFERROR(INDEX('DRAFT 1'!$P:$P,MATCH($B100,'DRAFT 1'!$B:$B,0)),"")</f>
        <v/>
      </c>
      <c r="U100" s="116">
        <f>IFERROR(INDEX('DRAFT 1'!$Q:$Q,MATCH($B100,'DRAFT 1'!$B:$B,0)),"")</f>
        <v/>
      </c>
      <c r="V100" s="116">
        <f>IFERROR(INDEX('DRAFT 1'!$R:$R,MATCH($B100,'DRAFT 1'!$B:$B,0)),"")</f>
        <v/>
      </c>
      <c r="W100" s="116">
        <f>IFERROR(INDEX('DRAFT 1'!$S:$S,MATCH($B100,'DRAFT 1'!$B:$B,0)),"")</f>
        <v/>
      </c>
      <c r="X100" s="116">
        <f>IFERROR(INDEX('DRAFT 1'!$T:$T,MATCH($B100,'DRAFT 1'!$B:$B,0)),"")</f>
        <v/>
      </c>
      <c r="Z100" s="116">
        <f>IFERROR(INDEX('DRAFT 1'!$U:$U,MATCH($B100,'DRAFT 1'!$B:$B,0)),"")</f>
        <v/>
      </c>
      <c r="AA100" s="116">
        <f>IFERROR(INDEX('DRAFT 1'!$V:$V,MATCH($B100,'DRAFT 1'!$B:$B,0)),"")</f>
        <v/>
      </c>
      <c r="AB100" s="116">
        <f>IFERROR(INDEX('DRAFT 1'!$W:$W,MATCH($B100,'DRAFT 1'!$B:$B,0)),"")</f>
        <v/>
      </c>
      <c r="AC100" s="116">
        <f>IFERROR(INDEX('DRAFT 1'!$X:$X,MATCH($B100,'DRAFT 1'!$B:$B,0)),"")</f>
        <v/>
      </c>
      <c r="AD100" s="116">
        <f>IFERROR(INDEX('DRAFT 1'!$Y:$Y,MATCH($B100,'DRAFT 1'!$B:$B,0)),"")</f>
        <v/>
      </c>
      <c r="AE100" s="116">
        <f>IFERROR(INDEX('DRAFT 1'!$Z:$Z,MATCH($B100,'DRAFT 1'!$B:$B,0)),"")</f>
        <v/>
      </c>
      <c r="AF100" s="116">
        <f>IFERROR(INDEX('DRAFT 1'!$AA:$AA,MATCH($B100,'DRAFT 1'!$B:$B,0)),"")</f>
        <v/>
      </c>
      <c r="AG100" s="116">
        <f>IFERROR(INDEX('DRAFT 1'!$AB:$AB,MATCH($B100,'DRAFT 1'!$B:$B,0)),"")</f>
        <v/>
      </c>
      <c r="AH100" s="116">
        <f>IFERROR(INDEX('DRAFT 1'!$AC:$AC,MATCH($B100,'DRAFT 1'!$B:$B,0)),"")</f>
        <v/>
      </c>
      <c r="AI100" s="116">
        <f>IFERROR(INDEX('DRAFT 1'!$AD:$AD,MATCH($B100,'DRAFT 1'!$B:$B,0)),"")</f>
        <v/>
      </c>
      <c r="AJ100" s="116">
        <f>IFERROR(INDEX('DRAFT 1'!$AE:$AE,MATCH($B100,'DRAFT 1'!$B:$B,0)),"")</f>
        <v/>
      </c>
      <c r="AK100" s="116">
        <f>IFERROR(INDEX('DRAFT 1'!$AG:$AG,MATCH($B100,'DRAFT 1'!$B:$B,0)),"")</f>
        <v/>
      </c>
      <c r="AL100" s="116">
        <f>IFERROR(INDEX('DRAFT 1'!$AH:$AH,MATCH($B100,'DRAFT 1'!$B:$B,0)),"")</f>
        <v/>
      </c>
      <c r="AM100" s="116">
        <f>IFERROR(INDEX('DRAFT 1'!$AI:$AI,MATCH($B100,'DRAFT 1'!$B:$B,0)),"")</f>
        <v/>
      </c>
      <c r="AN100" s="116">
        <f>IFERROR(INDEX('DRAFT 1'!$AJ:$AJ,MATCH($B100,'DRAFT 1'!$B:$B,0)),"")</f>
        <v/>
      </c>
      <c r="AO100" s="116">
        <f>IFERROR(Y100/AN100,0)</f>
        <v/>
      </c>
      <c r="AP100" s="116">
        <f>IFERROR(INDEX('DRAFT 1'!$AK:$AK,MATCH($B100,'DRAFT 1'!$B:$B,0)),"")</f>
        <v/>
      </c>
      <c r="AR100" s="116" t="inlineStr">
        <is>
          <t>RECOMPRA</t>
        </is>
      </c>
      <c r="AS100" s="116">
        <f>IFERROR(LOOKUP(2,1/('DRAFT 2'!$D:$D=$B100),'DRAFT 2'!$T:$T),"")</f>
        <v/>
      </c>
      <c r="AT100" s="116">
        <f>IFERROR(LOOKUP(2,1/('DRAFT 2'!$D:$D=$B100),'DRAFT 2'!$A:$A),"")</f>
        <v/>
      </c>
      <c r="AU100" s="116">
        <f>IFERROR(LOOKUP(2,1/('DRAFT 2'!$D:$D=$B100),'DRAFT 2'!$R:$R),"")</f>
        <v/>
      </c>
      <c r="AV100" s="116">
        <f>IFERROR(LOOKUP(2,1/('DRAFT 2'!$D:$D=$B100),'DRAFT 2'!$S:$S),"")</f>
        <v/>
      </c>
      <c r="AW100" s="116" t="inlineStr">
        <is>
          <t>RECORRENTE</t>
        </is>
      </c>
      <c r="AX100" s="116">
        <f>IFERROR(LOOKUP(2,1/('DRAFT 2'!$D:$D=$B100),'DRAFT 2'!$M:$M),"")</f>
        <v/>
      </c>
      <c r="AY100" s="116">
        <f>IFERROR(LOOKUP(2,1/('DRAFT 2'!$D:$D=$B100),'DRAFT 2'!$K:$K),"")</f>
        <v/>
      </c>
      <c r="BG100" s="116">
        <f>IFERROR(LOOKUP(2,1/('DRAFT 2'!$D:$D=$B100),'DRAFT 2'!$U:$U),"")</f>
        <v/>
      </c>
      <c r="BH100" s="116">
        <f>IFERROR(LOOKUP(2,1/('DRAFT 2'!$D:$D=$B100),'DRAFT 2'!$V:$V),"")</f>
        <v/>
      </c>
      <c r="CE100" s="116">
        <f>IFERROR(AJ100,0)</f>
        <v/>
      </c>
      <c r="CF100" s="116">
        <f>IFERROR(LOOKUP(2,1/('DRAFT 2'!$D:$D=$B100)*('DRAFT 2'!$A:$A&gt;=DATE(2026,1,1))*('DRAFT 2'!$A:$A&lt;DATE(2026,IF(1=12,1+1,1+1),1)),'DRAFT 2'!$A:$A),"")</f>
        <v/>
      </c>
      <c r="CG100" s="116">
        <f>COUNTIFS('DRAFT 2'!$D:$D,$B100,'DRAFT 2'!$A:$A,"&gt;="&amp;DATE(2026,1,1),'DRAFT 2'!$A:$A,"&lt;="&amp;DATE(2026,1,7))</f>
        <v/>
      </c>
      <c r="CH100" s="116">
        <f>COUNTIFS('DRAFT 2'!$D:$D,$B100,'DRAFT 2'!$A:$A,"&gt;="&amp;DATE(2026,1,8),'DRAFT 2'!$A:$A,"&lt;="&amp;DATE(2026,1,14))</f>
        <v/>
      </c>
      <c r="CI100" s="116">
        <f>COUNTIFS('DRAFT 2'!$D:$D,$B100,'DRAFT 2'!$A:$A,"&gt;="&amp;DATE(2026,1,15),'DRAFT 2'!$A:$A,"&lt;="&amp;DATE(2026,1,21))</f>
        <v/>
      </c>
      <c r="CJ100" s="116">
        <f>COUNTIFS('DRAFT 2'!$D:$D,$B100,'DRAFT 2'!$A:$A,"&gt;="&amp;DATE(2026,1,22),'DRAFT 2'!$A:$A,"&lt;"&amp;DATE(2026,IF(1=12,1+1,1+1),1))</f>
        <v/>
      </c>
      <c r="CK100" s="116">
        <f>SUM(CG100:CJ100)</f>
        <v/>
      </c>
      <c r="CT100" s="116" t="n">
        <v>0</v>
      </c>
      <c r="CU100" s="116">
        <f>IFERROR(LOOKUP(2,1/('DRAFT 2'!$D:$D=$B100)*('DRAFT 2'!$A:$A&gt;=DATE(2026,2,1))*('DRAFT 2'!$A:$A&lt;DATE(2026,IF(2=12,2+1,2+1),1)),'DRAFT 2'!$A:$A),"")</f>
        <v/>
      </c>
      <c r="CV100" s="116">
        <f>COUNTIFS('DRAFT 2'!$D:$D,$B100,'DRAFT 2'!$A:$A,"&gt;="&amp;DATE(2026,2,1),'DRAFT 2'!$A:$A,"&lt;="&amp;DATE(2026,2,7))</f>
        <v/>
      </c>
      <c r="CW100" s="116">
        <f>COUNTIFS('DRAFT 2'!$D:$D,$B100,'DRAFT 2'!$A:$A,"&gt;="&amp;DATE(2026,2,8),'DRAFT 2'!$A:$A,"&lt;="&amp;DATE(2026,2,14))</f>
        <v/>
      </c>
      <c r="CX100" s="116">
        <f>COUNTIFS('DRAFT 2'!$D:$D,$B100,'DRAFT 2'!$A:$A,"&gt;="&amp;DATE(2026,2,15),'DRAFT 2'!$A:$A,"&lt;="&amp;DATE(2026,2,21))</f>
        <v/>
      </c>
      <c r="CY100" s="116">
        <f>COUNTIFS('DRAFT 2'!$D:$D,$B100,'DRAFT 2'!$A:$A,"&gt;="&amp;DATE(2026,2,22),'DRAFT 2'!$A:$A,"&lt;"&amp;DATE(2026,IF(2=12,2+1,2+1),1))</f>
        <v/>
      </c>
      <c r="CZ100" s="116">
        <f>SUM(CV100:CY100)</f>
        <v/>
      </c>
      <c r="DJ100" s="116">
        <f>IFERROR(LOOKUP(2,1/('DRAFT 2'!$D:$D=$B100)*('DRAFT 2'!$A:$A&gt;=DATE(2026,3,1))*('DRAFT 2'!$A:$A&lt;DATE(2026,IF(3=12,3+1,3+1),1)),'DRAFT 2'!$A:$A),"")</f>
        <v/>
      </c>
      <c r="DK100" s="116">
        <f>COUNTIFS('DRAFT 2'!$D:$D,$B100,'DRAFT 2'!$A:$A,"&gt;="&amp;DATE(2026,3,1),'DRAFT 2'!$A:$A,"&lt;="&amp;DATE(2026,3,7))</f>
        <v/>
      </c>
      <c r="DL100" s="116">
        <f>COUNTIFS('DRAFT 2'!$D:$D,$B100,'DRAFT 2'!$A:$A,"&gt;="&amp;DATE(2026,3,8),'DRAFT 2'!$A:$A,"&lt;="&amp;DATE(2026,3,14))</f>
        <v/>
      </c>
      <c r="DM100" s="116">
        <f>COUNTIFS('DRAFT 2'!$D:$D,$B100,'DRAFT 2'!$A:$A,"&gt;="&amp;DATE(2026,3,15),'DRAFT 2'!$A:$A,"&lt;="&amp;DATE(2026,3,21))</f>
        <v/>
      </c>
      <c r="DN100" s="116">
        <f>COUNTIFS('DRAFT 2'!$D:$D,$B100,'DRAFT 2'!$A:$A,"&gt;="&amp;DATE(2026,3,22),'DRAFT 2'!$A:$A,"&lt;"&amp;DATE(2026,IF(3=12,3+1,3+1),1))</f>
        <v/>
      </c>
      <c r="DO100" s="116">
        <f>SUM(DK100:DN100)</f>
        <v/>
      </c>
      <c r="DZ100" s="116">
        <f>IFERROR(LOOKUP(2,1/('DRAFT 2'!$D:$D=$B100)*('DRAFT 2'!$A:$A&gt;=DATE(2026,4,1))*('DRAFT 2'!$A:$A&lt;DATE(2026,IF(4=12,4+1,4+1),1)),'DRAFT 2'!$A:$A),"")</f>
        <v/>
      </c>
      <c r="EA100" s="116">
        <f>COUNTIFS('DRAFT 2'!$D:$D,$B100,'DRAFT 2'!$A:$A,"&gt;="&amp;DATE(2026,4,1),'DRAFT 2'!$A:$A,"&lt;="&amp;DATE(2026,4,7))</f>
        <v/>
      </c>
      <c r="EB100" s="116">
        <f>COUNTIFS('DRAFT 2'!$D:$D,$B100,'DRAFT 2'!$A:$A,"&gt;="&amp;DATE(2026,4,8),'DRAFT 2'!$A:$A,"&lt;="&amp;DATE(2026,4,14))</f>
        <v/>
      </c>
      <c r="EC100" s="116">
        <f>COUNTIFS('DRAFT 2'!$D:$D,$B100,'DRAFT 2'!$A:$A,"&gt;="&amp;DATE(2026,4,15),'DRAFT 2'!$A:$A,"&lt;="&amp;DATE(2026,4,21))</f>
        <v/>
      </c>
      <c r="ED100" s="116">
        <f>COUNTIFS('DRAFT 2'!$D:$D,$B100,'DRAFT 2'!$A:$A,"&gt;="&amp;DATE(2026,4,22),'DRAFT 2'!$A:$A,"&lt;"&amp;DATE(2026,IF(4=12,4+1,4+1),1))</f>
        <v/>
      </c>
      <c r="EE100" s="116">
        <f>SUM(EA100:ED100)</f>
        <v/>
      </c>
      <c r="EO100" s="116">
        <f>IFERROR(LOOKUP(2,1/('DRAFT 2'!$D:$D=$B100)*('DRAFT 2'!$A:$A&gt;=DATE(2026,5,1))*('DRAFT 2'!$A:$A&lt;DATE(2026,IF(5=12,5+1,5+1),1)),'DRAFT 2'!$A:$A),"")</f>
        <v/>
      </c>
      <c r="EP100" s="116">
        <f>COUNTIFS('DRAFT 2'!$D:$D,$B100,'DRAFT 2'!$A:$A,"&gt;="&amp;DATE(2026,5,1),'DRAFT 2'!$A:$A,"&lt;="&amp;DATE(2026,5,7))</f>
        <v/>
      </c>
      <c r="EQ100" s="116">
        <f>COUNTIFS('DRAFT 2'!$D:$D,$B100,'DRAFT 2'!$A:$A,"&gt;="&amp;DATE(2026,5,8),'DRAFT 2'!$A:$A,"&lt;="&amp;DATE(2026,5,14))</f>
        <v/>
      </c>
      <c r="ER100" s="116">
        <f>COUNTIFS('DRAFT 2'!$D:$D,$B100,'DRAFT 2'!$A:$A,"&gt;="&amp;DATE(2026,5,15),'DRAFT 2'!$A:$A,"&lt;="&amp;DATE(2026,5,21))</f>
        <v/>
      </c>
      <c r="ES100" s="116">
        <f>COUNTIFS('DRAFT 2'!$D:$D,$B100,'DRAFT 2'!$A:$A,"&gt;="&amp;DATE(2026,5,22),'DRAFT 2'!$A:$A,"&lt;"&amp;DATE(2026,IF(5=12,5+1,5+1),1))</f>
        <v/>
      </c>
      <c r="ET100" s="116">
        <f>SUM(EP100:ES100)</f>
        <v/>
      </c>
      <c r="FD100" s="116">
        <f>IFERROR(LOOKUP(2,1/('DRAFT 2'!$D:$D=$B100)*('DRAFT 2'!$A:$A&gt;=DATE(2026,6,1))*('DRAFT 2'!$A:$A&lt;DATE(2026,IF(6=12,6+1,6+1),1)),'DRAFT 2'!$A:$A),"")</f>
        <v/>
      </c>
      <c r="FE100" s="116">
        <f>COUNTIFS('DRAFT 2'!$D:$D,$B100,'DRAFT 2'!$A:$A,"&gt;="&amp;DATE(2026,6,1),'DRAFT 2'!$A:$A,"&lt;="&amp;DATE(2026,6,7))</f>
        <v/>
      </c>
      <c r="FF100" s="116">
        <f>COUNTIFS('DRAFT 2'!$D:$D,$B100,'DRAFT 2'!$A:$A,"&gt;="&amp;DATE(2026,6,8),'DRAFT 2'!$A:$A,"&lt;="&amp;DATE(2026,6,14))</f>
        <v/>
      </c>
      <c r="FG100" s="116">
        <f>COUNTIFS('DRAFT 2'!$D:$D,$B100,'DRAFT 2'!$A:$A,"&gt;="&amp;DATE(2026,6,15),'DRAFT 2'!$A:$A,"&lt;="&amp;DATE(2026,6,21))</f>
        <v/>
      </c>
      <c r="FH100" s="116">
        <f>COUNTIFS('DRAFT 2'!$D:$D,$B100,'DRAFT 2'!$A:$A,"&gt;="&amp;DATE(2026,6,22),'DRAFT 2'!$A:$A,"&lt;"&amp;DATE(2026,IF(6=12,6+1,6+1),1))</f>
        <v/>
      </c>
      <c r="FI100" s="116">
        <f>SUM(FE100:FH100)</f>
        <v/>
      </c>
      <c r="FT100" s="116">
        <f>IFERROR(LOOKUP(2,1/('DRAFT 2'!$D:$D=$B100)*('DRAFT 2'!$A:$A&gt;=DATE(2026,7,1))*('DRAFT 2'!$A:$A&lt;DATE(2026,IF(7=12,7+1,7+1),1)),'DRAFT 2'!$A:$A),"")</f>
        <v/>
      </c>
      <c r="FU100" s="116">
        <f>COUNTIFS('DRAFT 2'!$D:$D,$B100,'DRAFT 2'!$A:$A,"&gt;="&amp;DATE(2026,7,1),'DRAFT 2'!$A:$A,"&lt;="&amp;DATE(2026,7,7))</f>
        <v/>
      </c>
      <c r="FV100" s="116">
        <f>COUNTIFS('DRAFT 2'!$D:$D,$B100,'DRAFT 2'!$A:$A,"&gt;="&amp;DATE(2026,7,8),'DRAFT 2'!$A:$A,"&lt;="&amp;DATE(2026,7,14))</f>
        <v/>
      </c>
      <c r="FW100" s="116">
        <f>COUNTIFS('DRAFT 2'!$D:$D,$B100,'DRAFT 2'!$A:$A,"&gt;="&amp;DATE(2026,7,15),'DRAFT 2'!$A:$A,"&lt;="&amp;DATE(2026,7,21))</f>
        <v/>
      </c>
      <c r="FX100" s="116">
        <f>COUNTIFS('DRAFT 2'!$D:$D,$B100,'DRAFT 2'!$A:$A,"&gt;="&amp;DATE(2026,7,22),'DRAFT 2'!$A:$A,"&lt;"&amp;DATE(2026,IF(7=12,7+1,7+1),1))</f>
        <v/>
      </c>
      <c r="FY100" s="116">
        <f>SUM(FU100:FX100)</f>
        <v/>
      </c>
      <c r="GI100" s="116">
        <f>IFERROR(LOOKUP(2,1/('DRAFT 2'!$D:$D=$B100)*('DRAFT 2'!$A:$A&gt;=DATE(2026,8,1))*('DRAFT 2'!$A:$A&lt;DATE(2026,IF(8=12,8+1,8+1),1)),'DRAFT 2'!$A:$A),"")</f>
        <v/>
      </c>
      <c r="GJ100" s="116">
        <f>COUNTIFS('DRAFT 2'!$D:$D,$B100,'DRAFT 2'!$A:$A,"&gt;="&amp;DATE(2026,8,1),'DRAFT 2'!$A:$A,"&lt;="&amp;DATE(2026,8,7))</f>
        <v/>
      </c>
      <c r="GK100" s="116">
        <f>COUNTIFS('DRAFT 2'!$D:$D,$B100,'DRAFT 2'!$A:$A,"&gt;="&amp;DATE(2026,8,8),'DRAFT 2'!$A:$A,"&lt;="&amp;DATE(2026,8,14))</f>
        <v/>
      </c>
      <c r="GL100" s="116">
        <f>COUNTIFS('DRAFT 2'!$D:$D,$B100,'DRAFT 2'!$A:$A,"&gt;="&amp;DATE(2026,8,15),'DRAFT 2'!$A:$A,"&lt;="&amp;DATE(2026,8,21))</f>
        <v/>
      </c>
      <c r="GM100" s="116">
        <f>COUNTIFS('DRAFT 2'!$D:$D,$B100,'DRAFT 2'!$A:$A,"&gt;="&amp;DATE(2026,8,22),'DRAFT 2'!$A:$A,"&lt;"&amp;DATE(2026,IF(8=12,8+1,8+1),1))</f>
        <v/>
      </c>
      <c r="GN100" s="116">
        <f>SUM(GJ100:GM100)</f>
        <v/>
      </c>
      <c r="GX100" s="116">
        <f>IFERROR(LOOKUP(2,1/('DRAFT 2'!$D:$D=$B100)*('DRAFT 2'!$A:$A&gt;=DATE(2026,9,1))*('DRAFT 2'!$A:$A&lt;DATE(2026,IF(9=12,9+1,9+1),1)),'DRAFT 2'!$A:$A),"")</f>
        <v/>
      </c>
      <c r="GY100" s="116">
        <f>COUNTIFS('DRAFT 2'!$D:$D,$B100,'DRAFT 2'!$A:$A,"&gt;="&amp;DATE(2026,9,1),'DRAFT 2'!$A:$A,"&lt;="&amp;DATE(2026,9,7))</f>
        <v/>
      </c>
      <c r="GZ100" s="116">
        <f>COUNTIFS('DRAFT 2'!$D:$D,$B100,'DRAFT 2'!$A:$A,"&gt;="&amp;DATE(2026,9,8),'DRAFT 2'!$A:$A,"&lt;="&amp;DATE(2026,9,14))</f>
        <v/>
      </c>
      <c r="HA100" s="116">
        <f>COUNTIFS('DRAFT 2'!$D:$D,$B100,'DRAFT 2'!$A:$A,"&gt;="&amp;DATE(2026,9,15),'DRAFT 2'!$A:$A,"&lt;="&amp;DATE(2026,9,21))</f>
        <v/>
      </c>
      <c r="HB100" s="116">
        <f>COUNTIFS('DRAFT 2'!$D:$D,$B100,'DRAFT 2'!$A:$A,"&gt;="&amp;DATE(2026,9,22),'DRAFT 2'!$A:$A,"&lt;"&amp;DATE(2026,IF(9=12,9+1,9+1),1))</f>
        <v/>
      </c>
      <c r="HC100" s="116">
        <f>SUM(GY100:HB100)</f>
        <v/>
      </c>
      <c r="HN100" s="116">
        <f>IFERROR(LOOKUP(2,1/('DRAFT 2'!$D:$D=$B100)*('DRAFT 2'!$A:$A&gt;=DATE(2026,10,1))*('DRAFT 2'!$A:$A&lt;DATE(2026,IF(10=12,10+1,10+1),1)),'DRAFT 2'!$A:$A),"")</f>
        <v/>
      </c>
      <c r="HO100" s="116">
        <f>COUNTIFS('DRAFT 2'!$D:$D,$B100,'DRAFT 2'!$A:$A,"&gt;="&amp;DATE(2026,10,1),'DRAFT 2'!$A:$A,"&lt;="&amp;DATE(2026,10,7))</f>
        <v/>
      </c>
      <c r="HP100" s="116">
        <f>COUNTIFS('DRAFT 2'!$D:$D,$B100,'DRAFT 2'!$A:$A,"&gt;="&amp;DATE(2026,10,8),'DRAFT 2'!$A:$A,"&lt;="&amp;DATE(2026,10,14))</f>
        <v/>
      </c>
      <c r="HQ100" s="116">
        <f>COUNTIFS('DRAFT 2'!$D:$D,$B100,'DRAFT 2'!$A:$A,"&gt;="&amp;DATE(2026,10,15),'DRAFT 2'!$A:$A,"&lt;="&amp;DATE(2026,10,21))</f>
        <v/>
      </c>
      <c r="HR100" s="116">
        <f>COUNTIFS('DRAFT 2'!$D:$D,$B100,'DRAFT 2'!$A:$A,"&gt;="&amp;DATE(2026,10,22),'DRAFT 2'!$A:$A,"&lt;"&amp;DATE(2026,IF(10=12,10+1,10+1),1))</f>
        <v/>
      </c>
      <c r="HS100" s="116">
        <f>SUM(HO100:HR100)</f>
        <v/>
      </c>
      <c r="IC100" s="116">
        <f>IFERROR(LOOKUP(2,1/('DRAFT 2'!$D:$D=$B100)*('DRAFT 2'!$A:$A&gt;=DATE(2026,11,1))*('DRAFT 2'!$A:$A&lt;DATE(2026,IF(11=12,11+1,11+1),1)),'DRAFT 2'!$A:$A),"")</f>
        <v/>
      </c>
      <c r="ID100" s="116">
        <f>COUNTIFS('DRAFT 2'!$D:$D,$B100,'DRAFT 2'!$A:$A,"&gt;="&amp;DATE(2026,11,1),'DRAFT 2'!$A:$A,"&lt;="&amp;DATE(2026,11,7))</f>
        <v/>
      </c>
      <c r="IE100" s="116">
        <f>COUNTIFS('DRAFT 2'!$D:$D,$B100,'DRAFT 2'!$A:$A,"&gt;="&amp;DATE(2026,11,8),'DRAFT 2'!$A:$A,"&lt;="&amp;DATE(2026,11,14))</f>
        <v/>
      </c>
      <c r="IF100" s="116">
        <f>COUNTIFS('DRAFT 2'!$D:$D,$B100,'DRAFT 2'!$A:$A,"&gt;="&amp;DATE(2026,11,15),'DRAFT 2'!$A:$A,"&lt;="&amp;DATE(2026,11,21))</f>
        <v/>
      </c>
      <c r="IG100" s="116">
        <f>COUNTIFS('DRAFT 2'!$D:$D,$B100,'DRAFT 2'!$A:$A,"&gt;="&amp;DATE(2026,11,22),'DRAFT 2'!$A:$A,"&lt;"&amp;DATE(2026,IF(11=12,11+1,11+1),1))</f>
        <v/>
      </c>
      <c r="IH100" s="116">
        <f>SUM(ID100:IG100)</f>
        <v/>
      </c>
      <c r="IR100" s="116">
        <f>IFERROR(LOOKUP(2,1/('DRAFT 2'!$D:$D=$B100)*('DRAFT 2'!$A:$A&gt;=DATE(2026,12,1))*('DRAFT 2'!$A:$A&lt;DATE(2026,IF(12=12,12+1,12+1),1)),'DRAFT 2'!$A:$A),"")</f>
        <v/>
      </c>
      <c r="IS100" s="116">
        <f>COUNTIFS('DRAFT 2'!$D:$D,$B100,'DRAFT 2'!$A:$A,"&gt;="&amp;DATE(2026,12,1),'DRAFT 2'!$A:$A,"&lt;="&amp;DATE(2026,12,7))</f>
        <v/>
      </c>
      <c r="IT100" s="116">
        <f>COUNTIFS('DRAFT 2'!$D:$D,$B100,'DRAFT 2'!$A:$A,"&gt;="&amp;DATE(2026,12,8),'DRAFT 2'!$A:$A,"&lt;="&amp;DATE(2026,12,14))</f>
        <v/>
      </c>
      <c r="IU100" s="116">
        <f>COUNTIFS('DRAFT 2'!$D:$D,$B100,'DRAFT 2'!$A:$A,"&gt;="&amp;DATE(2026,12,15),'DRAFT 2'!$A:$A,"&lt;="&amp;DATE(2026,12,21))</f>
        <v/>
      </c>
      <c r="IV100" s="116">
        <f>COUNTIFS('DRAFT 2'!$D:$D,$B100,'DRAFT 2'!$A:$A,"&gt;="&amp;DATE(2026,12,22),'DRAFT 2'!$A:$A,"&lt;"&amp;DATE(2026,IF(12=12,12+1,12+1),1))</f>
        <v/>
      </c>
      <c r="IW100" s="116">
        <f>SUM(IS100:IV100)</f>
        <v/>
      </c>
    </row>
    <row r="101">
      <c r="A101" s="116">
        <f>IFERROR(INDEX('DRAFT 1'!$A:$A,MATCH($B101,'DRAFT 1'!$B:$B,0)),"")</f>
        <v/>
      </c>
      <c r="C101" s="116">
        <f>IFERROR(INDEX('DRAFT 1'!$C:$C,MATCH($B101,'DRAFT 1'!$B:$B,0)),"")</f>
        <v/>
      </c>
      <c r="D101" s="116">
        <f>IFERROR(INDEX('DRAFT 1'!$D:$D,MATCH($B101,'DRAFT 1'!$B:$B,0)),"")</f>
        <v/>
      </c>
      <c r="E101" s="116">
        <f>IFERROR(INDEX('DRAFT 1'!$E:$E,MATCH($B101,'DRAFT 1'!$B:$B,0)),"")</f>
        <v/>
      </c>
      <c r="F101" s="116">
        <f>IFERROR(INDEX('DRAFT 1'!$F:$F,MATCH($B101,'DRAFT 1'!$B:$B,0)),"")</f>
        <v/>
      </c>
      <c r="G101" s="116">
        <f>IFERROR(INDEX('DRAFT 1'!$G:$G,MATCH($B101,'DRAFT 1'!$B:$B,0)),"")</f>
        <v/>
      </c>
      <c r="H101" s="116">
        <f>IFERROR(INDEX('DRAFT 1'!$H:$H,MATCH($B101,'DRAFT 1'!$B:$B,0)),"")</f>
        <v/>
      </c>
      <c r="I101" s="116" t="inlineStr">
        <is>
          <t>DEMAIS CLIENTES</t>
        </is>
      </c>
      <c r="K101" s="116">
        <f>IFERROR(INDEX('DRAFT 1'!$AL:$AL,MATCH($B101,'DRAFT 1'!$B:$B,0)),"")</f>
        <v/>
      </c>
      <c r="L101" s="116">
        <f>IFERROR(INDEX('DRAFT 1'!$J:$J,MATCH($B101,'DRAFT 1'!$B:$B,0)),"")</f>
        <v/>
      </c>
      <c r="M101" s="116">
        <f>IFERROR(INDEX('DRAFT 1'!$K:$K,MATCH($B101,'DRAFT 1'!$B:$B,0)),"")</f>
        <v/>
      </c>
      <c r="N101" s="116" t="inlineStr">
        <is>
          <t>NOVO</t>
        </is>
      </c>
      <c r="P101" s="116">
        <f>IFERROR(INDEX('DRAFT 1'!$L:$L,MATCH($B101,'DRAFT 1'!$B:$B,0)),"")</f>
        <v/>
      </c>
      <c r="Q101" s="116">
        <f>IFERROR(INDEX('DRAFT 1'!$M:$M,MATCH($B101,'DRAFT 1'!$B:$B,0)),"")</f>
        <v/>
      </c>
      <c r="R101" s="116">
        <f>IFERROR(INDEX('DRAFT 1'!$N:$N,MATCH($B101,'DRAFT 1'!$B:$B,0)),"")</f>
        <v/>
      </c>
      <c r="S101" s="116">
        <f>IFERROR(INDEX('DRAFT 1'!$O:$O,MATCH($B101,'DRAFT 1'!$B:$B,0)),"")</f>
        <v/>
      </c>
      <c r="T101" s="116">
        <f>IFERROR(INDEX('DRAFT 1'!$P:$P,MATCH($B101,'DRAFT 1'!$B:$B,0)),"")</f>
        <v/>
      </c>
      <c r="U101" s="116">
        <f>IFERROR(INDEX('DRAFT 1'!$Q:$Q,MATCH($B101,'DRAFT 1'!$B:$B,0)),"")</f>
        <v/>
      </c>
      <c r="V101" s="116">
        <f>IFERROR(INDEX('DRAFT 1'!$R:$R,MATCH($B101,'DRAFT 1'!$B:$B,0)),"")</f>
        <v/>
      </c>
      <c r="W101" s="116">
        <f>IFERROR(INDEX('DRAFT 1'!$S:$S,MATCH($B101,'DRAFT 1'!$B:$B,0)),"")</f>
        <v/>
      </c>
      <c r="X101" s="116">
        <f>IFERROR(INDEX('DRAFT 1'!$T:$T,MATCH($B101,'DRAFT 1'!$B:$B,0)),"")</f>
        <v/>
      </c>
      <c r="Z101" s="116">
        <f>IFERROR(INDEX('DRAFT 1'!$U:$U,MATCH($B101,'DRAFT 1'!$B:$B,0)),"")</f>
        <v/>
      </c>
      <c r="AA101" s="116">
        <f>IFERROR(INDEX('DRAFT 1'!$V:$V,MATCH($B101,'DRAFT 1'!$B:$B,0)),"")</f>
        <v/>
      </c>
      <c r="AB101" s="116">
        <f>IFERROR(INDEX('DRAFT 1'!$W:$W,MATCH($B101,'DRAFT 1'!$B:$B,0)),"")</f>
        <v/>
      </c>
      <c r="AC101" s="116">
        <f>IFERROR(INDEX('DRAFT 1'!$X:$X,MATCH($B101,'DRAFT 1'!$B:$B,0)),"")</f>
        <v/>
      </c>
      <c r="AD101" s="116">
        <f>IFERROR(INDEX('DRAFT 1'!$Y:$Y,MATCH($B101,'DRAFT 1'!$B:$B,0)),"")</f>
        <v/>
      </c>
      <c r="AE101" s="116">
        <f>IFERROR(INDEX('DRAFT 1'!$Z:$Z,MATCH($B101,'DRAFT 1'!$B:$B,0)),"")</f>
        <v/>
      </c>
      <c r="AF101" s="116">
        <f>IFERROR(INDEX('DRAFT 1'!$AA:$AA,MATCH($B101,'DRAFT 1'!$B:$B,0)),"")</f>
        <v/>
      </c>
      <c r="AG101" s="116">
        <f>IFERROR(INDEX('DRAFT 1'!$AB:$AB,MATCH($B101,'DRAFT 1'!$B:$B,0)),"")</f>
        <v/>
      </c>
      <c r="AH101" s="116">
        <f>IFERROR(INDEX('DRAFT 1'!$AC:$AC,MATCH($B101,'DRAFT 1'!$B:$B,0)),"")</f>
        <v/>
      </c>
      <c r="AI101" s="116">
        <f>IFERROR(INDEX('DRAFT 1'!$AD:$AD,MATCH($B101,'DRAFT 1'!$B:$B,0)),"")</f>
        <v/>
      </c>
      <c r="AJ101" s="116">
        <f>IFERROR(INDEX('DRAFT 1'!$AE:$AE,MATCH($B101,'DRAFT 1'!$B:$B,0)),"")</f>
        <v/>
      </c>
      <c r="AK101" s="116">
        <f>IFERROR(INDEX('DRAFT 1'!$AG:$AG,MATCH($B101,'DRAFT 1'!$B:$B,0)),"")</f>
        <v/>
      </c>
      <c r="AL101" s="116">
        <f>IFERROR(INDEX('DRAFT 1'!$AH:$AH,MATCH($B101,'DRAFT 1'!$B:$B,0)),"")</f>
        <v/>
      </c>
      <c r="AM101" s="116">
        <f>IFERROR(INDEX('DRAFT 1'!$AI:$AI,MATCH($B101,'DRAFT 1'!$B:$B,0)),"")</f>
        <v/>
      </c>
      <c r="AN101" s="116">
        <f>IFERROR(INDEX('DRAFT 1'!$AJ:$AJ,MATCH($B101,'DRAFT 1'!$B:$B,0)),"")</f>
        <v/>
      </c>
      <c r="AO101" s="116">
        <f>IFERROR(Y101/AN101,0)</f>
        <v/>
      </c>
      <c r="AP101" s="116">
        <f>IFERROR(INDEX('DRAFT 1'!$AK:$AK,MATCH($B101,'DRAFT 1'!$B:$B,0)),"")</f>
        <v/>
      </c>
      <c r="AR101" s="116" t="inlineStr">
        <is>
          <t>ORÇAMENTO</t>
        </is>
      </c>
      <c r="AS101" s="116">
        <f>IFERROR(LOOKUP(2,1/('DRAFT 2'!$D:$D=$B101),'DRAFT 2'!$T:$T),"")</f>
        <v/>
      </c>
      <c r="AT101" s="116">
        <f>IFERROR(LOOKUP(2,1/('DRAFT 2'!$D:$D=$B101),'DRAFT 2'!$A:$A),"")</f>
        <v/>
      </c>
      <c r="AU101" s="116">
        <f>IFERROR(LOOKUP(2,1/('DRAFT 2'!$D:$D=$B101),'DRAFT 2'!$R:$R),"")</f>
        <v/>
      </c>
      <c r="AV101" s="116">
        <f>IFERROR(LOOKUP(2,1/('DRAFT 2'!$D:$D=$B101),'DRAFT 2'!$S:$S),"")</f>
        <v/>
      </c>
      <c r="AW101" s="116" t="inlineStr">
        <is>
          <t>RECORRENTE</t>
        </is>
      </c>
      <c r="AX101" s="116">
        <f>IFERROR(LOOKUP(2,1/('DRAFT 2'!$D:$D=$B101),'DRAFT 2'!$M:$M),"")</f>
        <v/>
      </c>
      <c r="AY101" s="116">
        <f>IFERROR(LOOKUP(2,1/('DRAFT 2'!$D:$D=$B101),'DRAFT 2'!$K:$K),"")</f>
        <v/>
      </c>
      <c r="BG101" s="116">
        <f>IFERROR(LOOKUP(2,1/('DRAFT 2'!$D:$D=$B101),'DRAFT 2'!$U:$U),"")</f>
        <v/>
      </c>
      <c r="BH101" s="116">
        <f>IFERROR(LOOKUP(2,1/('DRAFT 2'!$D:$D=$B101),'DRAFT 2'!$V:$V),"")</f>
        <v/>
      </c>
      <c r="CE101" s="116">
        <f>IFERROR(AJ101,0)</f>
        <v/>
      </c>
      <c r="CF101" s="116">
        <f>IFERROR(LOOKUP(2,1/('DRAFT 2'!$D:$D=$B101)*('DRAFT 2'!$A:$A&gt;=DATE(2026,1,1))*('DRAFT 2'!$A:$A&lt;DATE(2026,IF(1=12,1+1,1+1),1)),'DRAFT 2'!$A:$A),"")</f>
        <v/>
      </c>
      <c r="CG101" s="116">
        <f>COUNTIFS('DRAFT 2'!$D:$D,$B101,'DRAFT 2'!$A:$A,"&gt;="&amp;DATE(2026,1,1),'DRAFT 2'!$A:$A,"&lt;="&amp;DATE(2026,1,7))</f>
        <v/>
      </c>
      <c r="CH101" s="116">
        <f>COUNTIFS('DRAFT 2'!$D:$D,$B101,'DRAFT 2'!$A:$A,"&gt;="&amp;DATE(2026,1,8),'DRAFT 2'!$A:$A,"&lt;="&amp;DATE(2026,1,14))</f>
        <v/>
      </c>
      <c r="CI101" s="116">
        <f>COUNTIFS('DRAFT 2'!$D:$D,$B101,'DRAFT 2'!$A:$A,"&gt;="&amp;DATE(2026,1,15),'DRAFT 2'!$A:$A,"&lt;="&amp;DATE(2026,1,21))</f>
        <v/>
      </c>
      <c r="CJ101" s="116">
        <f>COUNTIFS('DRAFT 2'!$D:$D,$B101,'DRAFT 2'!$A:$A,"&gt;="&amp;DATE(2026,1,22),'DRAFT 2'!$A:$A,"&lt;"&amp;DATE(2026,IF(1=12,1+1,1+1),1))</f>
        <v/>
      </c>
      <c r="CK101" s="116">
        <f>SUM(CG101:CJ101)</f>
        <v/>
      </c>
      <c r="CT101" s="116" t="n">
        <v>0</v>
      </c>
      <c r="CU101" s="116">
        <f>IFERROR(LOOKUP(2,1/('DRAFT 2'!$D:$D=$B101)*('DRAFT 2'!$A:$A&gt;=DATE(2026,2,1))*('DRAFT 2'!$A:$A&lt;DATE(2026,IF(2=12,2+1,2+1),1)),'DRAFT 2'!$A:$A),"")</f>
        <v/>
      </c>
      <c r="CV101" s="116">
        <f>COUNTIFS('DRAFT 2'!$D:$D,$B101,'DRAFT 2'!$A:$A,"&gt;="&amp;DATE(2026,2,1),'DRAFT 2'!$A:$A,"&lt;="&amp;DATE(2026,2,7))</f>
        <v/>
      </c>
      <c r="CW101" s="116">
        <f>COUNTIFS('DRAFT 2'!$D:$D,$B101,'DRAFT 2'!$A:$A,"&gt;="&amp;DATE(2026,2,8),'DRAFT 2'!$A:$A,"&lt;="&amp;DATE(2026,2,14))</f>
        <v/>
      </c>
      <c r="CX101" s="116">
        <f>COUNTIFS('DRAFT 2'!$D:$D,$B101,'DRAFT 2'!$A:$A,"&gt;="&amp;DATE(2026,2,15),'DRAFT 2'!$A:$A,"&lt;="&amp;DATE(2026,2,21))</f>
        <v/>
      </c>
      <c r="CY101" s="116">
        <f>COUNTIFS('DRAFT 2'!$D:$D,$B101,'DRAFT 2'!$A:$A,"&gt;="&amp;DATE(2026,2,22),'DRAFT 2'!$A:$A,"&lt;"&amp;DATE(2026,IF(2=12,2+1,2+1),1))</f>
        <v/>
      </c>
      <c r="CZ101" s="116">
        <f>SUM(CV101:CY101)</f>
        <v/>
      </c>
      <c r="DJ101" s="116">
        <f>IFERROR(LOOKUP(2,1/('DRAFT 2'!$D:$D=$B101)*('DRAFT 2'!$A:$A&gt;=DATE(2026,3,1))*('DRAFT 2'!$A:$A&lt;DATE(2026,IF(3=12,3+1,3+1),1)),'DRAFT 2'!$A:$A),"")</f>
        <v/>
      </c>
      <c r="DK101" s="116">
        <f>COUNTIFS('DRAFT 2'!$D:$D,$B101,'DRAFT 2'!$A:$A,"&gt;="&amp;DATE(2026,3,1),'DRAFT 2'!$A:$A,"&lt;="&amp;DATE(2026,3,7))</f>
        <v/>
      </c>
      <c r="DL101" s="116">
        <f>COUNTIFS('DRAFT 2'!$D:$D,$B101,'DRAFT 2'!$A:$A,"&gt;="&amp;DATE(2026,3,8),'DRAFT 2'!$A:$A,"&lt;="&amp;DATE(2026,3,14))</f>
        <v/>
      </c>
      <c r="DM101" s="116">
        <f>COUNTIFS('DRAFT 2'!$D:$D,$B101,'DRAFT 2'!$A:$A,"&gt;="&amp;DATE(2026,3,15),'DRAFT 2'!$A:$A,"&lt;="&amp;DATE(2026,3,21))</f>
        <v/>
      </c>
      <c r="DN101" s="116">
        <f>COUNTIFS('DRAFT 2'!$D:$D,$B101,'DRAFT 2'!$A:$A,"&gt;="&amp;DATE(2026,3,22),'DRAFT 2'!$A:$A,"&lt;"&amp;DATE(2026,IF(3=12,3+1,3+1),1))</f>
        <v/>
      </c>
      <c r="DO101" s="116">
        <f>SUM(DK101:DN101)</f>
        <v/>
      </c>
      <c r="DZ101" s="116">
        <f>IFERROR(LOOKUP(2,1/('DRAFT 2'!$D:$D=$B101)*('DRAFT 2'!$A:$A&gt;=DATE(2026,4,1))*('DRAFT 2'!$A:$A&lt;DATE(2026,IF(4=12,4+1,4+1),1)),'DRAFT 2'!$A:$A),"")</f>
        <v/>
      </c>
      <c r="EA101" s="116">
        <f>COUNTIFS('DRAFT 2'!$D:$D,$B101,'DRAFT 2'!$A:$A,"&gt;="&amp;DATE(2026,4,1),'DRAFT 2'!$A:$A,"&lt;="&amp;DATE(2026,4,7))</f>
        <v/>
      </c>
      <c r="EB101" s="116">
        <f>COUNTIFS('DRAFT 2'!$D:$D,$B101,'DRAFT 2'!$A:$A,"&gt;="&amp;DATE(2026,4,8),'DRAFT 2'!$A:$A,"&lt;="&amp;DATE(2026,4,14))</f>
        <v/>
      </c>
      <c r="EC101" s="116">
        <f>COUNTIFS('DRAFT 2'!$D:$D,$B101,'DRAFT 2'!$A:$A,"&gt;="&amp;DATE(2026,4,15),'DRAFT 2'!$A:$A,"&lt;="&amp;DATE(2026,4,21))</f>
        <v/>
      </c>
      <c r="ED101" s="116">
        <f>COUNTIFS('DRAFT 2'!$D:$D,$B101,'DRAFT 2'!$A:$A,"&gt;="&amp;DATE(2026,4,22),'DRAFT 2'!$A:$A,"&lt;"&amp;DATE(2026,IF(4=12,4+1,4+1),1))</f>
        <v/>
      </c>
      <c r="EE101" s="116">
        <f>SUM(EA101:ED101)</f>
        <v/>
      </c>
      <c r="EO101" s="116">
        <f>IFERROR(LOOKUP(2,1/('DRAFT 2'!$D:$D=$B101)*('DRAFT 2'!$A:$A&gt;=DATE(2026,5,1))*('DRAFT 2'!$A:$A&lt;DATE(2026,IF(5=12,5+1,5+1),1)),'DRAFT 2'!$A:$A),"")</f>
        <v/>
      </c>
      <c r="EP101" s="116">
        <f>COUNTIFS('DRAFT 2'!$D:$D,$B101,'DRAFT 2'!$A:$A,"&gt;="&amp;DATE(2026,5,1),'DRAFT 2'!$A:$A,"&lt;="&amp;DATE(2026,5,7))</f>
        <v/>
      </c>
      <c r="EQ101" s="116">
        <f>COUNTIFS('DRAFT 2'!$D:$D,$B101,'DRAFT 2'!$A:$A,"&gt;="&amp;DATE(2026,5,8),'DRAFT 2'!$A:$A,"&lt;="&amp;DATE(2026,5,14))</f>
        <v/>
      </c>
      <c r="ER101" s="116">
        <f>COUNTIFS('DRAFT 2'!$D:$D,$B101,'DRAFT 2'!$A:$A,"&gt;="&amp;DATE(2026,5,15),'DRAFT 2'!$A:$A,"&lt;="&amp;DATE(2026,5,21))</f>
        <v/>
      </c>
      <c r="ES101" s="116">
        <f>COUNTIFS('DRAFT 2'!$D:$D,$B101,'DRAFT 2'!$A:$A,"&gt;="&amp;DATE(2026,5,22),'DRAFT 2'!$A:$A,"&lt;"&amp;DATE(2026,IF(5=12,5+1,5+1),1))</f>
        <v/>
      </c>
      <c r="ET101" s="116">
        <f>SUM(EP101:ES101)</f>
        <v/>
      </c>
      <c r="FD101" s="116">
        <f>IFERROR(LOOKUP(2,1/('DRAFT 2'!$D:$D=$B101)*('DRAFT 2'!$A:$A&gt;=DATE(2026,6,1))*('DRAFT 2'!$A:$A&lt;DATE(2026,IF(6=12,6+1,6+1),1)),'DRAFT 2'!$A:$A),"")</f>
        <v/>
      </c>
      <c r="FE101" s="116">
        <f>COUNTIFS('DRAFT 2'!$D:$D,$B101,'DRAFT 2'!$A:$A,"&gt;="&amp;DATE(2026,6,1),'DRAFT 2'!$A:$A,"&lt;="&amp;DATE(2026,6,7))</f>
        <v/>
      </c>
      <c r="FF101" s="116">
        <f>COUNTIFS('DRAFT 2'!$D:$D,$B101,'DRAFT 2'!$A:$A,"&gt;="&amp;DATE(2026,6,8),'DRAFT 2'!$A:$A,"&lt;="&amp;DATE(2026,6,14))</f>
        <v/>
      </c>
      <c r="FG101" s="116">
        <f>COUNTIFS('DRAFT 2'!$D:$D,$B101,'DRAFT 2'!$A:$A,"&gt;="&amp;DATE(2026,6,15),'DRAFT 2'!$A:$A,"&lt;="&amp;DATE(2026,6,21))</f>
        <v/>
      </c>
      <c r="FH101" s="116">
        <f>COUNTIFS('DRAFT 2'!$D:$D,$B101,'DRAFT 2'!$A:$A,"&gt;="&amp;DATE(2026,6,22),'DRAFT 2'!$A:$A,"&lt;"&amp;DATE(2026,IF(6=12,6+1,6+1),1))</f>
        <v/>
      </c>
      <c r="FI101" s="116">
        <f>SUM(FE101:FH101)</f>
        <v/>
      </c>
      <c r="FT101" s="116">
        <f>IFERROR(LOOKUP(2,1/('DRAFT 2'!$D:$D=$B101)*('DRAFT 2'!$A:$A&gt;=DATE(2026,7,1))*('DRAFT 2'!$A:$A&lt;DATE(2026,IF(7=12,7+1,7+1),1)),'DRAFT 2'!$A:$A),"")</f>
        <v/>
      </c>
      <c r="FU101" s="116">
        <f>COUNTIFS('DRAFT 2'!$D:$D,$B101,'DRAFT 2'!$A:$A,"&gt;="&amp;DATE(2026,7,1),'DRAFT 2'!$A:$A,"&lt;="&amp;DATE(2026,7,7))</f>
        <v/>
      </c>
      <c r="FV101" s="116">
        <f>COUNTIFS('DRAFT 2'!$D:$D,$B101,'DRAFT 2'!$A:$A,"&gt;="&amp;DATE(2026,7,8),'DRAFT 2'!$A:$A,"&lt;="&amp;DATE(2026,7,14))</f>
        <v/>
      </c>
      <c r="FW101" s="116">
        <f>COUNTIFS('DRAFT 2'!$D:$D,$B101,'DRAFT 2'!$A:$A,"&gt;="&amp;DATE(2026,7,15),'DRAFT 2'!$A:$A,"&lt;="&amp;DATE(2026,7,21))</f>
        <v/>
      </c>
      <c r="FX101" s="116">
        <f>COUNTIFS('DRAFT 2'!$D:$D,$B101,'DRAFT 2'!$A:$A,"&gt;="&amp;DATE(2026,7,22),'DRAFT 2'!$A:$A,"&lt;"&amp;DATE(2026,IF(7=12,7+1,7+1),1))</f>
        <v/>
      </c>
      <c r="FY101" s="116">
        <f>SUM(FU101:FX101)</f>
        <v/>
      </c>
      <c r="GI101" s="116">
        <f>IFERROR(LOOKUP(2,1/('DRAFT 2'!$D:$D=$B101)*('DRAFT 2'!$A:$A&gt;=DATE(2026,8,1))*('DRAFT 2'!$A:$A&lt;DATE(2026,IF(8=12,8+1,8+1),1)),'DRAFT 2'!$A:$A),"")</f>
        <v/>
      </c>
      <c r="GJ101" s="116">
        <f>COUNTIFS('DRAFT 2'!$D:$D,$B101,'DRAFT 2'!$A:$A,"&gt;="&amp;DATE(2026,8,1),'DRAFT 2'!$A:$A,"&lt;="&amp;DATE(2026,8,7))</f>
        <v/>
      </c>
      <c r="GK101" s="116">
        <f>COUNTIFS('DRAFT 2'!$D:$D,$B101,'DRAFT 2'!$A:$A,"&gt;="&amp;DATE(2026,8,8),'DRAFT 2'!$A:$A,"&lt;="&amp;DATE(2026,8,14))</f>
        <v/>
      </c>
      <c r="GL101" s="116">
        <f>COUNTIFS('DRAFT 2'!$D:$D,$B101,'DRAFT 2'!$A:$A,"&gt;="&amp;DATE(2026,8,15),'DRAFT 2'!$A:$A,"&lt;="&amp;DATE(2026,8,21))</f>
        <v/>
      </c>
      <c r="GM101" s="116">
        <f>COUNTIFS('DRAFT 2'!$D:$D,$B101,'DRAFT 2'!$A:$A,"&gt;="&amp;DATE(2026,8,22),'DRAFT 2'!$A:$A,"&lt;"&amp;DATE(2026,IF(8=12,8+1,8+1),1))</f>
        <v/>
      </c>
      <c r="GN101" s="116">
        <f>SUM(GJ101:GM101)</f>
        <v/>
      </c>
      <c r="GX101" s="116">
        <f>IFERROR(LOOKUP(2,1/('DRAFT 2'!$D:$D=$B101)*('DRAFT 2'!$A:$A&gt;=DATE(2026,9,1))*('DRAFT 2'!$A:$A&lt;DATE(2026,IF(9=12,9+1,9+1),1)),'DRAFT 2'!$A:$A),"")</f>
        <v/>
      </c>
      <c r="GY101" s="116">
        <f>COUNTIFS('DRAFT 2'!$D:$D,$B101,'DRAFT 2'!$A:$A,"&gt;="&amp;DATE(2026,9,1),'DRAFT 2'!$A:$A,"&lt;="&amp;DATE(2026,9,7))</f>
        <v/>
      </c>
      <c r="GZ101" s="116">
        <f>COUNTIFS('DRAFT 2'!$D:$D,$B101,'DRAFT 2'!$A:$A,"&gt;="&amp;DATE(2026,9,8),'DRAFT 2'!$A:$A,"&lt;="&amp;DATE(2026,9,14))</f>
        <v/>
      </c>
      <c r="HA101" s="116">
        <f>COUNTIFS('DRAFT 2'!$D:$D,$B101,'DRAFT 2'!$A:$A,"&gt;="&amp;DATE(2026,9,15),'DRAFT 2'!$A:$A,"&lt;="&amp;DATE(2026,9,21))</f>
        <v/>
      </c>
      <c r="HB101" s="116">
        <f>COUNTIFS('DRAFT 2'!$D:$D,$B101,'DRAFT 2'!$A:$A,"&gt;="&amp;DATE(2026,9,22),'DRAFT 2'!$A:$A,"&lt;"&amp;DATE(2026,IF(9=12,9+1,9+1),1))</f>
        <v/>
      </c>
      <c r="HC101" s="116">
        <f>SUM(GY101:HB101)</f>
        <v/>
      </c>
      <c r="HN101" s="116">
        <f>IFERROR(LOOKUP(2,1/('DRAFT 2'!$D:$D=$B101)*('DRAFT 2'!$A:$A&gt;=DATE(2026,10,1))*('DRAFT 2'!$A:$A&lt;DATE(2026,IF(10=12,10+1,10+1),1)),'DRAFT 2'!$A:$A),"")</f>
        <v/>
      </c>
      <c r="HO101" s="116">
        <f>COUNTIFS('DRAFT 2'!$D:$D,$B101,'DRAFT 2'!$A:$A,"&gt;="&amp;DATE(2026,10,1),'DRAFT 2'!$A:$A,"&lt;="&amp;DATE(2026,10,7))</f>
        <v/>
      </c>
      <c r="HP101" s="116">
        <f>COUNTIFS('DRAFT 2'!$D:$D,$B101,'DRAFT 2'!$A:$A,"&gt;="&amp;DATE(2026,10,8),'DRAFT 2'!$A:$A,"&lt;="&amp;DATE(2026,10,14))</f>
        <v/>
      </c>
      <c r="HQ101" s="116">
        <f>COUNTIFS('DRAFT 2'!$D:$D,$B101,'DRAFT 2'!$A:$A,"&gt;="&amp;DATE(2026,10,15),'DRAFT 2'!$A:$A,"&lt;="&amp;DATE(2026,10,21))</f>
        <v/>
      </c>
      <c r="HR101" s="116">
        <f>COUNTIFS('DRAFT 2'!$D:$D,$B101,'DRAFT 2'!$A:$A,"&gt;="&amp;DATE(2026,10,22),'DRAFT 2'!$A:$A,"&lt;"&amp;DATE(2026,IF(10=12,10+1,10+1),1))</f>
        <v/>
      </c>
      <c r="HS101" s="116">
        <f>SUM(HO101:HR101)</f>
        <v/>
      </c>
      <c r="IC101" s="116">
        <f>IFERROR(LOOKUP(2,1/('DRAFT 2'!$D:$D=$B101)*('DRAFT 2'!$A:$A&gt;=DATE(2026,11,1))*('DRAFT 2'!$A:$A&lt;DATE(2026,IF(11=12,11+1,11+1),1)),'DRAFT 2'!$A:$A),"")</f>
        <v/>
      </c>
      <c r="ID101" s="116">
        <f>COUNTIFS('DRAFT 2'!$D:$D,$B101,'DRAFT 2'!$A:$A,"&gt;="&amp;DATE(2026,11,1),'DRAFT 2'!$A:$A,"&lt;="&amp;DATE(2026,11,7))</f>
        <v/>
      </c>
      <c r="IE101" s="116">
        <f>COUNTIFS('DRAFT 2'!$D:$D,$B101,'DRAFT 2'!$A:$A,"&gt;="&amp;DATE(2026,11,8),'DRAFT 2'!$A:$A,"&lt;="&amp;DATE(2026,11,14))</f>
        <v/>
      </c>
      <c r="IF101" s="116">
        <f>COUNTIFS('DRAFT 2'!$D:$D,$B101,'DRAFT 2'!$A:$A,"&gt;="&amp;DATE(2026,11,15),'DRAFT 2'!$A:$A,"&lt;="&amp;DATE(2026,11,21))</f>
        <v/>
      </c>
      <c r="IG101" s="116">
        <f>COUNTIFS('DRAFT 2'!$D:$D,$B101,'DRAFT 2'!$A:$A,"&gt;="&amp;DATE(2026,11,22),'DRAFT 2'!$A:$A,"&lt;"&amp;DATE(2026,IF(11=12,11+1,11+1),1))</f>
        <v/>
      </c>
      <c r="IH101" s="116">
        <f>SUM(ID101:IG101)</f>
        <v/>
      </c>
      <c r="IR101" s="116">
        <f>IFERROR(LOOKUP(2,1/('DRAFT 2'!$D:$D=$B101)*('DRAFT 2'!$A:$A&gt;=DATE(2026,12,1))*('DRAFT 2'!$A:$A&lt;DATE(2026,IF(12=12,12+1,12+1),1)),'DRAFT 2'!$A:$A),"")</f>
        <v/>
      </c>
      <c r="IS101" s="116">
        <f>COUNTIFS('DRAFT 2'!$D:$D,$B101,'DRAFT 2'!$A:$A,"&gt;="&amp;DATE(2026,12,1),'DRAFT 2'!$A:$A,"&lt;="&amp;DATE(2026,12,7))</f>
        <v/>
      </c>
      <c r="IT101" s="116">
        <f>COUNTIFS('DRAFT 2'!$D:$D,$B101,'DRAFT 2'!$A:$A,"&gt;="&amp;DATE(2026,12,8),'DRAFT 2'!$A:$A,"&lt;="&amp;DATE(2026,12,14))</f>
        <v/>
      </c>
      <c r="IU101" s="116">
        <f>COUNTIFS('DRAFT 2'!$D:$D,$B101,'DRAFT 2'!$A:$A,"&gt;="&amp;DATE(2026,12,15),'DRAFT 2'!$A:$A,"&lt;="&amp;DATE(2026,12,21))</f>
        <v/>
      </c>
      <c r="IV101" s="116">
        <f>COUNTIFS('DRAFT 2'!$D:$D,$B101,'DRAFT 2'!$A:$A,"&gt;="&amp;DATE(2026,12,22),'DRAFT 2'!$A:$A,"&lt;"&amp;DATE(2026,IF(12=12,12+1,12+1),1))</f>
        <v/>
      </c>
      <c r="IW101" s="116">
        <f>SUM(IS101:IV101)</f>
        <v/>
      </c>
    </row>
    <row r="102">
      <c r="A102" s="116">
        <f>IFERROR(INDEX('DRAFT 1'!$A:$A,MATCH($B102,'DRAFT 1'!$B:$B,0)),"")</f>
        <v/>
      </c>
      <c r="C102" s="116">
        <f>IFERROR(INDEX('DRAFT 1'!$C:$C,MATCH($B102,'DRAFT 1'!$B:$B,0)),"")</f>
        <v/>
      </c>
      <c r="D102" s="116">
        <f>IFERROR(INDEX('DRAFT 1'!$D:$D,MATCH($B102,'DRAFT 1'!$B:$B,0)),"")</f>
        <v/>
      </c>
      <c r="E102" s="116">
        <f>IFERROR(INDEX('DRAFT 1'!$E:$E,MATCH($B102,'DRAFT 1'!$B:$B,0)),"")</f>
        <v/>
      </c>
      <c r="F102" s="116">
        <f>IFERROR(INDEX('DRAFT 1'!$F:$F,MATCH($B102,'DRAFT 1'!$B:$B,0)),"")</f>
        <v/>
      </c>
      <c r="G102" s="116">
        <f>IFERROR(INDEX('DRAFT 1'!$G:$G,MATCH($B102,'DRAFT 1'!$B:$B,0)),"")</f>
        <v/>
      </c>
      <c r="H102" s="116">
        <f>IFERROR(INDEX('DRAFT 1'!$H:$H,MATCH($B102,'DRAFT 1'!$B:$B,0)),"")</f>
        <v/>
      </c>
      <c r="I102" s="116" t="inlineStr">
        <is>
          <t>TUDO EM GRAOS</t>
        </is>
      </c>
      <c r="K102" s="116">
        <f>IFERROR(INDEX('DRAFT 1'!$AL:$AL,MATCH($B102,'DRAFT 1'!$B:$B,0)),"")</f>
        <v/>
      </c>
      <c r="L102" s="116">
        <f>IFERROR(INDEX('DRAFT 1'!$J:$J,MATCH($B102,'DRAFT 1'!$B:$B,0)),"")</f>
        <v/>
      </c>
      <c r="M102" s="116">
        <f>IFERROR(INDEX('DRAFT 1'!$K:$K,MATCH($B102,'DRAFT 1'!$B:$B,0)),"")</f>
        <v/>
      </c>
      <c r="N102" s="116" t="inlineStr">
        <is>
          <t>PROSPECT</t>
        </is>
      </c>
      <c r="P102" s="116">
        <f>IFERROR(INDEX('DRAFT 1'!$L:$L,MATCH($B102,'DRAFT 1'!$B:$B,0)),"")</f>
        <v/>
      </c>
      <c r="Q102" s="116">
        <f>IFERROR(INDEX('DRAFT 1'!$M:$M,MATCH($B102,'DRAFT 1'!$B:$B,0)),"")</f>
        <v/>
      </c>
      <c r="R102" s="116">
        <f>IFERROR(INDEX('DRAFT 1'!$N:$N,MATCH($B102,'DRAFT 1'!$B:$B,0)),"")</f>
        <v/>
      </c>
      <c r="S102" s="116">
        <f>IFERROR(INDEX('DRAFT 1'!$O:$O,MATCH($B102,'DRAFT 1'!$B:$B,0)),"")</f>
        <v/>
      </c>
      <c r="T102" s="116">
        <f>IFERROR(INDEX('DRAFT 1'!$P:$P,MATCH($B102,'DRAFT 1'!$B:$B,0)),"")</f>
        <v/>
      </c>
      <c r="U102" s="116">
        <f>IFERROR(INDEX('DRAFT 1'!$Q:$Q,MATCH($B102,'DRAFT 1'!$B:$B,0)),"")</f>
        <v/>
      </c>
      <c r="V102" s="116">
        <f>IFERROR(INDEX('DRAFT 1'!$R:$R,MATCH($B102,'DRAFT 1'!$B:$B,0)),"")</f>
        <v/>
      </c>
      <c r="W102" s="116">
        <f>IFERROR(INDEX('DRAFT 1'!$S:$S,MATCH($B102,'DRAFT 1'!$B:$B,0)),"")</f>
        <v/>
      </c>
      <c r="X102" s="116">
        <f>IFERROR(INDEX('DRAFT 1'!$T:$T,MATCH($B102,'DRAFT 1'!$B:$B,0)),"")</f>
        <v/>
      </c>
      <c r="Z102" s="116">
        <f>IFERROR(INDEX('DRAFT 1'!$U:$U,MATCH($B102,'DRAFT 1'!$B:$B,0)),"")</f>
        <v/>
      </c>
      <c r="AA102" s="116">
        <f>IFERROR(INDEX('DRAFT 1'!$V:$V,MATCH($B102,'DRAFT 1'!$B:$B,0)),"")</f>
        <v/>
      </c>
      <c r="AB102" s="116">
        <f>IFERROR(INDEX('DRAFT 1'!$W:$W,MATCH($B102,'DRAFT 1'!$B:$B,0)),"")</f>
        <v/>
      </c>
      <c r="AC102" s="116">
        <f>IFERROR(INDEX('DRAFT 1'!$X:$X,MATCH($B102,'DRAFT 1'!$B:$B,0)),"")</f>
        <v/>
      </c>
      <c r="AD102" s="116">
        <f>IFERROR(INDEX('DRAFT 1'!$Y:$Y,MATCH($B102,'DRAFT 1'!$B:$B,0)),"")</f>
        <v/>
      </c>
      <c r="AE102" s="116">
        <f>IFERROR(INDEX('DRAFT 1'!$Z:$Z,MATCH($B102,'DRAFT 1'!$B:$B,0)),"")</f>
        <v/>
      </c>
      <c r="AF102" s="116">
        <f>IFERROR(INDEX('DRAFT 1'!$AA:$AA,MATCH($B102,'DRAFT 1'!$B:$B,0)),"")</f>
        <v/>
      </c>
      <c r="AG102" s="116">
        <f>IFERROR(INDEX('DRAFT 1'!$AB:$AB,MATCH($B102,'DRAFT 1'!$B:$B,0)),"")</f>
        <v/>
      </c>
      <c r="AH102" s="116">
        <f>IFERROR(INDEX('DRAFT 1'!$AC:$AC,MATCH($B102,'DRAFT 1'!$B:$B,0)),"")</f>
        <v/>
      </c>
      <c r="AI102" s="116">
        <f>IFERROR(INDEX('DRAFT 1'!$AD:$AD,MATCH($B102,'DRAFT 1'!$B:$B,0)),"")</f>
        <v/>
      </c>
      <c r="AJ102" s="116">
        <f>IFERROR(INDEX('DRAFT 1'!$AE:$AE,MATCH($B102,'DRAFT 1'!$B:$B,0)),"")</f>
        <v/>
      </c>
      <c r="AK102" s="116">
        <f>IFERROR(INDEX('DRAFT 1'!$AG:$AG,MATCH($B102,'DRAFT 1'!$B:$B,0)),"")</f>
        <v/>
      </c>
      <c r="AL102" s="116">
        <f>IFERROR(INDEX('DRAFT 1'!$AH:$AH,MATCH($B102,'DRAFT 1'!$B:$B,0)),"")</f>
        <v/>
      </c>
      <c r="AM102" s="116">
        <f>IFERROR(INDEX('DRAFT 1'!$AI:$AI,MATCH($B102,'DRAFT 1'!$B:$B,0)),"")</f>
        <v/>
      </c>
      <c r="AN102" s="116">
        <f>IFERROR(INDEX('DRAFT 1'!$AJ:$AJ,MATCH($B102,'DRAFT 1'!$B:$B,0)),"")</f>
        <v/>
      </c>
      <c r="AO102" s="116">
        <f>IFERROR(Y102/AN102,0)</f>
        <v/>
      </c>
      <c r="AP102" s="116">
        <f>IFERROR(INDEX('DRAFT 1'!$AK:$AK,MATCH($B102,'DRAFT 1'!$B:$B,0)),"")</f>
        <v/>
      </c>
      <c r="AR102" s="116" t="inlineStr">
        <is>
          <t>NUTRIÇÃO</t>
        </is>
      </c>
      <c r="AS102" s="116">
        <f>IFERROR(LOOKUP(2,1/('DRAFT 2'!$D:$D=$B102),'DRAFT 2'!$T:$T),"")</f>
        <v/>
      </c>
      <c r="AT102" s="116">
        <f>IFERROR(LOOKUP(2,1/('DRAFT 2'!$D:$D=$B102),'DRAFT 2'!$A:$A),"")</f>
        <v/>
      </c>
      <c r="AU102" s="116">
        <f>IFERROR(LOOKUP(2,1/('DRAFT 2'!$D:$D=$B102),'DRAFT 2'!$R:$R),"")</f>
        <v/>
      </c>
      <c r="AV102" s="116">
        <f>IFERROR(LOOKUP(2,1/('DRAFT 2'!$D:$D=$B102),'DRAFT 2'!$S:$S),"")</f>
        <v/>
      </c>
      <c r="AW102" s="116" t="inlineStr">
        <is>
          <t>RECORRENTE</t>
        </is>
      </c>
      <c r="AX102" s="116">
        <f>IFERROR(LOOKUP(2,1/('DRAFT 2'!$D:$D=$B102),'DRAFT 2'!$M:$M),"")</f>
        <v/>
      </c>
      <c r="AY102" s="116">
        <f>IFERROR(LOOKUP(2,1/('DRAFT 2'!$D:$D=$B102),'DRAFT 2'!$K:$K),"")</f>
        <v/>
      </c>
      <c r="BG102" s="116">
        <f>IFERROR(LOOKUP(2,1/('DRAFT 2'!$D:$D=$B102),'DRAFT 2'!$U:$U),"")</f>
        <v/>
      </c>
      <c r="BH102" s="116">
        <f>IFERROR(LOOKUP(2,1/('DRAFT 2'!$D:$D=$B102),'DRAFT 2'!$V:$V),"")</f>
        <v/>
      </c>
      <c r="CE102" s="116">
        <f>IFERROR(AJ102,0)</f>
        <v/>
      </c>
      <c r="CF102" s="116">
        <f>IFERROR(LOOKUP(2,1/('DRAFT 2'!$D:$D=$B102)*('DRAFT 2'!$A:$A&gt;=DATE(2026,1,1))*('DRAFT 2'!$A:$A&lt;DATE(2026,IF(1=12,1+1,1+1),1)),'DRAFT 2'!$A:$A),"")</f>
        <v/>
      </c>
      <c r="CG102" s="116">
        <f>COUNTIFS('DRAFT 2'!$D:$D,$B102,'DRAFT 2'!$A:$A,"&gt;="&amp;DATE(2026,1,1),'DRAFT 2'!$A:$A,"&lt;="&amp;DATE(2026,1,7))</f>
        <v/>
      </c>
      <c r="CH102" s="116">
        <f>COUNTIFS('DRAFT 2'!$D:$D,$B102,'DRAFT 2'!$A:$A,"&gt;="&amp;DATE(2026,1,8),'DRAFT 2'!$A:$A,"&lt;="&amp;DATE(2026,1,14))</f>
        <v/>
      </c>
      <c r="CI102" s="116">
        <f>COUNTIFS('DRAFT 2'!$D:$D,$B102,'DRAFT 2'!$A:$A,"&gt;="&amp;DATE(2026,1,15),'DRAFT 2'!$A:$A,"&lt;="&amp;DATE(2026,1,21))</f>
        <v/>
      </c>
      <c r="CJ102" s="116">
        <f>COUNTIFS('DRAFT 2'!$D:$D,$B102,'DRAFT 2'!$A:$A,"&gt;="&amp;DATE(2026,1,22),'DRAFT 2'!$A:$A,"&lt;"&amp;DATE(2026,IF(1=12,1+1,1+1),1))</f>
        <v/>
      </c>
      <c r="CK102" s="116">
        <f>SUM(CG102:CJ102)</f>
        <v/>
      </c>
      <c r="CT102" s="116" t="n">
        <v>0</v>
      </c>
      <c r="CU102" s="116">
        <f>IFERROR(LOOKUP(2,1/('DRAFT 2'!$D:$D=$B102)*('DRAFT 2'!$A:$A&gt;=DATE(2026,2,1))*('DRAFT 2'!$A:$A&lt;DATE(2026,IF(2=12,2+1,2+1),1)),'DRAFT 2'!$A:$A),"")</f>
        <v/>
      </c>
      <c r="CV102" s="116">
        <f>COUNTIFS('DRAFT 2'!$D:$D,$B102,'DRAFT 2'!$A:$A,"&gt;="&amp;DATE(2026,2,1),'DRAFT 2'!$A:$A,"&lt;="&amp;DATE(2026,2,7))</f>
        <v/>
      </c>
      <c r="CW102" s="116">
        <f>COUNTIFS('DRAFT 2'!$D:$D,$B102,'DRAFT 2'!$A:$A,"&gt;="&amp;DATE(2026,2,8),'DRAFT 2'!$A:$A,"&lt;="&amp;DATE(2026,2,14))</f>
        <v/>
      </c>
      <c r="CX102" s="116">
        <f>COUNTIFS('DRAFT 2'!$D:$D,$B102,'DRAFT 2'!$A:$A,"&gt;="&amp;DATE(2026,2,15),'DRAFT 2'!$A:$A,"&lt;="&amp;DATE(2026,2,21))</f>
        <v/>
      </c>
      <c r="CY102" s="116">
        <f>COUNTIFS('DRAFT 2'!$D:$D,$B102,'DRAFT 2'!$A:$A,"&gt;="&amp;DATE(2026,2,22),'DRAFT 2'!$A:$A,"&lt;"&amp;DATE(2026,IF(2=12,2+1,2+1),1))</f>
        <v/>
      </c>
      <c r="CZ102" s="116">
        <f>SUM(CV102:CY102)</f>
        <v/>
      </c>
      <c r="DJ102" s="116">
        <f>IFERROR(LOOKUP(2,1/('DRAFT 2'!$D:$D=$B102)*('DRAFT 2'!$A:$A&gt;=DATE(2026,3,1))*('DRAFT 2'!$A:$A&lt;DATE(2026,IF(3=12,3+1,3+1),1)),'DRAFT 2'!$A:$A),"")</f>
        <v/>
      </c>
      <c r="DK102" s="116">
        <f>COUNTIFS('DRAFT 2'!$D:$D,$B102,'DRAFT 2'!$A:$A,"&gt;="&amp;DATE(2026,3,1),'DRAFT 2'!$A:$A,"&lt;="&amp;DATE(2026,3,7))</f>
        <v/>
      </c>
      <c r="DL102" s="116">
        <f>COUNTIFS('DRAFT 2'!$D:$D,$B102,'DRAFT 2'!$A:$A,"&gt;="&amp;DATE(2026,3,8),'DRAFT 2'!$A:$A,"&lt;="&amp;DATE(2026,3,14))</f>
        <v/>
      </c>
      <c r="DM102" s="116">
        <f>COUNTIFS('DRAFT 2'!$D:$D,$B102,'DRAFT 2'!$A:$A,"&gt;="&amp;DATE(2026,3,15),'DRAFT 2'!$A:$A,"&lt;="&amp;DATE(2026,3,21))</f>
        <v/>
      </c>
      <c r="DN102" s="116">
        <f>COUNTIFS('DRAFT 2'!$D:$D,$B102,'DRAFT 2'!$A:$A,"&gt;="&amp;DATE(2026,3,22),'DRAFT 2'!$A:$A,"&lt;"&amp;DATE(2026,IF(3=12,3+1,3+1),1))</f>
        <v/>
      </c>
      <c r="DO102" s="116">
        <f>SUM(DK102:DN102)</f>
        <v/>
      </c>
      <c r="DZ102" s="116">
        <f>IFERROR(LOOKUP(2,1/('DRAFT 2'!$D:$D=$B102)*('DRAFT 2'!$A:$A&gt;=DATE(2026,4,1))*('DRAFT 2'!$A:$A&lt;DATE(2026,IF(4=12,4+1,4+1),1)),'DRAFT 2'!$A:$A),"")</f>
        <v/>
      </c>
      <c r="EA102" s="116">
        <f>COUNTIFS('DRAFT 2'!$D:$D,$B102,'DRAFT 2'!$A:$A,"&gt;="&amp;DATE(2026,4,1),'DRAFT 2'!$A:$A,"&lt;="&amp;DATE(2026,4,7))</f>
        <v/>
      </c>
      <c r="EB102" s="116">
        <f>COUNTIFS('DRAFT 2'!$D:$D,$B102,'DRAFT 2'!$A:$A,"&gt;="&amp;DATE(2026,4,8),'DRAFT 2'!$A:$A,"&lt;="&amp;DATE(2026,4,14))</f>
        <v/>
      </c>
      <c r="EC102" s="116">
        <f>COUNTIFS('DRAFT 2'!$D:$D,$B102,'DRAFT 2'!$A:$A,"&gt;="&amp;DATE(2026,4,15),'DRAFT 2'!$A:$A,"&lt;="&amp;DATE(2026,4,21))</f>
        <v/>
      </c>
      <c r="ED102" s="116">
        <f>COUNTIFS('DRAFT 2'!$D:$D,$B102,'DRAFT 2'!$A:$A,"&gt;="&amp;DATE(2026,4,22),'DRAFT 2'!$A:$A,"&lt;"&amp;DATE(2026,IF(4=12,4+1,4+1),1))</f>
        <v/>
      </c>
      <c r="EE102" s="116">
        <f>SUM(EA102:ED102)</f>
        <v/>
      </c>
      <c r="EO102" s="116">
        <f>IFERROR(LOOKUP(2,1/('DRAFT 2'!$D:$D=$B102)*('DRAFT 2'!$A:$A&gt;=DATE(2026,5,1))*('DRAFT 2'!$A:$A&lt;DATE(2026,IF(5=12,5+1,5+1),1)),'DRAFT 2'!$A:$A),"")</f>
        <v/>
      </c>
      <c r="EP102" s="116">
        <f>COUNTIFS('DRAFT 2'!$D:$D,$B102,'DRAFT 2'!$A:$A,"&gt;="&amp;DATE(2026,5,1),'DRAFT 2'!$A:$A,"&lt;="&amp;DATE(2026,5,7))</f>
        <v/>
      </c>
      <c r="EQ102" s="116">
        <f>COUNTIFS('DRAFT 2'!$D:$D,$B102,'DRAFT 2'!$A:$A,"&gt;="&amp;DATE(2026,5,8),'DRAFT 2'!$A:$A,"&lt;="&amp;DATE(2026,5,14))</f>
        <v/>
      </c>
      <c r="ER102" s="116">
        <f>COUNTIFS('DRAFT 2'!$D:$D,$B102,'DRAFT 2'!$A:$A,"&gt;="&amp;DATE(2026,5,15),'DRAFT 2'!$A:$A,"&lt;="&amp;DATE(2026,5,21))</f>
        <v/>
      </c>
      <c r="ES102" s="116">
        <f>COUNTIFS('DRAFT 2'!$D:$D,$B102,'DRAFT 2'!$A:$A,"&gt;="&amp;DATE(2026,5,22),'DRAFT 2'!$A:$A,"&lt;"&amp;DATE(2026,IF(5=12,5+1,5+1),1))</f>
        <v/>
      </c>
      <c r="ET102" s="116">
        <f>SUM(EP102:ES102)</f>
        <v/>
      </c>
      <c r="FD102" s="116">
        <f>IFERROR(LOOKUP(2,1/('DRAFT 2'!$D:$D=$B102)*('DRAFT 2'!$A:$A&gt;=DATE(2026,6,1))*('DRAFT 2'!$A:$A&lt;DATE(2026,IF(6=12,6+1,6+1),1)),'DRAFT 2'!$A:$A),"")</f>
        <v/>
      </c>
      <c r="FE102" s="116">
        <f>COUNTIFS('DRAFT 2'!$D:$D,$B102,'DRAFT 2'!$A:$A,"&gt;="&amp;DATE(2026,6,1),'DRAFT 2'!$A:$A,"&lt;="&amp;DATE(2026,6,7))</f>
        <v/>
      </c>
      <c r="FF102" s="116">
        <f>COUNTIFS('DRAFT 2'!$D:$D,$B102,'DRAFT 2'!$A:$A,"&gt;="&amp;DATE(2026,6,8),'DRAFT 2'!$A:$A,"&lt;="&amp;DATE(2026,6,14))</f>
        <v/>
      </c>
      <c r="FG102" s="116">
        <f>COUNTIFS('DRAFT 2'!$D:$D,$B102,'DRAFT 2'!$A:$A,"&gt;="&amp;DATE(2026,6,15),'DRAFT 2'!$A:$A,"&lt;="&amp;DATE(2026,6,21))</f>
        <v/>
      </c>
      <c r="FH102" s="116">
        <f>COUNTIFS('DRAFT 2'!$D:$D,$B102,'DRAFT 2'!$A:$A,"&gt;="&amp;DATE(2026,6,22),'DRAFT 2'!$A:$A,"&lt;"&amp;DATE(2026,IF(6=12,6+1,6+1),1))</f>
        <v/>
      </c>
      <c r="FI102" s="116">
        <f>SUM(FE102:FH102)</f>
        <v/>
      </c>
      <c r="FT102" s="116">
        <f>IFERROR(LOOKUP(2,1/('DRAFT 2'!$D:$D=$B102)*('DRAFT 2'!$A:$A&gt;=DATE(2026,7,1))*('DRAFT 2'!$A:$A&lt;DATE(2026,IF(7=12,7+1,7+1),1)),'DRAFT 2'!$A:$A),"")</f>
        <v/>
      </c>
      <c r="FU102" s="116">
        <f>COUNTIFS('DRAFT 2'!$D:$D,$B102,'DRAFT 2'!$A:$A,"&gt;="&amp;DATE(2026,7,1),'DRAFT 2'!$A:$A,"&lt;="&amp;DATE(2026,7,7))</f>
        <v/>
      </c>
      <c r="FV102" s="116">
        <f>COUNTIFS('DRAFT 2'!$D:$D,$B102,'DRAFT 2'!$A:$A,"&gt;="&amp;DATE(2026,7,8),'DRAFT 2'!$A:$A,"&lt;="&amp;DATE(2026,7,14))</f>
        <v/>
      </c>
      <c r="FW102" s="116">
        <f>COUNTIFS('DRAFT 2'!$D:$D,$B102,'DRAFT 2'!$A:$A,"&gt;="&amp;DATE(2026,7,15),'DRAFT 2'!$A:$A,"&lt;="&amp;DATE(2026,7,21))</f>
        <v/>
      </c>
      <c r="FX102" s="116">
        <f>COUNTIFS('DRAFT 2'!$D:$D,$B102,'DRAFT 2'!$A:$A,"&gt;="&amp;DATE(2026,7,22),'DRAFT 2'!$A:$A,"&lt;"&amp;DATE(2026,IF(7=12,7+1,7+1),1))</f>
        <v/>
      </c>
      <c r="FY102" s="116">
        <f>SUM(FU102:FX102)</f>
        <v/>
      </c>
      <c r="GI102" s="116">
        <f>IFERROR(LOOKUP(2,1/('DRAFT 2'!$D:$D=$B102)*('DRAFT 2'!$A:$A&gt;=DATE(2026,8,1))*('DRAFT 2'!$A:$A&lt;DATE(2026,IF(8=12,8+1,8+1),1)),'DRAFT 2'!$A:$A),"")</f>
        <v/>
      </c>
      <c r="GJ102" s="116">
        <f>COUNTIFS('DRAFT 2'!$D:$D,$B102,'DRAFT 2'!$A:$A,"&gt;="&amp;DATE(2026,8,1),'DRAFT 2'!$A:$A,"&lt;="&amp;DATE(2026,8,7))</f>
        <v/>
      </c>
      <c r="GK102" s="116">
        <f>COUNTIFS('DRAFT 2'!$D:$D,$B102,'DRAFT 2'!$A:$A,"&gt;="&amp;DATE(2026,8,8),'DRAFT 2'!$A:$A,"&lt;="&amp;DATE(2026,8,14))</f>
        <v/>
      </c>
      <c r="GL102" s="116">
        <f>COUNTIFS('DRAFT 2'!$D:$D,$B102,'DRAFT 2'!$A:$A,"&gt;="&amp;DATE(2026,8,15),'DRAFT 2'!$A:$A,"&lt;="&amp;DATE(2026,8,21))</f>
        <v/>
      </c>
      <c r="GM102" s="116">
        <f>COUNTIFS('DRAFT 2'!$D:$D,$B102,'DRAFT 2'!$A:$A,"&gt;="&amp;DATE(2026,8,22),'DRAFT 2'!$A:$A,"&lt;"&amp;DATE(2026,IF(8=12,8+1,8+1),1))</f>
        <v/>
      </c>
      <c r="GN102" s="116">
        <f>SUM(GJ102:GM102)</f>
        <v/>
      </c>
      <c r="GX102" s="116">
        <f>IFERROR(LOOKUP(2,1/('DRAFT 2'!$D:$D=$B102)*('DRAFT 2'!$A:$A&gt;=DATE(2026,9,1))*('DRAFT 2'!$A:$A&lt;DATE(2026,IF(9=12,9+1,9+1),1)),'DRAFT 2'!$A:$A),"")</f>
        <v/>
      </c>
      <c r="GY102" s="116">
        <f>COUNTIFS('DRAFT 2'!$D:$D,$B102,'DRAFT 2'!$A:$A,"&gt;="&amp;DATE(2026,9,1),'DRAFT 2'!$A:$A,"&lt;="&amp;DATE(2026,9,7))</f>
        <v/>
      </c>
      <c r="GZ102" s="116">
        <f>COUNTIFS('DRAFT 2'!$D:$D,$B102,'DRAFT 2'!$A:$A,"&gt;="&amp;DATE(2026,9,8),'DRAFT 2'!$A:$A,"&lt;="&amp;DATE(2026,9,14))</f>
        <v/>
      </c>
      <c r="HA102" s="116">
        <f>COUNTIFS('DRAFT 2'!$D:$D,$B102,'DRAFT 2'!$A:$A,"&gt;="&amp;DATE(2026,9,15),'DRAFT 2'!$A:$A,"&lt;="&amp;DATE(2026,9,21))</f>
        <v/>
      </c>
      <c r="HB102" s="116">
        <f>COUNTIFS('DRAFT 2'!$D:$D,$B102,'DRAFT 2'!$A:$A,"&gt;="&amp;DATE(2026,9,22),'DRAFT 2'!$A:$A,"&lt;"&amp;DATE(2026,IF(9=12,9+1,9+1),1))</f>
        <v/>
      </c>
      <c r="HC102" s="116">
        <f>SUM(GY102:HB102)</f>
        <v/>
      </c>
      <c r="HN102" s="116">
        <f>IFERROR(LOOKUP(2,1/('DRAFT 2'!$D:$D=$B102)*('DRAFT 2'!$A:$A&gt;=DATE(2026,10,1))*('DRAFT 2'!$A:$A&lt;DATE(2026,IF(10=12,10+1,10+1),1)),'DRAFT 2'!$A:$A),"")</f>
        <v/>
      </c>
      <c r="HO102" s="116">
        <f>COUNTIFS('DRAFT 2'!$D:$D,$B102,'DRAFT 2'!$A:$A,"&gt;="&amp;DATE(2026,10,1),'DRAFT 2'!$A:$A,"&lt;="&amp;DATE(2026,10,7))</f>
        <v/>
      </c>
      <c r="HP102" s="116">
        <f>COUNTIFS('DRAFT 2'!$D:$D,$B102,'DRAFT 2'!$A:$A,"&gt;="&amp;DATE(2026,10,8),'DRAFT 2'!$A:$A,"&lt;="&amp;DATE(2026,10,14))</f>
        <v/>
      </c>
      <c r="HQ102" s="116">
        <f>COUNTIFS('DRAFT 2'!$D:$D,$B102,'DRAFT 2'!$A:$A,"&gt;="&amp;DATE(2026,10,15),'DRAFT 2'!$A:$A,"&lt;="&amp;DATE(2026,10,21))</f>
        <v/>
      </c>
      <c r="HR102" s="116">
        <f>COUNTIFS('DRAFT 2'!$D:$D,$B102,'DRAFT 2'!$A:$A,"&gt;="&amp;DATE(2026,10,22),'DRAFT 2'!$A:$A,"&lt;"&amp;DATE(2026,IF(10=12,10+1,10+1),1))</f>
        <v/>
      </c>
      <c r="HS102" s="116">
        <f>SUM(HO102:HR102)</f>
        <v/>
      </c>
      <c r="IC102" s="116">
        <f>IFERROR(LOOKUP(2,1/('DRAFT 2'!$D:$D=$B102)*('DRAFT 2'!$A:$A&gt;=DATE(2026,11,1))*('DRAFT 2'!$A:$A&lt;DATE(2026,IF(11=12,11+1,11+1),1)),'DRAFT 2'!$A:$A),"")</f>
        <v/>
      </c>
      <c r="ID102" s="116">
        <f>COUNTIFS('DRAFT 2'!$D:$D,$B102,'DRAFT 2'!$A:$A,"&gt;="&amp;DATE(2026,11,1),'DRAFT 2'!$A:$A,"&lt;="&amp;DATE(2026,11,7))</f>
        <v/>
      </c>
      <c r="IE102" s="116">
        <f>COUNTIFS('DRAFT 2'!$D:$D,$B102,'DRAFT 2'!$A:$A,"&gt;="&amp;DATE(2026,11,8),'DRAFT 2'!$A:$A,"&lt;="&amp;DATE(2026,11,14))</f>
        <v/>
      </c>
      <c r="IF102" s="116">
        <f>COUNTIFS('DRAFT 2'!$D:$D,$B102,'DRAFT 2'!$A:$A,"&gt;="&amp;DATE(2026,11,15),'DRAFT 2'!$A:$A,"&lt;="&amp;DATE(2026,11,21))</f>
        <v/>
      </c>
      <c r="IG102" s="116">
        <f>COUNTIFS('DRAFT 2'!$D:$D,$B102,'DRAFT 2'!$A:$A,"&gt;="&amp;DATE(2026,11,22),'DRAFT 2'!$A:$A,"&lt;"&amp;DATE(2026,IF(11=12,11+1,11+1),1))</f>
        <v/>
      </c>
      <c r="IH102" s="116">
        <f>SUM(ID102:IG102)</f>
        <v/>
      </c>
      <c r="IR102" s="116">
        <f>IFERROR(LOOKUP(2,1/('DRAFT 2'!$D:$D=$B102)*('DRAFT 2'!$A:$A&gt;=DATE(2026,12,1))*('DRAFT 2'!$A:$A&lt;DATE(2026,IF(12=12,12+1,12+1),1)),'DRAFT 2'!$A:$A),"")</f>
        <v/>
      </c>
      <c r="IS102" s="116">
        <f>COUNTIFS('DRAFT 2'!$D:$D,$B102,'DRAFT 2'!$A:$A,"&gt;="&amp;DATE(2026,12,1),'DRAFT 2'!$A:$A,"&lt;="&amp;DATE(2026,12,7))</f>
        <v/>
      </c>
      <c r="IT102" s="116">
        <f>COUNTIFS('DRAFT 2'!$D:$D,$B102,'DRAFT 2'!$A:$A,"&gt;="&amp;DATE(2026,12,8),'DRAFT 2'!$A:$A,"&lt;="&amp;DATE(2026,12,14))</f>
        <v/>
      </c>
      <c r="IU102" s="116">
        <f>COUNTIFS('DRAFT 2'!$D:$D,$B102,'DRAFT 2'!$A:$A,"&gt;="&amp;DATE(2026,12,15),'DRAFT 2'!$A:$A,"&lt;="&amp;DATE(2026,12,21))</f>
        <v/>
      </c>
      <c r="IV102" s="116">
        <f>COUNTIFS('DRAFT 2'!$D:$D,$B102,'DRAFT 2'!$A:$A,"&gt;="&amp;DATE(2026,12,22),'DRAFT 2'!$A:$A,"&lt;"&amp;DATE(2026,IF(12=12,12+1,12+1),1))</f>
        <v/>
      </c>
      <c r="IW102" s="116">
        <f>SUM(IS102:IV102)</f>
        <v/>
      </c>
    </row>
    <row r="103">
      <c r="A103" s="116">
        <f>IFERROR(INDEX('DRAFT 1'!$A:$A,MATCH($B103,'DRAFT 1'!$B:$B,0)),"")</f>
        <v/>
      </c>
      <c r="C103" s="116">
        <f>IFERROR(INDEX('DRAFT 1'!$C:$C,MATCH($B103,'DRAFT 1'!$B:$B,0)),"")</f>
        <v/>
      </c>
      <c r="D103" s="116">
        <f>IFERROR(INDEX('DRAFT 1'!$D:$D,MATCH($B103,'DRAFT 1'!$B:$B,0)),"")</f>
        <v/>
      </c>
      <c r="E103" s="116">
        <f>IFERROR(INDEX('DRAFT 1'!$E:$E,MATCH($B103,'DRAFT 1'!$B:$B,0)),"")</f>
        <v/>
      </c>
      <c r="F103" s="116">
        <f>IFERROR(INDEX('DRAFT 1'!$F:$F,MATCH($B103,'DRAFT 1'!$B:$B,0)),"")</f>
        <v/>
      </c>
      <c r="G103" s="116">
        <f>IFERROR(INDEX('DRAFT 1'!$G:$G,MATCH($B103,'DRAFT 1'!$B:$B,0)),"")</f>
        <v/>
      </c>
      <c r="H103" s="116">
        <f>IFERROR(INDEX('DRAFT 1'!$H:$H,MATCH($B103,'DRAFT 1'!$B:$B,0)),"")</f>
        <v/>
      </c>
      <c r="I103" s="116" t="inlineStr">
        <is>
          <t>CIA DA SAUDE</t>
        </is>
      </c>
      <c r="K103" s="116">
        <f>IFERROR(INDEX('DRAFT 1'!$AL:$AL,MATCH($B103,'DRAFT 1'!$B:$B,0)),"")</f>
        <v/>
      </c>
      <c r="L103" s="116">
        <f>IFERROR(INDEX('DRAFT 1'!$J:$J,MATCH($B103,'DRAFT 1'!$B:$B,0)),"")</f>
        <v/>
      </c>
      <c r="M103" s="116">
        <f>IFERROR(INDEX('DRAFT 1'!$K:$K,MATCH($B103,'DRAFT 1'!$B:$B,0)),"")</f>
        <v/>
      </c>
      <c r="N103" s="116" t="inlineStr">
        <is>
          <t>ATIVO</t>
        </is>
      </c>
      <c r="P103" s="116">
        <f>IFERROR(INDEX('DRAFT 1'!$L:$L,MATCH($B103,'DRAFT 1'!$B:$B,0)),"")</f>
        <v/>
      </c>
      <c r="Q103" s="116">
        <f>IFERROR(INDEX('DRAFT 1'!$M:$M,MATCH($B103,'DRAFT 1'!$B:$B,0)),"")</f>
        <v/>
      </c>
      <c r="R103" s="116">
        <f>IFERROR(INDEX('DRAFT 1'!$N:$N,MATCH($B103,'DRAFT 1'!$B:$B,0)),"")</f>
        <v/>
      </c>
      <c r="S103" s="116">
        <f>IFERROR(INDEX('DRAFT 1'!$O:$O,MATCH($B103,'DRAFT 1'!$B:$B,0)),"")</f>
        <v/>
      </c>
      <c r="T103" s="116">
        <f>IFERROR(INDEX('DRAFT 1'!$P:$P,MATCH($B103,'DRAFT 1'!$B:$B,0)),"")</f>
        <v/>
      </c>
      <c r="U103" s="116">
        <f>IFERROR(INDEX('DRAFT 1'!$Q:$Q,MATCH($B103,'DRAFT 1'!$B:$B,0)),"")</f>
        <v/>
      </c>
      <c r="V103" s="116">
        <f>IFERROR(INDEX('DRAFT 1'!$R:$R,MATCH($B103,'DRAFT 1'!$B:$B,0)),"")</f>
        <v/>
      </c>
      <c r="W103" s="116">
        <f>IFERROR(INDEX('DRAFT 1'!$S:$S,MATCH($B103,'DRAFT 1'!$B:$B,0)),"")</f>
        <v/>
      </c>
      <c r="X103" s="116">
        <f>IFERROR(INDEX('DRAFT 1'!$T:$T,MATCH($B103,'DRAFT 1'!$B:$B,0)),"")</f>
        <v/>
      </c>
      <c r="Z103" s="116">
        <f>IFERROR(INDEX('DRAFT 1'!$U:$U,MATCH($B103,'DRAFT 1'!$B:$B,0)),"")</f>
        <v/>
      </c>
      <c r="AA103" s="116">
        <f>IFERROR(INDEX('DRAFT 1'!$V:$V,MATCH($B103,'DRAFT 1'!$B:$B,0)),"")</f>
        <v/>
      </c>
      <c r="AB103" s="116">
        <f>IFERROR(INDEX('DRAFT 1'!$W:$W,MATCH($B103,'DRAFT 1'!$B:$B,0)),"")</f>
        <v/>
      </c>
      <c r="AC103" s="116">
        <f>IFERROR(INDEX('DRAFT 1'!$X:$X,MATCH($B103,'DRAFT 1'!$B:$B,0)),"")</f>
        <v/>
      </c>
      <c r="AD103" s="116">
        <f>IFERROR(INDEX('DRAFT 1'!$Y:$Y,MATCH($B103,'DRAFT 1'!$B:$B,0)),"")</f>
        <v/>
      </c>
      <c r="AE103" s="116">
        <f>IFERROR(INDEX('DRAFT 1'!$Z:$Z,MATCH($B103,'DRAFT 1'!$B:$B,0)),"")</f>
        <v/>
      </c>
      <c r="AF103" s="116">
        <f>IFERROR(INDEX('DRAFT 1'!$AA:$AA,MATCH($B103,'DRAFT 1'!$B:$B,0)),"")</f>
        <v/>
      </c>
      <c r="AG103" s="116">
        <f>IFERROR(INDEX('DRAFT 1'!$AB:$AB,MATCH($B103,'DRAFT 1'!$B:$B,0)),"")</f>
        <v/>
      </c>
      <c r="AH103" s="116">
        <f>IFERROR(INDEX('DRAFT 1'!$AC:$AC,MATCH($B103,'DRAFT 1'!$B:$B,0)),"")</f>
        <v/>
      </c>
      <c r="AI103" s="116">
        <f>IFERROR(INDEX('DRAFT 1'!$AD:$AD,MATCH($B103,'DRAFT 1'!$B:$B,0)),"")</f>
        <v/>
      </c>
      <c r="AJ103" s="116">
        <f>IFERROR(INDEX('DRAFT 1'!$AE:$AE,MATCH($B103,'DRAFT 1'!$B:$B,0)),"")</f>
        <v/>
      </c>
      <c r="AK103" s="116">
        <f>IFERROR(INDEX('DRAFT 1'!$AG:$AG,MATCH($B103,'DRAFT 1'!$B:$B,0)),"")</f>
        <v/>
      </c>
      <c r="AL103" s="116">
        <f>IFERROR(INDEX('DRAFT 1'!$AH:$AH,MATCH($B103,'DRAFT 1'!$B:$B,0)),"")</f>
        <v/>
      </c>
      <c r="AM103" s="116">
        <f>IFERROR(INDEX('DRAFT 1'!$AI:$AI,MATCH($B103,'DRAFT 1'!$B:$B,0)),"")</f>
        <v/>
      </c>
      <c r="AN103" s="116">
        <f>IFERROR(INDEX('DRAFT 1'!$AJ:$AJ,MATCH($B103,'DRAFT 1'!$B:$B,0)),"")</f>
        <v/>
      </c>
      <c r="AO103" s="116">
        <f>IFERROR(Y103/AN103,0)</f>
        <v/>
      </c>
      <c r="AP103" s="116">
        <f>IFERROR(INDEX('DRAFT 1'!$AK:$AK,MATCH($B103,'DRAFT 1'!$B:$B,0)),"")</f>
        <v/>
      </c>
      <c r="AR103" s="116" t="inlineStr">
        <is>
          <t>SALVAMENTO</t>
        </is>
      </c>
      <c r="AS103" s="116">
        <f>IFERROR(LOOKUP(2,1/('DRAFT 2'!$D:$D=$B103),'DRAFT 2'!$T:$T),"")</f>
        <v/>
      </c>
      <c r="AT103" s="116">
        <f>IFERROR(LOOKUP(2,1/('DRAFT 2'!$D:$D=$B103),'DRAFT 2'!$A:$A),"")</f>
        <v/>
      </c>
      <c r="AU103" s="116">
        <f>IFERROR(LOOKUP(2,1/('DRAFT 2'!$D:$D=$B103),'DRAFT 2'!$R:$R),"")</f>
        <v/>
      </c>
      <c r="AV103" s="116">
        <f>IFERROR(LOOKUP(2,1/('DRAFT 2'!$D:$D=$B103),'DRAFT 2'!$S:$S),"")</f>
        <v/>
      </c>
      <c r="AW103" s="116" t="inlineStr">
        <is>
          <t>FIDELIZADO</t>
        </is>
      </c>
      <c r="AX103" s="116">
        <f>IFERROR(LOOKUP(2,1/('DRAFT 2'!$D:$D=$B103),'DRAFT 2'!$M:$M),"")</f>
        <v/>
      </c>
      <c r="AY103" s="116">
        <f>IFERROR(LOOKUP(2,1/('DRAFT 2'!$D:$D=$B103),'DRAFT 2'!$K:$K),"")</f>
        <v/>
      </c>
      <c r="BG103" s="116">
        <f>IFERROR(LOOKUP(2,1/('DRAFT 2'!$D:$D=$B103),'DRAFT 2'!$U:$U),"")</f>
        <v/>
      </c>
      <c r="BH103" s="116">
        <f>IFERROR(LOOKUP(2,1/('DRAFT 2'!$D:$D=$B103),'DRAFT 2'!$V:$V),"")</f>
        <v/>
      </c>
      <c r="CE103" s="116">
        <f>IFERROR(AJ103,0)</f>
        <v/>
      </c>
      <c r="CF103" s="116">
        <f>IFERROR(LOOKUP(2,1/('DRAFT 2'!$D:$D=$B103)*('DRAFT 2'!$A:$A&gt;=DATE(2026,1,1))*('DRAFT 2'!$A:$A&lt;DATE(2026,IF(1=12,1+1,1+1),1)),'DRAFT 2'!$A:$A),"")</f>
        <v/>
      </c>
      <c r="CG103" s="116">
        <f>COUNTIFS('DRAFT 2'!$D:$D,$B103,'DRAFT 2'!$A:$A,"&gt;="&amp;DATE(2026,1,1),'DRAFT 2'!$A:$A,"&lt;="&amp;DATE(2026,1,7))</f>
        <v/>
      </c>
      <c r="CH103" s="116">
        <f>COUNTIFS('DRAFT 2'!$D:$D,$B103,'DRAFT 2'!$A:$A,"&gt;="&amp;DATE(2026,1,8),'DRAFT 2'!$A:$A,"&lt;="&amp;DATE(2026,1,14))</f>
        <v/>
      </c>
      <c r="CI103" s="116">
        <f>COUNTIFS('DRAFT 2'!$D:$D,$B103,'DRAFT 2'!$A:$A,"&gt;="&amp;DATE(2026,1,15),'DRAFT 2'!$A:$A,"&lt;="&amp;DATE(2026,1,21))</f>
        <v/>
      </c>
      <c r="CJ103" s="116">
        <f>COUNTIFS('DRAFT 2'!$D:$D,$B103,'DRAFT 2'!$A:$A,"&gt;="&amp;DATE(2026,1,22),'DRAFT 2'!$A:$A,"&lt;"&amp;DATE(2026,IF(1=12,1+1,1+1),1))</f>
        <v/>
      </c>
      <c r="CK103" s="116">
        <f>SUM(CG103:CJ103)</f>
        <v/>
      </c>
      <c r="CT103" s="116" t="n">
        <v>0</v>
      </c>
      <c r="CU103" s="116">
        <f>IFERROR(LOOKUP(2,1/('DRAFT 2'!$D:$D=$B103)*('DRAFT 2'!$A:$A&gt;=DATE(2026,2,1))*('DRAFT 2'!$A:$A&lt;DATE(2026,IF(2=12,2+1,2+1),1)),'DRAFT 2'!$A:$A),"")</f>
        <v/>
      </c>
      <c r="CV103" s="116">
        <f>COUNTIFS('DRAFT 2'!$D:$D,$B103,'DRAFT 2'!$A:$A,"&gt;="&amp;DATE(2026,2,1),'DRAFT 2'!$A:$A,"&lt;="&amp;DATE(2026,2,7))</f>
        <v/>
      </c>
      <c r="CW103" s="116">
        <f>COUNTIFS('DRAFT 2'!$D:$D,$B103,'DRAFT 2'!$A:$A,"&gt;="&amp;DATE(2026,2,8),'DRAFT 2'!$A:$A,"&lt;="&amp;DATE(2026,2,14))</f>
        <v/>
      </c>
      <c r="CX103" s="116">
        <f>COUNTIFS('DRAFT 2'!$D:$D,$B103,'DRAFT 2'!$A:$A,"&gt;="&amp;DATE(2026,2,15),'DRAFT 2'!$A:$A,"&lt;="&amp;DATE(2026,2,21))</f>
        <v/>
      </c>
      <c r="CY103" s="116">
        <f>COUNTIFS('DRAFT 2'!$D:$D,$B103,'DRAFT 2'!$A:$A,"&gt;="&amp;DATE(2026,2,22),'DRAFT 2'!$A:$A,"&lt;"&amp;DATE(2026,IF(2=12,2+1,2+1),1))</f>
        <v/>
      </c>
      <c r="CZ103" s="116">
        <f>SUM(CV103:CY103)</f>
        <v/>
      </c>
      <c r="DJ103" s="116">
        <f>IFERROR(LOOKUP(2,1/('DRAFT 2'!$D:$D=$B103)*('DRAFT 2'!$A:$A&gt;=DATE(2026,3,1))*('DRAFT 2'!$A:$A&lt;DATE(2026,IF(3=12,3+1,3+1),1)),'DRAFT 2'!$A:$A),"")</f>
        <v/>
      </c>
      <c r="DK103" s="116">
        <f>COUNTIFS('DRAFT 2'!$D:$D,$B103,'DRAFT 2'!$A:$A,"&gt;="&amp;DATE(2026,3,1),'DRAFT 2'!$A:$A,"&lt;="&amp;DATE(2026,3,7))</f>
        <v/>
      </c>
      <c r="DL103" s="116">
        <f>COUNTIFS('DRAFT 2'!$D:$D,$B103,'DRAFT 2'!$A:$A,"&gt;="&amp;DATE(2026,3,8),'DRAFT 2'!$A:$A,"&lt;="&amp;DATE(2026,3,14))</f>
        <v/>
      </c>
      <c r="DM103" s="116">
        <f>COUNTIFS('DRAFT 2'!$D:$D,$B103,'DRAFT 2'!$A:$A,"&gt;="&amp;DATE(2026,3,15),'DRAFT 2'!$A:$A,"&lt;="&amp;DATE(2026,3,21))</f>
        <v/>
      </c>
      <c r="DN103" s="116">
        <f>COUNTIFS('DRAFT 2'!$D:$D,$B103,'DRAFT 2'!$A:$A,"&gt;="&amp;DATE(2026,3,22),'DRAFT 2'!$A:$A,"&lt;"&amp;DATE(2026,IF(3=12,3+1,3+1),1))</f>
        <v/>
      </c>
      <c r="DO103" s="116">
        <f>SUM(DK103:DN103)</f>
        <v/>
      </c>
      <c r="DZ103" s="116">
        <f>IFERROR(LOOKUP(2,1/('DRAFT 2'!$D:$D=$B103)*('DRAFT 2'!$A:$A&gt;=DATE(2026,4,1))*('DRAFT 2'!$A:$A&lt;DATE(2026,IF(4=12,4+1,4+1),1)),'DRAFT 2'!$A:$A),"")</f>
        <v/>
      </c>
      <c r="EA103" s="116">
        <f>COUNTIFS('DRAFT 2'!$D:$D,$B103,'DRAFT 2'!$A:$A,"&gt;="&amp;DATE(2026,4,1),'DRAFT 2'!$A:$A,"&lt;="&amp;DATE(2026,4,7))</f>
        <v/>
      </c>
      <c r="EB103" s="116">
        <f>COUNTIFS('DRAFT 2'!$D:$D,$B103,'DRAFT 2'!$A:$A,"&gt;="&amp;DATE(2026,4,8),'DRAFT 2'!$A:$A,"&lt;="&amp;DATE(2026,4,14))</f>
        <v/>
      </c>
      <c r="EC103" s="116">
        <f>COUNTIFS('DRAFT 2'!$D:$D,$B103,'DRAFT 2'!$A:$A,"&gt;="&amp;DATE(2026,4,15),'DRAFT 2'!$A:$A,"&lt;="&amp;DATE(2026,4,21))</f>
        <v/>
      </c>
      <c r="ED103" s="116">
        <f>COUNTIFS('DRAFT 2'!$D:$D,$B103,'DRAFT 2'!$A:$A,"&gt;="&amp;DATE(2026,4,22),'DRAFT 2'!$A:$A,"&lt;"&amp;DATE(2026,IF(4=12,4+1,4+1),1))</f>
        <v/>
      </c>
      <c r="EE103" s="116">
        <f>SUM(EA103:ED103)</f>
        <v/>
      </c>
      <c r="EO103" s="116">
        <f>IFERROR(LOOKUP(2,1/('DRAFT 2'!$D:$D=$B103)*('DRAFT 2'!$A:$A&gt;=DATE(2026,5,1))*('DRAFT 2'!$A:$A&lt;DATE(2026,IF(5=12,5+1,5+1),1)),'DRAFT 2'!$A:$A),"")</f>
        <v/>
      </c>
      <c r="EP103" s="116">
        <f>COUNTIFS('DRAFT 2'!$D:$D,$B103,'DRAFT 2'!$A:$A,"&gt;="&amp;DATE(2026,5,1),'DRAFT 2'!$A:$A,"&lt;="&amp;DATE(2026,5,7))</f>
        <v/>
      </c>
      <c r="EQ103" s="116">
        <f>COUNTIFS('DRAFT 2'!$D:$D,$B103,'DRAFT 2'!$A:$A,"&gt;="&amp;DATE(2026,5,8),'DRAFT 2'!$A:$A,"&lt;="&amp;DATE(2026,5,14))</f>
        <v/>
      </c>
      <c r="ER103" s="116">
        <f>COUNTIFS('DRAFT 2'!$D:$D,$B103,'DRAFT 2'!$A:$A,"&gt;="&amp;DATE(2026,5,15),'DRAFT 2'!$A:$A,"&lt;="&amp;DATE(2026,5,21))</f>
        <v/>
      </c>
      <c r="ES103" s="116">
        <f>COUNTIFS('DRAFT 2'!$D:$D,$B103,'DRAFT 2'!$A:$A,"&gt;="&amp;DATE(2026,5,22),'DRAFT 2'!$A:$A,"&lt;"&amp;DATE(2026,IF(5=12,5+1,5+1),1))</f>
        <v/>
      </c>
      <c r="ET103" s="116">
        <f>SUM(EP103:ES103)</f>
        <v/>
      </c>
      <c r="FD103" s="116">
        <f>IFERROR(LOOKUP(2,1/('DRAFT 2'!$D:$D=$B103)*('DRAFT 2'!$A:$A&gt;=DATE(2026,6,1))*('DRAFT 2'!$A:$A&lt;DATE(2026,IF(6=12,6+1,6+1),1)),'DRAFT 2'!$A:$A),"")</f>
        <v/>
      </c>
      <c r="FE103" s="116">
        <f>COUNTIFS('DRAFT 2'!$D:$D,$B103,'DRAFT 2'!$A:$A,"&gt;="&amp;DATE(2026,6,1),'DRAFT 2'!$A:$A,"&lt;="&amp;DATE(2026,6,7))</f>
        <v/>
      </c>
      <c r="FF103" s="116">
        <f>COUNTIFS('DRAFT 2'!$D:$D,$B103,'DRAFT 2'!$A:$A,"&gt;="&amp;DATE(2026,6,8),'DRAFT 2'!$A:$A,"&lt;="&amp;DATE(2026,6,14))</f>
        <v/>
      </c>
      <c r="FG103" s="116">
        <f>COUNTIFS('DRAFT 2'!$D:$D,$B103,'DRAFT 2'!$A:$A,"&gt;="&amp;DATE(2026,6,15),'DRAFT 2'!$A:$A,"&lt;="&amp;DATE(2026,6,21))</f>
        <v/>
      </c>
      <c r="FH103" s="116">
        <f>COUNTIFS('DRAFT 2'!$D:$D,$B103,'DRAFT 2'!$A:$A,"&gt;="&amp;DATE(2026,6,22),'DRAFT 2'!$A:$A,"&lt;"&amp;DATE(2026,IF(6=12,6+1,6+1),1))</f>
        <v/>
      </c>
      <c r="FI103" s="116">
        <f>SUM(FE103:FH103)</f>
        <v/>
      </c>
      <c r="FT103" s="116">
        <f>IFERROR(LOOKUP(2,1/('DRAFT 2'!$D:$D=$B103)*('DRAFT 2'!$A:$A&gt;=DATE(2026,7,1))*('DRAFT 2'!$A:$A&lt;DATE(2026,IF(7=12,7+1,7+1),1)),'DRAFT 2'!$A:$A),"")</f>
        <v/>
      </c>
      <c r="FU103" s="116">
        <f>COUNTIFS('DRAFT 2'!$D:$D,$B103,'DRAFT 2'!$A:$A,"&gt;="&amp;DATE(2026,7,1),'DRAFT 2'!$A:$A,"&lt;="&amp;DATE(2026,7,7))</f>
        <v/>
      </c>
      <c r="FV103" s="116">
        <f>COUNTIFS('DRAFT 2'!$D:$D,$B103,'DRAFT 2'!$A:$A,"&gt;="&amp;DATE(2026,7,8),'DRAFT 2'!$A:$A,"&lt;="&amp;DATE(2026,7,14))</f>
        <v/>
      </c>
      <c r="FW103" s="116">
        <f>COUNTIFS('DRAFT 2'!$D:$D,$B103,'DRAFT 2'!$A:$A,"&gt;="&amp;DATE(2026,7,15),'DRAFT 2'!$A:$A,"&lt;="&amp;DATE(2026,7,21))</f>
        <v/>
      </c>
      <c r="FX103" s="116">
        <f>COUNTIFS('DRAFT 2'!$D:$D,$B103,'DRAFT 2'!$A:$A,"&gt;="&amp;DATE(2026,7,22),'DRAFT 2'!$A:$A,"&lt;"&amp;DATE(2026,IF(7=12,7+1,7+1),1))</f>
        <v/>
      </c>
      <c r="FY103" s="116">
        <f>SUM(FU103:FX103)</f>
        <v/>
      </c>
      <c r="GI103" s="116">
        <f>IFERROR(LOOKUP(2,1/('DRAFT 2'!$D:$D=$B103)*('DRAFT 2'!$A:$A&gt;=DATE(2026,8,1))*('DRAFT 2'!$A:$A&lt;DATE(2026,IF(8=12,8+1,8+1),1)),'DRAFT 2'!$A:$A),"")</f>
        <v/>
      </c>
      <c r="GJ103" s="116">
        <f>COUNTIFS('DRAFT 2'!$D:$D,$B103,'DRAFT 2'!$A:$A,"&gt;="&amp;DATE(2026,8,1),'DRAFT 2'!$A:$A,"&lt;="&amp;DATE(2026,8,7))</f>
        <v/>
      </c>
      <c r="GK103" s="116">
        <f>COUNTIFS('DRAFT 2'!$D:$D,$B103,'DRAFT 2'!$A:$A,"&gt;="&amp;DATE(2026,8,8),'DRAFT 2'!$A:$A,"&lt;="&amp;DATE(2026,8,14))</f>
        <v/>
      </c>
      <c r="GL103" s="116">
        <f>COUNTIFS('DRAFT 2'!$D:$D,$B103,'DRAFT 2'!$A:$A,"&gt;="&amp;DATE(2026,8,15),'DRAFT 2'!$A:$A,"&lt;="&amp;DATE(2026,8,21))</f>
        <v/>
      </c>
      <c r="GM103" s="116">
        <f>COUNTIFS('DRAFT 2'!$D:$D,$B103,'DRAFT 2'!$A:$A,"&gt;="&amp;DATE(2026,8,22),'DRAFT 2'!$A:$A,"&lt;"&amp;DATE(2026,IF(8=12,8+1,8+1),1))</f>
        <v/>
      </c>
      <c r="GN103" s="116">
        <f>SUM(GJ103:GM103)</f>
        <v/>
      </c>
      <c r="GX103" s="116">
        <f>IFERROR(LOOKUP(2,1/('DRAFT 2'!$D:$D=$B103)*('DRAFT 2'!$A:$A&gt;=DATE(2026,9,1))*('DRAFT 2'!$A:$A&lt;DATE(2026,IF(9=12,9+1,9+1),1)),'DRAFT 2'!$A:$A),"")</f>
        <v/>
      </c>
      <c r="GY103" s="116">
        <f>COUNTIFS('DRAFT 2'!$D:$D,$B103,'DRAFT 2'!$A:$A,"&gt;="&amp;DATE(2026,9,1),'DRAFT 2'!$A:$A,"&lt;="&amp;DATE(2026,9,7))</f>
        <v/>
      </c>
      <c r="GZ103" s="116">
        <f>COUNTIFS('DRAFT 2'!$D:$D,$B103,'DRAFT 2'!$A:$A,"&gt;="&amp;DATE(2026,9,8),'DRAFT 2'!$A:$A,"&lt;="&amp;DATE(2026,9,14))</f>
        <v/>
      </c>
      <c r="HA103" s="116">
        <f>COUNTIFS('DRAFT 2'!$D:$D,$B103,'DRAFT 2'!$A:$A,"&gt;="&amp;DATE(2026,9,15),'DRAFT 2'!$A:$A,"&lt;="&amp;DATE(2026,9,21))</f>
        <v/>
      </c>
      <c r="HB103" s="116">
        <f>COUNTIFS('DRAFT 2'!$D:$D,$B103,'DRAFT 2'!$A:$A,"&gt;="&amp;DATE(2026,9,22),'DRAFT 2'!$A:$A,"&lt;"&amp;DATE(2026,IF(9=12,9+1,9+1),1))</f>
        <v/>
      </c>
      <c r="HC103" s="116">
        <f>SUM(GY103:HB103)</f>
        <v/>
      </c>
      <c r="HN103" s="116">
        <f>IFERROR(LOOKUP(2,1/('DRAFT 2'!$D:$D=$B103)*('DRAFT 2'!$A:$A&gt;=DATE(2026,10,1))*('DRAFT 2'!$A:$A&lt;DATE(2026,IF(10=12,10+1,10+1),1)),'DRAFT 2'!$A:$A),"")</f>
        <v/>
      </c>
      <c r="HO103" s="116">
        <f>COUNTIFS('DRAFT 2'!$D:$D,$B103,'DRAFT 2'!$A:$A,"&gt;="&amp;DATE(2026,10,1),'DRAFT 2'!$A:$A,"&lt;="&amp;DATE(2026,10,7))</f>
        <v/>
      </c>
      <c r="HP103" s="116">
        <f>COUNTIFS('DRAFT 2'!$D:$D,$B103,'DRAFT 2'!$A:$A,"&gt;="&amp;DATE(2026,10,8),'DRAFT 2'!$A:$A,"&lt;="&amp;DATE(2026,10,14))</f>
        <v/>
      </c>
      <c r="HQ103" s="116">
        <f>COUNTIFS('DRAFT 2'!$D:$D,$B103,'DRAFT 2'!$A:$A,"&gt;="&amp;DATE(2026,10,15),'DRAFT 2'!$A:$A,"&lt;="&amp;DATE(2026,10,21))</f>
        <v/>
      </c>
      <c r="HR103" s="116">
        <f>COUNTIFS('DRAFT 2'!$D:$D,$B103,'DRAFT 2'!$A:$A,"&gt;="&amp;DATE(2026,10,22),'DRAFT 2'!$A:$A,"&lt;"&amp;DATE(2026,IF(10=12,10+1,10+1),1))</f>
        <v/>
      </c>
      <c r="HS103" s="116">
        <f>SUM(HO103:HR103)</f>
        <v/>
      </c>
      <c r="IC103" s="116">
        <f>IFERROR(LOOKUP(2,1/('DRAFT 2'!$D:$D=$B103)*('DRAFT 2'!$A:$A&gt;=DATE(2026,11,1))*('DRAFT 2'!$A:$A&lt;DATE(2026,IF(11=12,11+1,11+1),1)),'DRAFT 2'!$A:$A),"")</f>
        <v/>
      </c>
      <c r="ID103" s="116">
        <f>COUNTIFS('DRAFT 2'!$D:$D,$B103,'DRAFT 2'!$A:$A,"&gt;="&amp;DATE(2026,11,1),'DRAFT 2'!$A:$A,"&lt;="&amp;DATE(2026,11,7))</f>
        <v/>
      </c>
      <c r="IE103" s="116">
        <f>COUNTIFS('DRAFT 2'!$D:$D,$B103,'DRAFT 2'!$A:$A,"&gt;="&amp;DATE(2026,11,8),'DRAFT 2'!$A:$A,"&lt;="&amp;DATE(2026,11,14))</f>
        <v/>
      </c>
      <c r="IF103" s="116">
        <f>COUNTIFS('DRAFT 2'!$D:$D,$B103,'DRAFT 2'!$A:$A,"&gt;="&amp;DATE(2026,11,15),'DRAFT 2'!$A:$A,"&lt;="&amp;DATE(2026,11,21))</f>
        <v/>
      </c>
      <c r="IG103" s="116">
        <f>COUNTIFS('DRAFT 2'!$D:$D,$B103,'DRAFT 2'!$A:$A,"&gt;="&amp;DATE(2026,11,22),'DRAFT 2'!$A:$A,"&lt;"&amp;DATE(2026,IF(11=12,11+1,11+1),1))</f>
        <v/>
      </c>
      <c r="IH103" s="116">
        <f>SUM(ID103:IG103)</f>
        <v/>
      </c>
      <c r="IR103" s="116">
        <f>IFERROR(LOOKUP(2,1/('DRAFT 2'!$D:$D=$B103)*('DRAFT 2'!$A:$A&gt;=DATE(2026,12,1))*('DRAFT 2'!$A:$A&lt;DATE(2026,IF(12=12,12+1,12+1),1)),'DRAFT 2'!$A:$A),"")</f>
        <v/>
      </c>
      <c r="IS103" s="116">
        <f>COUNTIFS('DRAFT 2'!$D:$D,$B103,'DRAFT 2'!$A:$A,"&gt;="&amp;DATE(2026,12,1),'DRAFT 2'!$A:$A,"&lt;="&amp;DATE(2026,12,7))</f>
        <v/>
      </c>
      <c r="IT103" s="116">
        <f>COUNTIFS('DRAFT 2'!$D:$D,$B103,'DRAFT 2'!$A:$A,"&gt;="&amp;DATE(2026,12,8),'DRAFT 2'!$A:$A,"&lt;="&amp;DATE(2026,12,14))</f>
        <v/>
      </c>
      <c r="IU103" s="116">
        <f>COUNTIFS('DRAFT 2'!$D:$D,$B103,'DRAFT 2'!$A:$A,"&gt;="&amp;DATE(2026,12,15),'DRAFT 2'!$A:$A,"&lt;="&amp;DATE(2026,12,21))</f>
        <v/>
      </c>
      <c r="IV103" s="116">
        <f>COUNTIFS('DRAFT 2'!$D:$D,$B103,'DRAFT 2'!$A:$A,"&gt;="&amp;DATE(2026,12,22),'DRAFT 2'!$A:$A,"&lt;"&amp;DATE(2026,IF(12=12,12+1,12+1),1))</f>
        <v/>
      </c>
      <c r="IW103" s="116">
        <f>SUM(IS103:IV103)</f>
        <v/>
      </c>
    </row>
    <row r="104">
      <c r="A104" s="116">
        <f>IFERROR(INDEX('DRAFT 1'!$A:$A,MATCH($B104,'DRAFT 1'!$B:$B,0)),"")</f>
        <v/>
      </c>
      <c r="C104" s="116">
        <f>IFERROR(INDEX('DRAFT 1'!$C:$C,MATCH($B104,'DRAFT 1'!$B:$B,0)),"")</f>
        <v/>
      </c>
      <c r="D104" s="116">
        <f>IFERROR(INDEX('DRAFT 1'!$D:$D,MATCH($B104,'DRAFT 1'!$B:$B,0)),"")</f>
        <v/>
      </c>
      <c r="E104" s="116">
        <f>IFERROR(INDEX('DRAFT 1'!$E:$E,MATCH($B104,'DRAFT 1'!$B:$B,0)),"")</f>
        <v/>
      </c>
      <c r="F104" s="116">
        <f>IFERROR(INDEX('DRAFT 1'!$F:$F,MATCH($B104,'DRAFT 1'!$B:$B,0)),"")</f>
        <v/>
      </c>
      <c r="G104" s="116">
        <f>IFERROR(INDEX('DRAFT 1'!$G:$G,MATCH($B104,'DRAFT 1'!$B:$B,0)),"")</f>
        <v/>
      </c>
      <c r="H104" s="116">
        <f>IFERROR(INDEX('DRAFT 1'!$H:$H,MATCH($B104,'DRAFT 1'!$B:$B,0)),"")</f>
        <v/>
      </c>
      <c r="I104" s="116" t="inlineStr">
        <is>
          <t>FIT LAND</t>
        </is>
      </c>
      <c r="K104" s="116">
        <f>IFERROR(INDEX('DRAFT 1'!$AL:$AL,MATCH($B104,'DRAFT 1'!$B:$B,0)),"")</f>
        <v/>
      </c>
      <c r="L104" s="116">
        <f>IFERROR(INDEX('DRAFT 1'!$J:$J,MATCH($B104,'DRAFT 1'!$B:$B,0)),"")</f>
        <v/>
      </c>
      <c r="M104" s="116">
        <f>IFERROR(INDEX('DRAFT 1'!$K:$K,MATCH($B104,'DRAFT 1'!$B:$B,0)),"")</f>
        <v/>
      </c>
      <c r="N104" s="116" t="inlineStr">
        <is>
          <t>ATIVO</t>
        </is>
      </c>
      <c r="P104" s="116">
        <f>IFERROR(INDEX('DRAFT 1'!$L:$L,MATCH($B104,'DRAFT 1'!$B:$B,0)),"")</f>
        <v/>
      </c>
      <c r="Q104" s="116">
        <f>IFERROR(INDEX('DRAFT 1'!$M:$M,MATCH($B104,'DRAFT 1'!$B:$B,0)),"")</f>
        <v/>
      </c>
      <c r="R104" s="116">
        <f>IFERROR(INDEX('DRAFT 1'!$N:$N,MATCH($B104,'DRAFT 1'!$B:$B,0)),"")</f>
        <v/>
      </c>
      <c r="S104" s="116">
        <f>IFERROR(INDEX('DRAFT 1'!$O:$O,MATCH($B104,'DRAFT 1'!$B:$B,0)),"")</f>
        <v/>
      </c>
      <c r="T104" s="116">
        <f>IFERROR(INDEX('DRAFT 1'!$P:$P,MATCH($B104,'DRAFT 1'!$B:$B,0)),"")</f>
        <v/>
      </c>
      <c r="U104" s="116">
        <f>IFERROR(INDEX('DRAFT 1'!$Q:$Q,MATCH($B104,'DRAFT 1'!$B:$B,0)),"")</f>
        <v/>
      </c>
      <c r="V104" s="116">
        <f>IFERROR(INDEX('DRAFT 1'!$R:$R,MATCH($B104,'DRAFT 1'!$B:$B,0)),"")</f>
        <v/>
      </c>
      <c r="W104" s="116">
        <f>IFERROR(INDEX('DRAFT 1'!$S:$S,MATCH($B104,'DRAFT 1'!$B:$B,0)),"")</f>
        <v/>
      </c>
      <c r="X104" s="116">
        <f>IFERROR(INDEX('DRAFT 1'!$T:$T,MATCH($B104,'DRAFT 1'!$B:$B,0)),"")</f>
        <v/>
      </c>
      <c r="Z104" s="116">
        <f>IFERROR(INDEX('DRAFT 1'!$U:$U,MATCH($B104,'DRAFT 1'!$B:$B,0)),"")</f>
        <v/>
      </c>
      <c r="AA104" s="116">
        <f>IFERROR(INDEX('DRAFT 1'!$V:$V,MATCH($B104,'DRAFT 1'!$B:$B,0)),"")</f>
        <v/>
      </c>
      <c r="AB104" s="116">
        <f>IFERROR(INDEX('DRAFT 1'!$W:$W,MATCH($B104,'DRAFT 1'!$B:$B,0)),"")</f>
        <v/>
      </c>
      <c r="AC104" s="116">
        <f>IFERROR(INDEX('DRAFT 1'!$X:$X,MATCH($B104,'DRAFT 1'!$B:$B,0)),"")</f>
        <v/>
      </c>
      <c r="AD104" s="116">
        <f>IFERROR(INDEX('DRAFT 1'!$Y:$Y,MATCH($B104,'DRAFT 1'!$B:$B,0)),"")</f>
        <v/>
      </c>
      <c r="AE104" s="116">
        <f>IFERROR(INDEX('DRAFT 1'!$Z:$Z,MATCH($B104,'DRAFT 1'!$B:$B,0)),"")</f>
        <v/>
      </c>
      <c r="AF104" s="116">
        <f>IFERROR(INDEX('DRAFT 1'!$AA:$AA,MATCH($B104,'DRAFT 1'!$B:$B,0)),"")</f>
        <v/>
      </c>
      <c r="AG104" s="116">
        <f>IFERROR(INDEX('DRAFT 1'!$AB:$AB,MATCH($B104,'DRAFT 1'!$B:$B,0)),"")</f>
        <v/>
      </c>
      <c r="AH104" s="116">
        <f>IFERROR(INDEX('DRAFT 1'!$AC:$AC,MATCH($B104,'DRAFT 1'!$B:$B,0)),"")</f>
        <v/>
      </c>
      <c r="AI104" s="116">
        <f>IFERROR(INDEX('DRAFT 1'!$AD:$AD,MATCH($B104,'DRAFT 1'!$B:$B,0)),"")</f>
        <v/>
      </c>
      <c r="AJ104" s="116">
        <f>IFERROR(INDEX('DRAFT 1'!$AE:$AE,MATCH($B104,'DRAFT 1'!$B:$B,0)),"")</f>
        <v/>
      </c>
      <c r="AK104" s="116">
        <f>IFERROR(INDEX('DRAFT 1'!$AG:$AG,MATCH($B104,'DRAFT 1'!$B:$B,0)),"")</f>
        <v/>
      </c>
      <c r="AL104" s="116">
        <f>IFERROR(INDEX('DRAFT 1'!$AH:$AH,MATCH($B104,'DRAFT 1'!$B:$B,0)),"")</f>
        <v/>
      </c>
      <c r="AM104" s="116">
        <f>IFERROR(INDEX('DRAFT 1'!$AI:$AI,MATCH($B104,'DRAFT 1'!$B:$B,0)),"")</f>
        <v/>
      </c>
      <c r="AN104" s="116">
        <f>IFERROR(INDEX('DRAFT 1'!$AJ:$AJ,MATCH($B104,'DRAFT 1'!$B:$B,0)),"")</f>
        <v/>
      </c>
      <c r="AO104" s="116">
        <f>IFERROR(Y104/AN104,0)</f>
        <v/>
      </c>
      <c r="AP104" s="116">
        <f>IFERROR(INDEX('DRAFT 1'!$AK:$AK,MATCH($B104,'DRAFT 1'!$B:$B,0)),"")</f>
        <v/>
      </c>
      <c r="AR104" s="116" t="inlineStr">
        <is>
          <t>PROSPECÇÃO</t>
        </is>
      </c>
      <c r="AS104" s="116">
        <f>IFERROR(LOOKUP(2,1/('DRAFT 2'!$D:$D=$B104),'DRAFT 2'!$T:$T),"")</f>
        <v/>
      </c>
      <c r="AT104" s="116">
        <f>IFERROR(LOOKUP(2,1/('DRAFT 2'!$D:$D=$B104),'DRAFT 2'!$A:$A),"")</f>
        <v/>
      </c>
      <c r="AU104" s="116">
        <f>IFERROR(LOOKUP(2,1/('DRAFT 2'!$D:$D=$B104),'DRAFT 2'!$R:$R),"")</f>
        <v/>
      </c>
      <c r="AV104" s="116">
        <f>IFERROR(LOOKUP(2,1/('DRAFT 2'!$D:$D=$B104),'DRAFT 2'!$S:$S),"")</f>
        <v/>
      </c>
      <c r="AW104" s="116" t="inlineStr">
        <is>
          <t>LEAD</t>
        </is>
      </c>
      <c r="AX104" s="116">
        <f>IFERROR(LOOKUP(2,1/('DRAFT 2'!$D:$D=$B104),'DRAFT 2'!$M:$M),"")</f>
        <v/>
      </c>
      <c r="AY104" s="116">
        <f>IFERROR(LOOKUP(2,1/('DRAFT 2'!$D:$D=$B104),'DRAFT 2'!$K:$K),"")</f>
        <v/>
      </c>
      <c r="BG104" s="116">
        <f>IFERROR(LOOKUP(2,1/('DRAFT 2'!$D:$D=$B104),'DRAFT 2'!$U:$U),"")</f>
        <v/>
      </c>
      <c r="BH104" s="116">
        <f>IFERROR(LOOKUP(2,1/('DRAFT 2'!$D:$D=$B104),'DRAFT 2'!$V:$V),"")</f>
        <v/>
      </c>
      <c r="CE104" s="116">
        <f>IFERROR(AJ104,0)</f>
        <v/>
      </c>
      <c r="CF104" s="116">
        <f>IFERROR(LOOKUP(2,1/('DRAFT 2'!$D:$D=$B104)*('DRAFT 2'!$A:$A&gt;=DATE(2026,1,1))*('DRAFT 2'!$A:$A&lt;DATE(2026,IF(1=12,1+1,1+1),1)),'DRAFT 2'!$A:$A),"")</f>
        <v/>
      </c>
      <c r="CG104" s="116">
        <f>COUNTIFS('DRAFT 2'!$D:$D,$B104,'DRAFT 2'!$A:$A,"&gt;="&amp;DATE(2026,1,1),'DRAFT 2'!$A:$A,"&lt;="&amp;DATE(2026,1,7))</f>
        <v/>
      </c>
      <c r="CH104" s="116">
        <f>COUNTIFS('DRAFT 2'!$D:$D,$B104,'DRAFT 2'!$A:$A,"&gt;="&amp;DATE(2026,1,8),'DRAFT 2'!$A:$A,"&lt;="&amp;DATE(2026,1,14))</f>
        <v/>
      </c>
      <c r="CI104" s="116">
        <f>COUNTIFS('DRAFT 2'!$D:$D,$B104,'DRAFT 2'!$A:$A,"&gt;="&amp;DATE(2026,1,15),'DRAFT 2'!$A:$A,"&lt;="&amp;DATE(2026,1,21))</f>
        <v/>
      </c>
      <c r="CJ104" s="116">
        <f>COUNTIFS('DRAFT 2'!$D:$D,$B104,'DRAFT 2'!$A:$A,"&gt;="&amp;DATE(2026,1,22),'DRAFT 2'!$A:$A,"&lt;"&amp;DATE(2026,IF(1=12,1+1,1+1),1))</f>
        <v/>
      </c>
      <c r="CK104" s="116">
        <f>SUM(CG104:CJ104)</f>
        <v/>
      </c>
      <c r="CT104" s="116" t="n">
        <v>0</v>
      </c>
      <c r="CU104" s="116">
        <f>IFERROR(LOOKUP(2,1/('DRAFT 2'!$D:$D=$B104)*('DRAFT 2'!$A:$A&gt;=DATE(2026,2,1))*('DRAFT 2'!$A:$A&lt;DATE(2026,IF(2=12,2+1,2+1),1)),'DRAFT 2'!$A:$A),"")</f>
        <v/>
      </c>
      <c r="CV104" s="116">
        <f>COUNTIFS('DRAFT 2'!$D:$D,$B104,'DRAFT 2'!$A:$A,"&gt;="&amp;DATE(2026,2,1),'DRAFT 2'!$A:$A,"&lt;="&amp;DATE(2026,2,7))</f>
        <v/>
      </c>
      <c r="CW104" s="116">
        <f>COUNTIFS('DRAFT 2'!$D:$D,$B104,'DRAFT 2'!$A:$A,"&gt;="&amp;DATE(2026,2,8),'DRAFT 2'!$A:$A,"&lt;="&amp;DATE(2026,2,14))</f>
        <v/>
      </c>
      <c r="CX104" s="116">
        <f>COUNTIFS('DRAFT 2'!$D:$D,$B104,'DRAFT 2'!$A:$A,"&gt;="&amp;DATE(2026,2,15),'DRAFT 2'!$A:$A,"&lt;="&amp;DATE(2026,2,21))</f>
        <v/>
      </c>
      <c r="CY104" s="116">
        <f>COUNTIFS('DRAFT 2'!$D:$D,$B104,'DRAFT 2'!$A:$A,"&gt;="&amp;DATE(2026,2,22),'DRAFT 2'!$A:$A,"&lt;"&amp;DATE(2026,IF(2=12,2+1,2+1),1))</f>
        <v/>
      </c>
      <c r="CZ104" s="116">
        <f>SUM(CV104:CY104)</f>
        <v/>
      </c>
      <c r="DJ104" s="116">
        <f>IFERROR(LOOKUP(2,1/('DRAFT 2'!$D:$D=$B104)*('DRAFT 2'!$A:$A&gt;=DATE(2026,3,1))*('DRAFT 2'!$A:$A&lt;DATE(2026,IF(3=12,3+1,3+1),1)),'DRAFT 2'!$A:$A),"")</f>
        <v/>
      </c>
      <c r="DK104" s="116">
        <f>COUNTIFS('DRAFT 2'!$D:$D,$B104,'DRAFT 2'!$A:$A,"&gt;="&amp;DATE(2026,3,1),'DRAFT 2'!$A:$A,"&lt;="&amp;DATE(2026,3,7))</f>
        <v/>
      </c>
      <c r="DL104" s="116">
        <f>COUNTIFS('DRAFT 2'!$D:$D,$B104,'DRAFT 2'!$A:$A,"&gt;="&amp;DATE(2026,3,8),'DRAFT 2'!$A:$A,"&lt;="&amp;DATE(2026,3,14))</f>
        <v/>
      </c>
      <c r="DM104" s="116">
        <f>COUNTIFS('DRAFT 2'!$D:$D,$B104,'DRAFT 2'!$A:$A,"&gt;="&amp;DATE(2026,3,15),'DRAFT 2'!$A:$A,"&lt;="&amp;DATE(2026,3,21))</f>
        <v/>
      </c>
      <c r="DN104" s="116">
        <f>COUNTIFS('DRAFT 2'!$D:$D,$B104,'DRAFT 2'!$A:$A,"&gt;="&amp;DATE(2026,3,22),'DRAFT 2'!$A:$A,"&lt;"&amp;DATE(2026,IF(3=12,3+1,3+1),1))</f>
        <v/>
      </c>
      <c r="DO104" s="116">
        <f>SUM(DK104:DN104)</f>
        <v/>
      </c>
      <c r="DZ104" s="116">
        <f>IFERROR(LOOKUP(2,1/('DRAFT 2'!$D:$D=$B104)*('DRAFT 2'!$A:$A&gt;=DATE(2026,4,1))*('DRAFT 2'!$A:$A&lt;DATE(2026,IF(4=12,4+1,4+1),1)),'DRAFT 2'!$A:$A),"")</f>
        <v/>
      </c>
      <c r="EA104" s="116">
        <f>COUNTIFS('DRAFT 2'!$D:$D,$B104,'DRAFT 2'!$A:$A,"&gt;="&amp;DATE(2026,4,1),'DRAFT 2'!$A:$A,"&lt;="&amp;DATE(2026,4,7))</f>
        <v/>
      </c>
      <c r="EB104" s="116">
        <f>COUNTIFS('DRAFT 2'!$D:$D,$B104,'DRAFT 2'!$A:$A,"&gt;="&amp;DATE(2026,4,8),'DRAFT 2'!$A:$A,"&lt;="&amp;DATE(2026,4,14))</f>
        <v/>
      </c>
      <c r="EC104" s="116">
        <f>COUNTIFS('DRAFT 2'!$D:$D,$B104,'DRAFT 2'!$A:$A,"&gt;="&amp;DATE(2026,4,15),'DRAFT 2'!$A:$A,"&lt;="&amp;DATE(2026,4,21))</f>
        <v/>
      </c>
      <c r="ED104" s="116">
        <f>COUNTIFS('DRAFT 2'!$D:$D,$B104,'DRAFT 2'!$A:$A,"&gt;="&amp;DATE(2026,4,22),'DRAFT 2'!$A:$A,"&lt;"&amp;DATE(2026,IF(4=12,4+1,4+1),1))</f>
        <v/>
      </c>
      <c r="EE104" s="116">
        <f>SUM(EA104:ED104)</f>
        <v/>
      </c>
      <c r="EO104" s="116">
        <f>IFERROR(LOOKUP(2,1/('DRAFT 2'!$D:$D=$B104)*('DRAFT 2'!$A:$A&gt;=DATE(2026,5,1))*('DRAFT 2'!$A:$A&lt;DATE(2026,IF(5=12,5+1,5+1),1)),'DRAFT 2'!$A:$A),"")</f>
        <v/>
      </c>
      <c r="EP104" s="116">
        <f>COUNTIFS('DRAFT 2'!$D:$D,$B104,'DRAFT 2'!$A:$A,"&gt;="&amp;DATE(2026,5,1),'DRAFT 2'!$A:$A,"&lt;="&amp;DATE(2026,5,7))</f>
        <v/>
      </c>
      <c r="EQ104" s="116">
        <f>COUNTIFS('DRAFT 2'!$D:$D,$B104,'DRAFT 2'!$A:$A,"&gt;="&amp;DATE(2026,5,8),'DRAFT 2'!$A:$A,"&lt;="&amp;DATE(2026,5,14))</f>
        <v/>
      </c>
      <c r="ER104" s="116">
        <f>COUNTIFS('DRAFT 2'!$D:$D,$B104,'DRAFT 2'!$A:$A,"&gt;="&amp;DATE(2026,5,15),'DRAFT 2'!$A:$A,"&lt;="&amp;DATE(2026,5,21))</f>
        <v/>
      </c>
      <c r="ES104" s="116">
        <f>COUNTIFS('DRAFT 2'!$D:$D,$B104,'DRAFT 2'!$A:$A,"&gt;="&amp;DATE(2026,5,22),'DRAFT 2'!$A:$A,"&lt;"&amp;DATE(2026,IF(5=12,5+1,5+1),1))</f>
        <v/>
      </c>
      <c r="ET104" s="116">
        <f>SUM(EP104:ES104)</f>
        <v/>
      </c>
      <c r="FD104" s="116">
        <f>IFERROR(LOOKUP(2,1/('DRAFT 2'!$D:$D=$B104)*('DRAFT 2'!$A:$A&gt;=DATE(2026,6,1))*('DRAFT 2'!$A:$A&lt;DATE(2026,IF(6=12,6+1,6+1),1)),'DRAFT 2'!$A:$A),"")</f>
        <v/>
      </c>
      <c r="FE104" s="116">
        <f>COUNTIFS('DRAFT 2'!$D:$D,$B104,'DRAFT 2'!$A:$A,"&gt;="&amp;DATE(2026,6,1),'DRAFT 2'!$A:$A,"&lt;="&amp;DATE(2026,6,7))</f>
        <v/>
      </c>
      <c r="FF104" s="116">
        <f>COUNTIFS('DRAFT 2'!$D:$D,$B104,'DRAFT 2'!$A:$A,"&gt;="&amp;DATE(2026,6,8),'DRAFT 2'!$A:$A,"&lt;="&amp;DATE(2026,6,14))</f>
        <v/>
      </c>
      <c r="FG104" s="116">
        <f>COUNTIFS('DRAFT 2'!$D:$D,$B104,'DRAFT 2'!$A:$A,"&gt;="&amp;DATE(2026,6,15),'DRAFT 2'!$A:$A,"&lt;="&amp;DATE(2026,6,21))</f>
        <v/>
      </c>
      <c r="FH104" s="116">
        <f>COUNTIFS('DRAFT 2'!$D:$D,$B104,'DRAFT 2'!$A:$A,"&gt;="&amp;DATE(2026,6,22),'DRAFT 2'!$A:$A,"&lt;"&amp;DATE(2026,IF(6=12,6+1,6+1),1))</f>
        <v/>
      </c>
      <c r="FI104" s="116">
        <f>SUM(FE104:FH104)</f>
        <v/>
      </c>
      <c r="FT104" s="116">
        <f>IFERROR(LOOKUP(2,1/('DRAFT 2'!$D:$D=$B104)*('DRAFT 2'!$A:$A&gt;=DATE(2026,7,1))*('DRAFT 2'!$A:$A&lt;DATE(2026,IF(7=12,7+1,7+1),1)),'DRAFT 2'!$A:$A),"")</f>
        <v/>
      </c>
      <c r="FU104" s="116">
        <f>COUNTIFS('DRAFT 2'!$D:$D,$B104,'DRAFT 2'!$A:$A,"&gt;="&amp;DATE(2026,7,1),'DRAFT 2'!$A:$A,"&lt;="&amp;DATE(2026,7,7))</f>
        <v/>
      </c>
      <c r="FV104" s="116">
        <f>COUNTIFS('DRAFT 2'!$D:$D,$B104,'DRAFT 2'!$A:$A,"&gt;="&amp;DATE(2026,7,8),'DRAFT 2'!$A:$A,"&lt;="&amp;DATE(2026,7,14))</f>
        <v/>
      </c>
      <c r="FW104" s="116">
        <f>COUNTIFS('DRAFT 2'!$D:$D,$B104,'DRAFT 2'!$A:$A,"&gt;="&amp;DATE(2026,7,15),'DRAFT 2'!$A:$A,"&lt;="&amp;DATE(2026,7,21))</f>
        <v/>
      </c>
      <c r="FX104" s="116">
        <f>COUNTIFS('DRAFT 2'!$D:$D,$B104,'DRAFT 2'!$A:$A,"&gt;="&amp;DATE(2026,7,22),'DRAFT 2'!$A:$A,"&lt;"&amp;DATE(2026,IF(7=12,7+1,7+1),1))</f>
        <v/>
      </c>
      <c r="FY104" s="116">
        <f>SUM(FU104:FX104)</f>
        <v/>
      </c>
      <c r="GI104" s="116">
        <f>IFERROR(LOOKUP(2,1/('DRAFT 2'!$D:$D=$B104)*('DRAFT 2'!$A:$A&gt;=DATE(2026,8,1))*('DRAFT 2'!$A:$A&lt;DATE(2026,IF(8=12,8+1,8+1),1)),'DRAFT 2'!$A:$A),"")</f>
        <v/>
      </c>
      <c r="GJ104" s="116">
        <f>COUNTIFS('DRAFT 2'!$D:$D,$B104,'DRAFT 2'!$A:$A,"&gt;="&amp;DATE(2026,8,1),'DRAFT 2'!$A:$A,"&lt;="&amp;DATE(2026,8,7))</f>
        <v/>
      </c>
      <c r="GK104" s="116">
        <f>COUNTIFS('DRAFT 2'!$D:$D,$B104,'DRAFT 2'!$A:$A,"&gt;="&amp;DATE(2026,8,8),'DRAFT 2'!$A:$A,"&lt;="&amp;DATE(2026,8,14))</f>
        <v/>
      </c>
      <c r="GL104" s="116">
        <f>COUNTIFS('DRAFT 2'!$D:$D,$B104,'DRAFT 2'!$A:$A,"&gt;="&amp;DATE(2026,8,15),'DRAFT 2'!$A:$A,"&lt;="&amp;DATE(2026,8,21))</f>
        <v/>
      </c>
      <c r="GM104" s="116">
        <f>COUNTIFS('DRAFT 2'!$D:$D,$B104,'DRAFT 2'!$A:$A,"&gt;="&amp;DATE(2026,8,22),'DRAFT 2'!$A:$A,"&lt;"&amp;DATE(2026,IF(8=12,8+1,8+1),1))</f>
        <v/>
      </c>
      <c r="GN104" s="116">
        <f>SUM(GJ104:GM104)</f>
        <v/>
      </c>
      <c r="GX104" s="116">
        <f>IFERROR(LOOKUP(2,1/('DRAFT 2'!$D:$D=$B104)*('DRAFT 2'!$A:$A&gt;=DATE(2026,9,1))*('DRAFT 2'!$A:$A&lt;DATE(2026,IF(9=12,9+1,9+1),1)),'DRAFT 2'!$A:$A),"")</f>
        <v/>
      </c>
      <c r="GY104" s="116">
        <f>COUNTIFS('DRAFT 2'!$D:$D,$B104,'DRAFT 2'!$A:$A,"&gt;="&amp;DATE(2026,9,1),'DRAFT 2'!$A:$A,"&lt;="&amp;DATE(2026,9,7))</f>
        <v/>
      </c>
      <c r="GZ104" s="116">
        <f>COUNTIFS('DRAFT 2'!$D:$D,$B104,'DRAFT 2'!$A:$A,"&gt;="&amp;DATE(2026,9,8),'DRAFT 2'!$A:$A,"&lt;="&amp;DATE(2026,9,14))</f>
        <v/>
      </c>
      <c r="HA104" s="116">
        <f>COUNTIFS('DRAFT 2'!$D:$D,$B104,'DRAFT 2'!$A:$A,"&gt;="&amp;DATE(2026,9,15),'DRAFT 2'!$A:$A,"&lt;="&amp;DATE(2026,9,21))</f>
        <v/>
      </c>
      <c r="HB104" s="116">
        <f>COUNTIFS('DRAFT 2'!$D:$D,$B104,'DRAFT 2'!$A:$A,"&gt;="&amp;DATE(2026,9,22),'DRAFT 2'!$A:$A,"&lt;"&amp;DATE(2026,IF(9=12,9+1,9+1),1))</f>
        <v/>
      </c>
      <c r="HC104" s="116">
        <f>SUM(GY104:HB104)</f>
        <v/>
      </c>
      <c r="HN104" s="116">
        <f>IFERROR(LOOKUP(2,1/('DRAFT 2'!$D:$D=$B104)*('DRAFT 2'!$A:$A&gt;=DATE(2026,10,1))*('DRAFT 2'!$A:$A&lt;DATE(2026,IF(10=12,10+1,10+1),1)),'DRAFT 2'!$A:$A),"")</f>
        <v/>
      </c>
      <c r="HO104" s="116">
        <f>COUNTIFS('DRAFT 2'!$D:$D,$B104,'DRAFT 2'!$A:$A,"&gt;="&amp;DATE(2026,10,1),'DRAFT 2'!$A:$A,"&lt;="&amp;DATE(2026,10,7))</f>
        <v/>
      </c>
      <c r="HP104" s="116">
        <f>COUNTIFS('DRAFT 2'!$D:$D,$B104,'DRAFT 2'!$A:$A,"&gt;="&amp;DATE(2026,10,8),'DRAFT 2'!$A:$A,"&lt;="&amp;DATE(2026,10,14))</f>
        <v/>
      </c>
      <c r="HQ104" s="116">
        <f>COUNTIFS('DRAFT 2'!$D:$D,$B104,'DRAFT 2'!$A:$A,"&gt;="&amp;DATE(2026,10,15),'DRAFT 2'!$A:$A,"&lt;="&amp;DATE(2026,10,21))</f>
        <v/>
      </c>
      <c r="HR104" s="116">
        <f>COUNTIFS('DRAFT 2'!$D:$D,$B104,'DRAFT 2'!$A:$A,"&gt;="&amp;DATE(2026,10,22),'DRAFT 2'!$A:$A,"&lt;"&amp;DATE(2026,IF(10=12,10+1,10+1),1))</f>
        <v/>
      </c>
      <c r="HS104" s="116">
        <f>SUM(HO104:HR104)</f>
        <v/>
      </c>
      <c r="IC104" s="116">
        <f>IFERROR(LOOKUP(2,1/('DRAFT 2'!$D:$D=$B104)*('DRAFT 2'!$A:$A&gt;=DATE(2026,11,1))*('DRAFT 2'!$A:$A&lt;DATE(2026,IF(11=12,11+1,11+1),1)),'DRAFT 2'!$A:$A),"")</f>
        <v/>
      </c>
      <c r="ID104" s="116">
        <f>COUNTIFS('DRAFT 2'!$D:$D,$B104,'DRAFT 2'!$A:$A,"&gt;="&amp;DATE(2026,11,1),'DRAFT 2'!$A:$A,"&lt;="&amp;DATE(2026,11,7))</f>
        <v/>
      </c>
      <c r="IE104" s="116">
        <f>COUNTIFS('DRAFT 2'!$D:$D,$B104,'DRAFT 2'!$A:$A,"&gt;="&amp;DATE(2026,11,8),'DRAFT 2'!$A:$A,"&lt;="&amp;DATE(2026,11,14))</f>
        <v/>
      </c>
      <c r="IF104" s="116">
        <f>COUNTIFS('DRAFT 2'!$D:$D,$B104,'DRAFT 2'!$A:$A,"&gt;="&amp;DATE(2026,11,15),'DRAFT 2'!$A:$A,"&lt;="&amp;DATE(2026,11,21))</f>
        <v/>
      </c>
      <c r="IG104" s="116">
        <f>COUNTIFS('DRAFT 2'!$D:$D,$B104,'DRAFT 2'!$A:$A,"&gt;="&amp;DATE(2026,11,22),'DRAFT 2'!$A:$A,"&lt;"&amp;DATE(2026,IF(11=12,11+1,11+1),1))</f>
        <v/>
      </c>
      <c r="IH104" s="116">
        <f>SUM(ID104:IG104)</f>
        <v/>
      </c>
      <c r="IR104" s="116">
        <f>IFERROR(LOOKUP(2,1/('DRAFT 2'!$D:$D=$B104)*('DRAFT 2'!$A:$A&gt;=DATE(2026,12,1))*('DRAFT 2'!$A:$A&lt;DATE(2026,IF(12=12,12+1,12+1),1)),'DRAFT 2'!$A:$A),"")</f>
        <v/>
      </c>
      <c r="IS104" s="116">
        <f>COUNTIFS('DRAFT 2'!$D:$D,$B104,'DRAFT 2'!$A:$A,"&gt;="&amp;DATE(2026,12,1),'DRAFT 2'!$A:$A,"&lt;="&amp;DATE(2026,12,7))</f>
        <v/>
      </c>
      <c r="IT104" s="116">
        <f>COUNTIFS('DRAFT 2'!$D:$D,$B104,'DRAFT 2'!$A:$A,"&gt;="&amp;DATE(2026,12,8),'DRAFT 2'!$A:$A,"&lt;="&amp;DATE(2026,12,14))</f>
        <v/>
      </c>
      <c r="IU104" s="116">
        <f>COUNTIFS('DRAFT 2'!$D:$D,$B104,'DRAFT 2'!$A:$A,"&gt;="&amp;DATE(2026,12,15),'DRAFT 2'!$A:$A,"&lt;="&amp;DATE(2026,12,21))</f>
        <v/>
      </c>
      <c r="IV104" s="116">
        <f>COUNTIFS('DRAFT 2'!$D:$D,$B104,'DRAFT 2'!$A:$A,"&gt;="&amp;DATE(2026,12,22),'DRAFT 2'!$A:$A,"&lt;"&amp;DATE(2026,IF(12=12,12+1,12+1),1))</f>
        <v/>
      </c>
      <c r="IW104" s="116">
        <f>SUM(IS104:IV104)</f>
        <v/>
      </c>
    </row>
    <row r="105">
      <c r="A105" s="116">
        <f>IFERROR(INDEX('DRAFT 1'!$A:$A,MATCH($B105,'DRAFT 1'!$B:$B,0)),"")</f>
        <v/>
      </c>
      <c r="C105" s="116">
        <f>IFERROR(INDEX('DRAFT 1'!$C:$C,MATCH($B105,'DRAFT 1'!$B:$B,0)),"")</f>
        <v/>
      </c>
      <c r="D105" s="116">
        <f>IFERROR(INDEX('DRAFT 1'!$D:$D,MATCH($B105,'DRAFT 1'!$B:$B,0)),"")</f>
        <v/>
      </c>
      <c r="E105" s="116">
        <f>IFERROR(INDEX('DRAFT 1'!$E:$E,MATCH($B105,'DRAFT 1'!$B:$B,0)),"")</f>
        <v/>
      </c>
      <c r="F105" s="116">
        <f>IFERROR(INDEX('DRAFT 1'!$F:$F,MATCH($B105,'DRAFT 1'!$B:$B,0)),"")</f>
        <v/>
      </c>
      <c r="G105" s="116">
        <f>IFERROR(INDEX('DRAFT 1'!$G:$G,MATCH($B105,'DRAFT 1'!$B:$B,0)),"")</f>
        <v/>
      </c>
      <c r="H105" s="116">
        <f>IFERROR(INDEX('DRAFT 1'!$H:$H,MATCH($B105,'DRAFT 1'!$B:$B,0)),"")</f>
        <v/>
      </c>
      <c r="I105" s="116" t="inlineStr">
        <is>
          <t>DEMAIS CLIENTES</t>
        </is>
      </c>
      <c r="K105" s="116">
        <f>IFERROR(INDEX('DRAFT 1'!$AL:$AL,MATCH($B105,'DRAFT 1'!$B:$B,0)),"")</f>
        <v/>
      </c>
      <c r="L105" s="116">
        <f>IFERROR(INDEX('DRAFT 1'!$J:$J,MATCH($B105,'DRAFT 1'!$B:$B,0)),"")</f>
        <v/>
      </c>
      <c r="M105" s="116">
        <f>IFERROR(INDEX('DRAFT 1'!$K:$K,MATCH($B105,'DRAFT 1'!$B:$B,0)),"")</f>
        <v/>
      </c>
      <c r="N105" s="116" t="inlineStr">
        <is>
          <t>ATIVO</t>
        </is>
      </c>
      <c r="P105" s="116">
        <f>IFERROR(INDEX('DRAFT 1'!$L:$L,MATCH($B105,'DRAFT 1'!$B:$B,0)),"")</f>
        <v/>
      </c>
      <c r="Q105" s="116">
        <f>IFERROR(INDEX('DRAFT 1'!$M:$M,MATCH($B105,'DRAFT 1'!$B:$B,0)),"")</f>
        <v/>
      </c>
      <c r="R105" s="116">
        <f>IFERROR(INDEX('DRAFT 1'!$N:$N,MATCH($B105,'DRAFT 1'!$B:$B,0)),"")</f>
        <v/>
      </c>
      <c r="S105" s="116">
        <f>IFERROR(INDEX('DRAFT 1'!$O:$O,MATCH($B105,'DRAFT 1'!$B:$B,0)),"")</f>
        <v/>
      </c>
      <c r="T105" s="116">
        <f>IFERROR(INDEX('DRAFT 1'!$P:$P,MATCH($B105,'DRAFT 1'!$B:$B,0)),"")</f>
        <v/>
      </c>
      <c r="U105" s="116">
        <f>IFERROR(INDEX('DRAFT 1'!$Q:$Q,MATCH($B105,'DRAFT 1'!$B:$B,0)),"")</f>
        <v/>
      </c>
      <c r="V105" s="116">
        <f>IFERROR(INDEX('DRAFT 1'!$R:$R,MATCH($B105,'DRAFT 1'!$B:$B,0)),"")</f>
        <v/>
      </c>
      <c r="W105" s="116">
        <f>IFERROR(INDEX('DRAFT 1'!$S:$S,MATCH($B105,'DRAFT 1'!$B:$B,0)),"")</f>
        <v/>
      </c>
      <c r="X105" s="116">
        <f>IFERROR(INDEX('DRAFT 1'!$T:$T,MATCH($B105,'DRAFT 1'!$B:$B,0)),"")</f>
        <v/>
      </c>
      <c r="Z105" s="116">
        <f>IFERROR(INDEX('DRAFT 1'!$U:$U,MATCH($B105,'DRAFT 1'!$B:$B,0)),"")</f>
        <v/>
      </c>
      <c r="AA105" s="116">
        <f>IFERROR(INDEX('DRAFT 1'!$V:$V,MATCH($B105,'DRAFT 1'!$B:$B,0)),"")</f>
        <v/>
      </c>
      <c r="AB105" s="116">
        <f>IFERROR(INDEX('DRAFT 1'!$W:$W,MATCH($B105,'DRAFT 1'!$B:$B,0)),"")</f>
        <v/>
      </c>
      <c r="AC105" s="116">
        <f>IFERROR(INDEX('DRAFT 1'!$X:$X,MATCH($B105,'DRAFT 1'!$B:$B,0)),"")</f>
        <v/>
      </c>
      <c r="AD105" s="116">
        <f>IFERROR(INDEX('DRAFT 1'!$Y:$Y,MATCH($B105,'DRAFT 1'!$B:$B,0)),"")</f>
        <v/>
      </c>
      <c r="AE105" s="116">
        <f>IFERROR(INDEX('DRAFT 1'!$Z:$Z,MATCH($B105,'DRAFT 1'!$B:$B,0)),"")</f>
        <v/>
      </c>
      <c r="AF105" s="116">
        <f>IFERROR(INDEX('DRAFT 1'!$AA:$AA,MATCH($B105,'DRAFT 1'!$B:$B,0)),"")</f>
        <v/>
      </c>
      <c r="AG105" s="116">
        <f>IFERROR(INDEX('DRAFT 1'!$AB:$AB,MATCH($B105,'DRAFT 1'!$B:$B,0)),"")</f>
        <v/>
      </c>
      <c r="AH105" s="116">
        <f>IFERROR(INDEX('DRAFT 1'!$AC:$AC,MATCH($B105,'DRAFT 1'!$B:$B,0)),"")</f>
        <v/>
      </c>
      <c r="AI105" s="116">
        <f>IFERROR(INDEX('DRAFT 1'!$AD:$AD,MATCH($B105,'DRAFT 1'!$B:$B,0)),"")</f>
        <v/>
      </c>
      <c r="AJ105" s="116">
        <f>IFERROR(INDEX('DRAFT 1'!$AE:$AE,MATCH($B105,'DRAFT 1'!$B:$B,0)),"")</f>
        <v/>
      </c>
      <c r="AK105" s="116">
        <f>IFERROR(INDEX('DRAFT 1'!$AG:$AG,MATCH($B105,'DRAFT 1'!$B:$B,0)),"")</f>
        <v/>
      </c>
      <c r="AL105" s="116">
        <f>IFERROR(INDEX('DRAFT 1'!$AH:$AH,MATCH($B105,'DRAFT 1'!$B:$B,0)),"")</f>
        <v/>
      </c>
      <c r="AM105" s="116">
        <f>IFERROR(INDEX('DRAFT 1'!$AI:$AI,MATCH($B105,'DRAFT 1'!$B:$B,0)),"")</f>
        <v/>
      </c>
      <c r="AN105" s="116">
        <f>IFERROR(INDEX('DRAFT 1'!$AJ:$AJ,MATCH($B105,'DRAFT 1'!$B:$B,0)),"")</f>
        <v/>
      </c>
      <c r="AO105" s="116">
        <f>IFERROR(Y105/AN105,0)</f>
        <v/>
      </c>
      <c r="AP105" s="116">
        <f>IFERROR(INDEX('DRAFT 1'!$AK:$AK,MATCH($B105,'DRAFT 1'!$B:$B,0)),"")</f>
        <v/>
      </c>
      <c r="AR105" s="116" t="inlineStr">
        <is>
          <t>RECOMPRA</t>
        </is>
      </c>
      <c r="AS105" s="116">
        <f>IFERROR(LOOKUP(2,1/('DRAFT 2'!$D:$D=$B105),'DRAFT 2'!$T:$T),"")</f>
        <v/>
      </c>
      <c r="AT105" s="116">
        <f>IFERROR(LOOKUP(2,1/('DRAFT 2'!$D:$D=$B105),'DRAFT 2'!$A:$A),"")</f>
        <v/>
      </c>
      <c r="AU105" s="116">
        <f>IFERROR(LOOKUP(2,1/('DRAFT 2'!$D:$D=$B105),'DRAFT 2'!$R:$R),"")</f>
        <v/>
      </c>
      <c r="AV105" s="116">
        <f>IFERROR(LOOKUP(2,1/('DRAFT 2'!$D:$D=$B105),'DRAFT 2'!$S:$S),"")</f>
        <v/>
      </c>
      <c r="AW105" s="116" t="inlineStr">
        <is>
          <t>LEAD</t>
        </is>
      </c>
      <c r="AX105" s="116">
        <f>IFERROR(LOOKUP(2,1/('DRAFT 2'!$D:$D=$B105),'DRAFT 2'!$M:$M),"")</f>
        <v/>
      </c>
      <c r="AY105" s="116">
        <f>IFERROR(LOOKUP(2,1/('DRAFT 2'!$D:$D=$B105),'DRAFT 2'!$K:$K),"")</f>
        <v/>
      </c>
      <c r="BG105" s="116">
        <f>IFERROR(LOOKUP(2,1/('DRAFT 2'!$D:$D=$B105),'DRAFT 2'!$U:$U),"")</f>
        <v/>
      </c>
      <c r="BH105" s="116">
        <f>IFERROR(LOOKUP(2,1/('DRAFT 2'!$D:$D=$B105),'DRAFT 2'!$V:$V),"")</f>
        <v/>
      </c>
      <c r="CE105" s="116">
        <f>IFERROR(AJ105,0)</f>
        <v/>
      </c>
      <c r="CF105" s="116">
        <f>IFERROR(LOOKUP(2,1/('DRAFT 2'!$D:$D=$B105)*('DRAFT 2'!$A:$A&gt;=DATE(2026,1,1))*('DRAFT 2'!$A:$A&lt;DATE(2026,IF(1=12,1+1,1+1),1)),'DRAFT 2'!$A:$A),"")</f>
        <v/>
      </c>
      <c r="CG105" s="116">
        <f>COUNTIFS('DRAFT 2'!$D:$D,$B105,'DRAFT 2'!$A:$A,"&gt;="&amp;DATE(2026,1,1),'DRAFT 2'!$A:$A,"&lt;="&amp;DATE(2026,1,7))</f>
        <v/>
      </c>
      <c r="CH105" s="116">
        <f>COUNTIFS('DRAFT 2'!$D:$D,$B105,'DRAFT 2'!$A:$A,"&gt;="&amp;DATE(2026,1,8),'DRAFT 2'!$A:$A,"&lt;="&amp;DATE(2026,1,14))</f>
        <v/>
      </c>
      <c r="CI105" s="116">
        <f>COUNTIFS('DRAFT 2'!$D:$D,$B105,'DRAFT 2'!$A:$A,"&gt;="&amp;DATE(2026,1,15),'DRAFT 2'!$A:$A,"&lt;="&amp;DATE(2026,1,21))</f>
        <v/>
      </c>
      <c r="CJ105" s="116">
        <f>COUNTIFS('DRAFT 2'!$D:$D,$B105,'DRAFT 2'!$A:$A,"&gt;="&amp;DATE(2026,1,22),'DRAFT 2'!$A:$A,"&lt;"&amp;DATE(2026,IF(1=12,1+1,1+1),1))</f>
        <v/>
      </c>
      <c r="CK105" s="116">
        <f>SUM(CG105:CJ105)</f>
        <v/>
      </c>
      <c r="CT105" s="116" t="n">
        <v>0</v>
      </c>
      <c r="CU105" s="116">
        <f>IFERROR(LOOKUP(2,1/('DRAFT 2'!$D:$D=$B105)*('DRAFT 2'!$A:$A&gt;=DATE(2026,2,1))*('DRAFT 2'!$A:$A&lt;DATE(2026,IF(2=12,2+1,2+1),1)),'DRAFT 2'!$A:$A),"")</f>
        <v/>
      </c>
      <c r="CV105" s="116">
        <f>COUNTIFS('DRAFT 2'!$D:$D,$B105,'DRAFT 2'!$A:$A,"&gt;="&amp;DATE(2026,2,1),'DRAFT 2'!$A:$A,"&lt;="&amp;DATE(2026,2,7))</f>
        <v/>
      </c>
      <c r="CW105" s="116">
        <f>COUNTIFS('DRAFT 2'!$D:$D,$B105,'DRAFT 2'!$A:$A,"&gt;="&amp;DATE(2026,2,8),'DRAFT 2'!$A:$A,"&lt;="&amp;DATE(2026,2,14))</f>
        <v/>
      </c>
      <c r="CX105" s="116">
        <f>COUNTIFS('DRAFT 2'!$D:$D,$B105,'DRAFT 2'!$A:$A,"&gt;="&amp;DATE(2026,2,15),'DRAFT 2'!$A:$A,"&lt;="&amp;DATE(2026,2,21))</f>
        <v/>
      </c>
      <c r="CY105" s="116">
        <f>COUNTIFS('DRAFT 2'!$D:$D,$B105,'DRAFT 2'!$A:$A,"&gt;="&amp;DATE(2026,2,22),'DRAFT 2'!$A:$A,"&lt;"&amp;DATE(2026,IF(2=12,2+1,2+1),1))</f>
        <v/>
      </c>
      <c r="CZ105" s="116">
        <f>SUM(CV105:CY105)</f>
        <v/>
      </c>
      <c r="DJ105" s="116">
        <f>IFERROR(LOOKUP(2,1/('DRAFT 2'!$D:$D=$B105)*('DRAFT 2'!$A:$A&gt;=DATE(2026,3,1))*('DRAFT 2'!$A:$A&lt;DATE(2026,IF(3=12,3+1,3+1),1)),'DRAFT 2'!$A:$A),"")</f>
        <v/>
      </c>
      <c r="DK105" s="116">
        <f>COUNTIFS('DRAFT 2'!$D:$D,$B105,'DRAFT 2'!$A:$A,"&gt;="&amp;DATE(2026,3,1),'DRAFT 2'!$A:$A,"&lt;="&amp;DATE(2026,3,7))</f>
        <v/>
      </c>
      <c r="DL105" s="116">
        <f>COUNTIFS('DRAFT 2'!$D:$D,$B105,'DRAFT 2'!$A:$A,"&gt;="&amp;DATE(2026,3,8),'DRAFT 2'!$A:$A,"&lt;="&amp;DATE(2026,3,14))</f>
        <v/>
      </c>
      <c r="DM105" s="116">
        <f>COUNTIFS('DRAFT 2'!$D:$D,$B105,'DRAFT 2'!$A:$A,"&gt;="&amp;DATE(2026,3,15),'DRAFT 2'!$A:$A,"&lt;="&amp;DATE(2026,3,21))</f>
        <v/>
      </c>
      <c r="DN105" s="116">
        <f>COUNTIFS('DRAFT 2'!$D:$D,$B105,'DRAFT 2'!$A:$A,"&gt;="&amp;DATE(2026,3,22),'DRAFT 2'!$A:$A,"&lt;"&amp;DATE(2026,IF(3=12,3+1,3+1),1))</f>
        <v/>
      </c>
      <c r="DO105" s="116">
        <f>SUM(DK105:DN105)</f>
        <v/>
      </c>
      <c r="DZ105" s="116">
        <f>IFERROR(LOOKUP(2,1/('DRAFT 2'!$D:$D=$B105)*('DRAFT 2'!$A:$A&gt;=DATE(2026,4,1))*('DRAFT 2'!$A:$A&lt;DATE(2026,IF(4=12,4+1,4+1),1)),'DRAFT 2'!$A:$A),"")</f>
        <v/>
      </c>
      <c r="EA105" s="116">
        <f>COUNTIFS('DRAFT 2'!$D:$D,$B105,'DRAFT 2'!$A:$A,"&gt;="&amp;DATE(2026,4,1),'DRAFT 2'!$A:$A,"&lt;="&amp;DATE(2026,4,7))</f>
        <v/>
      </c>
      <c r="EB105" s="116">
        <f>COUNTIFS('DRAFT 2'!$D:$D,$B105,'DRAFT 2'!$A:$A,"&gt;="&amp;DATE(2026,4,8),'DRAFT 2'!$A:$A,"&lt;="&amp;DATE(2026,4,14))</f>
        <v/>
      </c>
      <c r="EC105" s="116">
        <f>COUNTIFS('DRAFT 2'!$D:$D,$B105,'DRAFT 2'!$A:$A,"&gt;="&amp;DATE(2026,4,15),'DRAFT 2'!$A:$A,"&lt;="&amp;DATE(2026,4,21))</f>
        <v/>
      </c>
      <c r="ED105" s="116">
        <f>COUNTIFS('DRAFT 2'!$D:$D,$B105,'DRAFT 2'!$A:$A,"&gt;="&amp;DATE(2026,4,22),'DRAFT 2'!$A:$A,"&lt;"&amp;DATE(2026,IF(4=12,4+1,4+1),1))</f>
        <v/>
      </c>
      <c r="EE105" s="116">
        <f>SUM(EA105:ED105)</f>
        <v/>
      </c>
      <c r="EO105" s="116">
        <f>IFERROR(LOOKUP(2,1/('DRAFT 2'!$D:$D=$B105)*('DRAFT 2'!$A:$A&gt;=DATE(2026,5,1))*('DRAFT 2'!$A:$A&lt;DATE(2026,IF(5=12,5+1,5+1),1)),'DRAFT 2'!$A:$A),"")</f>
        <v/>
      </c>
      <c r="EP105" s="116">
        <f>COUNTIFS('DRAFT 2'!$D:$D,$B105,'DRAFT 2'!$A:$A,"&gt;="&amp;DATE(2026,5,1),'DRAFT 2'!$A:$A,"&lt;="&amp;DATE(2026,5,7))</f>
        <v/>
      </c>
      <c r="EQ105" s="116">
        <f>COUNTIFS('DRAFT 2'!$D:$D,$B105,'DRAFT 2'!$A:$A,"&gt;="&amp;DATE(2026,5,8),'DRAFT 2'!$A:$A,"&lt;="&amp;DATE(2026,5,14))</f>
        <v/>
      </c>
      <c r="ER105" s="116">
        <f>COUNTIFS('DRAFT 2'!$D:$D,$B105,'DRAFT 2'!$A:$A,"&gt;="&amp;DATE(2026,5,15),'DRAFT 2'!$A:$A,"&lt;="&amp;DATE(2026,5,21))</f>
        <v/>
      </c>
      <c r="ES105" s="116">
        <f>COUNTIFS('DRAFT 2'!$D:$D,$B105,'DRAFT 2'!$A:$A,"&gt;="&amp;DATE(2026,5,22),'DRAFT 2'!$A:$A,"&lt;"&amp;DATE(2026,IF(5=12,5+1,5+1),1))</f>
        <v/>
      </c>
      <c r="ET105" s="116">
        <f>SUM(EP105:ES105)</f>
        <v/>
      </c>
      <c r="FD105" s="116">
        <f>IFERROR(LOOKUP(2,1/('DRAFT 2'!$D:$D=$B105)*('DRAFT 2'!$A:$A&gt;=DATE(2026,6,1))*('DRAFT 2'!$A:$A&lt;DATE(2026,IF(6=12,6+1,6+1),1)),'DRAFT 2'!$A:$A),"")</f>
        <v/>
      </c>
      <c r="FE105" s="116">
        <f>COUNTIFS('DRAFT 2'!$D:$D,$B105,'DRAFT 2'!$A:$A,"&gt;="&amp;DATE(2026,6,1),'DRAFT 2'!$A:$A,"&lt;="&amp;DATE(2026,6,7))</f>
        <v/>
      </c>
      <c r="FF105" s="116">
        <f>COUNTIFS('DRAFT 2'!$D:$D,$B105,'DRAFT 2'!$A:$A,"&gt;="&amp;DATE(2026,6,8),'DRAFT 2'!$A:$A,"&lt;="&amp;DATE(2026,6,14))</f>
        <v/>
      </c>
      <c r="FG105" s="116">
        <f>COUNTIFS('DRAFT 2'!$D:$D,$B105,'DRAFT 2'!$A:$A,"&gt;="&amp;DATE(2026,6,15),'DRAFT 2'!$A:$A,"&lt;="&amp;DATE(2026,6,21))</f>
        <v/>
      </c>
      <c r="FH105" s="116">
        <f>COUNTIFS('DRAFT 2'!$D:$D,$B105,'DRAFT 2'!$A:$A,"&gt;="&amp;DATE(2026,6,22),'DRAFT 2'!$A:$A,"&lt;"&amp;DATE(2026,IF(6=12,6+1,6+1),1))</f>
        <v/>
      </c>
      <c r="FI105" s="116">
        <f>SUM(FE105:FH105)</f>
        <v/>
      </c>
      <c r="FT105" s="116">
        <f>IFERROR(LOOKUP(2,1/('DRAFT 2'!$D:$D=$B105)*('DRAFT 2'!$A:$A&gt;=DATE(2026,7,1))*('DRAFT 2'!$A:$A&lt;DATE(2026,IF(7=12,7+1,7+1),1)),'DRAFT 2'!$A:$A),"")</f>
        <v/>
      </c>
      <c r="FU105" s="116">
        <f>COUNTIFS('DRAFT 2'!$D:$D,$B105,'DRAFT 2'!$A:$A,"&gt;="&amp;DATE(2026,7,1),'DRAFT 2'!$A:$A,"&lt;="&amp;DATE(2026,7,7))</f>
        <v/>
      </c>
      <c r="FV105" s="116">
        <f>COUNTIFS('DRAFT 2'!$D:$D,$B105,'DRAFT 2'!$A:$A,"&gt;="&amp;DATE(2026,7,8),'DRAFT 2'!$A:$A,"&lt;="&amp;DATE(2026,7,14))</f>
        <v/>
      </c>
      <c r="FW105" s="116">
        <f>COUNTIFS('DRAFT 2'!$D:$D,$B105,'DRAFT 2'!$A:$A,"&gt;="&amp;DATE(2026,7,15),'DRAFT 2'!$A:$A,"&lt;="&amp;DATE(2026,7,21))</f>
        <v/>
      </c>
      <c r="FX105" s="116">
        <f>COUNTIFS('DRAFT 2'!$D:$D,$B105,'DRAFT 2'!$A:$A,"&gt;="&amp;DATE(2026,7,22),'DRAFT 2'!$A:$A,"&lt;"&amp;DATE(2026,IF(7=12,7+1,7+1),1))</f>
        <v/>
      </c>
      <c r="FY105" s="116">
        <f>SUM(FU105:FX105)</f>
        <v/>
      </c>
      <c r="GI105" s="116">
        <f>IFERROR(LOOKUP(2,1/('DRAFT 2'!$D:$D=$B105)*('DRAFT 2'!$A:$A&gt;=DATE(2026,8,1))*('DRAFT 2'!$A:$A&lt;DATE(2026,IF(8=12,8+1,8+1),1)),'DRAFT 2'!$A:$A),"")</f>
        <v/>
      </c>
      <c r="GJ105" s="116">
        <f>COUNTIFS('DRAFT 2'!$D:$D,$B105,'DRAFT 2'!$A:$A,"&gt;="&amp;DATE(2026,8,1),'DRAFT 2'!$A:$A,"&lt;="&amp;DATE(2026,8,7))</f>
        <v/>
      </c>
      <c r="GK105" s="116">
        <f>COUNTIFS('DRAFT 2'!$D:$D,$B105,'DRAFT 2'!$A:$A,"&gt;="&amp;DATE(2026,8,8),'DRAFT 2'!$A:$A,"&lt;="&amp;DATE(2026,8,14))</f>
        <v/>
      </c>
      <c r="GL105" s="116">
        <f>COUNTIFS('DRAFT 2'!$D:$D,$B105,'DRAFT 2'!$A:$A,"&gt;="&amp;DATE(2026,8,15),'DRAFT 2'!$A:$A,"&lt;="&amp;DATE(2026,8,21))</f>
        <v/>
      </c>
      <c r="GM105" s="116">
        <f>COUNTIFS('DRAFT 2'!$D:$D,$B105,'DRAFT 2'!$A:$A,"&gt;="&amp;DATE(2026,8,22),'DRAFT 2'!$A:$A,"&lt;"&amp;DATE(2026,IF(8=12,8+1,8+1),1))</f>
        <v/>
      </c>
      <c r="GN105" s="116">
        <f>SUM(GJ105:GM105)</f>
        <v/>
      </c>
      <c r="GX105" s="116">
        <f>IFERROR(LOOKUP(2,1/('DRAFT 2'!$D:$D=$B105)*('DRAFT 2'!$A:$A&gt;=DATE(2026,9,1))*('DRAFT 2'!$A:$A&lt;DATE(2026,IF(9=12,9+1,9+1),1)),'DRAFT 2'!$A:$A),"")</f>
        <v/>
      </c>
      <c r="GY105" s="116">
        <f>COUNTIFS('DRAFT 2'!$D:$D,$B105,'DRAFT 2'!$A:$A,"&gt;="&amp;DATE(2026,9,1),'DRAFT 2'!$A:$A,"&lt;="&amp;DATE(2026,9,7))</f>
        <v/>
      </c>
      <c r="GZ105" s="116">
        <f>COUNTIFS('DRAFT 2'!$D:$D,$B105,'DRAFT 2'!$A:$A,"&gt;="&amp;DATE(2026,9,8),'DRAFT 2'!$A:$A,"&lt;="&amp;DATE(2026,9,14))</f>
        <v/>
      </c>
      <c r="HA105" s="116">
        <f>COUNTIFS('DRAFT 2'!$D:$D,$B105,'DRAFT 2'!$A:$A,"&gt;="&amp;DATE(2026,9,15),'DRAFT 2'!$A:$A,"&lt;="&amp;DATE(2026,9,21))</f>
        <v/>
      </c>
      <c r="HB105" s="116">
        <f>COUNTIFS('DRAFT 2'!$D:$D,$B105,'DRAFT 2'!$A:$A,"&gt;="&amp;DATE(2026,9,22),'DRAFT 2'!$A:$A,"&lt;"&amp;DATE(2026,IF(9=12,9+1,9+1),1))</f>
        <v/>
      </c>
      <c r="HC105" s="116">
        <f>SUM(GY105:HB105)</f>
        <v/>
      </c>
      <c r="HN105" s="116">
        <f>IFERROR(LOOKUP(2,1/('DRAFT 2'!$D:$D=$B105)*('DRAFT 2'!$A:$A&gt;=DATE(2026,10,1))*('DRAFT 2'!$A:$A&lt;DATE(2026,IF(10=12,10+1,10+1),1)),'DRAFT 2'!$A:$A),"")</f>
        <v/>
      </c>
      <c r="HO105" s="116">
        <f>COUNTIFS('DRAFT 2'!$D:$D,$B105,'DRAFT 2'!$A:$A,"&gt;="&amp;DATE(2026,10,1),'DRAFT 2'!$A:$A,"&lt;="&amp;DATE(2026,10,7))</f>
        <v/>
      </c>
      <c r="HP105" s="116">
        <f>COUNTIFS('DRAFT 2'!$D:$D,$B105,'DRAFT 2'!$A:$A,"&gt;="&amp;DATE(2026,10,8),'DRAFT 2'!$A:$A,"&lt;="&amp;DATE(2026,10,14))</f>
        <v/>
      </c>
      <c r="HQ105" s="116">
        <f>COUNTIFS('DRAFT 2'!$D:$D,$B105,'DRAFT 2'!$A:$A,"&gt;="&amp;DATE(2026,10,15),'DRAFT 2'!$A:$A,"&lt;="&amp;DATE(2026,10,21))</f>
        <v/>
      </c>
      <c r="HR105" s="116">
        <f>COUNTIFS('DRAFT 2'!$D:$D,$B105,'DRAFT 2'!$A:$A,"&gt;="&amp;DATE(2026,10,22),'DRAFT 2'!$A:$A,"&lt;"&amp;DATE(2026,IF(10=12,10+1,10+1),1))</f>
        <v/>
      </c>
      <c r="HS105" s="116">
        <f>SUM(HO105:HR105)</f>
        <v/>
      </c>
      <c r="IC105" s="116">
        <f>IFERROR(LOOKUP(2,1/('DRAFT 2'!$D:$D=$B105)*('DRAFT 2'!$A:$A&gt;=DATE(2026,11,1))*('DRAFT 2'!$A:$A&lt;DATE(2026,IF(11=12,11+1,11+1),1)),'DRAFT 2'!$A:$A),"")</f>
        <v/>
      </c>
      <c r="ID105" s="116">
        <f>COUNTIFS('DRAFT 2'!$D:$D,$B105,'DRAFT 2'!$A:$A,"&gt;="&amp;DATE(2026,11,1),'DRAFT 2'!$A:$A,"&lt;="&amp;DATE(2026,11,7))</f>
        <v/>
      </c>
      <c r="IE105" s="116">
        <f>COUNTIFS('DRAFT 2'!$D:$D,$B105,'DRAFT 2'!$A:$A,"&gt;="&amp;DATE(2026,11,8),'DRAFT 2'!$A:$A,"&lt;="&amp;DATE(2026,11,14))</f>
        <v/>
      </c>
      <c r="IF105" s="116">
        <f>COUNTIFS('DRAFT 2'!$D:$D,$B105,'DRAFT 2'!$A:$A,"&gt;="&amp;DATE(2026,11,15),'DRAFT 2'!$A:$A,"&lt;="&amp;DATE(2026,11,21))</f>
        <v/>
      </c>
      <c r="IG105" s="116">
        <f>COUNTIFS('DRAFT 2'!$D:$D,$B105,'DRAFT 2'!$A:$A,"&gt;="&amp;DATE(2026,11,22),'DRAFT 2'!$A:$A,"&lt;"&amp;DATE(2026,IF(11=12,11+1,11+1),1))</f>
        <v/>
      </c>
      <c r="IH105" s="116">
        <f>SUM(ID105:IG105)</f>
        <v/>
      </c>
      <c r="IR105" s="116">
        <f>IFERROR(LOOKUP(2,1/('DRAFT 2'!$D:$D=$B105)*('DRAFT 2'!$A:$A&gt;=DATE(2026,12,1))*('DRAFT 2'!$A:$A&lt;DATE(2026,IF(12=12,12+1,12+1),1)),'DRAFT 2'!$A:$A),"")</f>
        <v/>
      </c>
      <c r="IS105" s="116">
        <f>COUNTIFS('DRAFT 2'!$D:$D,$B105,'DRAFT 2'!$A:$A,"&gt;="&amp;DATE(2026,12,1),'DRAFT 2'!$A:$A,"&lt;="&amp;DATE(2026,12,7))</f>
        <v/>
      </c>
      <c r="IT105" s="116">
        <f>COUNTIFS('DRAFT 2'!$D:$D,$B105,'DRAFT 2'!$A:$A,"&gt;="&amp;DATE(2026,12,8),'DRAFT 2'!$A:$A,"&lt;="&amp;DATE(2026,12,14))</f>
        <v/>
      </c>
      <c r="IU105" s="116">
        <f>COUNTIFS('DRAFT 2'!$D:$D,$B105,'DRAFT 2'!$A:$A,"&gt;="&amp;DATE(2026,12,15),'DRAFT 2'!$A:$A,"&lt;="&amp;DATE(2026,12,21))</f>
        <v/>
      </c>
      <c r="IV105" s="116">
        <f>COUNTIFS('DRAFT 2'!$D:$D,$B105,'DRAFT 2'!$A:$A,"&gt;="&amp;DATE(2026,12,22),'DRAFT 2'!$A:$A,"&lt;"&amp;DATE(2026,IF(12=12,12+1,12+1),1))</f>
        <v/>
      </c>
      <c r="IW105" s="116">
        <f>SUM(IS105:IV105)</f>
        <v/>
      </c>
    </row>
    <row r="106">
      <c r="A106" s="116">
        <f>IFERROR(INDEX('DRAFT 1'!$A:$A,MATCH($B106,'DRAFT 1'!$B:$B,0)),"")</f>
        <v/>
      </c>
      <c r="C106" s="116">
        <f>IFERROR(INDEX('DRAFT 1'!$C:$C,MATCH($B106,'DRAFT 1'!$B:$B,0)),"")</f>
        <v/>
      </c>
      <c r="D106" s="116">
        <f>IFERROR(INDEX('DRAFT 1'!$D:$D,MATCH($B106,'DRAFT 1'!$B:$B,0)),"")</f>
        <v/>
      </c>
      <c r="E106" s="116">
        <f>IFERROR(INDEX('DRAFT 1'!$E:$E,MATCH($B106,'DRAFT 1'!$B:$B,0)),"")</f>
        <v/>
      </c>
      <c r="F106" s="116">
        <f>IFERROR(INDEX('DRAFT 1'!$F:$F,MATCH($B106,'DRAFT 1'!$B:$B,0)),"")</f>
        <v/>
      </c>
      <c r="G106" s="116">
        <f>IFERROR(INDEX('DRAFT 1'!$G:$G,MATCH($B106,'DRAFT 1'!$B:$B,0)),"")</f>
        <v/>
      </c>
      <c r="H106" s="116">
        <f>IFERROR(INDEX('DRAFT 1'!$H:$H,MATCH($B106,'DRAFT 1'!$B:$B,0)),"")</f>
        <v/>
      </c>
      <c r="I106" s="116" t="inlineStr">
        <is>
          <t>DEMAIS CLIENTES</t>
        </is>
      </c>
      <c r="K106" s="116">
        <f>IFERROR(INDEX('DRAFT 1'!$AL:$AL,MATCH($B106,'DRAFT 1'!$B:$B,0)),"")</f>
        <v/>
      </c>
      <c r="L106" s="116">
        <f>IFERROR(INDEX('DRAFT 1'!$J:$J,MATCH($B106,'DRAFT 1'!$B:$B,0)),"")</f>
        <v/>
      </c>
      <c r="M106" s="116">
        <f>IFERROR(INDEX('DRAFT 1'!$K:$K,MATCH($B106,'DRAFT 1'!$B:$B,0)),"")</f>
        <v/>
      </c>
      <c r="N106" s="116" t="inlineStr">
        <is>
          <t>NOVO</t>
        </is>
      </c>
      <c r="P106" s="116">
        <f>IFERROR(INDEX('DRAFT 1'!$L:$L,MATCH($B106,'DRAFT 1'!$B:$B,0)),"")</f>
        <v/>
      </c>
      <c r="Q106" s="116">
        <f>IFERROR(INDEX('DRAFT 1'!$M:$M,MATCH($B106,'DRAFT 1'!$B:$B,0)),"")</f>
        <v/>
      </c>
      <c r="R106" s="116">
        <f>IFERROR(INDEX('DRAFT 1'!$N:$N,MATCH($B106,'DRAFT 1'!$B:$B,0)),"")</f>
        <v/>
      </c>
      <c r="S106" s="116">
        <f>IFERROR(INDEX('DRAFT 1'!$O:$O,MATCH($B106,'DRAFT 1'!$B:$B,0)),"")</f>
        <v/>
      </c>
      <c r="T106" s="116">
        <f>IFERROR(INDEX('DRAFT 1'!$P:$P,MATCH($B106,'DRAFT 1'!$B:$B,0)),"")</f>
        <v/>
      </c>
      <c r="U106" s="116">
        <f>IFERROR(INDEX('DRAFT 1'!$Q:$Q,MATCH($B106,'DRAFT 1'!$B:$B,0)),"")</f>
        <v/>
      </c>
      <c r="V106" s="116">
        <f>IFERROR(INDEX('DRAFT 1'!$R:$R,MATCH($B106,'DRAFT 1'!$B:$B,0)),"")</f>
        <v/>
      </c>
      <c r="W106" s="116">
        <f>IFERROR(INDEX('DRAFT 1'!$S:$S,MATCH($B106,'DRAFT 1'!$B:$B,0)),"")</f>
        <v/>
      </c>
      <c r="X106" s="116">
        <f>IFERROR(INDEX('DRAFT 1'!$T:$T,MATCH($B106,'DRAFT 1'!$B:$B,0)),"")</f>
        <v/>
      </c>
      <c r="Z106" s="116">
        <f>IFERROR(INDEX('DRAFT 1'!$U:$U,MATCH($B106,'DRAFT 1'!$B:$B,0)),"")</f>
        <v/>
      </c>
      <c r="AA106" s="116">
        <f>IFERROR(INDEX('DRAFT 1'!$V:$V,MATCH($B106,'DRAFT 1'!$B:$B,0)),"")</f>
        <v/>
      </c>
      <c r="AB106" s="116">
        <f>IFERROR(INDEX('DRAFT 1'!$W:$W,MATCH($B106,'DRAFT 1'!$B:$B,0)),"")</f>
        <v/>
      </c>
      <c r="AC106" s="116">
        <f>IFERROR(INDEX('DRAFT 1'!$X:$X,MATCH($B106,'DRAFT 1'!$B:$B,0)),"")</f>
        <v/>
      </c>
      <c r="AD106" s="116">
        <f>IFERROR(INDEX('DRAFT 1'!$Y:$Y,MATCH($B106,'DRAFT 1'!$B:$B,0)),"")</f>
        <v/>
      </c>
      <c r="AE106" s="116">
        <f>IFERROR(INDEX('DRAFT 1'!$Z:$Z,MATCH($B106,'DRAFT 1'!$B:$B,0)),"")</f>
        <v/>
      </c>
      <c r="AF106" s="116">
        <f>IFERROR(INDEX('DRAFT 1'!$AA:$AA,MATCH($B106,'DRAFT 1'!$B:$B,0)),"")</f>
        <v/>
      </c>
      <c r="AG106" s="116">
        <f>IFERROR(INDEX('DRAFT 1'!$AB:$AB,MATCH($B106,'DRAFT 1'!$B:$B,0)),"")</f>
        <v/>
      </c>
      <c r="AH106" s="116">
        <f>IFERROR(INDEX('DRAFT 1'!$AC:$AC,MATCH($B106,'DRAFT 1'!$B:$B,0)),"")</f>
        <v/>
      </c>
      <c r="AI106" s="116">
        <f>IFERROR(INDEX('DRAFT 1'!$AD:$AD,MATCH($B106,'DRAFT 1'!$B:$B,0)),"")</f>
        <v/>
      </c>
      <c r="AJ106" s="116">
        <f>IFERROR(INDEX('DRAFT 1'!$AE:$AE,MATCH($B106,'DRAFT 1'!$B:$B,0)),"")</f>
        <v/>
      </c>
      <c r="AK106" s="116">
        <f>IFERROR(INDEX('DRAFT 1'!$AG:$AG,MATCH($B106,'DRAFT 1'!$B:$B,0)),"")</f>
        <v/>
      </c>
      <c r="AL106" s="116">
        <f>IFERROR(INDEX('DRAFT 1'!$AH:$AH,MATCH($B106,'DRAFT 1'!$B:$B,0)),"")</f>
        <v/>
      </c>
      <c r="AM106" s="116">
        <f>IFERROR(INDEX('DRAFT 1'!$AI:$AI,MATCH($B106,'DRAFT 1'!$B:$B,0)),"")</f>
        <v/>
      </c>
      <c r="AN106" s="116">
        <f>IFERROR(INDEX('DRAFT 1'!$AJ:$AJ,MATCH($B106,'DRAFT 1'!$B:$B,0)),"")</f>
        <v/>
      </c>
      <c r="AO106" s="116">
        <f>IFERROR(Y106/AN106,0)</f>
        <v/>
      </c>
      <c r="AP106" s="116">
        <f>IFERROR(INDEX('DRAFT 1'!$AK:$AK,MATCH($B106,'DRAFT 1'!$B:$B,0)),"")</f>
        <v/>
      </c>
      <c r="AR106" s="116" t="inlineStr">
        <is>
          <t>RECOMPRA</t>
        </is>
      </c>
      <c r="AS106" s="116">
        <f>IFERROR(LOOKUP(2,1/('DRAFT 2'!$D:$D=$B106),'DRAFT 2'!$T:$T),"")</f>
        <v/>
      </c>
      <c r="AT106" s="116">
        <f>IFERROR(LOOKUP(2,1/('DRAFT 2'!$D:$D=$B106),'DRAFT 2'!$A:$A),"")</f>
        <v/>
      </c>
      <c r="AU106" s="116">
        <f>IFERROR(LOOKUP(2,1/('DRAFT 2'!$D:$D=$B106),'DRAFT 2'!$R:$R),"")</f>
        <v/>
      </c>
      <c r="AV106" s="116">
        <f>IFERROR(LOOKUP(2,1/('DRAFT 2'!$D:$D=$B106),'DRAFT 2'!$S:$S),"")</f>
        <v/>
      </c>
      <c r="AW106" s="116" t="inlineStr">
        <is>
          <t>RECORRENTE</t>
        </is>
      </c>
      <c r="AX106" s="116">
        <f>IFERROR(LOOKUP(2,1/('DRAFT 2'!$D:$D=$B106),'DRAFT 2'!$M:$M),"")</f>
        <v/>
      </c>
      <c r="AY106" s="116">
        <f>IFERROR(LOOKUP(2,1/('DRAFT 2'!$D:$D=$B106),'DRAFT 2'!$K:$K),"")</f>
        <v/>
      </c>
      <c r="BG106" s="116">
        <f>IFERROR(LOOKUP(2,1/('DRAFT 2'!$D:$D=$B106),'DRAFT 2'!$U:$U),"")</f>
        <v/>
      </c>
      <c r="BH106" s="116">
        <f>IFERROR(LOOKUP(2,1/('DRAFT 2'!$D:$D=$B106),'DRAFT 2'!$V:$V),"")</f>
        <v/>
      </c>
      <c r="CE106" s="116">
        <f>IFERROR(AJ106,0)</f>
        <v/>
      </c>
      <c r="CF106" s="116">
        <f>IFERROR(LOOKUP(2,1/('DRAFT 2'!$D:$D=$B106)*('DRAFT 2'!$A:$A&gt;=DATE(2026,1,1))*('DRAFT 2'!$A:$A&lt;DATE(2026,IF(1=12,1+1,1+1),1)),'DRAFT 2'!$A:$A),"")</f>
        <v/>
      </c>
      <c r="CG106" s="116">
        <f>COUNTIFS('DRAFT 2'!$D:$D,$B106,'DRAFT 2'!$A:$A,"&gt;="&amp;DATE(2026,1,1),'DRAFT 2'!$A:$A,"&lt;="&amp;DATE(2026,1,7))</f>
        <v/>
      </c>
      <c r="CH106" s="116">
        <f>COUNTIFS('DRAFT 2'!$D:$D,$B106,'DRAFT 2'!$A:$A,"&gt;="&amp;DATE(2026,1,8),'DRAFT 2'!$A:$A,"&lt;="&amp;DATE(2026,1,14))</f>
        <v/>
      </c>
      <c r="CI106" s="116">
        <f>COUNTIFS('DRAFT 2'!$D:$D,$B106,'DRAFT 2'!$A:$A,"&gt;="&amp;DATE(2026,1,15),'DRAFT 2'!$A:$A,"&lt;="&amp;DATE(2026,1,21))</f>
        <v/>
      </c>
      <c r="CJ106" s="116">
        <f>COUNTIFS('DRAFT 2'!$D:$D,$B106,'DRAFT 2'!$A:$A,"&gt;="&amp;DATE(2026,1,22),'DRAFT 2'!$A:$A,"&lt;"&amp;DATE(2026,IF(1=12,1+1,1+1),1))</f>
        <v/>
      </c>
      <c r="CK106" s="116">
        <f>SUM(CG106:CJ106)</f>
        <v/>
      </c>
      <c r="CT106" s="116" t="n">
        <v>0</v>
      </c>
      <c r="CU106" s="116">
        <f>IFERROR(LOOKUP(2,1/('DRAFT 2'!$D:$D=$B106)*('DRAFT 2'!$A:$A&gt;=DATE(2026,2,1))*('DRAFT 2'!$A:$A&lt;DATE(2026,IF(2=12,2+1,2+1),1)),'DRAFT 2'!$A:$A),"")</f>
        <v/>
      </c>
      <c r="CV106" s="116">
        <f>COUNTIFS('DRAFT 2'!$D:$D,$B106,'DRAFT 2'!$A:$A,"&gt;="&amp;DATE(2026,2,1),'DRAFT 2'!$A:$A,"&lt;="&amp;DATE(2026,2,7))</f>
        <v/>
      </c>
      <c r="CW106" s="116">
        <f>COUNTIFS('DRAFT 2'!$D:$D,$B106,'DRAFT 2'!$A:$A,"&gt;="&amp;DATE(2026,2,8),'DRAFT 2'!$A:$A,"&lt;="&amp;DATE(2026,2,14))</f>
        <v/>
      </c>
      <c r="CX106" s="116">
        <f>COUNTIFS('DRAFT 2'!$D:$D,$B106,'DRAFT 2'!$A:$A,"&gt;="&amp;DATE(2026,2,15),'DRAFT 2'!$A:$A,"&lt;="&amp;DATE(2026,2,21))</f>
        <v/>
      </c>
      <c r="CY106" s="116">
        <f>COUNTIFS('DRAFT 2'!$D:$D,$B106,'DRAFT 2'!$A:$A,"&gt;="&amp;DATE(2026,2,22),'DRAFT 2'!$A:$A,"&lt;"&amp;DATE(2026,IF(2=12,2+1,2+1),1))</f>
        <v/>
      </c>
      <c r="CZ106" s="116">
        <f>SUM(CV106:CY106)</f>
        <v/>
      </c>
      <c r="DJ106" s="116">
        <f>IFERROR(LOOKUP(2,1/('DRAFT 2'!$D:$D=$B106)*('DRAFT 2'!$A:$A&gt;=DATE(2026,3,1))*('DRAFT 2'!$A:$A&lt;DATE(2026,IF(3=12,3+1,3+1),1)),'DRAFT 2'!$A:$A),"")</f>
        <v/>
      </c>
      <c r="DK106" s="116">
        <f>COUNTIFS('DRAFT 2'!$D:$D,$B106,'DRAFT 2'!$A:$A,"&gt;="&amp;DATE(2026,3,1),'DRAFT 2'!$A:$A,"&lt;="&amp;DATE(2026,3,7))</f>
        <v/>
      </c>
      <c r="DL106" s="116">
        <f>COUNTIFS('DRAFT 2'!$D:$D,$B106,'DRAFT 2'!$A:$A,"&gt;="&amp;DATE(2026,3,8),'DRAFT 2'!$A:$A,"&lt;="&amp;DATE(2026,3,14))</f>
        <v/>
      </c>
      <c r="DM106" s="116">
        <f>COUNTIFS('DRAFT 2'!$D:$D,$B106,'DRAFT 2'!$A:$A,"&gt;="&amp;DATE(2026,3,15),'DRAFT 2'!$A:$A,"&lt;="&amp;DATE(2026,3,21))</f>
        <v/>
      </c>
      <c r="DN106" s="116">
        <f>COUNTIFS('DRAFT 2'!$D:$D,$B106,'DRAFT 2'!$A:$A,"&gt;="&amp;DATE(2026,3,22),'DRAFT 2'!$A:$A,"&lt;"&amp;DATE(2026,IF(3=12,3+1,3+1),1))</f>
        <v/>
      </c>
      <c r="DO106" s="116">
        <f>SUM(DK106:DN106)</f>
        <v/>
      </c>
      <c r="DZ106" s="116">
        <f>IFERROR(LOOKUP(2,1/('DRAFT 2'!$D:$D=$B106)*('DRAFT 2'!$A:$A&gt;=DATE(2026,4,1))*('DRAFT 2'!$A:$A&lt;DATE(2026,IF(4=12,4+1,4+1),1)),'DRAFT 2'!$A:$A),"")</f>
        <v/>
      </c>
      <c r="EA106" s="116">
        <f>COUNTIFS('DRAFT 2'!$D:$D,$B106,'DRAFT 2'!$A:$A,"&gt;="&amp;DATE(2026,4,1),'DRAFT 2'!$A:$A,"&lt;="&amp;DATE(2026,4,7))</f>
        <v/>
      </c>
      <c r="EB106" s="116">
        <f>COUNTIFS('DRAFT 2'!$D:$D,$B106,'DRAFT 2'!$A:$A,"&gt;="&amp;DATE(2026,4,8),'DRAFT 2'!$A:$A,"&lt;="&amp;DATE(2026,4,14))</f>
        <v/>
      </c>
      <c r="EC106" s="116">
        <f>COUNTIFS('DRAFT 2'!$D:$D,$B106,'DRAFT 2'!$A:$A,"&gt;="&amp;DATE(2026,4,15),'DRAFT 2'!$A:$A,"&lt;="&amp;DATE(2026,4,21))</f>
        <v/>
      </c>
      <c r="ED106" s="116">
        <f>COUNTIFS('DRAFT 2'!$D:$D,$B106,'DRAFT 2'!$A:$A,"&gt;="&amp;DATE(2026,4,22),'DRAFT 2'!$A:$A,"&lt;"&amp;DATE(2026,IF(4=12,4+1,4+1),1))</f>
        <v/>
      </c>
      <c r="EE106" s="116">
        <f>SUM(EA106:ED106)</f>
        <v/>
      </c>
      <c r="EO106" s="116">
        <f>IFERROR(LOOKUP(2,1/('DRAFT 2'!$D:$D=$B106)*('DRAFT 2'!$A:$A&gt;=DATE(2026,5,1))*('DRAFT 2'!$A:$A&lt;DATE(2026,IF(5=12,5+1,5+1),1)),'DRAFT 2'!$A:$A),"")</f>
        <v/>
      </c>
      <c r="EP106" s="116">
        <f>COUNTIFS('DRAFT 2'!$D:$D,$B106,'DRAFT 2'!$A:$A,"&gt;="&amp;DATE(2026,5,1),'DRAFT 2'!$A:$A,"&lt;="&amp;DATE(2026,5,7))</f>
        <v/>
      </c>
      <c r="EQ106" s="116">
        <f>COUNTIFS('DRAFT 2'!$D:$D,$B106,'DRAFT 2'!$A:$A,"&gt;="&amp;DATE(2026,5,8),'DRAFT 2'!$A:$A,"&lt;="&amp;DATE(2026,5,14))</f>
        <v/>
      </c>
      <c r="ER106" s="116">
        <f>COUNTIFS('DRAFT 2'!$D:$D,$B106,'DRAFT 2'!$A:$A,"&gt;="&amp;DATE(2026,5,15),'DRAFT 2'!$A:$A,"&lt;="&amp;DATE(2026,5,21))</f>
        <v/>
      </c>
      <c r="ES106" s="116">
        <f>COUNTIFS('DRAFT 2'!$D:$D,$B106,'DRAFT 2'!$A:$A,"&gt;="&amp;DATE(2026,5,22),'DRAFT 2'!$A:$A,"&lt;"&amp;DATE(2026,IF(5=12,5+1,5+1),1))</f>
        <v/>
      </c>
      <c r="ET106" s="116">
        <f>SUM(EP106:ES106)</f>
        <v/>
      </c>
      <c r="FD106" s="116">
        <f>IFERROR(LOOKUP(2,1/('DRAFT 2'!$D:$D=$B106)*('DRAFT 2'!$A:$A&gt;=DATE(2026,6,1))*('DRAFT 2'!$A:$A&lt;DATE(2026,IF(6=12,6+1,6+1),1)),'DRAFT 2'!$A:$A),"")</f>
        <v/>
      </c>
      <c r="FE106" s="116">
        <f>COUNTIFS('DRAFT 2'!$D:$D,$B106,'DRAFT 2'!$A:$A,"&gt;="&amp;DATE(2026,6,1),'DRAFT 2'!$A:$A,"&lt;="&amp;DATE(2026,6,7))</f>
        <v/>
      </c>
      <c r="FF106" s="116">
        <f>COUNTIFS('DRAFT 2'!$D:$D,$B106,'DRAFT 2'!$A:$A,"&gt;="&amp;DATE(2026,6,8),'DRAFT 2'!$A:$A,"&lt;="&amp;DATE(2026,6,14))</f>
        <v/>
      </c>
      <c r="FG106" s="116">
        <f>COUNTIFS('DRAFT 2'!$D:$D,$B106,'DRAFT 2'!$A:$A,"&gt;="&amp;DATE(2026,6,15),'DRAFT 2'!$A:$A,"&lt;="&amp;DATE(2026,6,21))</f>
        <v/>
      </c>
      <c r="FH106" s="116">
        <f>COUNTIFS('DRAFT 2'!$D:$D,$B106,'DRAFT 2'!$A:$A,"&gt;="&amp;DATE(2026,6,22),'DRAFT 2'!$A:$A,"&lt;"&amp;DATE(2026,IF(6=12,6+1,6+1),1))</f>
        <v/>
      </c>
      <c r="FI106" s="116">
        <f>SUM(FE106:FH106)</f>
        <v/>
      </c>
      <c r="FT106" s="116">
        <f>IFERROR(LOOKUP(2,1/('DRAFT 2'!$D:$D=$B106)*('DRAFT 2'!$A:$A&gt;=DATE(2026,7,1))*('DRAFT 2'!$A:$A&lt;DATE(2026,IF(7=12,7+1,7+1),1)),'DRAFT 2'!$A:$A),"")</f>
        <v/>
      </c>
      <c r="FU106" s="116">
        <f>COUNTIFS('DRAFT 2'!$D:$D,$B106,'DRAFT 2'!$A:$A,"&gt;="&amp;DATE(2026,7,1),'DRAFT 2'!$A:$A,"&lt;="&amp;DATE(2026,7,7))</f>
        <v/>
      </c>
      <c r="FV106" s="116">
        <f>COUNTIFS('DRAFT 2'!$D:$D,$B106,'DRAFT 2'!$A:$A,"&gt;="&amp;DATE(2026,7,8),'DRAFT 2'!$A:$A,"&lt;="&amp;DATE(2026,7,14))</f>
        <v/>
      </c>
      <c r="FW106" s="116">
        <f>COUNTIFS('DRAFT 2'!$D:$D,$B106,'DRAFT 2'!$A:$A,"&gt;="&amp;DATE(2026,7,15),'DRAFT 2'!$A:$A,"&lt;="&amp;DATE(2026,7,21))</f>
        <v/>
      </c>
      <c r="FX106" s="116">
        <f>COUNTIFS('DRAFT 2'!$D:$D,$B106,'DRAFT 2'!$A:$A,"&gt;="&amp;DATE(2026,7,22),'DRAFT 2'!$A:$A,"&lt;"&amp;DATE(2026,IF(7=12,7+1,7+1),1))</f>
        <v/>
      </c>
      <c r="FY106" s="116">
        <f>SUM(FU106:FX106)</f>
        <v/>
      </c>
      <c r="GI106" s="116">
        <f>IFERROR(LOOKUP(2,1/('DRAFT 2'!$D:$D=$B106)*('DRAFT 2'!$A:$A&gt;=DATE(2026,8,1))*('DRAFT 2'!$A:$A&lt;DATE(2026,IF(8=12,8+1,8+1),1)),'DRAFT 2'!$A:$A),"")</f>
        <v/>
      </c>
      <c r="GJ106" s="116">
        <f>COUNTIFS('DRAFT 2'!$D:$D,$B106,'DRAFT 2'!$A:$A,"&gt;="&amp;DATE(2026,8,1),'DRAFT 2'!$A:$A,"&lt;="&amp;DATE(2026,8,7))</f>
        <v/>
      </c>
      <c r="GK106" s="116">
        <f>COUNTIFS('DRAFT 2'!$D:$D,$B106,'DRAFT 2'!$A:$A,"&gt;="&amp;DATE(2026,8,8),'DRAFT 2'!$A:$A,"&lt;="&amp;DATE(2026,8,14))</f>
        <v/>
      </c>
      <c r="GL106" s="116">
        <f>COUNTIFS('DRAFT 2'!$D:$D,$B106,'DRAFT 2'!$A:$A,"&gt;="&amp;DATE(2026,8,15),'DRAFT 2'!$A:$A,"&lt;="&amp;DATE(2026,8,21))</f>
        <v/>
      </c>
      <c r="GM106" s="116">
        <f>COUNTIFS('DRAFT 2'!$D:$D,$B106,'DRAFT 2'!$A:$A,"&gt;="&amp;DATE(2026,8,22),'DRAFT 2'!$A:$A,"&lt;"&amp;DATE(2026,IF(8=12,8+1,8+1),1))</f>
        <v/>
      </c>
      <c r="GN106" s="116">
        <f>SUM(GJ106:GM106)</f>
        <v/>
      </c>
      <c r="GX106" s="116">
        <f>IFERROR(LOOKUP(2,1/('DRAFT 2'!$D:$D=$B106)*('DRAFT 2'!$A:$A&gt;=DATE(2026,9,1))*('DRAFT 2'!$A:$A&lt;DATE(2026,IF(9=12,9+1,9+1),1)),'DRAFT 2'!$A:$A),"")</f>
        <v/>
      </c>
      <c r="GY106" s="116">
        <f>COUNTIFS('DRAFT 2'!$D:$D,$B106,'DRAFT 2'!$A:$A,"&gt;="&amp;DATE(2026,9,1),'DRAFT 2'!$A:$A,"&lt;="&amp;DATE(2026,9,7))</f>
        <v/>
      </c>
      <c r="GZ106" s="116">
        <f>COUNTIFS('DRAFT 2'!$D:$D,$B106,'DRAFT 2'!$A:$A,"&gt;="&amp;DATE(2026,9,8),'DRAFT 2'!$A:$A,"&lt;="&amp;DATE(2026,9,14))</f>
        <v/>
      </c>
      <c r="HA106" s="116">
        <f>COUNTIFS('DRAFT 2'!$D:$D,$B106,'DRAFT 2'!$A:$A,"&gt;="&amp;DATE(2026,9,15),'DRAFT 2'!$A:$A,"&lt;="&amp;DATE(2026,9,21))</f>
        <v/>
      </c>
      <c r="HB106" s="116">
        <f>COUNTIFS('DRAFT 2'!$D:$D,$B106,'DRAFT 2'!$A:$A,"&gt;="&amp;DATE(2026,9,22),'DRAFT 2'!$A:$A,"&lt;"&amp;DATE(2026,IF(9=12,9+1,9+1),1))</f>
        <v/>
      </c>
      <c r="HC106" s="116">
        <f>SUM(GY106:HB106)</f>
        <v/>
      </c>
      <c r="HN106" s="116">
        <f>IFERROR(LOOKUP(2,1/('DRAFT 2'!$D:$D=$B106)*('DRAFT 2'!$A:$A&gt;=DATE(2026,10,1))*('DRAFT 2'!$A:$A&lt;DATE(2026,IF(10=12,10+1,10+1),1)),'DRAFT 2'!$A:$A),"")</f>
        <v/>
      </c>
      <c r="HO106" s="116">
        <f>COUNTIFS('DRAFT 2'!$D:$D,$B106,'DRAFT 2'!$A:$A,"&gt;="&amp;DATE(2026,10,1),'DRAFT 2'!$A:$A,"&lt;="&amp;DATE(2026,10,7))</f>
        <v/>
      </c>
      <c r="HP106" s="116">
        <f>COUNTIFS('DRAFT 2'!$D:$D,$B106,'DRAFT 2'!$A:$A,"&gt;="&amp;DATE(2026,10,8),'DRAFT 2'!$A:$A,"&lt;="&amp;DATE(2026,10,14))</f>
        <v/>
      </c>
      <c r="HQ106" s="116">
        <f>COUNTIFS('DRAFT 2'!$D:$D,$B106,'DRAFT 2'!$A:$A,"&gt;="&amp;DATE(2026,10,15),'DRAFT 2'!$A:$A,"&lt;="&amp;DATE(2026,10,21))</f>
        <v/>
      </c>
      <c r="HR106" s="116">
        <f>COUNTIFS('DRAFT 2'!$D:$D,$B106,'DRAFT 2'!$A:$A,"&gt;="&amp;DATE(2026,10,22),'DRAFT 2'!$A:$A,"&lt;"&amp;DATE(2026,IF(10=12,10+1,10+1),1))</f>
        <v/>
      </c>
      <c r="HS106" s="116">
        <f>SUM(HO106:HR106)</f>
        <v/>
      </c>
      <c r="IC106" s="116">
        <f>IFERROR(LOOKUP(2,1/('DRAFT 2'!$D:$D=$B106)*('DRAFT 2'!$A:$A&gt;=DATE(2026,11,1))*('DRAFT 2'!$A:$A&lt;DATE(2026,IF(11=12,11+1,11+1),1)),'DRAFT 2'!$A:$A),"")</f>
        <v/>
      </c>
      <c r="ID106" s="116">
        <f>COUNTIFS('DRAFT 2'!$D:$D,$B106,'DRAFT 2'!$A:$A,"&gt;="&amp;DATE(2026,11,1),'DRAFT 2'!$A:$A,"&lt;="&amp;DATE(2026,11,7))</f>
        <v/>
      </c>
      <c r="IE106" s="116">
        <f>COUNTIFS('DRAFT 2'!$D:$D,$B106,'DRAFT 2'!$A:$A,"&gt;="&amp;DATE(2026,11,8),'DRAFT 2'!$A:$A,"&lt;="&amp;DATE(2026,11,14))</f>
        <v/>
      </c>
      <c r="IF106" s="116">
        <f>COUNTIFS('DRAFT 2'!$D:$D,$B106,'DRAFT 2'!$A:$A,"&gt;="&amp;DATE(2026,11,15),'DRAFT 2'!$A:$A,"&lt;="&amp;DATE(2026,11,21))</f>
        <v/>
      </c>
      <c r="IG106" s="116">
        <f>COUNTIFS('DRAFT 2'!$D:$D,$B106,'DRAFT 2'!$A:$A,"&gt;="&amp;DATE(2026,11,22),'DRAFT 2'!$A:$A,"&lt;"&amp;DATE(2026,IF(11=12,11+1,11+1),1))</f>
        <v/>
      </c>
      <c r="IH106" s="116">
        <f>SUM(ID106:IG106)</f>
        <v/>
      </c>
      <c r="IR106" s="116">
        <f>IFERROR(LOOKUP(2,1/('DRAFT 2'!$D:$D=$B106)*('DRAFT 2'!$A:$A&gt;=DATE(2026,12,1))*('DRAFT 2'!$A:$A&lt;DATE(2026,IF(12=12,12+1,12+1),1)),'DRAFT 2'!$A:$A),"")</f>
        <v/>
      </c>
      <c r="IS106" s="116">
        <f>COUNTIFS('DRAFT 2'!$D:$D,$B106,'DRAFT 2'!$A:$A,"&gt;="&amp;DATE(2026,12,1),'DRAFT 2'!$A:$A,"&lt;="&amp;DATE(2026,12,7))</f>
        <v/>
      </c>
      <c r="IT106" s="116">
        <f>COUNTIFS('DRAFT 2'!$D:$D,$B106,'DRAFT 2'!$A:$A,"&gt;="&amp;DATE(2026,12,8),'DRAFT 2'!$A:$A,"&lt;="&amp;DATE(2026,12,14))</f>
        <v/>
      </c>
      <c r="IU106" s="116">
        <f>COUNTIFS('DRAFT 2'!$D:$D,$B106,'DRAFT 2'!$A:$A,"&gt;="&amp;DATE(2026,12,15),'DRAFT 2'!$A:$A,"&lt;="&amp;DATE(2026,12,21))</f>
        <v/>
      </c>
      <c r="IV106" s="116">
        <f>COUNTIFS('DRAFT 2'!$D:$D,$B106,'DRAFT 2'!$A:$A,"&gt;="&amp;DATE(2026,12,22),'DRAFT 2'!$A:$A,"&lt;"&amp;DATE(2026,IF(12=12,12+1,12+1),1))</f>
        <v/>
      </c>
      <c r="IW106" s="116">
        <f>SUM(IS106:IV106)</f>
        <v/>
      </c>
    </row>
    <row r="107">
      <c r="A107" s="116">
        <f>IFERROR(INDEX('DRAFT 1'!$A:$A,MATCH($B107,'DRAFT 1'!$B:$B,0)),"")</f>
        <v/>
      </c>
      <c r="C107" s="116">
        <f>IFERROR(INDEX('DRAFT 1'!$C:$C,MATCH($B107,'DRAFT 1'!$B:$B,0)),"")</f>
        <v/>
      </c>
      <c r="D107" s="116">
        <f>IFERROR(INDEX('DRAFT 1'!$D:$D,MATCH($B107,'DRAFT 1'!$B:$B,0)),"")</f>
        <v/>
      </c>
      <c r="E107" s="116">
        <f>IFERROR(INDEX('DRAFT 1'!$E:$E,MATCH($B107,'DRAFT 1'!$B:$B,0)),"")</f>
        <v/>
      </c>
      <c r="F107" s="116">
        <f>IFERROR(INDEX('DRAFT 1'!$F:$F,MATCH($B107,'DRAFT 1'!$B:$B,0)),"")</f>
        <v/>
      </c>
      <c r="G107" s="116">
        <f>IFERROR(INDEX('DRAFT 1'!$G:$G,MATCH($B107,'DRAFT 1'!$B:$B,0)),"")</f>
        <v/>
      </c>
      <c r="H107" s="116">
        <f>IFERROR(INDEX('DRAFT 1'!$H:$H,MATCH($B107,'DRAFT 1'!$B:$B,0)),"")</f>
        <v/>
      </c>
      <c r="I107" s="116" t="inlineStr">
        <is>
          <t>MUNDO VERDE</t>
        </is>
      </c>
      <c r="K107" s="116">
        <f>IFERROR(INDEX('DRAFT 1'!$AL:$AL,MATCH($B107,'DRAFT 1'!$B:$B,0)),"")</f>
        <v/>
      </c>
      <c r="L107" s="116">
        <f>IFERROR(INDEX('DRAFT 1'!$J:$J,MATCH($B107,'DRAFT 1'!$B:$B,0)),"")</f>
        <v/>
      </c>
      <c r="M107" s="116">
        <f>IFERROR(INDEX('DRAFT 1'!$K:$K,MATCH($B107,'DRAFT 1'!$B:$B,0)),"")</f>
        <v/>
      </c>
      <c r="N107" s="116" t="inlineStr">
        <is>
          <t>INAT.ANT</t>
        </is>
      </c>
      <c r="P107" s="116">
        <f>IFERROR(INDEX('DRAFT 1'!$L:$L,MATCH($B107,'DRAFT 1'!$B:$B,0)),"")</f>
        <v/>
      </c>
      <c r="Q107" s="116">
        <f>IFERROR(INDEX('DRAFT 1'!$M:$M,MATCH($B107,'DRAFT 1'!$B:$B,0)),"")</f>
        <v/>
      </c>
      <c r="R107" s="116">
        <f>IFERROR(INDEX('DRAFT 1'!$N:$N,MATCH($B107,'DRAFT 1'!$B:$B,0)),"")</f>
        <v/>
      </c>
      <c r="S107" s="116">
        <f>IFERROR(INDEX('DRAFT 1'!$O:$O,MATCH($B107,'DRAFT 1'!$B:$B,0)),"")</f>
        <v/>
      </c>
      <c r="T107" s="116">
        <f>IFERROR(INDEX('DRAFT 1'!$P:$P,MATCH($B107,'DRAFT 1'!$B:$B,0)),"")</f>
        <v/>
      </c>
      <c r="U107" s="116">
        <f>IFERROR(INDEX('DRAFT 1'!$Q:$Q,MATCH($B107,'DRAFT 1'!$B:$B,0)),"")</f>
        <v/>
      </c>
      <c r="V107" s="116">
        <f>IFERROR(INDEX('DRAFT 1'!$R:$R,MATCH($B107,'DRAFT 1'!$B:$B,0)),"")</f>
        <v/>
      </c>
      <c r="W107" s="116">
        <f>IFERROR(INDEX('DRAFT 1'!$S:$S,MATCH($B107,'DRAFT 1'!$B:$B,0)),"")</f>
        <v/>
      </c>
      <c r="X107" s="116">
        <f>IFERROR(INDEX('DRAFT 1'!$T:$T,MATCH($B107,'DRAFT 1'!$B:$B,0)),"")</f>
        <v/>
      </c>
      <c r="Z107" s="116">
        <f>IFERROR(INDEX('DRAFT 1'!$U:$U,MATCH($B107,'DRAFT 1'!$B:$B,0)),"")</f>
        <v/>
      </c>
      <c r="AA107" s="116">
        <f>IFERROR(INDEX('DRAFT 1'!$V:$V,MATCH($B107,'DRAFT 1'!$B:$B,0)),"")</f>
        <v/>
      </c>
      <c r="AB107" s="116">
        <f>IFERROR(INDEX('DRAFT 1'!$W:$W,MATCH($B107,'DRAFT 1'!$B:$B,0)),"")</f>
        <v/>
      </c>
      <c r="AC107" s="116">
        <f>IFERROR(INDEX('DRAFT 1'!$X:$X,MATCH($B107,'DRAFT 1'!$B:$B,0)),"")</f>
        <v/>
      </c>
      <c r="AD107" s="116">
        <f>IFERROR(INDEX('DRAFT 1'!$Y:$Y,MATCH($B107,'DRAFT 1'!$B:$B,0)),"")</f>
        <v/>
      </c>
      <c r="AE107" s="116">
        <f>IFERROR(INDEX('DRAFT 1'!$Z:$Z,MATCH($B107,'DRAFT 1'!$B:$B,0)),"")</f>
        <v/>
      </c>
      <c r="AF107" s="116">
        <f>IFERROR(INDEX('DRAFT 1'!$AA:$AA,MATCH($B107,'DRAFT 1'!$B:$B,0)),"")</f>
        <v/>
      </c>
      <c r="AG107" s="116">
        <f>IFERROR(INDEX('DRAFT 1'!$AB:$AB,MATCH($B107,'DRAFT 1'!$B:$B,0)),"")</f>
        <v/>
      </c>
      <c r="AH107" s="116">
        <f>IFERROR(INDEX('DRAFT 1'!$AC:$AC,MATCH($B107,'DRAFT 1'!$B:$B,0)),"")</f>
        <v/>
      </c>
      <c r="AI107" s="116">
        <f>IFERROR(INDEX('DRAFT 1'!$AD:$AD,MATCH($B107,'DRAFT 1'!$B:$B,0)),"")</f>
        <v/>
      </c>
      <c r="AJ107" s="116">
        <f>IFERROR(INDEX('DRAFT 1'!$AE:$AE,MATCH($B107,'DRAFT 1'!$B:$B,0)),"")</f>
        <v/>
      </c>
      <c r="AK107" s="116">
        <f>IFERROR(INDEX('DRAFT 1'!$AG:$AG,MATCH($B107,'DRAFT 1'!$B:$B,0)),"")</f>
        <v/>
      </c>
      <c r="AL107" s="116">
        <f>IFERROR(INDEX('DRAFT 1'!$AH:$AH,MATCH($B107,'DRAFT 1'!$B:$B,0)),"")</f>
        <v/>
      </c>
      <c r="AM107" s="116">
        <f>IFERROR(INDEX('DRAFT 1'!$AI:$AI,MATCH($B107,'DRAFT 1'!$B:$B,0)),"")</f>
        <v/>
      </c>
      <c r="AN107" s="116">
        <f>IFERROR(INDEX('DRAFT 1'!$AJ:$AJ,MATCH($B107,'DRAFT 1'!$B:$B,0)),"")</f>
        <v/>
      </c>
      <c r="AO107" s="116">
        <f>IFERROR(Y107/AN107,0)</f>
        <v/>
      </c>
      <c r="AP107" s="116">
        <f>IFERROR(INDEX('DRAFT 1'!$AK:$AK,MATCH($B107,'DRAFT 1'!$B:$B,0)),"")</f>
        <v/>
      </c>
      <c r="AR107" s="116" t="inlineStr">
        <is>
          <t>RECOMPRA</t>
        </is>
      </c>
      <c r="AS107" s="116">
        <f>IFERROR(LOOKUP(2,1/('DRAFT 2'!$D:$D=$B107),'DRAFT 2'!$T:$T),"")</f>
        <v/>
      </c>
      <c r="AT107" s="116">
        <f>IFERROR(LOOKUP(2,1/('DRAFT 2'!$D:$D=$B107),'DRAFT 2'!$A:$A),"")</f>
        <v/>
      </c>
      <c r="AU107" s="116">
        <f>IFERROR(LOOKUP(2,1/('DRAFT 2'!$D:$D=$B107),'DRAFT 2'!$R:$R),"")</f>
        <v/>
      </c>
      <c r="AV107" s="116">
        <f>IFERROR(LOOKUP(2,1/('DRAFT 2'!$D:$D=$B107),'DRAFT 2'!$S:$S),"")</f>
        <v/>
      </c>
      <c r="AW107" s="116" t="inlineStr">
        <is>
          <t>FIDELIZADO</t>
        </is>
      </c>
      <c r="AX107" s="116">
        <f>IFERROR(LOOKUP(2,1/('DRAFT 2'!$D:$D=$B107),'DRAFT 2'!$M:$M),"")</f>
        <v/>
      </c>
      <c r="AY107" s="116">
        <f>IFERROR(LOOKUP(2,1/('DRAFT 2'!$D:$D=$B107),'DRAFT 2'!$K:$K),"")</f>
        <v/>
      </c>
      <c r="BG107" s="116">
        <f>IFERROR(LOOKUP(2,1/('DRAFT 2'!$D:$D=$B107),'DRAFT 2'!$U:$U),"")</f>
        <v/>
      </c>
      <c r="BH107" s="116">
        <f>IFERROR(LOOKUP(2,1/('DRAFT 2'!$D:$D=$B107),'DRAFT 2'!$V:$V),"")</f>
        <v/>
      </c>
      <c r="CE107" s="116">
        <f>IFERROR(AJ107,0)</f>
        <v/>
      </c>
      <c r="CF107" s="116">
        <f>IFERROR(LOOKUP(2,1/('DRAFT 2'!$D:$D=$B107)*('DRAFT 2'!$A:$A&gt;=DATE(2026,1,1))*('DRAFT 2'!$A:$A&lt;DATE(2026,IF(1=12,1+1,1+1),1)),'DRAFT 2'!$A:$A),"")</f>
        <v/>
      </c>
      <c r="CG107" s="116">
        <f>COUNTIFS('DRAFT 2'!$D:$D,$B107,'DRAFT 2'!$A:$A,"&gt;="&amp;DATE(2026,1,1),'DRAFT 2'!$A:$A,"&lt;="&amp;DATE(2026,1,7))</f>
        <v/>
      </c>
      <c r="CH107" s="116">
        <f>COUNTIFS('DRAFT 2'!$D:$D,$B107,'DRAFT 2'!$A:$A,"&gt;="&amp;DATE(2026,1,8),'DRAFT 2'!$A:$A,"&lt;="&amp;DATE(2026,1,14))</f>
        <v/>
      </c>
      <c r="CI107" s="116">
        <f>COUNTIFS('DRAFT 2'!$D:$D,$B107,'DRAFT 2'!$A:$A,"&gt;="&amp;DATE(2026,1,15),'DRAFT 2'!$A:$A,"&lt;="&amp;DATE(2026,1,21))</f>
        <v/>
      </c>
      <c r="CJ107" s="116">
        <f>COUNTIFS('DRAFT 2'!$D:$D,$B107,'DRAFT 2'!$A:$A,"&gt;="&amp;DATE(2026,1,22),'DRAFT 2'!$A:$A,"&lt;"&amp;DATE(2026,IF(1=12,1+1,1+1),1))</f>
        <v/>
      </c>
      <c r="CK107" s="116">
        <f>SUM(CG107:CJ107)</f>
        <v/>
      </c>
      <c r="CT107" s="116" t="n">
        <v>0</v>
      </c>
      <c r="CU107" s="116">
        <f>IFERROR(LOOKUP(2,1/('DRAFT 2'!$D:$D=$B107)*('DRAFT 2'!$A:$A&gt;=DATE(2026,2,1))*('DRAFT 2'!$A:$A&lt;DATE(2026,IF(2=12,2+1,2+1),1)),'DRAFT 2'!$A:$A),"")</f>
        <v/>
      </c>
      <c r="CV107" s="116">
        <f>COUNTIFS('DRAFT 2'!$D:$D,$B107,'DRAFT 2'!$A:$A,"&gt;="&amp;DATE(2026,2,1),'DRAFT 2'!$A:$A,"&lt;="&amp;DATE(2026,2,7))</f>
        <v/>
      </c>
      <c r="CW107" s="116">
        <f>COUNTIFS('DRAFT 2'!$D:$D,$B107,'DRAFT 2'!$A:$A,"&gt;="&amp;DATE(2026,2,8),'DRAFT 2'!$A:$A,"&lt;="&amp;DATE(2026,2,14))</f>
        <v/>
      </c>
      <c r="CX107" s="116">
        <f>COUNTIFS('DRAFT 2'!$D:$D,$B107,'DRAFT 2'!$A:$A,"&gt;="&amp;DATE(2026,2,15),'DRAFT 2'!$A:$A,"&lt;="&amp;DATE(2026,2,21))</f>
        <v/>
      </c>
      <c r="CY107" s="116">
        <f>COUNTIFS('DRAFT 2'!$D:$D,$B107,'DRAFT 2'!$A:$A,"&gt;="&amp;DATE(2026,2,22),'DRAFT 2'!$A:$A,"&lt;"&amp;DATE(2026,IF(2=12,2+1,2+1),1))</f>
        <v/>
      </c>
      <c r="CZ107" s="116">
        <f>SUM(CV107:CY107)</f>
        <v/>
      </c>
      <c r="DJ107" s="116">
        <f>IFERROR(LOOKUP(2,1/('DRAFT 2'!$D:$D=$B107)*('DRAFT 2'!$A:$A&gt;=DATE(2026,3,1))*('DRAFT 2'!$A:$A&lt;DATE(2026,IF(3=12,3+1,3+1),1)),'DRAFT 2'!$A:$A),"")</f>
        <v/>
      </c>
      <c r="DK107" s="116">
        <f>COUNTIFS('DRAFT 2'!$D:$D,$B107,'DRAFT 2'!$A:$A,"&gt;="&amp;DATE(2026,3,1),'DRAFT 2'!$A:$A,"&lt;="&amp;DATE(2026,3,7))</f>
        <v/>
      </c>
      <c r="DL107" s="116">
        <f>COUNTIFS('DRAFT 2'!$D:$D,$B107,'DRAFT 2'!$A:$A,"&gt;="&amp;DATE(2026,3,8),'DRAFT 2'!$A:$A,"&lt;="&amp;DATE(2026,3,14))</f>
        <v/>
      </c>
      <c r="DM107" s="116">
        <f>COUNTIFS('DRAFT 2'!$D:$D,$B107,'DRAFT 2'!$A:$A,"&gt;="&amp;DATE(2026,3,15),'DRAFT 2'!$A:$A,"&lt;="&amp;DATE(2026,3,21))</f>
        <v/>
      </c>
      <c r="DN107" s="116">
        <f>COUNTIFS('DRAFT 2'!$D:$D,$B107,'DRAFT 2'!$A:$A,"&gt;="&amp;DATE(2026,3,22),'DRAFT 2'!$A:$A,"&lt;"&amp;DATE(2026,IF(3=12,3+1,3+1),1))</f>
        <v/>
      </c>
      <c r="DO107" s="116">
        <f>SUM(DK107:DN107)</f>
        <v/>
      </c>
      <c r="DZ107" s="116">
        <f>IFERROR(LOOKUP(2,1/('DRAFT 2'!$D:$D=$B107)*('DRAFT 2'!$A:$A&gt;=DATE(2026,4,1))*('DRAFT 2'!$A:$A&lt;DATE(2026,IF(4=12,4+1,4+1),1)),'DRAFT 2'!$A:$A),"")</f>
        <v/>
      </c>
      <c r="EA107" s="116">
        <f>COUNTIFS('DRAFT 2'!$D:$D,$B107,'DRAFT 2'!$A:$A,"&gt;="&amp;DATE(2026,4,1),'DRAFT 2'!$A:$A,"&lt;="&amp;DATE(2026,4,7))</f>
        <v/>
      </c>
      <c r="EB107" s="116">
        <f>COUNTIFS('DRAFT 2'!$D:$D,$B107,'DRAFT 2'!$A:$A,"&gt;="&amp;DATE(2026,4,8),'DRAFT 2'!$A:$A,"&lt;="&amp;DATE(2026,4,14))</f>
        <v/>
      </c>
      <c r="EC107" s="116">
        <f>COUNTIFS('DRAFT 2'!$D:$D,$B107,'DRAFT 2'!$A:$A,"&gt;="&amp;DATE(2026,4,15),'DRAFT 2'!$A:$A,"&lt;="&amp;DATE(2026,4,21))</f>
        <v/>
      </c>
      <c r="ED107" s="116">
        <f>COUNTIFS('DRAFT 2'!$D:$D,$B107,'DRAFT 2'!$A:$A,"&gt;="&amp;DATE(2026,4,22),'DRAFT 2'!$A:$A,"&lt;"&amp;DATE(2026,IF(4=12,4+1,4+1),1))</f>
        <v/>
      </c>
      <c r="EE107" s="116">
        <f>SUM(EA107:ED107)</f>
        <v/>
      </c>
      <c r="EO107" s="116">
        <f>IFERROR(LOOKUP(2,1/('DRAFT 2'!$D:$D=$B107)*('DRAFT 2'!$A:$A&gt;=DATE(2026,5,1))*('DRAFT 2'!$A:$A&lt;DATE(2026,IF(5=12,5+1,5+1),1)),'DRAFT 2'!$A:$A),"")</f>
        <v/>
      </c>
      <c r="EP107" s="116">
        <f>COUNTIFS('DRAFT 2'!$D:$D,$B107,'DRAFT 2'!$A:$A,"&gt;="&amp;DATE(2026,5,1),'DRAFT 2'!$A:$A,"&lt;="&amp;DATE(2026,5,7))</f>
        <v/>
      </c>
      <c r="EQ107" s="116">
        <f>COUNTIFS('DRAFT 2'!$D:$D,$B107,'DRAFT 2'!$A:$A,"&gt;="&amp;DATE(2026,5,8),'DRAFT 2'!$A:$A,"&lt;="&amp;DATE(2026,5,14))</f>
        <v/>
      </c>
      <c r="ER107" s="116">
        <f>COUNTIFS('DRAFT 2'!$D:$D,$B107,'DRAFT 2'!$A:$A,"&gt;="&amp;DATE(2026,5,15),'DRAFT 2'!$A:$A,"&lt;="&amp;DATE(2026,5,21))</f>
        <v/>
      </c>
      <c r="ES107" s="116">
        <f>COUNTIFS('DRAFT 2'!$D:$D,$B107,'DRAFT 2'!$A:$A,"&gt;="&amp;DATE(2026,5,22),'DRAFT 2'!$A:$A,"&lt;"&amp;DATE(2026,IF(5=12,5+1,5+1),1))</f>
        <v/>
      </c>
      <c r="ET107" s="116">
        <f>SUM(EP107:ES107)</f>
        <v/>
      </c>
      <c r="FD107" s="116">
        <f>IFERROR(LOOKUP(2,1/('DRAFT 2'!$D:$D=$B107)*('DRAFT 2'!$A:$A&gt;=DATE(2026,6,1))*('DRAFT 2'!$A:$A&lt;DATE(2026,IF(6=12,6+1,6+1),1)),'DRAFT 2'!$A:$A),"")</f>
        <v/>
      </c>
      <c r="FE107" s="116">
        <f>COUNTIFS('DRAFT 2'!$D:$D,$B107,'DRAFT 2'!$A:$A,"&gt;="&amp;DATE(2026,6,1),'DRAFT 2'!$A:$A,"&lt;="&amp;DATE(2026,6,7))</f>
        <v/>
      </c>
      <c r="FF107" s="116">
        <f>COUNTIFS('DRAFT 2'!$D:$D,$B107,'DRAFT 2'!$A:$A,"&gt;="&amp;DATE(2026,6,8),'DRAFT 2'!$A:$A,"&lt;="&amp;DATE(2026,6,14))</f>
        <v/>
      </c>
      <c r="FG107" s="116">
        <f>COUNTIFS('DRAFT 2'!$D:$D,$B107,'DRAFT 2'!$A:$A,"&gt;="&amp;DATE(2026,6,15),'DRAFT 2'!$A:$A,"&lt;="&amp;DATE(2026,6,21))</f>
        <v/>
      </c>
      <c r="FH107" s="116">
        <f>COUNTIFS('DRAFT 2'!$D:$D,$B107,'DRAFT 2'!$A:$A,"&gt;="&amp;DATE(2026,6,22),'DRAFT 2'!$A:$A,"&lt;"&amp;DATE(2026,IF(6=12,6+1,6+1),1))</f>
        <v/>
      </c>
      <c r="FI107" s="116">
        <f>SUM(FE107:FH107)</f>
        <v/>
      </c>
      <c r="FT107" s="116">
        <f>IFERROR(LOOKUP(2,1/('DRAFT 2'!$D:$D=$B107)*('DRAFT 2'!$A:$A&gt;=DATE(2026,7,1))*('DRAFT 2'!$A:$A&lt;DATE(2026,IF(7=12,7+1,7+1),1)),'DRAFT 2'!$A:$A),"")</f>
        <v/>
      </c>
      <c r="FU107" s="116">
        <f>COUNTIFS('DRAFT 2'!$D:$D,$B107,'DRAFT 2'!$A:$A,"&gt;="&amp;DATE(2026,7,1),'DRAFT 2'!$A:$A,"&lt;="&amp;DATE(2026,7,7))</f>
        <v/>
      </c>
      <c r="FV107" s="116">
        <f>COUNTIFS('DRAFT 2'!$D:$D,$B107,'DRAFT 2'!$A:$A,"&gt;="&amp;DATE(2026,7,8),'DRAFT 2'!$A:$A,"&lt;="&amp;DATE(2026,7,14))</f>
        <v/>
      </c>
      <c r="FW107" s="116">
        <f>COUNTIFS('DRAFT 2'!$D:$D,$B107,'DRAFT 2'!$A:$A,"&gt;="&amp;DATE(2026,7,15),'DRAFT 2'!$A:$A,"&lt;="&amp;DATE(2026,7,21))</f>
        <v/>
      </c>
      <c r="FX107" s="116">
        <f>COUNTIFS('DRAFT 2'!$D:$D,$B107,'DRAFT 2'!$A:$A,"&gt;="&amp;DATE(2026,7,22),'DRAFT 2'!$A:$A,"&lt;"&amp;DATE(2026,IF(7=12,7+1,7+1),1))</f>
        <v/>
      </c>
      <c r="FY107" s="116">
        <f>SUM(FU107:FX107)</f>
        <v/>
      </c>
      <c r="GI107" s="116">
        <f>IFERROR(LOOKUP(2,1/('DRAFT 2'!$D:$D=$B107)*('DRAFT 2'!$A:$A&gt;=DATE(2026,8,1))*('DRAFT 2'!$A:$A&lt;DATE(2026,IF(8=12,8+1,8+1),1)),'DRAFT 2'!$A:$A),"")</f>
        <v/>
      </c>
      <c r="GJ107" s="116">
        <f>COUNTIFS('DRAFT 2'!$D:$D,$B107,'DRAFT 2'!$A:$A,"&gt;="&amp;DATE(2026,8,1),'DRAFT 2'!$A:$A,"&lt;="&amp;DATE(2026,8,7))</f>
        <v/>
      </c>
      <c r="GK107" s="116">
        <f>COUNTIFS('DRAFT 2'!$D:$D,$B107,'DRAFT 2'!$A:$A,"&gt;="&amp;DATE(2026,8,8),'DRAFT 2'!$A:$A,"&lt;="&amp;DATE(2026,8,14))</f>
        <v/>
      </c>
      <c r="GL107" s="116">
        <f>COUNTIFS('DRAFT 2'!$D:$D,$B107,'DRAFT 2'!$A:$A,"&gt;="&amp;DATE(2026,8,15),'DRAFT 2'!$A:$A,"&lt;="&amp;DATE(2026,8,21))</f>
        <v/>
      </c>
      <c r="GM107" s="116">
        <f>COUNTIFS('DRAFT 2'!$D:$D,$B107,'DRAFT 2'!$A:$A,"&gt;="&amp;DATE(2026,8,22),'DRAFT 2'!$A:$A,"&lt;"&amp;DATE(2026,IF(8=12,8+1,8+1),1))</f>
        <v/>
      </c>
      <c r="GN107" s="116">
        <f>SUM(GJ107:GM107)</f>
        <v/>
      </c>
      <c r="GX107" s="116">
        <f>IFERROR(LOOKUP(2,1/('DRAFT 2'!$D:$D=$B107)*('DRAFT 2'!$A:$A&gt;=DATE(2026,9,1))*('DRAFT 2'!$A:$A&lt;DATE(2026,IF(9=12,9+1,9+1),1)),'DRAFT 2'!$A:$A),"")</f>
        <v/>
      </c>
      <c r="GY107" s="116">
        <f>COUNTIFS('DRAFT 2'!$D:$D,$B107,'DRAFT 2'!$A:$A,"&gt;="&amp;DATE(2026,9,1),'DRAFT 2'!$A:$A,"&lt;="&amp;DATE(2026,9,7))</f>
        <v/>
      </c>
      <c r="GZ107" s="116">
        <f>COUNTIFS('DRAFT 2'!$D:$D,$B107,'DRAFT 2'!$A:$A,"&gt;="&amp;DATE(2026,9,8),'DRAFT 2'!$A:$A,"&lt;="&amp;DATE(2026,9,14))</f>
        <v/>
      </c>
      <c r="HA107" s="116">
        <f>COUNTIFS('DRAFT 2'!$D:$D,$B107,'DRAFT 2'!$A:$A,"&gt;="&amp;DATE(2026,9,15),'DRAFT 2'!$A:$A,"&lt;="&amp;DATE(2026,9,21))</f>
        <v/>
      </c>
      <c r="HB107" s="116">
        <f>COUNTIFS('DRAFT 2'!$D:$D,$B107,'DRAFT 2'!$A:$A,"&gt;="&amp;DATE(2026,9,22),'DRAFT 2'!$A:$A,"&lt;"&amp;DATE(2026,IF(9=12,9+1,9+1),1))</f>
        <v/>
      </c>
      <c r="HC107" s="116">
        <f>SUM(GY107:HB107)</f>
        <v/>
      </c>
      <c r="HN107" s="116">
        <f>IFERROR(LOOKUP(2,1/('DRAFT 2'!$D:$D=$B107)*('DRAFT 2'!$A:$A&gt;=DATE(2026,10,1))*('DRAFT 2'!$A:$A&lt;DATE(2026,IF(10=12,10+1,10+1),1)),'DRAFT 2'!$A:$A),"")</f>
        <v/>
      </c>
      <c r="HO107" s="116">
        <f>COUNTIFS('DRAFT 2'!$D:$D,$B107,'DRAFT 2'!$A:$A,"&gt;="&amp;DATE(2026,10,1),'DRAFT 2'!$A:$A,"&lt;="&amp;DATE(2026,10,7))</f>
        <v/>
      </c>
      <c r="HP107" s="116">
        <f>COUNTIFS('DRAFT 2'!$D:$D,$B107,'DRAFT 2'!$A:$A,"&gt;="&amp;DATE(2026,10,8),'DRAFT 2'!$A:$A,"&lt;="&amp;DATE(2026,10,14))</f>
        <v/>
      </c>
      <c r="HQ107" s="116">
        <f>COUNTIFS('DRAFT 2'!$D:$D,$B107,'DRAFT 2'!$A:$A,"&gt;="&amp;DATE(2026,10,15),'DRAFT 2'!$A:$A,"&lt;="&amp;DATE(2026,10,21))</f>
        <v/>
      </c>
      <c r="HR107" s="116">
        <f>COUNTIFS('DRAFT 2'!$D:$D,$B107,'DRAFT 2'!$A:$A,"&gt;="&amp;DATE(2026,10,22),'DRAFT 2'!$A:$A,"&lt;"&amp;DATE(2026,IF(10=12,10+1,10+1),1))</f>
        <v/>
      </c>
      <c r="HS107" s="116">
        <f>SUM(HO107:HR107)</f>
        <v/>
      </c>
      <c r="IC107" s="116">
        <f>IFERROR(LOOKUP(2,1/('DRAFT 2'!$D:$D=$B107)*('DRAFT 2'!$A:$A&gt;=DATE(2026,11,1))*('DRAFT 2'!$A:$A&lt;DATE(2026,IF(11=12,11+1,11+1),1)),'DRAFT 2'!$A:$A),"")</f>
        <v/>
      </c>
      <c r="ID107" s="116">
        <f>COUNTIFS('DRAFT 2'!$D:$D,$B107,'DRAFT 2'!$A:$A,"&gt;="&amp;DATE(2026,11,1),'DRAFT 2'!$A:$A,"&lt;="&amp;DATE(2026,11,7))</f>
        <v/>
      </c>
      <c r="IE107" s="116">
        <f>COUNTIFS('DRAFT 2'!$D:$D,$B107,'DRAFT 2'!$A:$A,"&gt;="&amp;DATE(2026,11,8),'DRAFT 2'!$A:$A,"&lt;="&amp;DATE(2026,11,14))</f>
        <v/>
      </c>
      <c r="IF107" s="116">
        <f>COUNTIFS('DRAFT 2'!$D:$D,$B107,'DRAFT 2'!$A:$A,"&gt;="&amp;DATE(2026,11,15),'DRAFT 2'!$A:$A,"&lt;="&amp;DATE(2026,11,21))</f>
        <v/>
      </c>
      <c r="IG107" s="116">
        <f>COUNTIFS('DRAFT 2'!$D:$D,$B107,'DRAFT 2'!$A:$A,"&gt;="&amp;DATE(2026,11,22),'DRAFT 2'!$A:$A,"&lt;"&amp;DATE(2026,IF(11=12,11+1,11+1),1))</f>
        <v/>
      </c>
      <c r="IH107" s="116">
        <f>SUM(ID107:IG107)</f>
        <v/>
      </c>
      <c r="IR107" s="116">
        <f>IFERROR(LOOKUP(2,1/('DRAFT 2'!$D:$D=$B107)*('DRAFT 2'!$A:$A&gt;=DATE(2026,12,1))*('DRAFT 2'!$A:$A&lt;DATE(2026,IF(12=12,12+1,12+1),1)),'DRAFT 2'!$A:$A),"")</f>
        <v/>
      </c>
      <c r="IS107" s="116">
        <f>COUNTIFS('DRAFT 2'!$D:$D,$B107,'DRAFT 2'!$A:$A,"&gt;="&amp;DATE(2026,12,1),'DRAFT 2'!$A:$A,"&lt;="&amp;DATE(2026,12,7))</f>
        <v/>
      </c>
      <c r="IT107" s="116">
        <f>COUNTIFS('DRAFT 2'!$D:$D,$B107,'DRAFT 2'!$A:$A,"&gt;="&amp;DATE(2026,12,8),'DRAFT 2'!$A:$A,"&lt;="&amp;DATE(2026,12,14))</f>
        <v/>
      </c>
      <c r="IU107" s="116">
        <f>COUNTIFS('DRAFT 2'!$D:$D,$B107,'DRAFT 2'!$A:$A,"&gt;="&amp;DATE(2026,12,15),'DRAFT 2'!$A:$A,"&lt;="&amp;DATE(2026,12,21))</f>
        <v/>
      </c>
      <c r="IV107" s="116">
        <f>COUNTIFS('DRAFT 2'!$D:$D,$B107,'DRAFT 2'!$A:$A,"&gt;="&amp;DATE(2026,12,22),'DRAFT 2'!$A:$A,"&lt;"&amp;DATE(2026,IF(12=12,12+1,12+1),1))</f>
        <v/>
      </c>
      <c r="IW107" s="116">
        <f>SUM(IS107:IV107)</f>
        <v/>
      </c>
    </row>
    <row r="108">
      <c r="A108" s="116">
        <f>IFERROR(INDEX('DRAFT 1'!$A:$A,MATCH($B108,'DRAFT 1'!$B:$B,0)),"")</f>
        <v/>
      </c>
      <c r="C108" s="116">
        <f>IFERROR(INDEX('DRAFT 1'!$C:$C,MATCH($B108,'DRAFT 1'!$B:$B,0)),"")</f>
        <v/>
      </c>
      <c r="D108" s="116">
        <f>IFERROR(INDEX('DRAFT 1'!$D:$D,MATCH($B108,'DRAFT 1'!$B:$B,0)),"")</f>
        <v/>
      </c>
      <c r="E108" s="116">
        <f>IFERROR(INDEX('DRAFT 1'!$E:$E,MATCH($B108,'DRAFT 1'!$B:$B,0)),"")</f>
        <v/>
      </c>
      <c r="F108" s="116">
        <f>IFERROR(INDEX('DRAFT 1'!$F:$F,MATCH($B108,'DRAFT 1'!$B:$B,0)),"")</f>
        <v/>
      </c>
      <c r="G108" s="116">
        <f>IFERROR(INDEX('DRAFT 1'!$G:$G,MATCH($B108,'DRAFT 1'!$B:$B,0)),"")</f>
        <v/>
      </c>
      <c r="H108" s="116">
        <f>IFERROR(INDEX('DRAFT 1'!$H:$H,MATCH($B108,'DRAFT 1'!$B:$B,0)),"")</f>
        <v/>
      </c>
      <c r="I108" s="116" t="inlineStr">
        <is>
          <t>FIT LAND</t>
        </is>
      </c>
      <c r="K108" s="116">
        <f>IFERROR(INDEX('DRAFT 1'!$AL:$AL,MATCH($B108,'DRAFT 1'!$B:$B,0)),"")</f>
        <v/>
      </c>
      <c r="L108" s="116">
        <f>IFERROR(INDEX('DRAFT 1'!$J:$J,MATCH($B108,'DRAFT 1'!$B:$B,0)),"")</f>
        <v/>
      </c>
      <c r="M108" s="116">
        <f>IFERROR(INDEX('DRAFT 1'!$K:$K,MATCH($B108,'DRAFT 1'!$B:$B,0)),"")</f>
        <v/>
      </c>
      <c r="N108" s="116" t="inlineStr">
        <is>
          <t>ATIVO</t>
        </is>
      </c>
      <c r="P108" s="116">
        <f>IFERROR(INDEX('DRAFT 1'!$L:$L,MATCH($B108,'DRAFT 1'!$B:$B,0)),"")</f>
        <v/>
      </c>
      <c r="Q108" s="116">
        <f>IFERROR(INDEX('DRAFT 1'!$M:$M,MATCH($B108,'DRAFT 1'!$B:$B,0)),"")</f>
        <v/>
      </c>
      <c r="R108" s="116">
        <f>IFERROR(INDEX('DRAFT 1'!$N:$N,MATCH($B108,'DRAFT 1'!$B:$B,0)),"")</f>
        <v/>
      </c>
      <c r="S108" s="116">
        <f>IFERROR(INDEX('DRAFT 1'!$O:$O,MATCH($B108,'DRAFT 1'!$B:$B,0)),"")</f>
        <v/>
      </c>
      <c r="T108" s="116">
        <f>IFERROR(INDEX('DRAFT 1'!$P:$P,MATCH($B108,'DRAFT 1'!$B:$B,0)),"")</f>
        <v/>
      </c>
      <c r="U108" s="116">
        <f>IFERROR(INDEX('DRAFT 1'!$Q:$Q,MATCH($B108,'DRAFT 1'!$B:$B,0)),"")</f>
        <v/>
      </c>
      <c r="V108" s="116">
        <f>IFERROR(INDEX('DRAFT 1'!$R:$R,MATCH($B108,'DRAFT 1'!$B:$B,0)),"")</f>
        <v/>
      </c>
      <c r="W108" s="116">
        <f>IFERROR(INDEX('DRAFT 1'!$S:$S,MATCH($B108,'DRAFT 1'!$B:$B,0)),"")</f>
        <v/>
      </c>
      <c r="X108" s="116">
        <f>IFERROR(INDEX('DRAFT 1'!$T:$T,MATCH($B108,'DRAFT 1'!$B:$B,0)),"")</f>
        <v/>
      </c>
      <c r="Z108" s="116">
        <f>IFERROR(INDEX('DRAFT 1'!$U:$U,MATCH($B108,'DRAFT 1'!$B:$B,0)),"")</f>
        <v/>
      </c>
      <c r="AA108" s="116">
        <f>IFERROR(INDEX('DRAFT 1'!$V:$V,MATCH($B108,'DRAFT 1'!$B:$B,0)),"")</f>
        <v/>
      </c>
      <c r="AB108" s="116">
        <f>IFERROR(INDEX('DRAFT 1'!$W:$W,MATCH($B108,'DRAFT 1'!$B:$B,0)),"")</f>
        <v/>
      </c>
      <c r="AC108" s="116">
        <f>IFERROR(INDEX('DRAFT 1'!$X:$X,MATCH($B108,'DRAFT 1'!$B:$B,0)),"")</f>
        <v/>
      </c>
      <c r="AD108" s="116">
        <f>IFERROR(INDEX('DRAFT 1'!$Y:$Y,MATCH($B108,'DRAFT 1'!$B:$B,0)),"")</f>
        <v/>
      </c>
      <c r="AE108" s="116">
        <f>IFERROR(INDEX('DRAFT 1'!$Z:$Z,MATCH($B108,'DRAFT 1'!$B:$B,0)),"")</f>
        <v/>
      </c>
      <c r="AF108" s="116">
        <f>IFERROR(INDEX('DRAFT 1'!$AA:$AA,MATCH($B108,'DRAFT 1'!$B:$B,0)),"")</f>
        <v/>
      </c>
      <c r="AG108" s="116">
        <f>IFERROR(INDEX('DRAFT 1'!$AB:$AB,MATCH($B108,'DRAFT 1'!$B:$B,0)),"")</f>
        <v/>
      </c>
      <c r="AH108" s="116">
        <f>IFERROR(INDEX('DRAFT 1'!$AC:$AC,MATCH($B108,'DRAFT 1'!$B:$B,0)),"")</f>
        <v/>
      </c>
      <c r="AI108" s="116">
        <f>IFERROR(INDEX('DRAFT 1'!$AD:$AD,MATCH($B108,'DRAFT 1'!$B:$B,0)),"")</f>
        <v/>
      </c>
      <c r="AJ108" s="116">
        <f>IFERROR(INDEX('DRAFT 1'!$AE:$AE,MATCH($B108,'DRAFT 1'!$B:$B,0)),"")</f>
        <v/>
      </c>
      <c r="AK108" s="116">
        <f>IFERROR(INDEX('DRAFT 1'!$AG:$AG,MATCH($B108,'DRAFT 1'!$B:$B,0)),"")</f>
        <v/>
      </c>
      <c r="AL108" s="116">
        <f>IFERROR(INDEX('DRAFT 1'!$AH:$AH,MATCH($B108,'DRAFT 1'!$B:$B,0)),"")</f>
        <v/>
      </c>
      <c r="AM108" s="116">
        <f>IFERROR(INDEX('DRAFT 1'!$AI:$AI,MATCH($B108,'DRAFT 1'!$B:$B,0)),"")</f>
        <v/>
      </c>
      <c r="AN108" s="116">
        <f>IFERROR(INDEX('DRAFT 1'!$AJ:$AJ,MATCH($B108,'DRAFT 1'!$B:$B,0)),"")</f>
        <v/>
      </c>
      <c r="AO108" s="116">
        <f>IFERROR(Y108/AN108,0)</f>
        <v/>
      </c>
      <c r="AP108" s="116">
        <f>IFERROR(INDEX('DRAFT 1'!$AK:$AK,MATCH($B108,'DRAFT 1'!$B:$B,0)),"")</f>
        <v/>
      </c>
      <c r="AR108" s="116" t="inlineStr">
        <is>
          <t>EM ATENDIMENTO</t>
        </is>
      </c>
      <c r="AS108" s="116">
        <f>IFERROR(LOOKUP(2,1/('DRAFT 2'!$D:$D=$B108),'DRAFT 2'!$T:$T),"")</f>
        <v/>
      </c>
      <c r="AT108" s="116">
        <f>IFERROR(LOOKUP(2,1/('DRAFT 2'!$D:$D=$B108),'DRAFT 2'!$A:$A),"")</f>
        <v/>
      </c>
      <c r="AU108" s="116">
        <f>IFERROR(LOOKUP(2,1/('DRAFT 2'!$D:$D=$B108),'DRAFT 2'!$R:$R),"")</f>
        <v/>
      </c>
      <c r="AV108" s="116">
        <f>IFERROR(LOOKUP(2,1/('DRAFT 2'!$D:$D=$B108),'DRAFT 2'!$S:$S),"")</f>
        <v/>
      </c>
      <c r="AW108" s="116" t="inlineStr">
        <is>
          <t>LEAD</t>
        </is>
      </c>
      <c r="AX108" s="116">
        <f>IFERROR(LOOKUP(2,1/('DRAFT 2'!$D:$D=$B108),'DRAFT 2'!$M:$M),"")</f>
        <v/>
      </c>
      <c r="AY108" s="116">
        <f>IFERROR(LOOKUP(2,1/('DRAFT 2'!$D:$D=$B108),'DRAFT 2'!$K:$K),"")</f>
        <v/>
      </c>
      <c r="BG108" s="116">
        <f>IFERROR(LOOKUP(2,1/('DRAFT 2'!$D:$D=$B108),'DRAFT 2'!$U:$U),"")</f>
        <v/>
      </c>
      <c r="BH108" s="116">
        <f>IFERROR(LOOKUP(2,1/('DRAFT 2'!$D:$D=$B108),'DRAFT 2'!$V:$V),"")</f>
        <v/>
      </c>
      <c r="CE108" s="116">
        <f>IFERROR(AJ108,0)</f>
        <v/>
      </c>
      <c r="CF108" s="116">
        <f>IFERROR(LOOKUP(2,1/('DRAFT 2'!$D:$D=$B108)*('DRAFT 2'!$A:$A&gt;=DATE(2026,1,1))*('DRAFT 2'!$A:$A&lt;DATE(2026,IF(1=12,1+1,1+1),1)),'DRAFT 2'!$A:$A),"")</f>
        <v/>
      </c>
      <c r="CG108" s="116">
        <f>COUNTIFS('DRAFT 2'!$D:$D,$B108,'DRAFT 2'!$A:$A,"&gt;="&amp;DATE(2026,1,1),'DRAFT 2'!$A:$A,"&lt;="&amp;DATE(2026,1,7))</f>
        <v/>
      </c>
      <c r="CH108" s="116">
        <f>COUNTIFS('DRAFT 2'!$D:$D,$B108,'DRAFT 2'!$A:$A,"&gt;="&amp;DATE(2026,1,8),'DRAFT 2'!$A:$A,"&lt;="&amp;DATE(2026,1,14))</f>
        <v/>
      </c>
      <c r="CI108" s="116">
        <f>COUNTIFS('DRAFT 2'!$D:$D,$B108,'DRAFT 2'!$A:$A,"&gt;="&amp;DATE(2026,1,15),'DRAFT 2'!$A:$A,"&lt;="&amp;DATE(2026,1,21))</f>
        <v/>
      </c>
      <c r="CJ108" s="116">
        <f>COUNTIFS('DRAFT 2'!$D:$D,$B108,'DRAFT 2'!$A:$A,"&gt;="&amp;DATE(2026,1,22),'DRAFT 2'!$A:$A,"&lt;"&amp;DATE(2026,IF(1=12,1+1,1+1),1))</f>
        <v/>
      </c>
      <c r="CK108" s="116">
        <f>SUM(CG108:CJ108)</f>
        <v/>
      </c>
      <c r="CT108" s="116" t="n">
        <v>0</v>
      </c>
      <c r="CU108" s="116">
        <f>IFERROR(LOOKUP(2,1/('DRAFT 2'!$D:$D=$B108)*('DRAFT 2'!$A:$A&gt;=DATE(2026,2,1))*('DRAFT 2'!$A:$A&lt;DATE(2026,IF(2=12,2+1,2+1),1)),'DRAFT 2'!$A:$A),"")</f>
        <v/>
      </c>
      <c r="CV108" s="116">
        <f>COUNTIFS('DRAFT 2'!$D:$D,$B108,'DRAFT 2'!$A:$A,"&gt;="&amp;DATE(2026,2,1),'DRAFT 2'!$A:$A,"&lt;="&amp;DATE(2026,2,7))</f>
        <v/>
      </c>
      <c r="CW108" s="116">
        <f>COUNTIFS('DRAFT 2'!$D:$D,$B108,'DRAFT 2'!$A:$A,"&gt;="&amp;DATE(2026,2,8),'DRAFT 2'!$A:$A,"&lt;="&amp;DATE(2026,2,14))</f>
        <v/>
      </c>
      <c r="CX108" s="116">
        <f>COUNTIFS('DRAFT 2'!$D:$D,$B108,'DRAFT 2'!$A:$A,"&gt;="&amp;DATE(2026,2,15),'DRAFT 2'!$A:$A,"&lt;="&amp;DATE(2026,2,21))</f>
        <v/>
      </c>
      <c r="CY108" s="116">
        <f>COUNTIFS('DRAFT 2'!$D:$D,$B108,'DRAFT 2'!$A:$A,"&gt;="&amp;DATE(2026,2,22),'DRAFT 2'!$A:$A,"&lt;"&amp;DATE(2026,IF(2=12,2+1,2+1),1))</f>
        <v/>
      </c>
      <c r="CZ108" s="116">
        <f>SUM(CV108:CY108)</f>
        <v/>
      </c>
      <c r="DJ108" s="116">
        <f>IFERROR(LOOKUP(2,1/('DRAFT 2'!$D:$D=$B108)*('DRAFT 2'!$A:$A&gt;=DATE(2026,3,1))*('DRAFT 2'!$A:$A&lt;DATE(2026,IF(3=12,3+1,3+1),1)),'DRAFT 2'!$A:$A),"")</f>
        <v/>
      </c>
      <c r="DK108" s="116">
        <f>COUNTIFS('DRAFT 2'!$D:$D,$B108,'DRAFT 2'!$A:$A,"&gt;="&amp;DATE(2026,3,1),'DRAFT 2'!$A:$A,"&lt;="&amp;DATE(2026,3,7))</f>
        <v/>
      </c>
      <c r="DL108" s="116">
        <f>COUNTIFS('DRAFT 2'!$D:$D,$B108,'DRAFT 2'!$A:$A,"&gt;="&amp;DATE(2026,3,8),'DRAFT 2'!$A:$A,"&lt;="&amp;DATE(2026,3,14))</f>
        <v/>
      </c>
      <c r="DM108" s="116">
        <f>COUNTIFS('DRAFT 2'!$D:$D,$B108,'DRAFT 2'!$A:$A,"&gt;="&amp;DATE(2026,3,15),'DRAFT 2'!$A:$A,"&lt;="&amp;DATE(2026,3,21))</f>
        <v/>
      </c>
      <c r="DN108" s="116">
        <f>COUNTIFS('DRAFT 2'!$D:$D,$B108,'DRAFT 2'!$A:$A,"&gt;="&amp;DATE(2026,3,22),'DRAFT 2'!$A:$A,"&lt;"&amp;DATE(2026,IF(3=12,3+1,3+1),1))</f>
        <v/>
      </c>
      <c r="DO108" s="116">
        <f>SUM(DK108:DN108)</f>
        <v/>
      </c>
      <c r="DZ108" s="116">
        <f>IFERROR(LOOKUP(2,1/('DRAFT 2'!$D:$D=$B108)*('DRAFT 2'!$A:$A&gt;=DATE(2026,4,1))*('DRAFT 2'!$A:$A&lt;DATE(2026,IF(4=12,4+1,4+1),1)),'DRAFT 2'!$A:$A),"")</f>
        <v/>
      </c>
      <c r="EA108" s="116">
        <f>COUNTIFS('DRAFT 2'!$D:$D,$B108,'DRAFT 2'!$A:$A,"&gt;="&amp;DATE(2026,4,1),'DRAFT 2'!$A:$A,"&lt;="&amp;DATE(2026,4,7))</f>
        <v/>
      </c>
      <c r="EB108" s="116">
        <f>COUNTIFS('DRAFT 2'!$D:$D,$B108,'DRAFT 2'!$A:$A,"&gt;="&amp;DATE(2026,4,8),'DRAFT 2'!$A:$A,"&lt;="&amp;DATE(2026,4,14))</f>
        <v/>
      </c>
      <c r="EC108" s="116">
        <f>COUNTIFS('DRAFT 2'!$D:$D,$B108,'DRAFT 2'!$A:$A,"&gt;="&amp;DATE(2026,4,15),'DRAFT 2'!$A:$A,"&lt;="&amp;DATE(2026,4,21))</f>
        <v/>
      </c>
      <c r="ED108" s="116">
        <f>COUNTIFS('DRAFT 2'!$D:$D,$B108,'DRAFT 2'!$A:$A,"&gt;="&amp;DATE(2026,4,22),'DRAFT 2'!$A:$A,"&lt;"&amp;DATE(2026,IF(4=12,4+1,4+1),1))</f>
        <v/>
      </c>
      <c r="EE108" s="116">
        <f>SUM(EA108:ED108)</f>
        <v/>
      </c>
      <c r="EO108" s="116">
        <f>IFERROR(LOOKUP(2,1/('DRAFT 2'!$D:$D=$B108)*('DRAFT 2'!$A:$A&gt;=DATE(2026,5,1))*('DRAFT 2'!$A:$A&lt;DATE(2026,IF(5=12,5+1,5+1),1)),'DRAFT 2'!$A:$A),"")</f>
        <v/>
      </c>
      <c r="EP108" s="116">
        <f>COUNTIFS('DRAFT 2'!$D:$D,$B108,'DRAFT 2'!$A:$A,"&gt;="&amp;DATE(2026,5,1),'DRAFT 2'!$A:$A,"&lt;="&amp;DATE(2026,5,7))</f>
        <v/>
      </c>
      <c r="EQ108" s="116">
        <f>COUNTIFS('DRAFT 2'!$D:$D,$B108,'DRAFT 2'!$A:$A,"&gt;="&amp;DATE(2026,5,8),'DRAFT 2'!$A:$A,"&lt;="&amp;DATE(2026,5,14))</f>
        <v/>
      </c>
      <c r="ER108" s="116">
        <f>COUNTIFS('DRAFT 2'!$D:$D,$B108,'DRAFT 2'!$A:$A,"&gt;="&amp;DATE(2026,5,15),'DRAFT 2'!$A:$A,"&lt;="&amp;DATE(2026,5,21))</f>
        <v/>
      </c>
      <c r="ES108" s="116">
        <f>COUNTIFS('DRAFT 2'!$D:$D,$B108,'DRAFT 2'!$A:$A,"&gt;="&amp;DATE(2026,5,22),'DRAFT 2'!$A:$A,"&lt;"&amp;DATE(2026,IF(5=12,5+1,5+1),1))</f>
        <v/>
      </c>
      <c r="ET108" s="116">
        <f>SUM(EP108:ES108)</f>
        <v/>
      </c>
      <c r="FD108" s="116">
        <f>IFERROR(LOOKUP(2,1/('DRAFT 2'!$D:$D=$B108)*('DRAFT 2'!$A:$A&gt;=DATE(2026,6,1))*('DRAFT 2'!$A:$A&lt;DATE(2026,IF(6=12,6+1,6+1),1)),'DRAFT 2'!$A:$A),"")</f>
        <v/>
      </c>
      <c r="FE108" s="116">
        <f>COUNTIFS('DRAFT 2'!$D:$D,$B108,'DRAFT 2'!$A:$A,"&gt;="&amp;DATE(2026,6,1),'DRAFT 2'!$A:$A,"&lt;="&amp;DATE(2026,6,7))</f>
        <v/>
      </c>
      <c r="FF108" s="116">
        <f>COUNTIFS('DRAFT 2'!$D:$D,$B108,'DRAFT 2'!$A:$A,"&gt;="&amp;DATE(2026,6,8),'DRAFT 2'!$A:$A,"&lt;="&amp;DATE(2026,6,14))</f>
        <v/>
      </c>
      <c r="FG108" s="116">
        <f>COUNTIFS('DRAFT 2'!$D:$D,$B108,'DRAFT 2'!$A:$A,"&gt;="&amp;DATE(2026,6,15),'DRAFT 2'!$A:$A,"&lt;="&amp;DATE(2026,6,21))</f>
        <v/>
      </c>
      <c r="FH108" s="116">
        <f>COUNTIFS('DRAFT 2'!$D:$D,$B108,'DRAFT 2'!$A:$A,"&gt;="&amp;DATE(2026,6,22),'DRAFT 2'!$A:$A,"&lt;"&amp;DATE(2026,IF(6=12,6+1,6+1),1))</f>
        <v/>
      </c>
      <c r="FI108" s="116">
        <f>SUM(FE108:FH108)</f>
        <v/>
      </c>
      <c r="FT108" s="116">
        <f>IFERROR(LOOKUP(2,1/('DRAFT 2'!$D:$D=$B108)*('DRAFT 2'!$A:$A&gt;=DATE(2026,7,1))*('DRAFT 2'!$A:$A&lt;DATE(2026,IF(7=12,7+1,7+1),1)),'DRAFT 2'!$A:$A),"")</f>
        <v/>
      </c>
      <c r="FU108" s="116">
        <f>COUNTIFS('DRAFT 2'!$D:$D,$B108,'DRAFT 2'!$A:$A,"&gt;="&amp;DATE(2026,7,1),'DRAFT 2'!$A:$A,"&lt;="&amp;DATE(2026,7,7))</f>
        <v/>
      </c>
      <c r="FV108" s="116">
        <f>COUNTIFS('DRAFT 2'!$D:$D,$B108,'DRAFT 2'!$A:$A,"&gt;="&amp;DATE(2026,7,8),'DRAFT 2'!$A:$A,"&lt;="&amp;DATE(2026,7,14))</f>
        <v/>
      </c>
      <c r="FW108" s="116">
        <f>COUNTIFS('DRAFT 2'!$D:$D,$B108,'DRAFT 2'!$A:$A,"&gt;="&amp;DATE(2026,7,15),'DRAFT 2'!$A:$A,"&lt;="&amp;DATE(2026,7,21))</f>
        <v/>
      </c>
      <c r="FX108" s="116">
        <f>COUNTIFS('DRAFT 2'!$D:$D,$B108,'DRAFT 2'!$A:$A,"&gt;="&amp;DATE(2026,7,22),'DRAFT 2'!$A:$A,"&lt;"&amp;DATE(2026,IF(7=12,7+1,7+1),1))</f>
        <v/>
      </c>
      <c r="FY108" s="116">
        <f>SUM(FU108:FX108)</f>
        <v/>
      </c>
      <c r="GI108" s="116">
        <f>IFERROR(LOOKUP(2,1/('DRAFT 2'!$D:$D=$B108)*('DRAFT 2'!$A:$A&gt;=DATE(2026,8,1))*('DRAFT 2'!$A:$A&lt;DATE(2026,IF(8=12,8+1,8+1),1)),'DRAFT 2'!$A:$A),"")</f>
        <v/>
      </c>
      <c r="GJ108" s="116">
        <f>COUNTIFS('DRAFT 2'!$D:$D,$B108,'DRAFT 2'!$A:$A,"&gt;="&amp;DATE(2026,8,1),'DRAFT 2'!$A:$A,"&lt;="&amp;DATE(2026,8,7))</f>
        <v/>
      </c>
      <c r="GK108" s="116">
        <f>COUNTIFS('DRAFT 2'!$D:$D,$B108,'DRAFT 2'!$A:$A,"&gt;="&amp;DATE(2026,8,8),'DRAFT 2'!$A:$A,"&lt;="&amp;DATE(2026,8,14))</f>
        <v/>
      </c>
      <c r="GL108" s="116">
        <f>COUNTIFS('DRAFT 2'!$D:$D,$B108,'DRAFT 2'!$A:$A,"&gt;="&amp;DATE(2026,8,15),'DRAFT 2'!$A:$A,"&lt;="&amp;DATE(2026,8,21))</f>
        <v/>
      </c>
      <c r="GM108" s="116">
        <f>COUNTIFS('DRAFT 2'!$D:$D,$B108,'DRAFT 2'!$A:$A,"&gt;="&amp;DATE(2026,8,22),'DRAFT 2'!$A:$A,"&lt;"&amp;DATE(2026,IF(8=12,8+1,8+1),1))</f>
        <v/>
      </c>
      <c r="GN108" s="116">
        <f>SUM(GJ108:GM108)</f>
        <v/>
      </c>
      <c r="GX108" s="116">
        <f>IFERROR(LOOKUP(2,1/('DRAFT 2'!$D:$D=$B108)*('DRAFT 2'!$A:$A&gt;=DATE(2026,9,1))*('DRAFT 2'!$A:$A&lt;DATE(2026,IF(9=12,9+1,9+1),1)),'DRAFT 2'!$A:$A),"")</f>
        <v/>
      </c>
      <c r="GY108" s="116">
        <f>COUNTIFS('DRAFT 2'!$D:$D,$B108,'DRAFT 2'!$A:$A,"&gt;="&amp;DATE(2026,9,1),'DRAFT 2'!$A:$A,"&lt;="&amp;DATE(2026,9,7))</f>
        <v/>
      </c>
      <c r="GZ108" s="116">
        <f>COUNTIFS('DRAFT 2'!$D:$D,$B108,'DRAFT 2'!$A:$A,"&gt;="&amp;DATE(2026,9,8),'DRAFT 2'!$A:$A,"&lt;="&amp;DATE(2026,9,14))</f>
        <v/>
      </c>
      <c r="HA108" s="116">
        <f>COUNTIFS('DRAFT 2'!$D:$D,$B108,'DRAFT 2'!$A:$A,"&gt;="&amp;DATE(2026,9,15),'DRAFT 2'!$A:$A,"&lt;="&amp;DATE(2026,9,21))</f>
        <v/>
      </c>
      <c r="HB108" s="116">
        <f>COUNTIFS('DRAFT 2'!$D:$D,$B108,'DRAFT 2'!$A:$A,"&gt;="&amp;DATE(2026,9,22),'DRAFT 2'!$A:$A,"&lt;"&amp;DATE(2026,IF(9=12,9+1,9+1),1))</f>
        <v/>
      </c>
      <c r="HC108" s="116">
        <f>SUM(GY108:HB108)</f>
        <v/>
      </c>
      <c r="HN108" s="116">
        <f>IFERROR(LOOKUP(2,1/('DRAFT 2'!$D:$D=$B108)*('DRAFT 2'!$A:$A&gt;=DATE(2026,10,1))*('DRAFT 2'!$A:$A&lt;DATE(2026,IF(10=12,10+1,10+1),1)),'DRAFT 2'!$A:$A),"")</f>
        <v/>
      </c>
      <c r="HO108" s="116">
        <f>COUNTIFS('DRAFT 2'!$D:$D,$B108,'DRAFT 2'!$A:$A,"&gt;="&amp;DATE(2026,10,1),'DRAFT 2'!$A:$A,"&lt;="&amp;DATE(2026,10,7))</f>
        <v/>
      </c>
      <c r="HP108" s="116">
        <f>COUNTIFS('DRAFT 2'!$D:$D,$B108,'DRAFT 2'!$A:$A,"&gt;="&amp;DATE(2026,10,8),'DRAFT 2'!$A:$A,"&lt;="&amp;DATE(2026,10,14))</f>
        <v/>
      </c>
      <c r="HQ108" s="116">
        <f>COUNTIFS('DRAFT 2'!$D:$D,$B108,'DRAFT 2'!$A:$A,"&gt;="&amp;DATE(2026,10,15),'DRAFT 2'!$A:$A,"&lt;="&amp;DATE(2026,10,21))</f>
        <v/>
      </c>
      <c r="HR108" s="116">
        <f>COUNTIFS('DRAFT 2'!$D:$D,$B108,'DRAFT 2'!$A:$A,"&gt;="&amp;DATE(2026,10,22),'DRAFT 2'!$A:$A,"&lt;"&amp;DATE(2026,IF(10=12,10+1,10+1),1))</f>
        <v/>
      </c>
      <c r="HS108" s="116">
        <f>SUM(HO108:HR108)</f>
        <v/>
      </c>
      <c r="IC108" s="116">
        <f>IFERROR(LOOKUP(2,1/('DRAFT 2'!$D:$D=$B108)*('DRAFT 2'!$A:$A&gt;=DATE(2026,11,1))*('DRAFT 2'!$A:$A&lt;DATE(2026,IF(11=12,11+1,11+1),1)),'DRAFT 2'!$A:$A),"")</f>
        <v/>
      </c>
      <c r="ID108" s="116">
        <f>COUNTIFS('DRAFT 2'!$D:$D,$B108,'DRAFT 2'!$A:$A,"&gt;="&amp;DATE(2026,11,1),'DRAFT 2'!$A:$A,"&lt;="&amp;DATE(2026,11,7))</f>
        <v/>
      </c>
      <c r="IE108" s="116">
        <f>COUNTIFS('DRAFT 2'!$D:$D,$B108,'DRAFT 2'!$A:$A,"&gt;="&amp;DATE(2026,11,8),'DRAFT 2'!$A:$A,"&lt;="&amp;DATE(2026,11,14))</f>
        <v/>
      </c>
      <c r="IF108" s="116">
        <f>COUNTIFS('DRAFT 2'!$D:$D,$B108,'DRAFT 2'!$A:$A,"&gt;="&amp;DATE(2026,11,15),'DRAFT 2'!$A:$A,"&lt;="&amp;DATE(2026,11,21))</f>
        <v/>
      </c>
      <c r="IG108" s="116">
        <f>COUNTIFS('DRAFT 2'!$D:$D,$B108,'DRAFT 2'!$A:$A,"&gt;="&amp;DATE(2026,11,22),'DRAFT 2'!$A:$A,"&lt;"&amp;DATE(2026,IF(11=12,11+1,11+1),1))</f>
        <v/>
      </c>
      <c r="IH108" s="116">
        <f>SUM(ID108:IG108)</f>
        <v/>
      </c>
      <c r="IR108" s="116">
        <f>IFERROR(LOOKUP(2,1/('DRAFT 2'!$D:$D=$B108)*('DRAFT 2'!$A:$A&gt;=DATE(2026,12,1))*('DRAFT 2'!$A:$A&lt;DATE(2026,IF(12=12,12+1,12+1),1)),'DRAFT 2'!$A:$A),"")</f>
        <v/>
      </c>
      <c r="IS108" s="116">
        <f>COUNTIFS('DRAFT 2'!$D:$D,$B108,'DRAFT 2'!$A:$A,"&gt;="&amp;DATE(2026,12,1),'DRAFT 2'!$A:$A,"&lt;="&amp;DATE(2026,12,7))</f>
        <v/>
      </c>
      <c r="IT108" s="116">
        <f>COUNTIFS('DRAFT 2'!$D:$D,$B108,'DRAFT 2'!$A:$A,"&gt;="&amp;DATE(2026,12,8),'DRAFT 2'!$A:$A,"&lt;="&amp;DATE(2026,12,14))</f>
        <v/>
      </c>
      <c r="IU108" s="116">
        <f>COUNTIFS('DRAFT 2'!$D:$D,$B108,'DRAFT 2'!$A:$A,"&gt;="&amp;DATE(2026,12,15),'DRAFT 2'!$A:$A,"&lt;="&amp;DATE(2026,12,21))</f>
        <v/>
      </c>
      <c r="IV108" s="116">
        <f>COUNTIFS('DRAFT 2'!$D:$D,$B108,'DRAFT 2'!$A:$A,"&gt;="&amp;DATE(2026,12,22),'DRAFT 2'!$A:$A,"&lt;"&amp;DATE(2026,IF(12=12,12+1,12+1),1))</f>
        <v/>
      </c>
      <c r="IW108" s="116">
        <f>SUM(IS108:IV108)</f>
        <v/>
      </c>
    </row>
    <row r="109">
      <c r="A109" s="116">
        <f>IFERROR(INDEX('DRAFT 1'!$A:$A,MATCH($B109,'DRAFT 1'!$B:$B,0)),"")</f>
        <v/>
      </c>
      <c r="C109" s="116">
        <f>IFERROR(INDEX('DRAFT 1'!$C:$C,MATCH($B109,'DRAFT 1'!$B:$B,0)),"")</f>
        <v/>
      </c>
      <c r="D109" s="116">
        <f>IFERROR(INDEX('DRAFT 1'!$D:$D,MATCH($B109,'DRAFT 1'!$B:$B,0)),"")</f>
        <v/>
      </c>
      <c r="E109" s="116">
        <f>IFERROR(INDEX('DRAFT 1'!$E:$E,MATCH($B109,'DRAFT 1'!$B:$B,0)),"")</f>
        <v/>
      </c>
      <c r="F109" s="116">
        <f>IFERROR(INDEX('DRAFT 1'!$F:$F,MATCH($B109,'DRAFT 1'!$B:$B,0)),"")</f>
        <v/>
      </c>
      <c r="G109" s="116">
        <f>IFERROR(INDEX('DRAFT 1'!$G:$G,MATCH($B109,'DRAFT 1'!$B:$B,0)),"")</f>
        <v/>
      </c>
      <c r="H109" s="116">
        <f>IFERROR(INDEX('DRAFT 1'!$H:$H,MATCH($B109,'DRAFT 1'!$B:$B,0)),"")</f>
        <v/>
      </c>
      <c r="I109" s="116" t="inlineStr">
        <is>
          <t>FIT LAND</t>
        </is>
      </c>
      <c r="K109" s="116">
        <f>IFERROR(INDEX('DRAFT 1'!$AL:$AL,MATCH($B109,'DRAFT 1'!$B:$B,0)),"")</f>
        <v/>
      </c>
      <c r="L109" s="116">
        <f>IFERROR(INDEX('DRAFT 1'!$J:$J,MATCH($B109,'DRAFT 1'!$B:$B,0)),"")</f>
        <v/>
      </c>
      <c r="M109" s="116">
        <f>IFERROR(INDEX('DRAFT 1'!$K:$K,MATCH($B109,'DRAFT 1'!$B:$B,0)),"")</f>
        <v/>
      </c>
      <c r="N109" s="116" t="inlineStr">
        <is>
          <t>PROSPECT</t>
        </is>
      </c>
      <c r="P109" s="116">
        <f>IFERROR(INDEX('DRAFT 1'!$L:$L,MATCH($B109,'DRAFT 1'!$B:$B,0)),"")</f>
        <v/>
      </c>
      <c r="Q109" s="116">
        <f>IFERROR(INDEX('DRAFT 1'!$M:$M,MATCH($B109,'DRAFT 1'!$B:$B,0)),"")</f>
        <v/>
      </c>
      <c r="R109" s="116">
        <f>IFERROR(INDEX('DRAFT 1'!$N:$N,MATCH($B109,'DRAFT 1'!$B:$B,0)),"")</f>
        <v/>
      </c>
      <c r="S109" s="116">
        <f>IFERROR(INDEX('DRAFT 1'!$O:$O,MATCH($B109,'DRAFT 1'!$B:$B,0)),"")</f>
        <v/>
      </c>
      <c r="T109" s="116">
        <f>IFERROR(INDEX('DRAFT 1'!$P:$P,MATCH($B109,'DRAFT 1'!$B:$B,0)),"")</f>
        <v/>
      </c>
      <c r="U109" s="116">
        <f>IFERROR(INDEX('DRAFT 1'!$Q:$Q,MATCH($B109,'DRAFT 1'!$B:$B,0)),"")</f>
        <v/>
      </c>
      <c r="V109" s="116">
        <f>IFERROR(INDEX('DRAFT 1'!$R:$R,MATCH($B109,'DRAFT 1'!$B:$B,0)),"")</f>
        <v/>
      </c>
      <c r="W109" s="116">
        <f>IFERROR(INDEX('DRAFT 1'!$S:$S,MATCH($B109,'DRAFT 1'!$B:$B,0)),"")</f>
        <v/>
      </c>
      <c r="X109" s="116">
        <f>IFERROR(INDEX('DRAFT 1'!$T:$T,MATCH($B109,'DRAFT 1'!$B:$B,0)),"")</f>
        <v/>
      </c>
      <c r="Z109" s="116">
        <f>IFERROR(INDEX('DRAFT 1'!$U:$U,MATCH($B109,'DRAFT 1'!$B:$B,0)),"")</f>
        <v/>
      </c>
      <c r="AA109" s="116">
        <f>IFERROR(INDEX('DRAFT 1'!$V:$V,MATCH($B109,'DRAFT 1'!$B:$B,0)),"")</f>
        <v/>
      </c>
      <c r="AB109" s="116">
        <f>IFERROR(INDEX('DRAFT 1'!$W:$W,MATCH($B109,'DRAFT 1'!$B:$B,0)),"")</f>
        <v/>
      </c>
      <c r="AC109" s="116">
        <f>IFERROR(INDEX('DRAFT 1'!$X:$X,MATCH($B109,'DRAFT 1'!$B:$B,0)),"")</f>
        <v/>
      </c>
      <c r="AD109" s="116">
        <f>IFERROR(INDEX('DRAFT 1'!$Y:$Y,MATCH($B109,'DRAFT 1'!$B:$B,0)),"")</f>
        <v/>
      </c>
      <c r="AE109" s="116">
        <f>IFERROR(INDEX('DRAFT 1'!$Z:$Z,MATCH($B109,'DRAFT 1'!$B:$B,0)),"")</f>
        <v/>
      </c>
      <c r="AF109" s="116">
        <f>IFERROR(INDEX('DRAFT 1'!$AA:$AA,MATCH($B109,'DRAFT 1'!$B:$B,0)),"")</f>
        <v/>
      </c>
      <c r="AG109" s="116">
        <f>IFERROR(INDEX('DRAFT 1'!$AB:$AB,MATCH($B109,'DRAFT 1'!$B:$B,0)),"")</f>
        <v/>
      </c>
      <c r="AH109" s="116">
        <f>IFERROR(INDEX('DRAFT 1'!$AC:$AC,MATCH($B109,'DRAFT 1'!$B:$B,0)),"")</f>
        <v/>
      </c>
      <c r="AI109" s="116">
        <f>IFERROR(INDEX('DRAFT 1'!$AD:$AD,MATCH($B109,'DRAFT 1'!$B:$B,0)),"")</f>
        <v/>
      </c>
      <c r="AJ109" s="116">
        <f>IFERROR(INDEX('DRAFT 1'!$AE:$AE,MATCH($B109,'DRAFT 1'!$B:$B,0)),"")</f>
        <v/>
      </c>
      <c r="AK109" s="116">
        <f>IFERROR(INDEX('DRAFT 1'!$AG:$AG,MATCH($B109,'DRAFT 1'!$B:$B,0)),"")</f>
        <v/>
      </c>
      <c r="AL109" s="116">
        <f>IFERROR(INDEX('DRAFT 1'!$AH:$AH,MATCH($B109,'DRAFT 1'!$B:$B,0)),"")</f>
        <v/>
      </c>
      <c r="AM109" s="116">
        <f>IFERROR(INDEX('DRAFT 1'!$AI:$AI,MATCH($B109,'DRAFT 1'!$B:$B,0)),"")</f>
        <v/>
      </c>
      <c r="AN109" s="116">
        <f>IFERROR(INDEX('DRAFT 1'!$AJ:$AJ,MATCH($B109,'DRAFT 1'!$B:$B,0)),"")</f>
        <v/>
      </c>
      <c r="AO109" s="116">
        <f>IFERROR(Y109/AN109,0)</f>
        <v/>
      </c>
      <c r="AP109" s="116">
        <f>IFERROR(INDEX('DRAFT 1'!$AK:$AK,MATCH($B109,'DRAFT 1'!$B:$B,0)),"")</f>
        <v/>
      </c>
      <c r="AR109" s="116" t="inlineStr">
        <is>
          <t>SALVAMENTO</t>
        </is>
      </c>
      <c r="AS109" s="116">
        <f>IFERROR(LOOKUP(2,1/('DRAFT 2'!$D:$D=$B109),'DRAFT 2'!$T:$T),"")</f>
        <v/>
      </c>
      <c r="AT109" s="116">
        <f>IFERROR(LOOKUP(2,1/('DRAFT 2'!$D:$D=$B109),'DRAFT 2'!$A:$A),"")</f>
        <v/>
      </c>
      <c r="AU109" s="116">
        <f>IFERROR(LOOKUP(2,1/('DRAFT 2'!$D:$D=$B109),'DRAFT 2'!$R:$R),"")</f>
        <v/>
      </c>
      <c r="AV109" s="116">
        <f>IFERROR(LOOKUP(2,1/('DRAFT 2'!$D:$D=$B109),'DRAFT 2'!$S:$S),"")</f>
        <v/>
      </c>
      <c r="AW109" s="116" t="inlineStr">
        <is>
          <t>PROSPECT</t>
        </is>
      </c>
      <c r="AX109" s="116">
        <f>IFERROR(LOOKUP(2,1/('DRAFT 2'!$D:$D=$B109),'DRAFT 2'!$M:$M),"")</f>
        <v/>
      </c>
      <c r="AY109" s="116">
        <f>IFERROR(LOOKUP(2,1/('DRAFT 2'!$D:$D=$B109),'DRAFT 2'!$K:$K),"")</f>
        <v/>
      </c>
      <c r="BG109" s="116">
        <f>IFERROR(LOOKUP(2,1/('DRAFT 2'!$D:$D=$B109),'DRAFT 2'!$U:$U),"")</f>
        <v/>
      </c>
      <c r="BH109" s="116">
        <f>IFERROR(LOOKUP(2,1/('DRAFT 2'!$D:$D=$B109),'DRAFT 2'!$V:$V),"")</f>
        <v/>
      </c>
      <c r="CE109" s="116">
        <f>IFERROR(AJ109,0)</f>
        <v/>
      </c>
      <c r="CF109" s="116">
        <f>IFERROR(LOOKUP(2,1/('DRAFT 2'!$D:$D=$B109)*('DRAFT 2'!$A:$A&gt;=DATE(2026,1,1))*('DRAFT 2'!$A:$A&lt;DATE(2026,IF(1=12,1+1,1+1),1)),'DRAFT 2'!$A:$A),"")</f>
        <v/>
      </c>
      <c r="CG109" s="116">
        <f>COUNTIFS('DRAFT 2'!$D:$D,$B109,'DRAFT 2'!$A:$A,"&gt;="&amp;DATE(2026,1,1),'DRAFT 2'!$A:$A,"&lt;="&amp;DATE(2026,1,7))</f>
        <v/>
      </c>
      <c r="CH109" s="116">
        <f>COUNTIFS('DRAFT 2'!$D:$D,$B109,'DRAFT 2'!$A:$A,"&gt;="&amp;DATE(2026,1,8),'DRAFT 2'!$A:$A,"&lt;="&amp;DATE(2026,1,14))</f>
        <v/>
      </c>
      <c r="CI109" s="116">
        <f>COUNTIFS('DRAFT 2'!$D:$D,$B109,'DRAFT 2'!$A:$A,"&gt;="&amp;DATE(2026,1,15),'DRAFT 2'!$A:$A,"&lt;="&amp;DATE(2026,1,21))</f>
        <v/>
      </c>
      <c r="CJ109" s="116">
        <f>COUNTIFS('DRAFT 2'!$D:$D,$B109,'DRAFT 2'!$A:$A,"&gt;="&amp;DATE(2026,1,22),'DRAFT 2'!$A:$A,"&lt;"&amp;DATE(2026,IF(1=12,1+1,1+1),1))</f>
        <v/>
      </c>
      <c r="CK109" s="116">
        <f>SUM(CG109:CJ109)</f>
        <v/>
      </c>
      <c r="CT109" s="116" t="n">
        <v>0</v>
      </c>
      <c r="CU109" s="116">
        <f>IFERROR(LOOKUP(2,1/('DRAFT 2'!$D:$D=$B109)*('DRAFT 2'!$A:$A&gt;=DATE(2026,2,1))*('DRAFT 2'!$A:$A&lt;DATE(2026,IF(2=12,2+1,2+1),1)),'DRAFT 2'!$A:$A),"")</f>
        <v/>
      </c>
      <c r="CV109" s="116">
        <f>COUNTIFS('DRAFT 2'!$D:$D,$B109,'DRAFT 2'!$A:$A,"&gt;="&amp;DATE(2026,2,1),'DRAFT 2'!$A:$A,"&lt;="&amp;DATE(2026,2,7))</f>
        <v/>
      </c>
      <c r="CW109" s="116">
        <f>COUNTIFS('DRAFT 2'!$D:$D,$B109,'DRAFT 2'!$A:$A,"&gt;="&amp;DATE(2026,2,8),'DRAFT 2'!$A:$A,"&lt;="&amp;DATE(2026,2,14))</f>
        <v/>
      </c>
      <c r="CX109" s="116">
        <f>COUNTIFS('DRAFT 2'!$D:$D,$B109,'DRAFT 2'!$A:$A,"&gt;="&amp;DATE(2026,2,15),'DRAFT 2'!$A:$A,"&lt;="&amp;DATE(2026,2,21))</f>
        <v/>
      </c>
      <c r="CY109" s="116">
        <f>COUNTIFS('DRAFT 2'!$D:$D,$B109,'DRAFT 2'!$A:$A,"&gt;="&amp;DATE(2026,2,22),'DRAFT 2'!$A:$A,"&lt;"&amp;DATE(2026,IF(2=12,2+1,2+1),1))</f>
        <v/>
      </c>
      <c r="CZ109" s="116">
        <f>SUM(CV109:CY109)</f>
        <v/>
      </c>
      <c r="DJ109" s="116">
        <f>IFERROR(LOOKUP(2,1/('DRAFT 2'!$D:$D=$B109)*('DRAFT 2'!$A:$A&gt;=DATE(2026,3,1))*('DRAFT 2'!$A:$A&lt;DATE(2026,IF(3=12,3+1,3+1),1)),'DRAFT 2'!$A:$A),"")</f>
        <v/>
      </c>
      <c r="DK109" s="116">
        <f>COUNTIFS('DRAFT 2'!$D:$D,$B109,'DRAFT 2'!$A:$A,"&gt;="&amp;DATE(2026,3,1),'DRAFT 2'!$A:$A,"&lt;="&amp;DATE(2026,3,7))</f>
        <v/>
      </c>
      <c r="DL109" s="116">
        <f>COUNTIFS('DRAFT 2'!$D:$D,$B109,'DRAFT 2'!$A:$A,"&gt;="&amp;DATE(2026,3,8),'DRAFT 2'!$A:$A,"&lt;="&amp;DATE(2026,3,14))</f>
        <v/>
      </c>
      <c r="DM109" s="116">
        <f>COUNTIFS('DRAFT 2'!$D:$D,$B109,'DRAFT 2'!$A:$A,"&gt;="&amp;DATE(2026,3,15),'DRAFT 2'!$A:$A,"&lt;="&amp;DATE(2026,3,21))</f>
        <v/>
      </c>
      <c r="DN109" s="116">
        <f>COUNTIFS('DRAFT 2'!$D:$D,$B109,'DRAFT 2'!$A:$A,"&gt;="&amp;DATE(2026,3,22),'DRAFT 2'!$A:$A,"&lt;"&amp;DATE(2026,IF(3=12,3+1,3+1),1))</f>
        <v/>
      </c>
      <c r="DO109" s="116">
        <f>SUM(DK109:DN109)</f>
        <v/>
      </c>
      <c r="DZ109" s="116">
        <f>IFERROR(LOOKUP(2,1/('DRAFT 2'!$D:$D=$B109)*('DRAFT 2'!$A:$A&gt;=DATE(2026,4,1))*('DRAFT 2'!$A:$A&lt;DATE(2026,IF(4=12,4+1,4+1),1)),'DRAFT 2'!$A:$A),"")</f>
        <v/>
      </c>
      <c r="EA109" s="116">
        <f>COUNTIFS('DRAFT 2'!$D:$D,$B109,'DRAFT 2'!$A:$A,"&gt;="&amp;DATE(2026,4,1),'DRAFT 2'!$A:$A,"&lt;="&amp;DATE(2026,4,7))</f>
        <v/>
      </c>
      <c r="EB109" s="116">
        <f>COUNTIFS('DRAFT 2'!$D:$D,$B109,'DRAFT 2'!$A:$A,"&gt;="&amp;DATE(2026,4,8),'DRAFT 2'!$A:$A,"&lt;="&amp;DATE(2026,4,14))</f>
        <v/>
      </c>
      <c r="EC109" s="116">
        <f>COUNTIFS('DRAFT 2'!$D:$D,$B109,'DRAFT 2'!$A:$A,"&gt;="&amp;DATE(2026,4,15),'DRAFT 2'!$A:$A,"&lt;="&amp;DATE(2026,4,21))</f>
        <v/>
      </c>
      <c r="ED109" s="116">
        <f>COUNTIFS('DRAFT 2'!$D:$D,$B109,'DRAFT 2'!$A:$A,"&gt;="&amp;DATE(2026,4,22),'DRAFT 2'!$A:$A,"&lt;"&amp;DATE(2026,IF(4=12,4+1,4+1),1))</f>
        <v/>
      </c>
      <c r="EE109" s="116">
        <f>SUM(EA109:ED109)</f>
        <v/>
      </c>
      <c r="EO109" s="116">
        <f>IFERROR(LOOKUP(2,1/('DRAFT 2'!$D:$D=$B109)*('DRAFT 2'!$A:$A&gt;=DATE(2026,5,1))*('DRAFT 2'!$A:$A&lt;DATE(2026,IF(5=12,5+1,5+1),1)),'DRAFT 2'!$A:$A),"")</f>
        <v/>
      </c>
      <c r="EP109" s="116">
        <f>COUNTIFS('DRAFT 2'!$D:$D,$B109,'DRAFT 2'!$A:$A,"&gt;="&amp;DATE(2026,5,1),'DRAFT 2'!$A:$A,"&lt;="&amp;DATE(2026,5,7))</f>
        <v/>
      </c>
      <c r="EQ109" s="116">
        <f>COUNTIFS('DRAFT 2'!$D:$D,$B109,'DRAFT 2'!$A:$A,"&gt;="&amp;DATE(2026,5,8),'DRAFT 2'!$A:$A,"&lt;="&amp;DATE(2026,5,14))</f>
        <v/>
      </c>
      <c r="ER109" s="116">
        <f>COUNTIFS('DRAFT 2'!$D:$D,$B109,'DRAFT 2'!$A:$A,"&gt;="&amp;DATE(2026,5,15),'DRAFT 2'!$A:$A,"&lt;="&amp;DATE(2026,5,21))</f>
        <v/>
      </c>
      <c r="ES109" s="116">
        <f>COUNTIFS('DRAFT 2'!$D:$D,$B109,'DRAFT 2'!$A:$A,"&gt;="&amp;DATE(2026,5,22),'DRAFT 2'!$A:$A,"&lt;"&amp;DATE(2026,IF(5=12,5+1,5+1),1))</f>
        <v/>
      </c>
      <c r="ET109" s="116">
        <f>SUM(EP109:ES109)</f>
        <v/>
      </c>
      <c r="FD109" s="116">
        <f>IFERROR(LOOKUP(2,1/('DRAFT 2'!$D:$D=$B109)*('DRAFT 2'!$A:$A&gt;=DATE(2026,6,1))*('DRAFT 2'!$A:$A&lt;DATE(2026,IF(6=12,6+1,6+1),1)),'DRAFT 2'!$A:$A),"")</f>
        <v/>
      </c>
      <c r="FE109" s="116">
        <f>COUNTIFS('DRAFT 2'!$D:$D,$B109,'DRAFT 2'!$A:$A,"&gt;="&amp;DATE(2026,6,1),'DRAFT 2'!$A:$A,"&lt;="&amp;DATE(2026,6,7))</f>
        <v/>
      </c>
      <c r="FF109" s="116">
        <f>COUNTIFS('DRAFT 2'!$D:$D,$B109,'DRAFT 2'!$A:$A,"&gt;="&amp;DATE(2026,6,8),'DRAFT 2'!$A:$A,"&lt;="&amp;DATE(2026,6,14))</f>
        <v/>
      </c>
      <c r="FG109" s="116">
        <f>COUNTIFS('DRAFT 2'!$D:$D,$B109,'DRAFT 2'!$A:$A,"&gt;="&amp;DATE(2026,6,15),'DRAFT 2'!$A:$A,"&lt;="&amp;DATE(2026,6,21))</f>
        <v/>
      </c>
      <c r="FH109" s="116">
        <f>COUNTIFS('DRAFT 2'!$D:$D,$B109,'DRAFT 2'!$A:$A,"&gt;="&amp;DATE(2026,6,22),'DRAFT 2'!$A:$A,"&lt;"&amp;DATE(2026,IF(6=12,6+1,6+1),1))</f>
        <v/>
      </c>
      <c r="FI109" s="116">
        <f>SUM(FE109:FH109)</f>
        <v/>
      </c>
      <c r="FT109" s="116">
        <f>IFERROR(LOOKUP(2,1/('DRAFT 2'!$D:$D=$B109)*('DRAFT 2'!$A:$A&gt;=DATE(2026,7,1))*('DRAFT 2'!$A:$A&lt;DATE(2026,IF(7=12,7+1,7+1),1)),'DRAFT 2'!$A:$A),"")</f>
        <v/>
      </c>
      <c r="FU109" s="116">
        <f>COUNTIFS('DRAFT 2'!$D:$D,$B109,'DRAFT 2'!$A:$A,"&gt;="&amp;DATE(2026,7,1),'DRAFT 2'!$A:$A,"&lt;="&amp;DATE(2026,7,7))</f>
        <v/>
      </c>
      <c r="FV109" s="116">
        <f>COUNTIFS('DRAFT 2'!$D:$D,$B109,'DRAFT 2'!$A:$A,"&gt;="&amp;DATE(2026,7,8),'DRAFT 2'!$A:$A,"&lt;="&amp;DATE(2026,7,14))</f>
        <v/>
      </c>
      <c r="FW109" s="116">
        <f>COUNTIFS('DRAFT 2'!$D:$D,$B109,'DRAFT 2'!$A:$A,"&gt;="&amp;DATE(2026,7,15),'DRAFT 2'!$A:$A,"&lt;="&amp;DATE(2026,7,21))</f>
        <v/>
      </c>
      <c r="FX109" s="116">
        <f>COUNTIFS('DRAFT 2'!$D:$D,$B109,'DRAFT 2'!$A:$A,"&gt;="&amp;DATE(2026,7,22),'DRAFT 2'!$A:$A,"&lt;"&amp;DATE(2026,IF(7=12,7+1,7+1),1))</f>
        <v/>
      </c>
      <c r="FY109" s="116">
        <f>SUM(FU109:FX109)</f>
        <v/>
      </c>
      <c r="GI109" s="116">
        <f>IFERROR(LOOKUP(2,1/('DRAFT 2'!$D:$D=$B109)*('DRAFT 2'!$A:$A&gt;=DATE(2026,8,1))*('DRAFT 2'!$A:$A&lt;DATE(2026,IF(8=12,8+1,8+1),1)),'DRAFT 2'!$A:$A),"")</f>
        <v/>
      </c>
      <c r="GJ109" s="116">
        <f>COUNTIFS('DRAFT 2'!$D:$D,$B109,'DRAFT 2'!$A:$A,"&gt;="&amp;DATE(2026,8,1),'DRAFT 2'!$A:$A,"&lt;="&amp;DATE(2026,8,7))</f>
        <v/>
      </c>
      <c r="GK109" s="116">
        <f>COUNTIFS('DRAFT 2'!$D:$D,$B109,'DRAFT 2'!$A:$A,"&gt;="&amp;DATE(2026,8,8),'DRAFT 2'!$A:$A,"&lt;="&amp;DATE(2026,8,14))</f>
        <v/>
      </c>
      <c r="GL109" s="116">
        <f>COUNTIFS('DRAFT 2'!$D:$D,$B109,'DRAFT 2'!$A:$A,"&gt;="&amp;DATE(2026,8,15),'DRAFT 2'!$A:$A,"&lt;="&amp;DATE(2026,8,21))</f>
        <v/>
      </c>
      <c r="GM109" s="116">
        <f>COUNTIFS('DRAFT 2'!$D:$D,$B109,'DRAFT 2'!$A:$A,"&gt;="&amp;DATE(2026,8,22),'DRAFT 2'!$A:$A,"&lt;"&amp;DATE(2026,IF(8=12,8+1,8+1),1))</f>
        <v/>
      </c>
      <c r="GN109" s="116">
        <f>SUM(GJ109:GM109)</f>
        <v/>
      </c>
      <c r="GX109" s="116">
        <f>IFERROR(LOOKUP(2,1/('DRAFT 2'!$D:$D=$B109)*('DRAFT 2'!$A:$A&gt;=DATE(2026,9,1))*('DRAFT 2'!$A:$A&lt;DATE(2026,IF(9=12,9+1,9+1),1)),'DRAFT 2'!$A:$A),"")</f>
        <v/>
      </c>
      <c r="GY109" s="116">
        <f>COUNTIFS('DRAFT 2'!$D:$D,$B109,'DRAFT 2'!$A:$A,"&gt;="&amp;DATE(2026,9,1),'DRAFT 2'!$A:$A,"&lt;="&amp;DATE(2026,9,7))</f>
        <v/>
      </c>
      <c r="GZ109" s="116">
        <f>COUNTIFS('DRAFT 2'!$D:$D,$B109,'DRAFT 2'!$A:$A,"&gt;="&amp;DATE(2026,9,8),'DRAFT 2'!$A:$A,"&lt;="&amp;DATE(2026,9,14))</f>
        <v/>
      </c>
      <c r="HA109" s="116">
        <f>COUNTIFS('DRAFT 2'!$D:$D,$B109,'DRAFT 2'!$A:$A,"&gt;="&amp;DATE(2026,9,15),'DRAFT 2'!$A:$A,"&lt;="&amp;DATE(2026,9,21))</f>
        <v/>
      </c>
      <c r="HB109" s="116">
        <f>COUNTIFS('DRAFT 2'!$D:$D,$B109,'DRAFT 2'!$A:$A,"&gt;="&amp;DATE(2026,9,22),'DRAFT 2'!$A:$A,"&lt;"&amp;DATE(2026,IF(9=12,9+1,9+1),1))</f>
        <v/>
      </c>
      <c r="HC109" s="116">
        <f>SUM(GY109:HB109)</f>
        <v/>
      </c>
      <c r="HN109" s="116">
        <f>IFERROR(LOOKUP(2,1/('DRAFT 2'!$D:$D=$B109)*('DRAFT 2'!$A:$A&gt;=DATE(2026,10,1))*('DRAFT 2'!$A:$A&lt;DATE(2026,IF(10=12,10+1,10+1),1)),'DRAFT 2'!$A:$A),"")</f>
        <v/>
      </c>
      <c r="HO109" s="116">
        <f>COUNTIFS('DRAFT 2'!$D:$D,$B109,'DRAFT 2'!$A:$A,"&gt;="&amp;DATE(2026,10,1),'DRAFT 2'!$A:$A,"&lt;="&amp;DATE(2026,10,7))</f>
        <v/>
      </c>
      <c r="HP109" s="116">
        <f>COUNTIFS('DRAFT 2'!$D:$D,$B109,'DRAFT 2'!$A:$A,"&gt;="&amp;DATE(2026,10,8),'DRAFT 2'!$A:$A,"&lt;="&amp;DATE(2026,10,14))</f>
        <v/>
      </c>
      <c r="HQ109" s="116">
        <f>COUNTIFS('DRAFT 2'!$D:$D,$B109,'DRAFT 2'!$A:$A,"&gt;="&amp;DATE(2026,10,15),'DRAFT 2'!$A:$A,"&lt;="&amp;DATE(2026,10,21))</f>
        <v/>
      </c>
      <c r="HR109" s="116">
        <f>COUNTIFS('DRAFT 2'!$D:$D,$B109,'DRAFT 2'!$A:$A,"&gt;="&amp;DATE(2026,10,22),'DRAFT 2'!$A:$A,"&lt;"&amp;DATE(2026,IF(10=12,10+1,10+1),1))</f>
        <v/>
      </c>
      <c r="HS109" s="116">
        <f>SUM(HO109:HR109)</f>
        <v/>
      </c>
      <c r="IC109" s="116">
        <f>IFERROR(LOOKUP(2,1/('DRAFT 2'!$D:$D=$B109)*('DRAFT 2'!$A:$A&gt;=DATE(2026,11,1))*('DRAFT 2'!$A:$A&lt;DATE(2026,IF(11=12,11+1,11+1),1)),'DRAFT 2'!$A:$A),"")</f>
        <v/>
      </c>
      <c r="ID109" s="116">
        <f>COUNTIFS('DRAFT 2'!$D:$D,$B109,'DRAFT 2'!$A:$A,"&gt;="&amp;DATE(2026,11,1),'DRAFT 2'!$A:$A,"&lt;="&amp;DATE(2026,11,7))</f>
        <v/>
      </c>
      <c r="IE109" s="116">
        <f>COUNTIFS('DRAFT 2'!$D:$D,$B109,'DRAFT 2'!$A:$A,"&gt;="&amp;DATE(2026,11,8),'DRAFT 2'!$A:$A,"&lt;="&amp;DATE(2026,11,14))</f>
        <v/>
      </c>
      <c r="IF109" s="116">
        <f>COUNTIFS('DRAFT 2'!$D:$D,$B109,'DRAFT 2'!$A:$A,"&gt;="&amp;DATE(2026,11,15),'DRAFT 2'!$A:$A,"&lt;="&amp;DATE(2026,11,21))</f>
        <v/>
      </c>
      <c r="IG109" s="116">
        <f>COUNTIFS('DRAFT 2'!$D:$D,$B109,'DRAFT 2'!$A:$A,"&gt;="&amp;DATE(2026,11,22),'DRAFT 2'!$A:$A,"&lt;"&amp;DATE(2026,IF(11=12,11+1,11+1),1))</f>
        <v/>
      </c>
      <c r="IH109" s="116">
        <f>SUM(ID109:IG109)</f>
        <v/>
      </c>
      <c r="IR109" s="116">
        <f>IFERROR(LOOKUP(2,1/('DRAFT 2'!$D:$D=$B109)*('DRAFT 2'!$A:$A&gt;=DATE(2026,12,1))*('DRAFT 2'!$A:$A&lt;DATE(2026,IF(12=12,12+1,12+1),1)),'DRAFT 2'!$A:$A),"")</f>
        <v/>
      </c>
      <c r="IS109" s="116">
        <f>COUNTIFS('DRAFT 2'!$D:$D,$B109,'DRAFT 2'!$A:$A,"&gt;="&amp;DATE(2026,12,1),'DRAFT 2'!$A:$A,"&lt;="&amp;DATE(2026,12,7))</f>
        <v/>
      </c>
      <c r="IT109" s="116">
        <f>COUNTIFS('DRAFT 2'!$D:$D,$B109,'DRAFT 2'!$A:$A,"&gt;="&amp;DATE(2026,12,8),'DRAFT 2'!$A:$A,"&lt;="&amp;DATE(2026,12,14))</f>
        <v/>
      </c>
      <c r="IU109" s="116">
        <f>COUNTIFS('DRAFT 2'!$D:$D,$B109,'DRAFT 2'!$A:$A,"&gt;="&amp;DATE(2026,12,15),'DRAFT 2'!$A:$A,"&lt;="&amp;DATE(2026,12,21))</f>
        <v/>
      </c>
      <c r="IV109" s="116">
        <f>COUNTIFS('DRAFT 2'!$D:$D,$B109,'DRAFT 2'!$A:$A,"&gt;="&amp;DATE(2026,12,22),'DRAFT 2'!$A:$A,"&lt;"&amp;DATE(2026,IF(12=12,12+1,12+1),1))</f>
        <v/>
      </c>
      <c r="IW109" s="116">
        <f>SUM(IS109:IV109)</f>
        <v/>
      </c>
    </row>
    <row r="110">
      <c r="A110" s="116">
        <f>IFERROR(INDEX('DRAFT 1'!$A:$A,MATCH($B110,'DRAFT 1'!$B:$B,0)),"")</f>
        <v/>
      </c>
      <c r="C110" s="116">
        <f>IFERROR(INDEX('DRAFT 1'!$C:$C,MATCH($B110,'DRAFT 1'!$B:$B,0)),"")</f>
        <v/>
      </c>
      <c r="D110" s="116">
        <f>IFERROR(INDEX('DRAFT 1'!$D:$D,MATCH($B110,'DRAFT 1'!$B:$B,0)),"")</f>
        <v/>
      </c>
      <c r="E110" s="116">
        <f>IFERROR(INDEX('DRAFT 1'!$E:$E,MATCH($B110,'DRAFT 1'!$B:$B,0)),"")</f>
        <v/>
      </c>
      <c r="F110" s="116">
        <f>IFERROR(INDEX('DRAFT 1'!$F:$F,MATCH($B110,'DRAFT 1'!$B:$B,0)),"")</f>
        <v/>
      </c>
      <c r="G110" s="116">
        <f>IFERROR(INDEX('DRAFT 1'!$G:$G,MATCH($B110,'DRAFT 1'!$B:$B,0)),"")</f>
        <v/>
      </c>
      <c r="H110" s="116">
        <f>IFERROR(INDEX('DRAFT 1'!$H:$H,MATCH($B110,'DRAFT 1'!$B:$B,0)),"")</f>
        <v/>
      </c>
      <c r="I110" s="116" t="inlineStr">
        <is>
          <t>MUNDO VERDE</t>
        </is>
      </c>
      <c r="K110" s="116">
        <f>IFERROR(INDEX('DRAFT 1'!$AL:$AL,MATCH($B110,'DRAFT 1'!$B:$B,0)),"")</f>
        <v/>
      </c>
      <c r="L110" s="116">
        <f>IFERROR(INDEX('DRAFT 1'!$J:$J,MATCH($B110,'DRAFT 1'!$B:$B,0)),"")</f>
        <v/>
      </c>
      <c r="M110" s="116">
        <f>IFERROR(INDEX('DRAFT 1'!$K:$K,MATCH($B110,'DRAFT 1'!$B:$B,0)),"")</f>
        <v/>
      </c>
      <c r="N110" s="116" t="inlineStr">
        <is>
          <t>NOVO</t>
        </is>
      </c>
      <c r="P110" s="116">
        <f>IFERROR(INDEX('DRAFT 1'!$L:$L,MATCH($B110,'DRAFT 1'!$B:$B,0)),"")</f>
        <v/>
      </c>
      <c r="Q110" s="116">
        <f>IFERROR(INDEX('DRAFT 1'!$M:$M,MATCH($B110,'DRAFT 1'!$B:$B,0)),"")</f>
        <v/>
      </c>
      <c r="R110" s="116">
        <f>IFERROR(INDEX('DRAFT 1'!$N:$N,MATCH($B110,'DRAFT 1'!$B:$B,0)),"")</f>
        <v/>
      </c>
      <c r="S110" s="116">
        <f>IFERROR(INDEX('DRAFT 1'!$O:$O,MATCH($B110,'DRAFT 1'!$B:$B,0)),"")</f>
        <v/>
      </c>
      <c r="T110" s="116">
        <f>IFERROR(INDEX('DRAFT 1'!$P:$P,MATCH($B110,'DRAFT 1'!$B:$B,0)),"")</f>
        <v/>
      </c>
      <c r="U110" s="116">
        <f>IFERROR(INDEX('DRAFT 1'!$Q:$Q,MATCH($B110,'DRAFT 1'!$B:$B,0)),"")</f>
        <v/>
      </c>
      <c r="V110" s="116">
        <f>IFERROR(INDEX('DRAFT 1'!$R:$R,MATCH($B110,'DRAFT 1'!$B:$B,0)),"")</f>
        <v/>
      </c>
      <c r="W110" s="116">
        <f>IFERROR(INDEX('DRAFT 1'!$S:$S,MATCH($B110,'DRAFT 1'!$B:$B,0)),"")</f>
        <v/>
      </c>
      <c r="X110" s="116">
        <f>IFERROR(INDEX('DRAFT 1'!$T:$T,MATCH($B110,'DRAFT 1'!$B:$B,0)),"")</f>
        <v/>
      </c>
      <c r="Z110" s="116">
        <f>IFERROR(INDEX('DRAFT 1'!$U:$U,MATCH($B110,'DRAFT 1'!$B:$B,0)),"")</f>
        <v/>
      </c>
      <c r="AA110" s="116">
        <f>IFERROR(INDEX('DRAFT 1'!$V:$V,MATCH($B110,'DRAFT 1'!$B:$B,0)),"")</f>
        <v/>
      </c>
      <c r="AB110" s="116">
        <f>IFERROR(INDEX('DRAFT 1'!$W:$W,MATCH($B110,'DRAFT 1'!$B:$B,0)),"")</f>
        <v/>
      </c>
      <c r="AC110" s="116">
        <f>IFERROR(INDEX('DRAFT 1'!$X:$X,MATCH($B110,'DRAFT 1'!$B:$B,0)),"")</f>
        <v/>
      </c>
      <c r="AD110" s="116">
        <f>IFERROR(INDEX('DRAFT 1'!$Y:$Y,MATCH($B110,'DRAFT 1'!$B:$B,0)),"")</f>
        <v/>
      </c>
      <c r="AE110" s="116">
        <f>IFERROR(INDEX('DRAFT 1'!$Z:$Z,MATCH($B110,'DRAFT 1'!$B:$B,0)),"")</f>
        <v/>
      </c>
      <c r="AF110" s="116">
        <f>IFERROR(INDEX('DRAFT 1'!$AA:$AA,MATCH($B110,'DRAFT 1'!$B:$B,0)),"")</f>
        <v/>
      </c>
      <c r="AG110" s="116">
        <f>IFERROR(INDEX('DRAFT 1'!$AB:$AB,MATCH($B110,'DRAFT 1'!$B:$B,0)),"")</f>
        <v/>
      </c>
      <c r="AH110" s="116">
        <f>IFERROR(INDEX('DRAFT 1'!$AC:$AC,MATCH($B110,'DRAFT 1'!$B:$B,0)),"")</f>
        <v/>
      </c>
      <c r="AI110" s="116">
        <f>IFERROR(INDEX('DRAFT 1'!$AD:$AD,MATCH($B110,'DRAFT 1'!$B:$B,0)),"")</f>
        <v/>
      </c>
      <c r="AJ110" s="116">
        <f>IFERROR(INDEX('DRAFT 1'!$AE:$AE,MATCH($B110,'DRAFT 1'!$B:$B,0)),"")</f>
        <v/>
      </c>
      <c r="AK110" s="116">
        <f>IFERROR(INDEX('DRAFT 1'!$AG:$AG,MATCH($B110,'DRAFT 1'!$B:$B,0)),"")</f>
        <v/>
      </c>
      <c r="AL110" s="116">
        <f>IFERROR(INDEX('DRAFT 1'!$AH:$AH,MATCH($B110,'DRAFT 1'!$B:$B,0)),"")</f>
        <v/>
      </c>
      <c r="AM110" s="116">
        <f>IFERROR(INDEX('DRAFT 1'!$AI:$AI,MATCH($B110,'DRAFT 1'!$B:$B,0)),"")</f>
        <v/>
      </c>
      <c r="AN110" s="116">
        <f>IFERROR(INDEX('DRAFT 1'!$AJ:$AJ,MATCH($B110,'DRAFT 1'!$B:$B,0)),"")</f>
        <v/>
      </c>
      <c r="AO110" s="116">
        <f>IFERROR(Y110/AN110,0)</f>
        <v/>
      </c>
      <c r="AP110" s="116">
        <f>IFERROR(INDEX('DRAFT 1'!$AK:$AK,MATCH($B110,'DRAFT 1'!$B:$B,0)),"")</f>
        <v/>
      </c>
      <c r="AR110" s="116" t="inlineStr">
        <is>
          <t>PÓS-VENDA</t>
        </is>
      </c>
      <c r="AS110" s="116">
        <f>IFERROR(LOOKUP(2,1/('DRAFT 2'!$D:$D=$B110),'DRAFT 2'!$T:$T),"")</f>
        <v/>
      </c>
      <c r="AT110" s="116">
        <f>IFERROR(LOOKUP(2,1/('DRAFT 2'!$D:$D=$B110),'DRAFT 2'!$A:$A),"")</f>
        <v/>
      </c>
      <c r="AU110" s="116">
        <f>IFERROR(LOOKUP(2,1/('DRAFT 2'!$D:$D=$B110),'DRAFT 2'!$R:$R),"")</f>
        <v/>
      </c>
      <c r="AV110" s="116">
        <f>IFERROR(LOOKUP(2,1/('DRAFT 2'!$D:$D=$B110),'DRAFT 2'!$S:$S),"")</f>
        <v/>
      </c>
      <c r="AW110" s="116" t="inlineStr">
        <is>
          <t>NOVO</t>
        </is>
      </c>
      <c r="AX110" s="116">
        <f>IFERROR(LOOKUP(2,1/('DRAFT 2'!$D:$D=$B110),'DRAFT 2'!$M:$M),"")</f>
        <v/>
      </c>
      <c r="AY110" s="116">
        <f>IFERROR(LOOKUP(2,1/('DRAFT 2'!$D:$D=$B110),'DRAFT 2'!$K:$K),"")</f>
        <v/>
      </c>
      <c r="BG110" s="116">
        <f>IFERROR(LOOKUP(2,1/('DRAFT 2'!$D:$D=$B110),'DRAFT 2'!$U:$U),"")</f>
        <v/>
      </c>
      <c r="BH110" s="116">
        <f>IFERROR(LOOKUP(2,1/('DRAFT 2'!$D:$D=$B110),'DRAFT 2'!$V:$V),"")</f>
        <v/>
      </c>
      <c r="CE110" s="116">
        <f>IFERROR(AJ110,0)</f>
        <v/>
      </c>
      <c r="CF110" s="116">
        <f>IFERROR(LOOKUP(2,1/('DRAFT 2'!$D:$D=$B110)*('DRAFT 2'!$A:$A&gt;=DATE(2026,1,1))*('DRAFT 2'!$A:$A&lt;DATE(2026,IF(1=12,1+1,1+1),1)),'DRAFT 2'!$A:$A),"")</f>
        <v/>
      </c>
      <c r="CG110" s="116">
        <f>COUNTIFS('DRAFT 2'!$D:$D,$B110,'DRAFT 2'!$A:$A,"&gt;="&amp;DATE(2026,1,1),'DRAFT 2'!$A:$A,"&lt;="&amp;DATE(2026,1,7))</f>
        <v/>
      </c>
      <c r="CH110" s="116">
        <f>COUNTIFS('DRAFT 2'!$D:$D,$B110,'DRAFT 2'!$A:$A,"&gt;="&amp;DATE(2026,1,8),'DRAFT 2'!$A:$A,"&lt;="&amp;DATE(2026,1,14))</f>
        <v/>
      </c>
      <c r="CI110" s="116">
        <f>COUNTIFS('DRAFT 2'!$D:$D,$B110,'DRAFT 2'!$A:$A,"&gt;="&amp;DATE(2026,1,15),'DRAFT 2'!$A:$A,"&lt;="&amp;DATE(2026,1,21))</f>
        <v/>
      </c>
      <c r="CJ110" s="116">
        <f>COUNTIFS('DRAFT 2'!$D:$D,$B110,'DRAFT 2'!$A:$A,"&gt;="&amp;DATE(2026,1,22),'DRAFT 2'!$A:$A,"&lt;"&amp;DATE(2026,IF(1=12,1+1,1+1),1))</f>
        <v/>
      </c>
      <c r="CK110" s="116">
        <f>SUM(CG110:CJ110)</f>
        <v/>
      </c>
      <c r="CT110" s="116" t="n">
        <v>0</v>
      </c>
      <c r="CU110" s="116">
        <f>IFERROR(LOOKUP(2,1/('DRAFT 2'!$D:$D=$B110)*('DRAFT 2'!$A:$A&gt;=DATE(2026,2,1))*('DRAFT 2'!$A:$A&lt;DATE(2026,IF(2=12,2+1,2+1),1)),'DRAFT 2'!$A:$A),"")</f>
        <v/>
      </c>
      <c r="CV110" s="116">
        <f>COUNTIFS('DRAFT 2'!$D:$D,$B110,'DRAFT 2'!$A:$A,"&gt;="&amp;DATE(2026,2,1),'DRAFT 2'!$A:$A,"&lt;="&amp;DATE(2026,2,7))</f>
        <v/>
      </c>
      <c r="CW110" s="116">
        <f>COUNTIFS('DRAFT 2'!$D:$D,$B110,'DRAFT 2'!$A:$A,"&gt;="&amp;DATE(2026,2,8),'DRAFT 2'!$A:$A,"&lt;="&amp;DATE(2026,2,14))</f>
        <v/>
      </c>
      <c r="CX110" s="116">
        <f>COUNTIFS('DRAFT 2'!$D:$D,$B110,'DRAFT 2'!$A:$A,"&gt;="&amp;DATE(2026,2,15),'DRAFT 2'!$A:$A,"&lt;="&amp;DATE(2026,2,21))</f>
        <v/>
      </c>
      <c r="CY110" s="116">
        <f>COUNTIFS('DRAFT 2'!$D:$D,$B110,'DRAFT 2'!$A:$A,"&gt;="&amp;DATE(2026,2,22),'DRAFT 2'!$A:$A,"&lt;"&amp;DATE(2026,IF(2=12,2+1,2+1),1))</f>
        <v/>
      </c>
      <c r="CZ110" s="116">
        <f>SUM(CV110:CY110)</f>
        <v/>
      </c>
      <c r="DJ110" s="116">
        <f>IFERROR(LOOKUP(2,1/('DRAFT 2'!$D:$D=$B110)*('DRAFT 2'!$A:$A&gt;=DATE(2026,3,1))*('DRAFT 2'!$A:$A&lt;DATE(2026,IF(3=12,3+1,3+1),1)),'DRAFT 2'!$A:$A),"")</f>
        <v/>
      </c>
      <c r="DK110" s="116">
        <f>COUNTIFS('DRAFT 2'!$D:$D,$B110,'DRAFT 2'!$A:$A,"&gt;="&amp;DATE(2026,3,1),'DRAFT 2'!$A:$A,"&lt;="&amp;DATE(2026,3,7))</f>
        <v/>
      </c>
      <c r="DL110" s="116">
        <f>COUNTIFS('DRAFT 2'!$D:$D,$B110,'DRAFT 2'!$A:$A,"&gt;="&amp;DATE(2026,3,8),'DRAFT 2'!$A:$A,"&lt;="&amp;DATE(2026,3,14))</f>
        <v/>
      </c>
      <c r="DM110" s="116">
        <f>COUNTIFS('DRAFT 2'!$D:$D,$B110,'DRAFT 2'!$A:$A,"&gt;="&amp;DATE(2026,3,15),'DRAFT 2'!$A:$A,"&lt;="&amp;DATE(2026,3,21))</f>
        <v/>
      </c>
      <c r="DN110" s="116">
        <f>COUNTIFS('DRAFT 2'!$D:$D,$B110,'DRAFT 2'!$A:$A,"&gt;="&amp;DATE(2026,3,22),'DRAFT 2'!$A:$A,"&lt;"&amp;DATE(2026,IF(3=12,3+1,3+1),1))</f>
        <v/>
      </c>
      <c r="DO110" s="116">
        <f>SUM(DK110:DN110)</f>
        <v/>
      </c>
      <c r="DZ110" s="116">
        <f>IFERROR(LOOKUP(2,1/('DRAFT 2'!$D:$D=$B110)*('DRAFT 2'!$A:$A&gt;=DATE(2026,4,1))*('DRAFT 2'!$A:$A&lt;DATE(2026,IF(4=12,4+1,4+1),1)),'DRAFT 2'!$A:$A),"")</f>
        <v/>
      </c>
      <c r="EA110" s="116">
        <f>COUNTIFS('DRAFT 2'!$D:$D,$B110,'DRAFT 2'!$A:$A,"&gt;="&amp;DATE(2026,4,1),'DRAFT 2'!$A:$A,"&lt;="&amp;DATE(2026,4,7))</f>
        <v/>
      </c>
      <c r="EB110" s="116">
        <f>COUNTIFS('DRAFT 2'!$D:$D,$B110,'DRAFT 2'!$A:$A,"&gt;="&amp;DATE(2026,4,8),'DRAFT 2'!$A:$A,"&lt;="&amp;DATE(2026,4,14))</f>
        <v/>
      </c>
      <c r="EC110" s="116">
        <f>COUNTIFS('DRAFT 2'!$D:$D,$B110,'DRAFT 2'!$A:$A,"&gt;="&amp;DATE(2026,4,15),'DRAFT 2'!$A:$A,"&lt;="&amp;DATE(2026,4,21))</f>
        <v/>
      </c>
      <c r="ED110" s="116">
        <f>COUNTIFS('DRAFT 2'!$D:$D,$B110,'DRAFT 2'!$A:$A,"&gt;="&amp;DATE(2026,4,22),'DRAFT 2'!$A:$A,"&lt;"&amp;DATE(2026,IF(4=12,4+1,4+1),1))</f>
        <v/>
      </c>
      <c r="EE110" s="116">
        <f>SUM(EA110:ED110)</f>
        <v/>
      </c>
      <c r="EO110" s="116">
        <f>IFERROR(LOOKUP(2,1/('DRAFT 2'!$D:$D=$B110)*('DRAFT 2'!$A:$A&gt;=DATE(2026,5,1))*('DRAFT 2'!$A:$A&lt;DATE(2026,IF(5=12,5+1,5+1),1)),'DRAFT 2'!$A:$A),"")</f>
        <v/>
      </c>
      <c r="EP110" s="116">
        <f>COUNTIFS('DRAFT 2'!$D:$D,$B110,'DRAFT 2'!$A:$A,"&gt;="&amp;DATE(2026,5,1),'DRAFT 2'!$A:$A,"&lt;="&amp;DATE(2026,5,7))</f>
        <v/>
      </c>
      <c r="EQ110" s="116">
        <f>COUNTIFS('DRAFT 2'!$D:$D,$B110,'DRAFT 2'!$A:$A,"&gt;="&amp;DATE(2026,5,8),'DRAFT 2'!$A:$A,"&lt;="&amp;DATE(2026,5,14))</f>
        <v/>
      </c>
      <c r="ER110" s="116">
        <f>COUNTIFS('DRAFT 2'!$D:$D,$B110,'DRAFT 2'!$A:$A,"&gt;="&amp;DATE(2026,5,15),'DRAFT 2'!$A:$A,"&lt;="&amp;DATE(2026,5,21))</f>
        <v/>
      </c>
      <c r="ES110" s="116">
        <f>COUNTIFS('DRAFT 2'!$D:$D,$B110,'DRAFT 2'!$A:$A,"&gt;="&amp;DATE(2026,5,22),'DRAFT 2'!$A:$A,"&lt;"&amp;DATE(2026,IF(5=12,5+1,5+1),1))</f>
        <v/>
      </c>
      <c r="ET110" s="116">
        <f>SUM(EP110:ES110)</f>
        <v/>
      </c>
      <c r="FD110" s="116">
        <f>IFERROR(LOOKUP(2,1/('DRAFT 2'!$D:$D=$B110)*('DRAFT 2'!$A:$A&gt;=DATE(2026,6,1))*('DRAFT 2'!$A:$A&lt;DATE(2026,IF(6=12,6+1,6+1),1)),'DRAFT 2'!$A:$A),"")</f>
        <v/>
      </c>
      <c r="FE110" s="116">
        <f>COUNTIFS('DRAFT 2'!$D:$D,$B110,'DRAFT 2'!$A:$A,"&gt;="&amp;DATE(2026,6,1),'DRAFT 2'!$A:$A,"&lt;="&amp;DATE(2026,6,7))</f>
        <v/>
      </c>
      <c r="FF110" s="116">
        <f>COUNTIFS('DRAFT 2'!$D:$D,$B110,'DRAFT 2'!$A:$A,"&gt;="&amp;DATE(2026,6,8),'DRAFT 2'!$A:$A,"&lt;="&amp;DATE(2026,6,14))</f>
        <v/>
      </c>
      <c r="FG110" s="116">
        <f>COUNTIFS('DRAFT 2'!$D:$D,$B110,'DRAFT 2'!$A:$A,"&gt;="&amp;DATE(2026,6,15),'DRAFT 2'!$A:$A,"&lt;="&amp;DATE(2026,6,21))</f>
        <v/>
      </c>
      <c r="FH110" s="116">
        <f>COUNTIFS('DRAFT 2'!$D:$D,$B110,'DRAFT 2'!$A:$A,"&gt;="&amp;DATE(2026,6,22),'DRAFT 2'!$A:$A,"&lt;"&amp;DATE(2026,IF(6=12,6+1,6+1),1))</f>
        <v/>
      </c>
      <c r="FI110" s="116">
        <f>SUM(FE110:FH110)</f>
        <v/>
      </c>
      <c r="FT110" s="116">
        <f>IFERROR(LOOKUP(2,1/('DRAFT 2'!$D:$D=$B110)*('DRAFT 2'!$A:$A&gt;=DATE(2026,7,1))*('DRAFT 2'!$A:$A&lt;DATE(2026,IF(7=12,7+1,7+1),1)),'DRAFT 2'!$A:$A),"")</f>
        <v/>
      </c>
      <c r="FU110" s="116">
        <f>COUNTIFS('DRAFT 2'!$D:$D,$B110,'DRAFT 2'!$A:$A,"&gt;="&amp;DATE(2026,7,1),'DRAFT 2'!$A:$A,"&lt;="&amp;DATE(2026,7,7))</f>
        <v/>
      </c>
      <c r="FV110" s="116">
        <f>COUNTIFS('DRAFT 2'!$D:$D,$B110,'DRAFT 2'!$A:$A,"&gt;="&amp;DATE(2026,7,8),'DRAFT 2'!$A:$A,"&lt;="&amp;DATE(2026,7,14))</f>
        <v/>
      </c>
      <c r="FW110" s="116">
        <f>COUNTIFS('DRAFT 2'!$D:$D,$B110,'DRAFT 2'!$A:$A,"&gt;="&amp;DATE(2026,7,15),'DRAFT 2'!$A:$A,"&lt;="&amp;DATE(2026,7,21))</f>
        <v/>
      </c>
      <c r="FX110" s="116">
        <f>COUNTIFS('DRAFT 2'!$D:$D,$B110,'DRAFT 2'!$A:$A,"&gt;="&amp;DATE(2026,7,22),'DRAFT 2'!$A:$A,"&lt;"&amp;DATE(2026,IF(7=12,7+1,7+1),1))</f>
        <v/>
      </c>
      <c r="FY110" s="116">
        <f>SUM(FU110:FX110)</f>
        <v/>
      </c>
      <c r="GI110" s="116">
        <f>IFERROR(LOOKUP(2,1/('DRAFT 2'!$D:$D=$B110)*('DRAFT 2'!$A:$A&gt;=DATE(2026,8,1))*('DRAFT 2'!$A:$A&lt;DATE(2026,IF(8=12,8+1,8+1),1)),'DRAFT 2'!$A:$A),"")</f>
        <v/>
      </c>
      <c r="GJ110" s="116">
        <f>COUNTIFS('DRAFT 2'!$D:$D,$B110,'DRAFT 2'!$A:$A,"&gt;="&amp;DATE(2026,8,1),'DRAFT 2'!$A:$A,"&lt;="&amp;DATE(2026,8,7))</f>
        <v/>
      </c>
      <c r="GK110" s="116">
        <f>COUNTIFS('DRAFT 2'!$D:$D,$B110,'DRAFT 2'!$A:$A,"&gt;="&amp;DATE(2026,8,8),'DRAFT 2'!$A:$A,"&lt;="&amp;DATE(2026,8,14))</f>
        <v/>
      </c>
      <c r="GL110" s="116">
        <f>COUNTIFS('DRAFT 2'!$D:$D,$B110,'DRAFT 2'!$A:$A,"&gt;="&amp;DATE(2026,8,15),'DRAFT 2'!$A:$A,"&lt;="&amp;DATE(2026,8,21))</f>
        <v/>
      </c>
      <c r="GM110" s="116">
        <f>COUNTIFS('DRAFT 2'!$D:$D,$B110,'DRAFT 2'!$A:$A,"&gt;="&amp;DATE(2026,8,22),'DRAFT 2'!$A:$A,"&lt;"&amp;DATE(2026,IF(8=12,8+1,8+1),1))</f>
        <v/>
      </c>
      <c r="GN110" s="116">
        <f>SUM(GJ110:GM110)</f>
        <v/>
      </c>
      <c r="GX110" s="116">
        <f>IFERROR(LOOKUP(2,1/('DRAFT 2'!$D:$D=$B110)*('DRAFT 2'!$A:$A&gt;=DATE(2026,9,1))*('DRAFT 2'!$A:$A&lt;DATE(2026,IF(9=12,9+1,9+1),1)),'DRAFT 2'!$A:$A),"")</f>
        <v/>
      </c>
      <c r="GY110" s="116">
        <f>COUNTIFS('DRAFT 2'!$D:$D,$B110,'DRAFT 2'!$A:$A,"&gt;="&amp;DATE(2026,9,1),'DRAFT 2'!$A:$A,"&lt;="&amp;DATE(2026,9,7))</f>
        <v/>
      </c>
      <c r="GZ110" s="116">
        <f>COUNTIFS('DRAFT 2'!$D:$D,$B110,'DRAFT 2'!$A:$A,"&gt;="&amp;DATE(2026,9,8),'DRAFT 2'!$A:$A,"&lt;="&amp;DATE(2026,9,14))</f>
        <v/>
      </c>
      <c r="HA110" s="116">
        <f>COUNTIFS('DRAFT 2'!$D:$D,$B110,'DRAFT 2'!$A:$A,"&gt;="&amp;DATE(2026,9,15),'DRAFT 2'!$A:$A,"&lt;="&amp;DATE(2026,9,21))</f>
        <v/>
      </c>
      <c r="HB110" s="116">
        <f>COUNTIFS('DRAFT 2'!$D:$D,$B110,'DRAFT 2'!$A:$A,"&gt;="&amp;DATE(2026,9,22),'DRAFT 2'!$A:$A,"&lt;"&amp;DATE(2026,IF(9=12,9+1,9+1),1))</f>
        <v/>
      </c>
      <c r="HC110" s="116">
        <f>SUM(GY110:HB110)</f>
        <v/>
      </c>
      <c r="HN110" s="116">
        <f>IFERROR(LOOKUP(2,1/('DRAFT 2'!$D:$D=$B110)*('DRAFT 2'!$A:$A&gt;=DATE(2026,10,1))*('DRAFT 2'!$A:$A&lt;DATE(2026,IF(10=12,10+1,10+1),1)),'DRAFT 2'!$A:$A),"")</f>
        <v/>
      </c>
      <c r="HO110" s="116">
        <f>COUNTIFS('DRAFT 2'!$D:$D,$B110,'DRAFT 2'!$A:$A,"&gt;="&amp;DATE(2026,10,1),'DRAFT 2'!$A:$A,"&lt;="&amp;DATE(2026,10,7))</f>
        <v/>
      </c>
      <c r="HP110" s="116">
        <f>COUNTIFS('DRAFT 2'!$D:$D,$B110,'DRAFT 2'!$A:$A,"&gt;="&amp;DATE(2026,10,8),'DRAFT 2'!$A:$A,"&lt;="&amp;DATE(2026,10,14))</f>
        <v/>
      </c>
      <c r="HQ110" s="116">
        <f>COUNTIFS('DRAFT 2'!$D:$D,$B110,'DRAFT 2'!$A:$A,"&gt;="&amp;DATE(2026,10,15),'DRAFT 2'!$A:$A,"&lt;="&amp;DATE(2026,10,21))</f>
        <v/>
      </c>
      <c r="HR110" s="116">
        <f>COUNTIFS('DRAFT 2'!$D:$D,$B110,'DRAFT 2'!$A:$A,"&gt;="&amp;DATE(2026,10,22),'DRAFT 2'!$A:$A,"&lt;"&amp;DATE(2026,IF(10=12,10+1,10+1),1))</f>
        <v/>
      </c>
      <c r="HS110" s="116">
        <f>SUM(HO110:HR110)</f>
        <v/>
      </c>
      <c r="IC110" s="116">
        <f>IFERROR(LOOKUP(2,1/('DRAFT 2'!$D:$D=$B110)*('DRAFT 2'!$A:$A&gt;=DATE(2026,11,1))*('DRAFT 2'!$A:$A&lt;DATE(2026,IF(11=12,11+1,11+1),1)),'DRAFT 2'!$A:$A),"")</f>
        <v/>
      </c>
      <c r="ID110" s="116">
        <f>COUNTIFS('DRAFT 2'!$D:$D,$B110,'DRAFT 2'!$A:$A,"&gt;="&amp;DATE(2026,11,1),'DRAFT 2'!$A:$A,"&lt;="&amp;DATE(2026,11,7))</f>
        <v/>
      </c>
      <c r="IE110" s="116">
        <f>COUNTIFS('DRAFT 2'!$D:$D,$B110,'DRAFT 2'!$A:$A,"&gt;="&amp;DATE(2026,11,8),'DRAFT 2'!$A:$A,"&lt;="&amp;DATE(2026,11,14))</f>
        <v/>
      </c>
      <c r="IF110" s="116">
        <f>COUNTIFS('DRAFT 2'!$D:$D,$B110,'DRAFT 2'!$A:$A,"&gt;="&amp;DATE(2026,11,15),'DRAFT 2'!$A:$A,"&lt;="&amp;DATE(2026,11,21))</f>
        <v/>
      </c>
      <c r="IG110" s="116">
        <f>COUNTIFS('DRAFT 2'!$D:$D,$B110,'DRAFT 2'!$A:$A,"&gt;="&amp;DATE(2026,11,22),'DRAFT 2'!$A:$A,"&lt;"&amp;DATE(2026,IF(11=12,11+1,11+1),1))</f>
        <v/>
      </c>
      <c r="IH110" s="116">
        <f>SUM(ID110:IG110)</f>
        <v/>
      </c>
      <c r="IR110" s="116">
        <f>IFERROR(LOOKUP(2,1/('DRAFT 2'!$D:$D=$B110)*('DRAFT 2'!$A:$A&gt;=DATE(2026,12,1))*('DRAFT 2'!$A:$A&lt;DATE(2026,IF(12=12,12+1,12+1),1)),'DRAFT 2'!$A:$A),"")</f>
        <v/>
      </c>
      <c r="IS110" s="116">
        <f>COUNTIFS('DRAFT 2'!$D:$D,$B110,'DRAFT 2'!$A:$A,"&gt;="&amp;DATE(2026,12,1),'DRAFT 2'!$A:$A,"&lt;="&amp;DATE(2026,12,7))</f>
        <v/>
      </c>
      <c r="IT110" s="116">
        <f>COUNTIFS('DRAFT 2'!$D:$D,$B110,'DRAFT 2'!$A:$A,"&gt;="&amp;DATE(2026,12,8),'DRAFT 2'!$A:$A,"&lt;="&amp;DATE(2026,12,14))</f>
        <v/>
      </c>
      <c r="IU110" s="116">
        <f>COUNTIFS('DRAFT 2'!$D:$D,$B110,'DRAFT 2'!$A:$A,"&gt;="&amp;DATE(2026,12,15),'DRAFT 2'!$A:$A,"&lt;="&amp;DATE(2026,12,21))</f>
        <v/>
      </c>
      <c r="IV110" s="116">
        <f>COUNTIFS('DRAFT 2'!$D:$D,$B110,'DRAFT 2'!$A:$A,"&gt;="&amp;DATE(2026,12,22),'DRAFT 2'!$A:$A,"&lt;"&amp;DATE(2026,IF(12=12,12+1,12+1),1))</f>
        <v/>
      </c>
      <c r="IW110" s="116">
        <f>SUM(IS110:IV110)</f>
        <v/>
      </c>
    </row>
    <row r="111">
      <c r="A111" s="116">
        <f>IFERROR(INDEX('DRAFT 1'!$A:$A,MATCH($B111,'DRAFT 1'!$B:$B,0)),"")</f>
        <v/>
      </c>
      <c r="C111" s="116">
        <f>IFERROR(INDEX('DRAFT 1'!$C:$C,MATCH($B111,'DRAFT 1'!$B:$B,0)),"")</f>
        <v/>
      </c>
      <c r="D111" s="116">
        <f>IFERROR(INDEX('DRAFT 1'!$D:$D,MATCH($B111,'DRAFT 1'!$B:$B,0)),"")</f>
        <v/>
      </c>
      <c r="E111" s="116">
        <f>IFERROR(INDEX('DRAFT 1'!$E:$E,MATCH($B111,'DRAFT 1'!$B:$B,0)),"")</f>
        <v/>
      </c>
      <c r="F111" s="116">
        <f>IFERROR(INDEX('DRAFT 1'!$F:$F,MATCH($B111,'DRAFT 1'!$B:$B,0)),"")</f>
        <v/>
      </c>
      <c r="G111" s="116">
        <f>IFERROR(INDEX('DRAFT 1'!$G:$G,MATCH($B111,'DRAFT 1'!$B:$B,0)),"")</f>
        <v/>
      </c>
      <c r="H111" s="116">
        <f>IFERROR(INDEX('DRAFT 1'!$H:$H,MATCH($B111,'DRAFT 1'!$B:$B,0)),"")</f>
        <v/>
      </c>
      <c r="I111" s="116" t="inlineStr">
        <is>
          <t>FIT LAND</t>
        </is>
      </c>
      <c r="K111" s="116">
        <f>IFERROR(INDEX('DRAFT 1'!$AL:$AL,MATCH($B111,'DRAFT 1'!$B:$B,0)),"")</f>
        <v/>
      </c>
      <c r="L111" s="116">
        <f>IFERROR(INDEX('DRAFT 1'!$J:$J,MATCH($B111,'DRAFT 1'!$B:$B,0)),"")</f>
        <v/>
      </c>
      <c r="M111" s="116">
        <f>IFERROR(INDEX('DRAFT 1'!$K:$K,MATCH($B111,'DRAFT 1'!$B:$B,0)),"")</f>
        <v/>
      </c>
      <c r="N111" s="116" t="inlineStr">
        <is>
          <t>ATIVO</t>
        </is>
      </c>
      <c r="P111" s="116">
        <f>IFERROR(INDEX('DRAFT 1'!$L:$L,MATCH($B111,'DRAFT 1'!$B:$B,0)),"")</f>
        <v/>
      </c>
      <c r="Q111" s="116">
        <f>IFERROR(INDEX('DRAFT 1'!$M:$M,MATCH($B111,'DRAFT 1'!$B:$B,0)),"")</f>
        <v/>
      </c>
      <c r="R111" s="116">
        <f>IFERROR(INDEX('DRAFT 1'!$N:$N,MATCH($B111,'DRAFT 1'!$B:$B,0)),"")</f>
        <v/>
      </c>
      <c r="S111" s="116">
        <f>IFERROR(INDEX('DRAFT 1'!$O:$O,MATCH($B111,'DRAFT 1'!$B:$B,0)),"")</f>
        <v/>
      </c>
      <c r="T111" s="116">
        <f>IFERROR(INDEX('DRAFT 1'!$P:$P,MATCH($B111,'DRAFT 1'!$B:$B,0)),"")</f>
        <v/>
      </c>
      <c r="U111" s="116">
        <f>IFERROR(INDEX('DRAFT 1'!$Q:$Q,MATCH($B111,'DRAFT 1'!$B:$B,0)),"")</f>
        <v/>
      </c>
      <c r="V111" s="116">
        <f>IFERROR(INDEX('DRAFT 1'!$R:$R,MATCH($B111,'DRAFT 1'!$B:$B,0)),"")</f>
        <v/>
      </c>
      <c r="W111" s="116">
        <f>IFERROR(INDEX('DRAFT 1'!$S:$S,MATCH($B111,'DRAFT 1'!$B:$B,0)),"")</f>
        <v/>
      </c>
      <c r="X111" s="116">
        <f>IFERROR(INDEX('DRAFT 1'!$T:$T,MATCH($B111,'DRAFT 1'!$B:$B,0)),"")</f>
        <v/>
      </c>
      <c r="Z111" s="116">
        <f>IFERROR(INDEX('DRAFT 1'!$U:$U,MATCH($B111,'DRAFT 1'!$B:$B,0)),"")</f>
        <v/>
      </c>
      <c r="AA111" s="116">
        <f>IFERROR(INDEX('DRAFT 1'!$V:$V,MATCH($B111,'DRAFT 1'!$B:$B,0)),"")</f>
        <v/>
      </c>
      <c r="AB111" s="116">
        <f>IFERROR(INDEX('DRAFT 1'!$W:$W,MATCH($B111,'DRAFT 1'!$B:$B,0)),"")</f>
        <v/>
      </c>
      <c r="AC111" s="116">
        <f>IFERROR(INDEX('DRAFT 1'!$X:$X,MATCH($B111,'DRAFT 1'!$B:$B,0)),"")</f>
        <v/>
      </c>
      <c r="AD111" s="116">
        <f>IFERROR(INDEX('DRAFT 1'!$Y:$Y,MATCH($B111,'DRAFT 1'!$B:$B,0)),"")</f>
        <v/>
      </c>
      <c r="AE111" s="116">
        <f>IFERROR(INDEX('DRAFT 1'!$Z:$Z,MATCH($B111,'DRAFT 1'!$B:$B,0)),"")</f>
        <v/>
      </c>
      <c r="AF111" s="116">
        <f>IFERROR(INDEX('DRAFT 1'!$AA:$AA,MATCH($B111,'DRAFT 1'!$B:$B,0)),"")</f>
        <v/>
      </c>
      <c r="AG111" s="116">
        <f>IFERROR(INDEX('DRAFT 1'!$AB:$AB,MATCH($B111,'DRAFT 1'!$B:$B,0)),"")</f>
        <v/>
      </c>
      <c r="AH111" s="116">
        <f>IFERROR(INDEX('DRAFT 1'!$AC:$AC,MATCH($B111,'DRAFT 1'!$B:$B,0)),"")</f>
        <v/>
      </c>
      <c r="AI111" s="116">
        <f>IFERROR(INDEX('DRAFT 1'!$AD:$AD,MATCH($B111,'DRAFT 1'!$B:$B,0)),"")</f>
        <v/>
      </c>
      <c r="AJ111" s="116">
        <f>IFERROR(INDEX('DRAFT 1'!$AE:$AE,MATCH($B111,'DRAFT 1'!$B:$B,0)),"")</f>
        <v/>
      </c>
      <c r="AK111" s="116">
        <f>IFERROR(INDEX('DRAFT 1'!$AG:$AG,MATCH($B111,'DRAFT 1'!$B:$B,0)),"")</f>
        <v/>
      </c>
      <c r="AL111" s="116">
        <f>IFERROR(INDEX('DRAFT 1'!$AH:$AH,MATCH($B111,'DRAFT 1'!$B:$B,0)),"")</f>
        <v/>
      </c>
      <c r="AM111" s="116">
        <f>IFERROR(INDEX('DRAFT 1'!$AI:$AI,MATCH($B111,'DRAFT 1'!$B:$B,0)),"")</f>
        <v/>
      </c>
      <c r="AN111" s="116">
        <f>IFERROR(INDEX('DRAFT 1'!$AJ:$AJ,MATCH($B111,'DRAFT 1'!$B:$B,0)),"")</f>
        <v/>
      </c>
      <c r="AO111" s="116">
        <f>IFERROR(Y111/AN111,0)</f>
        <v/>
      </c>
      <c r="AP111" s="116">
        <f>IFERROR(INDEX('DRAFT 1'!$AK:$AK,MATCH($B111,'DRAFT 1'!$B:$B,0)),"")</f>
        <v/>
      </c>
      <c r="AR111" s="116" t="inlineStr">
        <is>
          <t>PÓS-VENDA</t>
        </is>
      </c>
      <c r="AS111" s="116">
        <f>IFERROR(LOOKUP(2,1/('DRAFT 2'!$D:$D=$B111),'DRAFT 2'!$T:$T),"")</f>
        <v/>
      </c>
      <c r="AT111" s="116">
        <f>IFERROR(LOOKUP(2,1/('DRAFT 2'!$D:$D=$B111),'DRAFT 2'!$A:$A),"")</f>
        <v/>
      </c>
      <c r="AU111" s="116">
        <f>IFERROR(LOOKUP(2,1/('DRAFT 2'!$D:$D=$B111),'DRAFT 2'!$R:$R),"")</f>
        <v/>
      </c>
      <c r="AV111" s="116">
        <f>IFERROR(LOOKUP(2,1/('DRAFT 2'!$D:$D=$B111),'DRAFT 2'!$S:$S),"")</f>
        <v/>
      </c>
      <c r="AW111" s="116" t="inlineStr">
        <is>
          <t>FIDELIZADO</t>
        </is>
      </c>
      <c r="AX111" s="116">
        <f>IFERROR(LOOKUP(2,1/('DRAFT 2'!$D:$D=$B111),'DRAFT 2'!$M:$M),"")</f>
        <v/>
      </c>
      <c r="AY111" s="116">
        <f>IFERROR(LOOKUP(2,1/('DRAFT 2'!$D:$D=$B111),'DRAFT 2'!$K:$K),"")</f>
        <v/>
      </c>
      <c r="BG111" s="116">
        <f>IFERROR(LOOKUP(2,1/('DRAFT 2'!$D:$D=$B111),'DRAFT 2'!$U:$U),"")</f>
        <v/>
      </c>
      <c r="BH111" s="116">
        <f>IFERROR(LOOKUP(2,1/('DRAFT 2'!$D:$D=$B111),'DRAFT 2'!$V:$V),"")</f>
        <v/>
      </c>
      <c r="CE111" s="116">
        <f>IFERROR(AJ111,0)</f>
        <v/>
      </c>
      <c r="CF111" s="116">
        <f>IFERROR(LOOKUP(2,1/('DRAFT 2'!$D:$D=$B111)*('DRAFT 2'!$A:$A&gt;=DATE(2026,1,1))*('DRAFT 2'!$A:$A&lt;DATE(2026,IF(1=12,1+1,1+1),1)),'DRAFT 2'!$A:$A),"")</f>
        <v/>
      </c>
      <c r="CG111" s="116">
        <f>COUNTIFS('DRAFT 2'!$D:$D,$B111,'DRAFT 2'!$A:$A,"&gt;="&amp;DATE(2026,1,1),'DRAFT 2'!$A:$A,"&lt;="&amp;DATE(2026,1,7))</f>
        <v/>
      </c>
      <c r="CH111" s="116">
        <f>COUNTIFS('DRAFT 2'!$D:$D,$B111,'DRAFT 2'!$A:$A,"&gt;="&amp;DATE(2026,1,8),'DRAFT 2'!$A:$A,"&lt;="&amp;DATE(2026,1,14))</f>
        <v/>
      </c>
      <c r="CI111" s="116">
        <f>COUNTIFS('DRAFT 2'!$D:$D,$B111,'DRAFT 2'!$A:$A,"&gt;="&amp;DATE(2026,1,15),'DRAFT 2'!$A:$A,"&lt;="&amp;DATE(2026,1,21))</f>
        <v/>
      </c>
      <c r="CJ111" s="116">
        <f>COUNTIFS('DRAFT 2'!$D:$D,$B111,'DRAFT 2'!$A:$A,"&gt;="&amp;DATE(2026,1,22),'DRAFT 2'!$A:$A,"&lt;"&amp;DATE(2026,IF(1=12,1+1,1+1),1))</f>
        <v/>
      </c>
      <c r="CK111" s="116">
        <f>SUM(CG111:CJ111)</f>
        <v/>
      </c>
      <c r="CT111" s="116" t="n">
        <v>0</v>
      </c>
      <c r="CU111" s="116">
        <f>IFERROR(LOOKUP(2,1/('DRAFT 2'!$D:$D=$B111)*('DRAFT 2'!$A:$A&gt;=DATE(2026,2,1))*('DRAFT 2'!$A:$A&lt;DATE(2026,IF(2=12,2+1,2+1),1)),'DRAFT 2'!$A:$A),"")</f>
        <v/>
      </c>
      <c r="CV111" s="116">
        <f>COUNTIFS('DRAFT 2'!$D:$D,$B111,'DRAFT 2'!$A:$A,"&gt;="&amp;DATE(2026,2,1),'DRAFT 2'!$A:$A,"&lt;="&amp;DATE(2026,2,7))</f>
        <v/>
      </c>
      <c r="CW111" s="116">
        <f>COUNTIFS('DRAFT 2'!$D:$D,$B111,'DRAFT 2'!$A:$A,"&gt;="&amp;DATE(2026,2,8),'DRAFT 2'!$A:$A,"&lt;="&amp;DATE(2026,2,14))</f>
        <v/>
      </c>
      <c r="CX111" s="116">
        <f>COUNTIFS('DRAFT 2'!$D:$D,$B111,'DRAFT 2'!$A:$A,"&gt;="&amp;DATE(2026,2,15),'DRAFT 2'!$A:$A,"&lt;="&amp;DATE(2026,2,21))</f>
        <v/>
      </c>
      <c r="CY111" s="116">
        <f>COUNTIFS('DRAFT 2'!$D:$D,$B111,'DRAFT 2'!$A:$A,"&gt;="&amp;DATE(2026,2,22),'DRAFT 2'!$A:$A,"&lt;"&amp;DATE(2026,IF(2=12,2+1,2+1),1))</f>
        <v/>
      </c>
      <c r="CZ111" s="116">
        <f>SUM(CV111:CY111)</f>
        <v/>
      </c>
      <c r="DJ111" s="116">
        <f>IFERROR(LOOKUP(2,1/('DRAFT 2'!$D:$D=$B111)*('DRAFT 2'!$A:$A&gt;=DATE(2026,3,1))*('DRAFT 2'!$A:$A&lt;DATE(2026,IF(3=12,3+1,3+1),1)),'DRAFT 2'!$A:$A),"")</f>
        <v/>
      </c>
      <c r="DK111" s="116">
        <f>COUNTIFS('DRAFT 2'!$D:$D,$B111,'DRAFT 2'!$A:$A,"&gt;="&amp;DATE(2026,3,1),'DRAFT 2'!$A:$A,"&lt;="&amp;DATE(2026,3,7))</f>
        <v/>
      </c>
      <c r="DL111" s="116">
        <f>COUNTIFS('DRAFT 2'!$D:$D,$B111,'DRAFT 2'!$A:$A,"&gt;="&amp;DATE(2026,3,8),'DRAFT 2'!$A:$A,"&lt;="&amp;DATE(2026,3,14))</f>
        <v/>
      </c>
      <c r="DM111" s="116">
        <f>COUNTIFS('DRAFT 2'!$D:$D,$B111,'DRAFT 2'!$A:$A,"&gt;="&amp;DATE(2026,3,15),'DRAFT 2'!$A:$A,"&lt;="&amp;DATE(2026,3,21))</f>
        <v/>
      </c>
      <c r="DN111" s="116">
        <f>COUNTIFS('DRAFT 2'!$D:$D,$B111,'DRAFT 2'!$A:$A,"&gt;="&amp;DATE(2026,3,22),'DRAFT 2'!$A:$A,"&lt;"&amp;DATE(2026,IF(3=12,3+1,3+1),1))</f>
        <v/>
      </c>
      <c r="DO111" s="116">
        <f>SUM(DK111:DN111)</f>
        <v/>
      </c>
      <c r="DZ111" s="116">
        <f>IFERROR(LOOKUP(2,1/('DRAFT 2'!$D:$D=$B111)*('DRAFT 2'!$A:$A&gt;=DATE(2026,4,1))*('DRAFT 2'!$A:$A&lt;DATE(2026,IF(4=12,4+1,4+1),1)),'DRAFT 2'!$A:$A),"")</f>
        <v/>
      </c>
      <c r="EA111" s="116">
        <f>COUNTIFS('DRAFT 2'!$D:$D,$B111,'DRAFT 2'!$A:$A,"&gt;="&amp;DATE(2026,4,1),'DRAFT 2'!$A:$A,"&lt;="&amp;DATE(2026,4,7))</f>
        <v/>
      </c>
      <c r="EB111" s="116">
        <f>COUNTIFS('DRAFT 2'!$D:$D,$B111,'DRAFT 2'!$A:$A,"&gt;="&amp;DATE(2026,4,8),'DRAFT 2'!$A:$A,"&lt;="&amp;DATE(2026,4,14))</f>
        <v/>
      </c>
      <c r="EC111" s="116">
        <f>COUNTIFS('DRAFT 2'!$D:$D,$B111,'DRAFT 2'!$A:$A,"&gt;="&amp;DATE(2026,4,15),'DRAFT 2'!$A:$A,"&lt;="&amp;DATE(2026,4,21))</f>
        <v/>
      </c>
      <c r="ED111" s="116">
        <f>COUNTIFS('DRAFT 2'!$D:$D,$B111,'DRAFT 2'!$A:$A,"&gt;="&amp;DATE(2026,4,22),'DRAFT 2'!$A:$A,"&lt;"&amp;DATE(2026,IF(4=12,4+1,4+1),1))</f>
        <v/>
      </c>
      <c r="EE111" s="116">
        <f>SUM(EA111:ED111)</f>
        <v/>
      </c>
      <c r="EO111" s="116">
        <f>IFERROR(LOOKUP(2,1/('DRAFT 2'!$D:$D=$B111)*('DRAFT 2'!$A:$A&gt;=DATE(2026,5,1))*('DRAFT 2'!$A:$A&lt;DATE(2026,IF(5=12,5+1,5+1),1)),'DRAFT 2'!$A:$A),"")</f>
        <v/>
      </c>
      <c r="EP111" s="116">
        <f>COUNTIFS('DRAFT 2'!$D:$D,$B111,'DRAFT 2'!$A:$A,"&gt;="&amp;DATE(2026,5,1),'DRAFT 2'!$A:$A,"&lt;="&amp;DATE(2026,5,7))</f>
        <v/>
      </c>
      <c r="EQ111" s="116">
        <f>COUNTIFS('DRAFT 2'!$D:$D,$B111,'DRAFT 2'!$A:$A,"&gt;="&amp;DATE(2026,5,8),'DRAFT 2'!$A:$A,"&lt;="&amp;DATE(2026,5,14))</f>
        <v/>
      </c>
      <c r="ER111" s="116">
        <f>COUNTIFS('DRAFT 2'!$D:$D,$B111,'DRAFT 2'!$A:$A,"&gt;="&amp;DATE(2026,5,15),'DRAFT 2'!$A:$A,"&lt;="&amp;DATE(2026,5,21))</f>
        <v/>
      </c>
      <c r="ES111" s="116">
        <f>COUNTIFS('DRAFT 2'!$D:$D,$B111,'DRAFT 2'!$A:$A,"&gt;="&amp;DATE(2026,5,22),'DRAFT 2'!$A:$A,"&lt;"&amp;DATE(2026,IF(5=12,5+1,5+1),1))</f>
        <v/>
      </c>
      <c r="ET111" s="116">
        <f>SUM(EP111:ES111)</f>
        <v/>
      </c>
      <c r="FD111" s="116">
        <f>IFERROR(LOOKUP(2,1/('DRAFT 2'!$D:$D=$B111)*('DRAFT 2'!$A:$A&gt;=DATE(2026,6,1))*('DRAFT 2'!$A:$A&lt;DATE(2026,IF(6=12,6+1,6+1),1)),'DRAFT 2'!$A:$A),"")</f>
        <v/>
      </c>
      <c r="FE111" s="116">
        <f>COUNTIFS('DRAFT 2'!$D:$D,$B111,'DRAFT 2'!$A:$A,"&gt;="&amp;DATE(2026,6,1),'DRAFT 2'!$A:$A,"&lt;="&amp;DATE(2026,6,7))</f>
        <v/>
      </c>
      <c r="FF111" s="116">
        <f>COUNTIFS('DRAFT 2'!$D:$D,$B111,'DRAFT 2'!$A:$A,"&gt;="&amp;DATE(2026,6,8),'DRAFT 2'!$A:$A,"&lt;="&amp;DATE(2026,6,14))</f>
        <v/>
      </c>
      <c r="FG111" s="116">
        <f>COUNTIFS('DRAFT 2'!$D:$D,$B111,'DRAFT 2'!$A:$A,"&gt;="&amp;DATE(2026,6,15),'DRAFT 2'!$A:$A,"&lt;="&amp;DATE(2026,6,21))</f>
        <v/>
      </c>
      <c r="FH111" s="116">
        <f>COUNTIFS('DRAFT 2'!$D:$D,$B111,'DRAFT 2'!$A:$A,"&gt;="&amp;DATE(2026,6,22),'DRAFT 2'!$A:$A,"&lt;"&amp;DATE(2026,IF(6=12,6+1,6+1),1))</f>
        <v/>
      </c>
      <c r="FI111" s="116">
        <f>SUM(FE111:FH111)</f>
        <v/>
      </c>
      <c r="FT111" s="116">
        <f>IFERROR(LOOKUP(2,1/('DRAFT 2'!$D:$D=$B111)*('DRAFT 2'!$A:$A&gt;=DATE(2026,7,1))*('DRAFT 2'!$A:$A&lt;DATE(2026,IF(7=12,7+1,7+1),1)),'DRAFT 2'!$A:$A),"")</f>
        <v/>
      </c>
      <c r="FU111" s="116">
        <f>COUNTIFS('DRAFT 2'!$D:$D,$B111,'DRAFT 2'!$A:$A,"&gt;="&amp;DATE(2026,7,1),'DRAFT 2'!$A:$A,"&lt;="&amp;DATE(2026,7,7))</f>
        <v/>
      </c>
      <c r="FV111" s="116">
        <f>COUNTIFS('DRAFT 2'!$D:$D,$B111,'DRAFT 2'!$A:$A,"&gt;="&amp;DATE(2026,7,8),'DRAFT 2'!$A:$A,"&lt;="&amp;DATE(2026,7,14))</f>
        <v/>
      </c>
      <c r="FW111" s="116">
        <f>COUNTIFS('DRAFT 2'!$D:$D,$B111,'DRAFT 2'!$A:$A,"&gt;="&amp;DATE(2026,7,15),'DRAFT 2'!$A:$A,"&lt;="&amp;DATE(2026,7,21))</f>
        <v/>
      </c>
      <c r="FX111" s="116">
        <f>COUNTIFS('DRAFT 2'!$D:$D,$B111,'DRAFT 2'!$A:$A,"&gt;="&amp;DATE(2026,7,22),'DRAFT 2'!$A:$A,"&lt;"&amp;DATE(2026,IF(7=12,7+1,7+1),1))</f>
        <v/>
      </c>
      <c r="FY111" s="116">
        <f>SUM(FU111:FX111)</f>
        <v/>
      </c>
      <c r="GI111" s="116">
        <f>IFERROR(LOOKUP(2,1/('DRAFT 2'!$D:$D=$B111)*('DRAFT 2'!$A:$A&gt;=DATE(2026,8,1))*('DRAFT 2'!$A:$A&lt;DATE(2026,IF(8=12,8+1,8+1),1)),'DRAFT 2'!$A:$A),"")</f>
        <v/>
      </c>
      <c r="GJ111" s="116">
        <f>COUNTIFS('DRAFT 2'!$D:$D,$B111,'DRAFT 2'!$A:$A,"&gt;="&amp;DATE(2026,8,1),'DRAFT 2'!$A:$A,"&lt;="&amp;DATE(2026,8,7))</f>
        <v/>
      </c>
      <c r="GK111" s="116">
        <f>COUNTIFS('DRAFT 2'!$D:$D,$B111,'DRAFT 2'!$A:$A,"&gt;="&amp;DATE(2026,8,8),'DRAFT 2'!$A:$A,"&lt;="&amp;DATE(2026,8,14))</f>
        <v/>
      </c>
      <c r="GL111" s="116">
        <f>COUNTIFS('DRAFT 2'!$D:$D,$B111,'DRAFT 2'!$A:$A,"&gt;="&amp;DATE(2026,8,15),'DRAFT 2'!$A:$A,"&lt;="&amp;DATE(2026,8,21))</f>
        <v/>
      </c>
      <c r="GM111" s="116">
        <f>COUNTIFS('DRAFT 2'!$D:$D,$B111,'DRAFT 2'!$A:$A,"&gt;="&amp;DATE(2026,8,22),'DRAFT 2'!$A:$A,"&lt;"&amp;DATE(2026,IF(8=12,8+1,8+1),1))</f>
        <v/>
      </c>
      <c r="GN111" s="116">
        <f>SUM(GJ111:GM111)</f>
        <v/>
      </c>
      <c r="GX111" s="116">
        <f>IFERROR(LOOKUP(2,1/('DRAFT 2'!$D:$D=$B111)*('DRAFT 2'!$A:$A&gt;=DATE(2026,9,1))*('DRAFT 2'!$A:$A&lt;DATE(2026,IF(9=12,9+1,9+1),1)),'DRAFT 2'!$A:$A),"")</f>
        <v/>
      </c>
      <c r="GY111" s="116">
        <f>COUNTIFS('DRAFT 2'!$D:$D,$B111,'DRAFT 2'!$A:$A,"&gt;="&amp;DATE(2026,9,1),'DRAFT 2'!$A:$A,"&lt;="&amp;DATE(2026,9,7))</f>
        <v/>
      </c>
      <c r="GZ111" s="116">
        <f>COUNTIFS('DRAFT 2'!$D:$D,$B111,'DRAFT 2'!$A:$A,"&gt;="&amp;DATE(2026,9,8),'DRAFT 2'!$A:$A,"&lt;="&amp;DATE(2026,9,14))</f>
        <v/>
      </c>
      <c r="HA111" s="116">
        <f>COUNTIFS('DRAFT 2'!$D:$D,$B111,'DRAFT 2'!$A:$A,"&gt;="&amp;DATE(2026,9,15),'DRAFT 2'!$A:$A,"&lt;="&amp;DATE(2026,9,21))</f>
        <v/>
      </c>
      <c r="HB111" s="116">
        <f>COUNTIFS('DRAFT 2'!$D:$D,$B111,'DRAFT 2'!$A:$A,"&gt;="&amp;DATE(2026,9,22),'DRAFT 2'!$A:$A,"&lt;"&amp;DATE(2026,IF(9=12,9+1,9+1),1))</f>
        <v/>
      </c>
      <c r="HC111" s="116">
        <f>SUM(GY111:HB111)</f>
        <v/>
      </c>
      <c r="HN111" s="116">
        <f>IFERROR(LOOKUP(2,1/('DRAFT 2'!$D:$D=$B111)*('DRAFT 2'!$A:$A&gt;=DATE(2026,10,1))*('DRAFT 2'!$A:$A&lt;DATE(2026,IF(10=12,10+1,10+1),1)),'DRAFT 2'!$A:$A),"")</f>
        <v/>
      </c>
      <c r="HO111" s="116">
        <f>COUNTIFS('DRAFT 2'!$D:$D,$B111,'DRAFT 2'!$A:$A,"&gt;="&amp;DATE(2026,10,1),'DRAFT 2'!$A:$A,"&lt;="&amp;DATE(2026,10,7))</f>
        <v/>
      </c>
      <c r="HP111" s="116">
        <f>COUNTIFS('DRAFT 2'!$D:$D,$B111,'DRAFT 2'!$A:$A,"&gt;="&amp;DATE(2026,10,8),'DRAFT 2'!$A:$A,"&lt;="&amp;DATE(2026,10,14))</f>
        <v/>
      </c>
      <c r="HQ111" s="116">
        <f>COUNTIFS('DRAFT 2'!$D:$D,$B111,'DRAFT 2'!$A:$A,"&gt;="&amp;DATE(2026,10,15),'DRAFT 2'!$A:$A,"&lt;="&amp;DATE(2026,10,21))</f>
        <v/>
      </c>
      <c r="HR111" s="116">
        <f>COUNTIFS('DRAFT 2'!$D:$D,$B111,'DRAFT 2'!$A:$A,"&gt;="&amp;DATE(2026,10,22),'DRAFT 2'!$A:$A,"&lt;"&amp;DATE(2026,IF(10=12,10+1,10+1),1))</f>
        <v/>
      </c>
      <c r="HS111" s="116">
        <f>SUM(HO111:HR111)</f>
        <v/>
      </c>
      <c r="IC111" s="116">
        <f>IFERROR(LOOKUP(2,1/('DRAFT 2'!$D:$D=$B111)*('DRAFT 2'!$A:$A&gt;=DATE(2026,11,1))*('DRAFT 2'!$A:$A&lt;DATE(2026,IF(11=12,11+1,11+1),1)),'DRAFT 2'!$A:$A),"")</f>
        <v/>
      </c>
      <c r="ID111" s="116">
        <f>COUNTIFS('DRAFT 2'!$D:$D,$B111,'DRAFT 2'!$A:$A,"&gt;="&amp;DATE(2026,11,1),'DRAFT 2'!$A:$A,"&lt;="&amp;DATE(2026,11,7))</f>
        <v/>
      </c>
      <c r="IE111" s="116">
        <f>COUNTIFS('DRAFT 2'!$D:$D,$B111,'DRAFT 2'!$A:$A,"&gt;="&amp;DATE(2026,11,8),'DRAFT 2'!$A:$A,"&lt;="&amp;DATE(2026,11,14))</f>
        <v/>
      </c>
      <c r="IF111" s="116">
        <f>COUNTIFS('DRAFT 2'!$D:$D,$B111,'DRAFT 2'!$A:$A,"&gt;="&amp;DATE(2026,11,15),'DRAFT 2'!$A:$A,"&lt;="&amp;DATE(2026,11,21))</f>
        <v/>
      </c>
      <c r="IG111" s="116">
        <f>COUNTIFS('DRAFT 2'!$D:$D,$B111,'DRAFT 2'!$A:$A,"&gt;="&amp;DATE(2026,11,22),'DRAFT 2'!$A:$A,"&lt;"&amp;DATE(2026,IF(11=12,11+1,11+1),1))</f>
        <v/>
      </c>
      <c r="IH111" s="116">
        <f>SUM(ID111:IG111)</f>
        <v/>
      </c>
      <c r="IR111" s="116">
        <f>IFERROR(LOOKUP(2,1/('DRAFT 2'!$D:$D=$B111)*('DRAFT 2'!$A:$A&gt;=DATE(2026,12,1))*('DRAFT 2'!$A:$A&lt;DATE(2026,IF(12=12,12+1,12+1),1)),'DRAFT 2'!$A:$A),"")</f>
        <v/>
      </c>
      <c r="IS111" s="116">
        <f>COUNTIFS('DRAFT 2'!$D:$D,$B111,'DRAFT 2'!$A:$A,"&gt;="&amp;DATE(2026,12,1),'DRAFT 2'!$A:$A,"&lt;="&amp;DATE(2026,12,7))</f>
        <v/>
      </c>
      <c r="IT111" s="116">
        <f>COUNTIFS('DRAFT 2'!$D:$D,$B111,'DRAFT 2'!$A:$A,"&gt;="&amp;DATE(2026,12,8),'DRAFT 2'!$A:$A,"&lt;="&amp;DATE(2026,12,14))</f>
        <v/>
      </c>
      <c r="IU111" s="116">
        <f>COUNTIFS('DRAFT 2'!$D:$D,$B111,'DRAFT 2'!$A:$A,"&gt;="&amp;DATE(2026,12,15),'DRAFT 2'!$A:$A,"&lt;="&amp;DATE(2026,12,21))</f>
        <v/>
      </c>
      <c r="IV111" s="116">
        <f>COUNTIFS('DRAFT 2'!$D:$D,$B111,'DRAFT 2'!$A:$A,"&gt;="&amp;DATE(2026,12,22),'DRAFT 2'!$A:$A,"&lt;"&amp;DATE(2026,IF(12=12,12+1,12+1),1))</f>
        <v/>
      </c>
      <c r="IW111" s="116">
        <f>SUM(IS111:IV111)</f>
        <v/>
      </c>
    </row>
    <row r="112">
      <c r="A112" s="116">
        <f>IFERROR(INDEX('DRAFT 1'!$A:$A,MATCH($B112,'DRAFT 1'!$B:$B,0)),"")</f>
        <v/>
      </c>
      <c r="C112" s="116">
        <f>IFERROR(INDEX('DRAFT 1'!$C:$C,MATCH($B112,'DRAFT 1'!$B:$B,0)),"")</f>
        <v/>
      </c>
      <c r="D112" s="116">
        <f>IFERROR(INDEX('DRAFT 1'!$D:$D,MATCH($B112,'DRAFT 1'!$B:$B,0)),"")</f>
        <v/>
      </c>
      <c r="E112" s="116">
        <f>IFERROR(INDEX('DRAFT 1'!$E:$E,MATCH($B112,'DRAFT 1'!$B:$B,0)),"")</f>
        <v/>
      </c>
      <c r="F112" s="116">
        <f>IFERROR(INDEX('DRAFT 1'!$F:$F,MATCH($B112,'DRAFT 1'!$B:$B,0)),"")</f>
        <v/>
      </c>
      <c r="G112" s="116">
        <f>IFERROR(INDEX('DRAFT 1'!$G:$G,MATCH($B112,'DRAFT 1'!$B:$B,0)),"")</f>
        <v/>
      </c>
      <c r="H112" s="116">
        <f>IFERROR(INDEX('DRAFT 1'!$H:$H,MATCH($B112,'DRAFT 1'!$B:$B,0)),"")</f>
        <v/>
      </c>
      <c r="I112" s="116" t="inlineStr">
        <is>
          <t>DEMAIS CLIENTES</t>
        </is>
      </c>
      <c r="K112" s="116">
        <f>IFERROR(INDEX('DRAFT 1'!$AL:$AL,MATCH($B112,'DRAFT 1'!$B:$B,0)),"")</f>
        <v/>
      </c>
      <c r="L112" s="116">
        <f>IFERROR(INDEX('DRAFT 1'!$J:$J,MATCH($B112,'DRAFT 1'!$B:$B,0)),"")</f>
        <v/>
      </c>
      <c r="M112" s="116">
        <f>IFERROR(INDEX('DRAFT 1'!$K:$K,MATCH($B112,'DRAFT 1'!$B:$B,0)),"")</f>
        <v/>
      </c>
      <c r="N112" s="116" t="inlineStr">
        <is>
          <t>EM RISCO</t>
        </is>
      </c>
      <c r="P112" s="116">
        <f>IFERROR(INDEX('DRAFT 1'!$L:$L,MATCH($B112,'DRAFT 1'!$B:$B,0)),"")</f>
        <v/>
      </c>
      <c r="Q112" s="116">
        <f>IFERROR(INDEX('DRAFT 1'!$M:$M,MATCH($B112,'DRAFT 1'!$B:$B,0)),"")</f>
        <v/>
      </c>
      <c r="R112" s="116">
        <f>IFERROR(INDEX('DRAFT 1'!$N:$N,MATCH($B112,'DRAFT 1'!$B:$B,0)),"")</f>
        <v/>
      </c>
      <c r="S112" s="116">
        <f>IFERROR(INDEX('DRAFT 1'!$O:$O,MATCH($B112,'DRAFT 1'!$B:$B,0)),"")</f>
        <v/>
      </c>
      <c r="T112" s="116">
        <f>IFERROR(INDEX('DRAFT 1'!$P:$P,MATCH($B112,'DRAFT 1'!$B:$B,0)),"")</f>
        <v/>
      </c>
      <c r="U112" s="116">
        <f>IFERROR(INDEX('DRAFT 1'!$Q:$Q,MATCH($B112,'DRAFT 1'!$B:$B,0)),"")</f>
        <v/>
      </c>
      <c r="V112" s="116">
        <f>IFERROR(INDEX('DRAFT 1'!$R:$R,MATCH($B112,'DRAFT 1'!$B:$B,0)),"")</f>
        <v/>
      </c>
      <c r="W112" s="116">
        <f>IFERROR(INDEX('DRAFT 1'!$S:$S,MATCH($B112,'DRAFT 1'!$B:$B,0)),"")</f>
        <v/>
      </c>
      <c r="X112" s="116">
        <f>IFERROR(INDEX('DRAFT 1'!$T:$T,MATCH($B112,'DRAFT 1'!$B:$B,0)),"")</f>
        <v/>
      </c>
      <c r="Z112" s="116">
        <f>IFERROR(INDEX('DRAFT 1'!$U:$U,MATCH($B112,'DRAFT 1'!$B:$B,0)),"")</f>
        <v/>
      </c>
      <c r="AA112" s="116">
        <f>IFERROR(INDEX('DRAFT 1'!$V:$V,MATCH($B112,'DRAFT 1'!$B:$B,0)),"")</f>
        <v/>
      </c>
      <c r="AB112" s="116">
        <f>IFERROR(INDEX('DRAFT 1'!$W:$W,MATCH($B112,'DRAFT 1'!$B:$B,0)),"")</f>
        <v/>
      </c>
      <c r="AC112" s="116">
        <f>IFERROR(INDEX('DRAFT 1'!$X:$X,MATCH($B112,'DRAFT 1'!$B:$B,0)),"")</f>
        <v/>
      </c>
      <c r="AD112" s="116">
        <f>IFERROR(INDEX('DRAFT 1'!$Y:$Y,MATCH($B112,'DRAFT 1'!$B:$B,0)),"")</f>
        <v/>
      </c>
      <c r="AE112" s="116">
        <f>IFERROR(INDEX('DRAFT 1'!$Z:$Z,MATCH($B112,'DRAFT 1'!$B:$B,0)),"")</f>
        <v/>
      </c>
      <c r="AF112" s="116">
        <f>IFERROR(INDEX('DRAFT 1'!$AA:$AA,MATCH($B112,'DRAFT 1'!$B:$B,0)),"")</f>
        <v/>
      </c>
      <c r="AG112" s="116">
        <f>IFERROR(INDEX('DRAFT 1'!$AB:$AB,MATCH($B112,'DRAFT 1'!$B:$B,0)),"")</f>
        <v/>
      </c>
      <c r="AH112" s="116">
        <f>IFERROR(INDEX('DRAFT 1'!$AC:$AC,MATCH($B112,'DRAFT 1'!$B:$B,0)),"")</f>
        <v/>
      </c>
      <c r="AI112" s="116">
        <f>IFERROR(INDEX('DRAFT 1'!$AD:$AD,MATCH($B112,'DRAFT 1'!$B:$B,0)),"")</f>
        <v/>
      </c>
      <c r="AJ112" s="116">
        <f>IFERROR(INDEX('DRAFT 1'!$AE:$AE,MATCH($B112,'DRAFT 1'!$B:$B,0)),"")</f>
        <v/>
      </c>
      <c r="AK112" s="116">
        <f>IFERROR(INDEX('DRAFT 1'!$AG:$AG,MATCH($B112,'DRAFT 1'!$B:$B,0)),"")</f>
        <v/>
      </c>
      <c r="AL112" s="116">
        <f>IFERROR(INDEX('DRAFT 1'!$AH:$AH,MATCH($B112,'DRAFT 1'!$B:$B,0)),"")</f>
        <v/>
      </c>
      <c r="AM112" s="116">
        <f>IFERROR(INDEX('DRAFT 1'!$AI:$AI,MATCH($B112,'DRAFT 1'!$B:$B,0)),"")</f>
        <v/>
      </c>
      <c r="AN112" s="116">
        <f>IFERROR(INDEX('DRAFT 1'!$AJ:$AJ,MATCH($B112,'DRAFT 1'!$B:$B,0)),"")</f>
        <v/>
      </c>
      <c r="AO112" s="116">
        <f>IFERROR(Y112/AN112,0)</f>
        <v/>
      </c>
      <c r="AP112" s="116">
        <f>IFERROR(INDEX('DRAFT 1'!$AK:$AK,MATCH($B112,'DRAFT 1'!$B:$B,0)),"")</f>
        <v/>
      </c>
      <c r="AR112" s="116" t="inlineStr">
        <is>
          <t>SALVAMENTO</t>
        </is>
      </c>
      <c r="AS112" s="116">
        <f>IFERROR(LOOKUP(2,1/('DRAFT 2'!$D:$D=$B112),'DRAFT 2'!$T:$T),"")</f>
        <v/>
      </c>
      <c r="AT112" s="116">
        <f>IFERROR(LOOKUP(2,1/('DRAFT 2'!$D:$D=$B112),'DRAFT 2'!$A:$A),"")</f>
        <v/>
      </c>
      <c r="AU112" s="116">
        <f>IFERROR(LOOKUP(2,1/('DRAFT 2'!$D:$D=$B112),'DRAFT 2'!$R:$R),"")</f>
        <v/>
      </c>
      <c r="AV112" s="116">
        <f>IFERROR(LOOKUP(2,1/('DRAFT 2'!$D:$D=$B112),'DRAFT 2'!$S:$S),"")</f>
        <v/>
      </c>
      <c r="AW112" s="116" t="inlineStr">
        <is>
          <t>EM DESENVOLVIMENTO</t>
        </is>
      </c>
      <c r="AX112" s="116">
        <f>IFERROR(LOOKUP(2,1/('DRAFT 2'!$D:$D=$B112),'DRAFT 2'!$M:$M),"")</f>
        <v/>
      </c>
      <c r="AY112" s="116">
        <f>IFERROR(LOOKUP(2,1/('DRAFT 2'!$D:$D=$B112),'DRAFT 2'!$K:$K),"")</f>
        <v/>
      </c>
      <c r="BG112" s="116">
        <f>IFERROR(LOOKUP(2,1/('DRAFT 2'!$D:$D=$B112),'DRAFT 2'!$U:$U),"")</f>
        <v/>
      </c>
      <c r="BH112" s="116">
        <f>IFERROR(LOOKUP(2,1/('DRAFT 2'!$D:$D=$B112),'DRAFT 2'!$V:$V),"")</f>
        <v/>
      </c>
      <c r="CE112" s="116">
        <f>IFERROR(AJ112,0)</f>
        <v/>
      </c>
      <c r="CF112" s="116">
        <f>IFERROR(LOOKUP(2,1/('DRAFT 2'!$D:$D=$B112)*('DRAFT 2'!$A:$A&gt;=DATE(2026,1,1))*('DRAFT 2'!$A:$A&lt;DATE(2026,IF(1=12,1+1,1+1),1)),'DRAFT 2'!$A:$A),"")</f>
        <v/>
      </c>
      <c r="CG112" s="116">
        <f>COUNTIFS('DRAFT 2'!$D:$D,$B112,'DRAFT 2'!$A:$A,"&gt;="&amp;DATE(2026,1,1),'DRAFT 2'!$A:$A,"&lt;="&amp;DATE(2026,1,7))</f>
        <v/>
      </c>
      <c r="CH112" s="116">
        <f>COUNTIFS('DRAFT 2'!$D:$D,$B112,'DRAFT 2'!$A:$A,"&gt;="&amp;DATE(2026,1,8),'DRAFT 2'!$A:$A,"&lt;="&amp;DATE(2026,1,14))</f>
        <v/>
      </c>
      <c r="CI112" s="116">
        <f>COUNTIFS('DRAFT 2'!$D:$D,$B112,'DRAFT 2'!$A:$A,"&gt;="&amp;DATE(2026,1,15),'DRAFT 2'!$A:$A,"&lt;="&amp;DATE(2026,1,21))</f>
        <v/>
      </c>
      <c r="CJ112" s="116">
        <f>COUNTIFS('DRAFT 2'!$D:$D,$B112,'DRAFT 2'!$A:$A,"&gt;="&amp;DATE(2026,1,22),'DRAFT 2'!$A:$A,"&lt;"&amp;DATE(2026,IF(1=12,1+1,1+1),1))</f>
        <v/>
      </c>
      <c r="CK112" s="116">
        <f>SUM(CG112:CJ112)</f>
        <v/>
      </c>
      <c r="CT112" s="116" t="n">
        <v>0</v>
      </c>
      <c r="CU112" s="116">
        <f>IFERROR(LOOKUP(2,1/('DRAFT 2'!$D:$D=$B112)*('DRAFT 2'!$A:$A&gt;=DATE(2026,2,1))*('DRAFT 2'!$A:$A&lt;DATE(2026,IF(2=12,2+1,2+1),1)),'DRAFT 2'!$A:$A),"")</f>
        <v/>
      </c>
      <c r="CV112" s="116">
        <f>COUNTIFS('DRAFT 2'!$D:$D,$B112,'DRAFT 2'!$A:$A,"&gt;="&amp;DATE(2026,2,1),'DRAFT 2'!$A:$A,"&lt;="&amp;DATE(2026,2,7))</f>
        <v/>
      </c>
      <c r="CW112" s="116">
        <f>COUNTIFS('DRAFT 2'!$D:$D,$B112,'DRAFT 2'!$A:$A,"&gt;="&amp;DATE(2026,2,8),'DRAFT 2'!$A:$A,"&lt;="&amp;DATE(2026,2,14))</f>
        <v/>
      </c>
      <c r="CX112" s="116">
        <f>COUNTIFS('DRAFT 2'!$D:$D,$B112,'DRAFT 2'!$A:$A,"&gt;="&amp;DATE(2026,2,15),'DRAFT 2'!$A:$A,"&lt;="&amp;DATE(2026,2,21))</f>
        <v/>
      </c>
      <c r="CY112" s="116">
        <f>COUNTIFS('DRAFT 2'!$D:$D,$B112,'DRAFT 2'!$A:$A,"&gt;="&amp;DATE(2026,2,22),'DRAFT 2'!$A:$A,"&lt;"&amp;DATE(2026,IF(2=12,2+1,2+1),1))</f>
        <v/>
      </c>
      <c r="CZ112" s="116">
        <f>SUM(CV112:CY112)</f>
        <v/>
      </c>
      <c r="DJ112" s="116">
        <f>IFERROR(LOOKUP(2,1/('DRAFT 2'!$D:$D=$B112)*('DRAFT 2'!$A:$A&gt;=DATE(2026,3,1))*('DRAFT 2'!$A:$A&lt;DATE(2026,IF(3=12,3+1,3+1),1)),'DRAFT 2'!$A:$A),"")</f>
        <v/>
      </c>
      <c r="DK112" s="116">
        <f>COUNTIFS('DRAFT 2'!$D:$D,$B112,'DRAFT 2'!$A:$A,"&gt;="&amp;DATE(2026,3,1),'DRAFT 2'!$A:$A,"&lt;="&amp;DATE(2026,3,7))</f>
        <v/>
      </c>
      <c r="DL112" s="116">
        <f>COUNTIFS('DRAFT 2'!$D:$D,$B112,'DRAFT 2'!$A:$A,"&gt;="&amp;DATE(2026,3,8),'DRAFT 2'!$A:$A,"&lt;="&amp;DATE(2026,3,14))</f>
        <v/>
      </c>
      <c r="DM112" s="116">
        <f>COUNTIFS('DRAFT 2'!$D:$D,$B112,'DRAFT 2'!$A:$A,"&gt;="&amp;DATE(2026,3,15),'DRAFT 2'!$A:$A,"&lt;="&amp;DATE(2026,3,21))</f>
        <v/>
      </c>
      <c r="DN112" s="116">
        <f>COUNTIFS('DRAFT 2'!$D:$D,$B112,'DRAFT 2'!$A:$A,"&gt;="&amp;DATE(2026,3,22),'DRAFT 2'!$A:$A,"&lt;"&amp;DATE(2026,IF(3=12,3+1,3+1),1))</f>
        <v/>
      </c>
      <c r="DO112" s="116">
        <f>SUM(DK112:DN112)</f>
        <v/>
      </c>
      <c r="DZ112" s="116">
        <f>IFERROR(LOOKUP(2,1/('DRAFT 2'!$D:$D=$B112)*('DRAFT 2'!$A:$A&gt;=DATE(2026,4,1))*('DRAFT 2'!$A:$A&lt;DATE(2026,IF(4=12,4+1,4+1),1)),'DRAFT 2'!$A:$A),"")</f>
        <v/>
      </c>
      <c r="EA112" s="116">
        <f>COUNTIFS('DRAFT 2'!$D:$D,$B112,'DRAFT 2'!$A:$A,"&gt;="&amp;DATE(2026,4,1),'DRAFT 2'!$A:$A,"&lt;="&amp;DATE(2026,4,7))</f>
        <v/>
      </c>
      <c r="EB112" s="116">
        <f>COUNTIFS('DRAFT 2'!$D:$D,$B112,'DRAFT 2'!$A:$A,"&gt;="&amp;DATE(2026,4,8),'DRAFT 2'!$A:$A,"&lt;="&amp;DATE(2026,4,14))</f>
        <v/>
      </c>
      <c r="EC112" s="116">
        <f>COUNTIFS('DRAFT 2'!$D:$D,$B112,'DRAFT 2'!$A:$A,"&gt;="&amp;DATE(2026,4,15),'DRAFT 2'!$A:$A,"&lt;="&amp;DATE(2026,4,21))</f>
        <v/>
      </c>
      <c r="ED112" s="116">
        <f>COUNTIFS('DRAFT 2'!$D:$D,$B112,'DRAFT 2'!$A:$A,"&gt;="&amp;DATE(2026,4,22),'DRAFT 2'!$A:$A,"&lt;"&amp;DATE(2026,IF(4=12,4+1,4+1),1))</f>
        <v/>
      </c>
      <c r="EE112" s="116">
        <f>SUM(EA112:ED112)</f>
        <v/>
      </c>
      <c r="EO112" s="116">
        <f>IFERROR(LOOKUP(2,1/('DRAFT 2'!$D:$D=$B112)*('DRAFT 2'!$A:$A&gt;=DATE(2026,5,1))*('DRAFT 2'!$A:$A&lt;DATE(2026,IF(5=12,5+1,5+1),1)),'DRAFT 2'!$A:$A),"")</f>
        <v/>
      </c>
      <c r="EP112" s="116">
        <f>COUNTIFS('DRAFT 2'!$D:$D,$B112,'DRAFT 2'!$A:$A,"&gt;="&amp;DATE(2026,5,1),'DRAFT 2'!$A:$A,"&lt;="&amp;DATE(2026,5,7))</f>
        <v/>
      </c>
      <c r="EQ112" s="116">
        <f>COUNTIFS('DRAFT 2'!$D:$D,$B112,'DRAFT 2'!$A:$A,"&gt;="&amp;DATE(2026,5,8),'DRAFT 2'!$A:$A,"&lt;="&amp;DATE(2026,5,14))</f>
        <v/>
      </c>
      <c r="ER112" s="116">
        <f>COUNTIFS('DRAFT 2'!$D:$D,$B112,'DRAFT 2'!$A:$A,"&gt;="&amp;DATE(2026,5,15),'DRAFT 2'!$A:$A,"&lt;="&amp;DATE(2026,5,21))</f>
        <v/>
      </c>
      <c r="ES112" s="116">
        <f>COUNTIFS('DRAFT 2'!$D:$D,$B112,'DRAFT 2'!$A:$A,"&gt;="&amp;DATE(2026,5,22),'DRAFT 2'!$A:$A,"&lt;"&amp;DATE(2026,IF(5=12,5+1,5+1),1))</f>
        <v/>
      </c>
      <c r="ET112" s="116">
        <f>SUM(EP112:ES112)</f>
        <v/>
      </c>
      <c r="FD112" s="116">
        <f>IFERROR(LOOKUP(2,1/('DRAFT 2'!$D:$D=$B112)*('DRAFT 2'!$A:$A&gt;=DATE(2026,6,1))*('DRAFT 2'!$A:$A&lt;DATE(2026,IF(6=12,6+1,6+1),1)),'DRAFT 2'!$A:$A),"")</f>
        <v/>
      </c>
      <c r="FE112" s="116">
        <f>COUNTIFS('DRAFT 2'!$D:$D,$B112,'DRAFT 2'!$A:$A,"&gt;="&amp;DATE(2026,6,1),'DRAFT 2'!$A:$A,"&lt;="&amp;DATE(2026,6,7))</f>
        <v/>
      </c>
      <c r="FF112" s="116">
        <f>COUNTIFS('DRAFT 2'!$D:$D,$B112,'DRAFT 2'!$A:$A,"&gt;="&amp;DATE(2026,6,8),'DRAFT 2'!$A:$A,"&lt;="&amp;DATE(2026,6,14))</f>
        <v/>
      </c>
      <c r="FG112" s="116">
        <f>COUNTIFS('DRAFT 2'!$D:$D,$B112,'DRAFT 2'!$A:$A,"&gt;="&amp;DATE(2026,6,15),'DRAFT 2'!$A:$A,"&lt;="&amp;DATE(2026,6,21))</f>
        <v/>
      </c>
      <c r="FH112" s="116">
        <f>COUNTIFS('DRAFT 2'!$D:$D,$B112,'DRAFT 2'!$A:$A,"&gt;="&amp;DATE(2026,6,22),'DRAFT 2'!$A:$A,"&lt;"&amp;DATE(2026,IF(6=12,6+1,6+1),1))</f>
        <v/>
      </c>
      <c r="FI112" s="116">
        <f>SUM(FE112:FH112)</f>
        <v/>
      </c>
      <c r="FT112" s="116">
        <f>IFERROR(LOOKUP(2,1/('DRAFT 2'!$D:$D=$B112)*('DRAFT 2'!$A:$A&gt;=DATE(2026,7,1))*('DRAFT 2'!$A:$A&lt;DATE(2026,IF(7=12,7+1,7+1),1)),'DRAFT 2'!$A:$A),"")</f>
        <v/>
      </c>
      <c r="FU112" s="116">
        <f>COUNTIFS('DRAFT 2'!$D:$D,$B112,'DRAFT 2'!$A:$A,"&gt;="&amp;DATE(2026,7,1),'DRAFT 2'!$A:$A,"&lt;="&amp;DATE(2026,7,7))</f>
        <v/>
      </c>
      <c r="FV112" s="116">
        <f>COUNTIFS('DRAFT 2'!$D:$D,$B112,'DRAFT 2'!$A:$A,"&gt;="&amp;DATE(2026,7,8),'DRAFT 2'!$A:$A,"&lt;="&amp;DATE(2026,7,14))</f>
        <v/>
      </c>
      <c r="FW112" s="116">
        <f>COUNTIFS('DRAFT 2'!$D:$D,$B112,'DRAFT 2'!$A:$A,"&gt;="&amp;DATE(2026,7,15),'DRAFT 2'!$A:$A,"&lt;="&amp;DATE(2026,7,21))</f>
        <v/>
      </c>
      <c r="FX112" s="116">
        <f>COUNTIFS('DRAFT 2'!$D:$D,$B112,'DRAFT 2'!$A:$A,"&gt;="&amp;DATE(2026,7,22),'DRAFT 2'!$A:$A,"&lt;"&amp;DATE(2026,IF(7=12,7+1,7+1),1))</f>
        <v/>
      </c>
      <c r="FY112" s="116">
        <f>SUM(FU112:FX112)</f>
        <v/>
      </c>
      <c r="GI112" s="116">
        <f>IFERROR(LOOKUP(2,1/('DRAFT 2'!$D:$D=$B112)*('DRAFT 2'!$A:$A&gt;=DATE(2026,8,1))*('DRAFT 2'!$A:$A&lt;DATE(2026,IF(8=12,8+1,8+1),1)),'DRAFT 2'!$A:$A),"")</f>
        <v/>
      </c>
      <c r="GJ112" s="116">
        <f>COUNTIFS('DRAFT 2'!$D:$D,$B112,'DRAFT 2'!$A:$A,"&gt;="&amp;DATE(2026,8,1),'DRAFT 2'!$A:$A,"&lt;="&amp;DATE(2026,8,7))</f>
        <v/>
      </c>
      <c r="GK112" s="116">
        <f>COUNTIFS('DRAFT 2'!$D:$D,$B112,'DRAFT 2'!$A:$A,"&gt;="&amp;DATE(2026,8,8),'DRAFT 2'!$A:$A,"&lt;="&amp;DATE(2026,8,14))</f>
        <v/>
      </c>
      <c r="GL112" s="116">
        <f>COUNTIFS('DRAFT 2'!$D:$D,$B112,'DRAFT 2'!$A:$A,"&gt;="&amp;DATE(2026,8,15),'DRAFT 2'!$A:$A,"&lt;="&amp;DATE(2026,8,21))</f>
        <v/>
      </c>
      <c r="GM112" s="116">
        <f>COUNTIFS('DRAFT 2'!$D:$D,$B112,'DRAFT 2'!$A:$A,"&gt;="&amp;DATE(2026,8,22),'DRAFT 2'!$A:$A,"&lt;"&amp;DATE(2026,IF(8=12,8+1,8+1),1))</f>
        <v/>
      </c>
      <c r="GN112" s="116">
        <f>SUM(GJ112:GM112)</f>
        <v/>
      </c>
      <c r="GX112" s="116">
        <f>IFERROR(LOOKUP(2,1/('DRAFT 2'!$D:$D=$B112)*('DRAFT 2'!$A:$A&gt;=DATE(2026,9,1))*('DRAFT 2'!$A:$A&lt;DATE(2026,IF(9=12,9+1,9+1),1)),'DRAFT 2'!$A:$A),"")</f>
        <v/>
      </c>
      <c r="GY112" s="116">
        <f>COUNTIFS('DRAFT 2'!$D:$D,$B112,'DRAFT 2'!$A:$A,"&gt;="&amp;DATE(2026,9,1),'DRAFT 2'!$A:$A,"&lt;="&amp;DATE(2026,9,7))</f>
        <v/>
      </c>
      <c r="GZ112" s="116">
        <f>COUNTIFS('DRAFT 2'!$D:$D,$B112,'DRAFT 2'!$A:$A,"&gt;="&amp;DATE(2026,9,8),'DRAFT 2'!$A:$A,"&lt;="&amp;DATE(2026,9,14))</f>
        <v/>
      </c>
      <c r="HA112" s="116">
        <f>COUNTIFS('DRAFT 2'!$D:$D,$B112,'DRAFT 2'!$A:$A,"&gt;="&amp;DATE(2026,9,15),'DRAFT 2'!$A:$A,"&lt;="&amp;DATE(2026,9,21))</f>
        <v/>
      </c>
      <c r="HB112" s="116">
        <f>COUNTIFS('DRAFT 2'!$D:$D,$B112,'DRAFT 2'!$A:$A,"&gt;="&amp;DATE(2026,9,22),'DRAFT 2'!$A:$A,"&lt;"&amp;DATE(2026,IF(9=12,9+1,9+1),1))</f>
        <v/>
      </c>
      <c r="HC112" s="116">
        <f>SUM(GY112:HB112)</f>
        <v/>
      </c>
      <c r="HN112" s="116">
        <f>IFERROR(LOOKUP(2,1/('DRAFT 2'!$D:$D=$B112)*('DRAFT 2'!$A:$A&gt;=DATE(2026,10,1))*('DRAFT 2'!$A:$A&lt;DATE(2026,IF(10=12,10+1,10+1),1)),'DRAFT 2'!$A:$A),"")</f>
        <v/>
      </c>
      <c r="HO112" s="116">
        <f>COUNTIFS('DRAFT 2'!$D:$D,$B112,'DRAFT 2'!$A:$A,"&gt;="&amp;DATE(2026,10,1),'DRAFT 2'!$A:$A,"&lt;="&amp;DATE(2026,10,7))</f>
        <v/>
      </c>
      <c r="HP112" s="116">
        <f>COUNTIFS('DRAFT 2'!$D:$D,$B112,'DRAFT 2'!$A:$A,"&gt;="&amp;DATE(2026,10,8),'DRAFT 2'!$A:$A,"&lt;="&amp;DATE(2026,10,14))</f>
        <v/>
      </c>
      <c r="HQ112" s="116">
        <f>COUNTIFS('DRAFT 2'!$D:$D,$B112,'DRAFT 2'!$A:$A,"&gt;="&amp;DATE(2026,10,15),'DRAFT 2'!$A:$A,"&lt;="&amp;DATE(2026,10,21))</f>
        <v/>
      </c>
      <c r="HR112" s="116">
        <f>COUNTIFS('DRAFT 2'!$D:$D,$B112,'DRAFT 2'!$A:$A,"&gt;="&amp;DATE(2026,10,22),'DRAFT 2'!$A:$A,"&lt;"&amp;DATE(2026,IF(10=12,10+1,10+1),1))</f>
        <v/>
      </c>
      <c r="HS112" s="116">
        <f>SUM(HO112:HR112)</f>
        <v/>
      </c>
      <c r="IC112" s="116">
        <f>IFERROR(LOOKUP(2,1/('DRAFT 2'!$D:$D=$B112)*('DRAFT 2'!$A:$A&gt;=DATE(2026,11,1))*('DRAFT 2'!$A:$A&lt;DATE(2026,IF(11=12,11+1,11+1),1)),'DRAFT 2'!$A:$A),"")</f>
        <v/>
      </c>
      <c r="ID112" s="116">
        <f>COUNTIFS('DRAFT 2'!$D:$D,$B112,'DRAFT 2'!$A:$A,"&gt;="&amp;DATE(2026,11,1),'DRAFT 2'!$A:$A,"&lt;="&amp;DATE(2026,11,7))</f>
        <v/>
      </c>
      <c r="IE112" s="116">
        <f>COUNTIFS('DRAFT 2'!$D:$D,$B112,'DRAFT 2'!$A:$A,"&gt;="&amp;DATE(2026,11,8),'DRAFT 2'!$A:$A,"&lt;="&amp;DATE(2026,11,14))</f>
        <v/>
      </c>
      <c r="IF112" s="116">
        <f>COUNTIFS('DRAFT 2'!$D:$D,$B112,'DRAFT 2'!$A:$A,"&gt;="&amp;DATE(2026,11,15),'DRAFT 2'!$A:$A,"&lt;="&amp;DATE(2026,11,21))</f>
        <v/>
      </c>
      <c r="IG112" s="116">
        <f>COUNTIFS('DRAFT 2'!$D:$D,$B112,'DRAFT 2'!$A:$A,"&gt;="&amp;DATE(2026,11,22),'DRAFT 2'!$A:$A,"&lt;"&amp;DATE(2026,IF(11=12,11+1,11+1),1))</f>
        <v/>
      </c>
      <c r="IH112" s="116">
        <f>SUM(ID112:IG112)</f>
        <v/>
      </c>
      <c r="IR112" s="116">
        <f>IFERROR(LOOKUP(2,1/('DRAFT 2'!$D:$D=$B112)*('DRAFT 2'!$A:$A&gt;=DATE(2026,12,1))*('DRAFT 2'!$A:$A&lt;DATE(2026,IF(12=12,12+1,12+1),1)),'DRAFT 2'!$A:$A),"")</f>
        <v/>
      </c>
      <c r="IS112" s="116">
        <f>COUNTIFS('DRAFT 2'!$D:$D,$B112,'DRAFT 2'!$A:$A,"&gt;="&amp;DATE(2026,12,1),'DRAFT 2'!$A:$A,"&lt;="&amp;DATE(2026,12,7))</f>
        <v/>
      </c>
      <c r="IT112" s="116">
        <f>COUNTIFS('DRAFT 2'!$D:$D,$B112,'DRAFT 2'!$A:$A,"&gt;="&amp;DATE(2026,12,8),'DRAFT 2'!$A:$A,"&lt;="&amp;DATE(2026,12,14))</f>
        <v/>
      </c>
      <c r="IU112" s="116">
        <f>COUNTIFS('DRAFT 2'!$D:$D,$B112,'DRAFT 2'!$A:$A,"&gt;="&amp;DATE(2026,12,15),'DRAFT 2'!$A:$A,"&lt;="&amp;DATE(2026,12,21))</f>
        <v/>
      </c>
      <c r="IV112" s="116">
        <f>COUNTIFS('DRAFT 2'!$D:$D,$B112,'DRAFT 2'!$A:$A,"&gt;="&amp;DATE(2026,12,22),'DRAFT 2'!$A:$A,"&lt;"&amp;DATE(2026,IF(12=12,12+1,12+1),1))</f>
        <v/>
      </c>
      <c r="IW112" s="116">
        <f>SUM(IS112:IV112)</f>
        <v/>
      </c>
    </row>
    <row r="113">
      <c r="A113" s="116">
        <f>IFERROR(INDEX('DRAFT 1'!$A:$A,MATCH($B113,'DRAFT 1'!$B:$B,0)),"")</f>
        <v/>
      </c>
      <c r="C113" s="116">
        <f>IFERROR(INDEX('DRAFT 1'!$C:$C,MATCH($B113,'DRAFT 1'!$B:$B,0)),"")</f>
        <v/>
      </c>
      <c r="D113" s="116">
        <f>IFERROR(INDEX('DRAFT 1'!$D:$D,MATCH($B113,'DRAFT 1'!$B:$B,0)),"")</f>
        <v/>
      </c>
      <c r="E113" s="116">
        <f>IFERROR(INDEX('DRAFT 1'!$E:$E,MATCH($B113,'DRAFT 1'!$B:$B,0)),"")</f>
        <v/>
      </c>
      <c r="F113" s="116">
        <f>IFERROR(INDEX('DRAFT 1'!$F:$F,MATCH($B113,'DRAFT 1'!$B:$B,0)),"")</f>
        <v/>
      </c>
      <c r="G113" s="116">
        <f>IFERROR(INDEX('DRAFT 1'!$G:$G,MATCH($B113,'DRAFT 1'!$B:$B,0)),"")</f>
        <v/>
      </c>
      <c r="H113" s="116">
        <f>IFERROR(INDEX('DRAFT 1'!$H:$H,MATCH($B113,'DRAFT 1'!$B:$B,0)),"")</f>
        <v/>
      </c>
      <c r="I113" s="116" t="inlineStr">
        <is>
          <t>DEMAIS CLIENTES</t>
        </is>
      </c>
      <c r="K113" s="116">
        <f>IFERROR(INDEX('DRAFT 1'!$AL:$AL,MATCH($B113,'DRAFT 1'!$B:$B,0)),"")</f>
        <v/>
      </c>
      <c r="L113" s="116">
        <f>IFERROR(INDEX('DRAFT 1'!$J:$J,MATCH($B113,'DRAFT 1'!$B:$B,0)),"")</f>
        <v/>
      </c>
      <c r="M113" s="116">
        <f>IFERROR(INDEX('DRAFT 1'!$K:$K,MATCH($B113,'DRAFT 1'!$B:$B,0)),"")</f>
        <v/>
      </c>
      <c r="N113" s="116" t="inlineStr">
        <is>
          <t>NOVO</t>
        </is>
      </c>
      <c r="P113" s="116">
        <f>IFERROR(INDEX('DRAFT 1'!$L:$L,MATCH($B113,'DRAFT 1'!$B:$B,0)),"")</f>
        <v/>
      </c>
      <c r="Q113" s="116">
        <f>IFERROR(INDEX('DRAFT 1'!$M:$M,MATCH($B113,'DRAFT 1'!$B:$B,0)),"")</f>
        <v/>
      </c>
      <c r="R113" s="116">
        <f>IFERROR(INDEX('DRAFT 1'!$N:$N,MATCH($B113,'DRAFT 1'!$B:$B,0)),"")</f>
        <v/>
      </c>
      <c r="S113" s="116">
        <f>IFERROR(INDEX('DRAFT 1'!$O:$O,MATCH($B113,'DRAFT 1'!$B:$B,0)),"")</f>
        <v/>
      </c>
      <c r="T113" s="116">
        <f>IFERROR(INDEX('DRAFT 1'!$P:$P,MATCH($B113,'DRAFT 1'!$B:$B,0)),"")</f>
        <v/>
      </c>
      <c r="U113" s="116">
        <f>IFERROR(INDEX('DRAFT 1'!$Q:$Q,MATCH($B113,'DRAFT 1'!$B:$B,0)),"")</f>
        <v/>
      </c>
      <c r="V113" s="116">
        <f>IFERROR(INDEX('DRAFT 1'!$R:$R,MATCH($B113,'DRAFT 1'!$B:$B,0)),"")</f>
        <v/>
      </c>
      <c r="W113" s="116">
        <f>IFERROR(INDEX('DRAFT 1'!$S:$S,MATCH($B113,'DRAFT 1'!$B:$B,0)),"")</f>
        <v/>
      </c>
      <c r="X113" s="116">
        <f>IFERROR(INDEX('DRAFT 1'!$T:$T,MATCH($B113,'DRAFT 1'!$B:$B,0)),"")</f>
        <v/>
      </c>
      <c r="Z113" s="116">
        <f>IFERROR(INDEX('DRAFT 1'!$U:$U,MATCH($B113,'DRAFT 1'!$B:$B,0)),"")</f>
        <v/>
      </c>
      <c r="AA113" s="116">
        <f>IFERROR(INDEX('DRAFT 1'!$V:$V,MATCH($B113,'DRAFT 1'!$B:$B,0)),"")</f>
        <v/>
      </c>
      <c r="AB113" s="116">
        <f>IFERROR(INDEX('DRAFT 1'!$W:$W,MATCH($B113,'DRAFT 1'!$B:$B,0)),"")</f>
        <v/>
      </c>
      <c r="AC113" s="116">
        <f>IFERROR(INDEX('DRAFT 1'!$X:$X,MATCH($B113,'DRAFT 1'!$B:$B,0)),"")</f>
        <v/>
      </c>
      <c r="AD113" s="116">
        <f>IFERROR(INDEX('DRAFT 1'!$Y:$Y,MATCH($B113,'DRAFT 1'!$B:$B,0)),"")</f>
        <v/>
      </c>
      <c r="AE113" s="116">
        <f>IFERROR(INDEX('DRAFT 1'!$Z:$Z,MATCH($B113,'DRAFT 1'!$B:$B,0)),"")</f>
        <v/>
      </c>
      <c r="AF113" s="116">
        <f>IFERROR(INDEX('DRAFT 1'!$AA:$AA,MATCH($B113,'DRAFT 1'!$B:$B,0)),"")</f>
        <v/>
      </c>
      <c r="AG113" s="116">
        <f>IFERROR(INDEX('DRAFT 1'!$AB:$AB,MATCH($B113,'DRAFT 1'!$B:$B,0)),"")</f>
        <v/>
      </c>
      <c r="AH113" s="116">
        <f>IFERROR(INDEX('DRAFT 1'!$AC:$AC,MATCH($B113,'DRAFT 1'!$B:$B,0)),"")</f>
        <v/>
      </c>
      <c r="AI113" s="116">
        <f>IFERROR(INDEX('DRAFT 1'!$AD:$AD,MATCH($B113,'DRAFT 1'!$B:$B,0)),"")</f>
        <v/>
      </c>
      <c r="AJ113" s="116">
        <f>IFERROR(INDEX('DRAFT 1'!$AE:$AE,MATCH($B113,'DRAFT 1'!$B:$B,0)),"")</f>
        <v/>
      </c>
      <c r="AK113" s="116">
        <f>IFERROR(INDEX('DRAFT 1'!$AG:$AG,MATCH($B113,'DRAFT 1'!$B:$B,0)),"")</f>
        <v/>
      </c>
      <c r="AL113" s="116">
        <f>IFERROR(INDEX('DRAFT 1'!$AH:$AH,MATCH($B113,'DRAFT 1'!$B:$B,0)),"")</f>
        <v/>
      </c>
      <c r="AM113" s="116">
        <f>IFERROR(INDEX('DRAFT 1'!$AI:$AI,MATCH($B113,'DRAFT 1'!$B:$B,0)),"")</f>
        <v/>
      </c>
      <c r="AN113" s="116">
        <f>IFERROR(INDEX('DRAFT 1'!$AJ:$AJ,MATCH($B113,'DRAFT 1'!$B:$B,0)),"")</f>
        <v/>
      </c>
      <c r="AO113" s="116">
        <f>IFERROR(Y113/AN113,0)</f>
        <v/>
      </c>
      <c r="AP113" s="116">
        <f>IFERROR(INDEX('DRAFT 1'!$AK:$AK,MATCH($B113,'DRAFT 1'!$B:$B,0)),"")</f>
        <v/>
      </c>
      <c r="AR113" s="116" t="inlineStr">
        <is>
          <t>SALVAMENTO</t>
        </is>
      </c>
      <c r="AS113" s="116">
        <f>IFERROR(LOOKUP(2,1/('DRAFT 2'!$D:$D=$B113),'DRAFT 2'!$T:$T),"")</f>
        <v/>
      </c>
      <c r="AT113" s="116">
        <f>IFERROR(LOOKUP(2,1/('DRAFT 2'!$D:$D=$B113),'DRAFT 2'!$A:$A),"")</f>
        <v/>
      </c>
      <c r="AU113" s="116">
        <f>IFERROR(LOOKUP(2,1/('DRAFT 2'!$D:$D=$B113),'DRAFT 2'!$R:$R),"")</f>
        <v/>
      </c>
      <c r="AV113" s="116">
        <f>IFERROR(LOOKUP(2,1/('DRAFT 2'!$D:$D=$B113),'DRAFT 2'!$S:$S),"")</f>
        <v/>
      </c>
      <c r="AW113" s="116" t="inlineStr">
        <is>
          <t>EM DESENVOLVIMENTO</t>
        </is>
      </c>
      <c r="AX113" s="116">
        <f>IFERROR(LOOKUP(2,1/('DRAFT 2'!$D:$D=$B113),'DRAFT 2'!$M:$M),"")</f>
        <v/>
      </c>
      <c r="AY113" s="116">
        <f>IFERROR(LOOKUP(2,1/('DRAFT 2'!$D:$D=$B113),'DRAFT 2'!$K:$K),"")</f>
        <v/>
      </c>
      <c r="BG113" s="116">
        <f>IFERROR(LOOKUP(2,1/('DRAFT 2'!$D:$D=$B113),'DRAFT 2'!$U:$U),"")</f>
        <v/>
      </c>
      <c r="BH113" s="116">
        <f>IFERROR(LOOKUP(2,1/('DRAFT 2'!$D:$D=$B113),'DRAFT 2'!$V:$V),"")</f>
        <v/>
      </c>
      <c r="CE113" s="116">
        <f>IFERROR(AJ113,0)</f>
        <v/>
      </c>
      <c r="CF113" s="116">
        <f>IFERROR(LOOKUP(2,1/('DRAFT 2'!$D:$D=$B113)*('DRAFT 2'!$A:$A&gt;=DATE(2026,1,1))*('DRAFT 2'!$A:$A&lt;DATE(2026,IF(1=12,1+1,1+1),1)),'DRAFT 2'!$A:$A),"")</f>
        <v/>
      </c>
      <c r="CG113" s="116">
        <f>COUNTIFS('DRAFT 2'!$D:$D,$B113,'DRAFT 2'!$A:$A,"&gt;="&amp;DATE(2026,1,1),'DRAFT 2'!$A:$A,"&lt;="&amp;DATE(2026,1,7))</f>
        <v/>
      </c>
      <c r="CH113" s="116">
        <f>COUNTIFS('DRAFT 2'!$D:$D,$B113,'DRAFT 2'!$A:$A,"&gt;="&amp;DATE(2026,1,8),'DRAFT 2'!$A:$A,"&lt;="&amp;DATE(2026,1,14))</f>
        <v/>
      </c>
      <c r="CI113" s="116">
        <f>COUNTIFS('DRAFT 2'!$D:$D,$B113,'DRAFT 2'!$A:$A,"&gt;="&amp;DATE(2026,1,15),'DRAFT 2'!$A:$A,"&lt;="&amp;DATE(2026,1,21))</f>
        <v/>
      </c>
      <c r="CJ113" s="116">
        <f>COUNTIFS('DRAFT 2'!$D:$D,$B113,'DRAFT 2'!$A:$A,"&gt;="&amp;DATE(2026,1,22),'DRAFT 2'!$A:$A,"&lt;"&amp;DATE(2026,IF(1=12,1+1,1+1),1))</f>
        <v/>
      </c>
      <c r="CK113" s="116">
        <f>SUM(CG113:CJ113)</f>
        <v/>
      </c>
      <c r="CT113" s="116" t="n">
        <v>0</v>
      </c>
      <c r="CU113" s="116">
        <f>IFERROR(LOOKUP(2,1/('DRAFT 2'!$D:$D=$B113)*('DRAFT 2'!$A:$A&gt;=DATE(2026,2,1))*('DRAFT 2'!$A:$A&lt;DATE(2026,IF(2=12,2+1,2+1),1)),'DRAFT 2'!$A:$A),"")</f>
        <v/>
      </c>
      <c r="CV113" s="116">
        <f>COUNTIFS('DRAFT 2'!$D:$D,$B113,'DRAFT 2'!$A:$A,"&gt;="&amp;DATE(2026,2,1),'DRAFT 2'!$A:$A,"&lt;="&amp;DATE(2026,2,7))</f>
        <v/>
      </c>
      <c r="CW113" s="116">
        <f>COUNTIFS('DRAFT 2'!$D:$D,$B113,'DRAFT 2'!$A:$A,"&gt;="&amp;DATE(2026,2,8),'DRAFT 2'!$A:$A,"&lt;="&amp;DATE(2026,2,14))</f>
        <v/>
      </c>
      <c r="CX113" s="116">
        <f>COUNTIFS('DRAFT 2'!$D:$D,$B113,'DRAFT 2'!$A:$A,"&gt;="&amp;DATE(2026,2,15),'DRAFT 2'!$A:$A,"&lt;="&amp;DATE(2026,2,21))</f>
        <v/>
      </c>
      <c r="CY113" s="116">
        <f>COUNTIFS('DRAFT 2'!$D:$D,$B113,'DRAFT 2'!$A:$A,"&gt;="&amp;DATE(2026,2,22),'DRAFT 2'!$A:$A,"&lt;"&amp;DATE(2026,IF(2=12,2+1,2+1),1))</f>
        <v/>
      </c>
      <c r="CZ113" s="116">
        <f>SUM(CV113:CY113)</f>
        <v/>
      </c>
      <c r="DJ113" s="116">
        <f>IFERROR(LOOKUP(2,1/('DRAFT 2'!$D:$D=$B113)*('DRAFT 2'!$A:$A&gt;=DATE(2026,3,1))*('DRAFT 2'!$A:$A&lt;DATE(2026,IF(3=12,3+1,3+1),1)),'DRAFT 2'!$A:$A),"")</f>
        <v/>
      </c>
      <c r="DK113" s="116">
        <f>COUNTIFS('DRAFT 2'!$D:$D,$B113,'DRAFT 2'!$A:$A,"&gt;="&amp;DATE(2026,3,1),'DRAFT 2'!$A:$A,"&lt;="&amp;DATE(2026,3,7))</f>
        <v/>
      </c>
      <c r="DL113" s="116">
        <f>COUNTIFS('DRAFT 2'!$D:$D,$B113,'DRAFT 2'!$A:$A,"&gt;="&amp;DATE(2026,3,8),'DRAFT 2'!$A:$A,"&lt;="&amp;DATE(2026,3,14))</f>
        <v/>
      </c>
      <c r="DM113" s="116">
        <f>COUNTIFS('DRAFT 2'!$D:$D,$B113,'DRAFT 2'!$A:$A,"&gt;="&amp;DATE(2026,3,15),'DRAFT 2'!$A:$A,"&lt;="&amp;DATE(2026,3,21))</f>
        <v/>
      </c>
      <c r="DN113" s="116">
        <f>COUNTIFS('DRAFT 2'!$D:$D,$B113,'DRAFT 2'!$A:$A,"&gt;="&amp;DATE(2026,3,22),'DRAFT 2'!$A:$A,"&lt;"&amp;DATE(2026,IF(3=12,3+1,3+1),1))</f>
        <v/>
      </c>
      <c r="DO113" s="116">
        <f>SUM(DK113:DN113)</f>
        <v/>
      </c>
      <c r="DZ113" s="116">
        <f>IFERROR(LOOKUP(2,1/('DRAFT 2'!$D:$D=$B113)*('DRAFT 2'!$A:$A&gt;=DATE(2026,4,1))*('DRAFT 2'!$A:$A&lt;DATE(2026,IF(4=12,4+1,4+1),1)),'DRAFT 2'!$A:$A),"")</f>
        <v/>
      </c>
      <c r="EA113" s="116">
        <f>COUNTIFS('DRAFT 2'!$D:$D,$B113,'DRAFT 2'!$A:$A,"&gt;="&amp;DATE(2026,4,1),'DRAFT 2'!$A:$A,"&lt;="&amp;DATE(2026,4,7))</f>
        <v/>
      </c>
      <c r="EB113" s="116">
        <f>COUNTIFS('DRAFT 2'!$D:$D,$B113,'DRAFT 2'!$A:$A,"&gt;="&amp;DATE(2026,4,8),'DRAFT 2'!$A:$A,"&lt;="&amp;DATE(2026,4,14))</f>
        <v/>
      </c>
      <c r="EC113" s="116">
        <f>COUNTIFS('DRAFT 2'!$D:$D,$B113,'DRAFT 2'!$A:$A,"&gt;="&amp;DATE(2026,4,15),'DRAFT 2'!$A:$A,"&lt;="&amp;DATE(2026,4,21))</f>
        <v/>
      </c>
      <c r="ED113" s="116">
        <f>COUNTIFS('DRAFT 2'!$D:$D,$B113,'DRAFT 2'!$A:$A,"&gt;="&amp;DATE(2026,4,22),'DRAFT 2'!$A:$A,"&lt;"&amp;DATE(2026,IF(4=12,4+1,4+1),1))</f>
        <v/>
      </c>
      <c r="EE113" s="116">
        <f>SUM(EA113:ED113)</f>
        <v/>
      </c>
      <c r="EO113" s="116">
        <f>IFERROR(LOOKUP(2,1/('DRAFT 2'!$D:$D=$B113)*('DRAFT 2'!$A:$A&gt;=DATE(2026,5,1))*('DRAFT 2'!$A:$A&lt;DATE(2026,IF(5=12,5+1,5+1),1)),'DRAFT 2'!$A:$A),"")</f>
        <v/>
      </c>
      <c r="EP113" s="116">
        <f>COUNTIFS('DRAFT 2'!$D:$D,$B113,'DRAFT 2'!$A:$A,"&gt;="&amp;DATE(2026,5,1),'DRAFT 2'!$A:$A,"&lt;="&amp;DATE(2026,5,7))</f>
        <v/>
      </c>
      <c r="EQ113" s="116">
        <f>COUNTIFS('DRAFT 2'!$D:$D,$B113,'DRAFT 2'!$A:$A,"&gt;="&amp;DATE(2026,5,8),'DRAFT 2'!$A:$A,"&lt;="&amp;DATE(2026,5,14))</f>
        <v/>
      </c>
      <c r="ER113" s="116">
        <f>COUNTIFS('DRAFT 2'!$D:$D,$B113,'DRAFT 2'!$A:$A,"&gt;="&amp;DATE(2026,5,15),'DRAFT 2'!$A:$A,"&lt;="&amp;DATE(2026,5,21))</f>
        <v/>
      </c>
      <c r="ES113" s="116">
        <f>COUNTIFS('DRAFT 2'!$D:$D,$B113,'DRAFT 2'!$A:$A,"&gt;="&amp;DATE(2026,5,22),'DRAFT 2'!$A:$A,"&lt;"&amp;DATE(2026,IF(5=12,5+1,5+1),1))</f>
        <v/>
      </c>
      <c r="ET113" s="116">
        <f>SUM(EP113:ES113)</f>
        <v/>
      </c>
      <c r="FD113" s="116">
        <f>IFERROR(LOOKUP(2,1/('DRAFT 2'!$D:$D=$B113)*('DRAFT 2'!$A:$A&gt;=DATE(2026,6,1))*('DRAFT 2'!$A:$A&lt;DATE(2026,IF(6=12,6+1,6+1),1)),'DRAFT 2'!$A:$A),"")</f>
        <v/>
      </c>
      <c r="FE113" s="116">
        <f>COUNTIFS('DRAFT 2'!$D:$D,$B113,'DRAFT 2'!$A:$A,"&gt;="&amp;DATE(2026,6,1),'DRAFT 2'!$A:$A,"&lt;="&amp;DATE(2026,6,7))</f>
        <v/>
      </c>
      <c r="FF113" s="116">
        <f>COUNTIFS('DRAFT 2'!$D:$D,$B113,'DRAFT 2'!$A:$A,"&gt;="&amp;DATE(2026,6,8),'DRAFT 2'!$A:$A,"&lt;="&amp;DATE(2026,6,14))</f>
        <v/>
      </c>
      <c r="FG113" s="116">
        <f>COUNTIFS('DRAFT 2'!$D:$D,$B113,'DRAFT 2'!$A:$A,"&gt;="&amp;DATE(2026,6,15),'DRAFT 2'!$A:$A,"&lt;="&amp;DATE(2026,6,21))</f>
        <v/>
      </c>
      <c r="FH113" s="116">
        <f>COUNTIFS('DRAFT 2'!$D:$D,$B113,'DRAFT 2'!$A:$A,"&gt;="&amp;DATE(2026,6,22),'DRAFT 2'!$A:$A,"&lt;"&amp;DATE(2026,IF(6=12,6+1,6+1),1))</f>
        <v/>
      </c>
      <c r="FI113" s="116">
        <f>SUM(FE113:FH113)</f>
        <v/>
      </c>
      <c r="FT113" s="116">
        <f>IFERROR(LOOKUP(2,1/('DRAFT 2'!$D:$D=$B113)*('DRAFT 2'!$A:$A&gt;=DATE(2026,7,1))*('DRAFT 2'!$A:$A&lt;DATE(2026,IF(7=12,7+1,7+1),1)),'DRAFT 2'!$A:$A),"")</f>
        <v/>
      </c>
      <c r="FU113" s="116">
        <f>COUNTIFS('DRAFT 2'!$D:$D,$B113,'DRAFT 2'!$A:$A,"&gt;="&amp;DATE(2026,7,1),'DRAFT 2'!$A:$A,"&lt;="&amp;DATE(2026,7,7))</f>
        <v/>
      </c>
      <c r="FV113" s="116">
        <f>COUNTIFS('DRAFT 2'!$D:$D,$B113,'DRAFT 2'!$A:$A,"&gt;="&amp;DATE(2026,7,8),'DRAFT 2'!$A:$A,"&lt;="&amp;DATE(2026,7,14))</f>
        <v/>
      </c>
      <c r="FW113" s="116">
        <f>COUNTIFS('DRAFT 2'!$D:$D,$B113,'DRAFT 2'!$A:$A,"&gt;="&amp;DATE(2026,7,15),'DRAFT 2'!$A:$A,"&lt;="&amp;DATE(2026,7,21))</f>
        <v/>
      </c>
      <c r="FX113" s="116">
        <f>COUNTIFS('DRAFT 2'!$D:$D,$B113,'DRAFT 2'!$A:$A,"&gt;="&amp;DATE(2026,7,22),'DRAFT 2'!$A:$A,"&lt;"&amp;DATE(2026,IF(7=12,7+1,7+1),1))</f>
        <v/>
      </c>
      <c r="FY113" s="116">
        <f>SUM(FU113:FX113)</f>
        <v/>
      </c>
      <c r="GI113" s="116">
        <f>IFERROR(LOOKUP(2,1/('DRAFT 2'!$D:$D=$B113)*('DRAFT 2'!$A:$A&gt;=DATE(2026,8,1))*('DRAFT 2'!$A:$A&lt;DATE(2026,IF(8=12,8+1,8+1),1)),'DRAFT 2'!$A:$A),"")</f>
        <v/>
      </c>
      <c r="GJ113" s="116">
        <f>COUNTIFS('DRAFT 2'!$D:$D,$B113,'DRAFT 2'!$A:$A,"&gt;="&amp;DATE(2026,8,1),'DRAFT 2'!$A:$A,"&lt;="&amp;DATE(2026,8,7))</f>
        <v/>
      </c>
      <c r="GK113" s="116">
        <f>COUNTIFS('DRAFT 2'!$D:$D,$B113,'DRAFT 2'!$A:$A,"&gt;="&amp;DATE(2026,8,8),'DRAFT 2'!$A:$A,"&lt;="&amp;DATE(2026,8,14))</f>
        <v/>
      </c>
      <c r="GL113" s="116">
        <f>COUNTIFS('DRAFT 2'!$D:$D,$B113,'DRAFT 2'!$A:$A,"&gt;="&amp;DATE(2026,8,15),'DRAFT 2'!$A:$A,"&lt;="&amp;DATE(2026,8,21))</f>
        <v/>
      </c>
      <c r="GM113" s="116">
        <f>COUNTIFS('DRAFT 2'!$D:$D,$B113,'DRAFT 2'!$A:$A,"&gt;="&amp;DATE(2026,8,22),'DRAFT 2'!$A:$A,"&lt;"&amp;DATE(2026,IF(8=12,8+1,8+1),1))</f>
        <v/>
      </c>
      <c r="GN113" s="116">
        <f>SUM(GJ113:GM113)</f>
        <v/>
      </c>
      <c r="GX113" s="116">
        <f>IFERROR(LOOKUP(2,1/('DRAFT 2'!$D:$D=$B113)*('DRAFT 2'!$A:$A&gt;=DATE(2026,9,1))*('DRAFT 2'!$A:$A&lt;DATE(2026,IF(9=12,9+1,9+1),1)),'DRAFT 2'!$A:$A),"")</f>
        <v/>
      </c>
      <c r="GY113" s="116">
        <f>COUNTIFS('DRAFT 2'!$D:$D,$B113,'DRAFT 2'!$A:$A,"&gt;="&amp;DATE(2026,9,1),'DRAFT 2'!$A:$A,"&lt;="&amp;DATE(2026,9,7))</f>
        <v/>
      </c>
      <c r="GZ113" s="116">
        <f>COUNTIFS('DRAFT 2'!$D:$D,$B113,'DRAFT 2'!$A:$A,"&gt;="&amp;DATE(2026,9,8),'DRAFT 2'!$A:$A,"&lt;="&amp;DATE(2026,9,14))</f>
        <v/>
      </c>
      <c r="HA113" s="116">
        <f>COUNTIFS('DRAFT 2'!$D:$D,$B113,'DRAFT 2'!$A:$A,"&gt;="&amp;DATE(2026,9,15),'DRAFT 2'!$A:$A,"&lt;="&amp;DATE(2026,9,21))</f>
        <v/>
      </c>
      <c r="HB113" s="116">
        <f>COUNTIFS('DRAFT 2'!$D:$D,$B113,'DRAFT 2'!$A:$A,"&gt;="&amp;DATE(2026,9,22),'DRAFT 2'!$A:$A,"&lt;"&amp;DATE(2026,IF(9=12,9+1,9+1),1))</f>
        <v/>
      </c>
      <c r="HC113" s="116">
        <f>SUM(GY113:HB113)</f>
        <v/>
      </c>
      <c r="HN113" s="116">
        <f>IFERROR(LOOKUP(2,1/('DRAFT 2'!$D:$D=$B113)*('DRAFT 2'!$A:$A&gt;=DATE(2026,10,1))*('DRAFT 2'!$A:$A&lt;DATE(2026,IF(10=12,10+1,10+1),1)),'DRAFT 2'!$A:$A),"")</f>
        <v/>
      </c>
      <c r="HO113" s="116">
        <f>COUNTIFS('DRAFT 2'!$D:$D,$B113,'DRAFT 2'!$A:$A,"&gt;="&amp;DATE(2026,10,1),'DRAFT 2'!$A:$A,"&lt;="&amp;DATE(2026,10,7))</f>
        <v/>
      </c>
      <c r="HP113" s="116">
        <f>COUNTIFS('DRAFT 2'!$D:$D,$B113,'DRAFT 2'!$A:$A,"&gt;="&amp;DATE(2026,10,8),'DRAFT 2'!$A:$A,"&lt;="&amp;DATE(2026,10,14))</f>
        <v/>
      </c>
      <c r="HQ113" s="116">
        <f>COUNTIFS('DRAFT 2'!$D:$D,$B113,'DRAFT 2'!$A:$A,"&gt;="&amp;DATE(2026,10,15),'DRAFT 2'!$A:$A,"&lt;="&amp;DATE(2026,10,21))</f>
        <v/>
      </c>
      <c r="HR113" s="116">
        <f>COUNTIFS('DRAFT 2'!$D:$D,$B113,'DRAFT 2'!$A:$A,"&gt;="&amp;DATE(2026,10,22),'DRAFT 2'!$A:$A,"&lt;"&amp;DATE(2026,IF(10=12,10+1,10+1),1))</f>
        <v/>
      </c>
      <c r="HS113" s="116">
        <f>SUM(HO113:HR113)</f>
        <v/>
      </c>
      <c r="IC113" s="116">
        <f>IFERROR(LOOKUP(2,1/('DRAFT 2'!$D:$D=$B113)*('DRAFT 2'!$A:$A&gt;=DATE(2026,11,1))*('DRAFT 2'!$A:$A&lt;DATE(2026,IF(11=12,11+1,11+1),1)),'DRAFT 2'!$A:$A),"")</f>
        <v/>
      </c>
      <c r="ID113" s="116">
        <f>COUNTIFS('DRAFT 2'!$D:$D,$B113,'DRAFT 2'!$A:$A,"&gt;="&amp;DATE(2026,11,1),'DRAFT 2'!$A:$A,"&lt;="&amp;DATE(2026,11,7))</f>
        <v/>
      </c>
      <c r="IE113" s="116">
        <f>COUNTIFS('DRAFT 2'!$D:$D,$B113,'DRAFT 2'!$A:$A,"&gt;="&amp;DATE(2026,11,8),'DRAFT 2'!$A:$A,"&lt;="&amp;DATE(2026,11,14))</f>
        <v/>
      </c>
      <c r="IF113" s="116">
        <f>COUNTIFS('DRAFT 2'!$D:$D,$B113,'DRAFT 2'!$A:$A,"&gt;="&amp;DATE(2026,11,15),'DRAFT 2'!$A:$A,"&lt;="&amp;DATE(2026,11,21))</f>
        <v/>
      </c>
      <c r="IG113" s="116">
        <f>COUNTIFS('DRAFT 2'!$D:$D,$B113,'DRAFT 2'!$A:$A,"&gt;="&amp;DATE(2026,11,22),'DRAFT 2'!$A:$A,"&lt;"&amp;DATE(2026,IF(11=12,11+1,11+1),1))</f>
        <v/>
      </c>
      <c r="IH113" s="116">
        <f>SUM(ID113:IG113)</f>
        <v/>
      </c>
      <c r="IR113" s="116">
        <f>IFERROR(LOOKUP(2,1/('DRAFT 2'!$D:$D=$B113)*('DRAFT 2'!$A:$A&gt;=DATE(2026,12,1))*('DRAFT 2'!$A:$A&lt;DATE(2026,IF(12=12,12+1,12+1),1)),'DRAFT 2'!$A:$A),"")</f>
        <v/>
      </c>
      <c r="IS113" s="116">
        <f>COUNTIFS('DRAFT 2'!$D:$D,$B113,'DRAFT 2'!$A:$A,"&gt;="&amp;DATE(2026,12,1),'DRAFT 2'!$A:$A,"&lt;="&amp;DATE(2026,12,7))</f>
        <v/>
      </c>
      <c r="IT113" s="116">
        <f>COUNTIFS('DRAFT 2'!$D:$D,$B113,'DRAFT 2'!$A:$A,"&gt;="&amp;DATE(2026,12,8),'DRAFT 2'!$A:$A,"&lt;="&amp;DATE(2026,12,14))</f>
        <v/>
      </c>
      <c r="IU113" s="116">
        <f>COUNTIFS('DRAFT 2'!$D:$D,$B113,'DRAFT 2'!$A:$A,"&gt;="&amp;DATE(2026,12,15),'DRAFT 2'!$A:$A,"&lt;="&amp;DATE(2026,12,21))</f>
        <v/>
      </c>
      <c r="IV113" s="116">
        <f>COUNTIFS('DRAFT 2'!$D:$D,$B113,'DRAFT 2'!$A:$A,"&gt;="&amp;DATE(2026,12,22),'DRAFT 2'!$A:$A,"&lt;"&amp;DATE(2026,IF(12=12,12+1,12+1),1))</f>
        <v/>
      </c>
      <c r="IW113" s="116">
        <f>SUM(IS113:IV113)</f>
        <v/>
      </c>
    </row>
    <row r="114">
      <c r="A114" s="116">
        <f>IFERROR(INDEX('DRAFT 1'!$A:$A,MATCH($B114,'DRAFT 1'!$B:$B,0)),"")</f>
        <v/>
      </c>
      <c r="C114" s="116">
        <f>IFERROR(INDEX('DRAFT 1'!$C:$C,MATCH($B114,'DRAFT 1'!$B:$B,0)),"")</f>
        <v/>
      </c>
      <c r="D114" s="116">
        <f>IFERROR(INDEX('DRAFT 1'!$D:$D,MATCH($B114,'DRAFT 1'!$B:$B,0)),"")</f>
        <v/>
      </c>
      <c r="E114" s="116">
        <f>IFERROR(INDEX('DRAFT 1'!$E:$E,MATCH($B114,'DRAFT 1'!$B:$B,0)),"")</f>
        <v/>
      </c>
      <c r="F114" s="116">
        <f>IFERROR(INDEX('DRAFT 1'!$F:$F,MATCH($B114,'DRAFT 1'!$B:$B,0)),"")</f>
        <v/>
      </c>
      <c r="G114" s="116">
        <f>IFERROR(INDEX('DRAFT 1'!$G:$G,MATCH($B114,'DRAFT 1'!$B:$B,0)),"")</f>
        <v/>
      </c>
      <c r="H114" s="116">
        <f>IFERROR(INDEX('DRAFT 1'!$H:$H,MATCH($B114,'DRAFT 1'!$B:$B,0)),"")</f>
        <v/>
      </c>
      <c r="I114" s="116" t="inlineStr">
        <is>
          <t>DIVINA TERRA</t>
        </is>
      </c>
      <c r="K114" s="116">
        <f>IFERROR(INDEX('DRAFT 1'!$AL:$AL,MATCH($B114,'DRAFT 1'!$B:$B,0)),"")</f>
        <v/>
      </c>
      <c r="L114" s="116">
        <f>IFERROR(INDEX('DRAFT 1'!$J:$J,MATCH($B114,'DRAFT 1'!$B:$B,0)),"")</f>
        <v/>
      </c>
      <c r="M114" s="116">
        <f>IFERROR(INDEX('DRAFT 1'!$K:$K,MATCH($B114,'DRAFT 1'!$B:$B,0)),"")</f>
        <v/>
      </c>
      <c r="N114" s="116" t="inlineStr">
        <is>
          <t>EM RISCO</t>
        </is>
      </c>
      <c r="P114" s="116">
        <f>IFERROR(INDEX('DRAFT 1'!$L:$L,MATCH($B114,'DRAFT 1'!$B:$B,0)),"")</f>
        <v/>
      </c>
      <c r="Q114" s="116">
        <f>IFERROR(INDEX('DRAFT 1'!$M:$M,MATCH($B114,'DRAFT 1'!$B:$B,0)),"")</f>
        <v/>
      </c>
      <c r="R114" s="116">
        <f>IFERROR(INDEX('DRAFT 1'!$N:$N,MATCH($B114,'DRAFT 1'!$B:$B,0)),"")</f>
        <v/>
      </c>
      <c r="S114" s="116">
        <f>IFERROR(INDEX('DRAFT 1'!$O:$O,MATCH($B114,'DRAFT 1'!$B:$B,0)),"")</f>
        <v/>
      </c>
      <c r="T114" s="116">
        <f>IFERROR(INDEX('DRAFT 1'!$P:$P,MATCH($B114,'DRAFT 1'!$B:$B,0)),"")</f>
        <v/>
      </c>
      <c r="U114" s="116">
        <f>IFERROR(INDEX('DRAFT 1'!$Q:$Q,MATCH($B114,'DRAFT 1'!$B:$B,0)),"")</f>
        <v/>
      </c>
      <c r="V114" s="116">
        <f>IFERROR(INDEX('DRAFT 1'!$R:$R,MATCH($B114,'DRAFT 1'!$B:$B,0)),"")</f>
        <v/>
      </c>
      <c r="W114" s="116">
        <f>IFERROR(INDEX('DRAFT 1'!$S:$S,MATCH($B114,'DRAFT 1'!$B:$B,0)),"")</f>
        <v/>
      </c>
      <c r="X114" s="116">
        <f>IFERROR(INDEX('DRAFT 1'!$T:$T,MATCH($B114,'DRAFT 1'!$B:$B,0)),"")</f>
        <v/>
      </c>
      <c r="Z114" s="116">
        <f>IFERROR(INDEX('DRAFT 1'!$U:$U,MATCH($B114,'DRAFT 1'!$B:$B,0)),"")</f>
        <v/>
      </c>
      <c r="AA114" s="116">
        <f>IFERROR(INDEX('DRAFT 1'!$V:$V,MATCH($B114,'DRAFT 1'!$B:$B,0)),"")</f>
        <v/>
      </c>
      <c r="AB114" s="116">
        <f>IFERROR(INDEX('DRAFT 1'!$W:$W,MATCH($B114,'DRAFT 1'!$B:$B,0)),"")</f>
        <v/>
      </c>
      <c r="AC114" s="116">
        <f>IFERROR(INDEX('DRAFT 1'!$X:$X,MATCH($B114,'DRAFT 1'!$B:$B,0)),"")</f>
        <v/>
      </c>
      <c r="AD114" s="116">
        <f>IFERROR(INDEX('DRAFT 1'!$Y:$Y,MATCH($B114,'DRAFT 1'!$B:$B,0)),"")</f>
        <v/>
      </c>
      <c r="AE114" s="116">
        <f>IFERROR(INDEX('DRAFT 1'!$Z:$Z,MATCH($B114,'DRAFT 1'!$B:$B,0)),"")</f>
        <v/>
      </c>
      <c r="AF114" s="116">
        <f>IFERROR(INDEX('DRAFT 1'!$AA:$AA,MATCH($B114,'DRAFT 1'!$B:$B,0)),"")</f>
        <v/>
      </c>
      <c r="AG114" s="116">
        <f>IFERROR(INDEX('DRAFT 1'!$AB:$AB,MATCH($B114,'DRAFT 1'!$B:$B,0)),"")</f>
        <v/>
      </c>
      <c r="AH114" s="116">
        <f>IFERROR(INDEX('DRAFT 1'!$AC:$AC,MATCH($B114,'DRAFT 1'!$B:$B,0)),"")</f>
        <v/>
      </c>
      <c r="AI114" s="116">
        <f>IFERROR(INDEX('DRAFT 1'!$AD:$AD,MATCH($B114,'DRAFT 1'!$B:$B,0)),"")</f>
        <v/>
      </c>
      <c r="AJ114" s="116">
        <f>IFERROR(INDEX('DRAFT 1'!$AE:$AE,MATCH($B114,'DRAFT 1'!$B:$B,0)),"")</f>
        <v/>
      </c>
      <c r="AK114" s="116">
        <f>IFERROR(INDEX('DRAFT 1'!$AG:$AG,MATCH($B114,'DRAFT 1'!$B:$B,0)),"")</f>
        <v/>
      </c>
      <c r="AL114" s="116">
        <f>IFERROR(INDEX('DRAFT 1'!$AH:$AH,MATCH($B114,'DRAFT 1'!$B:$B,0)),"")</f>
        <v/>
      </c>
      <c r="AM114" s="116">
        <f>IFERROR(INDEX('DRAFT 1'!$AI:$AI,MATCH($B114,'DRAFT 1'!$B:$B,0)),"")</f>
        <v/>
      </c>
      <c r="AN114" s="116">
        <f>IFERROR(INDEX('DRAFT 1'!$AJ:$AJ,MATCH($B114,'DRAFT 1'!$B:$B,0)),"")</f>
        <v/>
      </c>
      <c r="AO114" s="116">
        <f>IFERROR(Y114/AN114,0)</f>
        <v/>
      </c>
      <c r="AP114" s="116">
        <f>IFERROR(INDEX('DRAFT 1'!$AK:$AK,MATCH($B114,'DRAFT 1'!$B:$B,0)),"")</f>
        <v/>
      </c>
      <c r="AR114" s="116" t="inlineStr">
        <is>
          <t>SALVAMENTO</t>
        </is>
      </c>
      <c r="AS114" s="116">
        <f>IFERROR(LOOKUP(2,1/('DRAFT 2'!$D:$D=$B114),'DRAFT 2'!$T:$T),"")</f>
        <v/>
      </c>
      <c r="AT114" s="116">
        <f>IFERROR(LOOKUP(2,1/('DRAFT 2'!$D:$D=$B114),'DRAFT 2'!$A:$A),"")</f>
        <v/>
      </c>
      <c r="AU114" s="116">
        <f>IFERROR(LOOKUP(2,1/('DRAFT 2'!$D:$D=$B114),'DRAFT 2'!$R:$R),"")</f>
        <v/>
      </c>
      <c r="AV114" s="116">
        <f>IFERROR(LOOKUP(2,1/('DRAFT 2'!$D:$D=$B114),'DRAFT 2'!$S:$S),"")</f>
        <v/>
      </c>
      <c r="AW114" s="116" t="inlineStr">
        <is>
          <t>FIDELIZADO</t>
        </is>
      </c>
      <c r="AX114" s="116">
        <f>IFERROR(LOOKUP(2,1/('DRAFT 2'!$D:$D=$B114),'DRAFT 2'!$M:$M),"")</f>
        <v/>
      </c>
      <c r="AY114" s="116">
        <f>IFERROR(LOOKUP(2,1/('DRAFT 2'!$D:$D=$B114),'DRAFT 2'!$K:$K),"")</f>
        <v/>
      </c>
      <c r="BG114" s="116">
        <f>IFERROR(LOOKUP(2,1/('DRAFT 2'!$D:$D=$B114),'DRAFT 2'!$U:$U),"")</f>
        <v/>
      </c>
      <c r="BH114" s="116">
        <f>IFERROR(LOOKUP(2,1/('DRAFT 2'!$D:$D=$B114),'DRAFT 2'!$V:$V),"")</f>
        <v/>
      </c>
      <c r="CE114" s="116">
        <f>IFERROR(AJ114,0)</f>
        <v/>
      </c>
      <c r="CF114" s="116">
        <f>IFERROR(LOOKUP(2,1/('DRAFT 2'!$D:$D=$B114)*('DRAFT 2'!$A:$A&gt;=DATE(2026,1,1))*('DRAFT 2'!$A:$A&lt;DATE(2026,IF(1=12,1+1,1+1),1)),'DRAFT 2'!$A:$A),"")</f>
        <v/>
      </c>
      <c r="CG114" s="116">
        <f>COUNTIFS('DRAFT 2'!$D:$D,$B114,'DRAFT 2'!$A:$A,"&gt;="&amp;DATE(2026,1,1),'DRAFT 2'!$A:$A,"&lt;="&amp;DATE(2026,1,7))</f>
        <v/>
      </c>
      <c r="CH114" s="116">
        <f>COUNTIFS('DRAFT 2'!$D:$D,$B114,'DRAFT 2'!$A:$A,"&gt;="&amp;DATE(2026,1,8),'DRAFT 2'!$A:$A,"&lt;="&amp;DATE(2026,1,14))</f>
        <v/>
      </c>
      <c r="CI114" s="116">
        <f>COUNTIFS('DRAFT 2'!$D:$D,$B114,'DRAFT 2'!$A:$A,"&gt;="&amp;DATE(2026,1,15),'DRAFT 2'!$A:$A,"&lt;="&amp;DATE(2026,1,21))</f>
        <v/>
      </c>
      <c r="CJ114" s="116">
        <f>COUNTIFS('DRAFT 2'!$D:$D,$B114,'DRAFT 2'!$A:$A,"&gt;="&amp;DATE(2026,1,22),'DRAFT 2'!$A:$A,"&lt;"&amp;DATE(2026,IF(1=12,1+1,1+1),1))</f>
        <v/>
      </c>
      <c r="CK114" s="116">
        <f>SUM(CG114:CJ114)</f>
        <v/>
      </c>
      <c r="CT114" s="116" t="n">
        <v>0</v>
      </c>
      <c r="CU114" s="116">
        <f>IFERROR(LOOKUP(2,1/('DRAFT 2'!$D:$D=$B114)*('DRAFT 2'!$A:$A&gt;=DATE(2026,2,1))*('DRAFT 2'!$A:$A&lt;DATE(2026,IF(2=12,2+1,2+1),1)),'DRAFT 2'!$A:$A),"")</f>
        <v/>
      </c>
      <c r="CV114" s="116">
        <f>COUNTIFS('DRAFT 2'!$D:$D,$B114,'DRAFT 2'!$A:$A,"&gt;="&amp;DATE(2026,2,1),'DRAFT 2'!$A:$A,"&lt;="&amp;DATE(2026,2,7))</f>
        <v/>
      </c>
      <c r="CW114" s="116">
        <f>COUNTIFS('DRAFT 2'!$D:$D,$B114,'DRAFT 2'!$A:$A,"&gt;="&amp;DATE(2026,2,8),'DRAFT 2'!$A:$A,"&lt;="&amp;DATE(2026,2,14))</f>
        <v/>
      </c>
      <c r="CX114" s="116">
        <f>COUNTIFS('DRAFT 2'!$D:$D,$B114,'DRAFT 2'!$A:$A,"&gt;="&amp;DATE(2026,2,15),'DRAFT 2'!$A:$A,"&lt;="&amp;DATE(2026,2,21))</f>
        <v/>
      </c>
      <c r="CY114" s="116">
        <f>COUNTIFS('DRAFT 2'!$D:$D,$B114,'DRAFT 2'!$A:$A,"&gt;="&amp;DATE(2026,2,22),'DRAFT 2'!$A:$A,"&lt;"&amp;DATE(2026,IF(2=12,2+1,2+1),1))</f>
        <v/>
      </c>
      <c r="CZ114" s="116">
        <f>SUM(CV114:CY114)</f>
        <v/>
      </c>
      <c r="DJ114" s="116">
        <f>IFERROR(LOOKUP(2,1/('DRAFT 2'!$D:$D=$B114)*('DRAFT 2'!$A:$A&gt;=DATE(2026,3,1))*('DRAFT 2'!$A:$A&lt;DATE(2026,IF(3=12,3+1,3+1),1)),'DRAFT 2'!$A:$A),"")</f>
        <v/>
      </c>
      <c r="DK114" s="116">
        <f>COUNTIFS('DRAFT 2'!$D:$D,$B114,'DRAFT 2'!$A:$A,"&gt;="&amp;DATE(2026,3,1),'DRAFT 2'!$A:$A,"&lt;="&amp;DATE(2026,3,7))</f>
        <v/>
      </c>
      <c r="DL114" s="116">
        <f>COUNTIFS('DRAFT 2'!$D:$D,$B114,'DRAFT 2'!$A:$A,"&gt;="&amp;DATE(2026,3,8),'DRAFT 2'!$A:$A,"&lt;="&amp;DATE(2026,3,14))</f>
        <v/>
      </c>
      <c r="DM114" s="116">
        <f>COUNTIFS('DRAFT 2'!$D:$D,$B114,'DRAFT 2'!$A:$A,"&gt;="&amp;DATE(2026,3,15),'DRAFT 2'!$A:$A,"&lt;="&amp;DATE(2026,3,21))</f>
        <v/>
      </c>
      <c r="DN114" s="116">
        <f>COUNTIFS('DRAFT 2'!$D:$D,$B114,'DRAFT 2'!$A:$A,"&gt;="&amp;DATE(2026,3,22),'DRAFT 2'!$A:$A,"&lt;"&amp;DATE(2026,IF(3=12,3+1,3+1),1))</f>
        <v/>
      </c>
      <c r="DO114" s="116">
        <f>SUM(DK114:DN114)</f>
        <v/>
      </c>
      <c r="DZ114" s="116">
        <f>IFERROR(LOOKUP(2,1/('DRAFT 2'!$D:$D=$B114)*('DRAFT 2'!$A:$A&gt;=DATE(2026,4,1))*('DRAFT 2'!$A:$A&lt;DATE(2026,IF(4=12,4+1,4+1),1)),'DRAFT 2'!$A:$A),"")</f>
        <v/>
      </c>
      <c r="EA114" s="116">
        <f>COUNTIFS('DRAFT 2'!$D:$D,$B114,'DRAFT 2'!$A:$A,"&gt;="&amp;DATE(2026,4,1),'DRAFT 2'!$A:$A,"&lt;="&amp;DATE(2026,4,7))</f>
        <v/>
      </c>
      <c r="EB114" s="116">
        <f>COUNTIFS('DRAFT 2'!$D:$D,$B114,'DRAFT 2'!$A:$A,"&gt;="&amp;DATE(2026,4,8),'DRAFT 2'!$A:$A,"&lt;="&amp;DATE(2026,4,14))</f>
        <v/>
      </c>
      <c r="EC114" s="116">
        <f>COUNTIFS('DRAFT 2'!$D:$D,$B114,'DRAFT 2'!$A:$A,"&gt;="&amp;DATE(2026,4,15),'DRAFT 2'!$A:$A,"&lt;="&amp;DATE(2026,4,21))</f>
        <v/>
      </c>
      <c r="ED114" s="116">
        <f>COUNTIFS('DRAFT 2'!$D:$D,$B114,'DRAFT 2'!$A:$A,"&gt;="&amp;DATE(2026,4,22),'DRAFT 2'!$A:$A,"&lt;"&amp;DATE(2026,IF(4=12,4+1,4+1),1))</f>
        <v/>
      </c>
      <c r="EE114" s="116">
        <f>SUM(EA114:ED114)</f>
        <v/>
      </c>
      <c r="EO114" s="116">
        <f>IFERROR(LOOKUP(2,1/('DRAFT 2'!$D:$D=$B114)*('DRAFT 2'!$A:$A&gt;=DATE(2026,5,1))*('DRAFT 2'!$A:$A&lt;DATE(2026,IF(5=12,5+1,5+1),1)),'DRAFT 2'!$A:$A),"")</f>
        <v/>
      </c>
      <c r="EP114" s="116">
        <f>COUNTIFS('DRAFT 2'!$D:$D,$B114,'DRAFT 2'!$A:$A,"&gt;="&amp;DATE(2026,5,1),'DRAFT 2'!$A:$A,"&lt;="&amp;DATE(2026,5,7))</f>
        <v/>
      </c>
      <c r="EQ114" s="116">
        <f>COUNTIFS('DRAFT 2'!$D:$D,$B114,'DRAFT 2'!$A:$A,"&gt;="&amp;DATE(2026,5,8),'DRAFT 2'!$A:$A,"&lt;="&amp;DATE(2026,5,14))</f>
        <v/>
      </c>
      <c r="ER114" s="116">
        <f>COUNTIFS('DRAFT 2'!$D:$D,$B114,'DRAFT 2'!$A:$A,"&gt;="&amp;DATE(2026,5,15),'DRAFT 2'!$A:$A,"&lt;="&amp;DATE(2026,5,21))</f>
        <v/>
      </c>
      <c r="ES114" s="116">
        <f>COUNTIFS('DRAFT 2'!$D:$D,$B114,'DRAFT 2'!$A:$A,"&gt;="&amp;DATE(2026,5,22),'DRAFT 2'!$A:$A,"&lt;"&amp;DATE(2026,IF(5=12,5+1,5+1),1))</f>
        <v/>
      </c>
      <c r="ET114" s="116">
        <f>SUM(EP114:ES114)</f>
        <v/>
      </c>
      <c r="FD114" s="116">
        <f>IFERROR(LOOKUP(2,1/('DRAFT 2'!$D:$D=$B114)*('DRAFT 2'!$A:$A&gt;=DATE(2026,6,1))*('DRAFT 2'!$A:$A&lt;DATE(2026,IF(6=12,6+1,6+1),1)),'DRAFT 2'!$A:$A),"")</f>
        <v/>
      </c>
      <c r="FE114" s="116">
        <f>COUNTIFS('DRAFT 2'!$D:$D,$B114,'DRAFT 2'!$A:$A,"&gt;="&amp;DATE(2026,6,1),'DRAFT 2'!$A:$A,"&lt;="&amp;DATE(2026,6,7))</f>
        <v/>
      </c>
      <c r="FF114" s="116">
        <f>COUNTIFS('DRAFT 2'!$D:$D,$B114,'DRAFT 2'!$A:$A,"&gt;="&amp;DATE(2026,6,8),'DRAFT 2'!$A:$A,"&lt;="&amp;DATE(2026,6,14))</f>
        <v/>
      </c>
      <c r="FG114" s="116">
        <f>COUNTIFS('DRAFT 2'!$D:$D,$B114,'DRAFT 2'!$A:$A,"&gt;="&amp;DATE(2026,6,15),'DRAFT 2'!$A:$A,"&lt;="&amp;DATE(2026,6,21))</f>
        <v/>
      </c>
      <c r="FH114" s="116">
        <f>COUNTIFS('DRAFT 2'!$D:$D,$B114,'DRAFT 2'!$A:$A,"&gt;="&amp;DATE(2026,6,22),'DRAFT 2'!$A:$A,"&lt;"&amp;DATE(2026,IF(6=12,6+1,6+1),1))</f>
        <v/>
      </c>
      <c r="FI114" s="116">
        <f>SUM(FE114:FH114)</f>
        <v/>
      </c>
      <c r="FT114" s="116">
        <f>IFERROR(LOOKUP(2,1/('DRAFT 2'!$D:$D=$B114)*('DRAFT 2'!$A:$A&gt;=DATE(2026,7,1))*('DRAFT 2'!$A:$A&lt;DATE(2026,IF(7=12,7+1,7+1),1)),'DRAFT 2'!$A:$A),"")</f>
        <v/>
      </c>
      <c r="FU114" s="116">
        <f>COUNTIFS('DRAFT 2'!$D:$D,$B114,'DRAFT 2'!$A:$A,"&gt;="&amp;DATE(2026,7,1),'DRAFT 2'!$A:$A,"&lt;="&amp;DATE(2026,7,7))</f>
        <v/>
      </c>
      <c r="FV114" s="116">
        <f>COUNTIFS('DRAFT 2'!$D:$D,$B114,'DRAFT 2'!$A:$A,"&gt;="&amp;DATE(2026,7,8),'DRAFT 2'!$A:$A,"&lt;="&amp;DATE(2026,7,14))</f>
        <v/>
      </c>
      <c r="FW114" s="116">
        <f>COUNTIFS('DRAFT 2'!$D:$D,$B114,'DRAFT 2'!$A:$A,"&gt;="&amp;DATE(2026,7,15),'DRAFT 2'!$A:$A,"&lt;="&amp;DATE(2026,7,21))</f>
        <v/>
      </c>
      <c r="FX114" s="116">
        <f>COUNTIFS('DRAFT 2'!$D:$D,$B114,'DRAFT 2'!$A:$A,"&gt;="&amp;DATE(2026,7,22),'DRAFT 2'!$A:$A,"&lt;"&amp;DATE(2026,IF(7=12,7+1,7+1),1))</f>
        <v/>
      </c>
      <c r="FY114" s="116">
        <f>SUM(FU114:FX114)</f>
        <v/>
      </c>
      <c r="GI114" s="116">
        <f>IFERROR(LOOKUP(2,1/('DRAFT 2'!$D:$D=$B114)*('DRAFT 2'!$A:$A&gt;=DATE(2026,8,1))*('DRAFT 2'!$A:$A&lt;DATE(2026,IF(8=12,8+1,8+1),1)),'DRAFT 2'!$A:$A),"")</f>
        <v/>
      </c>
      <c r="GJ114" s="116">
        <f>COUNTIFS('DRAFT 2'!$D:$D,$B114,'DRAFT 2'!$A:$A,"&gt;="&amp;DATE(2026,8,1),'DRAFT 2'!$A:$A,"&lt;="&amp;DATE(2026,8,7))</f>
        <v/>
      </c>
      <c r="GK114" s="116">
        <f>COUNTIFS('DRAFT 2'!$D:$D,$B114,'DRAFT 2'!$A:$A,"&gt;="&amp;DATE(2026,8,8),'DRAFT 2'!$A:$A,"&lt;="&amp;DATE(2026,8,14))</f>
        <v/>
      </c>
      <c r="GL114" s="116">
        <f>COUNTIFS('DRAFT 2'!$D:$D,$B114,'DRAFT 2'!$A:$A,"&gt;="&amp;DATE(2026,8,15),'DRAFT 2'!$A:$A,"&lt;="&amp;DATE(2026,8,21))</f>
        <v/>
      </c>
      <c r="GM114" s="116">
        <f>COUNTIFS('DRAFT 2'!$D:$D,$B114,'DRAFT 2'!$A:$A,"&gt;="&amp;DATE(2026,8,22),'DRAFT 2'!$A:$A,"&lt;"&amp;DATE(2026,IF(8=12,8+1,8+1),1))</f>
        <v/>
      </c>
      <c r="GN114" s="116">
        <f>SUM(GJ114:GM114)</f>
        <v/>
      </c>
      <c r="GX114" s="116">
        <f>IFERROR(LOOKUP(2,1/('DRAFT 2'!$D:$D=$B114)*('DRAFT 2'!$A:$A&gt;=DATE(2026,9,1))*('DRAFT 2'!$A:$A&lt;DATE(2026,IF(9=12,9+1,9+1),1)),'DRAFT 2'!$A:$A),"")</f>
        <v/>
      </c>
      <c r="GY114" s="116">
        <f>COUNTIFS('DRAFT 2'!$D:$D,$B114,'DRAFT 2'!$A:$A,"&gt;="&amp;DATE(2026,9,1),'DRAFT 2'!$A:$A,"&lt;="&amp;DATE(2026,9,7))</f>
        <v/>
      </c>
      <c r="GZ114" s="116">
        <f>COUNTIFS('DRAFT 2'!$D:$D,$B114,'DRAFT 2'!$A:$A,"&gt;="&amp;DATE(2026,9,8),'DRAFT 2'!$A:$A,"&lt;="&amp;DATE(2026,9,14))</f>
        <v/>
      </c>
      <c r="HA114" s="116">
        <f>COUNTIFS('DRAFT 2'!$D:$D,$B114,'DRAFT 2'!$A:$A,"&gt;="&amp;DATE(2026,9,15),'DRAFT 2'!$A:$A,"&lt;="&amp;DATE(2026,9,21))</f>
        <v/>
      </c>
      <c r="HB114" s="116">
        <f>COUNTIFS('DRAFT 2'!$D:$D,$B114,'DRAFT 2'!$A:$A,"&gt;="&amp;DATE(2026,9,22),'DRAFT 2'!$A:$A,"&lt;"&amp;DATE(2026,IF(9=12,9+1,9+1),1))</f>
        <v/>
      </c>
      <c r="HC114" s="116">
        <f>SUM(GY114:HB114)</f>
        <v/>
      </c>
      <c r="HN114" s="116">
        <f>IFERROR(LOOKUP(2,1/('DRAFT 2'!$D:$D=$B114)*('DRAFT 2'!$A:$A&gt;=DATE(2026,10,1))*('DRAFT 2'!$A:$A&lt;DATE(2026,IF(10=12,10+1,10+1),1)),'DRAFT 2'!$A:$A),"")</f>
        <v/>
      </c>
      <c r="HO114" s="116">
        <f>COUNTIFS('DRAFT 2'!$D:$D,$B114,'DRAFT 2'!$A:$A,"&gt;="&amp;DATE(2026,10,1),'DRAFT 2'!$A:$A,"&lt;="&amp;DATE(2026,10,7))</f>
        <v/>
      </c>
      <c r="HP114" s="116">
        <f>COUNTIFS('DRAFT 2'!$D:$D,$B114,'DRAFT 2'!$A:$A,"&gt;="&amp;DATE(2026,10,8),'DRAFT 2'!$A:$A,"&lt;="&amp;DATE(2026,10,14))</f>
        <v/>
      </c>
      <c r="HQ114" s="116">
        <f>COUNTIFS('DRAFT 2'!$D:$D,$B114,'DRAFT 2'!$A:$A,"&gt;="&amp;DATE(2026,10,15),'DRAFT 2'!$A:$A,"&lt;="&amp;DATE(2026,10,21))</f>
        <v/>
      </c>
      <c r="HR114" s="116">
        <f>COUNTIFS('DRAFT 2'!$D:$D,$B114,'DRAFT 2'!$A:$A,"&gt;="&amp;DATE(2026,10,22),'DRAFT 2'!$A:$A,"&lt;"&amp;DATE(2026,IF(10=12,10+1,10+1),1))</f>
        <v/>
      </c>
      <c r="HS114" s="116">
        <f>SUM(HO114:HR114)</f>
        <v/>
      </c>
      <c r="IC114" s="116">
        <f>IFERROR(LOOKUP(2,1/('DRAFT 2'!$D:$D=$B114)*('DRAFT 2'!$A:$A&gt;=DATE(2026,11,1))*('DRAFT 2'!$A:$A&lt;DATE(2026,IF(11=12,11+1,11+1),1)),'DRAFT 2'!$A:$A),"")</f>
        <v/>
      </c>
      <c r="ID114" s="116">
        <f>COUNTIFS('DRAFT 2'!$D:$D,$B114,'DRAFT 2'!$A:$A,"&gt;="&amp;DATE(2026,11,1),'DRAFT 2'!$A:$A,"&lt;="&amp;DATE(2026,11,7))</f>
        <v/>
      </c>
      <c r="IE114" s="116">
        <f>COUNTIFS('DRAFT 2'!$D:$D,$B114,'DRAFT 2'!$A:$A,"&gt;="&amp;DATE(2026,11,8),'DRAFT 2'!$A:$A,"&lt;="&amp;DATE(2026,11,14))</f>
        <v/>
      </c>
      <c r="IF114" s="116">
        <f>COUNTIFS('DRAFT 2'!$D:$D,$B114,'DRAFT 2'!$A:$A,"&gt;="&amp;DATE(2026,11,15),'DRAFT 2'!$A:$A,"&lt;="&amp;DATE(2026,11,21))</f>
        <v/>
      </c>
      <c r="IG114" s="116">
        <f>COUNTIFS('DRAFT 2'!$D:$D,$B114,'DRAFT 2'!$A:$A,"&gt;="&amp;DATE(2026,11,22),'DRAFT 2'!$A:$A,"&lt;"&amp;DATE(2026,IF(11=12,11+1,11+1),1))</f>
        <v/>
      </c>
      <c r="IH114" s="116">
        <f>SUM(ID114:IG114)</f>
        <v/>
      </c>
      <c r="IR114" s="116">
        <f>IFERROR(LOOKUP(2,1/('DRAFT 2'!$D:$D=$B114)*('DRAFT 2'!$A:$A&gt;=DATE(2026,12,1))*('DRAFT 2'!$A:$A&lt;DATE(2026,IF(12=12,12+1,12+1),1)),'DRAFT 2'!$A:$A),"")</f>
        <v/>
      </c>
      <c r="IS114" s="116">
        <f>COUNTIFS('DRAFT 2'!$D:$D,$B114,'DRAFT 2'!$A:$A,"&gt;="&amp;DATE(2026,12,1),'DRAFT 2'!$A:$A,"&lt;="&amp;DATE(2026,12,7))</f>
        <v/>
      </c>
      <c r="IT114" s="116">
        <f>COUNTIFS('DRAFT 2'!$D:$D,$B114,'DRAFT 2'!$A:$A,"&gt;="&amp;DATE(2026,12,8),'DRAFT 2'!$A:$A,"&lt;="&amp;DATE(2026,12,14))</f>
        <v/>
      </c>
      <c r="IU114" s="116">
        <f>COUNTIFS('DRAFT 2'!$D:$D,$B114,'DRAFT 2'!$A:$A,"&gt;="&amp;DATE(2026,12,15),'DRAFT 2'!$A:$A,"&lt;="&amp;DATE(2026,12,21))</f>
        <v/>
      </c>
      <c r="IV114" s="116">
        <f>COUNTIFS('DRAFT 2'!$D:$D,$B114,'DRAFT 2'!$A:$A,"&gt;="&amp;DATE(2026,12,22),'DRAFT 2'!$A:$A,"&lt;"&amp;DATE(2026,IF(12=12,12+1,12+1),1))</f>
        <v/>
      </c>
      <c r="IW114" s="116">
        <f>SUM(IS114:IV114)</f>
        <v/>
      </c>
    </row>
    <row r="115">
      <c r="A115" s="116">
        <f>IFERROR(INDEX('DRAFT 1'!$A:$A,MATCH($B115,'DRAFT 1'!$B:$B,0)),"")</f>
        <v/>
      </c>
      <c r="C115" s="116">
        <f>IFERROR(INDEX('DRAFT 1'!$C:$C,MATCH($B115,'DRAFT 1'!$B:$B,0)),"")</f>
        <v/>
      </c>
      <c r="D115" s="116">
        <f>IFERROR(INDEX('DRAFT 1'!$D:$D,MATCH($B115,'DRAFT 1'!$B:$B,0)),"")</f>
        <v/>
      </c>
      <c r="E115" s="116">
        <f>IFERROR(INDEX('DRAFT 1'!$E:$E,MATCH($B115,'DRAFT 1'!$B:$B,0)),"")</f>
        <v/>
      </c>
      <c r="F115" s="116">
        <f>IFERROR(INDEX('DRAFT 1'!$F:$F,MATCH($B115,'DRAFT 1'!$B:$B,0)),"")</f>
        <v/>
      </c>
      <c r="G115" s="116">
        <f>IFERROR(INDEX('DRAFT 1'!$G:$G,MATCH($B115,'DRAFT 1'!$B:$B,0)),"")</f>
        <v/>
      </c>
      <c r="H115" s="116">
        <f>IFERROR(INDEX('DRAFT 1'!$H:$H,MATCH($B115,'DRAFT 1'!$B:$B,0)),"")</f>
        <v/>
      </c>
      <c r="I115" s="116" t="inlineStr">
        <is>
          <t>TUDO EM GRAOS</t>
        </is>
      </c>
      <c r="K115" s="116">
        <f>IFERROR(INDEX('DRAFT 1'!$AL:$AL,MATCH($B115,'DRAFT 1'!$B:$B,0)),"")</f>
        <v/>
      </c>
      <c r="L115" s="116">
        <f>IFERROR(INDEX('DRAFT 1'!$J:$J,MATCH($B115,'DRAFT 1'!$B:$B,0)),"")</f>
        <v/>
      </c>
      <c r="M115" s="116">
        <f>IFERROR(INDEX('DRAFT 1'!$K:$K,MATCH($B115,'DRAFT 1'!$B:$B,0)),"")</f>
        <v/>
      </c>
      <c r="N115" s="116" t="inlineStr">
        <is>
          <t>INAT.ANT</t>
        </is>
      </c>
      <c r="P115" s="116">
        <f>IFERROR(INDEX('DRAFT 1'!$L:$L,MATCH($B115,'DRAFT 1'!$B:$B,0)),"")</f>
        <v/>
      </c>
      <c r="Q115" s="116">
        <f>IFERROR(INDEX('DRAFT 1'!$M:$M,MATCH($B115,'DRAFT 1'!$B:$B,0)),"")</f>
        <v/>
      </c>
      <c r="R115" s="116">
        <f>IFERROR(INDEX('DRAFT 1'!$N:$N,MATCH($B115,'DRAFT 1'!$B:$B,0)),"")</f>
        <v/>
      </c>
      <c r="S115" s="116">
        <f>IFERROR(INDEX('DRAFT 1'!$O:$O,MATCH($B115,'DRAFT 1'!$B:$B,0)),"")</f>
        <v/>
      </c>
      <c r="T115" s="116">
        <f>IFERROR(INDEX('DRAFT 1'!$P:$P,MATCH($B115,'DRAFT 1'!$B:$B,0)),"")</f>
        <v/>
      </c>
      <c r="U115" s="116">
        <f>IFERROR(INDEX('DRAFT 1'!$Q:$Q,MATCH($B115,'DRAFT 1'!$B:$B,0)),"")</f>
        <v/>
      </c>
      <c r="V115" s="116">
        <f>IFERROR(INDEX('DRAFT 1'!$R:$R,MATCH($B115,'DRAFT 1'!$B:$B,0)),"")</f>
        <v/>
      </c>
      <c r="W115" s="116">
        <f>IFERROR(INDEX('DRAFT 1'!$S:$S,MATCH($B115,'DRAFT 1'!$B:$B,0)),"")</f>
        <v/>
      </c>
      <c r="X115" s="116">
        <f>IFERROR(INDEX('DRAFT 1'!$T:$T,MATCH($B115,'DRAFT 1'!$B:$B,0)),"")</f>
        <v/>
      </c>
      <c r="Z115" s="116">
        <f>IFERROR(INDEX('DRAFT 1'!$U:$U,MATCH($B115,'DRAFT 1'!$B:$B,0)),"")</f>
        <v/>
      </c>
      <c r="AA115" s="116">
        <f>IFERROR(INDEX('DRAFT 1'!$V:$V,MATCH($B115,'DRAFT 1'!$B:$B,0)),"")</f>
        <v/>
      </c>
      <c r="AB115" s="116">
        <f>IFERROR(INDEX('DRAFT 1'!$W:$W,MATCH($B115,'DRAFT 1'!$B:$B,0)),"")</f>
        <v/>
      </c>
      <c r="AC115" s="116">
        <f>IFERROR(INDEX('DRAFT 1'!$X:$X,MATCH($B115,'DRAFT 1'!$B:$B,0)),"")</f>
        <v/>
      </c>
      <c r="AD115" s="116">
        <f>IFERROR(INDEX('DRAFT 1'!$Y:$Y,MATCH($B115,'DRAFT 1'!$B:$B,0)),"")</f>
        <v/>
      </c>
      <c r="AE115" s="116">
        <f>IFERROR(INDEX('DRAFT 1'!$Z:$Z,MATCH($B115,'DRAFT 1'!$B:$B,0)),"")</f>
        <v/>
      </c>
      <c r="AF115" s="116">
        <f>IFERROR(INDEX('DRAFT 1'!$AA:$AA,MATCH($B115,'DRAFT 1'!$B:$B,0)),"")</f>
        <v/>
      </c>
      <c r="AG115" s="116">
        <f>IFERROR(INDEX('DRAFT 1'!$AB:$AB,MATCH($B115,'DRAFT 1'!$B:$B,0)),"")</f>
        <v/>
      </c>
      <c r="AH115" s="116">
        <f>IFERROR(INDEX('DRAFT 1'!$AC:$AC,MATCH($B115,'DRAFT 1'!$B:$B,0)),"")</f>
        <v/>
      </c>
      <c r="AI115" s="116">
        <f>IFERROR(INDEX('DRAFT 1'!$AD:$AD,MATCH($B115,'DRAFT 1'!$B:$B,0)),"")</f>
        <v/>
      </c>
      <c r="AJ115" s="116">
        <f>IFERROR(INDEX('DRAFT 1'!$AE:$AE,MATCH($B115,'DRAFT 1'!$B:$B,0)),"")</f>
        <v/>
      </c>
      <c r="AK115" s="116">
        <f>IFERROR(INDEX('DRAFT 1'!$AG:$AG,MATCH($B115,'DRAFT 1'!$B:$B,0)),"")</f>
        <v/>
      </c>
      <c r="AL115" s="116">
        <f>IFERROR(INDEX('DRAFT 1'!$AH:$AH,MATCH($B115,'DRAFT 1'!$B:$B,0)),"")</f>
        <v/>
      </c>
      <c r="AM115" s="116">
        <f>IFERROR(INDEX('DRAFT 1'!$AI:$AI,MATCH($B115,'DRAFT 1'!$B:$B,0)),"")</f>
        <v/>
      </c>
      <c r="AN115" s="116">
        <f>IFERROR(INDEX('DRAFT 1'!$AJ:$AJ,MATCH($B115,'DRAFT 1'!$B:$B,0)),"")</f>
        <v/>
      </c>
      <c r="AO115" s="116">
        <f>IFERROR(Y115/AN115,0)</f>
        <v/>
      </c>
      <c r="AP115" s="116">
        <f>IFERROR(INDEX('DRAFT 1'!$AK:$AK,MATCH($B115,'DRAFT 1'!$B:$B,0)),"")</f>
        <v/>
      </c>
      <c r="AR115" s="116" t="inlineStr">
        <is>
          <t>PÓS-VENDA</t>
        </is>
      </c>
      <c r="AS115" s="116">
        <f>IFERROR(LOOKUP(2,1/('DRAFT 2'!$D:$D=$B115),'DRAFT 2'!$T:$T),"")</f>
        <v/>
      </c>
      <c r="AT115" s="116">
        <f>IFERROR(LOOKUP(2,1/('DRAFT 2'!$D:$D=$B115),'DRAFT 2'!$A:$A),"")</f>
        <v/>
      </c>
      <c r="AU115" s="116">
        <f>IFERROR(LOOKUP(2,1/('DRAFT 2'!$D:$D=$B115),'DRAFT 2'!$R:$R),"")</f>
        <v/>
      </c>
      <c r="AV115" s="116">
        <f>IFERROR(LOOKUP(2,1/('DRAFT 2'!$D:$D=$B115),'DRAFT 2'!$S:$S),"")</f>
        <v/>
      </c>
      <c r="AW115" s="116" t="inlineStr">
        <is>
          <t>EM DESENVOLVIMENTO</t>
        </is>
      </c>
      <c r="AX115" s="116">
        <f>IFERROR(LOOKUP(2,1/('DRAFT 2'!$D:$D=$B115),'DRAFT 2'!$M:$M),"")</f>
        <v/>
      </c>
      <c r="AY115" s="116">
        <f>IFERROR(LOOKUP(2,1/('DRAFT 2'!$D:$D=$B115),'DRAFT 2'!$K:$K),"")</f>
        <v/>
      </c>
      <c r="BG115" s="116">
        <f>IFERROR(LOOKUP(2,1/('DRAFT 2'!$D:$D=$B115),'DRAFT 2'!$U:$U),"")</f>
        <v/>
      </c>
      <c r="BH115" s="116">
        <f>IFERROR(LOOKUP(2,1/('DRAFT 2'!$D:$D=$B115),'DRAFT 2'!$V:$V),"")</f>
        <v/>
      </c>
      <c r="CE115" s="116">
        <f>IFERROR(AJ115,0)</f>
        <v/>
      </c>
      <c r="CF115" s="116">
        <f>IFERROR(LOOKUP(2,1/('DRAFT 2'!$D:$D=$B115)*('DRAFT 2'!$A:$A&gt;=DATE(2026,1,1))*('DRAFT 2'!$A:$A&lt;DATE(2026,IF(1=12,1+1,1+1),1)),'DRAFT 2'!$A:$A),"")</f>
        <v/>
      </c>
      <c r="CG115" s="116">
        <f>COUNTIFS('DRAFT 2'!$D:$D,$B115,'DRAFT 2'!$A:$A,"&gt;="&amp;DATE(2026,1,1),'DRAFT 2'!$A:$A,"&lt;="&amp;DATE(2026,1,7))</f>
        <v/>
      </c>
      <c r="CH115" s="116">
        <f>COUNTIFS('DRAFT 2'!$D:$D,$B115,'DRAFT 2'!$A:$A,"&gt;="&amp;DATE(2026,1,8),'DRAFT 2'!$A:$A,"&lt;="&amp;DATE(2026,1,14))</f>
        <v/>
      </c>
      <c r="CI115" s="116">
        <f>COUNTIFS('DRAFT 2'!$D:$D,$B115,'DRAFT 2'!$A:$A,"&gt;="&amp;DATE(2026,1,15),'DRAFT 2'!$A:$A,"&lt;="&amp;DATE(2026,1,21))</f>
        <v/>
      </c>
      <c r="CJ115" s="116">
        <f>COUNTIFS('DRAFT 2'!$D:$D,$B115,'DRAFT 2'!$A:$A,"&gt;="&amp;DATE(2026,1,22),'DRAFT 2'!$A:$A,"&lt;"&amp;DATE(2026,IF(1=12,1+1,1+1),1))</f>
        <v/>
      </c>
      <c r="CK115" s="116">
        <f>SUM(CG115:CJ115)</f>
        <v/>
      </c>
      <c r="CT115" s="116" t="n">
        <v>0</v>
      </c>
      <c r="CU115" s="116">
        <f>IFERROR(LOOKUP(2,1/('DRAFT 2'!$D:$D=$B115)*('DRAFT 2'!$A:$A&gt;=DATE(2026,2,1))*('DRAFT 2'!$A:$A&lt;DATE(2026,IF(2=12,2+1,2+1),1)),'DRAFT 2'!$A:$A),"")</f>
        <v/>
      </c>
      <c r="CV115" s="116">
        <f>COUNTIFS('DRAFT 2'!$D:$D,$B115,'DRAFT 2'!$A:$A,"&gt;="&amp;DATE(2026,2,1),'DRAFT 2'!$A:$A,"&lt;="&amp;DATE(2026,2,7))</f>
        <v/>
      </c>
      <c r="CW115" s="116">
        <f>COUNTIFS('DRAFT 2'!$D:$D,$B115,'DRAFT 2'!$A:$A,"&gt;="&amp;DATE(2026,2,8),'DRAFT 2'!$A:$A,"&lt;="&amp;DATE(2026,2,14))</f>
        <v/>
      </c>
      <c r="CX115" s="116">
        <f>COUNTIFS('DRAFT 2'!$D:$D,$B115,'DRAFT 2'!$A:$A,"&gt;="&amp;DATE(2026,2,15),'DRAFT 2'!$A:$A,"&lt;="&amp;DATE(2026,2,21))</f>
        <v/>
      </c>
      <c r="CY115" s="116">
        <f>COUNTIFS('DRAFT 2'!$D:$D,$B115,'DRAFT 2'!$A:$A,"&gt;="&amp;DATE(2026,2,22),'DRAFT 2'!$A:$A,"&lt;"&amp;DATE(2026,IF(2=12,2+1,2+1),1))</f>
        <v/>
      </c>
      <c r="CZ115" s="116">
        <f>SUM(CV115:CY115)</f>
        <v/>
      </c>
      <c r="DJ115" s="116">
        <f>IFERROR(LOOKUP(2,1/('DRAFT 2'!$D:$D=$B115)*('DRAFT 2'!$A:$A&gt;=DATE(2026,3,1))*('DRAFT 2'!$A:$A&lt;DATE(2026,IF(3=12,3+1,3+1),1)),'DRAFT 2'!$A:$A),"")</f>
        <v/>
      </c>
      <c r="DK115" s="116">
        <f>COUNTIFS('DRAFT 2'!$D:$D,$B115,'DRAFT 2'!$A:$A,"&gt;="&amp;DATE(2026,3,1),'DRAFT 2'!$A:$A,"&lt;="&amp;DATE(2026,3,7))</f>
        <v/>
      </c>
      <c r="DL115" s="116">
        <f>COUNTIFS('DRAFT 2'!$D:$D,$B115,'DRAFT 2'!$A:$A,"&gt;="&amp;DATE(2026,3,8),'DRAFT 2'!$A:$A,"&lt;="&amp;DATE(2026,3,14))</f>
        <v/>
      </c>
      <c r="DM115" s="116">
        <f>COUNTIFS('DRAFT 2'!$D:$D,$B115,'DRAFT 2'!$A:$A,"&gt;="&amp;DATE(2026,3,15),'DRAFT 2'!$A:$A,"&lt;="&amp;DATE(2026,3,21))</f>
        <v/>
      </c>
      <c r="DN115" s="116">
        <f>COUNTIFS('DRAFT 2'!$D:$D,$B115,'DRAFT 2'!$A:$A,"&gt;="&amp;DATE(2026,3,22),'DRAFT 2'!$A:$A,"&lt;"&amp;DATE(2026,IF(3=12,3+1,3+1),1))</f>
        <v/>
      </c>
      <c r="DO115" s="116">
        <f>SUM(DK115:DN115)</f>
        <v/>
      </c>
      <c r="DZ115" s="116">
        <f>IFERROR(LOOKUP(2,1/('DRAFT 2'!$D:$D=$B115)*('DRAFT 2'!$A:$A&gt;=DATE(2026,4,1))*('DRAFT 2'!$A:$A&lt;DATE(2026,IF(4=12,4+1,4+1),1)),'DRAFT 2'!$A:$A),"")</f>
        <v/>
      </c>
      <c r="EA115" s="116">
        <f>COUNTIFS('DRAFT 2'!$D:$D,$B115,'DRAFT 2'!$A:$A,"&gt;="&amp;DATE(2026,4,1),'DRAFT 2'!$A:$A,"&lt;="&amp;DATE(2026,4,7))</f>
        <v/>
      </c>
      <c r="EB115" s="116">
        <f>COUNTIFS('DRAFT 2'!$D:$D,$B115,'DRAFT 2'!$A:$A,"&gt;="&amp;DATE(2026,4,8),'DRAFT 2'!$A:$A,"&lt;="&amp;DATE(2026,4,14))</f>
        <v/>
      </c>
      <c r="EC115" s="116">
        <f>COUNTIFS('DRAFT 2'!$D:$D,$B115,'DRAFT 2'!$A:$A,"&gt;="&amp;DATE(2026,4,15),'DRAFT 2'!$A:$A,"&lt;="&amp;DATE(2026,4,21))</f>
        <v/>
      </c>
      <c r="ED115" s="116">
        <f>COUNTIFS('DRAFT 2'!$D:$D,$B115,'DRAFT 2'!$A:$A,"&gt;="&amp;DATE(2026,4,22),'DRAFT 2'!$A:$A,"&lt;"&amp;DATE(2026,IF(4=12,4+1,4+1),1))</f>
        <v/>
      </c>
      <c r="EE115" s="116">
        <f>SUM(EA115:ED115)</f>
        <v/>
      </c>
      <c r="EO115" s="116">
        <f>IFERROR(LOOKUP(2,1/('DRAFT 2'!$D:$D=$B115)*('DRAFT 2'!$A:$A&gt;=DATE(2026,5,1))*('DRAFT 2'!$A:$A&lt;DATE(2026,IF(5=12,5+1,5+1),1)),'DRAFT 2'!$A:$A),"")</f>
        <v/>
      </c>
      <c r="EP115" s="116">
        <f>COUNTIFS('DRAFT 2'!$D:$D,$B115,'DRAFT 2'!$A:$A,"&gt;="&amp;DATE(2026,5,1),'DRAFT 2'!$A:$A,"&lt;="&amp;DATE(2026,5,7))</f>
        <v/>
      </c>
      <c r="EQ115" s="116">
        <f>COUNTIFS('DRAFT 2'!$D:$D,$B115,'DRAFT 2'!$A:$A,"&gt;="&amp;DATE(2026,5,8),'DRAFT 2'!$A:$A,"&lt;="&amp;DATE(2026,5,14))</f>
        <v/>
      </c>
      <c r="ER115" s="116">
        <f>COUNTIFS('DRAFT 2'!$D:$D,$B115,'DRAFT 2'!$A:$A,"&gt;="&amp;DATE(2026,5,15),'DRAFT 2'!$A:$A,"&lt;="&amp;DATE(2026,5,21))</f>
        <v/>
      </c>
      <c r="ES115" s="116">
        <f>COUNTIFS('DRAFT 2'!$D:$D,$B115,'DRAFT 2'!$A:$A,"&gt;="&amp;DATE(2026,5,22),'DRAFT 2'!$A:$A,"&lt;"&amp;DATE(2026,IF(5=12,5+1,5+1),1))</f>
        <v/>
      </c>
      <c r="ET115" s="116">
        <f>SUM(EP115:ES115)</f>
        <v/>
      </c>
      <c r="FD115" s="116">
        <f>IFERROR(LOOKUP(2,1/('DRAFT 2'!$D:$D=$B115)*('DRAFT 2'!$A:$A&gt;=DATE(2026,6,1))*('DRAFT 2'!$A:$A&lt;DATE(2026,IF(6=12,6+1,6+1),1)),'DRAFT 2'!$A:$A),"")</f>
        <v/>
      </c>
      <c r="FE115" s="116">
        <f>COUNTIFS('DRAFT 2'!$D:$D,$B115,'DRAFT 2'!$A:$A,"&gt;="&amp;DATE(2026,6,1),'DRAFT 2'!$A:$A,"&lt;="&amp;DATE(2026,6,7))</f>
        <v/>
      </c>
      <c r="FF115" s="116">
        <f>COUNTIFS('DRAFT 2'!$D:$D,$B115,'DRAFT 2'!$A:$A,"&gt;="&amp;DATE(2026,6,8),'DRAFT 2'!$A:$A,"&lt;="&amp;DATE(2026,6,14))</f>
        <v/>
      </c>
      <c r="FG115" s="116">
        <f>COUNTIFS('DRAFT 2'!$D:$D,$B115,'DRAFT 2'!$A:$A,"&gt;="&amp;DATE(2026,6,15),'DRAFT 2'!$A:$A,"&lt;="&amp;DATE(2026,6,21))</f>
        <v/>
      </c>
      <c r="FH115" s="116">
        <f>COUNTIFS('DRAFT 2'!$D:$D,$B115,'DRAFT 2'!$A:$A,"&gt;="&amp;DATE(2026,6,22),'DRAFT 2'!$A:$A,"&lt;"&amp;DATE(2026,IF(6=12,6+1,6+1),1))</f>
        <v/>
      </c>
      <c r="FI115" s="116">
        <f>SUM(FE115:FH115)</f>
        <v/>
      </c>
      <c r="FT115" s="116">
        <f>IFERROR(LOOKUP(2,1/('DRAFT 2'!$D:$D=$B115)*('DRAFT 2'!$A:$A&gt;=DATE(2026,7,1))*('DRAFT 2'!$A:$A&lt;DATE(2026,IF(7=12,7+1,7+1),1)),'DRAFT 2'!$A:$A),"")</f>
        <v/>
      </c>
      <c r="FU115" s="116">
        <f>COUNTIFS('DRAFT 2'!$D:$D,$B115,'DRAFT 2'!$A:$A,"&gt;="&amp;DATE(2026,7,1),'DRAFT 2'!$A:$A,"&lt;="&amp;DATE(2026,7,7))</f>
        <v/>
      </c>
      <c r="FV115" s="116">
        <f>COUNTIFS('DRAFT 2'!$D:$D,$B115,'DRAFT 2'!$A:$A,"&gt;="&amp;DATE(2026,7,8),'DRAFT 2'!$A:$A,"&lt;="&amp;DATE(2026,7,14))</f>
        <v/>
      </c>
      <c r="FW115" s="116">
        <f>COUNTIFS('DRAFT 2'!$D:$D,$B115,'DRAFT 2'!$A:$A,"&gt;="&amp;DATE(2026,7,15),'DRAFT 2'!$A:$A,"&lt;="&amp;DATE(2026,7,21))</f>
        <v/>
      </c>
      <c r="FX115" s="116">
        <f>COUNTIFS('DRAFT 2'!$D:$D,$B115,'DRAFT 2'!$A:$A,"&gt;="&amp;DATE(2026,7,22),'DRAFT 2'!$A:$A,"&lt;"&amp;DATE(2026,IF(7=12,7+1,7+1),1))</f>
        <v/>
      </c>
      <c r="FY115" s="116">
        <f>SUM(FU115:FX115)</f>
        <v/>
      </c>
      <c r="GI115" s="116">
        <f>IFERROR(LOOKUP(2,1/('DRAFT 2'!$D:$D=$B115)*('DRAFT 2'!$A:$A&gt;=DATE(2026,8,1))*('DRAFT 2'!$A:$A&lt;DATE(2026,IF(8=12,8+1,8+1),1)),'DRAFT 2'!$A:$A),"")</f>
        <v/>
      </c>
      <c r="GJ115" s="116">
        <f>COUNTIFS('DRAFT 2'!$D:$D,$B115,'DRAFT 2'!$A:$A,"&gt;="&amp;DATE(2026,8,1),'DRAFT 2'!$A:$A,"&lt;="&amp;DATE(2026,8,7))</f>
        <v/>
      </c>
      <c r="GK115" s="116">
        <f>COUNTIFS('DRAFT 2'!$D:$D,$B115,'DRAFT 2'!$A:$A,"&gt;="&amp;DATE(2026,8,8),'DRAFT 2'!$A:$A,"&lt;="&amp;DATE(2026,8,14))</f>
        <v/>
      </c>
      <c r="GL115" s="116">
        <f>COUNTIFS('DRAFT 2'!$D:$D,$B115,'DRAFT 2'!$A:$A,"&gt;="&amp;DATE(2026,8,15),'DRAFT 2'!$A:$A,"&lt;="&amp;DATE(2026,8,21))</f>
        <v/>
      </c>
      <c r="GM115" s="116">
        <f>COUNTIFS('DRAFT 2'!$D:$D,$B115,'DRAFT 2'!$A:$A,"&gt;="&amp;DATE(2026,8,22),'DRAFT 2'!$A:$A,"&lt;"&amp;DATE(2026,IF(8=12,8+1,8+1),1))</f>
        <v/>
      </c>
      <c r="GN115" s="116">
        <f>SUM(GJ115:GM115)</f>
        <v/>
      </c>
      <c r="GX115" s="116">
        <f>IFERROR(LOOKUP(2,1/('DRAFT 2'!$D:$D=$B115)*('DRAFT 2'!$A:$A&gt;=DATE(2026,9,1))*('DRAFT 2'!$A:$A&lt;DATE(2026,IF(9=12,9+1,9+1),1)),'DRAFT 2'!$A:$A),"")</f>
        <v/>
      </c>
      <c r="GY115" s="116">
        <f>COUNTIFS('DRAFT 2'!$D:$D,$B115,'DRAFT 2'!$A:$A,"&gt;="&amp;DATE(2026,9,1),'DRAFT 2'!$A:$A,"&lt;="&amp;DATE(2026,9,7))</f>
        <v/>
      </c>
      <c r="GZ115" s="116">
        <f>COUNTIFS('DRAFT 2'!$D:$D,$B115,'DRAFT 2'!$A:$A,"&gt;="&amp;DATE(2026,9,8),'DRAFT 2'!$A:$A,"&lt;="&amp;DATE(2026,9,14))</f>
        <v/>
      </c>
      <c r="HA115" s="116">
        <f>COUNTIFS('DRAFT 2'!$D:$D,$B115,'DRAFT 2'!$A:$A,"&gt;="&amp;DATE(2026,9,15),'DRAFT 2'!$A:$A,"&lt;="&amp;DATE(2026,9,21))</f>
        <v/>
      </c>
      <c r="HB115" s="116">
        <f>COUNTIFS('DRAFT 2'!$D:$D,$B115,'DRAFT 2'!$A:$A,"&gt;="&amp;DATE(2026,9,22),'DRAFT 2'!$A:$A,"&lt;"&amp;DATE(2026,IF(9=12,9+1,9+1),1))</f>
        <v/>
      </c>
      <c r="HC115" s="116">
        <f>SUM(GY115:HB115)</f>
        <v/>
      </c>
      <c r="HN115" s="116">
        <f>IFERROR(LOOKUP(2,1/('DRAFT 2'!$D:$D=$B115)*('DRAFT 2'!$A:$A&gt;=DATE(2026,10,1))*('DRAFT 2'!$A:$A&lt;DATE(2026,IF(10=12,10+1,10+1),1)),'DRAFT 2'!$A:$A),"")</f>
        <v/>
      </c>
      <c r="HO115" s="116">
        <f>COUNTIFS('DRAFT 2'!$D:$D,$B115,'DRAFT 2'!$A:$A,"&gt;="&amp;DATE(2026,10,1),'DRAFT 2'!$A:$A,"&lt;="&amp;DATE(2026,10,7))</f>
        <v/>
      </c>
      <c r="HP115" s="116">
        <f>COUNTIFS('DRAFT 2'!$D:$D,$B115,'DRAFT 2'!$A:$A,"&gt;="&amp;DATE(2026,10,8),'DRAFT 2'!$A:$A,"&lt;="&amp;DATE(2026,10,14))</f>
        <v/>
      </c>
      <c r="HQ115" s="116">
        <f>COUNTIFS('DRAFT 2'!$D:$D,$B115,'DRAFT 2'!$A:$A,"&gt;="&amp;DATE(2026,10,15),'DRAFT 2'!$A:$A,"&lt;="&amp;DATE(2026,10,21))</f>
        <v/>
      </c>
      <c r="HR115" s="116">
        <f>COUNTIFS('DRAFT 2'!$D:$D,$B115,'DRAFT 2'!$A:$A,"&gt;="&amp;DATE(2026,10,22),'DRAFT 2'!$A:$A,"&lt;"&amp;DATE(2026,IF(10=12,10+1,10+1),1))</f>
        <v/>
      </c>
      <c r="HS115" s="116">
        <f>SUM(HO115:HR115)</f>
        <v/>
      </c>
      <c r="IC115" s="116">
        <f>IFERROR(LOOKUP(2,1/('DRAFT 2'!$D:$D=$B115)*('DRAFT 2'!$A:$A&gt;=DATE(2026,11,1))*('DRAFT 2'!$A:$A&lt;DATE(2026,IF(11=12,11+1,11+1),1)),'DRAFT 2'!$A:$A),"")</f>
        <v/>
      </c>
      <c r="ID115" s="116">
        <f>COUNTIFS('DRAFT 2'!$D:$D,$B115,'DRAFT 2'!$A:$A,"&gt;="&amp;DATE(2026,11,1),'DRAFT 2'!$A:$A,"&lt;="&amp;DATE(2026,11,7))</f>
        <v/>
      </c>
      <c r="IE115" s="116">
        <f>COUNTIFS('DRAFT 2'!$D:$D,$B115,'DRAFT 2'!$A:$A,"&gt;="&amp;DATE(2026,11,8),'DRAFT 2'!$A:$A,"&lt;="&amp;DATE(2026,11,14))</f>
        <v/>
      </c>
      <c r="IF115" s="116">
        <f>COUNTIFS('DRAFT 2'!$D:$D,$B115,'DRAFT 2'!$A:$A,"&gt;="&amp;DATE(2026,11,15),'DRAFT 2'!$A:$A,"&lt;="&amp;DATE(2026,11,21))</f>
        <v/>
      </c>
      <c r="IG115" s="116">
        <f>COUNTIFS('DRAFT 2'!$D:$D,$B115,'DRAFT 2'!$A:$A,"&gt;="&amp;DATE(2026,11,22),'DRAFT 2'!$A:$A,"&lt;"&amp;DATE(2026,IF(11=12,11+1,11+1),1))</f>
        <v/>
      </c>
      <c r="IH115" s="116">
        <f>SUM(ID115:IG115)</f>
        <v/>
      </c>
      <c r="IR115" s="116">
        <f>IFERROR(LOOKUP(2,1/('DRAFT 2'!$D:$D=$B115)*('DRAFT 2'!$A:$A&gt;=DATE(2026,12,1))*('DRAFT 2'!$A:$A&lt;DATE(2026,IF(12=12,12+1,12+1),1)),'DRAFT 2'!$A:$A),"")</f>
        <v/>
      </c>
      <c r="IS115" s="116">
        <f>COUNTIFS('DRAFT 2'!$D:$D,$B115,'DRAFT 2'!$A:$A,"&gt;="&amp;DATE(2026,12,1),'DRAFT 2'!$A:$A,"&lt;="&amp;DATE(2026,12,7))</f>
        <v/>
      </c>
      <c r="IT115" s="116">
        <f>COUNTIFS('DRAFT 2'!$D:$D,$B115,'DRAFT 2'!$A:$A,"&gt;="&amp;DATE(2026,12,8),'DRAFT 2'!$A:$A,"&lt;="&amp;DATE(2026,12,14))</f>
        <v/>
      </c>
      <c r="IU115" s="116">
        <f>COUNTIFS('DRAFT 2'!$D:$D,$B115,'DRAFT 2'!$A:$A,"&gt;="&amp;DATE(2026,12,15),'DRAFT 2'!$A:$A,"&lt;="&amp;DATE(2026,12,21))</f>
        <v/>
      </c>
      <c r="IV115" s="116">
        <f>COUNTIFS('DRAFT 2'!$D:$D,$B115,'DRAFT 2'!$A:$A,"&gt;="&amp;DATE(2026,12,22),'DRAFT 2'!$A:$A,"&lt;"&amp;DATE(2026,IF(12=12,12+1,12+1),1))</f>
        <v/>
      </c>
      <c r="IW115" s="116">
        <f>SUM(IS115:IV115)</f>
        <v/>
      </c>
    </row>
    <row r="116">
      <c r="A116" s="116">
        <f>IFERROR(INDEX('DRAFT 1'!$A:$A,MATCH($B116,'DRAFT 1'!$B:$B,0)),"")</f>
        <v/>
      </c>
      <c r="C116" s="116">
        <f>IFERROR(INDEX('DRAFT 1'!$C:$C,MATCH($B116,'DRAFT 1'!$B:$B,0)),"")</f>
        <v/>
      </c>
      <c r="D116" s="116">
        <f>IFERROR(INDEX('DRAFT 1'!$D:$D,MATCH($B116,'DRAFT 1'!$B:$B,0)),"")</f>
        <v/>
      </c>
      <c r="E116" s="116">
        <f>IFERROR(INDEX('DRAFT 1'!$E:$E,MATCH($B116,'DRAFT 1'!$B:$B,0)),"")</f>
        <v/>
      </c>
      <c r="F116" s="116">
        <f>IFERROR(INDEX('DRAFT 1'!$F:$F,MATCH($B116,'DRAFT 1'!$B:$B,0)),"")</f>
        <v/>
      </c>
      <c r="G116" s="116">
        <f>IFERROR(INDEX('DRAFT 1'!$G:$G,MATCH($B116,'DRAFT 1'!$B:$B,0)),"")</f>
        <v/>
      </c>
      <c r="H116" s="116">
        <f>IFERROR(INDEX('DRAFT 1'!$H:$H,MATCH($B116,'DRAFT 1'!$B:$B,0)),"")</f>
        <v/>
      </c>
      <c r="I116" s="116" t="inlineStr">
        <is>
          <t>VIDA LEVE</t>
        </is>
      </c>
      <c r="K116" s="116">
        <f>IFERROR(INDEX('DRAFT 1'!$AL:$AL,MATCH($B116,'DRAFT 1'!$B:$B,0)),"")</f>
        <v/>
      </c>
      <c r="L116" s="116">
        <f>IFERROR(INDEX('DRAFT 1'!$J:$J,MATCH($B116,'DRAFT 1'!$B:$B,0)),"")</f>
        <v/>
      </c>
      <c r="M116" s="116">
        <f>IFERROR(INDEX('DRAFT 1'!$K:$K,MATCH($B116,'DRAFT 1'!$B:$B,0)),"")</f>
        <v/>
      </c>
      <c r="N116" s="116" t="inlineStr">
        <is>
          <t>ATIVO</t>
        </is>
      </c>
      <c r="P116" s="116">
        <f>IFERROR(INDEX('DRAFT 1'!$L:$L,MATCH($B116,'DRAFT 1'!$B:$B,0)),"")</f>
        <v/>
      </c>
      <c r="Q116" s="116">
        <f>IFERROR(INDEX('DRAFT 1'!$M:$M,MATCH($B116,'DRAFT 1'!$B:$B,0)),"")</f>
        <v/>
      </c>
      <c r="R116" s="116">
        <f>IFERROR(INDEX('DRAFT 1'!$N:$N,MATCH($B116,'DRAFT 1'!$B:$B,0)),"")</f>
        <v/>
      </c>
      <c r="S116" s="116">
        <f>IFERROR(INDEX('DRAFT 1'!$O:$O,MATCH($B116,'DRAFT 1'!$B:$B,0)),"")</f>
        <v/>
      </c>
      <c r="T116" s="116">
        <f>IFERROR(INDEX('DRAFT 1'!$P:$P,MATCH($B116,'DRAFT 1'!$B:$B,0)),"")</f>
        <v/>
      </c>
      <c r="U116" s="116">
        <f>IFERROR(INDEX('DRAFT 1'!$Q:$Q,MATCH($B116,'DRAFT 1'!$B:$B,0)),"")</f>
        <v/>
      </c>
      <c r="V116" s="116">
        <f>IFERROR(INDEX('DRAFT 1'!$R:$R,MATCH($B116,'DRAFT 1'!$B:$B,0)),"")</f>
        <v/>
      </c>
      <c r="W116" s="116">
        <f>IFERROR(INDEX('DRAFT 1'!$S:$S,MATCH($B116,'DRAFT 1'!$B:$B,0)),"")</f>
        <v/>
      </c>
      <c r="X116" s="116">
        <f>IFERROR(INDEX('DRAFT 1'!$T:$T,MATCH($B116,'DRAFT 1'!$B:$B,0)),"")</f>
        <v/>
      </c>
      <c r="Z116" s="116">
        <f>IFERROR(INDEX('DRAFT 1'!$U:$U,MATCH($B116,'DRAFT 1'!$B:$B,0)),"")</f>
        <v/>
      </c>
      <c r="AA116" s="116">
        <f>IFERROR(INDEX('DRAFT 1'!$V:$V,MATCH($B116,'DRAFT 1'!$B:$B,0)),"")</f>
        <v/>
      </c>
      <c r="AB116" s="116">
        <f>IFERROR(INDEX('DRAFT 1'!$W:$W,MATCH($B116,'DRAFT 1'!$B:$B,0)),"")</f>
        <v/>
      </c>
      <c r="AC116" s="116">
        <f>IFERROR(INDEX('DRAFT 1'!$X:$X,MATCH($B116,'DRAFT 1'!$B:$B,0)),"")</f>
        <v/>
      </c>
      <c r="AD116" s="116">
        <f>IFERROR(INDEX('DRAFT 1'!$Y:$Y,MATCH($B116,'DRAFT 1'!$B:$B,0)),"")</f>
        <v/>
      </c>
      <c r="AE116" s="116">
        <f>IFERROR(INDEX('DRAFT 1'!$Z:$Z,MATCH($B116,'DRAFT 1'!$B:$B,0)),"")</f>
        <v/>
      </c>
      <c r="AF116" s="116">
        <f>IFERROR(INDEX('DRAFT 1'!$AA:$AA,MATCH($B116,'DRAFT 1'!$B:$B,0)),"")</f>
        <v/>
      </c>
      <c r="AG116" s="116">
        <f>IFERROR(INDEX('DRAFT 1'!$AB:$AB,MATCH($B116,'DRAFT 1'!$B:$B,0)),"")</f>
        <v/>
      </c>
      <c r="AH116" s="116">
        <f>IFERROR(INDEX('DRAFT 1'!$AC:$AC,MATCH($B116,'DRAFT 1'!$B:$B,0)),"")</f>
        <v/>
      </c>
      <c r="AI116" s="116">
        <f>IFERROR(INDEX('DRAFT 1'!$AD:$AD,MATCH($B116,'DRAFT 1'!$B:$B,0)),"")</f>
        <v/>
      </c>
      <c r="AJ116" s="116">
        <f>IFERROR(INDEX('DRAFT 1'!$AE:$AE,MATCH($B116,'DRAFT 1'!$B:$B,0)),"")</f>
        <v/>
      </c>
      <c r="AK116" s="116">
        <f>IFERROR(INDEX('DRAFT 1'!$AG:$AG,MATCH($B116,'DRAFT 1'!$B:$B,0)),"")</f>
        <v/>
      </c>
      <c r="AL116" s="116">
        <f>IFERROR(INDEX('DRAFT 1'!$AH:$AH,MATCH($B116,'DRAFT 1'!$B:$B,0)),"")</f>
        <v/>
      </c>
      <c r="AM116" s="116">
        <f>IFERROR(INDEX('DRAFT 1'!$AI:$AI,MATCH($B116,'DRAFT 1'!$B:$B,0)),"")</f>
        <v/>
      </c>
      <c r="AN116" s="116">
        <f>IFERROR(INDEX('DRAFT 1'!$AJ:$AJ,MATCH($B116,'DRAFT 1'!$B:$B,0)),"")</f>
        <v/>
      </c>
      <c r="AO116" s="116">
        <f>IFERROR(Y116/AN116,0)</f>
        <v/>
      </c>
      <c r="AP116" s="116">
        <f>IFERROR(INDEX('DRAFT 1'!$AK:$AK,MATCH($B116,'DRAFT 1'!$B:$B,0)),"")</f>
        <v/>
      </c>
      <c r="AR116" s="116" t="inlineStr">
        <is>
          <t>PÓS-VENDA</t>
        </is>
      </c>
      <c r="AS116" s="116">
        <f>IFERROR(LOOKUP(2,1/('DRAFT 2'!$D:$D=$B116),'DRAFT 2'!$T:$T),"")</f>
        <v/>
      </c>
      <c r="AT116" s="116">
        <f>IFERROR(LOOKUP(2,1/('DRAFT 2'!$D:$D=$B116),'DRAFT 2'!$A:$A),"")</f>
        <v/>
      </c>
      <c r="AU116" s="116">
        <f>IFERROR(LOOKUP(2,1/('DRAFT 2'!$D:$D=$B116),'DRAFT 2'!$R:$R),"")</f>
        <v/>
      </c>
      <c r="AV116" s="116">
        <f>IFERROR(LOOKUP(2,1/('DRAFT 2'!$D:$D=$B116),'DRAFT 2'!$S:$S),"")</f>
        <v/>
      </c>
      <c r="AW116" s="116" t="inlineStr">
        <is>
          <t>PROSPECT</t>
        </is>
      </c>
      <c r="AX116" s="116">
        <f>IFERROR(LOOKUP(2,1/('DRAFT 2'!$D:$D=$B116),'DRAFT 2'!$M:$M),"")</f>
        <v/>
      </c>
      <c r="AY116" s="116">
        <f>IFERROR(LOOKUP(2,1/('DRAFT 2'!$D:$D=$B116),'DRAFT 2'!$K:$K),"")</f>
        <v/>
      </c>
      <c r="BG116" s="116">
        <f>IFERROR(LOOKUP(2,1/('DRAFT 2'!$D:$D=$B116),'DRAFT 2'!$U:$U),"")</f>
        <v/>
      </c>
      <c r="BH116" s="116">
        <f>IFERROR(LOOKUP(2,1/('DRAFT 2'!$D:$D=$B116),'DRAFT 2'!$V:$V),"")</f>
        <v/>
      </c>
      <c r="CE116" s="116">
        <f>IFERROR(AJ116,0)</f>
        <v/>
      </c>
      <c r="CF116" s="116">
        <f>IFERROR(LOOKUP(2,1/('DRAFT 2'!$D:$D=$B116)*('DRAFT 2'!$A:$A&gt;=DATE(2026,1,1))*('DRAFT 2'!$A:$A&lt;DATE(2026,IF(1=12,1+1,1+1),1)),'DRAFT 2'!$A:$A),"")</f>
        <v/>
      </c>
      <c r="CG116" s="116">
        <f>COUNTIFS('DRAFT 2'!$D:$D,$B116,'DRAFT 2'!$A:$A,"&gt;="&amp;DATE(2026,1,1),'DRAFT 2'!$A:$A,"&lt;="&amp;DATE(2026,1,7))</f>
        <v/>
      </c>
      <c r="CH116" s="116">
        <f>COUNTIFS('DRAFT 2'!$D:$D,$B116,'DRAFT 2'!$A:$A,"&gt;="&amp;DATE(2026,1,8),'DRAFT 2'!$A:$A,"&lt;="&amp;DATE(2026,1,14))</f>
        <v/>
      </c>
      <c r="CI116" s="116">
        <f>COUNTIFS('DRAFT 2'!$D:$D,$B116,'DRAFT 2'!$A:$A,"&gt;="&amp;DATE(2026,1,15),'DRAFT 2'!$A:$A,"&lt;="&amp;DATE(2026,1,21))</f>
        <v/>
      </c>
      <c r="CJ116" s="116">
        <f>COUNTIFS('DRAFT 2'!$D:$D,$B116,'DRAFT 2'!$A:$A,"&gt;="&amp;DATE(2026,1,22),'DRAFT 2'!$A:$A,"&lt;"&amp;DATE(2026,IF(1=12,1+1,1+1),1))</f>
        <v/>
      </c>
      <c r="CK116" s="116">
        <f>SUM(CG116:CJ116)</f>
        <v/>
      </c>
      <c r="CT116" s="116" t="n">
        <v>0</v>
      </c>
      <c r="CU116" s="116">
        <f>IFERROR(LOOKUP(2,1/('DRAFT 2'!$D:$D=$B116)*('DRAFT 2'!$A:$A&gt;=DATE(2026,2,1))*('DRAFT 2'!$A:$A&lt;DATE(2026,IF(2=12,2+1,2+1),1)),'DRAFT 2'!$A:$A),"")</f>
        <v/>
      </c>
      <c r="CV116" s="116">
        <f>COUNTIFS('DRAFT 2'!$D:$D,$B116,'DRAFT 2'!$A:$A,"&gt;="&amp;DATE(2026,2,1),'DRAFT 2'!$A:$A,"&lt;="&amp;DATE(2026,2,7))</f>
        <v/>
      </c>
      <c r="CW116" s="116">
        <f>COUNTIFS('DRAFT 2'!$D:$D,$B116,'DRAFT 2'!$A:$A,"&gt;="&amp;DATE(2026,2,8),'DRAFT 2'!$A:$A,"&lt;="&amp;DATE(2026,2,14))</f>
        <v/>
      </c>
      <c r="CX116" s="116">
        <f>COUNTIFS('DRAFT 2'!$D:$D,$B116,'DRAFT 2'!$A:$A,"&gt;="&amp;DATE(2026,2,15),'DRAFT 2'!$A:$A,"&lt;="&amp;DATE(2026,2,21))</f>
        <v/>
      </c>
      <c r="CY116" s="116">
        <f>COUNTIFS('DRAFT 2'!$D:$D,$B116,'DRAFT 2'!$A:$A,"&gt;="&amp;DATE(2026,2,22),'DRAFT 2'!$A:$A,"&lt;"&amp;DATE(2026,IF(2=12,2+1,2+1),1))</f>
        <v/>
      </c>
      <c r="CZ116" s="116">
        <f>SUM(CV116:CY116)</f>
        <v/>
      </c>
      <c r="DJ116" s="116">
        <f>IFERROR(LOOKUP(2,1/('DRAFT 2'!$D:$D=$B116)*('DRAFT 2'!$A:$A&gt;=DATE(2026,3,1))*('DRAFT 2'!$A:$A&lt;DATE(2026,IF(3=12,3+1,3+1),1)),'DRAFT 2'!$A:$A),"")</f>
        <v/>
      </c>
      <c r="DK116" s="116">
        <f>COUNTIFS('DRAFT 2'!$D:$D,$B116,'DRAFT 2'!$A:$A,"&gt;="&amp;DATE(2026,3,1),'DRAFT 2'!$A:$A,"&lt;="&amp;DATE(2026,3,7))</f>
        <v/>
      </c>
      <c r="DL116" s="116">
        <f>COUNTIFS('DRAFT 2'!$D:$D,$B116,'DRAFT 2'!$A:$A,"&gt;="&amp;DATE(2026,3,8),'DRAFT 2'!$A:$A,"&lt;="&amp;DATE(2026,3,14))</f>
        <v/>
      </c>
      <c r="DM116" s="116">
        <f>COUNTIFS('DRAFT 2'!$D:$D,$B116,'DRAFT 2'!$A:$A,"&gt;="&amp;DATE(2026,3,15),'DRAFT 2'!$A:$A,"&lt;="&amp;DATE(2026,3,21))</f>
        <v/>
      </c>
      <c r="DN116" s="116">
        <f>COUNTIFS('DRAFT 2'!$D:$D,$B116,'DRAFT 2'!$A:$A,"&gt;="&amp;DATE(2026,3,22),'DRAFT 2'!$A:$A,"&lt;"&amp;DATE(2026,IF(3=12,3+1,3+1),1))</f>
        <v/>
      </c>
      <c r="DO116" s="116">
        <f>SUM(DK116:DN116)</f>
        <v/>
      </c>
      <c r="DZ116" s="116">
        <f>IFERROR(LOOKUP(2,1/('DRAFT 2'!$D:$D=$B116)*('DRAFT 2'!$A:$A&gt;=DATE(2026,4,1))*('DRAFT 2'!$A:$A&lt;DATE(2026,IF(4=12,4+1,4+1),1)),'DRAFT 2'!$A:$A),"")</f>
        <v/>
      </c>
      <c r="EA116" s="116">
        <f>COUNTIFS('DRAFT 2'!$D:$D,$B116,'DRAFT 2'!$A:$A,"&gt;="&amp;DATE(2026,4,1),'DRAFT 2'!$A:$A,"&lt;="&amp;DATE(2026,4,7))</f>
        <v/>
      </c>
      <c r="EB116" s="116">
        <f>COUNTIFS('DRAFT 2'!$D:$D,$B116,'DRAFT 2'!$A:$A,"&gt;="&amp;DATE(2026,4,8),'DRAFT 2'!$A:$A,"&lt;="&amp;DATE(2026,4,14))</f>
        <v/>
      </c>
      <c r="EC116" s="116">
        <f>COUNTIFS('DRAFT 2'!$D:$D,$B116,'DRAFT 2'!$A:$A,"&gt;="&amp;DATE(2026,4,15),'DRAFT 2'!$A:$A,"&lt;="&amp;DATE(2026,4,21))</f>
        <v/>
      </c>
      <c r="ED116" s="116">
        <f>COUNTIFS('DRAFT 2'!$D:$D,$B116,'DRAFT 2'!$A:$A,"&gt;="&amp;DATE(2026,4,22),'DRAFT 2'!$A:$A,"&lt;"&amp;DATE(2026,IF(4=12,4+1,4+1),1))</f>
        <v/>
      </c>
      <c r="EE116" s="116">
        <f>SUM(EA116:ED116)</f>
        <v/>
      </c>
      <c r="EO116" s="116">
        <f>IFERROR(LOOKUP(2,1/('DRAFT 2'!$D:$D=$B116)*('DRAFT 2'!$A:$A&gt;=DATE(2026,5,1))*('DRAFT 2'!$A:$A&lt;DATE(2026,IF(5=12,5+1,5+1),1)),'DRAFT 2'!$A:$A),"")</f>
        <v/>
      </c>
      <c r="EP116" s="116">
        <f>COUNTIFS('DRAFT 2'!$D:$D,$B116,'DRAFT 2'!$A:$A,"&gt;="&amp;DATE(2026,5,1),'DRAFT 2'!$A:$A,"&lt;="&amp;DATE(2026,5,7))</f>
        <v/>
      </c>
      <c r="EQ116" s="116">
        <f>COUNTIFS('DRAFT 2'!$D:$D,$B116,'DRAFT 2'!$A:$A,"&gt;="&amp;DATE(2026,5,8),'DRAFT 2'!$A:$A,"&lt;="&amp;DATE(2026,5,14))</f>
        <v/>
      </c>
      <c r="ER116" s="116">
        <f>COUNTIFS('DRAFT 2'!$D:$D,$B116,'DRAFT 2'!$A:$A,"&gt;="&amp;DATE(2026,5,15),'DRAFT 2'!$A:$A,"&lt;="&amp;DATE(2026,5,21))</f>
        <v/>
      </c>
      <c r="ES116" s="116">
        <f>COUNTIFS('DRAFT 2'!$D:$D,$B116,'DRAFT 2'!$A:$A,"&gt;="&amp;DATE(2026,5,22),'DRAFT 2'!$A:$A,"&lt;"&amp;DATE(2026,IF(5=12,5+1,5+1),1))</f>
        <v/>
      </c>
      <c r="ET116" s="116">
        <f>SUM(EP116:ES116)</f>
        <v/>
      </c>
      <c r="FD116" s="116">
        <f>IFERROR(LOOKUP(2,1/('DRAFT 2'!$D:$D=$B116)*('DRAFT 2'!$A:$A&gt;=DATE(2026,6,1))*('DRAFT 2'!$A:$A&lt;DATE(2026,IF(6=12,6+1,6+1),1)),'DRAFT 2'!$A:$A),"")</f>
        <v/>
      </c>
      <c r="FE116" s="116">
        <f>COUNTIFS('DRAFT 2'!$D:$D,$B116,'DRAFT 2'!$A:$A,"&gt;="&amp;DATE(2026,6,1),'DRAFT 2'!$A:$A,"&lt;="&amp;DATE(2026,6,7))</f>
        <v/>
      </c>
      <c r="FF116" s="116">
        <f>COUNTIFS('DRAFT 2'!$D:$D,$B116,'DRAFT 2'!$A:$A,"&gt;="&amp;DATE(2026,6,8),'DRAFT 2'!$A:$A,"&lt;="&amp;DATE(2026,6,14))</f>
        <v/>
      </c>
      <c r="FG116" s="116">
        <f>COUNTIFS('DRAFT 2'!$D:$D,$B116,'DRAFT 2'!$A:$A,"&gt;="&amp;DATE(2026,6,15),'DRAFT 2'!$A:$A,"&lt;="&amp;DATE(2026,6,21))</f>
        <v/>
      </c>
      <c r="FH116" s="116">
        <f>COUNTIFS('DRAFT 2'!$D:$D,$B116,'DRAFT 2'!$A:$A,"&gt;="&amp;DATE(2026,6,22),'DRAFT 2'!$A:$A,"&lt;"&amp;DATE(2026,IF(6=12,6+1,6+1),1))</f>
        <v/>
      </c>
      <c r="FI116" s="116">
        <f>SUM(FE116:FH116)</f>
        <v/>
      </c>
      <c r="FT116" s="116">
        <f>IFERROR(LOOKUP(2,1/('DRAFT 2'!$D:$D=$B116)*('DRAFT 2'!$A:$A&gt;=DATE(2026,7,1))*('DRAFT 2'!$A:$A&lt;DATE(2026,IF(7=12,7+1,7+1),1)),'DRAFT 2'!$A:$A),"")</f>
        <v/>
      </c>
      <c r="FU116" s="116">
        <f>COUNTIFS('DRAFT 2'!$D:$D,$B116,'DRAFT 2'!$A:$A,"&gt;="&amp;DATE(2026,7,1),'DRAFT 2'!$A:$A,"&lt;="&amp;DATE(2026,7,7))</f>
        <v/>
      </c>
      <c r="FV116" s="116">
        <f>COUNTIFS('DRAFT 2'!$D:$D,$B116,'DRAFT 2'!$A:$A,"&gt;="&amp;DATE(2026,7,8),'DRAFT 2'!$A:$A,"&lt;="&amp;DATE(2026,7,14))</f>
        <v/>
      </c>
      <c r="FW116" s="116">
        <f>COUNTIFS('DRAFT 2'!$D:$D,$B116,'DRAFT 2'!$A:$A,"&gt;="&amp;DATE(2026,7,15),'DRAFT 2'!$A:$A,"&lt;="&amp;DATE(2026,7,21))</f>
        <v/>
      </c>
      <c r="FX116" s="116">
        <f>COUNTIFS('DRAFT 2'!$D:$D,$B116,'DRAFT 2'!$A:$A,"&gt;="&amp;DATE(2026,7,22),'DRAFT 2'!$A:$A,"&lt;"&amp;DATE(2026,IF(7=12,7+1,7+1),1))</f>
        <v/>
      </c>
      <c r="FY116" s="116">
        <f>SUM(FU116:FX116)</f>
        <v/>
      </c>
      <c r="GI116" s="116">
        <f>IFERROR(LOOKUP(2,1/('DRAFT 2'!$D:$D=$B116)*('DRAFT 2'!$A:$A&gt;=DATE(2026,8,1))*('DRAFT 2'!$A:$A&lt;DATE(2026,IF(8=12,8+1,8+1),1)),'DRAFT 2'!$A:$A),"")</f>
        <v/>
      </c>
      <c r="GJ116" s="116">
        <f>COUNTIFS('DRAFT 2'!$D:$D,$B116,'DRAFT 2'!$A:$A,"&gt;="&amp;DATE(2026,8,1),'DRAFT 2'!$A:$A,"&lt;="&amp;DATE(2026,8,7))</f>
        <v/>
      </c>
      <c r="GK116" s="116">
        <f>COUNTIFS('DRAFT 2'!$D:$D,$B116,'DRAFT 2'!$A:$A,"&gt;="&amp;DATE(2026,8,8),'DRAFT 2'!$A:$A,"&lt;="&amp;DATE(2026,8,14))</f>
        <v/>
      </c>
      <c r="GL116" s="116">
        <f>COUNTIFS('DRAFT 2'!$D:$D,$B116,'DRAFT 2'!$A:$A,"&gt;="&amp;DATE(2026,8,15),'DRAFT 2'!$A:$A,"&lt;="&amp;DATE(2026,8,21))</f>
        <v/>
      </c>
      <c r="GM116" s="116">
        <f>COUNTIFS('DRAFT 2'!$D:$D,$B116,'DRAFT 2'!$A:$A,"&gt;="&amp;DATE(2026,8,22),'DRAFT 2'!$A:$A,"&lt;"&amp;DATE(2026,IF(8=12,8+1,8+1),1))</f>
        <v/>
      </c>
      <c r="GN116" s="116">
        <f>SUM(GJ116:GM116)</f>
        <v/>
      </c>
      <c r="GX116" s="116">
        <f>IFERROR(LOOKUP(2,1/('DRAFT 2'!$D:$D=$B116)*('DRAFT 2'!$A:$A&gt;=DATE(2026,9,1))*('DRAFT 2'!$A:$A&lt;DATE(2026,IF(9=12,9+1,9+1),1)),'DRAFT 2'!$A:$A),"")</f>
        <v/>
      </c>
      <c r="GY116" s="116">
        <f>COUNTIFS('DRAFT 2'!$D:$D,$B116,'DRAFT 2'!$A:$A,"&gt;="&amp;DATE(2026,9,1),'DRAFT 2'!$A:$A,"&lt;="&amp;DATE(2026,9,7))</f>
        <v/>
      </c>
      <c r="GZ116" s="116">
        <f>COUNTIFS('DRAFT 2'!$D:$D,$B116,'DRAFT 2'!$A:$A,"&gt;="&amp;DATE(2026,9,8),'DRAFT 2'!$A:$A,"&lt;="&amp;DATE(2026,9,14))</f>
        <v/>
      </c>
      <c r="HA116" s="116">
        <f>COUNTIFS('DRAFT 2'!$D:$D,$B116,'DRAFT 2'!$A:$A,"&gt;="&amp;DATE(2026,9,15),'DRAFT 2'!$A:$A,"&lt;="&amp;DATE(2026,9,21))</f>
        <v/>
      </c>
      <c r="HB116" s="116">
        <f>COUNTIFS('DRAFT 2'!$D:$D,$B116,'DRAFT 2'!$A:$A,"&gt;="&amp;DATE(2026,9,22),'DRAFT 2'!$A:$A,"&lt;"&amp;DATE(2026,IF(9=12,9+1,9+1),1))</f>
        <v/>
      </c>
      <c r="HC116" s="116">
        <f>SUM(GY116:HB116)</f>
        <v/>
      </c>
      <c r="HN116" s="116">
        <f>IFERROR(LOOKUP(2,1/('DRAFT 2'!$D:$D=$B116)*('DRAFT 2'!$A:$A&gt;=DATE(2026,10,1))*('DRAFT 2'!$A:$A&lt;DATE(2026,IF(10=12,10+1,10+1),1)),'DRAFT 2'!$A:$A),"")</f>
        <v/>
      </c>
      <c r="HO116" s="116">
        <f>COUNTIFS('DRAFT 2'!$D:$D,$B116,'DRAFT 2'!$A:$A,"&gt;="&amp;DATE(2026,10,1),'DRAFT 2'!$A:$A,"&lt;="&amp;DATE(2026,10,7))</f>
        <v/>
      </c>
      <c r="HP116" s="116">
        <f>COUNTIFS('DRAFT 2'!$D:$D,$B116,'DRAFT 2'!$A:$A,"&gt;="&amp;DATE(2026,10,8),'DRAFT 2'!$A:$A,"&lt;="&amp;DATE(2026,10,14))</f>
        <v/>
      </c>
      <c r="HQ116" s="116">
        <f>COUNTIFS('DRAFT 2'!$D:$D,$B116,'DRAFT 2'!$A:$A,"&gt;="&amp;DATE(2026,10,15),'DRAFT 2'!$A:$A,"&lt;="&amp;DATE(2026,10,21))</f>
        <v/>
      </c>
      <c r="HR116" s="116">
        <f>COUNTIFS('DRAFT 2'!$D:$D,$B116,'DRAFT 2'!$A:$A,"&gt;="&amp;DATE(2026,10,22),'DRAFT 2'!$A:$A,"&lt;"&amp;DATE(2026,IF(10=12,10+1,10+1),1))</f>
        <v/>
      </c>
      <c r="HS116" s="116">
        <f>SUM(HO116:HR116)</f>
        <v/>
      </c>
      <c r="IC116" s="116">
        <f>IFERROR(LOOKUP(2,1/('DRAFT 2'!$D:$D=$B116)*('DRAFT 2'!$A:$A&gt;=DATE(2026,11,1))*('DRAFT 2'!$A:$A&lt;DATE(2026,IF(11=12,11+1,11+1),1)),'DRAFT 2'!$A:$A),"")</f>
        <v/>
      </c>
      <c r="ID116" s="116">
        <f>COUNTIFS('DRAFT 2'!$D:$D,$B116,'DRAFT 2'!$A:$A,"&gt;="&amp;DATE(2026,11,1),'DRAFT 2'!$A:$A,"&lt;="&amp;DATE(2026,11,7))</f>
        <v/>
      </c>
      <c r="IE116" s="116">
        <f>COUNTIFS('DRAFT 2'!$D:$D,$B116,'DRAFT 2'!$A:$A,"&gt;="&amp;DATE(2026,11,8),'DRAFT 2'!$A:$A,"&lt;="&amp;DATE(2026,11,14))</f>
        <v/>
      </c>
      <c r="IF116" s="116">
        <f>COUNTIFS('DRAFT 2'!$D:$D,$B116,'DRAFT 2'!$A:$A,"&gt;="&amp;DATE(2026,11,15),'DRAFT 2'!$A:$A,"&lt;="&amp;DATE(2026,11,21))</f>
        <v/>
      </c>
      <c r="IG116" s="116">
        <f>COUNTIFS('DRAFT 2'!$D:$D,$B116,'DRAFT 2'!$A:$A,"&gt;="&amp;DATE(2026,11,22),'DRAFT 2'!$A:$A,"&lt;"&amp;DATE(2026,IF(11=12,11+1,11+1),1))</f>
        <v/>
      </c>
      <c r="IH116" s="116">
        <f>SUM(ID116:IG116)</f>
        <v/>
      </c>
      <c r="IR116" s="116">
        <f>IFERROR(LOOKUP(2,1/('DRAFT 2'!$D:$D=$B116)*('DRAFT 2'!$A:$A&gt;=DATE(2026,12,1))*('DRAFT 2'!$A:$A&lt;DATE(2026,IF(12=12,12+1,12+1),1)),'DRAFT 2'!$A:$A),"")</f>
        <v/>
      </c>
      <c r="IS116" s="116">
        <f>COUNTIFS('DRAFT 2'!$D:$D,$B116,'DRAFT 2'!$A:$A,"&gt;="&amp;DATE(2026,12,1),'DRAFT 2'!$A:$A,"&lt;="&amp;DATE(2026,12,7))</f>
        <v/>
      </c>
      <c r="IT116" s="116">
        <f>COUNTIFS('DRAFT 2'!$D:$D,$B116,'DRAFT 2'!$A:$A,"&gt;="&amp;DATE(2026,12,8),'DRAFT 2'!$A:$A,"&lt;="&amp;DATE(2026,12,14))</f>
        <v/>
      </c>
      <c r="IU116" s="116">
        <f>COUNTIFS('DRAFT 2'!$D:$D,$B116,'DRAFT 2'!$A:$A,"&gt;="&amp;DATE(2026,12,15),'DRAFT 2'!$A:$A,"&lt;="&amp;DATE(2026,12,21))</f>
        <v/>
      </c>
      <c r="IV116" s="116">
        <f>COUNTIFS('DRAFT 2'!$D:$D,$B116,'DRAFT 2'!$A:$A,"&gt;="&amp;DATE(2026,12,22),'DRAFT 2'!$A:$A,"&lt;"&amp;DATE(2026,IF(12=12,12+1,12+1),1))</f>
        <v/>
      </c>
      <c r="IW116" s="116">
        <f>SUM(IS116:IV116)</f>
        <v/>
      </c>
    </row>
    <row r="117">
      <c r="A117" s="116">
        <f>IFERROR(INDEX('DRAFT 1'!$A:$A,MATCH($B117,'DRAFT 1'!$B:$B,0)),"")</f>
        <v/>
      </c>
      <c r="C117" s="116">
        <f>IFERROR(INDEX('DRAFT 1'!$C:$C,MATCH($B117,'DRAFT 1'!$B:$B,0)),"")</f>
        <v/>
      </c>
      <c r="D117" s="116">
        <f>IFERROR(INDEX('DRAFT 1'!$D:$D,MATCH($B117,'DRAFT 1'!$B:$B,0)),"")</f>
        <v/>
      </c>
      <c r="E117" s="116">
        <f>IFERROR(INDEX('DRAFT 1'!$E:$E,MATCH($B117,'DRAFT 1'!$B:$B,0)),"")</f>
        <v/>
      </c>
      <c r="F117" s="116">
        <f>IFERROR(INDEX('DRAFT 1'!$F:$F,MATCH($B117,'DRAFT 1'!$B:$B,0)),"")</f>
        <v/>
      </c>
      <c r="G117" s="116">
        <f>IFERROR(INDEX('DRAFT 1'!$G:$G,MATCH($B117,'DRAFT 1'!$B:$B,0)),"")</f>
        <v/>
      </c>
      <c r="H117" s="116">
        <f>IFERROR(INDEX('DRAFT 1'!$H:$H,MATCH($B117,'DRAFT 1'!$B:$B,0)),"")</f>
        <v/>
      </c>
      <c r="I117" s="116" t="inlineStr">
        <is>
          <t>VIDA LEVE</t>
        </is>
      </c>
      <c r="K117" s="116">
        <f>IFERROR(INDEX('DRAFT 1'!$AL:$AL,MATCH($B117,'DRAFT 1'!$B:$B,0)),"")</f>
        <v/>
      </c>
      <c r="L117" s="116">
        <f>IFERROR(INDEX('DRAFT 1'!$J:$J,MATCH($B117,'DRAFT 1'!$B:$B,0)),"")</f>
        <v/>
      </c>
      <c r="M117" s="116">
        <f>IFERROR(INDEX('DRAFT 1'!$K:$K,MATCH($B117,'DRAFT 1'!$B:$B,0)),"")</f>
        <v/>
      </c>
      <c r="N117" s="116" t="inlineStr">
        <is>
          <t>PROSPECT</t>
        </is>
      </c>
      <c r="P117" s="116">
        <f>IFERROR(INDEX('DRAFT 1'!$L:$L,MATCH($B117,'DRAFT 1'!$B:$B,0)),"")</f>
        <v/>
      </c>
      <c r="Q117" s="116">
        <f>IFERROR(INDEX('DRAFT 1'!$M:$M,MATCH($B117,'DRAFT 1'!$B:$B,0)),"")</f>
        <v/>
      </c>
      <c r="R117" s="116">
        <f>IFERROR(INDEX('DRAFT 1'!$N:$N,MATCH($B117,'DRAFT 1'!$B:$B,0)),"")</f>
        <v/>
      </c>
      <c r="S117" s="116">
        <f>IFERROR(INDEX('DRAFT 1'!$O:$O,MATCH($B117,'DRAFT 1'!$B:$B,0)),"")</f>
        <v/>
      </c>
      <c r="T117" s="116">
        <f>IFERROR(INDEX('DRAFT 1'!$P:$P,MATCH($B117,'DRAFT 1'!$B:$B,0)),"")</f>
        <v/>
      </c>
      <c r="U117" s="116">
        <f>IFERROR(INDEX('DRAFT 1'!$Q:$Q,MATCH($B117,'DRAFT 1'!$B:$B,0)),"")</f>
        <v/>
      </c>
      <c r="V117" s="116">
        <f>IFERROR(INDEX('DRAFT 1'!$R:$R,MATCH($B117,'DRAFT 1'!$B:$B,0)),"")</f>
        <v/>
      </c>
      <c r="W117" s="116">
        <f>IFERROR(INDEX('DRAFT 1'!$S:$S,MATCH($B117,'DRAFT 1'!$B:$B,0)),"")</f>
        <v/>
      </c>
      <c r="X117" s="116">
        <f>IFERROR(INDEX('DRAFT 1'!$T:$T,MATCH($B117,'DRAFT 1'!$B:$B,0)),"")</f>
        <v/>
      </c>
      <c r="Z117" s="116">
        <f>IFERROR(INDEX('DRAFT 1'!$U:$U,MATCH($B117,'DRAFT 1'!$B:$B,0)),"")</f>
        <v/>
      </c>
      <c r="AA117" s="116">
        <f>IFERROR(INDEX('DRAFT 1'!$V:$V,MATCH($B117,'DRAFT 1'!$B:$B,0)),"")</f>
        <v/>
      </c>
      <c r="AB117" s="116">
        <f>IFERROR(INDEX('DRAFT 1'!$W:$W,MATCH($B117,'DRAFT 1'!$B:$B,0)),"")</f>
        <v/>
      </c>
      <c r="AC117" s="116">
        <f>IFERROR(INDEX('DRAFT 1'!$X:$X,MATCH($B117,'DRAFT 1'!$B:$B,0)),"")</f>
        <v/>
      </c>
      <c r="AD117" s="116">
        <f>IFERROR(INDEX('DRAFT 1'!$Y:$Y,MATCH($B117,'DRAFT 1'!$B:$B,0)),"")</f>
        <v/>
      </c>
      <c r="AE117" s="116">
        <f>IFERROR(INDEX('DRAFT 1'!$Z:$Z,MATCH($B117,'DRAFT 1'!$B:$B,0)),"")</f>
        <v/>
      </c>
      <c r="AF117" s="116">
        <f>IFERROR(INDEX('DRAFT 1'!$AA:$AA,MATCH($B117,'DRAFT 1'!$B:$B,0)),"")</f>
        <v/>
      </c>
      <c r="AG117" s="116">
        <f>IFERROR(INDEX('DRAFT 1'!$AB:$AB,MATCH($B117,'DRAFT 1'!$B:$B,0)),"")</f>
        <v/>
      </c>
      <c r="AH117" s="116">
        <f>IFERROR(INDEX('DRAFT 1'!$AC:$AC,MATCH($B117,'DRAFT 1'!$B:$B,0)),"")</f>
        <v/>
      </c>
      <c r="AI117" s="116">
        <f>IFERROR(INDEX('DRAFT 1'!$AD:$AD,MATCH($B117,'DRAFT 1'!$B:$B,0)),"")</f>
        <v/>
      </c>
      <c r="AJ117" s="116">
        <f>IFERROR(INDEX('DRAFT 1'!$AE:$AE,MATCH($B117,'DRAFT 1'!$B:$B,0)),"")</f>
        <v/>
      </c>
      <c r="AK117" s="116">
        <f>IFERROR(INDEX('DRAFT 1'!$AG:$AG,MATCH($B117,'DRAFT 1'!$B:$B,0)),"")</f>
        <v/>
      </c>
      <c r="AL117" s="116">
        <f>IFERROR(INDEX('DRAFT 1'!$AH:$AH,MATCH($B117,'DRAFT 1'!$B:$B,0)),"")</f>
        <v/>
      </c>
      <c r="AM117" s="116">
        <f>IFERROR(INDEX('DRAFT 1'!$AI:$AI,MATCH($B117,'DRAFT 1'!$B:$B,0)),"")</f>
        <v/>
      </c>
      <c r="AN117" s="116">
        <f>IFERROR(INDEX('DRAFT 1'!$AJ:$AJ,MATCH($B117,'DRAFT 1'!$B:$B,0)),"")</f>
        <v/>
      </c>
      <c r="AO117" s="116">
        <f>IFERROR(Y117/AN117,0)</f>
        <v/>
      </c>
      <c r="AP117" s="116">
        <f>IFERROR(INDEX('DRAFT 1'!$AK:$AK,MATCH($B117,'DRAFT 1'!$B:$B,0)),"")</f>
        <v/>
      </c>
      <c r="AR117" s="116" t="inlineStr">
        <is>
          <t>NUTRIÇÃO</t>
        </is>
      </c>
      <c r="AS117" s="116">
        <f>IFERROR(LOOKUP(2,1/('DRAFT 2'!$D:$D=$B117),'DRAFT 2'!$T:$T),"")</f>
        <v/>
      </c>
      <c r="AT117" s="116">
        <f>IFERROR(LOOKUP(2,1/('DRAFT 2'!$D:$D=$B117),'DRAFT 2'!$A:$A),"")</f>
        <v/>
      </c>
      <c r="AU117" s="116">
        <f>IFERROR(LOOKUP(2,1/('DRAFT 2'!$D:$D=$B117),'DRAFT 2'!$R:$R),"")</f>
        <v/>
      </c>
      <c r="AV117" s="116">
        <f>IFERROR(LOOKUP(2,1/('DRAFT 2'!$D:$D=$B117),'DRAFT 2'!$S:$S),"")</f>
        <v/>
      </c>
      <c r="AW117" s="116" t="inlineStr">
        <is>
          <t>FIDELIZADO</t>
        </is>
      </c>
      <c r="AX117" s="116">
        <f>IFERROR(LOOKUP(2,1/('DRAFT 2'!$D:$D=$B117),'DRAFT 2'!$M:$M),"")</f>
        <v/>
      </c>
      <c r="AY117" s="116">
        <f>IFERROR(LOOKUP(2,1/('DRAFT 2'!$D:$D=$B117),'DRAFT 2'!$K:$K),"")</f>
        <v/>
      </c>
      <c r="BG117" s="116">
        <f>IFERROR(LOOKUP(2,1/('DRAFT 2'!$D:$D=$B117),'DRAFT 2'!$U:$U),"")</f>
        <v/>
      </c>
      <c r="BH117" s="116">
        <f>IFERROR(LOOKUP(2,1/('DRAFT 2'!$D:$D=$B117),'DRAFT 2'!$V:$V),"")</f>
        <v/>
      </c>
      <c r="CE117" s="116">
        <f>IFERROR(AJ117,0)</f>
        <v/>
      </c>
      <c r="CF117" s="116">
        <f>IFERROR(LOOKUP(2,1/('DRAFT 2'!$D:$D=$B117)*('DRAFT 2'!$A:$A&gt;=DATE(2026,1,1))*('DRAFT 2'!$A:$A&lt;DATE(2026,IF(1=12,1+1,1+1),1)),'DRAFT 2'!$A:$A),"")</f>
        <v/>
      </c>
      <c r="CG117" s="116">
        <f>COUNTIFS('DRAFT 2'!$D:$D,$B117,'DRAFT 2'!$A:$A,"&gt;="&amp;DATE(2026,1,1),'DRAFT 2'!$A:$A,"&lt;="&amp;DATE(2026,1,7))</f>
        <v/>
      </c>
      <c r="CH117" s="116">
        <f>COUNTIFS('DRAFT 2'!$D:$D,$B117,'DRAFT 2'!$A:$A,"&gt;="&amp;DATE(2026,1,8),'DRAFT 2'!$A:$A,"&lt;="&amp;DATE(2026,1,14))</f>
        <v/>
      </c>
      <c r="CI117" s="116">
        <f>COUNTIFS('DRAFT 2'!$D:$D,$B117,'DRAFT 2'!$A:$A,"&gt;="&amp;DATE(2026,1,15),'DRAFT 2'!$A:$A,"&lt;="&amp;DATE(2026,1,21))</f>
        <v/>
      </c>
      <c r="CJ117" s="116">
        <f>COUNTIFS('DRAFT 2'!$D:$D,$B117,'DRAFT 2'!$A:$A,"&gt;="&amp;DATE(2026,1,22),'DRAFT 2'!$A:$A,"&lt;"&amp;DATE(2026,IF(1=12,1+1,1+1),1))</f>
        <v/>
      </c>
      <c r="CK117" s="116">
        <f>SUM(CG117:CJ117)</f>
        <v/>
      </c>
      <c r="CT117" s="116" t="n">
        <v>0</v>
      </c>
      <c r="CU117" s="116">
        <f>IFERROR(LOOKUP(2,1/('DRAFT 2'!$D:$D=$B117)*('DRAFT 2'!$A:$A&gt;=DATE(2026,2,1))*('DRAFT 2'!$A:$A&lt;DATE(2026,IF(2=12,2+1,2+1),1)),'DRAFT 2'!$A:$A),"")</f>
        <v/>
      </c>
      <c r="CV117" s="116">
        <f>COUNTIFS('DRAFT 2'!$D:$D,$B117,'DRAFT 2'!$A:$A,"&gt;="&amp;DATE(2026,2,1),'DRAFT 2'!$A:$A,"&lt;="&amp;DATE(2026,2,7))</f>
        <v/>
      </c>
      <c r="CW117" s="116">
        <f>COUNTIFS('DRAFT 2'!$D:$D,$B117,'DRAFT 2'!$A:$A,"&gt;="&amp;DATE(2026,2,8),'DRAFT 2'!$A:$A,"&lt;="&amp;DATE(2026,2,14))</f>
        <v/>
      </c>
      <c r="CX117" s="116">
        <f>COUNTIFS('DRAFT 2'!$D:$D,$B117,'DRAFT 2'!$A:$A,"&gt;="&amp;DATE(2026,2,15),'DRAFT 2'!$A:$A,"&lt;="&amp;DATE(2026,2,21))</f>
        <v/>
      </c>
      <c r="CY117" s="116">
        <f>COUNTIFS('DRAFT 2'!$D:$D,$B117,'DRAFT 2'!$A:$A,"&gt;="&amp;DATE(2026,2,22),'DRAFT 2'!$A:$A,"&lt;"&amp;DATE(2026,IF(2=12,2+1,2+1),1))</f>
        <v/>
      </c>
      <c r="CZ117" s="116">
        <f>SUM(CV117:CY117)</f>
        <v/>
      </c>
      <c r="DJ117" s="116">
        <f>IFERROR(LOOKUP(2,1/('DRAFT 2'!$D:$D=$B117)*('DRAFT 2'!$A:$A&gt;=DATE(2026,3,1))*('DRAFT 2'!$A:$A&lt;DATE(2026,IF(3=12,3+1,3+1),1)),'DRAFT 2'!$A:$A),"")</f>
        <v/>
      </c>
      <c r="DK117" s="116">
        <f>COUNTIFS('DRAFT 2'!$D:$D,$B117,'DRAFT 2'!$A:$A,"&gt;="&amp;DATE(2026,3,1),'DRAFT 2'!$A:$A,"&lt;="&amp;DATE(2026,3,7))</f>
        <v/>
      </c>
      <c r="DL117" s="116">
        <f>COUNTIFS('DRAFT 2'!$D:$D,$B117,'DRAFT 2'!$A:$A,"&gt;="&amp;DATE(2026,3,8),'DRAFT 2'!$A:$A,"&lt;="&amp;DATE(2026,3,14))</f>
        <v/>
      </c>
      <c r="DM117" s="116">
        <f>COUNTIFS('DRAFT 2'!$D:$D,$B117,'DRAFT 2'!$A:$A,"&gt;="&amp;DATE(2026,3,15),'DRAFT 2'!$A:$A,"&lt;="&amp;DATE(2026,3,21))</f>
        <v/>
      </c>
      <c r="DN117" s="116">
        <f>COUNTIFS('DRAFT 2'!$D:$D,$B117,'DRAFT 2'!$A:$A,"&gt;="&amp;DATE(2026,3,22),'DRAFT 2'!$A:$A,"&lt;"&amp;DATE(2026,IF(3=12,3+1,3+1),1))</f>
        <v/>
      </c>
      <c r="DO117" s="116">
        <f>SUM(DK117:DN117)</f>
        <v/>
      </c>
      <c r="DZ117" s="116">
        <f>IFERROR(LOOKUP(2,1/('DRAFT 2'!$D:$D=$B117)*('DRAFT 2'!$A:$A&gt;=DATE(2026,4,1))*('DRAFT 2'!$A:$A&lt;DATE(2026,IF(4=12,4+1,4+1),1)),'DRAFT 2'!$A:$A),"")</f>
        <v/>
      </c>
      <c r="EA117" s="116">
        <f>COUNTIFS('DRAFT 2'!$D:$D,$B117,'DRAFT 2'!$A:$A,"&gt;="&amp;DATE(2026,4,1),'DRAFT 2'!$A:$A,"&lt;="&amp;DATE(2026,4,7))</f>
        <v/>
      </c>
      <c r="EB117" s="116">
        <f>COUNTIFS('DRAFT 2'!$D:$D,$B117,'DRAFT 2'!$A:$A,"&gt;="&amp;DATE(2026,4,8),'DRAFT 2'!$A:$A,"&lt;="&amp;DATE(2026,4,14))</f>
        <v/>
      </c>
      <c r="EC117" s="116">
        <f>COUNTIFS('DRAFT 2'!$D:$D,$B117,'DRAFT 2'!$A:$A,"&gt;="&amp;DATE(2026,4,15),'DRAFT 2'!$A:$A,"&lt;="&amp;DATE(2026,4,21))</f>
        <v/>
      </c>
      <c r="ED117" s="116">
        <f>COUNTIFS('DRAFT 2'!$D:$D,$B117,'DRAFT 2'!$A:$A,"&gt;="&amp;DATE(2026,4,22),'DRAFT 2'!$A:$A,"&lt;"&amp;DATE(2026,IF(4=12,4+1,4+1),1))</f>
        <v/>
      </c>
      <c r="EE117" s="116">
        <f>SUM(EA117:ED117)</f>
        <v/>
      </c>
      <c r="EO117" s="116">
        <f>IFERROR(LOOKUP(2,1/('DRAFT 2'!$D:$D=$B117)*('DRAFT 2'!$A:$A&gt;=DATE(2026,5,1))*('DRAFT 2'!$A:$A&lt;DATE(2026,IF(5=12,5+1,5+1),1)),'DRAFT 2'!$A:$A),"")</f>
        <v/>
      </c>
      <c r="EP117" s="116">
        <f>COUNTIFS('DRAFT 2'!$D:$D,$B117,'DRAFT 2'!$A:$A,"&gt;="&amp;DATE(2026,5,1),'DRAFT 2'!$A:$A,"&lt;="&amp;DATE(2026,5,7))</f>
        <v/>
      </c>
      <c r="EQ117" s="116">
        <f>COUNTIFS('DRAFT 2'!$D:$D,$B117,'DRAFT 2'!$A:$A,"&gt;="&amp;DATE(2026,5,8),'DRAFT 2'!$A:$A,"&lt;="&amp;DATE(2026,5,14))</f>
        <v/>
      </c>
      <c r="ER117" s="116">
        <f>COUNTIFS('DRAFT 2'!$D:$D,$B117,'DRAFT 2'!$A:$A,"&gt;="&amp;DATE(2026,5,15),'DRAFT 2'!$A:$A,"&lt;="&amp;DATE(2026,5,21))</f>
        <v/>
      </c>
      <c r="ES117" s="116">
        <f>COUNTIFS('DRAFT 2'!$D:$D,$B117,'DRAFT 2'!$A:$A,"&gt;="&amp;DATE(2026,5,22),'DRAFT 2'!$A:$A,"&lt;"&amp;DATE(2026,IF(5=12,5+1,5+1),1))</f>
        <v/>
      </c>
      <c r="ET117" s="116">
        <f>SUM(EP117:ES117)</f>
        <v/>
      </c>
      <c r="FD117" s="116">
        <f>IFERROR(LOOKUP(2,1/('DRAFT 2'!$D:$D=$B117)*('DRAFT 2'!$A:$A&gt;=DATE(2026,6,1))*('DRAFT 2'!$A:$A&lt;DATE(2026,IF(6=12,6+1,6+1),1)),'DRAFT 2'!$A:$A),"")</f>
        <v/>
      </c>
      <c r="FE117" s="116">
        <f>COUNTIFS('DRAFT 2'!$D:$D,$B117,'DRAFT 2'!$A:$A,"&gt;="&amp;DATE(2026,6,1),'DRAFT 2'!$A:$A,"&lt;="&amp;DATE(2026,6,7))</f>
        <v/>
      </c>
      <c r="FF117" s="116">
        <f>COUNTIFS('DRAFT 2'!$D:$D,$B117,'DRAFT 2'!$A:$A,"&gt;="&amp;DATE(2026,6,8),'DRAFT 2'!$A:$A,"&lt;="&amp;DATE(2026,6,14))</f>
        <v/>
      </c>
      <c r="FG117" s="116">
        <f>COUNTIFS('DRAFT 2'!$D:$D,$B117,'DRAFT 2'!$A:$A,"&gt;="&amp;DATE(2026,6,15),'DRAFT 2'!$A:$A,"&lt;="&amp;DATE(2026,6,21))</f>
        <v/>
      </c>
      <c r="FH117" s="116">
        <f>COUNTIFS('DRAFT 2'!$D:$D,$B117,'DRAFT 2'!$A:$A,"&gt;="&amp;DATE(2026,6,22),'DRAFT 2'!$A:$A,"&lt;"&amp;DATE(2026,IF(6=12,6+1,6+1),1))</f>
        <v/>
      </c>
      <c r="FI117" s="116">
        <f>SUM(FE117:FH117)</f>
        <v/>
      </c>
      <c r="FT117" s="116">
        <f>IFERROR(LOOKUP(2,1/('DRAFT 2'!$D:$D=$B117)*('DRAFT 2'!$A:$A&gt;=DATE(2026,7,1))*('DRAFT 2'!$A:$A&lt;DATE(2026,IF(7=12,7+1,7+1),1)),'DRAFT 2'!$A:$A),"")</f>
        <v/>
      </c>
      <c r="FU117" s="116">
        <f>COUNTIFS('DRAFT 2'!$D:$D,$B117,'DRAFT 2'!$A:$A,"&gt;="&amp;DATE(2026,7,1),'DRAFT 2'!$A:$A,"&lt;="&amp;DATE(2026,7,7))</f>
        <v/>
      </c>
      <c r="FV117" s="116">
        <f>COUNTIFS('DRAFT 2'!$D:$D,$B117,'DRAFT 2'!$A:$A,"&gt;="&amp;DATE(2026,7,8),'DRAFT 2'!$A:$A,"&lt;="&amp;DATE(2026,7,14))</f>
        <v/>
      </c>
      <c r="FW117" s="116">
        <f>COUNTIFS('DRAFT 2'!$D:$D,$B117,'DRAFT 2'!$A:$A,"&gt;="&amp;DATE(2026,7,15),'DRAFT 2'!$A:$A,"&lt;="&amp;DATE(2026,7,21))</f>
        <v/>
      </c>
      <c r="FX117" s="116">
        <f>COUNTIFS('DRAFT 2'!$D:$D,$B117,'DRAFT 2'!$A:$A,"&gt;="&amp;DATE(2026,7,22),'DRAFT 2'!$A:$A,"&lt;"&amp;DATE(2026,IF(7=12,7+1,7+1),1))</f>
        <v/>
      </c>
      <c r="FY117" s="116">
        <f>SUM(FU117:FX117)</f>
        <v/>
      </c>
      <c r="GI117" s="116">
        <f>IFERROR(LOOKUP(2,1/('DRAFT 2'!$D:$D=$B117)*('DRAFT 2'!$A:$A&gt;=DATE(2026,8,1))*('DRAFT 2'!$A:$A&lt;DATE(2026,IF(8=12,8+1,8+1),1)),'DRAFT 2'!$A:$A),"")</f>
        <v/>
      </c>
      <c r="GJ117" s="116">
        <f>COUNTIFS('DRAFT 2'!$D:$D,$B117,'DRAFT 2'!$A:$A,"&gt;="&amp;DATE(2026,8,1),'DRAFT 2'!$A:$A,"&lt;="&amp;DATE(2026,8,7))</f>
        <v/>
      </c>
      <c r="GK117" s="116">
        <f>COUNTIFS('DRAFT 2'!$D:$D,$B117,'DRAFT 2'!$A:$A,"&gt;="&amp;DATE(2026,8,8),'DRAFT 2'!$A:$A,"&lt;="&amp;DATE(2026,8,14))</f>
        <v/>
      </c>
      <c r="GL117" s="116">
        <f>COUNTIFS('DRAFT 2'!$D:$D,$B117,'DRAFT 2'!$A:$A,"&gt;="&amp;DATE(2026,8,15),'DRAFT 2'!$A:$A,"&lt;="&amp;DATE(2026,8,21))</f>
        <v/>
      </c>
      <c r="GM117" s="116">
        <f>COUNTIFS('DRAFT 2'!$D:$D,$B117,'DRAFT 2'!$A:$A,"&gt;="&amp;DATE(2026,8,22),'DRAFT 2'!$A:$A,"&lt;"&amp;DATE(2026,IF(8=12,8+1,8+1),1))</f>
        <v/>
      </c>
      <c r="GN117" s="116">
        <f>SUM(GJ117:GM117)</f>
        <v/>
      </c>
      <c r="GX117" s="116">
        <f>IFERROR(LOOKUP(2,1/('DRAFT 2'!$D:$D=$B117)*('DRAFT 2'!$A:$A&gt;=DATE(2026,9,1))*('DRAFT 2'!$A:$A&lt;DATE(2026,IF(9=12,9+1,9+1),1)),'DRAFT 2'!$A:$A),"")</f>
        <v/>
      </c>
      <c r="GY117" s="116">
        <f>COUNTIFS('DRAFT 2'!$D:$D,$B117,'DRAFT 2'!$A:$A,"&gt;="&amp;DATE(2026,9,1),'DRAFT 2'!$A:$A,"&lt;="&amp;DATE(2026,9,7))</f>
        <v/>
      </c>
      <c r="GZ117" s="116">
        <f>COUNTIFS('DRAFT 2'!$D:$D,$B117,'DRAFT 2'!$A:$A,"&gt;="&amp;DATE(2026,9,8),'DRAFT 2'!$A:$A,"&lt;="&amp;DATE(2026,9,14))</f>
        <v/>
      </c>
      <c r="HA117" s="116">
        <f>COUNTIFS('DRAFT 2'!$D:$D,$B117,'DRAFT 2'!$A:$A,"&gt;="&amp;DATE(2026,9,15),'DRAFT 2'!$A:$A,"&lt;="&amp;DATE(2026,9,21))</f>
        <v/>
      </c>
      <c r="HB117" s="116">
        <f>COUNTIFS('DRAFT 2'!$D:$D,$B117,'DRAFT 2'!$A:$A,"&gt;="&amp;DATE(2026,9,22),'DRAFT 2'!$A:$A,"&lt;"&amp;DATE(2026,IF(9=12,9+1,9+1),1))</f>
        <v/>
      </c>
      <c r="HC117" s="116">
        <f>SUM(GY117:HB117)</f>
        <v/>
      </c>
      <c r="HN117" s="116">
        <f>IFERROR(LOOKUP(2,1/('DRAFT 2'!$D:$D=$B117)*('DRAFT 2'!$A:$A&gt;=DATE(2026,10,1))*('DRAFT 2'!$A:$A&lt;DATE(2026,IF(10=12,10+1,10+1),1)),'DRAFT 2'!$A:$A),"")</f>
        <v/>
      </c>
      <c r="HO117" s="116">
        <f>COUNTIFS('DRAFT 2'!$D:$D,$B117,'DRAFT 2'!$A:$A,"&gt;="&amp;DATE(2026,10,1),'DRAFT 2'!$A:$A,"&lt;="&amp;DATE(2026,10,7))</f>
        <v/>
      </c>
      <c r="HP117" s="116">
        <f>COUNTIFS('DRAFT 2'!$D:$D,$B117,'DRAFT 2'!$A:$A,"&gt;="&amp;DATE(2026,10,8),'DRAFT 2'!$A:$A,"&lt;="&amp;DATE(2026,10,14))</f>
        <v/>
      </c>
      <c r="HQ117" s="116">
        <f>COUNTIFS('DRAFT 2'!$D:$D,$B117,'DRAFT 2'!$A:$A,"&gt;="&amp;DATE(2026,10,15),'DRAFT 2'!$A:$A,"&lt;="&amp;DATE(2026,10,21))</f>
        <v/>
      </c>
      <c r="HR117" s="116">
        <f>COUNTIFS('DRAFT 2'!$D:$D,$B117,'DRAFT 2'!$A:$A,"&gt;="&amp;DATE(2026,10,22),'DRAFT 2'!$A:$A,"&lt;"&amp;DATE(2026,IF(10=12,10+1,10+1),1))</f>
        <v/>
      </c>
      <c r="HS117" s="116">
        <f>SUM(HO117:HR117)</f>
        <v/>
      </c>
      <c r="IC117" s="116">
        <f>IFERROR(LOOKUP(2,1/('DRAFT 2'!$D:$D=$B117)*('DRAFT 2'!$A:$A&gt;=DATE(2026,11,1))*('DRAFT 2'!$A:$A&lt;DATE(2026,IF(11=12,11+1,11+1),1)),'DRAFT 2'!$A:$A),"")</f>
        <v/>
      </c>
      <c r="ID117" s="116">
        <f>COUNTIFS('DRAFT 2'!$D:$D,$B117,'DRAFT 2'!$A:$A,"&gt;="&amp;DATE(2026,11,1),'DRAFT 2'!$A:$A,"&lt;="&amp;DATE(2026,11,7))</f>
        <v/>
      </c>
      <c r="IE117" s="116">
        <f>COUNTIFS('DRAFT 2'!$D:$D,$B117,'DRAFT 2'!$A:$A,"&gt;="&amp;DATE(2026,11,8),'DRAFT 2'!$A:$A,"&lt;="&amp;DATE(2026,11,14))</f>
        <v/>
      </c>
      <c r="IF117" s="116">
        <f>COUNTIFS('DRAFT 2'!$D:$D,$B117,'DRAFT 2'!$A:$A,"&gt;="&amp;DATE(2026,11,15),'DRAFT 2'!$A:$A,"&lt;="&amp;DATE(2026,11,21))</f>
        <v/>
      </c>
      <c r="IG117" s="116">
        <f>COUNTIFS('DRAFT 2'!$D:$D,$B117,'DRAFT 2'!$A:$A,"&gt;="&amp;DATE(2026,11,22),'DRAFT 2'!$A:$A,"&lt;"&amp;DATE(2026,IF(11=12,11+1,11+1),1))</f>
        <v/>
      </c>
      <c r="IH117" s="116">
        <f>SUM(ID117:IG117)</f>
        <v/>
      </c>
      <c r="IR117" s="116">
        <f>IFERROR(LOOKUP(2,1/('DRAFT 2'!$D:$D=$B117)*('DRAFT 2'!$A:$A&gt;=DATE(2026,12,1))*('DRAFT 2'!$A:$A&lt;DATE(2026,IF(12=12,12+1,12+1),1)),'DRAFT 2'!$A:$A),"")</f>
        <v/>
      </c>
      <c r="IS117" s="116">
        <f>COUNTIFS('DRAFT 2'!$D:$D,$B117,'DRAFT 2'!$A:$A,"&gt;="&amp;DATE(2026,12,1),'DRAFT 2'!$A:$A,"&lt;="&amp;DATE(2026,12,7))</f>
        <v/>
      </c>
      <c r="IT117" s="116">
        <f>COUNTIFS('DRAFT 2'!$D:$D,$B117,'DRAFT 2'!$A:$A,"&gt;="&amp;DATE(2026,12,8),'DRAFT 2'!$A:$A,"&lt;="&amp;DATE(2026,12,14))</f>
        <v/>
      </c>
      <c r="IU117" s="116">
        <f>COUNTIFS('DRAFT 2'!$D:$D,$B117,'DRAFT 2'!$A:$A,"&gt;="&amp;DATE(2026,12,15),'DRAFT 2'!$A:$A,"&lt;="&amp;DATE(2026,12,21))</f>
        <v/>
      </c>
      <c r="IV117" s="116">
        <f>COUNTIFS('DRAFT 2'!$D:$D,$B117,'DRAFT 2'!$A:$A,"&gt;="&amp;DATE(2026,12,22),'DRAFT 2'!$A:$A,"&lt;"&amp;DATE(2026,IF(12=12,12+1,12+1),1))</f>
        <v/>
      </c>
      <c r="IW117" s="116">
        <f>SUM(IS117:IV117)</f>
        <v/>
      </c>
    </row>
    <row r="118">
      <c r="A118" s="116">
        <f>IFERROR(INDEX('DRAFT 1'!$A:$A,MATCH($B118,'DRAFT 1'!$B:$B,0)),"")</f>
        <v/>
      </c>
      <c r="C118" s="116">
        <f>IFERROR(INDEX('DRAFT 1'!$C:$C,MATCH($B118,'DRAFT 1'!$B:$B,0)),"")</f>
        <v/>
      </c>
      <c r="D118" s="116">
        <f>IFERROR(INDEX('DRAFT 1'!$D:$D,MATCH($B118,'DRAFT 1'!$B:$B,0)),"")</f>
        <v/>
      </c>
      <c r="E118" s="116">
        <f>IFERROR(INDEX('DRAFT 1'!$E:$E,MATCH($B118,'DRAFT 1'!$B:$B,0)),"")</f>
        <v/>
      </c>
      <c r="F118" s="116">
        <f>IFERROR(INDEX('DRAFT 1'!$F:$F,MATCH($B118,'DRAFT 1'!$B:$B,0)),"")</f>
        <v/>
      </c>
      <c r="G118" s="116">
        <f>IFERROR(INDEX('DRAFT 1'!$G:$G,MATCH($B118,'DRAFT 1'!$B:$B,0)),"")</f>
        <v/>
      </c>
      <c r="H118" s="116">
        <f>IFERROR(INDEX('DRAFT 1'!$H:$H,MATCH($B118,'DRAFT 1'!$B:$B,0)),"")</f>
        <v/>
      </c>
      <c r="I118" s="116" t="inlineStr">
        <is>
          <t>DIVINA TERRA</t>
        </is>
      </c>
      <c r="K118" s="116">
        <f>IFERROR(INDEX('DRAFT 1'!$AL:$AL,MATCH($B118,'DRAFT 1'!$B:$B,0)),"")</f>
        <v/>
      </c>
      <c r="L118" s="116">
        <f>IFERROR(INDEX('DRAFT 1'!$J:$J,MATCH($B118,'DRAFT 1'!$B:$B,0)),"")</f>
        <v/>
      </c>
      <c r="M118" s="116">
        <f>IFERROR(INDEX('DRAFT 1'!$K:$K,MATCH($B118,'DRAFT 1'!$B:$B,0)),"")</f>
        <v/>
      </c>
      <c r="N118" s="116" t="inlineStr">
        <is>
          <t>EM RISCO</t>
        </is>
      </c>
      <c r="P118" s="116">
        <f>IFERROR(INDEX('DRAFT 1'!$L:$L,MATCH($B118,'DRAFT 1'!$B:$B,0)),"")</f>
        <v/>
      </c>
      <c r="Q118" s="116">
        <f>IFERROR(INDEX('DRAFT 1'!$M:$M,MATCH($B118,'DRAFT 1'!$B:$B,0)),"")</f>
        <v/>
      </c>
      <c r="R118" s="116">
        <f>IFERROR(INDEX('DRAFT 1'!$N:$N,MATCH($B118,'DRAFT 1'!$B:$B,0)),"")</f>
        <v/>
      </c>
      <c r="S118" s="116">
        <f>IFERROR(INDEX('DRAFT 1'!$O:$O,MATCH($B118,'DRAFT 1'!$B:$B,0)),"")</f>
        <v/>
      </c>
      <c r="T118" s="116">
        <f>IFERROR(INDEX('DRAFT 1'!$P:$P,MATCH($B118,'DRAFT 1'!$B:$B,0)),"")</f>
        <v/>
      </c>
      <c r="U118" s="116">
        <f>IFERROR(INDEX('DRAFT 1'!$Q:$Q,MATCH($B118,'DRAFT 1'!$B:$B,0)),"")</f>
        <v/>
      </c>
      <c r="V118" s="116">
        <f>IFERROR(INDEX('DRAFT 1'!$R:$R,MATCH($B118,'DRAFT 1'!$B:$B,0)),"")</f>
        <v/>
      </c>
      <c r="W118" s="116">
        <f>IFERROR(INDEX('DRAFT 1'!$S:$S,MATCH($B118,'DRAFT 1'!$B:$B,0)),"")</f>
        <v/>
      </c>
      <c r="X118" s="116">
        <f>IFERROR(INDEX('DRAFT 1'!$T:$T,MATCH($B118,'DRAFT 1'!$B:$B,0)),"")</f>
        <v/>
      </c>
      <c r="Z118" s="116">
        <f>IFERROR(INDEX('DRAFT 1'!$U:$U,MATCH($B118,'DRAFT 1'!$B:$B,0)),"")</f>
        <v/>
      </c>
      <c r="AA118" s="116">
        <f>IFERROR(INDEX('DRAFT 1'!$V:$V,MATCH($B118,'DRAFT 1'!$B:$B,0)),"")</f>
        <v/>
      </c>
      <c r="AB118" s="116">
        <f>IFERROR(INDEX('DRAFT 1'!$W:$W,MATCH($B118,'DRAFT 1'!$B:$B,0)),"")</f>
        <v/>
      </c>
      <c r="AC118" s="116">
        <f>IFERROR(INDEX('DRAFT 1'!$X:$X,MATCH($B118,'DRAFT 1'!$B:$B,0)),"")</f>
        <v/>
      </c>
      <c r="AD118" s="116">
        <f>IFERROR(INDEX('DRAFT 1'!$Y:$Y,MATCH($B118,'DRAFT 1'!$B:$B,0)),"")</f>
        <v/>
      </c>
      <c r="AE118" s="116">
        <f>IFERROR(INDEX('DRAFT 1'!$Z:$Z,MATCH($B118,'DRAFT 1'!$B:$B,0)),"")</f>
        <v/>
      </c>
      <c r="AF118" s="116">
        <f>IFERROR(INDEX('DRAFT 1'!$AA:$AA,MATCH($B118,'DRAFT 1'!$B:$B,0)),"")</f>
        <v/>
      </c>
      <c r="AG118" s="116">
        <f>IFERROR(INDEX('DRAFT 1'!$AB:$AB,MATCH($B118,'DRAFT 1'!$B:$B,0)),"")</f>
        <v/>
      </c>
      <c r="AH118" s="116">
        <f>IFERROR(INDEX('DRAFT 1'!$AC:$AC,MATCH($B118,'DRAFT 1'!$B:$B,0)),"")</f>
        <v/>
      </c>
      <c r="AI118" s="116">
        <f>IFERROR(INDEX('DRAFT 1'!$AD:$AD,MATCH($B118,'DRAFT 1'!$B:$B,0)),"")</f>
        <v/>
      </c>
      <c r="AJ118" s="116">
        <f>IFERROR(INDEX('DRAFT 1'!$AE:$AE,MATCH($B118,'DRAFT 1'!$B:$B,0)),"")</f>
        <v/>
      </c>
      <c r="AK118" s="116">
        <f>IFERROR(INDEX('DRAFT 1'!$AG:$AG,MATCH($B118,'DRAFT 1'!$B:$B,0)),"")</f>
        <v/>
      </c>
      <c r="AL118" s="116">
        <f>IFERROR(INDEX('DRAFT 1'!$AH:$AH,MATCH($B118,'DRAFT 1'!$B:$B,0)),"")</f>
        <v/>
      </c>
      <c r="AM118" s="116">
        <f>IFERROR(INDEX('DRAFT 1'!$AI:$AI,MATCH($B118,'DRAFT 1'!$B:$B,0)),"")</f>
        <v/>
      </c>
      <c r="AN118" s="116">
        <f>IFERROR(INDEX('DRAFT 1'!$AJ:$AJ,MATCH($B118,'DRAFT 1'!$B:$B,0)),"")</f>
        <v/>
      </c>
      <c r="AO118" s="116">
        <f>IFERROR(Y118/AN118,0)</f>
        <v/>
      </c>
      <c r="AP118" s="116">
        <f>IFERROR(INDEX('DRAFT 1'!$AK:$AK,MATCH($B118,'DRAFT 1'!$B:$B,0)),"")</f>
        <v/>
      </c>
      <c r="AR118" s="116" t="inlineStr">
        <is>
          <t>RECOMPRA</t>
        </is>
      </c>
      <c r="AS118" s="116">
        <f>IFERROR(LOOKUP(2,1/('DRAFT 2'!$D:$D=$B118),'DRAFT 2'!$T:$T),"")</f>
        <v/>
      </c>
      <c r="AT118" s="116">
        <f>IFERROR(LOOKUP(2,1/('DRAFT 2'!$D:$D=$B118),'DRAFT 2'!$A:$A),"")</f>
        <v/>
      </c>
      <c r="AU118" s="116">
        <f>IFERROR(LOOKUP(2,1/('DRAFT 2'!$D:$D=$B118),'DRAFT 2'!$R:$R),"")</f>
        <v/>
      </c>
      <c r="AV118" s="116">
        <f>IFERROR(LOOKUP(2,1/('DRAFT 2'!$D:$D=$B118),'DRAFT 2'!$S:$S),"")</f>
        <v/>
      </c>
      <c r="AW118" s="116" t="inlineStr">
        <is>
          <t>NOVO</t>
        </is>
      </c>
      <c r="AX118" s="116">
        <f>IFERROR(LOOKUP(2,1/('DRAFT 2'!$D:$D=$B118),'DRAFT 2'!$M:$M),"")</f>
        <v/>
      </c>
      <c r="AY118" s="116">
        <f>IFERROR(LOOKUP(2,1/('DRAFT 2'!$D:$D=$B118),'DRAFT 2'!$K:$K),"")</f>
        <v/>
      </c>
      <c r="BG118" s="116">
        <f>IFERROR(LOOKUP(2,1/('DRAFT 2'!$D:$D=$B118),'DRAFT 2'!$U:$U),"")</f>
        <v/>
      </c>
      <c r="BH118" s="116">
        <f>IFERROR(LOOKUP(2,1/('DRAFT 2'!$D:$D=$B118),'DRAFT 2'!$V:$V),"")</f>
        <v/>
      </c>
      <c r="CE118" s="116">
        <f>IFERROR(AJ118,0)</f>
        <v/>
      </c>
      <c r="CF118" s="116">
        <f>IFERROR(LOOKUP(2,1/('DRAFT 2'!$D:$D=$B118)*('DRAFT 2'!$A:$A&gt;=DATE(2026,1,1))*('DRAFT 2'!$A:$A&lt;DATE(2026,IF(1=12,1+1,1+1),1)),'DRAFT 2'!$A:$A),"")</f>
        <v/>
      </c>
      <c r="CG118" s="116">
        <f>COUNTIFS('DRAFT 2'!$D:$D,$B118,'DRAFT 2'!$A:$A,"&gt;="&amp;DATE(2026,1,1),'DRAFT 2'!$A:$A,"&lt;="&amp;DATE(2026,1,7))</f>
        <v/>
      </c>
      <c r="CH118" s="116">
        <f>COUNTIFS('DRAFT 2'!$D:$D,$B118,'DRAFT 2'!$A:$A,"&gt;="&amp;DATE(2026,1,8),'DRAFT 2'!$A:$A,"&lt;="&amp;DATE(2026,1,14))</f>
        <v/>
      </c>
      <c r="CI118" s="116">
        <f>COUNTIFS('DRAFT 2'!$D:$D,$B118,'DRAFT 2'!$A:$A,"&gt;="&amp;DATE(2026,1,15),'DRAFT 2'!$A:$A,"&lt;="&amp;DATE(2026,1,21))</f>
        <v/>
      </c>
      <c r="CJ118" s="116">
        <f>COUNTIFS('DRAFT 2'!$D:$D,$B118,'DRAFT 2'!$A:$A,"&gt;="&amp;DATE(2026,1,22),'DRAFT 2'!$A:$A,"&lt;"&amp;DATE(2026,IF(1=12,1+1,1+1),1))</f>
        <v/>
      </c>
      <c r="CK118" s="116">
        <f>SUM(CG118:CJ118)</f>
        <v/>
      </c>
      <c r="CT118" s="116" t="n">
        <v>0</v>
      </c>
      <c r="CU118" s="116">
        <f>IFERROR(LOOKUP(2,1/('DRAFT 2'!$D:$D=$B118)*('DRAFT 2'!$A:$A&gt;=DATE(2026,2,1))*('DRAFT 2'!$A:$A&lt;DATE(2026,IF(2=12,2+1,2+1),1)),'DRAFT 2'!$A:$A),"")</f>
        <v/>
      </c>
      <c r="CV118" s="116">
        <f>COUNTIFS('DRAFT 2'!$D:$D,$B118,'DRAFT 2'!$A:$A,"&gt;="&amp;DATE(2026,2,1),'DRAFT 2'!$A:$A,"&lt;="&amp;DATE(2026,2,7))</f>
        <v/>
      </c>
      <c r="CW118" s="116">
        <f>COUNTIFS('DRAFT 2'!$D:$D,$B118,'DRAFT 2'!$A:$A,"&gt;="&amp;DATE(2026,2,8),'DRAFT 2'!$A:$A,"&lt;="&amp;DATE(2026,2,14))</f>
        <v/>
      </c>
      <c r="CX118" s="116">
        <f>COUNTIFS('DRAFT 2'!$D:$D,$B118,'DRAFT 2'!$A:$A,"&gt;="&amp;DATE(2026,2,15),'DRAFT 2'!$A:$A,"&lt;="&amp;DATE(2026,2,21))</f>
        <v/>
      </c>
      <c r="CY118" s="116">
        <f>COUNTIFS('DRAFT 2'!$D:$D,$B118,'DRAFT 2'!$A:$A,"&gt;="&amp;DATE(2026,2,22),'DRAFT 2'!$A:$A,"&lt;"&amp;DATE(2026,IF(2=12,2+1,2+1),1))</f>
        <v/>
      </c>
      <c r="CZ118" s="116">
        <f>SUM(CV118:CY118)</f>
        <v/>
      </c>
      <c r="DJ118" s="116">
        <f>IFERROR(LOOKUP(2,1/('DRAFT 2'!$D:$D=$B118)*('DRAFT 2'!$A:$A&gt;=DATE(2026,3,1))*('DRAFT 2'!$A:$A&lt;DATE(2026,IF(3=12,3+1,3+1),1)),'DRAFT 2'!$A:$A),"")</f>
        <v/>
      </c>
      <c r="DK118" s="116">
        <f>COUNTIFS('DRAFT 2'!$D:$D,$B118,'DRAFT 2'!$A:$A,"&gt;="&amp;DATE(2026,3,1),'DRAFT 2'!$A:$A,"&lt;="&amp;DATE(2026,3,7))</f>
        <v/>
      </c>
      <c r="DL118" s="116">
        <f>COUNTIFS('DRAFT 2'!$D:$D,$B118,'DRAFT 2'!$A:$A,"&gt;="&amp;DATE(2026,3,8),'DRAFT 2'!$A:$A,"&lt;="&amp;DATE(2026,3,14))</f>
        <v/>
      </c>
      <c r="DM118" s="116">
        <f>COUNTIFS('DRAFT 2'!$D:$D,$B118,'DRAFT 2'!$A:$A,"&gt;="&amp;DATE(2026,3,15),'DRAFT 2'!$A:$A,"&lt;="&amp;DATE(2026,3,21))</f>
        <v/>
      </c>
      <c r="DN118" s="116">
        <f>COUNTIFS('DRAFT 2'!$D:$D,$B118,'DRAFT 2'!$A:$A,"&gt;="&amp;DATE(2026,3,22),'DRAFT 2'!$A:$A,"&lt;"&amp;DATE(2026,IF(3=12,3+1,3+1),1))</f>
        <v/>
      </c>
      <c r="DO118" s="116">
        <f>SUM(DK118:DN118)</f>
        <v/>
      </c>
      <c r="DZ118" s="116">
        <f>IFERROR(LOOKUP(2,1/('DRAFT 2'!$D:$D=$B118)*('DRAFT 2'!$A:$A&gt;=DATE(2026,4,1))*('DRAFT 2'!$A:$A&lt;DATE(2026,IF(4=12,4+1,4+1),1)),'DRAFT 2'!$A:$A),"")</f>
        <v/>
      </c>
      <c r="EA118" s="116">
        <f>COUNTIFS('DRAFT 2'!$D:$D,$B118,'DRAFT 2'!$A:$A,"&gt;="&amp;DATE(2026,4,1),'DRAFT 2'!$A:$A,"&lt;="&amp;DATE(2026,4,7))</f>
        <v/>
      </c>
      <c r="EB118" s="116">
        <f>COUNTIFS('DRAFT 2'!$D:$D,$B118,'DRAFT 2'!$A:$A,"&gt;="&amp;DATE(2026,4,8),'DRAFT 2'!$A:$A,"&lt;="&amp;DATE(2026,4,14))</f>
        <v/>
      </c>
      <c r="EC118" s="116">
        <f>COUNTIFS('DRAFT 2'!$D:$D,$B118,'DRAFT 2'!$A:$A,"&gt;="&amp;DATE(2026,4,15),'DRAFT 2'!$A:$A,"&lt;="&amp;DATE(2026,4,21))</f>
        <v/>
      </c>
      <c r="ED118" s="116">
        <f>COUNTIFS('DRAFT 2'!$D:$D,$B118,'DRAFT 2'!$A:$A,"&gt;="&amp;DATE(2026,4,22),'DRAFT 2'!$A:$A,"&lt;"&amp;DATE(2026,IF(4=12,4+1,4+1),1))</f>
        <v/>
      </c>
      <c r="EE118" s="116">
        <f>SUM(EA118:ED118)</f>
        <v/>
      </c>
      <c r="EO118" s="116">
        <f>IFERROR(LOOKUP(2,1/('DRAFT 2'!$D:$D=$B118)*('DRAFT 2'!$A:$A&gt;=DATE(2026,5,1))*('DRAFT 2'!$A:$A&lt;DATE(2026,IF(5=12,5+1,5+1),1)),'DRAFT 2'!$A:$A),"")</f>
        <v/>
      </c>
      <c r="EP118" s="116">
        <f>COUNTIFS('DRAFT 2'!$D:$D,$B118,'DRAFT 2'!$A:$A,"&gt;="&amp;DATE(2026,5,1),'DRAFT 2'!$A:$A,"&lt;="&amp;DATE(2026,5,7))</f>
        <v/>
      </c>
      <c r="EQ118" s="116">
        <f>COUNTIFS('DRAFT 2'!$D:$D,$B118,'DRAFT 2'!$A:$A,"&gt;="&amp;DATE(2026,5,8),'DRAFT 2'!$A:$A,"&lt;="&amp;DATE(2026,5,14))</f>
        <v/>
      </c>
      <c r="ER118" s="116">
        <f>COUNTIFS('DRAFT 2'!$D:$D,$B118,'DRAFT 2'!$A:$A,"&gt;="&amp;DATE(2026,5,15),'DRAFT 2'!$A:$A,"&lt;="&amp;DATE(2026,5,21))</f>
        <v/>
      </c>
      <c r="ES118" s="116">
        <f>COUNTIFS('DRAFT 2'!$D:$D,$B118,'DRAFT 2'!$A:$A,"&gt;="&amp;DATE(2026,5,22),'DRAFT 2'!$A:$A,"&lt;"&amp;DATE(2026,IF(5=12,5+1,5+1),1))</f>
        <v/>
      </c>
      <c r="ET118" s="116">
        <f>SUM(EP118:ES118)</f>
        <v/>
      </c>
      <c r="FD118" s="116">
        <f>IFERROR(LOOKUP(2,1/('DRAFT 2'!$D:$D=$B118)*('DRAFT 2'!$A:$A&gt;=DATE(2026,6,1))*('DRAFT 2'!$A:$A&lt;DATE(2026,IF(6=12,6+1,6+1),1)),'DRAFT 2'!$A:$A),"")</f>
        <v/>
      </c>
      <c r="FE118" s="116">
        <f>COUNTIFS('DRAFT 2'!$D:$D,$B118,'DRAFT 2'!$A:$A,"&gt;="&amp;DATE(2026,6,1),'DRAFT 2'!$A:$A,"&lt;="&amp;DATE(2026,6,7))</f>
        <v/>
      </c>
      <c r="FF118" s="116">
        <f>COUNTIFS('DRAFT 2'!$D:$D,$B118,'DRAFT 2'!$A:$A,"&gt;="&amp;DATE(2026,6,8),'DRAFT 2'!$A:$A,"&lt;="&amp;DATE(2026,6,14))</f>
        <v/>
      </c>
      <c r="FG118" s="116">
        <f>COUNTIFS('DRAFT 2'!$D:$D,$B118,'DRAFT 2'!$A:$A,"&gt;="&amp;DATE(2026,6,15),'DRAFT 2'!$A:$A,"&lt;="&amp;DATE(2026,6,21))</f>
        <v/>
      </c>
      <c r="FH118" s="116">
        <f>COUNTIFS('DRAFT 2'!$D:$D,$B118,'DRAFT 2'!$A:$A,"&gt;="&amp;DATE(2026,6,22),'DRAFT 2'!$A:$A,"&lt;"&amp;DATE(2026,IF(6=12,6+1,6+1),1))</f>
        <v/>
      </c>
      <c r="FI118" s="116">
        <f>SUM(FE118:FH118)</f>
        <v/>
      </c>
      <c r="FT118" s="116">
        <f>IFERROR(LOOKUP(2,1/('DRAFT 2'!$D:$D=$B118)*('DRAFT 2'!$A:$A&gt;=DATE(2026,7,1))*('DRAFT 2'!$A:$A&lt;DATE(2026,IF(7=12,7+1,7+1),1)),'DRAFT 2'!$A:$A),"")</f>
        <v/>
      </c>
      <c r="FU118" s="116">
        <f>COUNTIFS('DRAFT 2'!$D:$D,$B118,'DRAFT 2'!$A:$A,"&gt;="&amp;DATE(2026,7,1),'DRAFT 2'!$A:$A,"&lt;="&amp;DATE(2026,7,7))</f>
        <v/>
      </c>
      <c r="FV118" s="116">
        <f>COUNTIFS('DRAFT 2'!$D:$D,$B118,'DRAFT 2'!$A:$A,"&gt;="&amp;DATE(2026,7,8),'DRAFT 2'!$A:$A,"&lt;="&amp;DATE(2026,7,14))</f>
        <v/>
      </c>
      <c r="FW118" s="116">
        <f>COUNTIFS('DRAFT 2'!$D:$D,$B118,'DRAFT 2'!$A:$A,"&gt;="&amp;DATE(2026,7,15),'DRAFT 2'!$A:$A,"&lt;="&amp;DATE(2026,7,21))</f>
        <v/>
      </c>
      <c r="FX118" s="116">
        <f>COUNTIFS('DRAFT 2'!$D:$D,$B118,'DRAFT 2'!$A:$A,"&gt;="&amp;DATE(2026,7,22),'DRAFT 2'!$A:$A,"&lt;"&amp;DATE(2026,IF(7=12,7+1,7+1),1))</f>
        <v/>
      </c>
      <c r="FY118" s="116">
        <f>SUM(FU118:FX118)</f>
        <v/>
      </c>
      <c r="GI118" s="116">
        <f>IFERROR(LOOKUP(2,1/('DRAFT 2'!$D:$D=$B118)*('DRAFT 2'!$A:$A&gt;=DATE(2026,8,1))*('DRAFT 2'!$A:$A&lt;DATE(2026,IF(8=12,8+1,8+1),1)),'DRAFT 2'!$A:$A),"")</f>
        <v/>
      </c>
      <c r="GJ118" s="116">
        <f>COUNTIFS('DRAFT 2'!$D:$D,$B118,'DRAFT 2'!$A:$A,"&gt;="&amp;DATE(2026,8,1),'DRAFT 2'!$A:$A,"&lt;="&amp;DATE(2026,8,7))</f>
        <v/>
      </c>
      <c r="GK118" s="116">
        <f>COUNTIFS('DRAFT 2'!$D:$D,$B118,'DRAFT 2'!$A:$A,"&gt;="&amp;DATE(2026,8,8),'DRAFT 2'!$A:$A,"&lt;="&amp;DATE(2026,8,14))</f>
        <v/>
      </c>
      <c r="GL118" s="116">
        <f>COUNTIFS('DRAFT 2'!$D:$D,$B118,'DRAFT 2'!$A:$A,"&gt;="&amp;DATE(2026,8,15),'DRAFT 2'!$A:$A,"&lt;="&amp;DATE(2026,8,21))</f>
        <v/>
      </c>
      <c r="GM118" s="116">
        <f>COUNTIFS('DRAFT 2'!$D:$D,$B118,'DRAFT 2'!$A:$A,"&gt;="&amp;DATE(2026,8,22),'DRAFT 2'!$A:$A,"&lt;"&amp;DATE(2026,IF(8=12,8+1,8+1),1))</f>
        <v/>
      </c>
      <c r="GN118" s="116">
        <f>SUM(GJ118:GM118)</f>
        <v/>
      </c>
      <c r="GX118" s="116">
        <f>IFERROR(LOOKUP(2,1/('DRAFT 2'!$D:$D=$B118)*('DRAFT 2'!$A:$A&gt;=DATE(2026,9,1))*('DRAFT 2'!$A:$A&lt;DATE(2026,IF(9=12,9+1,9+1),1)),'DRAFT 2'!$A:$A),"")</f>
        <v/>
      </c>
      <c r="GY118" s="116">
        <f>COUNTIFS('DRAFT 2'!$D:$D,$B118,'DRAFT 2'!$A:$A,"&gt;="&amp;DATE(2026,9,1),'DRAFT 2'!$A:$A,"&lt;="&amp;DATE(2026,9,7))</f>
        <v/>
      </c>
      <c r="GZ118" s="116">
        <f>COUNTIFS('DRAFT 2'!$D:$D,$B118,'DRAFT 2'!$A:$A,"&gt;="&amp;DATE(2026,9,8),'DRAFT 2'!$A:$A,"&lt;="&amp;DATE(2026,9,14))</f>
        <v/>
      </c>
      <c r="HA118" s="116">
        <f>COUNTIFS('DRAFT 2'!$D:$D,$B118,'DRAFT 2'!$A:$A,"&gt;="&amp;DATE(2026,9,15),'DRAFT 2'!$A:$A,"&lt;="&amp;DATE(2026,9,21))</f>
        <v/>
      </c>
      <c r="HB118" s="116">
        <f>COUNTIFS('DRAFT 2'!$D:$D,$B118,'DRAFT 2'!$A:$A,"&gt;="&amp;DATE(2026,9,22),'DRAFT 2'!$A:$A,"&lt;"&amp;DATE(2026,IF(9=12,9+1,9+1),1))</f>
        <v/>
      </c>
      <c r="HC118" s="116">
        <f>SUM(GY118:HB118)</f>
        <v/>
      </c>
      <c r="HN118" s="116">
        <f>IFERROR(LOOKUP(2,1/('DRAFT 2'!$D:$D=$B118)*('DRAFT 2'!$A:$A&gt;=DATE(2026,10,1))*('DRAFT 2'!$A:$A&lt;DATE(2026,IF(10=12,10+1,10+1),1)),'DRAFT 2'!$A:$A),"")</f>
        <v/>
      </c>
      <c r="HO118" s="116">
        <f>COUNTIFS('DRAFT 2'!$D:$D,$B118,'DRAFT 2'!$A:$A,"&gt;="&amp;DATE(2026,10,1),'DRAFT 2'!$A:$A,"&lt;="&amp;DATE(2026,10,7))</f>
        <v/>
      </c>
      <c r="HP118" s="116">
        <f>COUNTIFS('DRAFT 2'!$D:$D,$B118,'DRAFT 2'!$A:$A,"&gt;="&amp;DATE(2026,10,8),'DRAFT 2'!$A:$A,"&lt;="&amp;DATE(2026,10,14))</f>
        <v/>
      </c>
      <c r="HQ118" s="116">
        <f>COUNTIFS('DRAFT 2'!$D:$D,$B118,'DRAFT 2'!$A:$A,"&gt;="&amp;DATE(2026,10,15),'DRAFT 2'!$A:$A,"&lt;="&amp;DATE(2026,10,21))</f>
        <v/>
      </c>
      <c r="HR118" s="116">
        <f>COUNTIFS('DRAFT 2'!$D:$D,$B118,'DRAFT 2'!$A:$A,"&gt;="&amp;DATE(2026,10,22),'DRAFT 2'!$A:$A,"&lt;"&amp;DATE(2026,IF(10=12,10+1,10+1),1))</f>
        <v/>
      </c>
      <c r="HS118" s="116">
        <f>SUM(HO118:HR118)</f>
        <v/>
      </c>
      <c r="IC118" s="116">
        <f>IFERROR(LOOKUP(2,1/('DRAFT 2'!$D:$D=$B118)*('DRAFT 2'!$A:$A&gt;=DATE(2026,11,1))*('DRAFT 2'!$A:$A&lt;DATE(2026,IF(11=12,11+1,11+1),1)),'DRAFT 2'!$A:$A),"")</f>
        <v/>
      </c>
      <c r="ID118" s="116">
        <f>COUNTIFS('DRAFT 2'!$D:$D,$B118,'DRAFT 2'!$A:$A,"&gt;="&amp;DATE(2026,11,1),'DRAFT 2'!$A:$A,"&lt;="&amp;DATE(2026,11,7))</f>
        <v/>
      </c>
      <c r="IE118" s="116">
        <f>COUNTIFS('DRAFT 2'!$D:$D,$B118,'DRAFT 2'!$A:$A,"&gt;="&amp;DATE(2026,11,8),'DRAFT 2'!$A:$A,"&lt;="&amp;DATE(2026,11,14))</f>
        <v/>
      </c>
      <c r="IF118" s="116">
        <f>COUNTIFS('DRAFT 2'!$D:$D,$B118,'DRAFT 2'!$A:$A,"&gt;="&amp;DATE(2026,11,15),'DRAFT 2'!$A:$A,"&lt;="&amp;DATE(2026,11,21))</f>
        <v/>
      </c>
      <c r="IG118" s="116">
        <f>COUNTIFS('DRAFT 2'!$D:$D,$B118,'DRAFT 2'!$A:$A,"&gt;="&amp;DATE(2026,11,22),'DRAFT 2'!$A:$A,"&lt;"&amp;DATE(2026,IF(11=12,11+1,11+1),1))</f>
        <v/>
      </c>
      <c r="IH118" s="116">
        <f>SUM(ID118:IG118)</f>
        <v/>
      </c>
      <c r="IR118" s="116">
        <f>IFERROR(LOOKUP(2,1/('DRAFT 2'!$D:$D=$B118)*('DRAFT 2'!$A:$A&gt;=DATE(2026,12,1))*('DRAFT 2'!$A:$A&lt;DATE(2026,IF(12=12,12+1,12+1),1)),'DRAFT 2'!$A:$A),"")</f>
        <v/>
      </c>
      <c r="IS118" s="116">
        <f>COUNTIFS('DRAFT 2'!$D:$D,$B118,'DRAFT 2'!$A:$A,"&gt;="&amp;DATE(2026,12,1),'DRAFT 2'!$A:$A,"&lt;="&amp;DATE(2026,12,7))</f>
        <v/>
      </c>
      <c r="IT118" s="116">
        <f>COUNTIFS('DRAFT 2'!$D:$D,$B118,'DRAFT 2'!$A:$A,"&gt;="&amp;DATE(2026,12,8),'DRAFT 2'!$A:$A,"&lt;="&amp;DATE(2026,12,14))</f>
        <v/>
      </c>
      <c r="IU118" s="116">
        <f>COUNTIFS('DRAFT 2'!$D:$D,$B118,'DRAFT 2'!$A:$A,"&gt;="&amp;DATE(2026,12,15),'DRAFT 2'!$A:$A,"&lt;="&amp;DATE(2026,12,21))</f>
        <v/>
      </c>
      <c r="IV118" s="116">
        <f>COUNTIFS('DRAFT 2'!$D:$D,$B118,'DRAFT 2'!$A:$A,"&gt;="&amp;DATE(2026,12,22),'DRAFT 2'!$A:$A,"&lt;"&amp;DATE(2026,IF(12=12,12+1,12+1),1))</f>
        <v/>
      </c>
      <c r="IW118" s="116">
        <f>SUM(IS118:IV118)</f>
        <v/>
      </c>
    </row>
    <row r="119">
      <c r="A119" s="116">
        <f>IFERROR(INDEX('DRAFT 1'!$A:$A,MATCH($B119,'DRAFT 1'!$B:$B,0)),"")</f>
        <v/>
      </c>
      <c r="C119" s="116">
        <f>IFERROR(INDEX('DRAFT 1'!$C:$C,MATCH($B119,'DRAFT 1'!$B:$B,0)),"")</f>
        <v/>
      </c>
      <c r="D119" s="116">
        <f>IFERROR(INDEX('DRAFT 1'!$D:$D,MATCH($B119,'DRAFT 1'!$B:$B,0)),"")</f>
        <v/>
      </c>
      <c r="E119" s="116">
        <f>IFERROR(INDEX('DRAFT 1'!$E:$E,MATCH($B119,'DRAFT 1'!$B:$B,0)),"")</f>
        <v/>
      </c>
      <c r="F119" s="116">
        <f>IFERROR(INDEX('DRAFT 1'!$F:$F,MATCH($B119,'DRAFT 1'!$B:$B,0)),"")</f>
        <v/>
      </c>
      <c r="G119" s="116">
        <f>IFERROR(INDEX('DRAFT 1'!$G:$G,MATCH($B119,'DRAFT 1'!$B:$B,0)),"")</f>
        <v/>
      </c>
      <c r="H119" s="116">
        <f>IFERROR(INDEX('DRAFT 1'!$H:$H,MATCH($B119,'DRAFT 1'!$B:$B,0)),"")</f>
        <v/>
      </c>
      <c r="I119" s="116" t="inlineStr">
        <is>
          <t>BIOMUNDO</t>
        </is>
      </c>
      <c r="K119" s="116">
        <f>IFERROR(INDEX('DRAFT 1'!$AL:$AL,MATCH($B119,'DRAFT 1'!$B:$B,0)),"")</f>
        <v/>
      </c>
      <c r="L119" s="116">
        <f>IFERROR(INDEX('DRAFT 1'!$J:$J,MATCH($B119,'DRAFT 1'!$B:$B,0)),"")</f>
        <v/>
      </c>
      <c r="M119" s="116">
        <f>IFERROR(INDEX('DRAFT 1'!$K:$K,MATCH($B119,'DRAFT 1'!$B:$B,0)),"")</f>
        <v/>
      </c>
      <c r="N119" s="116" t="inlineStr">
        <is>
          <t>ATIVO</t>
        </is>
      </c>
      <c r="P119" s="116">
        <f>IFERROR(INDEX('DRAFT 1'!$L:$L,MATCH($B119,'DRAFT 1'!$B:$B,0)),"")</f>
        <v/>
      </c>
      <c r="Q119" s="116">
        <f>IFERROR(INDEX('DRAFT 1'!$M:$M,MATCH($B119,'DRAFT 1'!$B:$B,0)),"")</f>
        <v/>
      </c>
      <c r="R119" s="116">
        <f>IFERROR(INDEX('DRAFT 1'!$N:$N,MATCH($B119,'DRAFT 1'!$B:$B,0)),"")</f>
        <v/>
      </c>
      <c r="S119" s="116">
        <f>IFERROR(INDEX('DRAFT 1'!$O:$O,MATCH($B119,'DRAFT 1'!$B:$B,0)),"")</f>
        <v/>
      </c>
      <c r="T119" s="116">
        <f>IFERROR(INDEX('DRAFT 1'!$P:$P,MATCH($B119,'DRAFT 1'!$B:$B,0)),"")</f>
        <v/>
      </c>
      <c r="U119" s="116">
        <f>IFERROR(INDEX('DRAFT 1'!$Q:$Q,MATCH($B119,'DRAFT 1'!$B:$B,0)),"")</f>
        <v/>
      </c>
      <c r="V119" s="116">
        <f>IFERROR(INDEX('DRAFT 1'!$R:$R,MATCH($B119,'DRAFT 1'!$B:$B,0)),"")</f>
        <v/>
      </c>
      <c r="W119" s="116">
        <f>IFERROR(INDEX('DRAFT 1'!$S:$S,MATCH($B119,'DRAFT 1'!$B:$B,0)),"")</f>
        <v/>
      </c>
      <c r="X119" s="116">
        <f>IFERROR(INDEX('DRAFT 1'!$T:$T,MATCH($B119,'DRAFT 1'!$B:$B,0)),"")</f>
        <v/>
      </c>
      <c r="Z119" s="116">
        <f>IFERROR(INDEX('DRAFT 1'!$U:$U,MATCH($B119,'DRAFT 1'!$B:$B,0)),"")</f>
        <v/>
      </c>
      <c r="AA119" s="116">
        <f>IFERROR(INDEX('DRAFT 1'!$V:$V,MATCH($B119,'DRAFT 1'!$B:$B,0)),"")</f>
        <v/>
      </c>
      <c r="AB119" s="116">
        <f>IFERROR(INDEX('DRAFT 1'!$W:$W,MATCH($B119,'DRAFT 1'!$B:$B,0)),"")</f>
        <v/>
      </c>
      <c r="AC119" s="116">
        <f>IFERROR(INDEX('DRAFT 1'!$X:$X,MATCH($B119,'DRAFT 1'!$B:$B,0)),"")</f>
        <v/>
      </c>
      <c r="AD119" s="116">
        <f>IFERROR(INDEX('DRAFT 1'!$Y:$Y,MATCH($B119,'DRAFT 1'!$B:$B,0)),"")</f>
        <v/>
      </c>
      <c r="AE119" s="116">
        <f>IFERROR(INDEX('DRAFT 1'!$Z:$Z,MATCH($B119,'DRAFT 1'!$B:$B,0)),"")</f>
        <v/>
      </c>
      <c r="AF119" s="116">
        <f>IFERROR(INDEX('DRAFT 1'!$AA:$AA,MATCH($B119,'DRAFT 1'!$B:$B,0)),"")</f>
        <v/>
      </c>
      <c r="AG119" s="116">
        <f>IFERROR(INDEX('DRAFT 1'!$AB:$AB,MATCH($B119,'DRAFT 1'!$B:$B,0)),"")</f>
        <v/>
      </c>
      <c r="AH119" s="116">
        <f>IFERROR(INDEX('DRAFT 1'!$AC:$AC,MATCH($B119,'DRAFT 1'!$B:$B,0)),"")</f>
        <v/>
      </c>
      <c r="AI119" s="116">
        <f>IFERROR(INDEX('DRAFT 1'!$AD:$AD,MATCH($B119,'DRAFT 1'!$B:$B,0)),"")</f>
        <v/>
      </c>
      <c r="AJ119" s="116">
        <f>IFERROR(INDEX('DRAFT 1'!$AE:$AE,MATCH($B119,'DRAFT 1'!$B:$B,0)),"")</f>
        <v/>
      </c>
      <c r="AK119" s="116">
        <f>IFERROR(INDEX('DRAFT 1'!$AG:$AG,MATCH($B119,'DRAFT 1'!$B:$B,0)),"")</f>
        <v/>
      </c>
      <c r="AL119" s="116">
        <f>IFERROR(INDEX('DRAFT 1'!$AH:$AH,MATCH($B119,'DRAFT 1'!$B:$B,0)),"")</f>
        <v/>
      </c>
      <c r="AM119" s="116">
        <f>IFERROR(INDEX('DRAFT 1'!$AI:$AI,MATCH($B119,'DRAFT 1'!$B:$B,0)),"")</f>
        <v/>
      </c>
      <c r="AN119" s="116">
        <f>IFERROR(INDEX('DRAFT 1'!$AJ:$AJ,MATCH($B119,'DRAFT 1'!$B:$B,0)),"")</f>
        <v/>
      </c>
      <c r="AO119" s="116">
        <f>IFERROR(Y119/AN119,0)</f>
        <v/>
      </c>
      <c r="AP119" s="116">
        <f>IFERROR(INDEX('DRAFT 1'!$AK:$AK,MATCH($B119,'DRAFT 1'!$B:$B,0)),"")</f>
        <v/>
      </c>
      <c r="AR119" s="116" t="inlineStr">
        <is>
          <t>PÓS-VENDA</t>
        </is>
      </c>
      <c r="AS119" s="116">
        <f>IFERROR(LOOKUP(2,1/('DRAFT 2'!$D:$D=$B119),'DRAFT 2'!$T:$T),"")</f>
        <v/>
      </c>
      <c r="AT119" s="116">
        <f>IFERROR(LOOKUP(2,1/('DRAFT 2'!$D:$D=$B119),'DRAFT 2'!$A:$A),"")</f>
        <v/>
      </c>
      <c r="AU119" s="116">
        <f>IFERROR(LOOKUP(2,1/('DRAFT 2'!$D:$D=$B119),'DRAFT 2'!$R:$R),"")</f>
        <v/>
      </c>
      <c r="AV119" s="116">
        <f>IFERROR(LOOKUP(2,1/('DRAFT 2'!$D:$D=$B119),'DRAFT 2'!$S:$S),"")</f>
        <v/>
      </c>
      <c r="AW119" s="116" t="inlineStr">
        <is>
          <t>FIDELIZADO</t>
        </is>
      </c>
      <c r="AX119" s="116">
        <f>IFERROR(LOOKUP(2,1/('DRAFT 2'!$D:$D=$B119),'DRAFT 2'!$M:$M),"")</f>
        <v/>
      </c>
      <c r="AY119" s="116">
        <f>IFERROR(LOOKUP(2,1/('DRAFT 2'!$D:$D=$B119),'DRAFT 2'!$K:$K),"")</f>
        <v/>
      </c>
      <c r="BG119" s="116">
        <f>IFERROR(LOOKUP(2,1/('DRAFT 2'!$D:$D=$B119),'DRAFT 2'!$U:$U),"")</f>
        <v/>
      </c>
      <c r="BH119" s="116">
        <f>IFERROR(LOOKUP(2,1/('DRAFT 2'!$D:$D=$B119),'DRAFT 2'!$V:$V),"")</f>
        <v/>
      </c>
      <c r="CE119" s="116">
        <f>IFERROR(AJ119,0)</f>
        <v/>
      </c>
      <c r="CF119" s="116">
        <f>IFERROR(LOOKUP(2,1/('DRAFT 2'!$D:$D=$B119)*('DRAFT 2'!$A:$A&gt;=DATE(2026,1,1))*('DRAFT 2'!$A:$A&lt;DATE(2026,IF(1=12,1+1,1+1),1)),'DRAFT 2'!$A:$A),"")</f>
        <v/>
      </c>
      <c r="CG119" s="116">
        <f>COUNTIFS('DRAFT 2'!$D:$D,$B119,'DRAFT 2'!$A:$A,"&gt;="&amp;DATE(2026,1,1),'DRAFT 2'!$A:$A,"&lt;="&amp;DATE(2026,1,7))</f>
        <v/>
      </c>
      <c r="CH119" s="116">
        <f>COUNTIFS('DRAFT 2'!$D:$D,$B119,'DRAFT 2'!$A:$A,"&gt;="&amp;DATE(2026,1,8),'DRAFT 2'!$A:$A,"&lt;="&amp;DATE(2026,1,14))</f>
        <v/>
      </c>
      <c r="CI119" s="116">
        <f>COUNTIFS('DRAFT 2'!$D:$D,$B119,'DRAFT 2'!$A:$A,"&gt;="&amp;DATE(2026,1,15),'DRAFT 2'!$A:$A,"&lt;="&amp;DATE(2026,1,21))</f>
        <v/>
      </c>
      <c r="CJ119" s="116">
        <f>COUNTIFS('DRAFT 2'!$D:$D,$B119,'DRAFT 2'!$A:$A,"&gt;="&amp;DATE(2026,1,22),'DRAFT 2'!$A:$A,"&lt;"&amp;DATE(2026,IF(1=12,1+1,1+1),1))</f>
        <v/>
      </c>
      <c r="CK119" s="116">
        <f>SUM(CG119:CJ119)</f>
        <v/>
      </c>
      <c r="CT119" s="116" t="n">
        <v>0</v>
      </c>
      <c r="CU119" s="116">
        <f>IFERROR(LOOKUP(2,1/('DRAFT 2'!$D:$D=$B119)*('DRAFT 2'!$A:$A&gt;=DATE(2026,2,1))*('DRAFT 2'!$A:$A&lt;DATE(2026,IF(2=12,2+1,2+1),1)),'DRAFT 2'!$A:$A),"")</f>
        <v/>
      </c>
      <c r="CV119" s="116">
        <f>COUNTIFS('DRAFT 2'!$D:$D,$B119,'DRAFT 2'!$A:$A,"&gt;="&amp;DATE(2026,2,1),'DRAFT 2'!$A:$A,"&lt;="&amp;DATE(2026,2,7))</f>
        <v/>
      </c>
      <c r="CW119" s="116">
        <f>COUNTIFS('DRAFT 2'!$D:$D,$B119,'DRAFT 2'!$A:$A,"&gt;="&amp;DATE(2026,2,8),'DRAFT 2'!$A:$A,"&lt;="&amp;DATE(2026,2,14))</f>
        <v/>
      </c>
      <c r="CX119" s="116">
        <f>COUNTIFS('DRAFT 2'!$D:$D,$B119,'DRAFT 2'!$A:$A,"&gt;="&amp;DATE(2026,2,15),'DRAFT 2'!$A:$A,"&lt;="&amp;DATE(2026,2,21))</f>
        <v/>
      </c>
      <c r="CY119" s="116">
        <f>COUNTIFS('DRAFT 2'!$D:$D,$B119,'DRAFT 2'!$A:$A,"&gt;="&amp;DATE(2026,2,22),'DRAFT 2'!$A:$A,"&lt;"&amp;DATE(2026,IF(2=12,2+1,2+1),1))</f>
        <v/>
      </c>
      <c r="CZ119" s="116">
        <f>SUM(CV119:CY119)</f>
        <v/>
      </c>
      <c r="DJ119" s="116">
        <f>IFERROR(LOOKUP(2,1/('DRAFT 2'!$D:$D=$B119)*('DRAFT 2'!$A:$A&gt;=DATE(2026,3,1))*('DRAFT 2'!$A:$A&lt;DATE(2026,IF(3=12,3+1,3+1),1)),'DRAFT 2'!$A:$A),"")</f>
        <v/>
      </c>
      <c r="DK119" s="116">
        <f>COUNTIFS('DRAFT 2'!$D:$D,$B119,'DRAFT 2'!$A:$A,"&gt;="&amp;DATE(2026,3,1),'DRAFT 2'!$A:$A,"&lt;="&amp;DATE(2026,3,7))</f>
        <v/>
      </c>
      <c r="DL119" s="116">
        <f>COUNTIFS('DRAFT 2'!$D:$D,$B119,'DRAFT 2'!$A:$A,"&gt;="&amp;DATE(2026,3,8),'DRAFT 2'!$A:$A,"&lt;="&amp;DATE(2026,3,14))</f>
        <v/>
      </c>
      <c r="DM119" s="116">
        <f>COUNTIFS('DRAFT 2'!$D:$D,$B119,'DRAFT 2'!$A:$A,"&gt;="&amp;DATE(2026,3,15),'DRAFT 2'!$A:$A,"&lt;="&amp;DATE(2026,3,21))</f>
        <v/>
      </c>
      <c r="DN119" s="116">
        <f>COUNTIFS('DRAFT 2'!$D:$D,$B119,'DRAFT 2'!$A:$A,"&gt;="&amp;DATE(2026,3,22),'DRAFT 2'!$A:$A,"&lt;"&amp;DATE(2026,IF(3=12,3+1,3+1),1))</f>
        <v/>
      </c>
      <c r="DO119" s="116">
        <f>SUM(DK119:DN119)</f>
        <v/>
      </c>
      <c r="DZ119" s="116">
        <f>IFERROR(LOOKUP(2,1/('DRAFT 2'!$D:$D=$B119)*('DRAFT 2'!$A:$A&gt;=DATE(2026,4,1))*('DRAFT 2'!$A:$A&lt;DATE(2026,IF(4=12,4+1,4+1),1)),'DRAFT 2'!$A:$A),"")</f>
        <v/>
      </c>
      <c r="EA119" s="116">
        <f>COUNTIFS('DRAFT 2'!$D:$D,$B119,'DRAFT 2'!$A:$A,"&gt;="&amp;DATE(2026,4,1),'DRAFT 2'!$A:$A,"&lt;="&amp;DATE(2026,4,7))</f>
        <v/>
      </c>
      <c r="EB119" s="116">
        <f>COUNTIFS('DRAFT 2'!$D:$D,$B119,'DRAFT 2'!$A:$A,"&gt;="&amp;DATE(2026,4,8),'DRAFT 2'!$A:$A,"&lt;="&amp;DATE(2026,4,14))</f>
        <v/>
      </c>
      <c r="EC119" s="116">
        <f>COUNTIFS('DRAFT 2'!$D:$D,$B119,'DRAFT 2'!$A:$A,"&gt;="&amp;DATE(2026,4,15),'DRAFT 2'!$A:$A,"&lt;="&amp;DATE(2026,4,21))</f>
        <v/>
      </c>
      <c r="ED119" s="116">
        <f>COUNTIFS('DRAFT 2'!$D:$D,$B119,'DRAFT 2'!$A:$A,"&gt;="&amp;DATE(2026,4,22),'DRAFT 2'!$A:$A,"&lt;"&amp;DATE(2026,IF(4=12,4+1,4+1),1))</f>
        <v/>
      </c>
      <c r="EE119" s="116">
        <f>SUM(EA119:ED119)</f>
        <v/>
      </c>
      <c r="EO119" s="116">
        <f>IFERROR(LOOKUP(2,1/('DRAFT 2'!$D:$D=$B119)*('DRAFT 2'!$A:$A&gt;=DATE(2026,5,1))*('DRAFT 2'!$A:$A&lt;DATE(2026,IF(5=12,5+1,5+1),1)),'DRAFT 2'!$A:$A),"")</f>
        <v/>
      </c>
      <c r="EP119" s="116">
        <f>COUNTIFS('DRAFT 2'!$D:$D,$B119,'DRAFT 2'!$A:$A,"&gt;="&amp;DATE(2026,5,1),'DRAFT 2'!$A:$A,"&lt;="&amp;DATE(2026,5,7))</f>
        <v/>
      </c>
      <c r="EQ119" s="116">
        <f>COUNTIFS('DRAFT 2'!$D:$D,$B119,'DRAFT 2'!$A:$A,"&gt;="&amp;DATE(2026,5,8),'DRAFT 2'!$A:$A,"&lt;="&amp;DATE(2026,5,14))</f>
        <v/>
      </c>
      <c r="ER119" s="116">
        <f>COUNTIFS('DRAFT 2'!$D:$D,$B119,'DRAFT 2'!$A:$A,"&gt;="&amp;DATE(2026,5,15),'DRAFT 2'!$A:$A,"&lt;="&amp;DATE(2026,5,21))</f>
        <v/>
      </c>
      <c r="ES119" s="116">
        <f>COUNTIFS('DRAFT 2'!$D:$D,$B119,'DRAFT 2'!$A:$A,"&gt;="&amp;DATE(2026,5,22),'DRAFT 2'!$A:$A,"&lt;"&amp;DATE(2026,IF(5=12,5+1,5+1),1))</f>
        <v/>
      </c>
      <c r="ET119" s="116">
        <f>SUM(EP119:ES119)</f>
        <v/>
      </c>
      <c r="FD119" s="116">
        <f>IFERROR(LOOKUP(2,1/('DRAFT 2'!$D:$D=$B119)*('DRAFT 2'!$A:$A&gt;=DATE(2026,6,1))*('DRAFT 2'!$A:$A&lt;DATE(2026,IF(6=12,6+1,6+1),1)),'DRAFT 2'!$A:$A),"")</f>
        <v/>
      </c>
      <c r="FE119" s="116">
        <f>COUNTIFS('DRAFT 2'!$D:$D,$B119,'DRAFT 2'!$A:$A,"&gt;="&amp;DATE(2026,6,1),'DRAFT 2'!$A:$A,"&lt;="&amp;DATE(2026,6,7))</f>
        <v/>
      </c>
      <c r="FF119" s="116">
        <f>COUNTIFS('DRAFT 2'!$D:$D,$B119,'DRAFT 2'!$A:$A,"&gt;="&amp;DATE(2026,6,8),'DRAFT 2'!$A:$A,"&lt;="&amp;DATE(2026,6,14))</f>
        <v/>
      </c>
      <c r="FG119" s="116">
        <f>COUNTIFS('DRAFT 2'!$D:$D,$B119,'DRAFT 2'!$A:$A,"&gt;="&amp;DATE(2026,6,15),'DRAFT 2'!$A:$A,"&lt;="&amp;DATE(2026,6,21))</f>
        <v/>
      </c>
      <c r="FH119" s="116">
        <f>COUNTIFS('DRAFT 2'!$D:$D,$B119,'DRAFT 2'!$A:$A,"&gt;="&amp;DATE(2026,6,22),'DRAFT 2'!$A:$A,"&lt;"&amp;DATE(2026,IF(6=12,6+1,6+1),1))</f>
        <v/>
      </c>
      <c r="FI119" s="116">
        <f>SUM(FE119:FH119)</f>
        <v/>
      </c>
      <c r="FT119" s="116">
        <f>IFERROR(LOOKUP(2,1/('DRAFT 2'!$D:$D=$B119)*('DRAFT 2'!$A:$A&gt;=DATE(2026,7,1))*('DRAFT 2'!$A:$A&lt;DATE(2026,IF(7=12,7+1,7+1),1)),'DRAFT 2'!$A:$A),"")</f>
        <v/>
      </c>
      <c r="FU119" s="116">
        <f>COUNTIFS('DRAFT 2'!$D:$D,$B119,'DRAFT 2'!$A:$A,"&gt;="&amp;DATE(2026,7,1),'DRAFT 2'!$A:$A,"&lt;="&amp;DATE(2026,7,7))</f>
        <v/>
      </c>
      <c r="FV119" s="116">
        <f>COUNTIFS('DRAFT 2'!$D:$D,$B119,'DRAFT 2'!$A:$A,"&gt;="&amp;DATE(2026,7,8),'DRAFT 2'!$A:$A,"&lt;="&amp;DATE(2026,7,14))</f>
        <v/>
      </c>
      <c r="FW119" s="116">
        <f>COUNTIFS('DRAFT 2'!$D:$D,$B119,'DRAFT 2'!$A:$A,"&gt;="&amp;DATE(2026,7,15),'DRAFT 2'!$A:$A,"&lt;="&amp;DATE(2026,7,21))</f>
        <v/>
      </c>
      <c r="FX119" s="116">
        <f>COUNTIFS('DRAFT 2'!$D:$D,$B119,'DRAFT 2'!$A:$A,"&gt;="&amp;DATE(2026,7,22),'DRAFT 2'!$A:$A,"&lt;"&amp;DATE(2026,IF(7=12,7+1,7+1),1))</f>
        <v/>
      </c>
      <c r="FY119" s="116">
        <f>SUM(FU119:FX119)</f>
        <v/>
      </c>
      <c r="GI119" s="116">
        <f>IFERROR(LOOKUP(2,1/('DRAFT 2'!$D:$D=$B119)*('DRAFT 2'!$A:$A&gt;=DATE(2026,8,1))*('DRAFT 2'!$A:$A&lt;DATE(2026,IF(8=12,8+1,8+1),1)),'DRAFT 2'!$A:$A),"")</f>
        <v/>
      </c>
      <c r="GJ119" s="116">
        <f>COUNTIFS('DRAFT 2'!$D:$D,$B119,'DRAFT 2'!$A:$A,"&gt;="&amp;DATE(2026,8,1),'DRAFT 2'!$A:$A,"&lt;="&amp;DATE(2026,8,7))</f>
        <v/>
      </c>
      <c r="GK119" s="116">
        <f>COUNTIFS('DRAFT 2'!$D:$D,$B119,'DRAFT 2'!$A:$A,"&gt;="&amp;DATE(2026,8,8),'DRAFT 2'!$A:$A,"&lt;="&amp;DATE(2026,8,14))</f>
        <v/>
      </c>
      <c r="GL119" s="116">
        <f>COUNTIFS('DRAFT 2'!$D:$D,$B119,'DRAFT 2'!$A:$A,"&gt;="&amp;DATE(2026,8,15),'DRAFT 2'!$A:$A,"&lt;="&amp;DATE(2026,8,21))</f>
        <v/>
      </c>
      <c r="GM119" s="116">
        <f>COUNTIFS('DRAFT 2'!$D:$D,$B119,'DRAFT 2'!$A:$A,"&gt;="&amp;DATE(2026,8,22),'DRAFT 2'!$A:$A,"&lt;"&amp;DATE(2026,IF(8=12,8+1,8+1),1))</f>
        <v/>
      </c>
      <c r="GN119" s="116">
        <f>SUM(GJ119:GM119)</f>
        <v/>
      </c>
      <c r="GX119" s="116">
        <f>IFERROR(LOOKUP(2,1/('DRAFT 2'!$D:$D=$B119)*('DRAFT 2'!$A:$A&gt;=DATE(2026,9,1))*('DRAFT 2'!$A:$A&lt;DATE(2026,IF(9=12,9+1,9+1),1)),'DRAFT 2'!$A:$A),"")</f>
        <v/>
      </c>
      <c r="GY119" s="116">
        <f>COUNTIFS('DRAFT 2'!$D:$D,$B119,'DRAFT 2'!$A:$A,"&gt;="&amp;DATE(2026,9,1),'DRAFT 2'!$A:$A,"&lt;="&amp;DATE(2026,9,7))</f>
        <v/>
      </c>
      <c r="GZ119" s="116">
        <f>COUNTIFS('DRAFT 2'!$D:$D,$B119,'DRAFT 2'!$A:$A,"&gt;="&amp;DATE(2026,9,8),'DRAFT 2'!$A:$A,"&lt;="&amp;DATE(2026,9,14))</f>
        <v/>
      </c>
      <c r="HA119" s="116">
        <f>COUNTIFS('DRAFT 2'!$D:$D,$B119,'DRAFT 2'!$A:$A,"&gt;="&amp;DATE(2026,9,15),'DRAFT 2'!$A:$A,"&lt;="&amp;DATE(2026,9,21))</f>
        <v/>
      </c>
      <c r="HB119" s="116">
        <f>COUNTIFS('DRAFT 2'!$D:$D,$B119,'DRAFT 2'!$A:$A,"&gt;="&amp;DATE(2026,9,22),'DRAFT 2'!$A:$A,"&lt;"&amp;DATE(2026,IF(9=12,9+1,9+1),1))</f>
        <v/>
      </c>
      <c r="HC119" s="116">
        <f>SUM(GY119:HB119)</f>
        <v/>
      </c>
      <c r="HN119" s="116">
        <f>IFERROR(LOOKUP(2,1/('DRAFT 2'!$D:$D=$B119)*('DRAFT 2'!$A:$A&gt;=DATE(2026,10,1))*('DRAFT 2'!$A:$A&lt;DATE(2026,IF(10=12,10+1,10+1),1)),'DRAFT 2'!$A:$A),"")</f>
        <v/>
      </c>
      <c r="HO119" s="116">
        <f>COUNTIFS('DRAFT 2'!$D:$D,$B119,'DRAFT 2'!$A:$A,"&gt;="&amp;DATE(2026,10,1),'DRAFT 2'!$A:$A,"&lt;="&amp;DATE(2026,10,7))</f>
        <v/>
      </c>
      <c r="HP119" s="116">
        <f>COUNTIFS('DRAFT 2'!$D:$D,$B119,'DRAFT 2'!$A:$A,"&gt;="&amp;DATE(2026,10,8),'DRAFT 2'!$A:$A,"&lt;="&amp;DATE(2026,10,14))</f>
        <v/>
      </c>
      <c r="HQ119" s="116">
        <f>COUNTIFS('DRAFT 2'!$D:$D,$B119,'DRAFT 2'!$A:$A,"&gt;="&amp;DATE(2026,10,15),'DRAFT 2'!$A:$A,"&lt;="&amp;DATE(2026,10,21))</f>
        <v/>
      </c>
      <c r="HR119" s="116">
        <f>COUNTIFS('DRAFT 2'!$D:$D,$B119,'DRAFT 2'!$A:$A,"&gt;="&amp;DATE(2026,10,22),'DRAFT 2'!$A:$A,"&lt;"&amp;DATE(2026,IF(10=12,10+1,10+1),1))</f>
        <v/>
      </c>
      <c r="HS119" s="116">
        <f>SUM(HO119:HR119)</f>
        <v/>
      </c>
      <c r="IC119" s="116">
        <f>IFERROR(LOOKUP(2,1/('DRAFT 2'!$D:$D=$B119)*('DRAFT 2'!$A:$A&gt;=DATE(2026,11,1))*('DRAFT 2'!$A:$A&lt;DATE(2026,IF(11=12,11+1,11+1),1)),'DRAFT 2'!$A:$A),"")</f>
        <v/>
      </c>
      <c r="ID119" s="116">
        <f>COUNTIFS('DRAFT 2'!$D:$D,$B119,'DRAFT 2'!$A:$A,"&gt;="&amp;DATE(2026,11,1),'DRAFT 2'!$A:$A,"&lt;="&amp;DATE(2026,11,7))</f>
        <v/>
      </c>
      <c r="IE119" s="116">
        <f>COUNTIFS('DRAFT 2'!$D:$D,$B119,'DRAFT 2'!$A:$A,"&gt;="&amp;DATE(2026,11,8),'DRAFT 2'!$A:$A,"&lt;="&amp;DATE(2026,11,14))</f>
        <v/>
      </c>
      <c r="IF119" s="116">
        <f>COUNTIFS('DRAFT 2'!$D:$D,$B119,'DRAFT 2'!$A:$A,"&gt;="&amp;DATE(2026,11,15),'DRAFT 2'!$A:$A,"&lt;="&amp;DATE(2026,11,21))</f>
        <v/>
      </c>
      <c r="IG119" s="116">
        <f>COUNTIFS('DRAFT 2'!$D:$D,$B119,'DRAFT 2'!$A:$A,"&gt;="&amp;DATE(2026,11,22),'DRAFT 2'!$A:$A,"&lt;"&amp;DATE(2026,IF(11=12,11+1,11+1),1))</f>
        <v/>
      </c>
      <c r="IH119" s="116">
        <f>SUM(ID119:IG119)</f>
        <v/>
      </c>
      <c r="IR119" s="116">
        <f>IFERROR(LOOKUP(2,1/('DRAFT 2'!$D:$D=$B119)*('DRAFT 2'!$A:$A&gt;=DATE(2026,12,1))*('DRAFT 2'!$A:$A&lt;DATE(2026,IF(12=12,12+1,12+1),1)),'DRAFT 2'!$A:$A),"")</f>
        <v/>
      </c>
      <c r="IS119" s="116">
        <f>COUNTIFS('DRAFT 2'!$D:$D,$B119,'DRAFT 2'!$A:$A,"&gt;="&amp;DATE(2026,12,1),'DRAFT 2'!$A:$A,"&lt;="&amp;DATE(2026,12,7))</f>
        <v/>
      </c>
      <c r="IT119" s="116">
        <f>COUNTIFS('DRAFT 2'!$D:$D,$B119,'DRAFT 2'!$A:$A,"&gt;="&amp;DATE(2026,12,8),'DRAFT 2'!$A:$A,"&lt;="&amp;DATE(2026,12,14))</f>
        <v/>
      </c>
      <c r="IU119" s="116">
        <f>COUNTIFS('DRAFT 2'!$D:$D,$B119,'DRAFT 2'!$A:$A,"&gt;="&amp;DATE(2026,12,15),'DRAFT 2'!$A:$A,"&lt;="&amp;DATE(2026,12,21))</f>
        <v/>
      </c>
      <c r="IV119" s="116">
        <f>COUNTIFS('DRAFT 2'!$D:$D,$B119,'DRAFT 2'!$A:$A,"&gt;="&amp;DATE(2026,12,22),'DRAFT 2'!$A:$A,"&lt;"&amp;DATE(2026,IF(12=12,12+1,12+1),1))</f>
        <v/>
      </c>
      <c r="IW119" s="116">
        <f>SUM(IS119:IV119)</f>
        <v/>
      </c>
    </row>
    <row r="120">
      <c r="A120" s="116">
        <f>IFERROR(INDEX('DRAFT 1'!$A:$A,MATCH($B120,'DRAFT 1'!$B:$B,0)),"")</f>
        <v/>
      </c>
      <c r="C120" s="116">
        <f>IFERROR(INDEX('DRAFT 1'!$C:$C,MATCH($B120,'DRAFT 1'!$B:$B,0)),"")</f>
        <v/>
      </c>
      <c r="D120" s="116">
        <f>IFERROR(INDEX('DRAFT 1'!$D:$D,MATCH($B120,'DRAFT 1'!$B:$B,0)),"")</f>
        <v/>
      </c>
      <c r="E120" s="116">
        <f>IFERROR(INDEX('DRAFT 1'!$E:$E,MATCH($B120,'DRAFT 1'!$B:$B,0)),"")</f>
        <v/>
      </c>
      <c r="F120" s="116">
        <f>IFERROR(INDEX('DRAFT 1'!$F:$F,MATCH($B120,'DRAFT 1'!$B:$B,0)),"")</f>
        <v/>
      </c>
      <c r="G120" s="116">
        <f>IFERROR(INDEX('DRAFT 1'!$G:$G,MATCH($B120,'DRAFT 1'!$B:$B,0)),"")</f>
        <v/>
      </c>
      <c r="H120" s="116">
        <f>IFERROR(INDEX('DRAFT 1'!$H:$H,MATCH($B120,'DRAFT 1'!$B:$B,0)),"")</f>
        <v/>
      </c>
      <c r="I120" s="116" t="inlineStr">
        <is>
          <t>VIDA LEVE</t>
        </is>
      </c>
      <c r="K120" s="116">
        <f>IFERROR(INDEX('DRAFT 1'!$AL:$AL,MATCH($B120,'DRAFT 1'!$B:$B,0)),"")</f>
        <v/>
      </c>
      <c r="L120" s="116">
        <f>IFERROR(INDEX('DRAFT 1'!$J:$J,MATCH($B120,'DRAFT 1'!$B:$B,0)),"")</f>
        <v/>
      </c>
      <c r="M120" s="116">
        <f>IFERROR(INDEX('DRAFT 1'!$K:$K,MATCH($B120,'DRAFT 1'!$B:$B,0)),"")</f>
        <v/>
      </c>
      <c r="N120" s="116" t="inlineStr">
        <is>
          <t>INAT.REC</t>
        </is>
      </c>
      <c r="P120" s="116">
        <f>IFERROR(INDEX('DRAFT 1'!$L:$L,MATCH($B120,'DRAFT 1'!$B:$B,0)),"")</f>
        <v/>
      </c>
      <c r="Q120" s="116">
        <f>IFERROR(INDEX('DRAFT 1'!$M:$M,MATCH($B120,'DRAFT 1'!$B:$B,0)),"")</f>
        <v/>
      </c>
      <c r="R120" s="116">
        <f>IFERROR(INDEX('DRAFT 1'!$N:$N,MATCH($B120,'DRAFT 1'!$B:$B,0)),"")</f>
        <v/>
      </c>
      <c r="S120" s="116">
        <f>IFERROR(INDEX('DRAFT 1'!$O:$O,MATCH($B120,'DRAFT 1'!$B:$B,0)),"")</f>
        <v/>
      </c>
      <c r="T120" s="116">
        <f>IFERROR(INDEX('DRAFT 1'!$P:$P,MATCH($B120,'DRAFT 1'!$B:$B,0)),"")</f>
        <v/>
      </c>
      <c r="U120" s="116">
        <f>IFERROR(INDEX('DRAFT 1'!$Q:$Q,MATCH($B120,'DRAFT 1'!$B:$B,0)),"")</f>
        <v/>
      </c>
      <c r="V120" s="116">
        <f>IFERROR(INDEX('DRAFT 1'!$R:$R,MATCH($B120,'DRAFT 1'!$B:$B,0)),"")</f>
        <v/>
      </c>
      <c r="W120" s="116">
        <f>IFERROR(INDEX('DRAFT 1'!$S:$S,MATCH($B120,'DRAFT 1'!$B:$B,0)),"")</f>
        <v/>
      </c>
      <c r="X120" s="116">
        <f>IFERROR(INDEX('DRAFT 1'!$T:$T,MATCH($B120,'DRAFT 1'!$B:$B,0)),"")</f>
        <v/>
      </c>
      <c r="Z120" s="116">
        <f>IFERROR(INDEX('DRAFT 1'!$U:$U,MATCH($B120,'DRAFT 1'!$B:$B,0)),"")</f>
        <v/>
      </c>
      <c r="AA120" s="116">
        <f>IFERROR(INDEX('DRAFT 1'!$V:$V,MATCH($B120,'DRAFT 1'!$B:$B,0)),"")</f>
        <v/>
      </c>
      <c r="AB120" s="116">
        <f>IFERROR(INDEX('DRAFT 1'!$W:$W,MATCH($B120,'DRAFT 1'!$B:$B,0)),"")</f>
        <v/>
      </c>
      <c r="AC120" s="116">
        <f>IFERROR(INDEX('DRAFT 1'!$X:$X,MATCH($B120,'DRAFT 1'!$B:$B,0)),"")</f>
        <v/>
      </c>
      <c r="AD120" s="116">
        <f>IFERROR(INDEX('DRAFT 1'!$Y:$Y,MATCH($B120,'DRAFT 1'!$B:$B,0)),"")</f>
        <v/>
      </c>
      <c r="AE120" s="116">
        <f>IFERROR(INDEX('DRAFT 1'!$Z:$Z,MATCH($B120,'DRAFT 1'!$B:$B,0)),"")</f>
        <v/>
      </c>
      <c r="AF120" s="116">
        <f>IFERROR(INDEX('DRAFT 1'!$AA:$AA,MATCH($B120,'DRAFT 1'!$B:$B,0)),"")</f>
        <v/>
      </c>
      <c r="AG120" s="116">
        <f>IFERROR(INDEX('DRAFT 1'!$AB:$AB,MATCH($B120,'DRAFT 1'!$B:$B,0)),"")</f>
        <v/>
      </c>
      <c r="AH120" s="116">
        <f>IFERROR(INDEX('DRAFT 1'!$AC:$AC,MATCH($B120,'DRAFT 1'!$B:$B,0)),"")</f>
        <v/>
      </c>
      <c r="AI120" s="116">
        <f>IFERROR(INDEX('DRAFT 1'!$AD:$AD,MATCH($B120,'DRAFT 1'!$B:$B,0)),"")</f>
        <v/>
      </c>
      <c r="AJ120" s="116">
        <f>IFERROR(INDEX('DRAFT 1'!$AE:$AE,MATCH($B120,'DRAFT 1'!$B:$B,0)),"")</f>
        <v/>
      </c>
      <c r="AK120" s="116">
        <f>IFERROR(INDEX('DRAFT 1'!$AG:$AG,MATCH($B120,'DRAFT 1'!$B:$B,0)),"")</f>
        <v/>
      </c>
      <c r="AL120" s="116">
        <f>IFERROR(INDEX('DRAFT 1'!$AH:$AH,MATCH($B120,'DRAFT 1'!$B:$B,0)),"")</f>
        <v/>
      </c>
      <c r="AM120" s="116">
        <f>IFERROR(INDEX('DRAFT 1'!$AI:$AI,MATCH($B120,'DRAFT 1'!$B:$B,0)),"")</f>
        <v/>
      </c>
      <c r="AN120" s="116">
        <f>IFERROR(INDEX('DRAFT 1'!$AJ:$AJ,MATCH($B120,'DRAFT 1'!$B:$B,0)),"")</f>
        <v/>
      </c>
      <c r="AO120" s="116">
        <f>IFERROR(Y120/AN120,0)</f>
        <v/>
      </c>
      <c r="AP120" s="116">
        <f>IFERROR(INDEX('DRAFT 1'!$AK:$AK,MATCH($B120,'DRAFT 1'!$B:$B,0)),"")</f>
        <v/>
      </c>
      <c r="AR120" s="116" t="inlineStr">
        <is>
          <t>SALVAMENTO</t>
        </is>
      </c>
      <c r="AS120" s="116">
        <f>IFERROR(LOOKUP(2,1/('DRAFT 2'!$D:$D=$B120),'DRAFT 2'!$T:$T),"")</f>
        <v/>
      </c>
      <c r="AT120" s="116">
        <f>IFERROR(LOOKUP(2,1/('DRAFT 2'!$D:$D=$B120),'DRAFT 2'!$A:$A),"")</f>
        <v/>
      </c>
      <c r="AU120" s="116">
        <f>IFERROR(LOOKUP(2,1/('DRAFT 2'!$D:$D=$B120),'DRAFT 2'!$R:$R),"")</f>
        <v/>
      </c>
      <c r="AV120" s="116">
        <f>IFERROR(LOOKUP(2,1/('DRAFT 2'!$D:$D=$B120),'DRAFT 2'!$S:$S),"")</f>
        <v/>
      </c>
      <c r="AW120" s="116" t="inlineStr">
        <is>
          <t>EM DESENVOLVIMENTO</t>
        </is>
      </c>
      <c r="AX120" s="116">
        <f>IFERROR(LOOKUP(2,1/('DRAFT 2'!$D:$D=$B120),'DRAFT 2'!$M:$M),"")</f>
        <v/>
      </c>
      <c r="AY120" s="116">
        <f>IFERROR(LOOKUP(2,1/('DRAFT 2'!$D:$D=$B120),'DRAFT 2'!$K:$K),"")</f>
        <v/>
      </c>
      <c r="BG120" s="116">
        <f>IFERROR(LOOKUP(2,1/('DRAFT 2'!$D:$D=$B120),'DRAFT 2'!$U:$U),"")</f>
        <v/>
      </c>
      <c r="BH120" s="116">
        <f>IFERROR(LOOKUP(2,1/('DRAFT 2'!$D:$D=$B120),'DRAFT 2'!$V:$V),"")</f>
        <v/>
      </c>
      <c r="CE120" s="116">
        <f>IFERROR(AJ120,0)</f>
        <v/>
      </c>
      <c r="CF120" s="116">
        <f>IFERROR(LOOKUP(2,1/('DRAFT 2'!$D:$D=$B120)*('DRAFT 2'!$A:$A&gt;=DATE(2026,1,1))*('DRAFT 2'!$A:$A&lt;DATE(2026,IF(1=12,1+1,1+1),1)),'DRAFT 2'!$A:$A),"")</f>
        <v/>
      </c>
      <c r="CG120" s="116">
        <f>COUNTIFS('DRAFT 2'!$D:$D,$B120,'DRAFT 2'!$A:$A,"&gt;="&amp;DATE(2026,1,1),'DRAFT 2'!$A:$A,"&lt;="&amp;DATE(2026,1,7))</f>
        <v/>
      </c>
      <c r="CH120" s="116">
        <f>COUNTIFS('DRAFT 2'!$D:$D,$B120,'DRAFT 2'!$A:$A,"&gt;="&amp;DATE(2026,1,8),'DRAFT 2'!$A:$A,"&lt;="&amp;DATE(2026,1,14))</f>
        <v/>
      </c>
      <c r="CI120" s="116">
        <f>COUNTIFS('DRAFT 2'!$D:$D,$B120,'DRAFT 2'!$A:$A,"&gt;="&amp;DATE(2026,1,15),'DRAFT 2'!$A:$A,"&lt;="&amp;DATE(2026,1,21))</f>
        <v/>
      </c>
      <c r="CJ120" s="116">
        <f>COUNTIFS('DRAFT 2'!$D:$D,$B120,'DRAFT 2'!$A:$A,"&gt;="&amp;DATE(2026,1,22),'DRAFT 2'!$A:$A,"&lt;"&amp;DATE(2026,IF(1=12,1+1,1+1),1))</f>
        <v/>
      </c>
      <c r="CK120" s="116">
        <f>SUM(CG120:CJ120)</f>
        <v/>
      </c>
      <c r="CT120" s="116" t="n">
        <v>0</v>
      </c>
      <c r="CU120" s="116">
        <f>IFERROR(LOOKUP(2,1/('DRAFT 2'!$D:$D=$B120)*('DRAFT 2'!$A:$A&gt;=DATE(2026,2,1))*('DRAFT 2'!$A:$A&lt;DATE(2026,IF(2=12,2+1,2+1),1)),'DRAFT 2'!$A:$A),"")</f>
        <v/>
      </c>
      <c r="CV120" s="116">
        <f>COUNTIFS('DRAFT 2'!$D:$D,$B120,'DRAFT 2'!$A:$A,"&gt;="&amp;DATE(2026,2,1),'DRAFT 2'!$A:$A,"&lt;="&amp;DATE(2026,2,7))</f>
        <v/>
      </c>
      <c r="CW120" s="116">
        <f>COUNTIFS('DRAFT 2'!$D:$D,$B120,'DRAFT 2'!$A:$A,"&gt;="&amp;DATE(2026,2,8),'DRAFT 2'!$A:$A,"&lt;="&amp;DATE(2026,2,14))</f>
        <v/>
      </c>
      <c r="CX120" s="116">
        <f>COUNTIFS('DRAFT 2'!$D:$D,$B120,'DRAFT 2'!$A:$A,"&gt;="&amp;DATE(2026,2,15),'DRAFT 2'!$A:$A,"&lt;="&amp;DATE(2026,2,21))</f>
        <v/>
      </c>
      <c r="CY120" s="116">
        <f>COUNTIFS('DRAFT 2'!$D:$D,$B120,'DRAFT 2'!$A:$A,"&gt;="&amp;DATE(2026,2,22),'DRAFT 2'!$A:$A,"&lt;"&amp;DATE(2026,IF(2=12,2+1,2+1),1))</f>
        <v/>
      </c>
      <c r="CZ120" s="116">
        <f>SUM(CV120:CY120)</f>
        <v/>
      </c>
      <c r="DJ120" s="116">
        <f>IFERROR(LOOKUP(2,1/('DRAFT 2'!$D:$D=$B120)*('DRAFT 2'!$A:$A&gt;=DATE(2026,3,1))*('DRAFT 2'!$A:$A&lt;DATE(2026,IF(3=12,3+1,3+1),1)),'DRAFT 2'!$A:$A),"")</f>
        <v/>
      </c>
      <c r="DK120" s="116">
        <f>COUNTIFS('DRAFT 2'!$D:$D,$B120,'DRAFT 2'!$A:$A,"&gt;="&amp;DATE(2026,3,1),'DRAFT 2'!$A:$A,"&lt;="&amp;DATE(2026,3,7))</f>
        <v/>
      </c>
      <c r="DL120" s="116">
        <f>COUNTIFS('DRAFT 2'!$D:$D,$B120,'DRAFT 2'!$A:$A,"&gt;="&amp;DATE(2026,3,8),'DRAFT 2'!$A:$A,"&lt;="&amp;DATE(2026,3,14))</f>
        <v/>
      </c>
      <c r="DM120" s="116">
        <f>COUNTIFS('DRAFT 2'!$D:$D,$B120,'DRAFT 2'!$A:$A,"&gt;="&amp;DATE(2026,3,15),'DRAFT 2'!$A:$A,"&lt;="&amp;DATE(2026,3,21))</f>
        <v/>
      </c>
      <c r="DN120" s="116">
        <f>COUNTIFS('DRAFT 2'!$D:$D,$B120,'DRAFT 2'!$A:$A,"&gt;="&amp;DATE(2026,3,22),'DRAFT 2'!$A:$A,"&lt;"&amp;DATE(2026,IF(3=12,3+1,3+1),1))</f>
        <v/>
      </c>
      <c r="DO120" s="116">
        <f>SUM(DK120:DN120)</f>
        <v/>
      </c>
      <c r="DZ120" s="116">
        <f>IFERROR(LOOKUP(2,1/('DRAFT 2'!$D:$D=$B120)*('DRAFT 2'!$A:$A&gt;=DATE(2026,4,1))*('DRAFT 2'!$A:$A&lt;DATE(2026,IF(4=12,4+1,4+1),1)),'DRAFT 2'!$A:$A),"")</f>
        <v/>
      </c>
      <c r="EA120" s="116">
        <f>COUNTIFS('DRAFT 2'!$D:$D,$B120,'DRAFT 2'!$A:$A,"&gt;="&amp;DATE(2026,4,1),'DRAFT 2'!$A:$A,"&lt;="&amp;DATE(2026,4,7))</f>
        <v/>
      </c>
      <c r="EB120" s="116">
        <f>COUNTIFS('DRAFT 2'!$D:$D,$B120,'DRAFT 2'!$A:$A,"&gt;="&amp;DATE(2026,4,8),'DRAFT 2'!$A:$A,"&lt;="&amp;DATE(2026,4,14))</f>
        <v/>
      </c>
      <c r="EC120" s="116">
        <f>COUNTIFS('DRAFT 2'!$D:$D,$B120,'DRAFT 2'!$A:$A,"&gt;="&amp;DATE(2026,4,15),'DRAFT 2'!$A:$A,"&lt;="&amp;DATE(2026,4,21))</f>
        <v/>
      </c>
      <c r="ED120" s="116">
        <f>COUNTIFS('DRAFT 2'!$D:$D,$B120,'DRAFT 2'!$A:$A,"&gt;="&amp;DATE(2026,4,22),'DRAFT 2'!$A:$A,"&lt;"&amp;DATE(2026,IF(4=12,4+1,4+1),1))</f>
        <v/>
      </c>
      <c r="EE120" s="116">
        <f>SUM(EA120:ED120)</f>
        <v/>
      </c>
      <c r="EO120" s="116">
        <f>IFERROR(LOOKUP(2,1/('DRAFT 2'!$D:$D=$B120)*('DRAFT 2'!$A:$A&gt;=DATE(2026,5,1))*('DRAFT 2'!$A:$A&lt;DATE(2026,IF(5=12,5+1,5+1),1)),'DRAFT 2'!$A:$A),"")</f>
        <v/>
      </c>
      <c r="EP120" s="116">
        <f>COUNTIFS('DRAFT 2'!$D:$D,$B120,'DRAFT 2'!$A:$A,"&gt;="&amp;DATE(2026,5,1),'DRAFT 2'!$A:$A,"&lt;="&amp;DATE(2026,5,7))</f>
        <v/>
      </c>
      <c r="EQ120" s="116">
        <f>COUNTIFS('DRAFT 2'!$D:$D,$B120,'DRAFT 2'!$A:$A,"&gt;="&amp;DATE(2026,5,8),'DRAFT 2'!$A:$A,"&lt;="&amp;DATE(2026,5,14))</f>
        <v/>
      </c>
      <c r="ER120" s="116">
        <f>COUNTIFS('DRAFT 2'!$D:$D,$B120,'DRAFT 2'!$A:$A,"&gt;="&amp;DATE(2026,5,15),'DRAFT 2'!$A:$A,"&lt;="&amp;DATE(2026,5,21))</f>
        <v/>
      </c>
      <c r="ES120" s="116">
        <f>COUNTIFS('DRAFT 2'!$D:$D,$B120,'DRAFT 2'!$A:$A,"&gt;="&amp;DATE(2026,5,22),'DRAFT 2'!$A:$A,"&lt;"&amp;DATE(2026,IF(5=12,5+1,5+1),1))</f>
        <v/>
      </c>
      <c r="ET120" s="116">
        <f>SUM(EP120:ES120)</f>
        <v/>
      </c>
      <c r="FD120" s="116">
        <f>IFERROR(LOOKUP(2,1/('DRAFT 2'!$D:$D=$B120)*('DRAFT 2'!$A:$A&gt;=DATE(2026,6,1))*('DRAFT 2'!$A:$A&lt;DATE(2026,IF(6=12,6+1,6+1),1)),'DRAFT 2'!$A:$A),"")</f>
        <v/>
      </c>
      <c r="FE120" s="116">
        <f>COUNTIFS('DRAFT 2'!$D:$D,$B120,'DRAFT 2'!$A:$A,"&gt;="&amp;DATE(2026,6,1),'DRAFT 2'!$A:$A,"&lt;="&amp;DATE(2026,6,7))</f>
        <v/>
      </c>
      <c r="FF120" s="116">
        <f>COUNTIFS('DRAFT 2'!$D:$D,$B120,'DRAFT 2'!$A:$A,"&gt;="&amp;DATE(2026,6,8),'DRAFT 2'!$A:$A,"&lt;="&amp;DATE(2026,6,14))</f>
        <v/>
      </c>
      <c r="FG120" s="116">
        <f>COUNTIFS('DRAFT 2'!$D:$D,$B120,'DRAFT 2'!$A:$A,"&gt;="&amp;DATE(2026,6,15),'DRAFT 2'!$A:$A,"&lt;="&amp;DATE(2026,6,21))</f>
        <v/>
      </c>
      <c r="FH120" s="116">
        <f>COUNTIFS('DRAFT 2'!$D:$D,$B120,'DRAFT 2'!$A:$A,"&gt;="&amp;DATE(2026,6,22),'DRAFT 2'!$A:$A,"&lt;"&amp;DATE(2026,IF(6=12,6+1,6+1),1))</f>
        <v/>
      </c>
      <c r="FI120" s="116">
        <f>SUM(FE120:FH120)</f>
        <v/>
      </c>
      <c r="FT120" s="116">
        <f>IFERROR(LOOKUP(2,1/('DRAFT 2'!$D:$D=$B120)*('DRAFT 2'!$A:$A&gt;=DATE(2026,7,1))*('DRAFT 2'!$A:$A&lt;DATE(2026,IF(7=12,7+1,7+1),1)),'DRAFT 2'!$A:$A),"")</f>
        <v/>
      </c>
      <c r="FU120" s="116">
        <f>COUNTIFS('DRAFT 2'!$D:$D,$B120,'DRAFT 2'!$A:$A,"&gt;="&amp;DATE(2026,7,1),'DRAFT 2'!$A:$A,"&lt;="&amp;DATE(2026,7,7))</f>
        <v/>
      </c>
      <c r="FV120" s="116">
        <f>COUNTIFS('DRAFT 2'!$D:$D,$B120,'DRAFT 2'!$A:$A,"&gt;="&amp;DATE(2026,7,8),'DRAFT 2'!$A:$A,"&lt;="&amp;DATE(2026,7,14))</f>
        <v/>
      </c>
      <c r="FW120" s="116">
        <f>COUNTIFS('DRAFT 2'!$D:$D,$B120,'DRAFT 2'!$A:$A,"&gt;="&amp;DATE(2026,7,15),'DRAFT 2'!$A:$A,"&lt;="&amp;DATE(2026,7,21))</f>
        <v/>
      </c>
      <c r="FX120" s="116">
        <f>COUNTIFS('DRAFT 2'!$D:$D,$B120,'DRAFT 2'!$A:$A,"&gt;="&amp;DATE(2026,7,22),'DRAFT 2'!$A:$A,"&lt;"&amp;DATE(2026,IF(7=12,7+1,7+1),1))</f>
        <v/>
      </c>
      <c r="FY120" s="116">
        <f>SUM(FU120:FX120)</f>
        <v/>
      </c>
      <c r="GI120" s="116">
        <f>IFERROR(LOOKUP(2,1/('DRAFT 2'!$D:$D=$B120)*('DRAFT 2'!$A:$A&gt;=DATE(2026,8,1))*('DRAFT 2'!$A:$A&lt;DATE(2026,IF(8=12,8+1,8+1),1)),'DRAFT 2'!$A:$A),"")</f>
        <v/>
      </c>
      <c r="GJ120" s="116">
        <f>COUNTIFS('DRAFT 2'!$D:$D,$B120,'DRAFT 2'!$A:$A,"&gt;="&amp;DATE(2026,8,1),'DRAFT 2'!$A:$A,"&lt;="&amp;DATE(2026,8,7))</f>
        <v/>
      </c>
      <c r="GK120" s="116">
        <f>COUNTIFS('DRAFT 2'!$D:$D,$B120,'DRAFT 2'!$A:$A,"&gt;="&amp;DATE(2026,8,8),'DRAFT 2'!$A:$A,"&lt;="&amp;DATE(2026,8,14))</f>
        <v/>
      </c>
      <c r="GL120" s="116">
        <f>COUNTIFS('DRAFT 2'!$D:$D,$B120,'DRAFT 2'!$A:$A,"&gt;="&amp;DATE(2026,8,15),'DRAFT 2'!$A:$A,"&lt;="&amp;DATE(2026,8,21))</f>
        <v/>
      </c>
      <c r="GM120" s="116">
        <f>COUNTIFS('DRAFT 2'!$D:$D,$B120,'DRAFT 2'!$A:$A,"&gt;="&amp;DATE(2026,8,22),'DRAFT 2'!$A:$A,"&lt;"&amp;DATE(2026,IF(8=12,8+1,8+1),1))</f>
        <v/>
      </c>
      <c r="GN120" s="116">
        <f>SUM(GJ120:GM120)</f>
        <v/>
      </c>
      <c r="GX120" s="116">
        <f>IFERROR(LOOKUP(2,1/('DRAFT 2'!$D:$D=$B120)*('DRAFT 2'!$A:$A&gt;=DATE(2026,9,1))*('DRAFT 2'!$A:$A&lt;DATE(2026,IF(9=12,9+1,9+1),1)),'DRAFT 2'!$A:$A),"")</f>
        <v/>
      </c>
      <c r="GY120" s="116">
        <f>COUNTIFS('DRAFT 2'!$D:$D,$B120,'DRAFT 2'!$A:$A,"&gt;="&amp;DATE(2026,9,1),'DRAFT 2'!$A:$A,"&lt;="&amp;DATE(2026,9,7))</f>
        <v/>
      </c>
      <c r="GZ120" s="116">
        <f>COUNTIFS('DRAFT 2'!$D:$D,$B120,'DRAFT 2'!$A:$A,"&gt;="&amp;DATE(2026,9,8),'DRAFT 2'!$A:$A,"&lt;="&amp;DATE(2026,9,14))</f>
        <v/>
      </c>
      <c r="HA120" s="116">
        <f>COUNTIFS('DRAFT 2'!$D:$D,$B120,'DRAFT 2'!$A:$A,"&gt;="&amp;DATE(2026,9,15),'DRAFT 2'!$A:$A,"&lt;="&amp;DATE(2026,9,21))</f>
        <v/>
      </c>
      <c r="HB120" s="116">
        <f>COUNTIFS('DRAFT 2'!$D:$D,$B120,'DRAFT 2'!$A:$A,"&gt;="&amp;DATE(2026,9,22),'DRAFT 2'!$A:$A,"&lt;"&amp;DATE(2026,IF(9=12,9+1,9+1),1))</f>
        <v/>
      </c>
      <c r="HC120" s="116">
        <f>SUM(GY120:HB120)</f>
        <v/>
      </c>
      <c r="HN120" s="116">
        <f>IFERROR(LOOKUP(2,1/('DRAFT 2'!$D:$D=$B120)*('DRAFT 2'!$A:$A&gt;=DATE(2026,10,1))*('DRAFT 2'!$A:$A&lt;DATE(2026,IF(10=12,10+1,10+1),1)),'DRAFT 2'!$A:$A),"")</f>
        <v/>
      </c>
      <c r="HO120" s="116">
        <f>COUNTIFS('DRAFT 2'!$D:$D,$B120,'DRAFT 2'!$A:$A,"&gt;="&amp;DATE(2026,10,1),'DRAFT 2'!$A:$A,"&lt;="&amp;DATE(2026,10,7))</f>
        <v/>
      </c>
      <c r="HP120" s="116">
        <f>COUNTIFS('DRAFT 2'!$D:$D,$B120,'DRAFT 2'!$A:$A,"&gt;="&amp;DATE(2026,10,8),'DRAFT 2'!$A:$A,"&lt;="&amp;DATE(2026,10,14))</f>
        <v/>
      </c>
      <c r="HQ120" s="116">
        <f>COUNTIFS('DRAFT 2'!$D:$D,$B120,'DRAFT 2'!$A:$A,"&gt;="&amp;DATE(2026,10,15),'DRAFT 2'!$A:$A,"&lt;="&amp;DATE(2026,10,21))</f>
        <v/>
      </c>
      <c r="HR120" s="116">
        <f>COUNTIFS('DRAFT 2'!$D:$D,$B120,'DRAFT 2'!$A:$A,"&gt;="&amp;DATE(2026,10,22),'DRAFT 2'!$A:$A,"&lt;"&amp;DATE(2026,IF(10=12,10+1,10+1),1))</f>
        <v/>
      </c>
      <c r="HS120" s="116">
        <f>SUM(HO120:HR120)</f>
        <v/>
      </c>
      <c r="IC120" s="116">
        <f>IFERROR(LOOKUP(2,1/('DRAFT 2'!$D:$D=$B120)*('DRAFT 2'!$A:$A&gt;=DATE(2026,11,1))*('DRAFT 2'!$A:$A&lt;DATE(2026,IF(11=12,11+1,11+1),1)),'DRAFT 2'!$A:$A),"")</f>
        <v/>
      </c>
      <c r="ID120" s="116">
        <f>COUNTIFS('DRAFT 2'!$D:$D,$B120,'DRAFT 2'!$A:$A,"&gt;="&amp;DATE(2026,11,1),'DRAFT 2'!$A:$A,"&lt;="&amp;DATE(2026,11,7))</f>
        <v/>
      </c>
      <c r="IE120" s="116">
        <f>COUNTIFS('DRAFT 2'!$D:$D,$B120,'DRAFT 2'!$A:$A,"&gt;="&amp;DATE(2026,11,8),'DRAFT 2'!$A:$A,"&lt;="&amp;DATE(2026,11,14))</f>
        <v/>
      </c>
      <c r="IF120" s="116">
        <f>COUNTIFS('DRAFT 2'!$D:$D,$B120,'DRAFT 2'!$A:$A,"&gt;="&amp;DATE(2026,11,15),'DRAFT 2'!$A:$A,"&lt;="&amp;DATE(2026,11,21))</f>
        <v/>
      </c>
      <c r="IG120" s="116">
        <f>COUNTIFS('DRAFT 2'!$D:$D,$B120,'DRAFT 2'!$A:$A,"&gt;="&amp;DATE(2026,11,22),'DRAFT 2'!$A:$A,"&lt;"&amp;DATE(2026,IF(11=12,11+1,11+1),1))</f>
        <v/>
      </c>
      <c r="IH120" s="116">
        <f>SUM(ID120:IG120)</f>
        <v/>
      </c>
      <c r="IR120" s="116">
        <f>IFERROR(LOOKUP(2,1/('DRAFT 2'!$D:$D=$B120)*('DRAFT 2'!$A:$A&gt;=DATE(2026,12,1))*('DRAFT 2'!$A:$A&lt;DATE(2026,IF(12=12,12+1,12+1),1)),'DRAFT 2'!$A:$A),"")</f>
        <v/>
      </c>
      <c r="IS120" s="116">
        <f>COUNTIFS('DRAFT 2'!$D:$D,$B120,'DRAFT 2'!$A:$A,"&gt;="&amp;DATE(2026,12,1),'DRAFT 2'!$A:$A,"&lt;="&amp;DATE(2026,12,7))</f>
        <v/>
      </c>
      <c r="IT120" s="116">
        <f>COUNTIFS('DRAFT 2'!$D:$D,$B120,'DRAFT 2'!$A:$A,"&gt;="&amp;DATE(2026,12,8),'DRAFT 2'!$A:$A,"&lt;="&amp;DATE(2026,12,14))</f>
        <v/>
      </c>
      <c r="IU120" s="116">
        <f>COUNTIFS('DRAFT 2'!$D:$D,$B120,'DRAFT 2'!$A:$A,"&gt;="&amp;DATE(2026,12,15),'DRAFT 2'!$A:$A,"&lt;="&amp;DATE(2026,12,21))</f>
        <v/>
      </c>
      <c r="IV120" s="116">
        <f>COUNTIFS('DRAFT 2'!$D:$D,$B120,'DRAFT 2'!$A:$A,"&gt;="&amp;DATE(2026,12,22),'DRAFT 2'!$A:$A,"&lt;"&amp;DATE(2026,IF(12=12,12+1,12+1),1))</f>
        <v/>
      </c>
      <c r="IW120" s="116">
        <f>SUM(IS120:IV120)</f>
        <v/>
      </c>
    </row>
    <row r="121">
      <c r="A121" s="116">
        <f>IFERROR(INDEX('DRAFT 1'!$A:$A,MATCH($B121,'DRAFT 1'!$B:$B,0)),"")</f>
        <v/>
      </c>
      <c r="C121" s="116">
        <f>IFERROR(INDEX('DRAFT 1'!$C:$C,MATCH($B121,'DRAFT 1'!$B:$B,0)),"")</f>
        <v/>
      </c>
      <c r="D121" s="116">
        <f>IFERROR(INDEX('DRAFT 1'!$D:$D,MATCH($B121,'DRAFT 1'!$B:$B,0)),"")</f>
        <v/>
      </c>
      <c r="E121" s="116">
        <f>IFERROR(INDEX('DRAFT 1'!$E:$E,MATCH($B121,'DRAFT 1'!$B:$B,0)),"")</f>
        <v/>
      </c>
      <c r="F121" s="116">
        <f>IFERROR(INDEX('DRAFT 1'!$F:$F,MATCH($B121,'DRAFT 1'!$B:$B,0)),"")</f>
        <v/>
      </c>
      <c r="G121" s="116">
        <f>IFERROR(INDEX('DRAFT 1'!$G:$G,MATCH($B121,'DRAFT 1'!$B:$B,0)),"")</f>
        <v/>
      </c>
      <c r="H121" s="116">
        <f>IFERROR(INDEX('DRAFT 1'!$H:$H,MATCH($B121,'DRAFT 1'!$B:$B,0)),"")</f>
        <v/>
      </c>
      <c r="I121" s="116" t="inlineStr">
        <is>
          <t>VIDA LEVE</t>
        </is>
      </c>
      <c r="K121" s="116">
        <f>IFERROR(INDEX('DRAFT 1'!$AL:$AL,MATCH($B121,'DRAFT 1'!$B:$B,0)),"")</f>
        <v/>
      </c>
      <c r="L121" s="116">
        <f>IFERROR(INDEX('DRAFT 1'!$J:$J,MATCH($B121,'DRAFT 1'!$B:$B,0)),"")</f>
        <v/>
      </c>
      <c r="M121" s="116">
        <f>IFERROR(INDEX('DRAFT 1'!$K:$K,MATCH($B121,'DRAFT 1'!$B:$B,0)),"")</f>
        <v/>
      </c>
      <c r="N121" s="116" t="inlineStr">
        <is>
          <t>INAT.REC</t>
        </is>
      </c>
      <c r="P121" s="116">
        <f>IFERROR(INDEX('DRAFT 1'!$L:$L,MATCH($B121,'DRAFT 1'!$B:$B,0)),"")</f>
        <v/>
      </c>
      <c r="Q121" s="116">
        <f>IFERROR(INDEX('DRAFT 1'!$M:$M,MATCH($B121,'DRAFT 1'!$B:$B,0)),"")</f>
        <v/>
      </c>
      <c r="R121" s="116">
        <f>IFERROR(INDEX('DRAFT 1'!$N:$N,MATCH($B121,'DRAFT 1'!$B:$B,0)),"")</f>
        <v/>
      </c>
      <c r="S121" s="116">
        <f>IFERROR(INDEX('DRAFT 1'!$O:$O,MATCH($B121,'DRAFT 1'!$B:$B,0)),"")</f>
        <v/>
      </c>
      <c r="T121" s="116">
        <f>IFERROR(INDEX('DRAFT 1'!$P:$P,MATCH($B121,'DRAFT 1'!$B:$B,0)),"")</f>
        <v/>
      </c>
      <c r="U121" s="116">
        <f>IFERROR(INDEX('DRAFT 1'!$Q:$Q,MATCH($B121,'DRAFT 1'!$B:$B,0)),"")</f>
        <v/>
      </c>
      <c r="V121" s="116">
        <f>IFERROR(INDEX('DRAFT 1'!$R:$R,MATCH($B121,'DRAFT 1'!$B:$B,0)),"")</f>
        <v/>
      </c>
      <c r="W121" s="116">
        <f>IFERROR(INDEX('DRAFT 1'!$S:$S,MATCH($B121,'DRAFT 1'!$B:$B,0)),"")</f>
        <v/>
      </c>
      <c r="X121" s="116">
        <f>IFERROR(INDEX('DRAFT 1'!$T:$T,MATCH($B121,'DRAFT 1'!$B:$B,0)),"")</f>
        <v/>
      </c>
      <c r="Z121" s="116">
        <f>IFERROR(INDEX('DRAFT 1'!$U:$U,MATCH($B121,'DRAFT 1'!$B:$B,0)),"")</f>
        <v/>
      </c>
      <c r="AA121" s="116">
        <f>IFERROR(INDEX('DRAFT 1'!$V:$V,MATCH($B121,'DRAFT 1'!$B:$B,0)),"")</f>
        <v/>
      </c>
      <c r="AB121" s="116">
        <f>IFERROR(INDEX('DRAFT 1'!$W:$W,MATCH($B121,'DRAFT 1'!$B:$B,0)),"")</f>
        <v/>
      </c>
      <c r="AC121" s="116">
        <f>IFERROR(INDEX('DRAFT 1'!$X:$X,MATCH($B121,'DRAFT 1'!$B:$B,0)),"")</f>
        <v/>
      </c>
      <c r="AD121" s="116">
        <f>IFERROR(INDEX('DRAFT 1'!$Y:$Y,MATCH($B121,'DRAFT 1'!$B:$B,0)),"")</f>
        <v/>
      </c>
      <c r="AE121" s="116">
        <f>IFERROR(INDEX('DRAFT 1'!$Z:$Z,MATCH($B121,'DRAFT 1'!$B:$B,0)),"")</f>
        <v/>
      </c>
      <c r="AF121" s="116">
        <f>IFERROR(INDEX('DRAFT 1'!$AA:$AA,MATCH($B121,'DRAFT 1'!$B:$B,0)),"")</f>
        <v/>
      </c>
      <c r="AG121" s="116">
        <f>IFERROR(INDEX('DRAFT 1'!$AB:$AB,MATCH($B121,'DRAFT 1'!$B:$B,0)),"")</f>
        <v/>
      </c>
      <c r="AH121" s="116">
        <f>IFERROR(INDEX('DRAFT 1'!$AC:$AC,MATCH($B121,'DRAFT 1'!$B:$B,0)),"")</f>
        <v/>
      </c>
      <c r="AI121" s="116">
        <f>IFERROR(INDEX('DRAFT 1'!$AD:$AD,MATCH($B121,'DRAFT 1'!$B:$B,0)),"")</f>
        <v/>
      </c>
      <c r="AJ121" s="116">
        <f>IFERROR(INDEX('DRAFT 1'!$AE:$AE,MATCH($B121,'DRAFT 1'!$B:$B,0)),"")</f>
        <v/>
      </c>
      <c r="AK121" s="116">
        <f>IFERROR(INDEX('DRAFT 1'!$AG:$AG,MATCH($B121,'DRAFT 1'!$B:$B,0)),"")</f>
        <v/>
      </c>
      <c r="AL121" s="116">
        <f>IFERROR(INDEX('DRAFT 1'!$AH:$AH,MATCH($B121,'DRAFT 1'!$B:$B,0)),"")</f>
        <v/>
      </c>
      <c r="AM121" s="116">
        <f>IFERROR(INDEX('DRAFT 1'!$AI:$AI,MATCH($B121,'DRAFT 1'!$B:$B,0)),"")</f>
        <v/>
      </c>
      <c r="AN121" s="116">
        <f>IFERROR(INDEX('DRAFT 1'!$AJ:$AJ,MATCH($B121,'DRAFT 1'!$B:$B,0)),"")</f>
        <v/>
      </c>
      <c r="AO121" s="116">
        <f>IFERROR(Y121/AN121,0)</f>
        <v/>
      </c>
      <c r="AP121" s="116">
        <f>IFERROR(INDEX('DRAFT 1'!$AK:$AK,MATCH($B121,'DRAFT 1'!$B:$B,0)),"")</f>
        <v/>
      </c>
      <c r="AR121" s="116" t="inlineStr">
        <is>
          <t>PÓS-VENDA</t>
        </is>
      </c>
      <c r="AS121" s="116">
        <f>IFERROR(LOOKUP(2,1/('DRAFT 2'!$D:$D=$B121),'DRAFT 2'!$T:$T),"")</f>
        <v/>
      </c>
      <c r="AT121" s="116">
        <f>IFERROR(LOOKUP(2,1/('DRAFT 2'!$D:$D=$B121),'DRAFT 2'!$A:$A),"")</f>
        <v/>
      </c>
      <c r="AU121" s="116">
        <f>IFERROR(LOOKUP(2,1/('DRAFT 2'!$D:$D=$B121),'DRAFT 2'!$R:$R),"")</f>
        <v/>
      </c>
      <c r="AV121" s="116">
        <f>IFERROR(LOOKUP(2,1/('DRAFT 2'!$D:$D=$B121),'DRAFT 2'!$S:$S),"")</f>
        <v/>
      </c>
      <c r="AW121" s="116" t="inlineStr">
        <is>
          <t>EM DESENVOLVIMENTO</t>
        </is>
      </c>
      <c r="AX121" s="116">
        <f>IFERROR(LOOKUP(2,1/('DRAFT 2'!$D:$D=$B121),'DRAFT 2'!$M:$M),"")</f>
        <v/>
      </c>
      <c r="AY121" s="116">
        <f>IFERROR(LOOKUP(2,1/('DRAFT 2'!$D:$D=$B121),'DRAFT 2'!$K:$K),"")</f>
        <v/>
      </c>
      <c r="BG121" s="116">
        <f>IFERROR(LOOKUP(2,1/('DRAFT 2'!$D:$D=$B121),'DRAFT 2'!$U:$U),"")</f>
        <v/>
      </c>
      <c r="BH121" s="116">
        <f>IFERROR(LOOKUP(2,1/('DRAFT 2'!$D:$D=$B121),'DRAFT 2'!$V:$V),"")</f>
        <v/>
      </c>
      <c r="CE121" s="116">
        <f>IFERROR(AJ121,0)</f>
        <v/>
      </c>
      <c r="CF121" s="116">
        <f>IFERROR(LOOKUP(2,1/('DRAFT 2'!$D:$D=$B121)*('DRAFT 2'!$A:$A&gt;=DATE(2026,1,1))*('DRAFT 2'!$A:$A&lt;DATE(2026,IF(1=12,1+1,1+1),1)),'DRAFT 2'!$A:$A),"")</f>
        <v/>
      </c>
      <c r="CG121" s="116">
        <f>COUNTIFS('DRAFT 2'!$D:$D,$B121,'DRAFT 2'!$A:$A,"&gt;="&amp;DATE(2026,1,1),'DRAFT 2'!$A:$A,"&lt;="&amp;DATE(2026,1,7))</f>
        <v/>
      </c>
      <c r="CH121" s="116">
        <f>COUNTIFS('DRAFT 2'!$D:$D,$B121,'DRAFT 2'!$A:$A,"&gt;="&amp;DATE(2026,1,8),'DRAFT 2'!$A:$A,"&lt;="&amp;DATE(2026,1,14))</f>
        <v/>
      </c>
      <c r="CI121" s="116">
        <f>COUNTIFS('DRAFT 2'!$D:$D,$B121,'DRAFT 2'!$A:$A,"&gt;="&amp;DATE(2026,1,15),'DRAFT 2'!$A:$A,"&lt;="&amp;DATE(2026,1,21))</f>
        <v/>
      </c>
      <c r="CJ121" s="116">
        <f>COUNTIFS('DRAFT 2'!$D:$D,$B121,'DRAFT 2'!$A:$A,"&gt;="&amp;DATE(2026,1,22),'DRAFT 2'!$A:$A,"&lt;"&amp;DATE(2026,IF(1=12,1+1,1+1),1))</f>
        <v/>
      </c>
      <c r="CK121" s="116">
        <f>SUM(CG121:CJ121)</f>
        <v/>
      </c>
      <c r="CT121" s="116" t="n">
        <v>0</v>
      </c>
      <c r="CU121" s="116">
        <f>IFERROR(LOOKUP(2,1/('DRAFT 2'!$D:$D=$B121)*('DRAFT 2'!$A:$A&gt;=DATE(2026,2,1))*('DRAFT 2'!$A:$A&lt;DATE(2026,IF(2=12,2+1,2+1),1)),'DRAFT 2'!$A:$A),"")</f>
        <v/>
      </c>
      <c r="CV121" s="116">
        <f>COUNTIFS('DRAFT 2'!$D:$D,$B121,'DRAFT 2'!$A:$A,"&gt;="&amp;DATE(2026,2,1),'DRAFT 2'!$A:$A,"&lt;="&amp;DATE(2026,2,7))</f>
        <v/>
      </c>
      <c r="CW121" s="116">
        <f>COUNTIFS('DRAFT 2'!$D:$D,$B121,'DRAFT 2'!$A:$A,"&gt;="&amp;DATE(2026,2,8),'DRAFT 2'!$A:$A,"&lt;="&amp;DATE(2026,2,14))</f>
        <v/>
      </c>
      <c r="CX121" s="116">
        <f>COUNTIFS('DRAFT 2'!$D:$D,$B121,'DRAFT 2'!$A:$A,"&gt;="&amp;DATE(2026,2,15),'DRAFT 2'!$A:$A,"&lt;="&amp;DATE(2026,2,21))</f>
        <v/>
      </c>
      <c r="CY121" s="116">
        <f>COUNTIFS('DRAFT 2'!$D:$D,$B121,'DRAFT 2'!$A:$A,"&gt;="&amp;DATE(2026,2,22),'DRAFT 2'!$A:$A,"&lt;"&amp;DATE(2026,IF(2=12,2+1,2+1),1))</f>
        <v/>
      </c>
      <c r="CZ121" s="116">
        <f>SUM(CV121:CY121)</f>
        <v/>
      </c>
      <c r="DJ121" s="116">
        <f>IFERROR(LOOKUP(2,1/('DRAFT 2'!$D:$D=$B121)*('DRAFT 2'!$A:$A&gt;=DATE(2026,3,1))*('DRAFT 2'!$A:$A&lt;DATE(2026,IF(3=12,3+1,3+1),1)),'DRAFT 2'!$A:$A),"")</f>
        <v/>
      </c>
      <c r="DK121" s="116">
        <f>COUNTIFS('DRAFT 2'!$D:$D,$B121,'DRAFT 2'!$A:$A,"&gt;="&amp;DATE(2026,3,1),'DRAFT 2'!$A:$A,"&lt;="&amp;DATE(2026,3,7))</f>
        <v/>
      </c>
      <c r="DL121" s="116">
        <f>COUNTIFS('DRAFT 2'!$D:$D,$B121,'DRAFT 2'!$A:$A,"&gt;="&amp;DATE(2026,3,8),'DRAFT 2'!$A:$A,"&lt;="&amp;DATE(2026,3,14))</f>
        <v/>
      </c>
      <c r="DM121" s="116">
        <f>COUNTIFS('DRAFT 2'!$D:$D,$B121,'DRAFT 2'!$A:$A,"&gt;="&amp;DATE(2026,3,15),'DRAFT 2'!$A:$A,"&lt;="&amp;DATE(2026,3,21))</f>
        <v/>
      </c>
      <c r="DN121" s="116">
        <f>COUNTIFS('DRAFT 2'!$D:$D,$B121,'DRAFT 2'!$A:$A,"&gt;="&amp;DATE(2026,3,22),'DRAFT 2'!$A:$A,"&lt;"&amp;DATE(2026,IF(3=12,3+1,3+1),1))</f>
        <v/>
      </c>
      <c r="DO121" s="116">
        <f>SUM(DK121:DN121)</f>
        <v/>
      </c>
      <c r="DZ121" s="116">
        <f>IFERROR(LOOKUP(2,1/('DRAFT 2'!$D:$D=$B121)*('DRAFT 2'!$A:$A&gt;=DATE(2026,4,1))*('DRAFT 2'!$A:$A&lt;DATE(2026,IF(4=12,4+1,4+1),1)),'DRAFT 2'!$A:$A),"")</f>
        <v/>
      </c>
      <c r="EA121" s="116">
        <f>COUNTIFS('DRAFT 2'!$D:$D,$B121,'DRAFT 2'!$A:$A,"&gt;="&amp;DATE(2026,4,1),'DRAFT 2'!$A:$A,"&lt;="&amp;DATE(2026,4,7))</f>
        <v/>
      </c>
      <c r="EB121" s="116">
        <f>COUNTIFS('DRAFT 2'!$D:$D,$B121,'DRAFT 2'!$A:$A,"&gt;="&amp;DATE(2026,4,8),'DRAFT 2'!$A:$A,"&lt;="&amp;DATE(2026,4,14))</f>
        <v/>
      </c>
      <c r="EC121" s="116">
        <f>COUNTIFS('DRAFT 2'!$D:$D,$B121,'DRAFT 2'!$A:$A,"&gt;="&amp;DATE(2026,4,15),'DRAFT 2'!$A:$A,"&lt;="&amp;DATE(2026,4,21))</f>
        <v/>
      </c>
      <c r="ED121" s="116">
        <f>COUNTIFS('DRAFT 2'!$D:$D,$B121,'DRAFT 2'!$A:$A,"&gt;="&amp;DATE(2026,4,22),'DRAFT 2'!$A:$A,"&lt;"&amp;DATE(2026,IF(4=12,4+1,4+1),1))</f>
        <v/>
      </c>
      <c r="EE121" s="116">
        <f>SUM(EA121:ED121)</f>
        <v/>
      </c>
      <c r="EO121" s="116">
        <f>IFERROR(LOOKUP(2,1/('DRAFT 2'!$D:$D=$B121)*('DRAFT 2'!$A:$A&gt;=DATE(2026,5,1))*('DRAFT 2'!$A:$A&lt;DATE(2026,IF(5=12,5+1,5+1),1)),'DRAFT 2'!$A:$A),"")</f>
        <v/>
      </c>
      <c r="EP121" s="116">
        <f>COUNTIFS('DRAFT 2'!$D:$D,$B121,'DRAFT 2'!$A:$A,"&gt;="&amp;DATE(2026,5,1),'DRAFT 2'!$A:$A,"&lt;="&amp;DATE(2026,5,7))</f>
        <v/>
      </c>
      <c r="EQ121" s="116">
        <f>COUNTIFS('DRAFT 2'!$D:$D,$B121,'DRAFT 2'!$A:$A,"&gt;="&amp;DATE(2026,5,8),'DRAFT 2'!$A:$A,"&lt;="&amp;DATE(2026,5,14))</f>
        <v/>
      </c>
      <c r="ER121" s="116">
        <f>COUNTIFS('DRAFT 2'!$D:$D,$B121,'DRAFT 2'!$A:$A,"&gt;="&amp;DATE(2026,5,15),'DRAFT 2'!$A:$A,"&lt;="&amp;DATE(2026,5,21))</f>
        <v/>
      </c>
      <c r="ES121" s="116">
        <f>COUNTIFS('DRAFT 2'!$D:$D,$B121,'DRAFT 2'!$A:$A,"&gt;="&amp;DATE(2026,5,22),'DRAFT 2'!$A:$A,"&lt;"&amp;DATE(2026,IF(5=12,5+1,5+1),1))</f>
        <v/>
      </c>
      <c r="ET121" s="116">
        <f>SUM(EP121:ES121)</f>
        <v/>
      </c>
      <c r="FD121" s="116">
        <f>IFERROR(LOOKUP(2,1/('DRAFT 2'!$D:$D=$B121)*('DRAFT 2'!$A:$A&gt;=DATE(2026,6,1))*('DRAFT 2'!$A:$A&lt;DATE(2026,IF(6=12,6+1,6+1),1)),'DRAFT 2'!$A:$A),"")</f>
        <v/>
      </c>
      <c r="FE121" s="116">
        <f>COUNTIFS('DRAFT 2'!$D:$D,$B121,'DRAFT 2'!$A:$A,"&gt;="&amp;DATE(2026,6,1),'DRAFT 2'!$A:$A,"&lt;="&amp;DATE(2026,6,7))</f>
        <v/>
      </c>
      <c r="FF121" s="116">
        <f>COUNTIFS('DRAFT 2'!$D:$D,$B121,'DRAFT 2'!$A:$A,"&gt;="&amp;DATE(2026,6,8),'DRAFT 2'!$A:$A,"&lt;="&amp;DATE(2026,6,14))</f>
        <v/>
      </c>
      <c r="FG121" s="116">
        <f>COUNTIFS('DRAFT 2'!$D:$D,$B121,'DRAFT 2'!$A:$A,"&gt;="&amp;DATE(2026,6,15),'DRAFT 2'!$A:$A,"&lt;="&amp;DATE(2026,6,21))</f>
        <v/>
      </c>
      <c r="FH121" s="116">
        <f>COUNTIFS('DRAFT 2'!$D:$D,$B121,'DRAFT 2'!$A:$A,"&gt;="&amp;DATE(2026,6,22),'DRAFT 2'!$A:$A,"&lt;"&amp;DATE(2026,IF(6=12,6+1,6+1),1))</f>
        <v/>
      </c>
      <c r="FI121" s="116">
        <f>SUM(FE121:FH121)</f>
        <v/>
      </c>
      <c r="FT121" s="116">
        <f>IFERROR(LOOKUP(2,1/('DRAFT 2'!$D:$D=$B121)*('DRAFT 2'!$A:$A&gt;=DATE(2026,7,1))*('DRAFT 2'!$A:$A&lt;DATE(2026,IF(7=12,7+1,7+1),1)),'DRAFT 2'!$A:$A),"")</f>
        <v/>
      </c>
      <c r="FU121" s="116">
        <f>COUNTIFS('DRAFT 2'!$D:$D,$B121,'DRAFT 2'!$A:$A,"&gt;="&amp;DATE(2026,7,1),'DRAFT 2'!$A:$A,"&lt;="&amp;DATE(2026,7,7))</f>
        <v/>
      </c>
      <c r="FV121" s="116">
        <f>COUNTIFS('DRAFT 2'!$D:$D,$B121,'DRAFT 2'!$A:$A,"&gt;="&amp;DATE(2026,7,8),'DRAFT 2'!$A:$A,"&lt;="&amp;DATE(2026,7,14))</f>
        <v/>
      </c>
      <c r="FW121" s="116">
        <f>COUNTIFS('DRAFT 2'!$D:$D,$B121,'DRAFT 2'!$A:$A,"&gt;="&amp;DATE(2026,7,15),'DRAFT 2'!$A:$A,"&lt;="&amp;DATE(2026,7,21))</f>
        <v/>
      </c>
      <c r="FX121" s="116">
        <f>COUNTIFS('DRAFT 2'!$D:$D,$B121,'DRAFT 2'!$A:$A,"&gt;="&amp;DATE(2026,7,22),'DRAFT 2'!$A:$A,"&lt;"&amp;DATE(2026,IF(7=12,7+1,7+1),1))</f>
        <v/>
      </c>
      <c r="FY121" s="116">
        <f>SUM(FU121:FX121)</f>
        <v/>
      </c>
      <c r="GI121" s="116">
        <f>IFERROR(LOOKUP(2,1/('DRAFT 2'!$D:$D=$B121)*('DRAFT 2'!$A:$A&gt;=DATE(2026,8,1))*('DRAFT 2'!$A:$A&lt;DATE(2026,IF(8=12,8+1,8+1),1)),'DRAFT 2'!$A:$A),"")</f>
        <v/>
      </c>
      <c r="GJ121" s="116">
        <f>COUNTIFS('DRAFT 2'!$D:$D,$B121,'DRAFT 2'!$A:$A,"&gt;="&amp;DATE(2026,8,1),'DRAFT 2'!$A:$A,"&lt;="&amp;DATE(2026,8,7))</f>
        <v/>
      </c>
      <c r="GK121" s="116">
        <f>COUNTIFS('DRAFT 2'!$D:$D,$B121,'DRAFT 2'!$A:$A,"&gt;="&amp;DATE(2026,8,8),'DRAFT 2'!$A:$A,"&lt;="&amp;DATE(2026,8,14))</f>
        <v/>
      </c>
      <c r="GL121" s="116">
        <f>COUNTIFS('DRAFT 2'!$D:$D,$B121,'DRAFT 2'!$A:$A,"&gt;="&amp;DATE(2026,8,15),'DRAFT 2'!$A:$A,"&lt;="&amp;DATE(2026,8,21))</f>
        <v/>
      </c>
      <c r="GM121" s="116">
        <f>COUNTIFS('DRAFT 2'!$D:$D,$B121,'DRAFT 2'!$A:$A,"&gt;="&amp;DATE(2026,8,22),'DRAFT 2'!$A:$A,"&lt;"&amp;DATE(2026,IF(8=12,8+1,8+1),1))</f>
        <v/>
      </c>
      <c r="GN121" s="116">
        <f>SUM(GJ121:GM121)</f>
        <v/>
      </c>
      <c r="GX121" s="116">
        <f>IFERROR(LOOKUP(2,1/('DRAFT 2'!$D:$D=$B121)*('DRAFT 2'!$A:$A&gt;=DATE(2026,9,1))*('DRAFT 2'!$A:$A&lt;DATE(2026,IF(9=12,9+1,9+1),1)),'DRAFT 2'!$A:$A),"")</f>
        <v/>
      </c>
      <c r="GY121" s="116">
        <f>COUNTIFS('DRAFT 2'!$D:$D,$B121,'DRAFT 2'!$A:$A,"&gt;="&amp;DATE(2026,9,1),'DRAFT 2'!$A:$A,"&lt;="&amp;DATE(2026,9,7))</f>
        <v/>
      </c>
      <c r="GZ121" s="116">
        <f>COUNTIFS('DRAFT 2'!$D:$D,$B121,'DRAFT 2'!$A:$A,"&gt;="&amp;DATE(2026,9,8),'DRAFT 2'!$A:$A,"&lt;="&amp;DATE(2026,9,14))</f>
        <v/>
      </c>
      <c r="HA121" s="116">
        <f>COUNTIFS('DRAFT 2'!$D:$D,$B121,'DRAFT 2'!$A:$A,"&gt;="&amp;DATE(2026,9,15),'DRAFT 2'!$A:$A,"&lt;="&amp;DATE(2026,9,21))</f>
        <v/>
      </c>
      <c r="HB121" s="116">
        <f>COUNTIFS('DRAFT 2'!$D:$D,$B121,'DRAFT 2'!$A:$A,"&gt;="&amp;DATE(2026,9,22),'DRAFT 2'!$A:$A,"&lt;"&amp;DATE(2026,IF(9=12,9+1,9+1),1))</f>
        <v/>
      </c>
      <c r="HC121" s="116">
        <f>SUM(GY121:HB121)</f>
        <v/>
      </c>
      <c r="HN121" s="116">
        <f>IFERROR(LOOKUP(2,1/('DRAFT 2'!$D:$D=$B121)*('DRAFT 2'!$A:$A&gt;=DATE(2026,10,1))*('DRAFT 2'!$A:$A&lt;DATE(2026,IF(10=12,10+1,10+1),1)),'DRAFT 2'!$A:$A),"")</f>
        <v/>
      </c>
      <c r="HO121" s="116">
        <f>COUNTIFS('DRAFT 2'!$D:$D,$B121,'DRAFT 2'!$A:$A,"&gt;="&amp;DATE(2026,10,1),'DRAFT 2'!$A:$A,"&lt;="&amp;DATE(2026,10,7))</f>
        <v/>
      </c>
      <c r="HP121" s="116">
        <f>COUNTIFS('DRAFT 2'!$D:$D,$B121,'DRAFT 2'!$A:$A,"&gt;="&amp;DATE(2026,10,8),'DRAFT 2'!$A:$A,"&lt;="&amp;DATE(2026,10,14))</f>
        <v/>
      </c>
      <c r="HQ121" s="116">
        <f>COUNTIFS('DRAFT 2'!$D:$D,$B121,'DRAFT 2'!$A:$A,"&gt;="&amp;DATE(2026,10,15),'DRAFT 2'!$A:$A,"&lt;="&amp;DATE(2026,10,21))</f>
        <v/>
      </c>
      <c r="HR121" s="116">
        <f>COUNTIFS('DRAFT 2'!$D:$D,$B121,'DRAFT 2'!$A:$A,"&gt;="&amp;DATE(2026,10,22),'DRAFT 2'!$A:$A,"&lt;"&amp;DATE(2026,IF(10=12,10+1,10+1),1))</f>
        <v/>
      </c>
      <c r="HS121" s="116">
        <f>SUM(HO121:HR121)</f>
        <v/>
      </c>
      <c r="IC121" s="116">
        <f>IFERROR(LOOKUP(2,1/('DRAFT 2'!$D:$D=$B121)*('DRAFT 2'!$A:$A&gt;=DATE(2026,11,1))*('DRAFT 2'!$A:$A&lt;DATE(2026,IF(11=12,11+1,11+1),1)),'DRAFT 2'!$A:$A),"")</f>
        <v/>
      </c>
      <c r="ID121" s="116">
        <f>COUNTIFS('DRAFT 2'!$D:$D,$B121,'DRAFT 2'!$A:$A,"&gt;="&amp;DATE(2026,11,1),'DRAFT 2'!$A:$A,"&lt;="&amp;DATE(2026,11,7))</f>
        <v/>
      </c>
      <c r="IE121" s="116">
        <f>COUNTIFS('DRAFT 2'!$D:$D,$B121,'DRAFT 2'!$A:$A,"&gt;="&amp;DATE(2026,11,8),'DRAFT 2'!$A:$A,"&lt;="&amp;DATE(2026,11,14))</f>
        <v/>
      </c>
      <c r="IF121" s="116">
        <f>COUNTIFS('DRAFT 2'!$D:$D,$B121,'DRAFT 2'!$A:$A,"&gt;="&amp;DATE(2026,11,15),'DRAFT 2'!$A:$A,"&lt;="&amp;DATE(2026,11,21))</f>
        <v/>
      </c>
      <c r="IG121" s="116">
        <f>COUNTIFS('DRAFT 2'!$D:$D,$B121,'DRAFT 2'!$A:$A,"&gt;="&amp;DATE(2026,11,22),'DRAFT 2'!$A:$A,"&lt;"&amp;DATE(2026,IF(11=12,11+1,11+1),1))</f>
        <v/>
      </c>
      <c r="IH121" s="116">
        <f>SUM(ID121:IG121)</f>
        <v/>
      </c>
      <c r="IR121" s="116">
        <f>IFERROR(LOOKUP(2,1/('DRAFT 2'!$D:$D=$B121)*('DRAFT 2'!$A:$A&gt;=DATE(2026,12,1))*('DRAFT 2'!$A:$A&lt;DATE(2026,IF(12=12,12+1,12+1),1)),'DRAFT 2'!$A:$A),"")</f>
        <v/>
      </c>
      <c r="IS121" s="116">
        <f>COUNTIFS('DRAFT 2'!$D:$D,$B121,'DRAFT 2'!$A:$A,"&gt;="&amp;DATE(2026,12,1),'DRAFT 2'!$A:$A,"&lt;="&amp;DATE(2026,12,7))</f>
        <v/>
      </c>
      <c r="IT121" s="116">
        <f>COUNTIFS('DRAFT 2'!$D:$D,$B121,'DRAFT 2'!$A:$A,"&gt;="&amp;DATE(2026,12,8),'DRAFT 2'!$A:$A,"&lt;="&amp;DATE(2026,12,14))</f>
        <v/>
      </c>
      <c r="IU121" s="116">
        <f>COUNTIFS('DRAFT 2'!$D:$D,$B121,'DRAFT 2'!$A:$A,"&gt;="&amp;DATE(2026,12,15),'DRAFT 2'!$A:$A,"&lt;="&amp;DATE(2026,12,21))</f>
        <v/>
      </c>
      <c r="IV121" s="116">
        <f>COUNTIFS('DRAFT 2'!$D:$D,$B121,'DRAFT 2'!$A:$A,"&gt;="&amp;DATE(2026,12,22),'DRAFT 2'!$A:$A,"&lt;"&amp;DATE(2026,IF(12=12,12+1,12+1),1))</f>
        <v/>
      </c>
      <c r="IW121" s="116">
        <f>SUM(IS121:IV121)</f>
        <v/>
      </c>
    </row>
    <row r="122">
      <c r="A122" s="116">
        <f>IFERROR(INDEX('DRAFT 1'!$A:$A,MATCH($B122,'DRAFT 1'!$B:$B,0)),"")</f>
        <v/>
      </c>
      <c r="C122" s="116">
        <f>IFERROR(INDEX('DRAFT 1'!$C:$C,MATCH($B122,'DRAFT 1'!$B:$B,0)),"")</f>
        <v/>
      </c>
      <c r="D122" s="116">
        <f>IFERROR(INDEX('DRAFT 1'!$D:$D,MATCH($B122,'DRAFT 1'!$B:$B,0)),"")</f>
        <v/>
      </c>
      <c r="E122" s="116">
        <f>IFERROR(INDEX('DRAFT 1'!$E:$E,MATCH($B122,'DRAFT 1'!$B:$B,0)),"")</f>
        <v/>
      </c>
      <c r="F122" s="116">
        <f>IFERROR(INDEX('DRAFT 1'!$F:$F,MATCH($B122,'DRAFT 1'!$B:$B,0)),"")</f>
        <v/>
      </c>
      <c r="G122" s="116">
        <f>IFERROR(INDEX('DRAFT 1'!$G:$G,MATCH($B122,'DRAFT 1'!$B:$B,0)),"")</f>
        <v/>
      </c>
      <c r="H122" s="116">
        <f>IFERROR(INDEX('DRAFT 1'!$H:$H,MATCH($B122,'DRAFT 1'!$B:$B,0)),"")</f>
        <v/>
      </c>
      <c r="I122" s="116" t="inlineStr">
        <is>
          <t>VIDA LEVE</t>
        </is>
      </c>
      <c r="K122" s="116">
        <f>IFERROR(INDEX('DRAFT 1'!$AL:$AL,MATCH($B122,'DRAFT 1'!$B:$B,0)),"")</f>
        <v/>
      </c>
      <c r="L122" s="116">
        <f>IFERROR(INDEX('DRAFT 1'!$J:$J,MATCH($B122,'DRAFT 1'!$B:$B,0)),"")</f>
        <v/>
      </c>
      <c r="M122" s="116">
        <f>IFERROR(INDEX('DRAFT 1'!$K:$K,MATCH($B122,'DRAFT 1'!$B:$B,0)),"")</f>
        <v/>
      </c>
      <c r="N122" s="116" t="inlineStr">
        <is>
          <t>ATIVO</t>
        </is>
      </c>
      <c r="P122" s="116">
        <f>IFERROR(INDEX('DRAFT 1'!$L:$L,MATCH($B122,'DRAFT 1'!$B:$B,0)),"")</f>
        <v/>
      </c>
      <c r="Q122" s="116">
        <f>IFERROR(INDEX('DRAFT 1'!$M:$M,MATCH($B122,'DRAFT 1'!$B:$B,0)),"")</f>
        <v/>
      </c>
      <c r="R122" s="116">
        <f>IFERROR(INDEX('DRAFT 1'!$N:$N,MATCH($B122,'DRAFT 1'!$B:$B,0)),"")</f>
        <v/>
      </c>
      <c r="S122" s="116">
        <f>IFERROR(INDEX('DRAFT 1'!$O:$O,MATCH($B122,'DRAFT 1'!$B:$B,0)),"")</f>
        <v/>
      </c>
      <c r="T122" s="116">
        <f>IFERROR(INDEX('DRAFT 1'!$P:$P,MATCH($B122,'DRAFT 1'!$B:$B,0)),"")</f>
        <v/>
      </c>
      <c r="U122" s="116">
        <f>IFERROR(INDEX('DRAFT 1'!$Q:$Q,MATCH($B122,'DRAFT 1'!$B:$B,0)),"")</f>
        <v/>
      </c>
      <c r="V122" s="116">
        <f>IFERROR(INDEX('DRAFT 1'!$R:$R,MATCH($B122,'DRAFT 1'!$B:$B,0)),"")</f>
        <v/>
      </c>
      <c r="W122" s="116">
        <f>IFERROR(INDEX('DRAFT 1'!$S:$S,MATCH($B122,'DRAFT 1'!$B:$B,0)),"")</f>
        <v/>
      </c>
      <c r="X122" s="116">
        <f>IFERROR(INDEX('DRAFT 1'!$T:$T,MATCH($B122,'DRAFT 1'!$B:$B,0)),"")</f>
        <v/>
      </c>
      <c r="Z122" s="116">
        <f>IFERROR(INDEX('DRAFT 1'!$U:$U,MATCH($B122,'DRAFT 1'!$B:$B,0)),"")</f>
        <v/>
      </c>
      <c r="AA122" s="116">
        <f>IFERROR(INDEX('DRAFT 1'!$V:$V,MATCH($B122,'DRAFT 1'!$B:$B,0)),"")</f>
        <v/>
      </c>
      <c r="AB122" s="116">
        <f>IFERROR(INDEX('DRAFT 1'!$W:$W,MATCH($B122,'DRAFT 1'!$B:$B,0)),"")</f>
        <v/>
      </c>
      <c r="AC122" s="116">
        <f>IFERROR(INDEX('DRAFT 1'!$X:$X,MATCH($B122,'DRAFT 1'!$B:$B,0)),"")</f>
        <v/>
      </c>
      <c r="AD122" s="116">
        <f>IFERROR(INDEX('DRAFT 1'!$Y:$Y,MATCH($B122,'DRAFT 1'!$B:$B,0)),"")</f>
        <v/>
      </c>
      <c r="AE122" s="116">
        <f>IFERROR(INDEX('DRAFT 1'!$Z:$Z,MATCH($B122,'DRAFT 1'!$B:$B,0)),"")</f>
        <v/>
      </c>
      <c r="AF122" s="116">
        <f>IFERROR(INDEX('DRAFT 1'!$AA:$AA,MATCH($B122,'DRAFT 1'!$B:$B,0)),"")</f>
        <v/>
      </c>
      <c r="AG122" s="116">
        <f>IFERROR(INDEX('DRAFT 1'!$AB:$AB,MATCH($B122,'DRAFT 1'!$B:$B,0)),"")</f>
        <v/>
      </c>
      <c r="AH122" s="116">
        <f>IFERROR(INDEX('DRAFT 1'!$AC:$AC,MATCH($B122,'DRAFT 1'!$B:$B,0)),"")</f>
        <v/>
      </c>
      <c r="AI122" s="116">
        <f>IFERROR(INDEX('DRAFT 1'!$AD:$AD,MATCH($B122,'DRAFT 1'!$B:$B,0)),"")</f>
        <v/>
      </c>
      <c r="AJ122" s="116">
        <f>IFERROR(INDEX('DRAFT 1'!$AE:$AE,MATCH($B122,'DRAFT 1'!$B:$B,0)),"")</f>
        <v/>
      </c>
      <c r="AK122" s="116">
        <f>IFERROR(INDEX('DRAFT 1'!$AG:$AG,MATCH($B122,'DRAFT 1'!$B:$B,0)),"")</f>
        <v/>
      </c>
      <c r="AL122" s="116">
        <f>IFERROR(INDEX('DRAFT 1'!$AH:$AH,MATCH($B122,'DRAFT 1'!$B:$B,0)),"")</f>
        <v/>
      </c>
      <c r="AM122" s="116">
        <f>IFERROR(INDEX('DRAFT 1'!$AI:$AI,MATCH($B122,'DRAFT 1'!$B:$B,0)),"")</f>
        <v/>
      </c>
      <c r="AN122" s="116">
        <f>IFERROR(INDEX('DRAFT 1'!$AJ:$AJ,MATCH($B122,'DRAFT 1'!$B:$B,0)),"")</f>
        <v/>
      </c>
      <c r="AO122" s="116">
        <f>IFERROR(Y122/AN122,0)</f>
        <v/>
      </c>
      <c r="AP122" s="116">
        <f>IFERROR(INDEX('DRAFT 1'!$AK:$AK,MATCH($B122,'DRAFT 1'!$B:$B,0)),"")</f>
        <v/>
      </c>
      <c r="AR122" s="116" t="inlineStr">
        <is>
          <t>EM ATENDIMENTO</t>
        </is>
      </c>
      <c r="AS122" s="116">
        <f>IFERROR(LOOKUP(2,1/('DRAFT 2'!$D:$D=$B122),'DRAFT 2'!$T:$T),"")</f>
        <v/>
      </c>
      <c r="AT122" s="116">
        <f>IFERROR(LOOKUP(2,1/('DRAFT 2'!$D:$D=$B122),'DRAFT 2'!$A:$A),"")</f>
        <v/>
      </c>
      <c r="AU122" s="116">
        <f>IFERROR(LOOKUP(2,1/('DRAFT 2'!$D:$D=$B122),'DRAFT 2'!$R:$R),"")</f>
        <v/>
      </c>
      <c r="AV122" s="116">
        <f>IFERROR(LOOKUP(2,1/('DRAFT 2'!$D:$D=$B122),'DRAFT 2'!$S:$S),"")</f>
        <v/>
      </c>
      <c r="AW122" s="116" t="inlineStr">
        <is>
          <t>EM DESENVOLVIMENTO</t>
        </is>
      </c>
      <c r="AX122" s="116">
        <f>IFERROR(LOOKUP(2,1/('DRAFT 2'!$D:$D=$B122),'DRAFT 2'!$M:$M),"")</f>
        <v/>
      </c>
      <c r="AY122" s="116">
        <f>IFERROR(LOOKUP(2,1/('DRAFT 2'!$D:$D=$B122),'DRAFT 2'!$K:$K),"")</f>
        <v/>
      </c>
      <c r="BG122" s="116">
        <f>IFERROR(LOOKUP(2,1/('DRAFT 2'!$D:$D=$B122),'DRAFT 2'!$U:$U),"")</f>
        <v/>
      </c>
      <c r="BH122" s="116">
        <f>IFERROR(LOOKUP(2,1/('DRAFT 2'!$D:$D=$B122),'DRAFT 2'!$V:$V),"")</f>
        <v/>
      </c>
      <c r="CE122" s="116">
        <f>IFERROR(AJ122,0)</f>
        <v/>
      </c>
      <c r="CF122" s="116">
        <f>IFERROR(LOOKUP(2,1/('DRAFT 2'!$D:$D=$B122)*('DRAFT 2'!$A:$A&gt;=DATE(2026,1,1))*('DRAFT 2'!$A:$A&lt;DATE(2026,IF(1=12,1+1,1+1),1)),'DRAFT 2'!$A:$A),"")</f>
        <v/>
      </c>
      <c r="CG122" s="116">
        <f>COUNTIFS('DRAFT 2'!$D:$D,$B122,'DRAFT 2'!$A:$A,"&gt;="&amp;DATE(2026,1,1),'DRAFT 2'!$A:$A,"&lt;="&amp;DATE(2026,1,7))</f>
        <v/>
      </c>
      <c r="CH122" s="116">
        <f>COUNTIFS('DRAFT 2'!$D:$D,$B122,'DRAFT 2'!$A:$A,"&gt;="&amp;DATE(2026,1,8),'DRAFT 2'!$A:$A,"&lt;="&amp;DATE(2026,1,14))</f>
        <v/>
      </c>
      <c r="CI122" s="116">
        <f>COUNTIFS('DRAFT 2'!$D:$D,$B122,'DRAFT 2'!$A:$A,"&gt;="&amp;DATE(2026,1,15),'DRAFT 2'!$A:$A,"&lt;="&amp;DATE(2026,1,21))</f>
        <v/>
      </c>
      <c r="CJ122" s="116">
        <f>COUNTIFS('DRAFT 2'!$D:$D,$B122,'DRAFT 2'!$A:$A,"&gt;="&amp;DATE(2026,1,22),'DRAFT 2'!$A:$A,"&lt;"&amp;DATE(2026,IF(1=12,1+1,1+1),1))</f>
        <v/>
      </c>
      <c r="CK122" s="116">
        <f>SUM(CG122:CJ122)</f>
        <v/>
      </c>
      <c r="CT122" s="116" t="n">
        <v>0</v>
      </c>
      <c r="CU122" s="116">
        <f>IFERROR(LOOKUP(2,1/('DRAFT 2'!$D:$D=$B122)*('DRAFT 2'!$A:$A&gt;=DATE(2026,2,1))*('DRAFT 2'!$A:$A&lt;DATE(2026,IF(2=12,2+1,2+1),1)),'DRAFT 2'!$A:$A),"")</f>
        <v/>
      </c>
      <c r="CV122" s="116">
        <f>COUNTIFS('DRAFT 2'!$D:$D,$B122,'DRAFT 2'!$A:$A,"&gt;="&amp;DATE(2026,2,1),'DRAFT 2'!$A:$A,"&lt;="&amp;DATE(2026,2,7))</f>
        <v/>
      </c>
      <c r="CW122" s="116">
        <f>COUNTIFS('DRAFT 2'!$D:$D,$B122,'DRAFT 2'!$A:$A,"&gt;="&amp;DATE(2026,2,8),'DRAFT 2'!$A:$A,"&lt;="&amp;DATE(2026,2,14))</f>
        <v/>
      </c>
      <c r="CX122" s="116">
        <f>COUNTIFS('DRAFT 2'!$D:$D,$B122,'DRAFT 2'!$A:$A,"&gt;="&amp;DATE(2026,2,15),'DRAFT 2'!$A:$A,"&lt;="&amp;DATE(2026,2,21))</f>
        <v/>
      </c>
      <c r="CY122" s="116">
        <f>COUNTIFS('DRAFT 2'!$D:$D,$B122,'DRAFT 2'!$A:$A,"&gt;="&amp;DATE(2026,2,22),'DRAFT 2'!$A:$A,"&lt;"&amp;DATE(2026,IF(2=12,2+1,2+1),1))</f>
        <v/>
      </c>
      <c r="CZ122" s="116">
        <f>SUM(CV122:CY122)</f>
        <v/>
      </c>
      <c r="DJ122" s="116">
        <f>IFERROR(LOOKUP(2,1/('DRAFT 2'!$D:$D=$B122)*('DRAFT 2'!$A:$A&gt;=DATE(2026,3,1))*('DRAFT 2'!$A:$A&lt;DATE(2026,IF(3=12,3+1,3+1),1)),'DRAFT 2'!$A:$A),"")</f>
        <v/>
      </c>
      <c r="DK122" s="116">
        <f>COUNTIFS('DRAFT 2'!$D:$D,$B122,'DRAFT 2'!$A:$A,"&gt;="&amp;DATE(2026,3,1),'DRAFT 2'!$A:$A,"&lt;="&amp;DATE(2026,3,7))</f>
        <v/>
      </c>
      <c r="DL122" s="116">
        <f>COUNTIFS('DRAFT 2'!$D:$D,$B122,'DRAFT 2'!$A:$A,"&gt;="&amp;DATE(2026,3,8),'DRAFT 2'!$A:$A,"&lt;="&amp;DATE(2026,3,14))</f>
        <v/>
      </c>
      <c r="DM122" s="116">
        <f>COUNTIFS('DRAFT 2'!$D:$D,$B122,'DRAFT 2'!$A:$A,"&gt;="&amp;DATE(2026,3,15),'DRAFT 2'!$A:$A,"&lt;="&amp;DATE(2026,3,21))</f>
        <v/>
      </c>
      <c r="DN122" s="116">
        <f>COUNTIFS('DRAFT 2'!$D:$D,$B122,'DRAFT 2'!$A:$A,"&gt;="&amp;DATE(2026,3,22),'DRAFT 2'!$A:$A,"&lt;"&amp;DATE(2026,IF(3=12,3+1,3+1),1))</f>
        <v/>
      </c>
      <c r="DO122" s="116">
        <f>SUM(DK122:DN122)</f>
        <v/>
      </c>
      <c r="DZ122" s="116">
        <f>IFERROR(LOOKUP(2,1/('DRAFT 2'!$D:$D=$B122)*('DRAFT 2'!$A:$A&gt;=DATE(2026,4,1))*('DRAFT 2'!$A:$A&lt;DATE(2026,IF(4=12,4+1,4+1),1)),'DRAFT 2'!$A:$A),"")</f>
        <v/>
      </c>
      <c r="EA122" s="116">
        <f>COUNTIFS('DRAFT 2'!$D:$D,$B122,'DRAFT 2'!$A:$A,"&gt;="&amp;DATE(2026,4,1),'DRAFT 2'!$A:$A,"&lt;="&amp;DATE(2026,4,7))</f>
        <v/>
      </c>
      <c r="EB122" s="116">
        <f>COUNTIFS('DRAFT 2'!$D:$D,$B122,'DRAFT 2'!$A:$A,"&gt;="&amp;DATE(2026,4,8),'DRAFT 2'!$A:$A,"&lt;="&amp;DATE(2026,4,14))</f>
        <v/>
      </c>
      <c r="EC122" s="116">
        <f>COUNTIFS('DRAFT 2'!$D:$D,$B122,'DRAFT 2'!$A:$A,"&gt;="&amp;DATE(2026,4,15),'DRAFT 2'!$A:$A,"&lt;="&amp;DATE(2026,4,21))</f>
        <v/>
      </c>
      <c r="ED122" s="116">
        <f>COUNTIFS('DRAFT 2'!$D:$D,$B122,'DRAFT 2'!$A:$A,"&gt;="&amp;DATE(2026,4,22),'DRAFT 2'!$A:$A,"&lt;"&amp;DATE(2026,IF(4=12,4+1,4+1),1))</f>
        <v/>
      </c>
      <c r="EE122" s="116">
        <f>SUM(EA122:ED122)</f>
        <v/>
      </c>
      <c r="EO122" s="116">
        <f>IFERROR(LOOKUP(2,1/('DRAFT 2'!$D:$D=$B122)*('DRAFT 2'!$A:$A&gt;=DATE(2026,5,1))*('DRAFT 2'!$A:$A&lt;DATE(2026,IF(5=12,5+1,5+1),1)),'DRAFT 2'!$A:$A),"")</f>
        <v/>
      </c>
      <c r="EP122" s="116">
        <f>COUNTIFS('DRAFT 2'!$D:$D,$B122,'DRAFT 2'!$A:$A,"&gt;="&amp;DATE(2026,5,1),'DRAFT 2'!$A:$A,"&lt;="&amp;DATE(2026,5,7))</f>
        <v/>
      </c>
      <c r="EQ122" s="116">
        <f>COUNTIFS('DRAFT 2'!$D:$D,$B122,'DRAFT 2'!$A:$A,"&gt;="&amp;DATE(2026,5,8),'DRAFT 2'!$A:$A,"&lt;="&amp;DATE(2026,5,14))</f>
        <v/>
      </c>
      <c r="ER122" s="116">
        <f>COUNTIFS('DRAFT 2'!$D:$D,$B122,'DRAFT 2'!$A:$A,"&gt;="&amp;DATE(2026,5,15),'DRAFT 2'!$A:$A,"&lt;="&amp;DATE(2026,5,21))</f>
        <v/>
      </c>
      <c r="ES122" s="116">
        <f>COUNTIFS('DRAFT 2'!$D:$D,$B122,'DRAFT 2'!$A:$A,"&gt;="&amp;DATE(2026,5,22),'DRAFT 2'!$A:$A,"&lt;"&amp;DATE(2026,IF(5=12,5+1,5+1),1))</f>
        <v/>
      </c>
      <c r="ET122" s="116">
        <f>SUM(EP122:ES122)</f>
        <v/>
      </c>
      <c r="FD122" s="116">
        <f>IFERROR(LOOKUP(2,1/('DRAFT 2'!$D:$D=$B122)*('DRAFT 2'!$A:$A&gt;=DATE(2026,6,1))*('DRAFT 2'!$A:$A&lt;DATE(2026,IF(6=12,6+1,6+1),1)),'DRAFT 2'!$A:$A),"")</f>
        <v/>
      </c>
      <c r="FE122" s="116">
        <f>COUNTIFS('DRAFT 2'!$D:$D,$B122,'DRAFT 2'!$A:$A,"&gt;="&amp;DATE(2026,6,1),'DRAFT 2'!$A:$A,"&lt;="&amp;DATE(2026,6,7))</f>
        <v/>
      </c>
      <c r="FF122" s="116">
        <f>COUNTIFS('DRAFT 2'!$D:$D,$B122,'DRAFT 2'!$A:$A,"&gt;="&amp;DATE(2026,6,8),'DRAFT 2'!$A:$A,"&lt;="&amp;DATE(2026,6,14))</f>
        <v/>
      </c>
      <c r="FG122" s="116">
        <f>COUNTIFS('DRAFT 2'!$D:$D,$B122,'DRAFT 2'!$A:$A,"&gt;="&amp;DATE(2026,6,15),'DRAFT 2'!$A:$A,"&lt;="&amp;DATE(2026,6,21))</f>
        <v/>
      </c>
      <c r="FH122" s="116">
        <f>COUNTIFS('DRAFT 2'!$D:$D,$B122,'DRAFT 2'!$A:$A,"&gt;="&amp;DATE(2026,6,22),'DRAFT 2'!$A:$A,"&lt;"&amp;DATE(2026,IF(6=12,6+1,6+1),1))</f>
        <v/>
      </c>
      <c r="FI122" s="116">
        <f>SUM(FE122:FH122)</f>
        <v/>
      </c>
      <c r="FT122" s="116">
        <f>IFERROR(LOOKUP(2,1/('DRAFT 2'!$D:$D=$B122)*('DRAFT 2'!$A:$A&gt;=DATE(2026,7,1))*('DRAFT 2'!$A:$A&lt;DATE(2026,IF(7=12,7+1,7+1),1)),'DRAFT 2'!$A:$A),"")</f>
        <v/>
      </c>
      <c r="FU122" s="116">
        <f>COUNTIFS('DRAFT 2'!$D:$D,$B122,'DRAFT 2'!$A:$A,"&gt;="&amp;DATE(2026,7,1),'DRAFT 2'!$A:$A,"&lt;="&amp;DATE(2026,7,7))</f>
        <v/>
      </c>
      <c r="FV122" s="116">
        <f>COUNTIFS('DRAFT 2'!$D:$D,$B122,'DRAFT 2'!$A:$A,"&gt;="&amp;DATE(2026,7,8),'DRAFT 2'!$A:$A,"&lt;="&amp;DATE(2026,7,14))</f>
        <v/>
      </c>
      <c r="FW122" s="116">
        <f>COUNTIFS('DRAFT 2'!$D:$D,$B122,'DRAFT 2'!$A:$A,"&gt;="&amp;DATE(2026,7,15),'DRAFT 2'!$A:$A,"&lt;="&amp;DATE(2026,7,21))</f>
        <v/>
      </c>
      <c r="FX122" s="116">
        <f>COUNTIFS('DRAFT 2'!$D:$D,$B122,'DRAFT 2'!$A:$A,"&gt;="&amp;DATE(2026,7,22),'DRAFT 2'!$A:$A,"&lt;"&amp;DATE(2026,IF(7=12,7+1,7+1),1))</f>
        <v/>
      </c>
      <c r="FY122" s="116">
        <f>SUM(FU122:FX122)</f>
        <v/>
      </c>
      <c r="GI122" s="116">
        <f>IFERROR(LOOKUP(2,1/('DRAFT 2'!$D:$D=$B122)*('DRAFT 2'!$A:$A&gt;=DATE(2026,8,1))*('DRAFT 2'!$A:$A&lt;DATE(2026,IF(8=12,8+1,8+1),1)),'DRAFT 2'!$A:$A),"")</f>
        <v/>
      </c>
      <c r="GJ122" s="116">
        <f>COUNTIFS('DRAFT 2'!$D:$D,$B122,'DRAFT 2'!$A:$A,"&gt;="&amp;DATE(2026,8,1),'DRAFT 2'!$A:$A,"&lt;="&amp;DATE(2026,8,7))</f>
        <v/>
      </c>
      <c r="GK122" s="116">
        <f>COUNTIFS('DRAFT 2'!$D:$D,$B122,'DRAFT 2'!$A:$A,"&gt;="&amp;DATE(2026,8,8),'DRAFT 2'!$A:$A,"&lt;="&amp;DATE(2026,8,14))</f>
        <v/>
      </c>
      <c r="GL122" s="116">
        <f>COUNTIFS('DRAFT 2'!$D:$D,$B122,'DRAFT 2'!$A:$A,"&gt;="&amp;DATE(2026,8,15),'DRAFT 2'!$A:$A,"&lt;="&amp;DATE(2026,8,21))</f>
        <v/>
      </c>
      <c r="GM122" s="116">
        <f>COUNTIFS('DRAFT 2'!$D:$D,$B122,'DRAFT 2'!$A:$A,"&gt;="&amp;DATE(2026,8,22),'DRAFT 2'!$A:$A,"&lt;"&amp;DATE(2026,IF(8=12,8+1,8+1),1))</f>
        <v/>
      </c>
      <c r="GN122" s="116">
        <f>SUM(GJ122:GM122)</f>
        <v/>
      </c>
      <c r="GX122" s="116">
        <f>IFERROR(LOOKUP(2,1/('DRAFT 2'!$D:$D=$B122)*('DRAFT 2'!$A:$A&gt;=DATE(2026,9,1))*('DRAFT 2'!$A:$A&lt;DATE(2026,IF(9=12,9+1,9+1),1)),'DRAFT 2'!$A:$A),"")</f>
        <v/>
      </c>
      <c r="GY122" s="116">
        <f>COUNTIFS('DRAFT 2'!$D:$D,$B122,'DRAFT 2'!$A:$A,"&gt;="&amp;DATE(2026,9,1),'DRAFT 2'!$A:$A,"&lt;="&amp;DATE(2026,9,7))</f>
        <v/>
      </c>
      <c r="GZ122" s="116">
        <f>COUNTIFS('DRAFT 2'!$D:$D,$B122,'DRAFT 2'!$A:$A,"&gt;="&amp;DATE(2026,9,8),'DRAFT 2'!$A:$A,"&lt;="&amp;DATE(2026,9,14))</f>
        <v/>
      </c>
      <c r="HA122" s="116">
        <f>COUNTIFS('DRAFT 2'!$D:$D,$B122,'DRAFT 2'!$A:$A,"&gt;="&amp;DATE(2026,9,15),'DRAFT 2'!$A:$A,"&lt;="&amp;DATE(2026,9,21))</f>
        <v/>
      </c>
      <c r="HB122" s="116">
        <f>COUNTIFS('DRAFT 2'!$D:$D,$B122,'DRAFT 2'!$A:$A,"&gt;="&amp;DATE(2026,9,22),'DRAFT 2'!$A:$A,"&lt;"&amp;DATE(2026,IF(9=12,9+1,9+1),1))</f>
        <v/>
      </c>
      <c r="HC122" s="116">
        <f>SUM(GY122:HB122)</f>
        <v/>
      </c>
      <c r="HN122" s="116">
        <f>IFERROR(LOOKUP(2,1/('DRAFT 2'!$D:$D=$B122)*('DRAFT 2'!$A:$A&gt;=DATE(2026,10,1))*('DRAFT 2'!$A:$A&lt;DATE(2026,IF(10=12,10+1,10+1),1)),'DRAFT 2'!$A:$A),"")</f>
        <v/>
      </c>
      <c r="HO122" s="116">
        <f>COUNTIFS('DRAFT 2'!$D:$D,$B122,'DRAFT 2'!$A:$A,"&gt;="&amp;DATE(2026,10,1),'DRAFT 2'!$A:$A,"&lt;="&amp;DATE(2026,10,7))</f>
        <v/>
      </c>
      <c r="HP122" s="116">
        <f>COUNTIFS('DRAFT 2'!$D:$D,$B122,'DRAFT 2'!$A:$A,"&gt;="&amp;DATE(2026,10,8),'DRAFT 2'!$A:$A,"&lt;="&amp;DATE(2026,10,14))</f>
        <v/>
      </c>
      <c r="HQ122" s="116">
        <f>COUNTIFS('DRAFT 2'!$D:$D,$B122,'DRAFT 2'!$A:$A,"&gt;="&amp;DATE(2026,10,15),'DRAFT 2'!$A:$A,"&lt;="&amp;DATE(2026,10,21))</f>
        <v/>
      </c>
      <c r="HR122" s="116">
        <f>COUNTIFS('DRAFT 2'!$D:$D,$B122,'DRAFT 2'!$A:$A,"&gt;="&amp;DATE(2026,10,22),'DRAFT 2'!$A:$A,"&lt;"&amp;DATE(2026,IF(10=12,10+1,10+1),1))</f>
        <v/>
      </c>
      <c r="HS122" s="116">
        <f>SUM(HO122:HR122)</f>
        <v/>
      </c>
      <c r="IC122" s="116">
        <f>IFERROR(LOOKUP(2,1/('DRAFT 2'!$D:$D=$B122)*('DRAFT 2'!$A:$A&gt;=DATE(2026,11,1))*('DRAFT 2'!$A:$A&lt;DATE(2026,IF(11=12,11+1,11+1),1)),'DRAFT 2'!$A:$A),"")</f>
        <v/>
      </c>
      <c r="ID122" s="116">
        <f>COUNTIFS('DRAFT 2'!$D:$D,$B122,'DRAFT 2'!$A:$A,"&gt;="&amp;DATE(2026,11,1),'DRAFT 2'!$A:$A,"&lt;="&amp;DATE(2026,11,7))</f>
        <v/>
      </c>
      <c r="IE122" s="116">
        <f>COUNTIFS('DRAFT 2'!$D:$D,$B122,'DRAFT 2'!$A:$A,"&gt;="&amp;DATE(2026,11,8),'DRAFT 2'!$A:$A,"&lt;="&amp;DATE(2026,11,14))</f>
        <v/>
      </c>
      <c r="IF122" s="116">
        <f>COUNTIFS('DRAFT 2'!$D:$D,$B122,'DRAFT 2'!$A:$A,"&gt;="&amp;DATE(2026,11,15),'DRAFT 2'!$A:$A,"&lt;="&amp;DATE(2026,11,21))</f>
        <v/>
      </c>
      <c r="IG122" s="116">
        <f>COUNTIFS('DRAFT 2'!$D:$D,$B122,'DRAFT 2'!$A:$A,"&gt;="&amp;DATE(2026,11,22),'DRAFT 2'!$A:$A,"&lt;"&amp;DATE(2026,IF(11=12,11+1,11+1),1))</f>
        <v/>
      </c>
      <c r="IH122" s="116">
        <f>SUM(ID122:IG122)</f>
        <v/>
      </c>
      <c r="IR122" s="116">
        <f>IFERROR(LOOKUP(2,1/('DRAFT 2'!$D:$D=$B122)*('DRAFT 2'!$A:$A&gt;=DATE(2026,12,1))*('DRAFT 2'!$A:$A&lt;DATE(2026,IF(12=12,12+1,12+1),1)),'DRAFT 2'!$A:$A),"")</f>
        <v/>
      </c>
      <c r="IS122" s="116">
        <f>COUNTIFS('DRAFT 2'!$D:$D,$B122,'DRAFT 2'!$A:$A,"&gt;="&amp;DATE(2026,12,1),'DRAFT 2'!$A:$A,"&lt;="&amp;DATE(2026,12,7))</f>
        <v/>
      </c>
      <c r="IT122" s="116">
        <f>COUNTIFS('DRAFT 2'!$D:$D,$B122,'DRAFT 2'!$A:$A,"&gt;="&amp;DATE(2026,12,8),'DRAFT 2'!$A:$A,"&lt;="&amp;DATE(2026,12,14))</f>
        <v/>
      </c>
      <c r="IU122" s="116">
        <f>COUNTIFS('DRAFT 2'!$D:$D,$B122,'DRAFT 2'!$A:$A,"&gt;="&amp;DATE(2026,12,15),'DRAFT 2'!$A:$A,"&lt;="&amp;DATE(2026,12,21))</f>
        <v/>
      </c>
      <c r="IV122" s="116">
        <f>COUNTIFS('DRAFT 2'!$D:$D,$B122,'DRAFT 2'!$A:$A,"&gt;="&amp;DATE(2026,12,22),'DRAFT 2'!$A:$A,"&lt;"&amp;DATE(2026,IF(12=12,12+1,12+1),1))</f>
        <v/>
      </c>
      <c r="IW122" s="116">
        <f>SUM(IS122:IV122)</f>
        <v/>
      </c>
    </row>
    <row r="123">
      <c r="A123" s="116">
        <f>IFERROR(INDEX('DRAFT 1'!$A:$A,MATCH($B123,'DRAFT 1'!$B:$B,0)),"")</f>
        <v/>
      </c>
      <c r="C123" s="116">
        <f>IFERROR(INDEX('DRAFT 1'!$C:$C,MATCH($B123,'DRAFT 1'!$B:$B,0)),"")</f>
        <v/>
      </c>
      <c r="D123" s="116">
        <f>IFERROR(INDEX('DRAFT 1'!$D:$D,MATCH($B123,'DRAFT 1'!$B:$B,0)),"")</f>
        <v/>
      </c>
      <c r="E123" s="116">
        <f>IFERROR(INDEX('DRAFT 1'!$E:$E,MATCH($B123,'DRAFT 1'!$B:$B,0)),"")</f>
        <v/>
      </c>
      <c r="F123" s="116">
        <f>IFERROR(INDEX('DRAFT 1'!$F:$F,MATCH($B123,'DRAFT 1'!$B:$B,0)),"")</f>
        <v/>
      </c>
      <c r="G123" s="116">
        <f>IFERROR(INDEX('DRAFT 1'!$G:$G,MATCH($B123,'DRAFT 1'!$B:$B,0)),"")</f>
        <v/>
      </c>
      <c r="H123" s="116">
        <f>IFERROR(INDEX('DRAFT 1'!$H:$H,MATCH($B123,'DRAFT 1'!$B:$B,0)),"")</f>
        <v/>
      </c>
      <c r="I123" s="116" t="inlineStr">
        <is>
          <t>TUDO EM GRAOS</t>
        </is>
      </c>
      <c r="K123" s="116">
        <f>IFERROR(INDEX('DRAFT 1'!$AL:$AL,MATCH($B123,'DRAFT 1'!$B:$B,0)),"")</f>
        <v/>
      </c>
      <c r="L123" s="116">
        <f>IFERROR(INDEX('DRAFT 1'!$J:$J,MATCH($B123,'DRAFT 1'!$B:$B,0)),"")</f>
        <v/>
      </c>
      <c r="M123" s="116">
        <f>IFERROR(INDEX('DRAFT 1'!$K:$K,MATCH($B123,'DRAFT 1'!$B:$B,0)),"")</f>
        <v/>
      </c>
      <c r="N123" s="116" t="inlineStr">
        <is>
          <t>ATIVO</t>
        </is>
      </c>
      <c r="P123" s="116">
        <f>IFERROR(INDEX('DRAFT 1'!$L:$L,MATCH($B123,'DRAFT 1'!$B:$B,0)),"")</f>
        <v/>
      </c>
      <c r="Q123" s="116">
        <f>IFERROR(INDEX('DRAFT 1'!$M:$M,MATCH($B123,'DRAFT 1'!$B:$B,0)),"")</f>
        <v/>
      </c>
      <c r="R123" s="116">
        <f>IFERROR(INDEX('DRAFT 1'!$N:$N,MATCH($B123,'DRAFT 1'!$B:$B,0)),"")</f>
        <v/>
      </c>
      <c r="S123" s="116">
        <f>IFERROR(INDEX('DRAFT 1'!$O:$O,MATCH($B123,'DRAFT 1'!$B:$B,0)),"")</f>
        <v/>
      </c>
      <c r="T123" s="116">
        <f>IFERROR(INDEX('DRAFT 1'!$P:$P,MATCH($B123,'DRAFT 1'!$B:$B,0)),"")</f>
        <v/>
      </c>
      <c r="U123" s="116">
        <f>IFERROR(INDEX('DRAFT 1'!$Q:$Q,MATCH($B123,'DRAFT 1'!$B:$B,0)),"")</f>
        <v/>
      </c>
      <c r="V123" s="116">
        <f>IFERROR(INDEX('DRAFT 1'!$R:$R,MATCH($B123,'DRAFT 1'!$B:$B,0)),"")</f>
        <v/>
      </c>
      <c r="W123" s="116">
        <f>IFERROR(INDEX('DRAFT 1'!$S:$S,MATCH($B123,'DRAFT 1'!$B:$B,0)),"")</f>
        <v/>
      </c>
      <c r="X123" s="116">
        <f>IFERROR(INDEX('DRAFT 1'!$T:$T,MATCH($B123,'DRAFT 1'!$B:$B,0)),"")</f>
        <v/>
      </c>
      <c r="Z123" s="116">
        <f>IFERROR(INDEX('DRAFT 1'!$U:$U,MATCH($B123,'DRAFT 1'!$B:$B,0)),"")</f>
        <v/>
      </c>
      <c r="AA123" s="116">
        <f>IFERROR(INDEX('DRAFT 1'!$V:$V,MATCH($B123,'DRAFT 1'!$B:$B,0)),"")</f>
        <v/>
      </c>
      <c r="AB123" s="116">
        <f>IFERROR(INDEX('DRAFT 1'!$W:$W,MATCH($B123,'DRAFT 1'!$B:$B,0)),"")</f>
        <v/>
      </c>
      <c r="AC123" s="116">
        <f>IFERROR(INDEX('DRAFT 1'!$X:$X,MATCH($B123,'DRAFT 1'!$B:$B,0)),"")</f>
        <v/>
      </c>
      <c r="AD123" s="116">
        <f>IFERROR(INDEX('DRAFT 1'!$Y:$Y,MATCH($B123,'DRAFT 1'!$B:$B,0)),"")</f>
        <v/>
      </c>
      <c r="AE123" s="116">
        <f>IFERROR(INDEX('DRAFT 1'!$Z:$Z,MATCH($B123,'DRAFT 1'!$B:$B,0)),"")</f>
        <v/>
      </c>
      <c r="AF123" s="116">
        <f>IFERROR(INDEX('DRAFT 1'!$AA:$AA,MATCH($B123,'DRAFT 1'!$B:$B,0)),"")</f>
        <v/>
      </c>
      <c r="AG123" s="116">
        <f>IFERROR(INDEX('DRAFT 1'!$AB:$AB,MATCH($B123,'DRAFT 1'!$B:$B,0)),"")</f>
        <v/>
      </c>
      <c r="AH123" s="116">
        <f>IFERROR(INDEX('DRAFT 1'!$AC:$AC,MATCH($B123,'DRAFT 1'!$B:$B,0)),"")</f>
        <v/>
      </c>
      <c r="AI123" s="116">
        <f>IFERROR(INDEX('DRAFT 1'!$AD:$AD,MATCH($B123,'DRAFT 1'!$B:$B,0)),"")</f>
        <v/>
      </c>
      <c r="AJ123" s="116">
        <f>IFERROR(INDEX('DRAFT 1'!$AE:$AE,MATCH($B123,'DRAFT 1'!$B:$B,0)),"")</f>
        <v/>
      </c>
      <c r="AK123" s="116">
        <f>IFERROR(INDEX('DRAFT 1'!$AG:$AG,MATCH($B123,'DRAFT 1'!$B:$B,0)),"")</f>
        <v/>
      </c>
      <c r="AL123" s="116">
        <f>IFERROR(INDEX('DRAFT 1'!$AH:$AH,MATCH($B123,'DRAFT 1'!$B:$B,0)),"")</f>
        <v/>
      </c>
      <c r="AM123" s="116">
        <f>IFERROR(INDEX('DRAFT 1'!$AI:$AI,MATCH($B123,'DRAFT 1'!$B:$B,0)),"")</f>
        <v/>
      </c>
      <c r="AN123" s="116">
        <f>IFERROR(INDEX('DRAFT 1'!$AJ:$AJ,MATCH($B123,'DRAFT 1'!$B:$B,0)),"")</f>
        <v/>
      </c>
      <c r="AO123" s="116">
        <f>IFERROR(Y123/AN123,0)</f>
        <v/>
      </c>
      <c r="AP123" s="116">
        <f>IFERROR(INDEX('DRAFT 1'!$AK:$AK,MATCH($B123,'DRAFT 1'!$B:$B,0)),"")</f>
        <v/>
      </c>
      <c r="AR123" s="116" t="inlineStr">
        <is>
          <t>CS</t>
        </is>
      </c>
      <c r="AS123" s="116">
        <f>IFERROR(LOOKUP(2,1/('DRAFT 2'!$D:$D=$B123),'DRAFT 2'!$T:$T),"")</f>
        <v/>
      </c>
      <c r="AT123" s="116">
        <f>IFERROR(LOOKUP(2,1/('DRAFT 2'!$D:$D=$B123),'DRAFT 2'!$A:$A),"")</f>
        <v/>
      </c>
      <c r="AU123" s="116">
        <f>IFERROR(LOOKUP(2,1/('DRAFT 2'!$D:$D=$B123),'DRAFT 2'!$R:$R),"")</f>
        <v/>
      </c>
      <c r="AV123" s="116">
        <f>IFERROR(LOOKUP(2,1/('DRAFT 2'!$D:$D=$B123),'DRAFT 2'!$S:$S),"")</f>
        <v/>
      </c>
      <c r="AW123" s="116" t="inlineStr">
        <is>
          <t>PROSPECT</t>
        </is>
      </c>
      <c r="AX123" s="116">
        <f>IFERROR(LOOKUP(2,1/('DRAFT 2'!$D:$D=$B123),'DRAFT 2'!$M:$M),"")</f>
        <v/>
      </c>
      <c r="AY123" s="116">
        <f>IFERROR(LOOKUP(2,1/('DRAFT 2'!$D:$D=$B123),'DRAFT 2'!$K:$K),"")</f>
        <v/>
      </c>
      <c r="BG123" s="116">
        <f>IFERROR(LOOKUP(2,1/('DRAFT 2'!$D:$D=$B123),'DRAFT 2'!$U:$U),"")</f>
        <v/>
      </c>
      <c r="BH123" s="116">
        <f>IFERROR(LOOKUP(2,1/('DRAFT 2'!$D:$D=$B123),'DRAFT 2'!$V:$V),"")</f>
        <v/>
      </c>
      <c r="CE123" s="116">
        <f>IFERROR(AJ123,0)</f>
        <v/>
      </c>
      <c r="CF123" s="116">
        <f>IFERROR(LOOKUP(2,1/('DRAFT 2'!$D:$D=$B123)*('DRAFT 2'!$A:$A&gt;=DATE(2026,1,1))*('DRAFT 2'!$A:$A&lt;DATE(2026,IF(1=12,1+1,1+1),1)),'DRAFT 2'!$A:$A),"")</f>
        <v/>
      </c>
      <c r="CG123" s="116">
        <f>COUNTIFS('DRAFT 2'!$D:$D,$B123,'DRAFT 2'!$A:$A,"&gt;="&amp;DATE(2026,1,1),'DRAFT 2'!$A:$A,"&lt;="&amp;DATE(2026,1,7))</f>
        <v/>
      </c>
      <c r="CH123" s="116">
        <f>COUNTIFS('DRAFT 2'!$D:$D,$B123,'DRAFT 2'!$A:$A,"&gt;="&amp;DATE(2026,1,8),'DRAFT 2'!$A:$A,"&lt;="&amp;DATE(2026,1,14))</f>
        <v/>
      </c>
      <c r="CI123" s="116">
        <f>COUNTIFS('DRAFT 2'!$D:$D,$B123,'DRAFT 2'!$A:$A,"&gt;="&amp;DATE(2026,1,15),'DRAFT 2'!$A:$A,"&lt;="&amp;DATE(2026,1,21))</f>
        <v/>
      </c>
      <c r="CJ123" s="116">
        <f>COUNTIFS('DRAFT 2'!$D:$D,$B123,'DRAFT 2'!$A:$A,"&gt;="&amp;DATE(2026,1,22),'DRAFT 2'!$A:$A,"&lt;"&amp;DATE(2026,IF(1=12,1+1,1+1),1))</f>
        <v/>
      </c>
      <c r="CK123" s="116">
        <f>SUM(CG123:CJ123)</f>
        <v/>
      </c>
      <c r="CT123" s="116" t="n">
        <v>0</v>
      </c>
      <c r="CU123" s="116">
        <f>IFERROR(LOOKUP(2,1/('DRAFT 2'!$D:$D=$B123)*('DRAFT 2'!$A:$A&gt;=DATE(2026,2,1))*('DRAFT 2'!$A:$A&lt;DATE(2026,IF(2=12,2+1,2+1),1)),'DRAFT 2'!$A:$A),"")</f>
        <v/>
      </c>
      <c r="CV123" s="116">
        <f>COUNTIFS('DRAFT 2'!$D:$D,$B123,'DRAFT 2'!$A:$A,"&gt;="&amp;DATE(2026,2,1),'DRAFT 2'!$A:$A,"&lt;="&amp;DATE(2026,2,7))</f>
        <v/>
      </c>
      <c r="CW123" s="116">
        <f>COUNTIFS('DRAFT 2'!$D:$D,$B123,'DRAFT 2'!$A:$A,"&gt;="&amp;DATE(2026,2,8),'DRAFT 2'!$A:$A,"&lt;="&amp;DATE(2026,2,14))</f>
        <v/>
      </c>
      <c r="CX123" s="116">
        <f>COUNTIFS('DRAFT 2'!$D:$D,$B123,'DRAFT 2'!$A:$A,"&gt;="&amp;DATE(2026,2,15),'DRAFT 2'!$A:$A,"&lt;="&amp;DATE(2026,2,21))</f>
        <v/>
      </c>
      <c r="CY123" s="116">
        <f>COUNTIFS('DRAFT 2'!$D:$D,$B123,'DRAFT 2'!$A:$A,"&gt;="&amp;DATE(2026,2,22),'DRAFT 2'!$A:$A,"&lt;"&amp;DATE(2026,IF(2=12,2+1,2+1),1))</f>
        <v/>
      </c>
      <c r="CZ123" s="116">
        <f>SUM(CV123:CY123)</f>
        <v/>
      </c>
      <c r="DJ123" s="116">
        <f>IFERROR(LOOKUP(2,1/('DRAFT 2'!$D:$D=$B123)*('DRAFT 2'!$A:$A&gt;=DATE(2026,3,1))*('DRAFT 2'!$A:$A&lt;DATE(2026,IF(3=12,3+1,3+1),1)),'DRAFT 2'!$A:$A),"")</f>
        <v/>
      </c>
      <c r="DK123" s="116">
        <f>COUNTIFS('DRAFT 2'!$D:$D,$B123,'DRAFT 2'!$A:$A,"&gt;="&amp;DATE(2026,3,1),'DRAFT 2'!$A:$A,"&lt;="&amp;DATE(2026,3,7))</f>
        <v/>
      </c>
      <c r="DL123" s="116">
        <f>COUNTIFS('DRAFT 2'!$D:$D,$B123,'DRAFT 2'!$A:$A,"&gt;="&amp;DATE(2026,3,8),'DRAFT 2'!$A:$A,"&lt;="&amp;DATE(2026,3,14))</f>
        <v/>
      </c>
      <c r="DM123" s="116">
        <f>COUNTIFS('DRAFT 2'!$D:$D,$B123,'DRAFT 2'!$A:$A,"&gt;="&amp;DATE(2026,3,15),'DRAFT 2'!$A:$A,"&lt;="&amp;DATE(2026,3,21))</f>
        <v/>
      </c>
      <c r="DN123" s="116">
        <f>COUNTIFS('DRAFT 2'!$D:$D,$B123,'DRAFT 2'!$A:$A,"&gt;="&amp;DATE(2026,3,22),'DRAFT 2'!$A:$A,"&lt;"&amp;DATE(2026,IF(3=12,3+1,3+1),1))</f>
        <v/>
      </c>
      <c r="DO123" s="116">
        <f>SUM(DK123:DN123)</f>
        <v/>
      </c>
      <c r="DZ123" s="116">
        <f>IFERROR(LOOKUP(2,1/('DRAFT 2'!$D:$D=$B123)*('DRAFT 2'!$A:$A&gt;=DATE(2026,4,1))*('DRAFT 2'!$A:$A&lt;DATE(2026,IF(4=12,4+1,4+1),1)),'DRAFT 2'!$A:$A),"")</f>
        <v/>
      </c>
      <c r="EA123" s="116">
        <f>COUNTIFS('DRAFT 2'!$D:$D,$B123,'DRAFT 2'!$A:$A,"&gt;="&amp;DATE(2026,4,1),'DRAFT 2'!$A:$A,"&lt;="&amp;DATE(2026,4,7))</f>
        <v/>
      </c>
      <c r="EB123" s="116">
        <f>COUNTIFS('DRAFT 2'!$D:$D,$B123,'DRAFT 2'!$A:$A,"&gt;="&amp;DATE(2026,4,8),'DRAFT 2'!$A:$A,"&lt;="&amp;DATE(2026,4,14))</f>
        <v/>
      </c>
      <c r="EC123" s="116">
        <f>COUNTIFS('DRAFT 2'!$D:$D,$B123,'DRAFT 2'!$A:$A,"&gt;="&amp;DATE(2026,4,15),'DRAFT 2'!$A:$A,"&lt;="&amp;DATE(2026,4,21))</f>
        <v/>
      </c>
      <c r="ED123" s="116">
        <f>COUNTIFS('DRAFT 2'!$D:$D,$B123,'DRAFT 2'!$A:$A,"&gt;="&amp;DATE(2026,4,22),'DRAFT 2'!$A:$A,"&lt;"&amp;DATE(2026,IF(4=12,4+1,4+1),1))</f>
        <v/>
      </c>
      <c r="EE123" s="116">
        <f>SUM(EA123:ED123)</f>
        <v/>
      </c>
      <c r="EO123" s="116">
        <f>IFERROR(LOOKUP(2,1/('DRAFT 2'!$D:$D=$B123)*('DRAFT 2'!$A:$A&gt;=DATE(2026,5,1))*('DRAFT 2'!$A:$A&lt;DATE(2026,IF(5=12,5+1,5+1),1)),'DRAFT 2'!$A:$A),"")</f>
        <v/>
      </c>
      <c r="EP123" s="116">
        <f>COUNTIFS('DRAFT 2'!$D:$D,$B123,'DRAFT 2'!$A:$A,"&gt;="&amp;DATE(2026,5,1),'DRAFT 2'!$A:$A,"&lt;="&amp;DATE(2026,5,7))</f>
        <v/>
      </c>
      <c r="EQ123" s="116">
        <f>COUNTIFS('DRAFT 2'!$D:$D,$B123,'DRAFT 2'!$A:$A,"&gt;="&amp;DATE(2026,5,8),'DRAFT 2'!$A:$A,"&lt;="&amp;DATE(2026,5,14))</f>
        <v/>
      </c>
      <c r="ER123" s="116">
        <f>COUNTIFS('DRAFT 2'!$D:$D,$B123,'DRAFT 2'!$A:$A,"&gt;="&amp;DATE(2026,5,15),'DRAFT 2'!$A:$A,"&lt;="&amp;DATE(2026,5,21))</f>
        <v/>
      </c>
      <c r="ES123" s="116">
        <f>COUNTIFS('DRAFT 2'!$D:$D,$B123,'DRAFT 2'!$A:$A,"&gt;="&amp;DATE(2026,5,22),'DRAFT 2'!$A:$A,"&lt;"&amp;DATE(2026,IF(5=12,5+1,5+1),1))</f>
        <v/>
      </c>
      <c r="ET123" s="116">
        <f>SUM(EP123:ES123)</f>
        <v/>
      </c>
      <c r="FD123" s="116">
        <f>IFERROR(LOOKUP(2,1/('DRAFT 2'!$D:$D=$B123)*('DRAFT 2'!$A:$A&gt;=DATE(2026,6,1))*('DRAFT 2'!$A:$A&lt;DATE(2026,IF(6=12,6+1,6+1),1)),'DRAFT 2'!$A:$A),"")</f>
        <v/>
      </c>
      <c r="FE123" s="116">
        <f>COUNTIFS('DRAFT 2'!$D:$D,$B123,'DRAFT 2'!$A:$A,"&gt;="&amp;DATE(2026,6,1),'DRAFT 2'!$A:$A,"&lt;="&amp;DATE(2026,6,7))</f>
        <v/>
      </c>
      <c r="FF123" s="116">
        <f>COUNTIFS('DRAFT 2'!$D:$D,$B123,'DRAFT 2'!$A:$A,"&gt;="&amp;DATE(2026,6,8),'DRAFT 2'!$A:$A,"&lt;="&amp;DATE(2026,6,14))</f>
        <v/>
      </c>
      <c r="FG123" s="116">
        <f>COUNTIFS('DRAFT 2'!$D:$D,$B123,'DRAFT 2'!$A:$A,"&gt;="&amp;DATE(2026,6,15),'DRAFT 2'!$A:$A,"&lt;="&amp;DATE(2026,6,21))</f>
        <v/>
      </c>
      <c r="FH123" s="116">
        <f>COUNTIFS('DRAFT 2'!$D:$D,$B123,'DRAFT 2'!$A:$A,"&gt;="&amp;DATE(2026,6,22),'DRAFT 2'!$A:$A,"&lt;"&amp;DATE(2026,IF(6=12,6+1,6+1),1))</f>
        <v/>
      </c>
      <c r="FI123" s="116">
        <f>SUM(FE123:FH123)</f>
        <v/>
      </c>
      <c r="FT123" s="116">
        <f>IFERROR(LOOKUP(2,1/('DRAFT 2'!$D:$D=$B123)*('DRAFT 2'!$A:$A&gt;=DATE(2026,7,1))*('DRAFT 2'!$A:$A&lt;DATE(2026,IF(7=12,7+1,7+1),1)),'DRAFT 2'!$A:$A),"")</f>
        <v/>
      </c>
      <c r="FU123" s="116">
        <f>COUNTIFS('DRAFT 2'!$D:$D,$B123,'DRAFT 2'!$A:$A,"&gt;="&amp;DATE(2026,7,1),'DRAFT 2'!$A:$A,"&lt;="&amp;DATE(2026,7,7))</f>
        <v/>
      </c>
      <c r="FV123" s="116">
        <f>COUNTIFS('DRAFT 2'!$D:$D,$B123,'DRAFT 2'!$A:$A,"&gt;="&amp;DATE(2026,7,8),'DRAFT 2'!$A:$A,"&lt;="&amp;DATE(2026,7,14))</f>
        <v/>
      </c>
      <c r="FW123" s="116">
        <f>COUNTIFS('DRAFT 2'!$D:$D,$B123,'DRAFT 2'!$A:$A,"&gt;="&amp;DATE(2026,7,15),'DRAFT 2'!$A:$A,"&lt;="&amp;DATE(2026,7,21))</f>
        <v/>
      </c>
      <c r="FX123" s="116">
        <f>COUNTIFS('DRAFT 2'!$D:$D,$B123,'DRAFT 2'!$A:$A,"&gt;="&amp;DATE(2026,7,22),'DRAFT 2'!$A:$A,"&lt;"&amp;DATE(2026,IF(7=12,7+1,7+1),1))</f>
        <v/>
      </c>
      <c r="FY123" s="116">
        <f>SUM(FU123:FX123)</f>
        <v/>
      </c>
      <c r="GI123" s="116">
        <f>IFERROR(LOOKUP(2,1/('DRAFT 2'!$D:$D=$B123)*('DRAFT 2'!$A:$A&gt;=DATE(2026,8,1))*('DRAFT 2'!$A:$A&lt;DATE(2026,IF(8=12,8+1,8+1),1)),'DRAFT 2'!$A:$A),"")</f>
        <v/>
      </c>
      <c r="GJ123" s="116">
        <f>COUNTIFS('DRAFT 2'!$D:$D,$B123,'DRAFT 2'!$A:$A,"&gt;="&amp;DATE(2026,8,1),'DRAFT 2'!$A:$A,"&lt;="&amp;DATE(2026,8,7))</f>
        <v/>
      </c>
      <c r="GK123" s="116">
        <f>COUNTIFS('DRAFT 2'!$D:$D,$B123,'DRAFT 2'!$A:$A,"&gt;="&amp;DATE(2026,8,8),'DRAFT 2'!$A:$A,"&lt;="&amp;DATE(2026,8,14))</f>
        <v/>
      </c>
      <c r="GL123" s="116">
        <f>COUNTIFS('DRAFT 2'!$D:$D,$B123,'DRAFT 2'!$A:$A,"&gt;="&amp;DATE(2026,8,15),'DRAFT 2'!$A:$A,"&lt;="&amp;DATE(2026,8,21))</f>
        <v/>
      </c>
      <c r="GM123" s="116">
        <f>COUNTIFS('DRAFT 2'!$D:$D,$B123,'DRAFT 2'!$A:$A,"&gt;="&amp;DATE(2026,8,22),'DRAFT 2'!$A:$A,"&lt;"&amp;DATE(2026,IF(8=12,8+1,8+1),1))</f>
        <v/>
      </c>
      <c r="GN123" s="116">
        <f>SUM(GJ123:GM123)</f>
        <v/>
      </c>
      <c r="GX123" s="116">
        <f>IFERROR(LOOKUP(2,1/('DRAFT 2'!$D:$D=$B123)*('DRAFT 2'!$A:$A&gt;=DATE(2026,9,1))*('DRAFT 2'!$A:$A&lt;DATE(2026,IF(9=12,9+1,9+1),1)),'DRAFT 2'!$A:$A),"")</f>
        <v/>
      </c>
      <c r="GY123" s="116">
        <f>COUNTIFS('DRAFT 2'!$D:$D,$B123,'DRAFT 2'!$A:$A,"&gt;="&amp;DATE(2026,9,1),'DRAFT 2'!$A:$A,"&lt;="&amp;DATE(2026,9,7))</f>
        <v/>
      </c>
      <c r="GZ123" s="116">
        <f>COUNTIFS('DRAFT 2'!$D:$D,$B123,'DRAFT 2'!$A:$A,"&gt;="&amp;DATE(2026,9,8),'DRAFT 2'!$A:$A,"&lt;="&amp;DATE(2026,9,14))</f>
        <v/>
      </c>
      <c r="HA123" s="116">
        <f>COUNTIFS('DRAFT 2'!$D:$D,$B123,'DRAFT 2'!$A:$A,"&gt;="&amp;DATE(2026,9,15),'DRAFT 2'!$A:$A,"&lt;="&amp;DATE(2026,9,21))</f>
        <v/>
      </c>
      <c r="HB123" s="116">
        <f>COUNTIFS('DRAFT 2'!$D:$D,$B123,'DRAFT 2'!$A:$A,"&gt;="&amp;DATE(2026,9,22),'DRAFT 2'!$A:$A,"&lt;"&amp;DATE(2026,IF(9=12,9+1,9+1),1))</f>
        <v/>
      </c>
      <c r="HC123" s="116">
        <f>SUM(GY123:HB123)</f>
        <v/>
      </c>
      <c r="HN123" s="116">
        <f>IFERROR(LOOKUP(2,1/('DRAFT 2'!$D:$D=$B123)*('DRAFT 2'!$A:$A&gt;=DATE(2026,10,1))*('DRAFT 2'!$A:$A&lt;DATE(2026,IF(10=12,10+1,10+1),1)),'DRAFT 2'!$A:$A),"")</f>
        <v/>
      </c>
      <c r="HO123" s="116">
        <f>COUNTIFS('DRAFT 2'!$D:$D,$B123,'DRAFT 2'!$A:$A,"&gt;="&amp;DATE(2026,10,1),'DRAFT 2'!$A:$A,"&lt;="&amp;DATE(2026,10,7))</f>
        <v/>
      </c>
      <c r="HP123" s="116">
        <f>COUNTIFS('DRAFT 2'!$D:$D,$B123,'DRAFT 2'!$A:$A,"&gt;="&amp;DATE(2026,10,8),'DRAFT 2'!$A:$A,"&lt;="&amp;DATE(2026,10,14))</f>
        <v/>
      </c>
      <c r="HQ123" s="116">
        <f>COUNTIFS('DRAFT 2'!$D:$D,$B123,'DRAFT 2'!$A:$A,"&gt;="&amp;DATE(2026,10,15),'DRAFT 2'!$A:$A,"&lt;="&amp;DATE(2026,10,21))</f>
        <v/>
      </c>
      <c r="HR123" s="116">
        <f>COUNTIFS('DRAFT 2'!$D:$D,$B123,'DRAFT 2'!$A:$A,"&gt;="&amp;DATE(2026,10,22),'DRAFT 2'!$A:$A,"&lt;"&amp;DATE(2026,IF(10=12,10+1,10+1),1))</f>
        <v/>
      </c>
      <c r="HS123" s="116">
        <f>SUM(HO123:HR123)</f>
        <v/>
      </c>
      <c r="IC123" s="116">
        <f>IFERROR(LOOKUP(2,1/('DRAFT 2'!$D:$D=$B123)*('DRAFT 2'!$A:$A&gt;=DATE(2026,11,1))*('DRAFT 2'!$A:$A&lt;DATE(2026,IF(11=12,11+1,11+1),1)),'DRAFT 2'!$A:$A),"")</f>
        <v/>
      </c>
      <c r="ID123" s="116">
        <f>COUNTIFS('DRAFT 2'!$D:$D,$B123,'DRAFT 2'!$A:$A,"&gt;="&amp;DATE(2026,11,1),'DRAFT 2'!$A:$A,"&lt;="&amp;DATE(2026,11,7))</f>
        <v/>
      </c>
      <c r="IE123" s="116">
        <f>COUNTIFS('DRAFT 2'!$D:$D,$B123,'DRAFT 2'!$A:$A,"&gt;="&amp;DATE(2026,11,8),'DRAFT 2'!$A:$A,"&lt;="&amp;DATE(2026,11,14))</f>
        <v/>
      </c>
      <c r="IF123" s="116">
        <f>COUNTIFS('DRAFT 2'!$D:$D,$B123,'DRAFT 2'!$A:$A,"&gt;="&amp;DATE(2026,11,15),'DRAFT 2'!$A:$A,"&lt;="&amp;DATE(2026,11,21))</f>
        <v/>
      </c>
      <c r="IG123" s="116">
        <f>COUNTIFS('DRAFT 2'!$D:$D,$B123,'DRAFT 2'!$A:$A,"&gt;="&amp;DATE(2026,11,22),'DRAFT 2'!$A:$A,"&lt;"&amp;DATE(2026,IF(11=12,11+1,11+1),1))</f>
        <v/>
      </c>
      <c r="IH123" s="116">
        <f>SUM(ID123:IG123)</f>
        <v/>
      </c>
      <c r="IR123" s="116">
        <f>IFERROR(LOOKUP(2,1/('DRAFT 2'!$D:$D=$B123)*('DRAFT 2'!$A:$A&gt;=DATE(2026,12,1))*('DRAFT 2'!$A:$A&lt;DATE(2026,IF(12=12,12+1,12+1),1)),'DRAFT 2'!$A:$A),"")</f>
        <v/>
      </c>
      <c r="IS123" s="116">
        <f>COUNTIFS('DRAFT 2'!$D:$D,$B123,'DRAFT 2'!$A:$A,"&gt;="&amp;DATE(2026,12,1),'DRAFT 2'!$A:$A,"&lt;="&amp;DATE(2026,12,7))</f>
        <v/>
      </c>
      <c r="IT123" s="116">
        <f>COUNTIFS('DRAFT 2'!$D:$D,$B123,'DRAFT 2'!$A:$A,"&gt;="&amp;DATE(2026,12,8),'DRAFT 2'!$A:$A,"&lt;="&amp;DATE(2026,12,14))</f>
        <v/>
      </c>
      <c r="IU123" s="116">
        <f>COUNTIFS('DRAFT 2'!$D:$D,$B123,'DRAFT 2'!$A:$A,"&gt;="&amp;DATE(2026,12,15),'DRAFT 2'!$A:$A,"&lt;="&amp;DATE(2026,12,21))</f>
        <v/>
      </c>
      <c r="IV123" s="116">
        <f>COUNTIFS('DRAFT 2'!$D:$D,$B123,'DRAFT 2'!$A:$A,"&gt;="&amp;DATE(2026,12,22),'DRAFT 2'!$A:$A,"&lt;"&amp;DATE(2026,IF(12=12,12+1,12+1),1))</f>
        <v/>
      </c>
      <c r="IW123" s="116">
        <f>SUM(IS123:IV123)</f>
        <v/>
      </c>
    </row>
    <row r="124">
      <c r="A124" s="116">
        <f>IFERROR(INDEX('DRAFT 1'!$A:$A,MATCH($B124,'DRAFT 1'!$B:$B,0)),"")</f>
        <v/>
      </c>
      <c r="C124" s="116">
        <f>IFERROR(INDEX('DRAFT 1'!$C:$C,MATCH($B124,'DRAFT 1'!$B:$B,0)),"")</f>
        <v/>
      </c>
      <c r="D124" s="116">
        <f>IFERROR(INDEX('DRAFT 1'!$D:$D,MATCH($B124,'DRAFT 1'!$B:$B,0)),"")</f>
        <v/>
      </c>
      <c r="E124" s="116">
        <f>IFERROR(INDEX('DRAFT 1'!$E:$E,MATCH($B124,'DRAFT 1'!$B:$B,0)),"")</f>
        <v/>
      </c>
      <c r="F124" s="116">
        <f>IFERROR(INDEX('DRAFT 1'!$F:$F,MATCH($B124,'DRAFT 1'!$B:$B,0)),"")</f>
        <v/>
      </c>
      <c r="G124" s="116">
        <f>IFERROR(INDEX('DRAFT 1'!$G:$G,MATCH($B124,'DRAFT 1'!$B:$B,0)),"")</f>
        <v/>
      </c>
      <c r="H124" s="116">
        <f>IFERROR(INDEX('DRAFT 1'!$H:$H,MATCH($B124,'DRAFT 1'!$B:$B,0)),"")</f>
        <v/>
      </c>
      <c r="I124" s="116">
        <f>IFERROR(INDEX('DRAFT 1'!$I:$I,MATCH($B124,'DRAFT 1'!$B:$B,0)),"")</f>
        <v/>
      </c>
      <c r="K124" s="116">
        <f>IFERROR(INDEX('DRAFT 1'!$AL:$AL,MATCH($B124,'DRAFT 1'!$B:$B,0)),"")</f>
        <v/>
      </c>
      <c r="L124" s="116">
        <f>IFERROR(INDEX('DRAFT 1'!$J:$J,MATCH($B124,'DRAFT 1'!$B:$B,0)),"")</f>
        <v/>
      </c>
      <c r="M124" s="116">
        <f>IFERROR(INDEX('DRAFT 1'!$K:$K,MATCH($B124,'DRAFT 1'!$B:$B,0)),"")</f>
        <v/>
      </c>
      <c r="P124" s="116">
        <f>IFERROR(INDEX('DRAFT 1'!$L:$L,MATCH($B124,'DRAFT 1'!$B:$B,0)),"")</f>
        <v/>
      </c>
      <c r="Q124" s="116">
        <f>IFERROR(INDEX('DRAFT 1'!$M:$M,MATCH($B124,'DRAFT 1'!$B:$B,0)),"")</f>
        <v/>
      </c>
      <c r="R124" s="116">
        <f>IFERROR(INDEX('DRAFT 1'!$N:$N,MATCH($B124,'DRAFT 1'!$B:$B,0)),"")</f>
        <v/>
      </c>
      <c r="S124" s="116">
        <f>IFERROR(INDEX('DRAFT 1'!$O:$O,MATCH($B124,'DRAFT 1'!$B:$B,0)),"")</f>
        <v/>
      </c>
      <c r="T124" s="116">
        <f>IFERROR(INDEX('DRAFT 1'!$P:$P,MATCH($B124,'DRAFT 1'!$B:$B,0)),"")</f>
        <v/>
      </c>
      <c r="U124" s="116">
        <f>IFERROR(INDEX('DRAFT 1'!$Q:$Q,MATCH($B124,'DRAFT 1'!$B:$B,0)),"")</f>
        <v/>
      </c>
      <c r="V124" s="116">
        <f>IFERROR(INDEX('DRAFT 1'!$R:$R,MATCH($B124,'DRAFT 1'!$B:$B,0)),"")</f>
        <v/>
      </c>
      <c r="W124" s="116">
        <f>IFERROR(INDEX('DRAFT 1'!$S:$S,MATCH($B124,'DRAFT 1'!$B:$B,0)),"")</f>
        <v/>
      </c>
      <c r="X124" s="116">
        <f>IFERROR(INDEX('DRAFT 1'!$T:$T,MATCH($B124,'DRAFT 1'!$B:$B,0)),"")</f>
        <v/>
      </c>
      <c r="Z124" s="116">
        <f>IFERROR(INDEX('DRAFT 1'!$U:$U,MATCH($B124,'DRAFT 1'!$B:$B,0)),"")</f>
        <v/>
      </c>
      <c r="AA124" s="116">
        <f>IFERROR(INDEX('DRAFT 1'!$V:$V,MATCH($B124,'DRAFT 1'!$B:$B,0)),"")</f>
        <v/>
      </c>
      <c r="AB124" s="116">
        <f>IFERROR(INDEX('DRAFT 1'!$W:$W,MATCH($B124,'DRAFT 1'!$B:$B,0)),"")</f>
        <v/>
      </c>
      <c r="AC124" s="116">
        <f>IFERROR(INDEX('DRAFT 1'!$X:$X,MATCH($B124,'DRAFT 1'!$B:$B,0)),"")</f>
        <v/>
      </c>
      <c r="AD124" s="116">
        <f>IFERROR(INDEX('DRAFT 1'!$Y:$Y,MATCH($B124,'DRAFT 1'!$B:$B,0)),"")</f>
        <v/>
      </c>
      <c r="AE124" s="116">
        <f>IFERROR(INDEX('DRAFT 1'!$Z:$Z,MATCH($B124,'DRAFT 1'!$B:$B,0)),"")</f>
        <v/>
      </c>
      <c r="AF124" s="116">
        <f>IFERROR(INDEX('DRAFT 1'!$AA:$AA,MATCH($B124,'DRAFT 1'!$B:$B,0)),"")</f>
        <v/>
      </c>
      <c r="AG124" s="116">
        <f>IFERROR(INDEX('DRAFT 1'!$AB:$AB,MATCH($B124,'DRAFT 1'!$B:$B,0)),"")</f>
        <v/>
      </c>
      <c r="AH124" s="116">
        <f>IFERROR(INDEX('DRAFT 1'!$AC:$AC,MATCH($B124,'DRAFT 1'!$B:$B,0)),"")</f>
        <v/>
      </c>
      <c r="AI124" s="116">
        <f>IFERROR(INDEX('DRAFT 1'!$AD:$AD,MATCH($B124,'DRAFT 1'!$B:$B,0)),"")</f>
        <v/>
      </c>
      <c r="AJ124" s="116">
        <f>IFERROR(INDEX('DRAFT 1'!$AE:$AE,MATCH($B124,'DRAFT 1'!$B:$B,0)),"")</f>
        <v/>
      </c>
      <c r="AK124" s="116">
        <f>IFERROR(INDEX('DRAFT 1'!$AG:$AG,MATCH($B124,'DRAFT 1'!$B:$B,0)),"")</f>
        <v/>
      </c>
      <c r="AL124" s="116">
        <f>IFERROR(INDEX('DRAFT 1'!$AH:$AH,MATCH($B124,'DRAFT 1'!$B:$B,0)),"")</f>
        <v/>
      </c>
      <c r="AM124" s="116">
        <f>IFERROR(INDEX('DRAFT 1'!$AI:$AI,MATCH($B124,'DRAFT 1'!$B:$B,0)),"")</f>
        <v/>
      </c>
      <c r="AN124" s="116">
        <f>IFERROR(INDEX('DRAFT 1'!$AJ:$AJ,MATCH($B124,'DRAFT 1'!$B:$B,0)),"")</f>
        <v/>
      </c>
      <c r="AO124" s="116">
        <f>IFERROR(Y124/AN124,0)</f>
        <v/>
      </c>
      <c r="AP124" s="116">
        <f>IFERROR(INDEX('DRAFT 1'!$AK:$AK,MATCH($B124,'DRAFT 1'!$B:$B,0)),"")</f>
        <v/>
      </c>
      <c r="AR124" s="116">
        <f>IFERROR(LOOKUP(2,1/('DRAFT 2'!$D:$D=$B124),'DRAFT 2'!$I:$I),"")</f>
        <v/>
      </c>
      <c r="AS124" s="116">
        <f>IFERROR(LOOKUP(2,1/('DRAFT 2'!$D:$D=$B124),'DRAFT 2'!$T:$T),"")</f>
        <v/>
      </c>
      <c r="AT124" s="116">
        <f>IFERROR(LOOKUP(2,1/('DRAFT 2'!$D:$D=$B124),'DRAFT 2'!$A:$A),"")</f>
        <v/>
      </c>
      <c r="AU124" s="116">
        <f>IFERROR(LOOKUP(2,1/('DRAFT 2'!$D:$D=$B124),'DRAFT 2'!$R:$R),"")</f>
        <v/>
      </c>
      <c r="AV124" s="116">
        <f>IFERROR(LOOKUP(2,1/('DRAFT 2'!$D:$D=$B124),'DRAFT 2'!$S:$S),"")</f>
        <v/>
      </c>
      <c r="AX124" s="116">
        <f>IFERROR(LOOKUP(2,1/('DRAFT 2'!$D:$D=$B124),'DRAFT 2'!$M:$M),"")</f>
        <v/>
      </c>
      <c r="AY124" s="116">
        <f>IFERROR(LOOKUP(2,1/('DRAFT 2'!$D:$D=$B124),'DRAFT 2'!$K:$K),"")</f>
        <v/>
      </c>
      <c r="BG124" s="116">
        <f>IFERROR(LOOKUP(2,1/('DRAFT 2'!$D:$D=$B124),'DRAFT 2'!$U:$U),"")</f>
        <v/>
      </c>
      <c r="BH124" s="116">
        <f>IFERROR(LOOKUP(2,1/('DRAFT 2'!$D:$D=$B124),'DRAFT 2'!$V:$V),"")</f>
        <v/>
      </c>
      <c r="CE124" s="116">
        <f>IFERROR(AJ124,0)</f>
        <v/>
      </c>
      <c r="CF124" s="116">
        <f>IFERROR(LOOKUP(2,1/('DRAFT 2'!$D:$D=$B124)*('DRAFT 2'!$A:$A&gt;=DATE(2026,1,1))*('DRAFT 2'!$A:$A&lt;DATE(2026,IF(1=12,1+1,1+1),1)),'DRAFT 2'!$A:$A),"")</f>
        <v/>
      </c>
      <c r="CG124" s="116">
        <f>COUNTIFS('DRAFT 2'!$D:$D,$B124,'DRAFT 2'!$A:$A,"&gt;="&amp;DATE(2026,1,1),'DRAFT 2'!$A:$A,"&lt;="&amp;DATE(2026,1,7))</f>
        <v/>
      </c>
      <c r="CH124" s="116">
        <f>COUNTIFS('DRAFT 2'!$D:$D,$B124,'DRAFT 2'!$A:$A,"&gt;="&amp;DATE(2026,1,8),'DRAFT 2'!$A:$A,"&lt;="&amp;DATE(2026,1,14))</f>
        <v/>
      </c>
      <c r="CI124" s="116">
        <f>COUNTIFS('DRAFT 2'!$D:$D,$B124,'DRAFT 2'!$A:$A,"&gt;="&amp;DATE(2026,1,15),'DRAFT 2'!$A:$A,"&lt;="&amp;DATE(2026,1,21))</f>
        <v/>
      </c>
      <c r="CJ124" s="116">
        <f>COUNTIFS('DRAFT 2'!$D:$D,$B124,'DRAFT 2'!$A:$A,"&gt;="&amp;DATE(2026,1,22),'DRAFT 2'!$A:$A,"&lt;"&amp;DATE(2026,IF(1=12,1+1,1+1),1))</f>
        <v/>
      </c>
      <c r="CK124" s="116">
        <f>SUM(CG124:CJ124)</f>
        <v/>
      </c>
      <c r="CT124" s="116" t="n">
        <v>0</v>
      </c>
      <c r="CU124" s="116">
        <f>IFERROR(LOOKUP(2,1/('DRAFT 2'!$D:$D=$B124)*('DRAFT 2'!$A:$A&gt;=DATE(2026,2,1))*('DRAFT 2'!$A:$A&lt;DATE(2026,IF(2=12,2+1,2+1),1)),'DRAFT 2'!$A:$A),"")</f>
        <v/>
      </c>
      <c r="CV124" s="116">
        <f>COUNTIFS('DRAFT 2'!$D:$D,$B124,'DRAFT 2'!$A:$A,"&gt;="&amp;DATE(2026,2,1),'DRAFT 2'!$A:$A,"&lt;="&amp;DATE(2026,2,7))</f>
        <v/>
      </c>
      <c r="CW124" s="116">
        <f>COUNTIFS('DRAFT 2'!$D:$D,$B124,'DRAFT 2'!$A:$A,"&gt;="&amp;DATE(2026,2,8),'DRAFT 2'!$A:$A,"&lt;="&amp;DATE(2026,2,14))</f>
        <v/>
      </c>
      <c r="CX124" s="116">
        <f>COUNTIFS('DRAFT 2'!$D:$D,$B124,'DRAFT 2'!$A:$A,"&gt;="&amp;DATE(2026,2,15),'DRAFT 2'!$A:$A,"&lt;="&amp;DATE(2026,2,21))</f>
        <v/>
      </c>
      <c r="CY124" s="116">
        <f>COUNTIFS('DRAFT 2'!$D:$D,$B124,'DRAFT 2'!$A:$A,"&gt;="&amp;DATE(2026,2,22),'DRAFT 2'!$A:$A,"&lt;"&amp;DATE(2026,IF(2=12,2+1,2+1),1))</f>
        <v/>
      </c>
      <c r="CZ124" s="116">
        <f>SUM(CV124:CY124)</f>
        <v/>
      </c>
      <c r="DJ124" s="116">
        <f>IFERROR(LOOKUP(2,1/('DRAFT 2'!$D:$D=$B124)*('DRAFT 2'!$A:$A&gt;=DATE(2026,3,1))*('DRAFT 2'!$A:$A&lt;DATE(2026,IF(3=12,3+1,3+1),1)),'DRAFT 2'!$A:$A),"")</f>
        <v/>
      </c>
      <c r="DK124" s="116">
        <f>COUNTIFS('DRAFT 2'!$D:$D,$B124,'DRAFT 2'!$A:$A,"&gt;="&amp;DATE(2026,3,1),'DRAFT 2'!$A:$A,"&lt;="&amp;DATE(2026,3,7))</f>
        <v/>
      </c>
      <c r="DL124" s="116">
        <f>COUNTIFS('DRAFT 2'!$D:$D,$B124,'DRAFT 2'!$A:$A,"&gt;="&amp;DATE(2026,3,8),'DRAFT 2'!$A:$A,"&lt;="&amp;DATE(2026,3,14))</f>
        <v/>
      </c>
      <c r="DM124" s="116">
        <f>COUNTIFS('DRAFT 2'!$D:$D,$B124,'DRAFT 2'!$A:$A,"&gt;="&amp;DATE(2026,3,15),'DRAFT 2'!$A:$A,"&lt;="&amp;DATE(2026,3,21))</f>
        <v/>
      </c>
      <c r="DN124" s="116">
        <f>COUNTIFS('DRAFT 2'!$D:$D,$B124,'DRAFT 2'!$A:$A,"&gt;="&amp;DATE(2026,3,22),'DRAFT 2'!$A:$A,"&lt;"&amp;DATE(2026,IF(3=12,3+1,3+1),1))</f>
        <v/>
      </c>
      <c r="DO124" s="116">
        <f>SUM(DK124:DN124)</f>
        <v/>
      </c>
      <c r="DZ124" s="116">
        <f>IFERROR(LOOKUP(2,1/('DRAFT 2'!$D:$D=$B124)*('DRAFT 2'!$A:$A&gt;=DATE(2026,4,1))*('DRAFT 2'!$A:$A&lt;DATE(2026,IF(4=12,4+1,4+1),1)),'DRAFT 2'!$A:$A),"")</f>
        <v/>
      </c>
      <c r="EA124" s="116">
        <f>COUNTIFS('DRAFT 2'!$D:$D,$B124,'DRAFT 2'!$A:$A,"&gt;="&amp;DATE(2026,4,1),'DRAFT 2'!$A:$A,"&lt;="&amp;DATE(2026,4,7))</f>
        <v/>
      </c>
      <c r="EB124" s="116">
        <f>COUNTIFS('DRAFT 2'!$D:$D,$B124,'DRAFT 2'!$A:$A,"&gt;="&amp;DATE(2026,4,8),'DRAFT 2'!$A:$A,"&lt;="&amp;DATE(2026,4,14))</f>
        <v/>
      </c>
      <c r="EC124" s="116">
        <f>COUNTIFS('DRAFT 2'!$D:$D,$B124,'DRAFT 2'!$A:$A,"&gt;="&amp;DATE(2026,4,15),'DRAFT 2'!$A:$A,"&lt;="&amp;DATE(2026,4,21))</f>
        <v/>
      </c>
      <c r="ED124" s="116">
        <f>COUNTIFS('DRAFT 2'!$D:$D,$B124,'DRAFT 2'!$A:$A,"&gt;="&amp;DATE(2026,4,22),'DRAFT 2'!$A:$A,"&lt;"&amp;DATE(2026,IF(4=12,4+1,4+1),1))</f>
        <v/>
      </c>
      <c r="EE124" s="116">
        <f>SUM(EA124:ED124)</f>
        <v/>
      </c>
      <c r="EO124" s="116">
        <f>IFERROR(LOOKUP(2,1/('DRAFT 2'!$D:$D=$B124)*('DRAFT 2'!$A:$A&gt;=DATE(2026,5,1))*('DRAFT 2'!$A:$A&lt;DATE(2026,IF(5=12,5+1,5+1),1)),'DRAFT 2'!$A:$A),"")</f>
        <v/>
      </c>
      <c r="EP124" s="116">
        <f>COUNTIFS('DRAFT 2'!$D:$D,$B124,'DRAFT 2'!$A:$A,"&gt;="&amp;DATE(2026,5,1),'DRAFT 2'!$A:$A,"&lt;="&amp;DATE(2026,5,7))</f>
        <v/>
      </c>
      <c r="EQ124" s="116">
        <f>COUNTIFS('DRAFT 2'!$D:$D,$B124,'DRAFT 2'!$A:$A,"&gt;="&amp;DATE(2026,5,8),'DRAFT 2'!$A:$A,"&lt;="&amp;DATE(2026,5,14))</f>
        <v/>
      </c>
      <c r="ER124" s="116">
        <f>COUNTIFS('DRAFT 2'!$D:$D,$B124,'DRAFT 2'!$A:$A,"&gt;="&amp;DATE(2026,5,15),'DRAFT 2'!$A:$A,"&lt;="&amp;DATE(2026,5,21))</f>
        <v/>
      </c>
      <c r="ES124" s="116">
        <f>COUNTIFS('DRAFT 2'!$D:$D,$B124,'DRAFT 2'!$A:$A,"&gt;="&amp;DATE(2026,5,22),'DRAFT 2'!$A:$A,"&lt;"&amp;DATE(2026,IF(5=12,5+1,5+1),1))</f>
        <v/>
      </c>
      <c r="ET124" s="116">
        <f>SUM(EP124:ES124)</f>
        <v/>
      </c>
      <c r="FD124" s="116">
        <f>IFERROR(LOOKUP(2,1/('DRAFT 2'!$D:$D=$B124)*('DRAFT 2'!$A:$A&gt;=DATE(2026,6,1))*('DRAFT 2'!$A:$A&lt;DATE(2026,IF(6=12,6+1,6+1),1)),'DRAFT 2'!$A:$A),"")</f>
        <v/>
      </c>
      <c r="FE124" s="116">
        <f>COUNTIFS('DRAFT 2'!$D:$D,$B124,'DRAFT 2'!$A:$A,"&gt;="&amp;DATE(2026,6,1),'DRAFT 2'!$A:$A,"&lt;="&amp;DATE(2026,6,7))</f>
        <v/>
      </c>
      <c r="FF124" s="116">
        <f>COUNTIFS('DRAFT 2'!$D:$D,$B124,'DRAFT 2'!$A:$A,"&gt;="&amp;DATE(2026,6,8),'DRAFT 2'!$A:$A,"&lt;="&amp;DATE(2026,6,14))</f>
        <v/>
      </c>
      <c r="FG124" s="116">
        <f>COUNTIFS('DRAFT 2'!$D:$D,$B124,'DRAFT 2'!$A:$A,"&gt;="&amp;DATE(2026,6,15),'DRAFT 2'!$A:$A,"&lt;="&amp;DATE(2026,6,21))</f>
        <v/>
      </c>
      <c r="FH124" s="116">
        <f>COUNTIFS('DRAFT 2'!$D:$D,$B124,'DRAFT 2'!$A:$A,"&gt;="&amp;DATE(2026,6,22),'DRAFT 2'!$A:$A,"&lt;"&amp;DATE(2026,IF(6=12,6+1,6+1),1))</f>
        <v/>
      </c>
      <c r="FI124" s="116">
        <f>SUM(FE124:FH124)</f>
        <v/>
      </c>
      <c r="FT124" s="116">
        <f>IFERROR(LOOKUP(2,1/('DRAFT 2'!$D:$D=$B124)*('DRAFT 2'!$A:$A&gt;=DATE(2026,7,1))*('DRAFT 2'!$A:$A&lt;DATE(2026,IF(7=12,7+1,7+1),1)),'DRAFT 2'!$A:$A),"")</f>
        <v/>
      </c>
      <c r="FU124" s="116">
        <f>COUNTIFS('DRAFT 2'!$D:$D,$B124,'DRAFT 2'!$A:$A,"&gt;="&amp;DATE(2026,7,1),'DRAFT 2'!$A:$A,"&lt;="&amp;DATE(2026,7,7))</f>
        <v/>
      </c>
      <c r="FV124" s="116">
        <f>COUNTIFS('DRAFT 2'!$D:$D,$B124,'DRAFT 2'!$A:$A,"&gt;="&amp;DATE(2026,7,8),'DRAFT 2'!$A:$A,"&lt;="&amp;DATE(2026,7,14))</f>
        <v/>
      </c>
      <c r="FW124" s="116">
        <f>COUNTIFS('DRAFT 2'!$D:$D,$B124,'DRAFT 2'!$A:$A,"&gt;="&amp;DATE(2026,7,15),'DRAFT 2'!$A:$A,"&lt;="&amp;DATE(2026,7,21))</f>
        <v/>
      </c>
      <c r="FX124" s="116">
        <f>COUNTIFS('DRAFT 2'!$D:$D,$B124,'DRAFT 2'!$A:$A,"&gt;="&amp;DATE(2026,7,22),'DRAFT 2'!$A:$A,"&lt;"&amp;DATE(2026,IF(7=12,7+1,7+1),1))</f>
        <v/>
      </c>
      <c r="FY124" s="116">
        <f>SUM(FU124:FX124)</f>
        <v/>
      </c>
      <c r="GI124" s="116">
        <f>IFERROR(LOOKUP(2,1/('DRAFT 2'!$D:$D=$B124)*('DRAFT 2'!$A:$A&gt;=DATE(2026,8,1))*('DRAFT 2'!$A:$A&lt;DATE(2026,IF(8=12,8+1,8+1),1)),'DRAFT 2'!$A:$A),"")</f>
        <v/>
      </c>
      <c r="GJ124" s="116">
        <f>COUNTIFS('DRAFT 2'!$D:$D,$B124,'DRAFT 2'!$A:$A,"&gt;="&amp;DATE(2026,8,1),'DRAFT 2'!$A:$A,"&lt;="&amp;DATE(2026,8,7))</f>
        <v/>
      </c>
      <c r="GK124" s="116">
        <f>COUNTIFS('DRAFT 2'!$D:$D,$B124,'DRAFT 2'!$A:$A,"&gt;="&amp;DATE(2026,8,8),'DRAFT 2'!$A:$A,"&lt;="&amp;DATE(2026,8,14))</f>
        <v/>
      </c>
      <c r="GL124" s="116">
        <f>COUNTIFS('DRAFT 2'!$D:$D,$B124,'DRAFT 2'!$A:$A,"&gt;="&amp;DATE(2026,8,15),'DRAFT 2'!$A:$A,"&lt;="&amp;DATE(2026,8,21))</f>
        <v/>
      </c>
      <c r="GM124" s="116">
        <f>COUNTIFS('DRAFT 2'!$D:$D,$B124,'DRAFT 2'!$A:$A,"&gt;="&amp;DATE(2026,8,22),'DRAFT 2'!$A:$A,"&lt;"&amp;DATE(2026,IF(8=12,8+1,8+1),1))</f>
        <v/>
      </c>
      <c r="GN124" s="116">
        <f>SUM(GJ124:GM124)</f>
        <v/>
      </c>
      <c r="GX124" s="116">
        <f>IFERROR(LOOKUP(2,1/('DRAFT 2'!$D:$D=$B124)*('DRAFT 2'!$A:$A&gt;=DATE(2026,9,1))*('DRAFT 2'!$A:$A&lt;DATE(2026,IF(9=12,9+1,9+1),1)),'DRAFT 2'!$A:$A),"")</f>
        <v/>
      </c>
      <c r="GY124" s="116">
        <f>COUNTIFS('DRAFT 2'!$D:$D,$B124,'DRAFT 2'!$A:$A,"&gt;="&amp;DATE(2026,9,1),'DRAFT 2'!$A:$A,"&lt;="&amp;DATE(2026,9,7))</f>
        <v/>
      </c>
      <c r="GZ124" s="116">
        <f>COUNTIFS('DRAFT 2'!$D:$D,$B124,'DRAFT 2'!$A:$A,"&gt;="&amp;DATE(2026,9,8),'DRAFT 2'!$A:$A,"&lt;="&amp;DATE(2026,9,14))</f>
        <v/>
      </c>
      <c r="HA124" s="116">
        <f>COUNTIFS('DRAFT 2'!$D:$D,$B124,'DRAFT 2'!$A:$A,"&gt;="&amp;DATE(2026,9,15),'DRAFT 2'!$A:$A,"&lt;="&amp;DATE(2026,9,21))</f>
        <v/>
      </c>
      <c r="HB124" s="116">
        <f>COUNTIFS('DRAFT 2'!$D:$D,$B124,'DRAFT 2'!$A:$A,"&gt;="&amp;DATE(2026,9,22),'DRAFT 2'!$A:$A,"&lt;"&amp;DATE(2026,IF(9=12,9+1,9+1),1))</f>
        <v/>
      </c>
      <c r="HC124" s="116">
        <f>SUM(GY124:HB124)</f>
        <v/>
      </c>
      <c r="HN124" s="116">
        <f>IFERROR(LOOKUP(2,1/('DRAFT 2'!$D:$D=$B124)*('DRAFT 2'!$A:$A&gt;=DATE(2026,10,1))*('DRAFT 2'!$A:$A&lt;DATE(2026,IF(10=12,10+1,10+1),1)),'DRAFT 2'!$A:$A),"")</f>
        <v/>
      </c>
      <c r="HO124" s="116">
        <f>COUNTIFS('DRAFT 2'!$D:$D,$B124,'DRAFT 2'!$A:$A,"&gt;="&amp;DATE(2026,10,1),'DRAFT 2'!$A:$A,"&lt;="&amp;DATE(2026,10,7))</f>
        <v/>
      </c>
      <c r="HP124" s="116">
        <f>COUNTIFS('DRAFT 2'!$D:$D,$B124,'DRAFT 2'!$A:$A,"&gt;="&amp;DATE(2026,10,8),'DRAFT 2'!$A:$A,"&lt;="&amp;DATE(2026,10,14))</f>
        <v/>
      </c>
      <c r="HQ124" s="116">
        <f>COUNTIFS('DRAFT 2'!$D:$D,$B124,'DRAFT 2'!$A:$A,"&gt;="&amp;DATE(2026,10,15),'DRAFT 2'!$A:$A,"&lt;="&amp;DATE(2026,10,21))</f>
        <v/>
      </c>
      <c r="HR124" s="116">
        <f>COUNTIFS('DRAFT 2'!$D:$D,$B124,'DRAFT 2'!$A:$A,"&gt;="&amp;DATE(2026,10,22),'DRAFT 2'!$A:$A,"&lt;"&amp;DATE(2026,IF(10=12,10+1,10+1),1))</f>
        <v/>
      </c>
      <c r="HS124" s="116">
        <f>SUM(HO124:HR124)</f>
        <v/>
      </c>
      <c r="IC124" s="116">
        <f>IFERROR(LOOKUP(2,1/('DRAFT 2'!$D:$D=$B124)*('DRAFT 2'!$A:$A&gt;=DATE(2026,11,1))*('DRAFT 2'!$A:$A&lt;DATE(2026,IF(11=12,11+1,11+1),1)),'DRAFT 2'!$A:$A),"")</f>
        <v/>
      </c>
      <c r="ID124" s="116">
        <f>COUNTIFS('DRAFT 2'!$D:$D,$B124,'DRAFT 2'!$A:$A,"&gt;="&amp;DATE(2026,11,1),'DRAFT 2'!$A:$A,"&lt;="&amp;DATE(2026,11,7))</f>
        <v/>
      </c>
      <c r="IE124" s="116">
        <f>COUNTIFS('DRAFT 2'!$D:$D,$B124,'DRAFT 2'!$A:$A,"&gt;="&amp;DATE(2026,11,8),'DRAFT 2'!$A:$A,"&lt;="&amp;DATE(2026,11,14))</f>
        <v/>
      </c>
      <c r="IF124" s="116">
        <f>COUNTIFS('DRAFT 2'!$D:$D,$B124,'DRAFT 2'!$A:$A,"&gt;="&amp;DATE(2026,11,15),'DRAFT 2'!$A:$A,"&lt;="&amp;DATE(2026,11,21))</f>
        <v/>
      </c>
      <c r="IG124" s="116">
        <f>COUNTIFS('DRAFT 2'!$D:$D,$B124,'DRAFT 2'!$A:$A,"&gt;="&amp;DATE(2026,11,22),'DRAFT 2'!$A:$A,"&lt;"&amp;DATE(2026,IF(11=12,11+1,11+1),1))</f>
        <v/>
      </c>
      <c r="IH124" s="116">
        <f>SUM(ID124:IG124)</f>
        <v/>
      </c>
      <c r="IR124" s="116">
        <f>IFERROR(LOOKUP(2,1/('DRAFT 2'!$D:$D=$B124)*('DRAFT 2'!$A:$A&gt;=DATE(2026,12,1))*('DRAFT 2'!$A:$A&lt;DATE(2026,IF(12=12,12+1,12+1),1)),'DRAFT 2'!$A:$A),"")</f>
        <v/>
      </c>
      <c r="IS124" s="116">
        <f>COUNTIFS('DRAFT 2'!$D:$D,$B124,'DRAFT 2'!$A:$A,"&gt;="&amp;DATE(2026,12,1),'DRAFT 2'!$A:$A,"&lt;="&amp;DATE(2026,12,7))</f>
        <v/>
      </c>
      <c r="IT124" s="116">
        <f>COUNTIFS('DRAFT 2'!$D:$D,$B124,'DRAFT 2'!$A:$A,"&gt;="&amp;DATE(2026,12,8),'DRAFT 2'!$A:$A,"&lt;="&amp;DATE(2026,12,14))</f>
        <v/>
      </c>
      <c r="IU124" s="116">
        <f>COUNTIFS('DRAFT 2'!$D:$D,$B124,'DRAFT 2'!$A:$A,"&gt;="&amp;DATE(2026,12,15),'DRAFT 2'!$A:$A,"&lt;="&amp;DATE(2026,12,21))</f>
        <v/>
      </c>
      <c r="IV124" s="116">
        <f>COUNTIFS('DRAFT 2'!$D:$D,$B124,'DRAFT 2'!$A:$A,"&gt;="&amp;DATE(2026,12,22),'DRAFT 2'!$A:$A,"&lt;"&amp;DATE(2026,IF(12=12,12+1,12+1),1))</f>
        <v/>
      </c>
      <c r="IW124" s="116">
        <f>SUM(IS124:IV124)</f>
        <v/>
      </c>
    </row>
    <row r="125">
      <c r="A125" s="116">
        <f>IFERROR(INDEX('DRAFT 1'!$A:$A,MATCH($B125,'DRAFT 1'!$B:$B,0)),"")</f>
        <v/>
      </c>
      <c r="C125" s="116">
        <f>IFERROR(INDEX('DRAFT 1'!$C:$C,MATCH($B125,'DRAFT 1'!$B:$B,0)),"")</f>
        <v/>
      </c>
      <c r="D125" s="116">
        <f>IFERROR(INDEX('DRAFT 1'!$D:$D,MATCH($B125,'DRAFT 1'!$B:$B,0)),"")</f>
        <v/>
      </c>
      <c r="E125" s="116">
        <f>IFERROR(INDEX('DRAFT 1'!$E:$E,MATCH($B125,'DRAFT 1'!$B:$B,0)),"")</f>
        <v/>
      </c>
      <c r="F125" s="116">
        <f>IFERROR(INDEX('DRAFT 1'!$F:$F,MATCH($B125,'DRAFT 1'!$B:$B,0)),"")</f>
        <v/>
      </c>
      <c r="G125" s="116">
        <f>IFERROR(INDEX('DRAFT 1'!$G:$G,MATCH($B125,'DRAFT 1'!$B:$B,0)),"")</f>
        <v/>
      </c>
      <c r="H125" s="116">
        <f>IFERROR(INDEX('DRAFT 1'!$H:$H,MATCH($B125,'DRAFT 1'!$B:$B,0)),"")</f>
        <v/>
      </c>
      <c r="I125" s="116">
        <f>IFERROR(INDEX('DRAFT 1'!$I:$I,MATCH($B125,'DRAFT 1'!$B:$B,0)),"")</f>
        <v/>
      </c>
      <c r="K125" s="116">
        <f>IFERROR(INDEX('DRAFT 1'!$AL:$AL,MATCH($B125,'DRAFT 1'!$B:$B,0)),"")</f>
        <v/>
      </c>
      <c r="L125" s="116">
        <f>IFERROR(INDEX('DRAFT 1'!$J:$J,MATCH($B125,'DRAFT 1'!$B:$B,0)),"")</f>
        <v/>
      </c>
      <c r="M125" s="116">
        <f>IFERROR(INDEX('DRAFT 1'!$K:$K,MATCH($B125,'DRAFT 1'!$B:$B,0)),"")</f>
        <v/>
      </c>
      <c r="P125" s="116">
        <f>IFERROR(INDEX('DRAFT 1'!$L:$L,MATCH($B125,'DRAFT 1'!$B:$B,0)),"")</f>
        <v/>
      </c>
      <c r="Q125" s="116">
        <f>IFERROR(INDEX('DRAFT 1'!$M:$M,MATCH($B125,'DRAFT 1'!$B:$B,0)),"")</f>
        <v/>
      </c>
      <c r="R125" s="116">
        <f>IFERROR(INDEX('DRAFT 1'!$N:$N,MATCH($B125,'DRAFT 1'!$B:$B,0)),"")</f>
        <v/>
      </c>
      <c r="S125" s="116">
        <f>IFERROR(INDEX('DRAFT 1'!$O:$O,MATCH($B125,'DRAFT 1'!$B:$B,0)),"")</f>
        <v/>
      </c>
      <c r="T125" s="116">
        <f>IFERROR(INDEX('DRAFT 1'!$P:$P,MATCH($B125,'DRAFT 1'!$B:$B,0)),"")</f>
        <v/>
      </c>
      <c r="U125" s="116">
        <f>IFERROR(INDEX('DRAFT 1'!$Q:$Q,MATCH($B125,'DRAFT 1'!$B:$B,0)),"")</f>
        <v/>
      </c>
      <c r="V125" s="116">
        <f>IFERROR(INDEX('DRAFT 1'!$R:$R,MATCH($B125,'DRAFT 1'!$B:$B,0)),"")</f>
        <v/>
      </c>
      <c r="W125" s="116">
        <f>IFERROR(INDEX('DRAFT 1'!$S:$S,MATCH($B125,'DRAFT 1'!$B:$B,0)),"")</f>
        <v/>
      </c>
      <c r="X125" s="116">
        <f>IFERROR(INDEX('DRAFT 1'!$T:$T,MATCH($B125,'DRAFT 1'!$B:$B,0)),"")</f>
        <v/>
      </c>
      <c r="Z125" s="116">
        <f>IFERROR(INDEX('DRAFT 1'!$U:$U,MATCH($B125,'DRAFT 1'!$B:$B,0)),"")</f>
        <v/>
      </c>
      <c r="AA125" s="116">
        <f>IFERROR(INDEX('DRAFT 1'!$V:$V,MATCH($B125,'DRAFT 1'!$B:$B,0)),"")</f>
        <v/>
      </c>
      <c r="AB125" s="116">
        <f>IFERROR(INDEX('DRAFT 1'!$W:$W,MATCH($B125,'DRAFT 1'!$B:$B,0)),"")</f>
        <v/>
      </c>
      <c r="AC125" s="116">
        <f>IFERROR(INDEX('DRAFT 1'!$X:$X,MATCH($B125,'DRAFT 1'!$B:$B,0)),"")</f>
        <v/>
      </c>
      <c r="AD125" s="116">
        <f>IFERROR(INDEX('DRAFT 1'!$Y:$Y,MATCH($B125,'DRAFT 1'!$B:$B,0)),"")</f>
        <v/>
      </c>
      <c r="AE125" s="116">
        <f>IFERROR(INDEX('DRAFT 1'!$Z:$Z,MATCH($B125,'DRAFT 1'!$B:$B,0)),"")</f>
        <v/>
      </c>
      <c r="AF125" s="116">
        <f>IFERROR(INDEX('DRAFT 1'!$AA:$AA,MATCH($B125,'DRAFT 1'!$B:$B,0)),"")</f>
        <v/>
      </c>
      <c r="AG125" s="116">
        <f>IFERROR(INDEX('DRAFT 1'!$AB:$AB,MATCH($B125,'DRAFT 1'!$B:$B,0)),"")</f>
        <v/>
      </c>
      <c r="AH125" s="116">
        <f>IFERROR(INDEX('DRAFT 1'!$AC:$AC,MATCH($B125,'DRAFT 1'!$B:$B,0)),"")</f>
        <v/>
      </c>
      <c r="AI125" s="116">
        <f>IFERROR(INDEX('DRAFT 1'!$AD:$AD,MATCH($B125,'DRAFT 1'!$B:$B,0)),"")</f>
        <v/>
      </c>
      <c r="AJ125" s="116">
        <f>IFERROR(INDEX('DRAFT 1'!$AE:$AE,MATCH($B125,'DRAFT 1'!$B:$B,0)),"")</f>
        <v/>
      </c>
      <c r="AK125" s="116">
        <f>IFERROR(INDEX('DRAFT 1'!$AG:$AG,MATCH($B125,'DRAFT 1'!$B:$B,0)),"")</f>
        <v/>
      </c>
      <c r="AL125" s="116">
        <f>IFERROR(INDEX('DRAFT 1'!$AH:$AH,MATCH($B125,'DRAFT 1'!$B:$B,0)),"")</f>
        <v/>
      </c>
      <c r="AM125" s="116">
        <f>IFERROR(INDEX('DRAFT 1'!$AI:$AI,MATCH($B125,'DRAFT 1'!$B:$B,0)),"")</f>
        <v/>
      </c>
      <c r="AN125" s="116">
        <f>IFERROR(INDEX('DRAFT 1'!$AJ:$AJ,MATCH($B125,'DRAFT 1'!$B:$B,0)),"")</f>
        <v/>
      </c>
      <c r="AO125" s="116">
        <f>IFERROR(Y125/AN125,0)</f>
        <v/>
      </c>
      <c r="AP125" s="116">
        <f>IFERROR(INDEX('DRAFT 1'!$AK:$AK,MATCH($B125,'DRAFT 1'!$B:$B,0)),"")</f>
        <v/>
      </c>
      <c r="AR125" s="116">
        <f>IFERROR(LOOKUP(2,1/('DRAFT 2'!$D:$D=$B125),'DRAFT 2'!$I:$I),"")</f>
        <v/>
      </c>
      <c r="AS125" s="116">
        <f>IFERROR(LOOKUP(2,1/('DRAFT 2'!$D:$D=$B125),'DRAFT 2'!$T:$T),"")</f>
        <v/>
      </c>
      <c r="AT125" s="116">
        <f>IFERROR(LOOKUP(2,1/('DRAFT 2'!$D:$D=$B125),'DRAFT 2'!$A:$A),"")</f>
        <v/>
      </c>
      <c r="AU125" s="116">
        <f>IFERROR(LOOKUP(2,1/('DRAFT 2'!$D:$D=$B125),'DRAFT 2'!$R:$R),"")</f>
        <v/>
      </c>
      <c r="AV125" s="116">
        <f>IFERROR(LOOKUP(2,1/('DRAFT 2'!$D:$D=$B125),'DRAFT 2'!$S:$S),"")</f>
        <v/>
      </c>
      <c r="AX125" s="116">
        <f>IFERROR(LOOKUP(2,1/('DRAFT 2'!$D:$D=$B125),'DRAFT 2'!$M:$M),"")</f>
        <v/>
      </c>
      <c r="AY125" s="116">
        <f>IFERROR(LOOKUP(2,1/('DRAFT 2'!$D:$D=$B125),'DRAFT 2'!$K:$K),"")</f>
        <v/>
      </c>
      <c r="BG125" s="116">
        <f>IFERROR(LOOKUP(2,1/('DRAFT 2'!$D:$D=$B125),'DRAFT 2'!$U:$U),"")</f>
        <v/>
      </c>
      <c r="BH125" s="116">
        <f>IFERROR(LOOKUP(2,1/('DRAFT 2'!$D:$D=$B125),'DRAFT 2'!$V:$V),"")</f>
        <v/>
      </c>
      <c r="CE125" s="116">
        <f>IFERROR(AJ125,0)</f>
        <v/>
      </c>
      <c r="CF125" s="116">
        <f>IFERROR(LOOKUP(2,1/('DRAFT 2'!$D:$D=$B125)*('DRAFT 2'!$A:$A&gt;=DATE(2026,1,1))*('DRAFT 2'!$A:$A&lt;DATE(2026,IF(1=12,1+1,1+1),1)),'DRAFT 2'!$A:$A),"")</f>
        <v/>
      </c>
      <c r="CG125" s="116">
        <f>COUNTIFS('DRAFT 2'!$D:$D,$B125,'DRAFT 2'!$A:$A,"&gt;="&amp;DATE(2026,1,1),'DRAFT 2'!$A:$A,"&lt;="&amp;DATE(2026,1,7))</f>
        <v/>
      </c>
      <c r="CH125" s="116">
        <f>COUNTIFS('DRAFT 2'!$D:$D,$B125,'DRAFT 2'!$A:$A,"&gt;="&amp;DATE(2026,1,8),'DRAFT 2'!$A:$A,"&lt;="&amp;DATE(2026,1,14))</f>
        <v/>
      </c>
      <c r="CI125" s="116">
        <f>COUNTIFS('DRAFT 2'!$D:$D,$B125,'DRAFT 2'!$A:$A,"&gt;="&amp;DATE(2026,1,15),'DRAFT 2'!$A:$A,"&lt;="&amp;DATE(2026,1,21))</f>
        <v/>
      </c>
      <c r="CJ125" s="116">
        <f>COUNTIFS('DRAFT 2'!$D:$D,$B125,'DRAFT 2'!$A:$A,"&gt;="&amp;DATE(2026,1,22),'DRAFT 2'!$A:$A,"&lt;"&amp;DATE(2026,IF(1=12,1+1,1+1),1))</f>
        <v/>
      </c>
      <c r="CK125" s="116">
        <f>SUM(CG125:CJ125)</f>
        <v/>
      </c>
      <c r="CT125" s="116" t="n">
        <v>0</v>
      </c>
      <c r="CU125" s="116">
        <f>IFERROR(LOOKUP(2,1/('DRAFT 2'!$D:$D=$B125)*('DRAFT 2'!$A:$A&gt;=DATE(2026,2,1))*('DRAFT 2'!$A:$A&lt;DATE(2026,IF(2=12,2+1,2+1),1)),'DRAFT 2'!$A:$A),"")</f>
        <v/>
      </c>
      <c r="CV125" s="116">
        <f>COUNTIFS('DRAFT 2'!$D:$D,$B125,'DRAFT 2'!$A:$A,"&gt;="&amp;DATE(2026,2,1),'DRAFT 2'!$A:$A,"&lt;="&amp;DATE(2026,2,7))</f>
        <v/>
      </c>
      <c r="CW125" s="116">
        <f>COUNTIFS('DRAFT 2'!$D:$D,$B125,'DRAFT 2'!$A:$A,"&gt;="&amp;DATE(2026,2,8),'DRAFT 2'!$A:$A,"&lt;="&amp;DATE(2026,2,14))</f>
        <v/>
      </c>
      <c r="CX125" s="116">
        <f>COUNTIFS('DRAFT 2'!$D:$D,$B125,'DRAFT 2'!$A:$A,"&gt;="&amp;DATE(2026,2,15),'DRAFT 2'!$A:$A,"&lt;="&amp;DATE(2026,2,21))</f>
        <v/>
      </c>
      <c r="CY125" s="116">
        <f>COUNTIFS('DRAFT 2'!$D:$D,$B125,'DRAFT 2'!$A:$A,"&gt;="&amp;DATE(2026,2,22),'DRAFT 2'!$A:$A,"&lt;"&amp;DATE(2026,IF(2=12,2+1,2+1),1))</f>
        <v/>
      </c>
      <c r="CZ125" s="116">
        <f>SUM(CV125:CY125)</f>
        <v/>
      </c>
      <c r="DJ125" s="116">
        <f>IFERROR(LOOKUP(2,1/('DRAFT 2'!$D:$D=$B125)*('DRAFT 2'!$A:$A&gt;=DATE(2026,3,1))*('DRAFT 2'!$A:$A&lt;DATE(2026,IF(3=12,3+1,3+1),1)),'DRAFT 2'!$A:$A),"")</f>
        <v/>
      </c>
      <c r="DK125" s="116">
        <f>COUNTIFS('DRAFT 2'!$D:$D,$B125,'DRAFT 2'!$A:$A,"&gt;="&amp;DATE(2026,3,1),'DRAFT 2'!$A:$A,"&lt;="&amp;DATE(2026,3,7))</f>
        <v/>
      </c>
      <c r="DL125" s="116">
        <f>COUNTIFS('DRAFT 2'!$D:$D,$B125,'DRAFT 2'!$A:$A,"&gt;="&amp;DATE(2026,3,8),'DRAFT 2'!$A:$A,"&lt;="&amp;DATE(2026,3,14))</f>
        <v/>
      </c>
      <c r="DM125" s="116">
        <f>COUNTIFS('DRAFT 2'!$D:$D,$B125,'DRAFT 2'!$A:$A,"&gt;="&amp;DATE(2026,3,15),'DRAFT 2'!$A:$A,"&lt;="&amp;DATE(2026,3,21))</f>
        <v/>
      </c>
      <c r="DN125" s="116">
        <f>COUNTIFS('DRAFT 2'!$D:$D,$B125,'DRAFT 2'!$A:$A,"&gt;="&amp;DATE(2026,3,22),'DRAFT 2'!$A:$A,"&lt;"&amp;DATE(2026,IF(3=12,3+1,3+1),1))</f>
        <v/>
      </c>
      <c r="DO125" s="116">
        <f>SUM(DK125:DN125)</f>
        <v/>
      </c>
      <c r="DZ125" s="116">
        <f>IFERROR(LOOKUP(2,1/('DRAFT 2'!$D:$D=$B125)*('DRAFT 2'!$A:$A&gt;=DATE(2026,4,1))*('DRAFT 2'!$A:$A&lt;DATE(2026,IF(4=12,4+1,4+1),1)),'DRAFT 2'!$A:$A),"")</f>
        <v/>
      </c>
      <c r="EA125" s="116">
        <f>COUNTIFS('DRAFT 2'!$D:$D,$B125,'DRAFT 2'!$A:$A,"&gt;="&amp;DATE(2026,4,1),'DRAFT 2'!$A:$A,"&lt;="&amp;DATE(2026,4,7))</f>
        <v/>
      </c>
      <c r="EB125" s="116">
        <f>COUNTIFS('DRAFT 2'!$D:$D,$B125,'DRAFT 2'!$A:$A,"&gt;="&amp;DATE(2026,4,8),'DRAFT 2'!$A:$A,"&lt;="&amp;DATE(2026,4,14))</f>
        <v/>
      </c>
      <c r="EC125" s="116">
        <f>COUNTIFS('DRAFT 2'!$D:$D,$B125,'DRAFT 2'!$A:$A,"&gt;="&amp;DATE(2026,4,15),'DRAFT 2'!$A:$A,"&lt;="&amp;DATE(2026,4,21))</f>
        <v/>
      </c>
      <c r="ED125" s="116">
        <f>COUNTIFS('DRAFT 2'!$D:$D,$B125,'DRAFT 2'!$A:$A,"&gt;="&amp;DATE(2026,4,22),'DRAFT 2'!$A:$A,"&lt;"&amp;DATE(2026,IF(4=12,4+1,4+1),1))</f>
        <v/>
      </c>
      <c r="EE125" s="116">
        <f>SUM(EA125:ED125)</f>
        <v/>
      </c>
      <c r="EO125" s="116">
        <f>IFERROR(LOOKUP(2,1/('DRAFT 2'!$D:$D=$B125)*('DRAFT 2'!$A:$A&gt;=DATE(2026,5,1))*('DRAFT 2'!$A:$A&lt;DATE(2026,IF(5=12,5+1,5+1),1)),'DRAFT 2'!$A:$A),"")</f>
        <v/>
      </c>
      <c r="EP125" s="116">
        <f>COUNTIFS('DRAFT 2'!$D:$D,$B125,'DRAFT 2'!$A:$A,"&gt;="&amp;DATE(2026,5,1),'DRAFT 2'!$A:$A,"&lt;="&amp;DATE(2026,5,7))</f>
        <v/>
      </c>
      <c r="EQ125" s="116">
        <f>COUNTIFS('DRAFT 2'!$D:$D,$B125,'DRAFT 2'!$A:$A,"&gt;="&amp;DATE(2026,5,8),'DRAFT 2'!$A:$A,"&lt;="&amp;DATE(2026,5,14))</f>
        <v/>
      </c>
      <c r="ER125" s="116">
        <f>COUNTIFS('DRAFT 2'!$D:$D,$B125,'DRAFT 2'!$A:$A,"&gt;="&amp;DATE(2026,5,15),'DRAFT 2'!$A:$A,"&lt;="&amp;DATE(2026,5,21))</f>
        <v/>
      </c>
      <c r="ES125" s="116">
        <f>COUNTIFS('DRAFT 2'!$D:$D,$B125,'DRAFT 2'!$A:$A,"&gt;="&amp;DATE(2026,5,22),'DRAFT 2'!$A:$A,"&lt;"&amp;DATE(2026,IF(5=12,5+1,5+1),1))</f>
        <v/>
      </c>
      <c r="ET125" s="116">
        <f>SUM(EP125:ES125)</f>
        <v/>
      </c>
      <c r="FD125" s="116">
        <f>IFERROR(LOOKUP(2,1/('DRAFT 2'!$D:$D=$B125)*('DRAFT 2'!$A:$A&gt;=DATE(2026,6,1))*('DRAFT 2'!$A:$A&lt;DATE(2026,IF(6=12,6+1,6+1),1)),'DRAFT 2'!$A:$A),"")</f>
        <v/>
      </c>
      <c r="FE125" s="116">
        <f>COUNTIFS('DRAFT 2'!$D:$D,$B125,'DRAFT 2'!$A:$A,"&gt;="&amp;DATE(2026,6,1),'DRAFT 2'!$A:$A,"&lt;="&amp;DATE(2026,6,7))</f>
        <v/>
      </c>
      <c r="FF125" s="116">
        <f>COUNTIFS('DRAFT 2'!$D:$D,$B125,'DRAFT 2'!$A:$A,"&gt;="&amp;DATE(2026,6,8),'DRAFT 2'!$A:$A,"&lt;="&amp;DATE(2026,6,14))</f>
        <v/>
      </c>
      <c r="FG125" s="116">
        <f>COUNTIFS('DRAFT 2'!$D:$D,$B125,'DRAFT 2'!$A:$A,"&gt;="&amp;DATE(2026,6,15),'DRAFT 2'!$A:$A,"&lt;="&amp;DATE(2026,6,21))</f>
        <v/>
      </c>
      <c r="FH125" s="116">
        <f>COUNTIFS('DRAFT 2'!$D:$D,$B125,'DRAFT 2'!$A:$A,"&gt;="&amp;DATE(2026,6,22),'DRAFT 2'!$A:$A,"&lt;"&amp;DATE(2026,IF(6=12,6+1,6+1),1))</f>
        <v/>
      </c>
      <c r="FI125" s="116">
        <f>SUM(FE125:FH125)</f>
        <v/>
      </c>
      <c r="FT125" s="116">
        <f>IFERROR(LOOKUP(2,1/('DRAFT 2'!$D:$D=$B125)*('DRAFT 2'!$A:$A&gt;=DATE(2026,7,1))*('DRAFT 2'!$A:$A&lt;DATE(2026,IF(7=12,7+1,7+1),1)),'DRAFT 2'!$A:$A),"")</f>
        <v/>
      </c>
      <c r="FU125" s="116">
        <f>COUNTIFS('DRAFT 2'!$D:$D,$B125,'DRAFT 2'!$A:$A,"&gt;="&amp;DATE(2026,7,1),'DRAFT 2'!$A:$A,"&lt;="&amp;DATE(2026,7,7))</f>
        <v/>
      </c>
      <c r="FV125" s="116">
        <f>COUNTIFS('DRAFT 2'!$D:$D,$B125,'DRAFT 2'!$A:$A,"&gt;="&amp;DATE(2026,7,8),'DRAFT 2'!$A:$A,"&lt;="&amp;DATE(2026,7,14))</f>
        <v/>
      </c>
      <c r="FW125" s="116">
        <f>COUNTIFS('DRAFT 2'!$D:$D,$B125,'DRAFT 2'!$A:$A,"&gt;="&amp;DATE(2026,7,15),'DRAFT 2'!$A:$A,"&lt;="&amp;DATE(2026,7,21))</f>
        <v/>
      </c>
      <c r="FX125" s="116">
        <f>COUNTIFS('DRAFT 2'!$D:$D,$B125,'DRAFT 2'!$A:$A,"&gt;="&amp;DATE(2026,7,22),'DRAFT 2'!$A:$A,"&lt;"&amp;DATE(2026,IF(7=12,7+1,7+1),1))</f>
        <v/>
      </c>
      <c r="FY125" s="116">
        <f>SUM(FU125:FX125)</f>
        <v/>
      </c>
      <c r="GI125" s="116">
        <f>IFERROR(LOOKUP(2,1/('DRAFT 2'!$D:$D=$B125)*('DRAFT 2'!$A:$A&gt;=DATE(2026,8,1))*('DRAFT 2'!$A:$A&lt;DATE(2026,IF(8=12,8+1,8+1),1)),'DRAFT 2'!$A:$A),"")</f>
        <v/>
      </c>
      <c r="GJ125" s="116">
        <f>COUNTIFS('DRAFT 2'!$D:$D,$B125,'DRAFT 2'!$A:$A,"&gt;="&amp;DATE(2026,8,1),'DRAFT 2'!$A:$A,"&lt;="&amp;DATE(2026,8,7))</f>
        <v/>
      </c>
      <c r="GK125" s="116">
        <f>COUNTIFS('DRAFT 2'!$D:$D,$B125,'DRAFT 2'!$A:$A,"&gt;="&amp;DATE(2026,8,8),'DRAFT 2'!$A:$A,"&lt;="&amp;DATE(2026,8,14))</f>
        <v/>
      </c>
      <c r="GL125" s="116">
        <f>COUNTIFS('DRAFT 2'!$D:$D,$B125,'DRAFT 2'!$A:$A,"&gt;="&amp;DATE(2026,8,15),'DRAFT 2'!$A:$A,"&lt;="&amp;DATE(2026,8,21))</f>
        <v/>
      </c>
      <c r="GM125" s="116">
        <f>COUNTIFS('DRAFT 2'!$D:$D,$B125,'DRAFT 2'!$A:$A,"&gt;="&amp;DATE(2026,8,22),'DRAFT 2'!$A:$A,"&lt;"&amp;DATE(2026,IF(8=12,8+1,8+1),1))</f>
        <v/>
      </c>
      <c r="GN125" s="116">
        <f>SUM(GJ125:GM125)</f>
        <v/>
      </c>
      <c r="GX125" s="116">
        <f>IFERROR(LOOKUP(2,1/('DRAFT 2'!$D:$D=$B125)*('DRAFT 2'!$A:$A&gt;=DATE(2026,9,1))*('DRAFT 2'!$A:$A&lt;DATE(2026,IF(9=12,9+1,9+1),1)),'DRAFT 2'!$A:$A),"")</f>
        <v/>
      </c>
      <c r="GY125" s="116">
        <f>COUNTIFS('DRAFT 2'!$D:$D,$B125,'DRAFT 2'!$A:$A,"&gt;="&amp;DATE(2026,9,1),'DRAFT 2'!$A:$A,"&lt;="&amp;DATE(2026,9,7))</f>
        <v/>
      </c>
      <c r="GZ125" s="116">
        <f>COUNTIFS('DRAFT 2'!$D:$D,$B125,'DRAFT 2'!$A:$A,"&gt;="&amp;DATE(2026,9,8),'DRAFT 2'!$A:$A,"&lt;="&amp;DATE(2026,9,14))</f>
        <v/>
      </c>
      <c r="HA125" s="116">
        <f>COUNTIFS('DRAFT 2'!$D:$D,$B125,'DRAFT 2'!$A:$A,"&gt;="&amp;DATE(2026,9,15),'DRAFT 2'!$A:$A,"&lt;="&amp;DATE(2026,9,21))</f>
        <v/>
      </c>
      <c r="HB125" s="116">
        <f>COUNTIFS('DRAFT 2'!$D:$D,$B125,'DRAFT 2'!$A:$A,"&gt;="&amp;DATE(2026,9,22),'DRAFT 2'!$A:$A,"&lt;"&amp;DATE(2026,IF(9=12,9+1,9+1),1))</f>
        <v/>
      </c>
      <c r="HC125" s="116">
        <f>SUM(GY125:HB125)</f>
        <v/>
      </c>
      <c r="HN125" s="116">
        <f>IFERROR(LOOKUP(2,1/('DRAFT 2'!$D:$D=$B125)*('DRAFT 2'!$A:$A&gt;=DATE(2026,10,1))*('DRAFT 2'!$A:$A&lt;DATE(2026,IF(10=12,10+1,10+1),1)),'DRAFT 2'!$A:$A),"")</f>
        <v/>
      </c>
      <c r="HO125" s="116">
        <f>COUNTIFS('DRAFT 2'!$D:$D,$B125,'DRAFT 2'!$A:$A,"&gt;="&amp;DATE(2026,10,1),'DRAFT 2'!$A:$A,"&lt;="&amp;DATE(2026,10,7))</f>
        <v/>
      </c>
      <c r="HP125" s="116">
        <f>COUNTIFS('DRAFT 2'!$D:$D,$B125,'DRAFT 2'!$A:$A,"&gt;="&amp;DATE(2026,10,8),'DRAFT 2'!$A:$A,"&lt;="&amp;DATE(2026,10,14))</f>
        <v/>
      </c>
      <c r="HQ125" s="116">
        <f>COUNTIFS('DRAFT 2'!$D:$D,$B125,'DRAFT 2'!$A:$A,"&gt;="&amp;DATE(2026,10,15),'DRAFT 2'!$A:$A,"&lt;="&amp;DATE(2026,10,21))</f>
        <v/>
      </c>
      <c r="HR125" s="116">
        <f>COUNTIFS('DRAFT 2'!$D:$D,$B125,'DRAFT 2'!$A:$A,"&gt;="&amp;DATE(2026,10,22),'DRAFT 2'!$A:$A,"&lt;"&amp;DATE(2026,IF(10=12,10+1,10+1),1))</f>
        <v/>
      </c>
      <c r="HS125" s="116">
        <f>SUM(HO125:HR125)</f>
        <v/>
      </c>
      <c r="IC125" s="116">
        <f>IFERROR(LOOKUP(2,1/('DRAFT 2'!$D:$D=$B125)*('DRAFT 2'!$A:$A&gt;=DATE(2026,11,1))*('DRAFT 2'!$A:$A&lt;DATE(2026,IF(11=12,11+1,11+1),1)),'DRAFT 2'!$A:$A),"")</f>
        <v/>
      </c>
      <c r="ID125" s="116">
        <f>COUNTIFS('DRAFT 2'!$D:$D,$B125,'DRAFT 2'!$A:$A,"&gt;="&amp;DATE(2026,11,1),'DRAFT 2'!$A:$A,"&lt;="&amp;DATE(2026,11,7))</f>
        <v/>
      </c>
      <c r="IE125" s="116">
        <f>COUNTIFS('DRAFT 2'!$D:$D,$B125,'DRAFT 2'!$A:$A,"&gt;="&amp;DATE(2026,11,8),'DRAFT 2'!$A:$A,"&lt;="&amp;DATE(2026,11,14))</f>
        <v/>
      </c>
      <c r="IF125" s="116">
        <f>COUNTIFS('DRAFT 2'!$D:$D,$B125,'DRAFT 2'!$A:$A,"&gt;="&amp;DATE(2026,11,15),'DRAFT 2'!$A:$A,"&lt;="&amp;DATE(2026,11,21))</f>
        <v/>
      </c>
      <c r="IG125" s="116">
        <f>COUNTIFS('DRAFT 2'!$D:$D,$B125,'DRAFT 2'!$A:$A,"&gt;="&amp;DATE(2026,11,22),'DRAFT 2'!$A:$A,"&lt;"&amp;DATE(2026,IF(11=12,11+1,11+1),1))</f>
        <v/>
      </c>
      <c r="IH125" s="116">
        <f>SUM(ID125:IG125)</f>
        <v/>
      </c>
      <c r="IR125" s="116">
        <f>IFERROR(LOOKUP(2,1/('DRAFT 2'!$D:$D=$B125)*('DRAFT 2'!$A:$A&gt;=DATE(2026,12,1))*('DRAFT 2'!$A:$A&lt;DATE(2026,IF(12=12,12+1,12+1),1)),'DRAFT 2'!$A:$A),"")</f>
        <v/>
      </c>
      <c r="IS125" s="116">
        <f>COUNTIFS('DRAFT 2'!$D:$D,$B125,'DRAFT 2'!$A:$A,"&gt;="&amp;DATE(2026,12,1),'DRAFT 2'!$A:$A,"&lt;="&amp;DATE(2026,12,7))</f>
        <v/>
      </c>
      <c r="IT125" s="116">
        <f>COUNTIFS('DRAFT 2'!$D:$D,$B125,'DRAFT 2'!$A:$A,"&gt;="&amp;DATE(2026,12,8),'DRAFT 2'!$A:$A,"&lt;="&amp;DATE(2026,12,14))</f>
        <v/>
      </c>
      <c r="IU125" s="116">
        <f>COUNTIFS('DRAFT 2'!$D:$D,$B125,'DRAFT 2'!$A:$A,"&gt;="&amp;DATE(2026,12,15),'DRAFT 2'!$A:$A,"&lt;="&amp;DATE(2026,12,21))</f>
        <v/>
      </c>
      <c r="IV125" s="116">
        <f>COUNTIFS('DRAFT 2'!$D:$D,$B125,'DRAFT 2'!$A:$A,"&gt;="&amp;DATE(2026,12,22),'DRAFT 2'!$A:$A,"&lt;"&amp;DATE(2026,IF(12=12,12+1,12+1),1))</f>
        <v/>
      </c>
      <c r="IW125" s="116">
        <f>SUM(IS125:IV125)</f>
        <v/>
      </c>
    </row>
    <row r="126">
      <c r="A126" s="116">
        <f>IFERROR(INDEX('DRAFT 1'!$A:$A,MATCH($B126,'DRAFT 1'!$B:$B,0)),"")</f>
        <v/>
      </c>
      <c r="C126" s="116">
        <f>IFERROR(INDEX('DRAFT 1'!$C:$C,MATCH($B126,'DRAFT 1'!$B:$B,0)),"")</f>
        <v/>
      </c>
      <c r="D126" s="116">
        <f>IFERROR(INDEX('DRAFT 1'!$D:$D,MATCH($B126,'DRAFT 1'!$B:$B,0)),"")</f>
        <v/>
      </c>
      <c r="E126" s="116">
        <f>IFERROR(INDEX('DRAFT 1'!$E:$E,MATCH($B126,'DRAFT 1'!$B:$B,0)),"")</f>
        <v/>
      </c>
      <c r="F126" s="116">
        <f>IFERROR(INDEX('DRAFT 1'!$F:$F,MATCH($B126,'DRAFT 1'!$B:$B,0)),"")</f>
        <v/>
      </c>
      <c r="G126" s="116">
        <f>IFERROR(INDEX('DRAFT 1'!$G:$G,MATCH($B126,'DRAFT 1'!$B:$B,0)),"")</f>
        <v/>
      </c>
      <c r="H126" s="116">
        <f>IFERROR(INDEX('DRAFT 1'!$H:$H,MATCH($B126,'DRAFT 1'!$B:$B,0)),"")</f>
        <v/>
      </c>
      <c r="I126" s="116">
        <f>IFERROR(INDEX('DRAFT 1'!$I:$I,MATCH($B126,'DRAFT 1'!$B:$B,0)),"")</f>
        <v/>
      </c>
      <c r="K126" s="116">
        <f>IFERROR(INDEX('DRAFT 1'!$AL:$AL,MATCH($B126,'DRAFT 1'!$B:$B,0)),"")</f>
        <v/>
      </c>
      <c r="L126" s="116">
        <f>IFERROR(INDEX('DRAFT 1'!$J:$J,MATCH($B126,'DRAFT 1'!$B:$B,0)),"")</f>
        <v/>
      </c>
      <c r="M126" s="116">
        <f>IFERROR(INDEX('DRAFT 1'!$K:$K,MATCH($B126,'DRAFT 1'!$B:$B,0)),"")</f>
        <v/>
      </c>
      <c r="P126" s="116">
        <f>IFERROR(INDEX('DRAFT 1'!$L:$L,MATCH($B126,'DRAFT 1'!$B:$B,0)),"")</f>
        <v/>
      </c>
      <c r="Q126" s="116">
        <f>IFERROR(INDEX('DRAFT 1'!$M:$M,MATCH($B126,'DRAFT 1'!$B:$B,0)),"")</f>
        <v/>
      </c>
      <c r="R126" s="116">
        <f>IFERROR(INDEX('DRAFT 1'!$N:$N,MATCH($B126,'DRAFT 1'!$B:$B,0)),"")</f>
        <v/>
      </c>
      <c r="S126" s="116">
        <f>IFERROR(INDEX('DRAFT 1'!$O:$O,MATCH($B126,'DRAFT 1'!$B:$B,0)),"")</f>
        <v/>
      </c>
      <c r="T126" s="116">
        <f>IFERROR(INDEX('DRAFT 1'!$P:$P,MATCH($B126,'DRAFT 1'!$B:$B,0)),"")</f>
        <v/>
      </c>
      <c r="U126" s="116">
        <f>IFERROR(INDEX('DRAFT 1'!$Q:$Q,MATCH($B126,'DRAFT 1'!$B:$B,0)),"")</f>
        <v/>
      </c>
      <c r="V126" s="116">
        <f>IFERROR(INDEX('DRAFT 1'!$R:$R,MATCH($B126,'DRAFT 1'!$B:$B,0)),"")</f>
        <v/>
      </c>
      <c r="W126" s="116">
        <f>IFERROR(INDEX('DRAFT 1'!$S:$S,MATCH($B126,'DRAFT 1'!$B:$B,0)),"")</f>
        <v/>
      </c>
      <c r="X126" s="116">
        <f>IFERROR(INDEX('DRAFT 1'!$T:$T,MATCH($B126,'DRAFT 1'!$B:$B,0)),"")</f>
        <v/>
      </c>
      <c r="Z126" s="116">
        <f>IFERROR(INDEX('DRAFT 1'!$U:$U,MATCH($B126,'DRAFT 1'!$B:$B,0)),"")</f>
        <v/>
      </c>
      <c r="AA126" s="116">
        <f>IFERROR(INDEX('DRAFT 1'!$V:$V,MATCH($B126,'DRAFT 1'!$B:$B,0)),"")</f>
        <v/>
      </c>
      <c r="AB126" s="116">
        <f>IFERROR(INDEX('DRAFT 1'!$W:$W,MATCH($B126,'DRAFT 1'!$B:$B,0)),"")</f>
        <v/>
      </c>
      <c r="AC126" s="116">
        <f>IFERROR(INDEX('DRAFT 1'!$X:$X,MATCH($B126,'DRAFT 1'!$B:$B,0)),"")</f>
        <v/>
      </c>
      <c r="AD126" s="116">
        <f>IFERROR(INDEX('DRAFT 1'!$Y:$Y,MATCH($B126,'DRAFT 1'!$B:$B,0)),"")</f>
        <v/>
      </c>
      <c r="AE126" s="116">
        <f>IFERROR(INDEX('DRAFT 1'!$Z:$Z,MATCH($B126,'DRAFT 1'!$B:$B,0)),"")</f>
        <v/>
      </c>
      <c r="AF126" s="116">
        <f>IFERROR(INDEX('DRAFT 1'!$AA:$AA,MATCH($B126,'DRAFT 1'!$B:$B,0)),"")</f>
        <v/>
      </c>
      <c r="AG126" s="116">
        <f>IFERROR(INDEX('DRAFT 1'!$AB:$AB,MATCH($B126,'DRAFT 1'!$B:$B,0)),"")</f>
        <v/>
      </c>
      <c r="AH126" s="116">
        <f>IFERROR(INDEX('DRAFT 1'!$AC:$AC,MATCH($B126,'DRAFT 1'!$B:$B,0)),"")</f>
        <v/>
      </c>
      <c r="AI126" s="116">
        <f>IFERROR(INDEX('DRAFT 1'!$AD:$AD,MATCH($B126,'DRAFT 1'!$B:$B,0)),"")</f>
        <v/>
      </c>
      <c r="AJ126" s="116">
        <f>IFERROR(INDEX('DRAFT 1'!$AE:$AE,MATCH($B126,'DRAFT 1'!$B:$B,0)),"")</f>
        <v/>
      </c>
      <c r="AK126" s="116">
        <f>IFERROR(INDEX('DRAFT 1'!$AG:$AG,MATCH($B126,'DRAFT 1'!$B:$B,0)),"")</f>
        <v/>
      </c>
      <c r="AL126" s="116">
        <f>IFERROR(INDEX('DRAFT 1'!$AH:$AH,MATCH($B126,'DRAFT 1'!$B:$B,0)),"")</f>
        <v/>
      </c>
      <c r="AM126" s="116">
        <f>IFERROR(INDEX('DRAFT 1'!$AI:$AI,MATCH($B126,'DRAFT 1'!$B:$B,0)),"")</f>
        <v/>
      </c>
      <c r="AN126" s="116">
        <f>IFERROR(INDEX('DRAFT 1'!$AJ:$AJ,MATCH($B126,'DRAFT 1'!$B:$B,0)),"")</f>
        <v/>
      </c>
      <c r="AO126" s="116">
        <f>IFERROR(Y126/AN126,0)</f>
        <v/>
      </c>
      <c r="AP126" s="116">
        <f>IFERROR(INDEX('DRAFT 1'!$AK:$AK,MATCH($B126,'DRAFT 1'!$B:$B,0)),"")</f>
        <v/>
      </c>
      <c r="AR126" s="116">
        <f>IFERROR(LOOKUP(2,1/('DRAFT 2'!$D:$D=$B126),'DRAFT 2'!$I:$I),"")</f>
        <v/>
      </c>
      <c r="AS126" s="116">
        <f>IFERROR(LOOKUP(2,1/('DRAFT 2'!$D:$D=$B126),'DRAFT 2'!$T:$T),"")</f>
        <v/>
      </c>
      <c r="AT126" s="116">
        <f>IFERROR(LOOKUP(2,1/('DRAFT 2'!$D:$D=$B126),'DRAFT 2'!$A:$A),"")</f>
        <v/>
      </c>
      <c r="AU126" s="116">
        <f>IFERROR(LOOKUP(2,1/('DRAFT 2'!$D:$D=$B126),'DRAFT 2'!$R:$R),"")</f>
        <v/>
      </c>
      <c r="AV126" s="116">
        <f>IFERROR(LOOKUP(2,1/('DRAFT 2'!$D:$D=$B126),'DRAFT 2'!$S:$S),"")</f>
        <v/>
      </c>
      <c r="AX126" s="116">
        <f>IFERROR(LOOKUP(2,1/('DRAFT 2'!$D:$D=$B126),'DRAFT 2'!$M:$M),"")</f>
        <v/>
      </c>
      <c r="AY126" s="116">
        <f>IFERROR(LOOKUP(2,1/('DRAFT 2'!$D:$D=$B126),'DRAFT 2'!$K:$K),"")</f>
        <v/>
      </c>
      <c r="BG126" s="116">
        <f>IFERROR(LOOKUP(2,1/('DRAFT 2'!$D:$D=$B126),'DRAFT 2'!$U:$U),"")</f>
        <v/>
      </c>
      <c r="BH126" s="116">
        <f>IFERROR(LOOKUP(2,1/('DRAFT 2'!$D:$D=$B126),'DRAFT 2'!$V:$V),"")</f>
        <v/>
      </c>
      <c r="CE126" s="116">
        <f>IFERROR(AJ126,0)</f>
        <v/>
      </c>
      <c r="CF126" s="116">
        <f>IFERROR(LOOKUP(2,1/('DRAFT 2'!$D:$D=$B126)*('DRAFT 2'!$A:$A&gt;=DATE(2026,1,1))*('DRAFT 2'!$A:$A&lt;DATE(2026,IF(1=12,1+1,1+1),1)),'DRAFT 2'!$A:$A),"")</f>
        <v/>
      </c>
      <c r="CG126" s="116">
        <f>COUNTIFS('DRAFT 2'!$D:$D,$B126,'DRAFT 2'!$A:$A,"&gt;="&amp;DATE(2026,1,1),'DRAFT 2'!$A:$A,"&lt;="&amp;DATE(2026,1,7))</f>
        <v/>
      </c>
      <c r="CH126" s="116">
        <f>COUNTIFS('DRAFT 2'!$D:$D,$B126,'DRAFT 2'!$A:$A,"&gt;="&amp;DATE(2026,1,8),'DRAFT 2'!$A:$A,"&lt;="&amp;DATE(2026,1,14))</f>
        <v/>
      </c>
      <c r="CI126" s="116">
        <f>COUNTIFS('DRAFT 2'!$D:$D,$B126,'DRAFT 2'!$A:$A,"&gt;="&amp;DATE(2026,1,15),'DRAFT 2'!$A:$A,"&lt;="&amp;DATE(2026,1,21))</f>
        <v/>
      </c>
      <c r="CJ126" s="116">
        <f>COUNTIFS('DRAFT 2'!$D:$D,$B126,'DRAFT 2'!$A:$A,"&gt;="&amp;DATE(2026,1,22),'DRAFT 2'!$A:$A,"&lt;"&amp;DATE(2026,IF(1=12,1+1,1+1),1))</f>
        <v/>
      </c>
      <c r="CK126" s="116">
        <f>SUM(CG126:CJ126)</f>
        <v/>
      </c>
      <c r="CT126" s="116" t="n">
        <v>0</v>
      </c>
      <c r="CU126" s="116">
        <f>IFERROR(LOOKUP(2,1/('DRAFT 2'!$D:$D=$B126)*('DRAFT 2'!$A:$A&gt;=DATE(2026,2,1))*('DRAFT 2'!$A:$A&lt;DATE(2026,IF(2=12,2+1,2+1),1)),'DRAFT 2'!$A:$A),"")</f>
        <v/>
      </c>
      <c r="CV126" s="116">
        <f>COUNTIFS('DRAFT 2'!$D:$D,$B126,'DRAFT 2'!$A:$A,"&gt;="&amp;DATE(2026,2,1),'DRAFT 2'!$A:$A,"&lt;="&amp;DATE(2026,2,7))</f>
        <v/>
      </c>
      <c r="CW126" s="116">
        <f>COUNTIFS('DRAFT 2'!$D:$D,$B126,'DRAFT 2'!$A:$A,"&gt;="&amp;DATE(2026,2,8),'DRAFT 2'!$A:$A,"&lt;="&amp;DATE(2026,2,14))</f>
        <v/>
      </c>
      <c r="CX126" s="116">
        <f>COUNTIFS('DRAFT 2'!$D:$D,$B126,'DRAFT 2'!$A:$A,"&gt;="&amp;DATE(2026,2,15),'DRAFT 2'!$A:$A,"&lt;="&amp;DATE(2026,2,21))</f>
        <v/>
      </c>
      <c r="CY126" s="116">
        <f>COUNTIFS('DRAFT 2'!$D:$D,$B126,'DRAFT 2'!$A:$A,"&gt;="&amp;DATE(2026,2,22),'DRAFT 2'!$A:$A,"&lt;"&amp;DATE(2026,IF(2=12,2+1,2+1),1))</f>
        <v/>
      </c>
      <c r="CZ126" s="116">
        <f>SUM(CV126:CY126)</f>
        <v/>
      </c>
      <c r="DJ126" s="116">
        <f>IFERROR(LOOKUP(2,1/('DRAFT 2'!$D:$D=$B126)*('DRAFT 2'!$A:$A&gt;=DATE(2026,3,1))*('DRAFT 2'!$A:$A&lt;DATE(2026,IF(3=12,3+1,3+1),1)),'DRAFT 2'!$A:$A),"")</f>
        <v/>
      </c>
      <c r="DK126" s="116">
        <f>COUNTIFS('DRAFT 2'!$D:$D,$B126,'DRAFT 2'!$A:$A,"&gt;="&amp;DATE(2026,3,1),'DRAFT 2'!$A:$A,"&lt;="&amp;DATE(2026,3,7))</f>
        <v/>
      </c>
      <c r="DL126" s="116">
        <f>COUNTIFS('DRAFT 2'!$D:$D,$B126,'DRAFT 2'!$A:$A,"&gt;="&amp;DATE(2026,3,8),'DRAFT 2'!$A:$A,"&lt;="&amp;DATE(2026,3,14))</f>
        <v/>
      </c>
      <c r="DM126" s="116">
        <f>COUNTIFS('DRAFT 2'!$D:$D,$B126,'DRAFT 2'!$A:$A,"&gt;="&amp;DATE(2026,3,15),'DRAFT 2'!$A:$A,"&lt;="&amp;DATE(2026,3,21))</f>
        <v/>
      </c>
      <c r="DN126" s="116">
        <f>COUNTIFS('DRAFT 2'!$D:$D,$B126,'DRAFT 2'!$A:$A,"&gt;="&amp;DATE(2026,3,22),'DRAFT 2'!$A:$A,"&lt;"&amp;DATE(2026,IF(3=12,3+1,3+1),1))</f>
        <v/>
      </c>
      <c r="DO126" s="116">
        <f>SUM(DK126:DN126)</f>
        <v/>
      </c>
      <c r="DZ126" s="116">
        <f>IFERROR(LOOKUP(2,1/('DRAFT 2'!$D:$D=$B126)*('DRAFT 2'!$A:$A&gt;=DATE(2026,4,1))*('DRAFT 2'!$A:$A&lt;DATE(2026,IF(4=12,4+1,4+1),1)),'DRAFT 2'!$A:$A),"")</f>
        <v/>
      </c>
      <c r="EA126" s="116">
        <f>COUNTIFS('DRAFT 2'!$D:$D,$B126,'DRAFT 2'!$A:$A,"&gt;="&amp;DATE(2026,4,1),'DRAFT 2'!$A:$A,"&lt;="&amp;DATE(2026,4,7))</f>
        <v/>
      </c>
      <c r="EB126" s="116">
        <f>COUNTIFS('DRAFT 2'!$D:$D,$B126,'DRAFT 2'!$A:$A,"&gt;="&amp;DATE(2026,4,8),'DRAFT 2'!$A:$A,"&lt;="&amp;DATE(2026,4,14))</f>
        <v/>
      </c>
      <c r="EC126" s="116">
        <f>COUNTIFS('DRAFT 2'!$D:$D,$B126,'DRAFT 2'!$A:$A,"&gt;="&amp;DATE(2026,4,15),'DRAFT 2'!$A:$A,"&lt;="&amp;DATE(2026,4,21))</f>
        <v/>
      </c>
      <c r="ED126" s="116">
        <f>COUNTIFS('DRAFT 2'!$D:$D,$B126,'DRAFT 2'!$A:$A,"&gt;="&amp;DATE(2026,4,22),'DRAFT 2'!$A:$A,"&lt;"&amp;DATE(2026,IF(4=12,4+1,4+1),1))</f>
        <v/>
      </c>
      <c r="EE126" s="116">
        <f>SUM(EA126:ED126)</f>
        <v/>
      </c>
      <c r="EO126" s="116">
        <f>IFERROR(LOOKUP(2,1/('DRAFT 2'!$D:$D=$B126)*('DRAFT 2'!$A:$A&gt;=DATE(2026,5,1))*('DRAFT 2'!$A:$A&lt;DATE(2026,IF(5=12,5+1,5+1),1)),'DRAFT 2'!$A:$A),"")</f>
        <v/>
      </c>
      <c r="EP126" s="116">
        <f>COUNTIFS('DRAFT 2'!$D:$D,$B126,'DRAFT 2'!$A:$A,"&gt;="&amp;DATE(2026,5,1),'DRAFT 2'!$A:$A,"&lt;="&amp;DATE(2026,5,7))</f>
        <v/>
      </c>
      <c r="EQ126" s="116">
        <f>COUNTIFS('DRAFT 2'!$D:$D,$B126,'DRAFT 2'!$A:$A,"&gt;="&amp;DATE(2026,5,8),'DRAFT 2'!$A:$A,"&lt;="&amp;DATE(2026,5,14))</f>
        <v/>
      </c>
      <c r="ER126" s="116">
        <f>COUNTIFS('DRAFT 2'!$D:$D,$B126,'DRAFT 2'!$A:$A,"&gt;="&amp;DATE(2026,5,15),'DRAFT 2'!$A:$A,"&lt;="&amp;DATE(2026,5,21))</f>
        <v/>
      </c>
      <c r="ES126" s="116">
        <f>COUNTIFS('DRAFT 2'!$D:$D,$B126,'DRAFT 2'!$A:$A,"&gt;="&amp;DATE(2026,5,22),'DRAFT 2'!$A:$A,"&lt;"&amp;DATE(2026,IF(5=12,5+1,5+1),1))</f>
        <v/>
      </c>
      <c r="ET126" s="116">
        <f>SUM(EP126:ES126)</f>
        <v/>
      </c>
      <c r="FD126" s="116">
        <f>IFERROR(LOOKUP(2,1/('DRAFT 2'!$D:$D=$B126)*('DRAFT 2'!$A:$A&gt;=DATE(2026,6,1))*('DRAFT 2'!$A:$A&lt;DATE(2026,IF(6=12,6+1,6+1),1)),'DRAFT 2'!$A:$A),"")</f>
        <v/>
      </c>
      <c r="FE126" s="116">
        <f>COUNTIFS('DRAFT 2'!$D:$D,$B126,'DRAFT 2'!$A:$A,"&gt;="&amp;DATE(2026,6,1),'DRAFT 2'!$A:$A,"&lt;="&amp;DATE(2026,6,7))</f>
        <v/>
      </c>
      <c r="FF126" s="116">
        <f>COUNTIFS('DRAFT 2'!$D:$D,$B126,'DRAFT 2'!$A:$A,"&gt;="&amp;DATE(2026,6,8),'DRAFT 2'!$A:$A,"&lt;="&amp;DATE(2026,6,14))</f>
        <v/>
      </c>
      <c r="FG126" s="116">
        <f>COUNTIFS('DRAFT 2'!$D:$D,$B126,'DRAFT 2'!$A:$A,"&gt;="&amp;DATE(2026,6,15),'DRAFT 2'!$A:$A,"&lt;="&amp;DATE(2026,6,21))</f>
        <v/>
      </c>
      <c r="FH126" s="116">
        <f>COUNTIFS('DRAFT 2'!$D:$D,$B126,'DRAFT 2'!$A:$A,"&gt;="&amp;DATE(2026,6,22),'DRAFT 2'!$A:$A,"&lt;"&amp;DATE(2026,IF(6=12,6+1,6+1),1))</f>
        <v/>
      </c>
      <c r="FI126" s="116">
        <f>SUM(FE126:FH126)</f>
        <v/>
      </c>
      <c r="FT126" s="116">
        <f>IFERROR(LOOKUP(2,1/('DRAFT 2'!$D:$D=$B126)*('DRAFT 2'!$A:$A&gt;=DATE(2026,7,1))*('DRAFT 2'!$A:$A&lt;DATE(2026,IF(7=12,7+1,7+1),1)),'DRAFT 2'!$A:$A),"")</f>
        <v/>
      </c>
      <c r="FU126" s="116">
        <f>COUNTIFS('DRAFT 2'!$D:$D,$B126,'DRAFT 2'!$A:$A,"&gt;="&amp;DATE(2026,7,1),'DRAFT 2'!$A:$A,"&lt;="&amp;DATE(2026,7,7))</f>
        <v/>
      </c>
      <c r="FV126" s="116">
        <f>COUNTIFS('DRAFT 2'!$D:$D,$B126,'DRAFT 2'!$A:$A,"&gt;="&amp;DATE(2026,7,8),'DRAFT 2'!$A:$A,"&lt;="&amp;DATE(2026,7,14))</f>
        <v/>
      </c>
      <c r="FW126" s="116">
        <f>COUNTIFS('DRAFT 2'!$D:$D,$B126,'DRAFT 2'!$A:$A,"&gt;="&amp;DATE(2026,7,15),'DRAFT 2'!$A:$A,"&lt;="&amp;DATE(2026,7,21))</f>
        <v/>
      </c>
      <c r="FX126" s="116">
        <f>COUNTIFS('DRAFT 2'!$D:$D,$B126,'DRAFT 2'!$A:$A,"&gt;="&amp;DATE(2026,7,22),'DRAFT 2'!$A:$A,"&lt;"&amp;DATE(2026,IF(7=12,7+1,7+1),1))</f>
        <v/>
      </c>
      <c r="FY126" s="116">
        <f>SUM(FU126:FX126)</f>
        <v/>
      </c>
      <c r="GI126" s="116">
        <f>IFERROR(LOOKUP(2,1/('DRAFT 2'!$D:$D=$B126)*('DRAFT 2'!$A:$A&gt;=DATE(2026,8,1))*('DRAFT 2'!$A:$A&lt;DATE(2026,IF(8=12,8+1,8+1),1)),'DRAFT 2'!$A:$A),"")</f>
        <v/>
      </c>
      <c r="GJ126" s="116">
        <f>COUNTIFS('DRAFT 2'!$D:$D,$B126,'DRAFT 2'!$A:$A,"&gt;="&amp;DATE(2026,8,1),'DRAFT 2'!$A:$A,"&lt;="&amp;DATE(2026,8,7))</f>
        <v/>
      </c>
      <c r="GK126" s="116">
        <f>COUNTIFS('DRAFT 2'!$D:$D,$B126,'DRAFT 2'!$A:$A,"&gt;="&amp;DATE(2026,8,8),'DRAFT 2'!$A:$A,"&lt;="&amp;DATE(2026,8,14))</f>
        <v/>
      </c>
      <c r="GL126" s="116">
        <f>COUNTIFS('DRAFT 2'!$D:$D,$B126,'DRAFT 2'!$A:$A,"&gt;="&amp;DATE(2026,8,15),'DRAFT 2'!$A:$A,"&lt;="&amp;DATE(2026,8,21))</f>
        <v/>
      </c>
      <c r="GM126" s="116">
        <f>COUNTIFS('DRAFT 2'!$D:$D,$B126,'DRAFT 2'!$A:$A,"&gt;="&amp;DATE(2026,8,22),'DRAFT 2'!$A:$A,"&lt;"&amp;DATE(2026,IF(8=12,8+1,8+1),1))</f>
        <v/>
      </c>
      <c r="GN126" s="116">
        <f>SUM(GJ126:GM126)</f>
        <v/>
      </c>
      <c r="GX126" s="116">
        <f>IFERROR(LOOKUP(2,1/('DRAFT 2'!$D:$D=$B126)*('DRAFT 2'!$A:$A&gt;=DATE(2026,9,1))*('DRAFT 2'!$A:$A&lt;DATE(2026,IF(9=12,9+1,9+1),1)),'DRAFT 2'!$A:$A),"")</f>
        <v/>
      </c>
      <c r="GY126" s="116">
        <f>COUNTIFS('DRAFT 2'!$D:$D,$B126,'DRAFT 2'!$A:$A,"&gt;="&amp;DATE(2026,9,1),'DRAFT 2'!$A:$A,"&lt;="&amp;DATE(2026,9,7))</f>
        <v/>
      </c>
      <c r="GZ126" s="116">
        <f>COUNTIFS('DRAFT 2'!$D:$D,$B126,'DRAFT 2'!$A:$A,"&gt;="&amp;DATE(2026,9,8),'DRAFT 2'!$A:$A,"&lt;="&amp;DATE(2026,9,14))</f>
        <v/>
      </c>
      <c r="HA126" s="116">
        <f>COUNTIFS('DRAFT 2'!$D:$D,$B126,'DRAFT 2'!$A:$A,"&gt;="&amp;DATE(2026,9,15),'DRAFT 2'!$A:$A,"&lt;="&amp;DATE(2026,9,21))</f>
        <v/>
      </c>
      <c r="HB126" s="116">
        <f>COUNTIFS('DRAFT 2'!$D:$D,$B126,'DRAFT 2'!$A:$A,"&gt;="&amp;DATE(2026,9,22),'DRAFT 2'!$A:$A,"&lt;"&amp;DATE(2026,IF(9=12,9+1,9+1),1))</f>
        <v/>
      </c>
      <c r="HC126" s="116">
        <f>SUM(GY126:HB126)</f>
        <v/>
      </c>
      <c r="HN126" s="116">
        <f>IFERROR(LOOKUP(2,1/('DRAFT 2'!$D:$D=$B126)*('DRAFT 2'!$A:$A&gt;=DATE(2026,10,1))*('DRAFT 2'!$A:$A&lt;DATE(2026,IF(10=12,10+1,10+1),1)),'DRAFT 2'!$A:$A),"")</f>
        <v/>
      </c>
      <c r="HO126" s="116">
        <f>COUNTIFS('DRAFT 2'!$D:$D,$B126,'DRAFT 2'!$A:$A,"&gt;="&amp;DATE(2026,10,1),'DRAFT 2'!$A:$A,"&lt;="&amp;DATE(2026,10,7))</f>
        <v/>
      </c>
      <c r="HP126" s="116">
        <f>COUNTIFS('DRAFT 2'!$D:$D,$B126,'DRAFT 2'!$A:$A,"&gt;="&amp;DATE(2026,10,8),'DRAFT 2'!$A:$A,"&lt;="&amp;DATE(2026,10,14))</f>
        <v/>
      </c>
      <c r="HQ126" s="116">
        <f>COUNTIFS('DRAFT 2'!$D:$D,$B126,'DRAFT 2'!$A:$A,"&gt;="&amp;DATE(2026,10,15),'DRAFT 2'!$A:$A,"&lt;="&amp;DATE(2026,10,21))</f>
        <v/>
      </c>
      <c r="HR126" s="116">
        <f>COUNTIFS('DRAFT 2'!$D:$D,$B126,'DRAFT 2'!$A:$A,"&gt;="&amp;DATE(2026,10,22),'DRAFT 2'!$A:$A,"&lt;"&amp;DATE(2026,IF(10=12,10+1,10+1),1))</f>
        <v/>
      </c>
      <c r="HS126" s="116">
        <f>SUM(HO126:HR126)</f>
        <v/>
      </c>
      <c r="IC126" s="116">
        <f>IFERROR(LOOKUP(2,1/('DRAFT 2'!$D:$D=$B126)*('DRAFT 2'!$A:$A&gt;=DATE(2026,11,1))*('DRAFT 2'!$A:$A&lt;DATE(2026,IF(11=12,11+1,11+1),1)),'DRAFT 2'!$A:$A),"")</f>
        <v/>
      </c>
      <c r="ID126" s="116">
        <f>COUNTIFS('DRAFT 2'!$D:$D,$B126,'DRAFT 2'!$A:$A,"&gt;="&amp;DATE(2026,11,1),'DRAFT 2'!$A:$A,"&lt;="&amp;DATE(2026,11,7))</f>
        <v/>
      </c>
      <c r="IE126" s="116">
        <f>COUNTIFS('DRAFT 2'!$D:$D,$B126,'DRAFT 2'!$A:$A,"&gt;="&amp;DATE(2026,11,8),'DRAFT 2'!$A:$A,"&lt;="&amp;DATE(2026,11,14))</f>
        <v/>
      </c>
      <c r="IF126" s="116">
        <f>COUNTIFS('DRAFT 2'!$D:$D,$B126,'DRAFT 2'!$A:$A,"&gt;="&amp;DATE(2026,11,15),'DRAFT 2'!$A:$A,"&lt;="&amp;DATE(2026,11,21))</f>
        <v/>
      </c>
      <c r="IG126" s="116">
        <f>COUNTIFS('DRAFT 2'!$D:$D,$B126,'DRAFT 2'!$A:$A,"&gt;="&amp;DATE(2026,11,22),'DRAFT 2'!$A:$A,"&lt;"&amp;DATE(2026,IF(11=12,11+1,11+1),1))</f>
        <v/>
      </c>
      <c r="IH126" s="116">
        <f>SUM(ID126:IG126)</f>
        <v/>
      </c>
      <c r="IR126" s="116">
        <f>IFERROR(LOOKUP(2,1/('DRAFT 2'!$D:$D=$B126)*('DRAFT 2'!$A:$A&gt;=DATE(2026,12,1))*('DRAFT 2'!$A:$A&lt;DATE(2026,IF(12=12,12+1,12+1),1)),'DRAFT 2'!$A:$A),"")</f>
        <v/>
      </c>
      <c r="IS126" s="116">
        <f>COUNTIFS('DRAFT 2'!$D:$D,$B126,'DRAFT 2'!$A:$A,"&gt;="&amp;DATE(2026,12,1),'DRAFT 2'!$A:$A,"&lt;="&amp;DATE(2026,12,7))</f>
        <v/>
      </c>
      <c r="IT126" s="116">
        <f>COUNTIFS('DRAFT 2'!$D:$D,$B126,'DRAFT 2'!$A:$A,"&gt;="&amp;DATE(2026,12,8),'DRAFT 2'!$A:$A,"&lt;="&amp;DATE(2026,12,14))</f>
        <v/>
      </c>
      <c r="IU126" s="116">
        <f>COUNTIFS('DRAFT 2'!$D:$D,$B126,'DRAFT 2'!$A:$A,"&gt;="&amp;DATE(2026,12,15),'DRAFT 2'!$A:$A,"&lt;="&amp;DATE(2026,12,21))</f>
        <v/>
      </c>
      <c r="IV126" s="116">
        <f>COUNTIFS('DRAFT 2'!$D:$D,$B126,'DRAFT 2'!$A:$A,"&gt;="&amp;DATE(2026,12,22),'DRAFT 2'!$A:$A,"&lt;"&amp;DATE(2026,IF(12=12,12+1,12+1),1))</f>
        <v/>
      </c>
      <c r="IW126" s="116">
        <f>SUM(IS126:IV126)</f>
        <v/>
      </c>
    </row>
    <row r="127">
      <c r="A127" s="116">
        <f>IFERROR(INDEX('DRAFT 1'!$A:$A,MATCH($B127,'DRAFT 1'!$B:$B,0)),"")</f>
        <v/>
      </c>
      <c r="C127" s="116">
        <f>IFERROR(INDEX('DRAFT 1'!$C:$C,MATCH($B127,'DRAFT 1'!$B:$B,0)),"")</f>
        <v/>
      </c>
      <c r="D127" s="116">
        <f>IFERROR(INDEX('DRAFT 1'!$D:$D,MATCH($B127,'DRAFT 1'!$B:$B,0)),"")</f>
        <v/>
      </c>
      <c r="E127" s="116">
        <f>IFERROR(INDEX('DRAFT 1'!$E:$E,MATCH($B127,'DRAFT 1'!$B:$B,0)),"")</f>
        <v/>
      </c>
      <c r="F127" s="116">
        <f>IFERROR(INDEX('DRAFT 1'!$F:$F,MATCH($B127,'DRAFT 1'!$B:$B,0)),"")</f>
        <v/>
      </c>
      <c r="G127" s="116">
        <f>IFERROR(INDEX('DRAFT 1'!$G:$G,MATCH($B127,'DRAFT 1'!$B:$B,0)),"")</f>
        <v/>
      </c>
      <c r="H127" s="116">
        <f>IFERROR(INDEX('DRAFT 1'!$H:$H,MATCH($B127,'DRAFT 1'!$B:$B,0)),"")</f>
        <v/>
      </c>
      <c r="I127" s="116">
        <f>IFERROR(INDEX('DRAFT 1'!$I:$I,MATCH($B127,'DRAFT 1'!$B:$B,0)),"")</f>
        <v/>
      </c>
      <c r="K127" s="116">
        <f>IFERROR(INDEX('DRAFT 1'!$AL:$AL,MATCH($B127,'DRAFT 1'!$B:$B,0)),"")</f>
        <v/>
      </c>
      <c r="L127" s="116">
        <f>IFERROR(INDEX('DRAFT 1'!$J:$J,MATCH($B127,'DRAFT 1'!$B:$B,0)),"")</f>
        <v/>
      </c>
      <c r="M127" s="116">
        <f>IFERROR(INDEX('DRAFT 1'!$K:$K,MATCH($B127,'DRAFT 1'!$B:$B,0)),"")</f>
        <v/>
      </c>
      <c r="P127" s="116">
        <f>IFERROR(INDEX('DRAFT 1'!$L:$L,MATCH($B127,'DRAFT 1'!$B:$B,0)),"")</f>
        <v/>
      </c>
      <c r="Q127" s="116">
        <f>IFERROR(INDEX('DRAFT 1'!$M:$M,MATCH($B127,'DRAFT 1'!$B:$B,0)),"")</f>
        <v/>
      </c>
      <c r="R127" s="116">
        <f>IFERROR(INDEX('DRAFT 1'!$N:$N,MATCH($B127,'DRAFT 1'!$B:$B,0)),"")</f>
        <v/>
      </c>
      <c r="S127" s="116">
        <f>IFERROR(INDEX('DRAFT 1'!$O:$O,MATCH($B127,'DRAFT 1'!$B:$B,0)),"")</f>
        <v/>
      </c>
      <c r="T127" s="116">
        <f>IFERROR(INDEX('DRAFT 1'!$P:$P,MATCH($B127,'DRAFT 1'!$B:$B,0)),"")</f>
        <v/>
      </c>
      <c r="U127" s="116">
        <f>IFERROR(INDEX('DRAFT 1'!$Q:$Q,MATCH($B127,'DRAFT 1'!$B:$B,0)),"")</f>
        <v/>
      </c>
      <c r="V127" s="116">
        <f>IFERROR(INDEX('DRAFT 1'!$R:$R,MATCH($B127,'DRAFT 1'!$B:$B,0)),"")</f>
        <v/>
      </c>
      <c r="W127" s="116">
        <f>IFERROR(INDEX('DRAFT 1'!$S:$S,MATCH($B127,'DRAFT 1'!$B:$B,0)),"")</f>
        <v/>
      </c>
      <c r="X127" s="116">
        <f>IFERROR(INDEX('DRAFT 1'!$T:$T,MATCH($B127,'DRAFT 1'!$B:$B,0)),"")</f>
        <v/>
      </c>
      <c r="Z127" s="116">
        <f>IFERROR(INDEX('DRAFT 1'!$U:$U,MATCH($B127,'DRAFT 1'!$B:$B,0)),"")</f>
        <v/>
      </c>
      <c r="AA127" s="116">
        <f>IFERROR(INDEX('DRAFT 1'!$V:$V,MATCH($B127,'DRAFT 1'!$B:$B,0)),"")</f>
        <v/>
      </c>
      <c r="AB127" s="116">
        <f>IFERROR(INDEX('DRAFT 1'!$W:$W,MATCH($B127,'DRAFT 1'!$B:$B,0)),"")</f>
        <v/>
      </c>
      <c r="AC127" s="116">
        <f>IFERROR(INDEX('DRAFT 1'!$X:$X,MATCH($B127,'DRAFT 1'!$B:$B,0)),"")</f>
        <v/>
      </c>
      <c r="AD127" s="116">
        <f>IFERROR(INDEX('DRAFT 1'!$Y:$Y,MATCH($B127,'DRAFT 1'!$B:$B,0)),"")</f>
        <v/>
      </c>
      <c r="AE127" s="116">
        <f>IFERROR(INDEX('DRAFT 1'!$Z:$Z,MATCH($B127,'DRAFT 1'!$B:$B,0)),"")</f>
        <v/>
      </c>
      <c r="AF127" s="116">
        <f>IFERROR(INDEX('DRAFT 1'!$AA:$AA,MATCH($B127,'DRAFT 1'!$B:$B,0)),"")</f>
        <v/>
      </c>
      <c r="AG127" s="116">
        <f>IFERROR(INDEX('DRAFT 1'!$AB:$AB,MATCH($B127,'DRAFT 1'!$B:$B,0)),"")</f>
        <v/>
      </c>
      <c r="AH127" s="116">
        <f>IFERROR(INDEX('DRAFT 1'!$AC:$AC,MATCH($B127,'DRAFT 1'!$B:$B,0)),"")</f>
        <v/>
      </c>
      <c r="AI127" s="116">
        <f>IFERROR(INDEX('DRAFT 1'!$AD:$AD,MATCH($B127,'DRAFT 1'!$B:$B,0)),"")</f>
        <v/>
      </c>
      <c r="AJ127" s="116">
        <f>IFERROR(INDEX('DRAFT 1'!$AE:$AE,MATCH($B127,'DRAFT 1'!$B:$B,0)),"")</f>
        <v/>
      </c>
      <c r="AK127" s="116">
        <f>IFERROR(INDEX('DRAFT 1'!$AG:$AG,MATCH($B127,'DRAFT 1'!$B:$B,0)),"")</f>
        <v/>
      </c>
      <c r="AL127" s="116">
        <f>IFERROR(INDEX('DRAFT 1'!$AH:$AH,MATCH($B127,'DRAFT 1'!$B:$B,0)),"")</f>
        <v/>
      </c>
      <c r="AM127" s="116">
        <f>IFERROR(INDEX('DRAFT 1'!$AI:$AI,MATCH($B127,'DRAFT 1'!$B:$B,0)),"")</f>
        <v/>
      </c>
      <c r="AN127" s="116">
        <f>IFERROR(INDEX('DRAFT 1'!$AJ:$AJ,MATCH($B127,'DRAFT 1'!$B:$B,0)),"")</f>
        <v/>
      </c>
      <c r="AO127" s="116">
        <f>IFERROR(Y127/AN127,0)</f>
        <v/>
      </c>
      <c r="AP127" s="116">
        <f>IFERROR(INDEX('DRAFT 1'!$AK:$AK,MATCH($B127,'DRAFT 1'!$B:$B,0)),"")</f>
        <v/>
      </c>
      <c r="AR127" s="116">
        <f>IFERROR(LOOKUP(2,1/('DRAFT 2'!$D:$D=$B127),'DRAFT 2'!$I:$I),"")</f>
        <v/>
      </c>
      <c r="AS127" s="116">
        <f>IFERROR(LOOKUP(2,1/('DRAFT 2'!$D:$D=$B127),'DRAFT 2'!$T:$T),"")</f>
        <v/>
      </c>
      <c r="AT127" s="116">
        <f>IFERROR(LOOKUP(2,1/('DRAFT 2'!$D:$D=$B127),'DRAFT 2'!$A:$A),"")</f>
        <v/>
      </c>
      <c r="AU127" s="116">
        <f>IFERROR(LOOKUP(2,1/('DRAFT 2'!$D:$D=$B127),'DRAFT 2'!$R:$R),"")</f>
        <v/>
      </c>
      <c r="AV127" s="116">
        <f>IFERROR(LOOKUP(2,1/('DRAFT 2'!$D:$D=$B127),'DRAFT 2'!$S:$S),"")</f>
        <v/>
      </c>
      <c r="AX127" s="116">
        <f>IFERROR(LOOKUP(2,1/('DRAFT 2'!$D:$D=$B127),'DRAFT 2'!$M:$M),"")</f>
        <v/>
      </c>
      <c r="AY127" s="116">
        <f>IFERROR(LOOKUP(2,1/('DRAFT 2'!$D:$D=$B127),'DRAFT 2'!$K:$K),"")</f>
        <v/>
      </c>
      <c r="BG127" s="116">
        <f>IFERROR(LOOKUP(2,1/('DRAFT 2'!$D:$D=$B127),'DRAFT 2'!$U:$U),"")</f>
        <v/>
      </c>
      <c r="BH127" s="116">
        <f>IFERROR(LOOKUP(2,1/('DRAFT 2'!$D:$D=$B127),'DRAFT 2'!$V:$V),"")</f>
        <v/>
      </c>
      <c r="CE127" s="116">
        <f>IFERROR(AJ127,0)</f>
        <v/>
      </c>
      <c r="CF127" s="116">
        <f>IFERROR(LOOKUP(2,1/('DRAFT 2'!$D:$D=$B127)*('DRAFT 2'!$A:$A&gt;=DATE(2026,1,1))*('DRAFT 2'!$A:$A&lt;DATE(2026,IF(1=12,1+1,1+1),1)),'DRAFT 2'!$A:$A),"")</f>
        <v/>
      </c>
      <c r="CG127" s="116">
        <f>COUNTIFS('DRAFT 2'!$D:$D,$B127,'DRAFT 2'!$A:$A,"&gt;="&amp;DATE(2026,1,1),'DRAFT 2'!$A:$A,"&lt;="&amp;DATE(2026,1,7))</f>
        <v/>
      </c>
      <c r="CH127" s="116">
        <f>COUNTIFS('DRAFT 2'!$D:$D,$B127,'DRAFT 2'!$A:$A,"&gt;="&amp;DATE(2026,1,8),'DRAFT 2'!$A:$A,"&lt;="&amp;DATE(2026,1,14))</f>
        <v/>
      </c>
      <c r="CI127" s="116">
        <f>COUNTIFS('DRAFT 2'!$D:$D,$B127,'DRAFT 2'!$A:$A,"&gt;="&amp;DATE(2026,1,15),'DRAFT 2'!$A:$A,"&lt;="&amp;DATE(2026,1,21))</f>
        <v/>
      </c>
      <c r="CJ127" s="116">
        <f>COUNTIFS('DRAFT 2'!$D:$D,$B127,'DRAFT 2'!$A:$A,"&gt;="&amp;DATE(2026,1,22),'DRAFT 2'!$A:$A,"&lt;"&amp;DATE(2026,IF(1=12,1+1,1+1),1))</f>
        <v/>
      </c>
      <c r="CK127" s="116">
        <f>SUM(CG127:CJ127)</f>
        <v/>
      </c>
      <c r="CT127" s="116" t="n">
        <v>0</v>
      </c>
      <c r="CU127" s="116">
        <f>IFERROR(LOOKUP(2,1/('DRAFT 2'!$D:$D=$B127)*('DRAFT 2'!$A:$A&gt;=DATE(2026,2,1))*('DRAFT 2'!$A:$A&lt;DATE(2026,IF(2=12,2+1,2+1),1)),'DRAFT 2'!$A:$A),"")</f>
        <v/>
      </c>
      <c r="CV127" s="116">
        <f>COUNTIFS('DRAFT 2'!$D:$D,$B127,'DRAFT 2'!$A:$A,"&gt;="&amp;DATE(2026,2,1),'DRAFT 2'!$A:$A,"&lt;="&amp;DATE(2026,2,7))</f>
        <v/>
      </c>
      <c r="CW127" s="116">
        <f>COUNTIFS('DRAFT 2'!$D:$D,$B127,'DRAFT 2'!$A:$A,"&gt;="&amp;DATE(2026,2,8),'DRAFT 2'!$A:$A,"&lt;="&amp;DATE(2026,2,14))</f>
        <v/>
      </c>
      <c r="CX127" s="116">
        <f>COUNTIFS('DRAFT 2'!$D:$D,$B127,'DRAFT 2'!$A:$A,"&gt;="&amp;DATE(2026,2,15),'DRAFT 2'!$A:$A,"&lt;="&amp;DATE(2026,2,21))</f>
        <v/>
      </c>
      <c r="CY127" s="116">
        <f>COUNTIFS('DRAFT 2'!$D:$D,$B127,'DRAFT 2'!$A:$A,"&gt;="&amp;DATE(2026,2,22),'DRAFT 2'!$A:$A,"&lt;"&amp;DATE(2026,IF(2=12,2+1,2+1),1))</f>
        <v/>
      </c>
      <c r="CZ127" s="116">
        <f>SUM(CV127:CY127)</f>
        <v/>
      </c>
      <c r="DJ127" s="116">
        <f>IFERROR(LOOKUP(2,1/('DRAFT 2'!$D:$D=$B127)*('DRAFT 2'!$A:$A&gt;=DATE(2026,3,1))*('DRAFT 2'!$A:$A&lt;DATE(2026,IF(3=12,3+1,3+1),1)),'DRAFT 2'!$A:$A),"")</f>
        <v/>
      </c>
      <c r="DK127" s="116">
        <f>COUNTIFS('DRAFT 2'!$D:$D,$B127,'DRAFT 2'!$A:$A,"&gt;="&amp;DATE(2026,3,1),'DRAFT 2'!$A:$A,"&lt;="&amp;DATE(2026,3,7))</f>
        <v/>
      </c>
      <c r="DL127" s="116">
        <f>COUNTIFS('DRAFT 2'!$D:$D,$B127,'DRAFT 2'!$A:$A,"&gt;="&amp;DATE(2026,3,8),'DRAFT 2'!$A:$A,"&lt;="&amp;DATE(2026,3,14))</f>
        <v/>
      </c>
      <c r="DM127" s="116">
        <f>COUNTIFS('DRAFT 2'!$D:$D,$B127,'DRAFT 2'!$A:$A,"&gt;="&amp;DATE(2026,3,15),'DRAFT 2'!$A:$A,"&lt;="&amp;DATE(2026,3,21))</f>
        <v/>
      </c>
      <c r="DN127" s="116">
        <f>COUNTIFS('DRAFT 2'!$D:$D,$B127,'DRAFT 2'!$A:$A,"&gt;="&amp;DATE(2026,3,22),'DRAFT 2'!$A:$A,"&lt;"&amp;DATE(2026,IF(3=12,3+1,3+1),1))</f>
        <v/>
      </c>
      <c r="DO127" s="116">
        <f>SUM(DK127:DN127)</f>
        <v/>
      </c>
      <c r="DZ127" s="116">
        <f>IFERROR(LOOKUP(2,1/('DRAFT 2'!$D:$D=$B127)*('DRAFT 2'!$A:$A&gt;=DATE(2026,4,1))*('DRAFT 2'!$A:$A&lt;DATE(2026,IF(4=12,4+1,4+1),1)),'DRAFT 2'!$A:$A),"")</f>
        <v/>
      </c>
      <c r="EA127" s="116">
        <f>COUNTIFS('DRAFT 2'!$D:$D,$B127,'DRAFT 2'!$A:$A,"&gt;="&amp;DATE(2026,4,1),'DRAFT 2'!$A:$A,"&lt;="&amp;DATE(2026,4,7))</f>
        <v/>
      </c>
      <c r="EB127" s="116">
        <f>COUNTIFS('DRAFT 2'!$D:$D,$B127,'DRAFT 2'!$A:$A,"&gt;="&amp;DATE(2026,4,8),'DRAFT 2'!$A:$A,"&lt;="&amp;DATE(2026,4,14))</f>
        <v/>
      </c>
      <c r="EC127" s="116">
        <f>COUNTIFS('DRAFT 2'!$D:$D,$B127,'DRAFT 2'!$A:$A,"&gt;="&amp;DATE(2026,4,15),'DRAFT 2'!$A:$A,"&lt;="&amp;DATE(2026,4,21))</f>
        <v/>
      </c>
      <c r="ED127" s="116">
        <f>COUNTIFS('DRAFT 2'!$D:$D,$B127,'DRAFT 2'!$A:$A,"&gt;="&amp;DATE(2026,4,22),'DRAFT 2'!$A:$A,"&lt;"&amp;DATE(2026,IF(4=12,4+1,4+1),1))</f>
        <v/>
      </c>
      <c r="EE127" s="116">
        <f>SUM(EA127:ED127)</f>
        <v/>
      </c>
      <c r="EO127" s="116">
        <f>IFERROR(LOOKUP(2,1/('DRAFT 2'!$D:$D=$B127)*('DRAFT 2'!$A:$A&gt;=DATE(2026,5,1))*('DRAFT 2'!$A:$A&lt;DATE(2026,IF(5=12,5+1,5+1),1)),'DRAFT 2'!$A:$A),"")</f>
        <v/>
      </c>
      <c r="EP127" s="116">
        <f>COUNTIFS('DRAFT 2'!$D:$D,$B127,'DRAFT 2'!$A:$A,"&gt;="&amp;DATE(2026,5,1),'DRAFT 2'!$A:$A,"&lt;="&amp;DATE(2026,5,7))</f>
        <v/>
      </c>
      <c r="EQ127" s="116">
        <f>COUNTIFS('DRAFT 2'!$D:$D,$B127,'DRAFT 2'!$A:$A,"&gt;="&amp;DATE(2026,5,8),'DRAFT 2'!$A:$A,"&lt;="&amp;DATE(2026,5,14))</f>
        <v/>
      </c>
      <c r="ER127" s="116">
        <f>COUNTIFS('DRAFT 2'!$D:$D,$B127,'DRAFT 2'!$A:$A,"&gt;="&amp;DATE(2026,5,15),'DRAFT 2'!$A:$A,"&lt;="&amp;DATE(2026,5,21))</f>
        <v/>
      </c>
      <c r="ES127" s="116">
        <f>COUNTIFS('DRAFT 2'!$D:$D,$B127,'DRAFT 2'!$A:$A,"&gt;="&amp;DATE(2026,5,22),'DRAFT 2'!$A:$A,"&lt;"&amp;DATE(2026,IF(5=12,5+1,5+1),1))</f>
        <v/>
      </c>
      <c r="ET127" s="116">
        <f>SUM(EP127:ES127)</f>
        <v/>
      </c>
      <c r="FD127" s="116">
        <f>IFERROR(LOOKUP(2,1/('DRAFT 2'!$D:$D=$B127)*('DRAFT 2'!$A:$A&gt;=DATE(2026,6,1))*('DRAFT 2'!$A:$A&lt;DATE(2026,IF(6=12,6+1,6+1),1)),'DRAFT 2'!$A:$A),"")</f>
        <v/>
      </c>
      <c r="FE127" s="116">
        <f>COUNTIFS('DRAFT 2'!$D:$D,$B127,'DRAFT 2'!$A:$A,"&gt;="&amp;DATE(2026,6,1),'DRAFT 2'!$A:$A,"&lt;="&amp;DATE(2026,6,7))</f>
        <v/>
      </c>
      <c r="FF127" s="116">
        <f>COUNTIFS('DRAFT 2'!$D:$D,$B127,'DRAFT 2'!$A:$A,"&gt;="&amp;DATE(2026,6,8),'DRAFT 2'!$A:$A,"&lt;="&amp;DATE(2026,6,14))</f>
        <v/>
      </c>
      <c r="FG127" s="116">
        <f>COUNTIFS('DRAFT 2'!$D:$D,$B127,'DRAFT 2'!$A:$A,"&gt;="&amp;DATE(2026,6,15),'DRAFT 2'!$A:$A,"&lt;="&amp;DATE(2026,6,21))</f>
        <v/>
      </c>
      <c r="FH127" s="116">
        <f>COUNTIFS('DRAFT 2'!$D:$D,$B127,'DRAFT 2'!$A:$A,"&gt;="&amp;DATE(2026,6,22),'DRAFT 2'!$A:$A,"&lt;"&amp;DATE(2026,IF(6=12,6+1,6+1),1))</f>
        <v/>
      </c>
      <c r="FI127" s="116">
        <f>SUM(FE127:FH127)</f>
        <v/>
      </c>
      <c r="FT127" s="116">
        <f>IFERROR(LOOKUP(2,1/('DRAFT 2'!$D:$D=$B127)*('DRAFT 2'!$A:$A&gt;=DATE(2026,7,1))*('DRAFT 2'!$A:$A&lt;DATE(2026,IF(7=12,7+1,7+1),1)),'DRAFT 2'!$A:$A),"")</f>
        <v/>
      </c>
      <c r="FU127" s="116">
        <f>COUNTIFS('DRAFT 2'!$D:$D,$B127,'DRAFT 2'!$A:$A,"&gt;="&amp;DATE(2026,7,1),'DRAFT 2'!$A:$A,"&lt;="&amp;DATE(2026,7,7))</f>
        <v/>
      </c>
      <c r="FV127" s="116">
        <f>COUNTIFS('DRAFT 2'!$D:$D,$B127,'DRAFT 2'!$A:$A,"&gt;="&amp;DATE(2026,7,8),'DRAFT 2'!$A:$A,"&lt;="&amp;DATE(2026,7,14))</f>
        <v/>
      </c>
      <c r="FW127" s="116">
        <f>COUNTIFS('DRAFT 2'!$D:$D,$B127,'DRAFT 2'!$A:$A,"&gt;="&amp;DATE(2026,7,15),'DRAFT 2'!$A:$A,"&lt;="&amp;DATE(2026,7,21))</f>
        <v/>
      </c>
      <c r="FX127" s="116">
        <f>COUNTIFS('DRAFT 2'!$D:$D,$B127,'DRAFT 2'!$A:$A,"&gt;="&amp;DATE(2026,7,22),'DRAFT 2'!$A:$A,"&lt;"&amp;DATE(2026,IF(7=12,7+1,7+1),1))</f>
        <v/>
      </c>
      <c r="FY127" s="116">
        <f>SUM(FU127:FX127)</f>
        <v/>
      </c>
      <c r="GI127" s="116">
        <f>IFERROR(LOOKUP(2,1/('DRAFT 2'!$D:$D=$B127)*('DRAFT 2'!$A:$A&gt;=DATE(2026,8,1))*('DRAFT 2'!$A:$A&lt;DATE(2026,IF(8=12,8+1,8+1),1)),'DRAFT 2'!$A:$A),"")</f>
        <v/>
      </c>
      <c r="GJ127" s="116">
        <f>COUNTIFS('DRAFT 2'!$D:$D,$B127,'DRAFT 2'!$A:$A,"&gt;="&amp;DATE(2026,8,1),'DRAFT 2'!$A:$A,"&lt;="&amp;DATE(2026,8,7))</f>
        <v/>
      </c>
      <c r="GK127" s="116">
        <f>COUNTIFS('DRAFT 2'!$D:$D,$B127,'DRAFT 2'!$A:$A,"&gt;="&amp;DATE(2026,8,8),'DRAFT 2'!$A:$A,"&lt;="&amp;DATE(2026,8,14))</f>
        <v/>
      </c>
      <c r="GL127" s="116">
        <f>COUNTIFS('DRAFT 2'!$D:$D,$B127,'DRAFT 2'!$A:$A,"&gt;="&amp;DATE(2026,8,15),'DRAFT 2'!$A:$A,"&lt;="&amp;DATE(2026,8,21))</f>
        <v/>
      </c>
      <c r="GM127" s="116">
        <f>COUNTIFS('DRAFT 2'!$D:$D,$B127,'DRAFT 2'!$A:$A,"&gt;="&amp;DATE(2026,8,22),'DRAFT 2'!$A:$A,"&lt;"&amp;DATE(2026,IF(8=12,8+1,8+1),1))</f>
        <v/>
      </c>
      <c r="GN127" s="116">
        <f>SUM(GJ127:GM127)</f>
        <v/>
      </c>
      <c r="GX127" s="116">
        <f>IFERROR(LOOKUP(2,1/('DRAFT 2'!$D:$D=$B127)*('DRAFT 2'!$A:$A&gt;=DATE(2026,9,1))*('DRAFT 2'!$A:$A&lt;DATE(2026,IF(9=12,9+1,9+1),1)),'DRAFT 2'!$A:$A),"")</f>
        <v/>
      </c>
      <c r="GY127" s="116">
        <f>COUNTIFS('DRAFT 2'!$D:$D,$B127,'DRAFT 2'!$A:$A,"&gt;="&amp;DATE(2026,9,1),'DRAFT 2'!$A:$A,"&lt;="&amp;DATE(2026,9,7))</f>
        <v/>
      </c>
      <c r="GZ127" s="116">
        <f>COUNTIFS('DRAFT 2'!$D:$D,$B127,'DRAFT 2'!$A:$A,"&gt;="&amp;DATE(2026,9,8),'DRAFT 2'!$A:$A,"&lt;="&amp;DATE(2026,9,14))</f>
        <v/>
      </c>
      <c r="HA127" s="116">
        <f>COUNTIFS('DRAFT 2'!$D:$D,$B127,'DRAFT 2'!$A:$A,"&gt;="&amp;DATE(2026,9,15),'DRAFT 2'!$A:$A,"&lt;="&amp;DATE(2026,9,21))</f>
        <v/>
      </c>
      <c r="HB127" s="116">
        <f>COUNTIFS('DRAFT 2'!$D:$D,$B127,'DRAFT 2'!$A:$A,"&gt;="&amp;DATE(2026,9,22),'DRAFT 2'!$A:$A,"&lt;"&amp;DATE(2026,IF(9=12,9+1,9+1),1))</f>
        <v/>
      </c>
      <c r="HC127" s="116">
        <f>SUM(GY127:HB127)</f>
        <v/>
      </c>
      <c r="HN127" s="116">
        <f>IFERROR(LOOKUP(2,1/('DRAFT 2'!$D:$D=$B127)*('DRAFT 2'!$A:$A&gt;=DATE(2026,10,1))*('DRAFT 2'!$A:$A&lt;DATE(2026,IF(10=12,10+1,10+1),1)),'DRAFT 2'!$A:$A),"")</f>
        <v/>
      </c>
      <c r="HO127" s="116">
        <f>COUNTIFS('DRAFT 2'!$D:$D,$B127,'DRAFT 2'!$A:$A,"&gt;="&amp;DATE(2026,10,1),'DRAFT 2'!$A:$A,"&lt;="&amp;DATE(2026,10,7))</f>
        <v/>
      </c>
      <c r="HP127" s="116">
        <f>COUNTIFS('DRAFT 2'!$D:$D,$B127,'DRAFT 2'!$A:$A,"&gt;="&amp;DATE(2026,10,8),'DRAFT 2'!$A:$A,"&lt;="&amp;DATE(2026,10,14))</f>
        <v/>
      </c>
      <c r="HQ127" s="116">
        <f>COUNTIFS('DRAFT 2'!$D:$D,$B127,'DRAFT 2'!$A:$A,"&gt;="&amp;DATE(2026,10,15),'DRAFT 2'!$A:$A,"&lt;="&amp;DATE(2026,10,21))</f>
        <v/>
      </c>
      <c r="HR127" s="116">
        <f>COUNTIFS('DRAFT 2'!$D:$D,$B127,'DRAFT 2'!$A:$A,"&gt;="&amp;DATE(2026,10,22),'DRAFT 2'!$A:$A,"&lt;"&amp;DATE(2026,IF(10=12,10+1,10+1),1))</f>
        <v/>
      </c>
      <c r="HS127" s="116">
        <f>SUM(HO127:HR127)</f>
        <v/>
      </c>
      <c r="IC127" s="116">
        <f>IFERROR(LOOKUP(2,1/('DRAFT 2'!$D:$D=$B127)*('DRAFT 2'!$A:$A&gt;=DATE(2026,11,1))*('DRAFT 2'!$A:$A&lt;DATE(2026,IF(11=12,11+1,11+1),1)),'DRAFT 2'!$A:$A),"")</f>
        <v/>
      </c>
      <c r="ID127" s="116">
        <f>COUNTIFS('DRAFT 2'!$D:$D,$B127,'DRAFT 2'!$A:$A,"&gt;="&amp;DATE(2026,11,1),'DRAFT 2'!$A:$A,"&lt;="&amp;DATE(2026,11,7))</f>
        <v/>
      </c>
      <c r="IE127" s="116">
        <f>COUNTIFS('DRAFT 2'!$D:$D,$B127,'DRAFT 2'!$A:$A,"&gt;="&amp;DATE(2026,11,8),'DRAFT 2'!$A:$A,"&lt;="&amp;DATE(2026,11,14))</f>
        <v/>
      </c>
      <c r="IF127" s="116">
        <f>COUNTIFS('DRAFT 2'!$D:$D,$B127,'DRAFT 2'!$A:$A,"&gt;="&amp;DATE(2026,11,15),'DRAFT 2'!$A:$A,"&lt;="&amp;DATE(2026,11,21))</f>
        <v/>
      </c>
      <c r="IG127" s="116">
        <f>COUNTIFS('DRAFT 2'!$D:$D,$B127,'DRAFT 2'!$A:$A,"&gt;="&amp;DATE(2026,11,22),'DRAFT 2'!$A:$A,"&lt;"&amp;DATE(2026,IF(11=12,11+1,11+1),1))</f>
        <v/>
      </c>
      <c r="IH127" s="116">
        <f>SUM(ID127:IG127)</f>
        <v/>
      </c>
      <c r="IR127" s="116">
        <f>IFERROR(LOOKUP(2,1/('DRAFT 2'!$D:$D=$B127)*('DRAFT 2'!$A:$A&gt;=DATE(2026,12,1))*('DRAFT 2'!$A:$A&lt;DATE(2026,IF(12=12,12+1,12+1),1)),'DRAFT 2'!$A:$A),"")</f>
        <v/>
      </c>
      <c r="IS127" s="116">
        <f>COUNTIFS('DRAFT 2'!$D:$D,$B127,'DRAFT 2'!$A:$A,"&gt;="&amp;DATE(2026,12,1),'DRAFT 2'!$A:$A,"&lt;="&amp;DATE(2026,12,7))</f>
        <v/>
      </c>
      <c r="IT127" s="116">
        <f>COUNTIFS('DRAFT 2'!$D:$D,$B127,'DRAFT 2'!$A:$A,"&gt;="&amp;DATE(2026,12,8),'DRAFT 2'!$A:$A,"&lt;="&amp;DATE(2026,12,14))</f>
        <v/>
      </c>
      <c r="IU127" s="116">
        <f>COUNTIFS('DRAFT 2'!$D:$D,$B127,'DRAFT 2'!$A:$A,"&gt;="&amp;DATE(2026,12,15),'DRAFT 2'!$A:$A,"&lt;="&amp;DATE(2026,12,21))</f>
        <v/>
      </c>
      <c r="IV127" s="116">
        <f>COUNTIFS('DRAFT 2'!$D:$D,$B127,'DRAFT 2'!$A:$A,"&gt;="&amp;DATE(2026,12,22),'DRAFT 2'!$A:$A,"&lt;"&amp;DATE(2026,IF(12=12,12+1,12+1),1))</f>
        <v/>
      </c>
      <c r="IW127" s="116">
        <f>SUM(IS127:IV127)</f>
        <v/>
      </c>
    </row>
    <row r="128">
      <c r="A128" s="116">
        <f>IFERROR(INDEX('DRAFT 1'!$A:$A,MATCH($B128,'DRAFT 1'!$B:$B,0)),"")</f>
        <v/>
      </c>
      <c r="C128" s="116">
        <f>IFERROR(INDEX('DRAFT 1'!$C:$C,MATCH($B128,'DRAFT 1'!$B:$B,0)),"")</f>
        <v/>
      </c>
      <c r="D128" s="116">
        <f>IFERROR(INDEX('DRAFT 1'!$D:$D,MATCH($B128,'DRAFT 1'!$B:$B,0)),"")</f>
        <v/>
      </c>
      <c r="E128" s="116">
        <f>IFERROR(INDEX('DRAFT 1'!$E:$E,MATCH($B128,'DRAFT 1'!$B:$B,0)),"")</f>
        <v/>
      </c>
      <c r="F128" s="116">
        <f>IFERROR(INDEX('DRAFT 1'!$F:$F,MATCH($B128,'DRAFT 1'!$B:$B,0)),"")</f>
        <v/>
      </c>
      <c r="G128" s="116">
        <f>IFERROR(INDEX('DRAFT 1'!$G:$G,MATCH($B128,'DRAFT 1'!$B:$B,0)),"")</f>
        <v/>
      </c>
      <c r="H128" s="116">
        <f>IFERROR(INDEX('DRAFT 1'!$H:$H,MATCH($B128,'DRAFT 1'!$B:$B,0)),"")</f>
        <v/>
      </c>
      <c r="I128" s="116">
        <f>IFERROR(INDEX('DRAFT 1'!$I:$I,MATCH($B128,'DRAFT 1'!$B:$B,0)),"")</f>
        <v/>
      </c>
      <c r="K128" s="116">
        <f>IFERROR(INDEX('DRAFT 1'!$AL:$AL,MATCH($B128,'DRAFT 1'!$B:$B,0)),"")</f>
        <v/>
      </c>
      <c r="L128" s="116">
        <f>IFERROR(INDEX('DRAFT 1'!$J:$J,MATCH($B128,'DRAFT 1'!$B:$B,0)),"")</f>
        <v/>
      </c>
      <c r="M128" s="116">
        <f>IFERROR(INDEX('DRAFT 1'!$K:$K,MATCH($B128,'DRAFT 1'!$B:$B,0)),"")</f>
        <v/>
      </c>
      <c r="P128" s="116">
        <f>IFERROR(INDEX('DRAFT 1'!$L:$L,MATCH($B128,'DRAFT 1'!$B:$B,0)),"")</f>
        <v/>
      </c>
      <c r="Q128" s="116">
        <f>IFERROR(INDEX('DRAFT 1'!$M:$M,MATCH($B128,'DRAFT 1'!$B:$B,0)),"")</f>
        <v/>
      </c>
      <c r="R128" s="116">
        <f>IFERROR(INDEX('DRAFT 1'!$N:$N,MATCH($B128,'DRAFT 1'!$B:$B,0)),"")</f>
        <v/>
      </c>
      <c r="S128" s="116">
        <f>IFERROR(INDEX('DRAFT 1'!$O:$O,MATCH($B128,'DRAFT 1'!$B:$B,0)),"")</f>
        <v/>
      </c>
      <c r="T128" s="116">
        <f>IFERROR(INDEX('DRAFT 1'!$P:$P,MATCH($B128,'DRAFT 1'!$B:$B,0)),"")</f>
        <v/>
      </c>
      <c r="U128" s="116">
        <f>IFERROR(INDEX('DRAFT 1'!$Q:$Q,MATCH($B128,'DRAFT 1'!$B:$B,0)),"")</f>
        <v/>
      </c>
      <c r="V128" s="116">
        <f>IFERROR(INDEX('DRAFT 1'!$R:$R,MATCH($B128,'DRAFT 1'!$B:$B,0)),"")</f>
        <v/>
      </c>
      <c r="W128" s="116">
        <f>IFERROR(INDEX('DRAFT 1'!$S:$S,MATCH($B128,'DRAFT 1'!$B:$B,0)),"")</f>
        <v/>
      </c>
      <c r="X128" s="116">
        <f>IFERROR(INDEX('DRAFT 1'!$T:$T,MATCH($B128,'DRAFT 1'!$B:$B,0)),"")</f>
        <v/>
      </c>
      <c r="Z128" s="116">
        <f>IFERROR(INDEX('DRAFT 1'!$U:$U,MATCH($B128,'DRAFT 1'!$B:$B,0)),"")</f>
        <v/>
      </c>
      <c r="AA128" s="116">
        <f>IFERROR(INDEX('DRAFT 1'!$V:$V,MATCH($B128,'DRAFT 1'!$B:$B,0)),"")</f>
        <v/>
      </c>
      <c r="AB128" s="116">
        <f>IFERROR(INDEX('DRAFT 1'!$W:$W,MATCH($B128,'DRAFT 1'!$B:$B,0)),"")</f>
        <v/>
      </c>
      <c r="AC128" s="116">
        <f>IFERROR(INDEX('DRAFT 1'!$X:$X,MATCH($B128,'DRAFT 1'!$B:$B,0)),"")</f>
        <v/>
      </c>
      <c r="AD128" s="116">
        <f>IFERROR(INDEX('DRAFT 1'!$Y:$Y,MATCH($B128,'DRAFT 1'!$B:$B,0)),"")</f>
        <v/>
      </c>
      <c r="AE128" s="116">
        <f>IFERROR(INDEX('DRAFT 1'!$Z:$Z,MATCH($B128,'DRAFT 1'!$B:$B,0)),"")</f>
        <v/>
      </c>
      <c r="AF128" s="116">
        <f>IFERROR(INDEX('DRAFT 1'!$AA:$AA,MATCH($B128,'DRAFT 1'!$B:$B,0)),"")</f>
        <v/>
      </c>
      <c r="AG128" s="116">
        <f>IFERROR(INDEX('DRAFT 1'!$AB:$AB,MATCH($B128,'DRAFT 1'!$B:$B,0)),"")</f>
        <v/>
      </c>
      <c r="AH128" s="116">
        <f>IFERROR(INDEX('DRAFT 1'!$AC:$AC,MATCH($B128,'DRAFT 1'!$B:$B,0)),"")</f>
        <v/>
      </c>
      <c r="AI128" s="116">
        <f>IFERROR(INDEX('DRAFT 1'!$AD:$AD,MATCH($B128,'DRAFT 1'!$B:$B,0)),"")</f>
        <v/>
      </c>
      <c r="AJ128" s="116">
        <f>IFERROR(INDEX('DRAFT 1'!$AE:$AE,MATCH($B128,'DRAFT 1'!$B:$B,0)),"")</f>
        <v/>
      </c>
      <c r="AK128" s="116">
        <f>IFERROR(INDEX('DRAFT 1'!$AG:$AG,MATCH($B128,'DRAFT 1'!$B:$B,0)),"")</f>
        <v/>
      </c>
      <c r="AL128" s="116">
        <f>IFERROR(INDEX('DRAFT 1'!$AH:$AH,MATCH($B128,'DRAFT 1'!$B:$B,0)),"")</f>
        <v/>
      </c>
      <c r="AM128" s="116">
        <f>IFERROR(INDEX('DRAFT 1'!$AI:$AI,MATCH($B128,'DRAFT 1'!$B:$B,0)),"")</f>
        <v/>
      </c>
      <c r="AN128" s="116">
        <f>IFERROR(INDEX('DRAFT 1'!$AJ:$AJ,MATCH($B128,'DRAFT 1'!$B:$B,0)),"")</f>
        <v/>
      </c>
      <c r="AO128" s="116">
        <f>IFERROR(Y128/AN128,0)</f>
        <v/>
      </c>
      <c r="AP128" s="116">
        <f>IFERROR(INDEX('DRAFT 1'!$AK:$AK,MATCH($B128,'DRAFT 1'!$B:$B,0)),"")</f>
        <v/>
      </c>
      <c r="AR128" s="116">
        <f>IFERROR(LOOKUP(2,1/('DRAFT 2'!$D:$D=$B128),'DRAFT 2'!$I:$I),"")</f>
        <v/>
      </c>
      <c r="AS128" s="116">
        <f>IFERROR(LOOKUP(2,1/('DRAFT 2'!$D:$D=$B128),'DRAFT 2'!$T:$T),"")</f>
        <v/>
      </c>
      <c r="AT128" s="116">
        <f>IFERROR(LOOKUP(2,1/('DRAFT 2'!$D:$D=$B128),'DRAFT 2'!$A:$A),"")</f>
        <v/>
      </c>
      <c r="AU128" s="116">
        <f>IFERROR(LOOKUP(2,1/('DRAFT 2'!$D:$D=$B128),'DRAFT 2'!$R:$R),"")</f>
        <v/>
      </c>
      <c r="AV128" s="116">
        <f>IFERROR(LOOKUP(2,1/('DRAFT 2'!$D:$D=$B128),'DRAFT 2'!$S:$S),"")</f>
        <v/>
      </c>
      <c r="AX128" s="116">
        <f>IFERROR(LOOKUP(2,1/('DRAFT 2'!$D:$D=$B128),'DRAFT 2'!$M:$M),"")</f>
        <v/>
      </c>
      <c r="AY128" s="116">
        <f>IFERROR(LOOKUP(2,1/('DRAFT 2'!$D:$D=$B128),'DRAFT 2'!$K:$K),"")</f>
        <v/>
      </c>
      <c r="BG128" s="116">
        <f>IFERROR(LOOKUP(2,1/('DRAFT 2'!$D:$D=$B128),'DRAFT 2'!$U:$U),"")</f>
        <v/>
      </c>
      <c r="BH128" s="116">
        <f>IFERROR(LOOKUP(2,1/('DRAFT 2'!$D:$D=$B128),'DRAFT 2'!$V:$V),"")</f>
        <v/>
      </c>
      <c r="CE128" s="116">
        <f>IFERROR(AJ128,0)</f>
        <v/>
      </c>
      <c r="CF128" s="116">
        <f>IFERROR(LOOKUP(2,1/('DRAFT 2'!$D:$D=$B128)*('DRAFT 2'!$A:$A&gt;=DATE(2026,1,1))*('DRAFT 2'!$A:$A&lt;DATE(2026,IF(1=12,1+1,1+1),1)),'DRAFT 2'!$A:$A),"")</f>
        <v/>
      </c>
      <c r="CG128" s="116">
        <f>COUNTIFS('DRAFT 2'!$D:$D,$B128,'DRAFT 2'!$A:$A,"&gt;="&amp;DATE(2026,1,1),'DRAFT 2'!$A:$A,"&lt;="&amp;DATE(2026,1,7))</f>
        <v/>
      </c>
      <c r="CH128" s="116">
        <f>COUNTIFS('DRAFT 2'!$D:$D,$B128,'DRAFT 2'!$A:$A,"&gt;="&amp;DATE(2026,1,8),'DRAFT 2'!$A:$A,"&lt;="&amp;DATE(2026,1,14))</f>
        <v/>
      </c>
      <c r="CI128" s="116">
        <f>COUNTIFS('DRAFT 2'!$D:$D,$B128,'DRAFT 2'!$A:$A,"&gt;="&amp;DATE(2026,1,15),'DRAFT 2'!$A:$A,"&lt;="&amp;DATE(2026,1,21))</f>
        <v/>
      </c>
      <c r="CJ128" s="116">
        <f>COUNTIFS('DRAFT 2'!$D:$D,$B128,'DRAFT 2'!$A:$A,"&gt;="&amp;DATE(2026,1,22),'DRAFT 2'!$A:$A,"&lt;"&amp;DATE(2026,IF(1=12,1+1,1+1),1))</f>
        <v/>
      </c>
      <c r="CK128" s="116">
        <f>SUM(CG128:CJ128)</f>
        <v/>
      </c>
      <c r="CT128" s="116" t="n">
        <v>0</v>
      </c>
      <c r="CU128" s="116">
        <f>IFERROR(LOOKUP(2,1/('DRAFT 2'!$D:$D=$B128)*('DRAFT 2'!$A:$A&gt;=DATE(2026,2,1))*('DRAFT 2'!$A:$A&lt;DATE(2026,IF(2=12,2+1,2+1),1)),'DRAFT 2'!$A:$A),"")</f>
        <v/>
      </c>
      <c r="CV128" s="116">
        <f>COUNTIFS('DRAFT 2'!$D:$D,$B128,'DRAFT 2'!$A:$A,"&gt;="&amp;DATE(2026,2,1),'DRAFT 2'!$A:$A,"&lt;="&amp;DATE(2026,2,7))</f>
        <v/>
      </c>
      <c r="CW128" s="116">
        <f>COUNTIFS('DRAFT 2'!$D:$D,$B128,'DRAFT 2'!$A:$A,"&gt;="&amp;DATE(2026,2,8),'DRAFT 2'!$A:$A,"&lt;="&amp;DATE(2026,2,14))</f>
        <v/>
      </c>
      <c r="CX128" s="116">
        <f>COUNTIFS('DRAFT 2'!$D:$D,$B128,'DRAFT 2'!$A:$A,"&gt;="&amp;DATE(2026,2,15),'DRAFT 2'!$A:$A,"&lt;="&amp;DATE(2026,2,21))</f>
        <v/>
      </c>
      <c r="CY128" s="116">
        <f>COUNTIFS('DRAFT 2'!$D:$D,$B128,'DRAFT 2'!$A:$A,"&gt;="&amp;DATE(2026,2,22),'DRAFT 2'!$A:$A,"&lt;"&amp;DATE(2026,IF(2=12,2+1,2+1),1))</f>
        <v/>
      </c>
      <c r="CZ128" s="116">
        <f>SUM(CV128:CY128)</f>
        <v/>
      </c>
      <c r="DJ128" s="116">
        <f>IFERROR(LOOKUP(2,1/('DRAFT 2'!$D:$D=$B128)*('DRAFT 2'!$A:$A&gt;=DATE(2026,3,1))*('DRAFT 2'!$A:$A&lt;DATE(2026,IF(3=12,3+1,3+1),1)),'DRAFT 2'!$A:$A),"")</f>
        <v/>
      </c>
      <c r="DK128" s="116">
        <f>COUNTIFS('DRAFT 2'!$D:$D,$B128,'DRAFT 2'!$A:$A,"&gt;="&amp;DATE(2026,3,1),'DRAFT 2'!$A:$A,"&lt;="&amp;DATE(2026,3,7))</f>
        <v/>
      </c>
      <c r="DL128" s="116">
        <f>COUNTIFS('DRAFT 2'!$D:$D,$B128,'DRAFT 2'!$A:$A,"&gt;="&amp;DATE(2026,3,8),'DRAFT 2'!$A:$A,"&lt;="&amp;DATE(2026,3,14))</f>
        <v/>
      </c>
      <c r="DM128" s="116">
        <f>COUNTIFS('DRAFT 2'!$D:$D,$B128,'DRAFT 2'!$A:$A,"&gt;="&amp;DATE(2026,3,15),'DRAFT 2'!$A:$A,"&lt;="&amp;DATE(2026,3,21))</f>
        <v/>
      </c>
      <c r="DN128" s="116">
        <f>COUNTIFS('DRAFT 2'!$D:$D,$B128,'DRAFT 2'!$A:$A,"&gt;="&amp;DATE(2026,3,22),'DRAFT 2'!$A:$A,"&lt;"&amp;DATE(2026,IF(3=12,3+1,3+1),1))</f>
        <v/>
      </c>
      <c r="DO128" s="116">
        <f>SUM(DK128:DN128)</f>
        <v/>
      </c>
      <c r="DZ128" s="116">
        <f>IFERROR(LOOKUP(2,1/('DRAFT 2'!$D:$D=$B128)*('DRAFT 2'!$A:$A&gt;=DATE(2026,4,1))*('DRAFT 2'!$A:$A&lt;DATE(2026,IF(4=12,4+1,4+1),1)),'DRAFT 2'!$A:$A),"")</f>
        <v/>
      </c>
      <c r="EA128" s="116">
        <f>COUNTIFS('DRAFT 2'!$D:$D,$B128,'DRAFT 2'!$A:$A,"&gt;="&amp;DATE(2026,4,1),'DRAFT 2'!$A:$A,"&lt;="&amp;DATE(2026,4,7))</f>
        <v/>
      </c>
      <c r="EB128" s="116">
        <f>COUNTIFS('DRAFT 2'!$D:$D,$B128,'DRAFT 2'!$A:$A,"&gt;="&amp;DATE(2026,4,8),'DRAFT 2'!$A:$A,"&lt;="&amp;DATE(2026,4,14))</f>
        <v/>
      </c>
      <c r="EC128" s="116">
        <f>COUNTIFS('DRAFT 2'!$D:$D,$B128,'DRAFT 2'!$A:$A,"&gt;="&amp;DATE(2026,4,15),'DRAFT 2'!$A:$A,"&lt;="&amp;DATE(2026,4,21))</f>
        <v/>
      </c>
      <c r="ED128" s="116">
        <f>COUNTIFS('DRAFT 2'!$D:$D,$B128,'DRAFT 2'!$A:$A,"&gt;="&amp;DATE(2026,4,22),'DRAFT 2'!$A:$A,"&lt;"&amp;DATE(2026,IF(4=12,4+1,4+1),1))</f>
        <v/>
      </c>
      <c r="EE128" s="116">
        <f>SUM(EA128:ED128)</f>
        <v/>
      </c>
      <c r="EO128" s="116">
        <f>IFERROR(LOOKUP(2,1/('DRAFT 2'!$D:$D=$B128)*('DRAFT 2'!$A:$A&gt;=DATE(2026,5,1))*('DRAFT 2'!$A:$A&lt;DATE(2026,IF(5=12,5+1,5+1),1)),'DRAFT 2'!$A:$A),"")</f>
        <v/>
      </c>
      <c r="EP128" s="116">
        <f>COUNTIFS('DRAFT 2'!$D:$D,$B128,'DRAFT 2'!$A:$A,"&gt;="&amp;DATE(2026,5,1),'DRAFT 2'!$A:$A,"&lt;="&amp;DATE(2026,5,7))</f>
        <v/>
      </c>
      <c r="EQ128" s="116">
        <f>COUNTIFS('DRAFT 2'!$D:$D,$B128,'DRAFT 2'!$A:$A,"&gt;="&amp;DATE(2026,5,8),'DRAFT 2'!$A:$A,"&lt;="&amp;DATE(2026,5,14))</f>
        <v/>
      </c>
      <c r="ER128" s="116">
        <f>COUNTIFS('DRAFT 2'!$D:$D,$B128,'DRAFT 2'!$A:$A,"&gt;="&amp;DATE(2026,5,15),'DRAFT 2'!$A:$A,"&lt;="&amp;DATE(2026,5,21))</f>
        <v/>
      </c>
      <c r="ES128" s="116">
        <f>COUNTIFS('DRAFT 2'!$D:$D,$B128,'DRAFT 2'!$A:$A,"&gt;="&amp;DATE(2026,5,22),'DRAFT 2'!$A:$A,"&lt;"&amp;DATE(2026,IF(5=12,5+1,5+1),1))</f>
        <v/>
      </c>
      <c r="ET128" s="116">
        <f>SUM(EP128:ES128)</f>
        <v/>
      </c>
      <c r="FD128" s="116">
        <f>IFERROR(LOOKUP(2,1/('DRAFT 2'!$D:$D=$B128)*('DRAFT 2'!$A:$A&gt;=DATE(2026,6,1))*('DRAFT 2'!$A:$A&lt;DATE(2026,IF(6=12,6+1,6+1),1)),'DRAFT 2'!$A:$A),"")</f>
        <v/>
      </c>
      <c r="FE128" s="116">
        <f>COUNTIFS('DRAFT 2'!$D:$D,$B128,'DRAFT 2'!$A:$A,"&gt;="&amp;DATE(2026,6,1),'DRAFT 2'!$A:$A,"&lt;="&amp;DATE(2026,6,7))</f>
        <v/>
      </c>
      <c r="FF128" s="116">
        <f>COUNTIFS('DRAFT 2'!$D:$D,$B128,'DRAFT 2'!$A:$A,"&gt;="&amp;DATE(2026,6,8),'DRAFT 2'!$A:$A,"&lt;="&amp;DATE(2026,6,14))</f>
        <v/>
      </c>
      <c r="FG128" s="116">
        <f>COUNTIFS('DRAFT 2'!$D:$D,$B128,'DRAFT 2'!$A:$A,"&gt;="&amp;DATE(2026,6,15),'DRAFT 2'!$A:$A,"&lt;="&amp;DATE(2026,6,21))</f>
        <v/>
      </c>
      <c r="FH128" s="116">
        <f>COUNTIFS('DRAFT 2'!$D:$D,$B128,'DRAFT 2'!$A:$A,"&gt;="&amp;DATE(2026,6,22),'DRAFT 2'!$A:$A,"&lt;"&amp;DATE(2026,IF(6=12,6+1,6+1),1))</f>
        <v/>
      </c>
      <c r="FI128" s="116">
        <f>SUM(FE128:FH128)</f>
        <v/>
      </c>
      <c r="FT128" s="116">
        <f>IFERROR(LOOKUP(2,1/('DRAFT 2'!$D:$D=$B128)*('DRAFT 2'!$A:$A&gt;=DATE(2026,7,1))*('DRAFT 2'!$A:$A&lt;DATE(2026,IF(7=12,7+1,7+1),1)),'DRAFT 2'!$A:$A),"")</f>
        <v/>
      </c>
      <c r="FU128" s="116">
        <f>COUNTIFS('DRAFT 2'!$D:$D,$B128,'DRAFT 2'!$A:$A,"&gt;="&amp;DATE(2026,7,1),'DRAFT 2'!$A:$A,"&lt;="&amp;DATE(2026,7,7))</f>
        <v/>
      </c>
      <c r="FV128" s="116">
        <f>COUNTIFS('DRAFT 2'!$D:$D,$B128,'DRAFT 2'!$A:$A,"&gt;="&amp;DATE(2026,7,8),'DRAFT 2'!$A:$A,"&lt;="&amp;DATE(2026,7,14))</f>
        <v/>
      </c>
      <c r="FW128" s="116">
        <f>COUNTIFS('DRAFT 2'!$D:$D,$B128,'DRAFT 2'!$A:$A,"&gt;="&amp;DATE(2026,7,15),'DRAFT 2'!$A:$A,"&lt;="&amp;DATE(2026,7,21))</f>
        <v/>
      </c>
      <c r="FX128" s="116">
        <f>COUNTIFS('DRAFT 2'!$D:$D,$B128,'DRAFT 2'!$A:$A,"&gt;="&amp;DATE(2026,7,22),'DRAFT 2'!$A:$A,"&lt;"&amp;DATE(2026,IF(7=12,7+1,7+1),1))</f>
        <v/>
      </c>
      <c r="FY128" s="116">
        <f>SUM(FU128:FX128)</f>
        <v/>
      </c>
      <c r="GI128" s="116">
        <f>IFERROR(LOOKUP(2,1/('DRAFT 2'!$D:$D=$B128)*('DRAFT 2'!$A:$A&gt;=DATE(2026,8,1))*('DRAFT 2'!$A:$A&lt;DATE(2026,IF(8=12,8+1,8+1),1)),'DRAFT 2'!$A:$A),"")</f>
        <v/>
      </c>
      <c r="GJ128" s="116">
        <f>COUNTIFS('DRAFT 2'!$D:$D,$B128,'DRAFT 2'!$A:$A,"&gt;="&amp;DATE(2026,8,1),'DRAFT 2'!$A:$A,"&lt;="&amp;DATE(2026,8,7))</f>
        <v/>
      </c>
      <c r="GK128" s="116">
        <f>COUNTIFS('DRAFT 2'!$D:$D,$B128,'DRAFT 2'!$A:$A,"&gt;="&amp;DATE(2026,8,8),'DRAFT 2'!$A:$A,"&lt;="&amp;DATE(2026,8,14))</f>
        <v/>
      </c>
      <c r="GL128" s="116">
        <f>COUNTIFS('DRAFT 2'!$D:$D,$B128,'DRAFT 2'!$A:$A,"&gt;="&amp;DATE(2026,8,15),'DRAFT 2'!$A:$A,"&lt;="&amp;DATE(2026,8,21))</f>
        <v/>
      </c>
      <c r="GM128" s="116">
        <f>COUNTIFS('DRAFT 2'!$D:$D,$B128,'DRAFT 2'!$A:$A,"&gt;="&amp;DATE(2026,8,22),'DRAFT 2'!$A:$A,"&lt;"&amp;DATE(2026,IF(8=12,8+1,8+1),1))</f>
        <v/>
      </c>
      <c r="GN128" s="116">
        <f>SUM(GJ128:GM128)</f>
        <v/>
      </c>
      <c r="GX128" s="116">
        <f>IFERROR(LOOKUP(2,1/('DRAFT 2'!$D:$D=$B128)*('DRAFT 2'!$A:$A&gt;=DATE(2026,9,1))*('DRAFT 2'!$A:$A&lt;DATE(2026,IF(9=12,9+1,9+1),1)),'DRAFT 2'!$A:$A),"")</f>
        <v/>
      </c>
      <c r="GY128" s="116">
        <f>COUNTIFS('DRAFT 2'!$D:$D,$B128,'DRAFT 2'!$A:$A,"&gt;="&amp;DATE(2026,9,1),'DRAFT 2'!$A:$A,"&lt;="&amp;DATE(2026,9,7))</f>
        <v/>
      </c>
      <c r="GZ128" s="116">
        <f>COUNTIFS('DRAFT 2'!$D:$D,$B128,'DRAFT 2'!$A:$A,"&gt;="&amp;DATE(2026,9,8),'DRAFT 2'!$A:$A,"&lt;="&amp;DATE(2026,9,14))</f>
        <v/>
      </c>
      <c r="HA128" s="116">
        <f>COUNTIFS('DRAFT 2'!$D:$D,$B128,'DRAFT 2'!$A:$A,"&gt;="&amp;DATE(2026,9,15),'DRAFT 2'!$A:$A,"&lt;="&amp;DATE(2026,9,21))</f>
        <v/>
      </c>
      <c r="HB128" s="116">
        <f>COUNTIFS('DRAFT 2'!$D:$D,$B128,'DRAFT 2'!$A:$A,"&gt;="&amp;DATE(2026,9,22),'DRAFT 2'!$A:$A,"&lt;"&amp;DATE(2026,IF(9=12,9+1,9+1),1))</f>
        <v/>
      </c>
      <c r="HC128" s="116">
        <f>SUM(GY128:HB128)</f>
        <v/>
      </c>
      <c r="HN128" s="116">
        <f>IFERROR(LOOKUP(2,1/('DRAFT 2'!$D:$D=$B128)*('DRAFT 2'!$A:$A&gt;=DATE(2026,10,1))*('DRAFT 2'!$A:$A&lt;DATE(2026,IF(10=12,10+1,10+1),1)),'DRAFT 2'!$A:$A),"")</f>
        <v/>
      </c>
      <c r="HO128" s="116">
        <f>COUNTIFS('DRAFT 2'!$D:$D,$B128,'DRAFT 2'!$A:$A,"&gt;="&amp;DATE(2026,10,1),'DRAFT 2'!$A:$A,"&lt;="&amp;DATE(2026,10,7))</f>
        <v/>
      </c>
      <c r="HP128" s="116">
        <f>COUNTIFS('DRAFT 2'!$D:$D,$B128,'DRAFT 2'!$A:$A,"&gt;="&amp;DATE(2026,10,8),'DRAFT 2'!$A:$A,"&lt;="&amp;DATE(2026,10,14))</f>
        <v/>
      </c>
      <c r="HQ128" s="116">
        <f>COUNTIFS('DRAFT 2'!$D:$D,$B128,'DRAFT 2'!$A:$A,"&gt;="&amp;DATE(2026,10,15),'DRAFT 2'!$A:$A,"&lt;="&amp;DATE(2026,10,21))</f>
        <v/>
      </c>
      <c r="HR128" s="116">
        <f>COUNTIFS('DRAFT 2'!$D:$D,$B128,'DRAFT 2'!$A:$A,"&gt;="&amp;DATE(2026,10,22),'DRAFT 2'!$A:$A,"&lt;"&amp;DATE(2026,IF(10=12,10+1,10+1),1))</f>
        <v/>
      </c>
      <c r="HS128" s="116">
        <f>SUM(HO128:HR128)</f>
        <v/>
      </c>
      <c r="IC128" s="116">
        <f>IFERROR(LOOKUP(2,1/('DRAFT 2'!$D:$D=$B128)*('DRAFT 2'!$A:$A&gt;=DATE(2026,11,1))*('DRAFT 2'!$A:$A&lt;DATE(2026,IF(11=12,11+1,11+1),1)),'DRAFT 2'!$A:$A),"")</f>
        <v/>
      </c>
      <c r="ID128" s="116">
        <f>COUNTIFS('DRAFT 2'!$D:$D,$B128,'DRAFT 2'!$A:$A,"&gt;="&amp;DATE(2026,11,1),'DRAFT 2'!$A:$A,"&lt;="&amp;DATE(2026,11,7))</f>
        <v/>
      </c>
      <c r="IE128" s="116">
        <f>COUNTIFS('DRAFT 2'!$D:$D,$B128,'DRAFT 2'!$A:$A,"&gt;="&amp;DATE(2026,11,8),'DRAFT 2'!$A:$A,"&lt;="&amp;DATE(2026,11,14))</f>
        <v/>
      </c>
      <c r="IF128" s="116">
        <f>COUNTIFS('DRAFT 2'!$D:$D,$B128,'DRAFT 2'!$A:$A,"&gt;="&amp;DATE(2026,11,15),'DRAFT 2'!$A:$A,"&lt;="&amp;DATE(2026,11,21))</f>
        <v/>
      </c>
      <c r="IG128" s="116">
        <f>COUNTIFS('DRAFT 2'!$D:$D,$B128,'DRAFT 2'!$A:$A,"&gt;="&amp;DATE(2026,11,22),'DRAFT 2'!$A:$A,"&lt;"&amp;DATE(2026,IF(11=12,11+1,11+1),1))</f>
        <v/>
      </c>
      <c r="IH128" s="116">
        <f>SUM(ID128:IG128)</f>
        <v/>
      </c>
      <c r="IR128" s="116">
        <f>IFERROR(LOOKUP(2,1/('DRAFT 2'!$D:$D=$B128)*('DRAFT 2'!$A:$A&gt;=DATE(2026,12,1))*('DRAFT 2'!$A:$A&lt;DATE(2026,IF(12=12,12+1,12+1),1)),'DRAFT 2'!$A:$A),"")</f>
        <v/>
      </c>
      <c r="IS128" s="116">
        <f>COUNTIFS('DRAFT 2'!$D:$D,$B128,'DRAFT 2'!$A:$A,"&gt;="&amp;DATE(2026,12,1),'DRAFT 2'!$A:$A,"&lt;="&amp;DATE(2026,12,7))</f>
        <v/>
      </c>
      <c r="IT128" s="116">
        <f>COUNTIFS('DRAFT 2'!$D:$D,$B128,'DRAFT 2'!$A:$A,"&gt;="&amp;DATE(2026,12,8),'DRAFT 2'!$A:$A,"&lt;="&amp;DATE(2026,12,14))</f>
        <v/>
      </c>
      <c r="IU128" s="116">
        <f>COUNTIFS('DRAFT 2'!$D:$D,$B128,'DRAFT 2'!$A:$A,"&gt;="&amp;DATE(2026,12,15),'DRAFT 2'!$A:$A,"&lt;="&amp;DATE(2026,12,21))</f>
        <v/>
      </c>
      <c r="IV128" s="116">
        <f>COUNTIFS('DRAFT 2'!$D:$D,$B128,'DRAFT 2'!$A:$A,"&gt;="&amp;DATE(2026,12,22),'DRAFT 2'!$A:$A,"&lt;"&amp;DATE(2026,IF(12=12,12+1,12+1),1))</f>
        <v/>
      </c>
      <c r="IW128" s="116">
        <f>SUM(IS128:IV128)</f>
        <v/>
      </c>
    </row>
    <row r="129">
      <c r="A129" s="116">
        <f>IFERROR(INDEX('DRAFT 1'!$A:$A,MATCH($B129,'DRAFT 1'!$B:$B,0)),"")</f>
        <v/>
      </c>
      <c r="C129" s="116">
        <f>IFERROR(INDEX('DRAFT 1'!$C:$C,MATCH($B129,'DRAFT 1'!$B:$B,0)),"")</f>
        <v/>
      </c>
      <c r="D129" s="116">
        <f>IFERROR(INDEX('DRAFT 1'!$D:$D,MATCH($B129,'DRAFT 1'!$B:$B,0)),"")</f>
        <v/>
      </c>
      <c r="E129" s="116">
        <f>IFERROR(INDEX('DRAFT 1'!$E:$E,MATCH($B129,'DRAFT 1'!$B:$B,0)),"")</f>
        <v/>
      </c>
      <c r="F129" s="116">
        <f>IFERROR(INDEX('DRAFT 1'!$F:$F,MATCH($B129,'DRAFT 1'!$B:$B,0)),"")</f>
        <v/>
      </c>
      <c r="G129" s="116">
        <f>IFERROR(INDEX('DRAFT 1'!$G:$G,MATCH($B129,'DRAFT 1'!$B:$B,0)),"")</f>
        <v/>
      </c>
      <c r="H129" s="116">
        <f>IFERROR(INDEX('DRAFT 1'!$H:$H,MATCH($B129,'DRAFT 1'!$B:$B,0)),"")</f>
        <v/>
      </c>
      <c r="I129" s="116">
        <f>IFERROR(INDEX('DRAFT 1'!$I:$I,MATCH($B129,'DRAFT 1'!$B:$B,0)),"")</f>
        <v/>
      </c>
      <c r="K129" s="116">
        <f>IFERROR(INDEX('DRAFT 1'!$AL:$AL,MATCH($B129,'DRAFT 1'!$B:$B,0)),"")</f>
        <v/>
      </c>
      <c r="L129" s="116">
        <f>IFERROR(INDEX('DRAFT 1'!$J:$J,MATCH($B129,'DRAFT 1'!$B:$B,0)),"")</f>
        <v/>
      </c>
      <c r="M129" s="116">
        <f>IFERROR(INDEX('DRAFT 1'!$K:$K,MATCH($B129,'DRAFT 1'!$B:$B,0)),"")</f>
        <v/>
      </c>
      <c r="P129" s="116">
        <f>IFERROR(INDEX('DRAFT 1'!$L:$L,MATCH($B129,'DRAFT 1'!$B:$B,0)),"")</f>
        <v/>
      </c>
      <c r="Q129" s="116">
        <f>IFERROR(INDEX('DRAFT 1'!$M:$M,MATCH($B129,'DRAFT 1'!$B:$B,0)),"")</f>
        <v/>
      </c>
      <c r="R129" s="116">
        <f>IFERROR(INDEX('DRAFT 1'!$N:$N,MATCH($B129,'DRAFT 1'!$B:$B,0)),"")</f>
        <v/>
      </c>
      <c r="S129" s="116">
        <f>IFERROR(INDEX('DRAFT 1'!$O:$O,MATCH($B129,'DRAFT 1'!$B:$B,0)),"")</f>
        <v/>
      </c>
      <c r="T129" s="116">
        <f>IFERROR(INDEX('DRAFT 1'!$P:$P,MATCH($B129,'DRAFT 1'!$B:$B,0)),"")</f>
        <v/>
      </c>
      <c r="U129" s="116">
        <f>IFERROR(INDEX('DRAFT 1'!$Q:$Q,MATCH($B129,'DRAFT 1'!$B:$B,0)),"")</f>
        <v/>
      </c>
      <c r="V129" s="116">
        <f>IFERROR(INDEX('DRAFT 1'!$R:$R,MATCH($B129,'DRAFT 1'!$B:$B,0)),"")</f>
        <v/>
      </c>
      <c r="W129" s="116">
        <f>IFERROR(INDEX('DRAFT 1'!$S:$S,MATCH($B129,'DRAFT 1'!$B:$B,0)),"")</f>
        <v/>
      </c>
      <c r="X129" s="116">
        <f>IFERROR(INDEX('DRAFT 1'!$T:$T,MATCH($B129,'DRAFT 1'!$B:$B,0)),"")</f>
        <v/>
      </c>
      <c r="Z129" s="116">
        <f>IFERROR(INDEX('DRAFT 1'!$U:$U,MATCH($B129,'DRAFT 1'!$B:$B,0)),"")</f>
        <v/>
      </c>
      <c r="AA129" s="116">
        <f>IFERROR(INDEX('DRAFT 1'!$V:$V,MATCH($B129,'DRAFT 1'!$B:$B,0)),"")</f>
        <v/>
      </c>
      <c r="AB129" s="116">
        <f>IFERROR(INDEX('DRAFT 1'!$W:$W,MATCH($B129,'DRAFT 1'!$B:$B,0)),"")</f>
        <v/>
      </c>
      <c r="AC129" s="116">
        <f>IFERROR(INDEX('DRAFT 1'!$X:$X,MATCH($B129,'DRAFT 1'!$B:$B,0)),"")</f>
        <v/>
      </c>
      <c r="AD129" s="116">
        <f>IFERROR(INDEX('DRAFT 1'!$Y:$Y,MATCH($B129,'DRAFT 1'!$B:$B,0)),"")</f>
        <v/>
      </c>
      <c r="AE129" s="116">
        <f>IFERROR(INDEX('DRAFT 1'!$Z:$Z,MATCH($B129,'DRAFT 1'!$B:$B,0)),"")</f>
        <v/>
      </c>
      <c r="AF129" s="116">
        <f>IFERROR(INDEX('DRAFT 1'!$AA:$AA,MATCH($B129,'DRAFT 1'!$B:$B,0)),"")</f>
        <v/>
      </c>
      <c r="AG129" s="116">
        <f>IFERROR(INDEX('DRAFT 1'!$AB:$AB,MATCH($B129,'DRAFT 1'!$B:$B,0)),"")</f>
        <v/>
      </c>
      <c r="AH129" s="116">
        <f>IFERROR(INDEX('DRAFT 1'!$AC:$AC,MATCH($B129,'DRAFT 1'!$B:$B,0)),"")</f>
        <v/>
      </c>
      <c r="AI129" s="116">
        <f>IFERROR(INDEX('DRAFT 1'!$AD:$AD,MATCH($B129,'DRAFT 1'!$B:$B,0)),"")</f>
        <v/>
      </c>
      <c r="AJ129" s="116">
        <f>IFERROR(INDEX('DRAFT 1'!$AE:$AE,MATCH($B129,'DRAFT 1'!$B:$B,0)),"")</f>
        <v/>
      </c>
      <c r="AK129" s="116">
        <f>IFERROR(INDEX('DRAFT 1'!$AG:$AG,MATCH($B129,'DRAFT 1'!$B:$B,0)),"")</f>
        <v/>
      </c>
      <c r="AL129" s="116">
        <f>IFERROR(INDEX('DRAFT 1'!$AH:$AH,MATCH($B129,'DRAFT 1'!$B:$B,0)),"")</f>
        <v/>
      </c>
      <c r="AM129" s="116">
        <f>IFERROR(INDEX('DRAFT 1'!$AI:$AI,MATCH($B129,'DRAFT 1'!$B:$B,0)),"")</f>
        <v/>
      </c>
      <c r="AN129" s="116">
        <f>IFERROR(INDEX('DRAFT 1'!$AJ:$AJ,MATCH($B129,'DRAFT 1'!$B:$B,0)),"")</f>
        <v/>
      </c>
      <c r="AO129" s="116">
        <f>IFERROR(Y129/AN129,0)</f>
        <v/>
      </c>
      <c r="AP129" s="116">
        <f>IFERROR(INDEX('DRAFT 1'!$AK:$AK,MATCH($B129,'DRAFT 1'!$B:$B,0)),"")</f>
        <v/>
      </c>
      <c r="AR129" s="116">
        <f>IFERROR(LOOKUP(2,1/('DRAFT 2'!$D:$D=$B129),'DRAFT 2'!$I:$I),"")</f>
        <v/>
      </c>
      <c r="AS129" s="116">
        <f>IFERROR(LOOKUP(2,1/('DRAFT 2'!$D:$D=$B129),'DRAFT 2'!$T:$T),"")</f>
        <v/>
      </c>
      <c r="AT129" s="116">
        <f>IFERROR(LOOKUP(2,1/('DRAFT 2'!$D:$D=$B129),'DRAFT 2'!$A:$A),"")</f>
        <v/>
      </c>
      <c r="AU129" s="116">
        <f>IFERROR(LOOKUP(2,1/('DRAFT 2'!$D:$D=$B129),'DRAFT 2'!$R:$R),"")</f>
        <v/>
      </c>
      <c r="AV129" s="116">
        <f>IFERROR(LOOKUP(2,1/('DRAFT 2'!$D:$D=$B129),'DRAFT 2'!$S:$S),"")</f>
        <v/>
      </c>
      <c r="AX129" s="116">
        <f>IFERROR(LOOKUP(2,1/('DRAFT 2'!$D:$D=$B129),'DRAFT 2'!$M:$M),"")</f>
        <v/>
      </c>
      <c r="AY129" s="116">
        <f>IFERROR(LOOKUP(2,1/('DRAFT 2'!$D:$D=$B129),'DRAFT 2'!$K:$K),"")</f>
        <v/>
      </c>
      <c r="BG129" s="116">
        <f>IFERROR(LOOKUP(2,1/('DRAFT 2'!$D:$D=$B129),'DRAFT 2'!$U:$U),"")</f>
        <v/>
      </c>
      <c r="BH129" s="116">
        <f>IFERROR(LOOKUP(2,1/('DRAFT 2'!$D:$D=$B129),'DRAFT 2'!$V:$V),"")</f>
        <v/>
      </c>
      <c r="CE129" s="116">
        <f>IFERROR(AJ129,0)</f>
        <v/>
      </c>
      <c r="CF129" s="116">
        <f>IFERROR(LOOKUP(2,1/('DRAFT 2'!$D:$D=$B129)*('DRAFT 2'!$A:$A&gt;=DATE(2026,1,1))*('DRAFT 2'!$A:$A&lt;DATE(2026,IF(1=12,1+1,1+1),1)),'DRAFT 2'!$A:$A),"")</f>
        <v/>
      </c>
      <c r="CG129" s="116">
        <f>COUNTIFS('DRAFT 2'!$D:$D,$B129,'DRAFT 2'!$A:$A,"&gt;="&amp;DATE(2026,1,1),'DRAFT 2'!$A:$A,"&lt;="&amp;DATE(2026,1,7))</f>
        <v/>
      </c>
      <c r="CH129" s="116">
        <f>COUNTIFS('DRAFT 2'!$D:$D,$B129,'DRAFT 2'!$A:$A,"&gt;="&amp;DATE(2026,1,8),'DRAFT 2'!$A:$A,"&lt;="&amp;DATE(2026,1,14))</f>
        <v/>
      </c>
      <c r="CI129" s="116">
        <f>COUNTIFS('DRAFT 2'!$D:$D,$B129,'DRAFT 2'!$A:$A,"&gt;="&amp;DATE(2026,1,15),'DRAFT 2'!$A:$A,"&lt;="&amp;DATE(2026,1,21))</f>
        <v/>
      </c>
      <c r="CJ129" s="116">
        <f>COUNTIFS('DRAFT 2'!$D:$D,$B129,'DRAFT 2'!$A:$A,"&gt;="&amp;DATE(2026,1,22),'DRAFT 2'!$A:$A,"&lt;"&amp;DATE(2026,IF(1=12,1+1,1+1),1))</f>
        <v/>
      </c>
      <c r="CK129" s="116">
        <f>SUM(CG129:CJ129)</f>
        <v/>
      </c>
      <c r="CT129" s="116" t="n">
        <v>0</v>
      </c>
      <c r="CU129" s="116">
        <f>IFERROR(LOOKUP(2,1/('DRAFT 2'!$D:$D=$B129)*('DRAFT 2'!$A:$A&gt;=DATE(2026,2,1))*('DRAFT 2'!$A:$A&lt;DATE(2026,IF(2=12,2+1,2+1),1)),'DRAFT 2'!$A:$A),"")</f>
        <v/>
      </c>
      <c r="CV129" s="116">
        <f>COUNTIFS('DRAFT 2'!$D:$D,$B129,'DRAFT 2'!$A:$A,"&gt;="&amp;DATE(2026,2,1),'DRAFT 2'!$A:$A,"&lt;="&amp;DATE(2026,2,7))</f>
        <v/>
      </c>
      <c r="CW129" s="116">
        <f>COUNTIFS('DRAFT 2'!$D:$D,$B129,'DRAFT 2'!$A:$A,"&gt;="&amp;DATE(2026,2,8),'DRAFT 2'!$A:$A,"&lt;="&amp;DATE(2026,2,14))</f>
        <v/>
      </c>
      <c r="CX129" s="116">
        <f>COUNTIFS('DRAFT 2'!$D:$D,$B129,'DRAFT 2'!$A:$A,"&gt;="&amp;DATE(2026,2,15),'DRAFT 2'!$A:$A,"&lt;="&amp;DATE(2026,2,21))</f>
        <v/>
      </c>
      <c r="CY129" s="116">
        <f>COUNTIFS('DRAFT 2'!$D:$D,$B129,'DRAFT 2'!$A:$A,"&gt;="&amp;DATE(2026,2,22),'DRAFT 2'!$A:$A,"&lt;"&amp;DATE(2026,IF(2=12,2+1,2+1),1))</f>
        <v/>
      </c>
      <c r="CZ129" s="116">
        <f>SUM(CV129:CY129)</f>
        <v/>
      </c>
      <c r="DJ129" s="116">
        <f>IFERROR(LOOKUP(2,1/('DRAFT 2'!$D:$D=$B129)*('DRAFT 2'!$A:$A&gt;=DATE(2026,3,1))*('DRAFT 2'!$A:$A&lt;DATE(2026,IF(3=12,3+1,3+1),1)),'DRAFT 2'!$A:$A),"")</f>
        <v/>
      </c>
      <c r="DK129" s="116">
        <f>COUNTIFS('DRAFT 2'!$D:$D,$B129,'DRAFT 2'!$A:$A,"&gt;="&amp;DATE(2026,3,1),'DRAFT 2'!$A:$A,"&lt;="&amp;DATE(2026,3,7))</f>
        <v/>
      </c>
      <c r="DL129" s="116">
        <f>COUNTIFS('DRAFT 2'!$D:$D,$B129,'DRAFT 2'!$A:$A,"&gt;="&amp;DATE(2026,3,8),'DRAFT 2'!$A:$A,"&lt;="&amp;DATE(2026,3,14))</f>
        <v/>
      </c>
      <c r="DM129" s="116">
        <f>COUNTIFS('DRAFT 2'!$D:$D,$B129,'DRAFT 2'!$A:$A,"&gt;="&amp;DATE(2026,3,15),'DRAFT 2'!$A:$A,"&lt;="&amp;DATE(2026,3,21))</f>
        <v/>
      </c>
      <c r="DN129" s="116">
        <f>COUNTIFS('DRAFT 2'!$D:$D,$B129,'DRAFT 2'!$A:$A,"&gt;="&amp;DATE(2026,3,22),'DRAFT 2'!$A:$A,"&lt;"&amp;DATE(2026,IF(3=12,3+1,3+1),1))</f>
        <v/>
      </c>
      <c r="DO129" s="116">
        <f>SUM(DK129:DN129)</f>
        <v/>
      </c>
      <c r="DZ129" s="116">
        <f>IFERROR(LOOKUP(2,1/('DRAFT 2'!$D:$D=$B129)*('DRAFT 2'!$A:$A&gt;=DATE(2026,4,1))*('DRAFT 2'!$A:$A&lt;DATE(2026,IF(4=12,4+1,4+1),1)),'DRAFT 2'!$A:$A),"")</f>
        <v/>
      </c>
      <c r="EA129" s="116">
        <f>COUNTIFS('DRAFT 2'!$D:$D,$B129,'DRAFT 2'!$A:$A,"&gt;="&amp;DATE(2026,4,1),'DRAFT 2'!$A:$A,"&lt;="&amp;DATE(2026,4,7))</f>
        <v/>
      </c>
      <c r="EB129" s="116">
        <f>COUNTIFS('DRAFT 2'!$D:$D,$B129,'DRAFT 2'!$A:$A,"&gt;="&amp;DATE(2026,4,8),'DRAFT 2'!$A:$A,"&lt;="&amp;DATE(2026,4,14))</f>
        <v/>
      </c>
      <c r="EC129" s="116">
        <f>COUNTIFS('DRAFT 2'!$D:$D,$B129,'DRAFT 2'!$A:$A,"&gt;="&amp;DATE(2026,4,15),'DRAFT 2'!$A:$A,"&lt;="&amp;DATE(2026,4,21))</f>
        <v/>
      </c>
      <c r="ED129" s="116">
        <f>COUNTIFS('DRAFT 2'!$D:$D,$B129,'DRAFT 2'!$A:$A,"&gt;="&amp;DATE(2026,4,22),'DRAFT 2'!$A:$A,"&lt;"&amp;DATE(2026,IF(4=12,4+1,4+1),1))</f>
        <v/>
      </c>
      <c r="EE129" s="116">
        <f>SUM(EA129:ED129)</f>
        <v/>
      </c>
      <c r="EO129" s="116">
        <f>IFERROR(LOOKUP(2,1/('DRAFT 2'!$D:$D=$B129)*('DRAFT 2'!$A:$A&gt;=DATE(2026,5,1))*('DRAFT 2'!$A:$A&lt;DATE(2026,IF(5=12,5+1,5+1),1)),'DRAFT 2'!$A:$A),"")</f>
        <v/>
      </c>
      <c r="EP129" s="116">
        <f>COUNTIFS('DRAFT 2'!$D:$D,$B129,'DRAFT 2'!$A:$A,"&gt;="&amp;DATE(2026,5,1),'DRAFT 2'!$A:$A,"&lt;="&amp;DATE(2026,5,7))</f>
        <v/>
      </c>
      <c r="EQ129" s="116">
        <f>COUNTIFS('DRAFT 2'!$D:$D,$B129,'DRAFT 2'!$A:$A,"&gt;="&amp;DATE(2026,5,8),'DRAFT 2'!$A:$A,"&lt;="&amp;DATE(2026,5,14))</f>
        <v/>
      </c>
      <c r="ER129" s="116">
        <f>COUNTIFS('DRAFT 2'!$D:$D,$B129,'DRAFT 2'!$A:$A,"&gt;="&amp;DATE(2026,5,15),'DRAFT 2'!$A:$A,"&lt;="&amp;DATE(2026,5,21))</f>
        <v/>
      </c>
      <c r="ES129" s="116">
        <f>COUNTIFS('DRAFT 2'!$D:$D,$B129,'DRAFT 2'!$A:$A,"&gt;="&amp;DATE(2026,5,22),'DRAFT 2'!$A:$A,"&lt;"&amp;DATE(2026,IF(5=12,5+1,5+1),1))</f>
        <v/>
      </c>
      <c r="ET129" s="116">
        <f>SUM(EP129:ES129)</f>
        <v/>
      </c>
      <c r="FD129" s="116">
        <f>IFERROR(LOOKUP(2,1/('DRAFT 2'!$D:$D=$B129)*('DRAFT 2'!$A:$A&gt;=DATE(2026,6,1))*('DRAFT 2'!$A:$A&lt;DATE(2026,IF(6=12,6+1,6+1),1)),'DRAFT 2'!$A:$A),"")</f>
        <v/>
      </c>
      <c r="FE129" s="116">
        <f>COUNTIFS('DRAFT 2'!$D:$D,$B129,'DRAFT 2'!$A:$A,"&gt;="&amp;DATE(2026,6,1),'DRAFT 2'!$A:$A,"&lt;="&amp;DATE(2026,6,7))</f>
        <v/>
      </c>
      <c r="FF129" s="116">
        <f>COUNTIFS('DRAFT 2'!$D:$D,$B129,'DRAFT 2'!$A:$A,"&gt;="&amp;DATE(2026,6,8),'DRAFT 2'!$A:$A,"&lt;="&amp;DATE(2026,6,14))</f>
        <v/>
      </c>
      <c r="FG129" s="116">
        <f>COUNTIFS('DRAFT 2'!$D:$D,$B129,'DRAFT 2'!$A:$A,"&gt;="&amp;DATE(2026,6,15),'DRAFT 2'!$A:$A,"&lt;="&amp;DATE(2026,6,21))</f>
        <v/>
      </c>
      <c r="FH129" s="116">
        <f>COUNTIFS('DRAFT 2'!$D:$D,$B129,'DRAFT 2'!$A:$A,"&gt;="&amp;DATE(2026,6,22),'DRAFT 2'!$A:$A,"&lt;"&amp;DATE(2026,IF(6=12,6+1,6+1),1))</f>
        <v/>
      </c>
      <c r="FI129" s="116">
        <f>SUM(FE129:FH129)</f>
        <v/>
      </c>
      <c r="FT129" s="116">
        <f>IFERROR(LOOKUP(2,1/('DRAFT 2'!$D:$D=$B129)*('DRAFT 2'!$A:$A&gt;=DATE(2026,7,1))*('DRAFT 2'!$A:$A&lt;DATE(2026,IF(7=12,7+1,7+1),1)),'DRAFT 2'!$A:$A),"")</f>
        <v/>
      </c>
      <c r="FU129" s="116">
        <f>COUNTIFS('DRAFT 2'!$D:$D,$B129,'DRAFT 2'!$A:$A,"&gt;="&amp;DATE(2026,7,1),'DRAFT 2'!$A:$A,"&lt;="&amp;DATE(2026,7,7))</f>
        <v/>
      </c>
      <c r="FV129" s="116">
        <f>COUNTIFS('DRAFT 2'!$D:$D,$B129,'DRAFT 2'!$A:$A,"&gt;="&amp;DATE(2026,7,8),'DRAFT 2'!$A:$A,"&lt;="&amp;DATE(2026,7,14))</f>
        <v/>
      </c>
      <c r="FW129" s="116">
        <f>COUNTIFS('DRAFT 2'!$D:$D,$B129,'DRAFT 2'!$A:$A,"&gt;="&amp;DATE(2026,7,15),'DRAFT 2'!$A:$A,"&lt;="&amp;DATE(2026,7,21))</f>
        <v/>
      </c>
      <c r="FX129" s="116">
        <f>COUNTIFS('DRAFT 2'!$D:$D,$B129,'DRAFT 2'!$A:$A,"&gt;="&amp;DATE(2026,7,22),'DRAFT 2'!$A:$A,"&lt;"&amp;DATE(2026,IF(7=12,7+1,7+1),1))</f>
        <v/>
      </c>
      <c r="FY129" s="116">
        <f>SUM(FU129:FX129)</f>
        <v/>
      </c>
      <c r="GI129" s="116">
        <f>IFERROR(LOOKUP(2,1/('DRAFT 2'!$D:$D=$B129)*('DRAFT 2'!$A:$A&gt;=DATE(2026,8,1))*('DRAFT 2'!$A:$A&lt;DATE(2026,IF(8=12,8+1,8+1),1)),'DRAFT 2'!$A:$A),"")</f>
        <v/>
      </c>
      <c r="GJ129" s="116">
        <f>COUNTIFS('DRAFT 2'!$D:$D,$B129,'DRAFT 2'!$A:$A,"&gt;="&amp;DATE(2026,8,1),'DRAFT 2'!$A:$A,"&lt;="&amp;DATE(2026,8,7))</f>
        <v/>
      </c>
      <c r="GK129" s="116">
        <f>COUNTIFS('DRAFT 2'!$D:$D,$B129,'DRAFT 2'!$A:$A,"&gt;="&amp;DATE(2026,8,8),'DRAFT 2'!$A:$A,"&lt;="&amp;DATE(2026,8,14))</f>
        <v/>
      </c>
      <c r="GL129" s="116">
        <f>COUNTIFS('DRAFT 2'!$D:$D,$B129,'DRAFT 2'!$A:$A,"&gt;="&amp;DATE(2026,8,15),'DRAFT 2'!$A:$A,"&lt;="&amp;DATE(2026,8,21))</f>
        <v/>
      </c>
      <c r="GM129" s="116">
        <f>COUNTIFS('DRAFT 2'!$D:$D,$B129,'DRAFT 2'!$A:$A,"&gt;="&amp;DATE(2026,8,22),'DRAFT 2'!$A:$A,"&lt;"&amp;DATE(2026,IF(8=12,8+1,8+1),1))</f>
        <v/>
      </c>
      <c r="GN129" s="116">
        <f>SUM(GJ129:GM129)</f>
        <v/>
      </c>
      <c r="GX129" s="116">
        <f>IFERROR(LOOKUP(2,1/('DRAFT 2'!$D:$D=$B129)*('DRAFT 2'!$A:$A&gt;=DATE(2026,9,1))*('DRAFT 2'!$A:$A&lt;DATE(2026,IF(9=12,9+1,9+1),1)),'DRAFT 2'!$A:$A),"")</f>
        <v/>
      </c>
      <c r="GY129" s="116">
        <f>COUNTIFS('DRAFT 2'!$D:$D,$B129,'DRAFT 2'!$A:$A,"&gt;="&amp;DATE(2026,9,1),'DRAFT 2'!$A:$A,"&lt;="&amp;DATE(2026,9,7))</f>
        <v/>
      </c>
      <c r="GZ129" s="116">
        <f>COUNTIFS('DRAFT 2'!$D:$D,$B129,'DRAFT 2'!$A:$A,"&gt;="&amp;DATE(2026,9,8),'DRAFT 2'!$A:$A,"&lt;="&amp;DATE(2026,9,14))</f>
        <v/>
      </c>
      <c r="HA129" s="116">
        <f>COUNTIFS('DRAFT 2'!$D:$D,$B129,'DRAFT 2'!$A:$A,"&gt;="&amp;DATE(2026,9,15),'DRAFT 2'!$A:$A,"&lt;="&amp;DATE(2026,9,21))</f>
        <v/>
      </c>
      <c r="HB129" s="116">
        <f>COUNTIFS('DRAFT 2'!$D:$D,$B129,'DRAFT 2'!$A:$A,"&gt;="&amp;DATE(2026,9,22),'DRAFT 2'!$A:$A,"&lt;"&amp;DATE(2026,IF(9=12,9+1,9+1),1))</f>
        <v/>
      </c>
      <c r="HC129" s="116">
        <f>SUM(GY129:HB129)</f>
        <v/>
      </c>
      <c r="HN129" s="116">
        <f>IFERROR(LOOKUP(2,1/('DRAFT 2'!$D:$D=$B129)*('DRAFT 2'!$A:$A&gt;=DATE(2026,10,1))*('DRAFT 2'!$A:$A&lt;DATE(2026,IF(10=12,10+1,10+1),1)),'DRAFT 2'!$A:$A),"")</f>
        <v/>
      </c>
      <c r="HO129" s="116">
        <f>COUNTIFS('DRAFT 2'!$D:$D,$B129,'DRAFT 2'!$A:$A,"&gt;="&amp;DATE(2026,10,1),'DRAFT 2'!$A:$A,"&lt;="&amp;DATE(2026,10,7))</f>
        <v/>
      </c>
      <c r="HP129" s="116">
        <f>COUNTIFS('DRAFT 2'!$D:$D,$B129,'DRAFT 2'!$A:$A,"&gt;="&amp;DATE(2026,10,8),'DRAFT 2'!$A:$A,"&lt;="&amp;DATE(2026,10,14))</f>
        <v/>
      </c>
      <c r="HQ129" s="116">
        <f>COUNTIFS('DRAFT 2'!$D:$D,$B129,'DRAFT 2'!$A:$A,"&gt;="&amp;DATE(2026,10,15),'DRAFT 2'!$A:$A,"&lt;="&amp;DATE(2026,10,21))</f>
        <v/>
      </c>
      <c r="HR129" s="116">
        <f>COUNTIFS('DRAFT 2'!$D:$D,$B129,'DRAFT 2'!$A:$A,"&gt;="&amp;DATE(2026,10,22),'DRAFT 2'!$A:$A,"&lt;"&amp;DATE(2026,IF(10=12,10+1,10+1),1))</f>
        <v/>
      </c>
      <c r="HS129" s="116">
        <f>SUM(HO129:HR129)</f>
        <v/>
      </c>
      <c r="IC129" s="116">
        <f>IFERROR(LOOKUP(2,1/('DRAFT 2'!$D:$D=$B129)*('DRAFT 2'!$A:$A&gt;=DATE(2026,11,1))*('DRAFT 2'!$A:$A&lt;DATE(2026,IF(11=12,11+1,11+1),1)),'DRAFT 2'!$A:$A),"")</f>
        <v/>
      </c>
      <c r="ID129" s="116">
        <f>COUNTIFS('DRAFT 2'!$D:$D,$B129,'DRAFT 2'!$A:$A,"&gt;="&amp;DATE(2026,11,1),'DRAFT 2'!$A:$A,"&lt;="&amp;DATE(2026,11,7))</f>
        <v/>
      </c>
      <c r="IE129" s="116">
        <f>COUNTIFS('DRAFT 2'!$D:$D,$B129,'DRAFT 2'!$A:$A,"&gt;="&amp;DATE(2026,11,8),'DRAFT 2'!$A:$A,"&lt;="&amp;DATE(2026,11,14))</f>
        <v/>
      </c>
      <c r="IF129" s="116">
        <f>COUNTIFS('DRAFT 2'!$D:$D,$B129,'DRAFT 2'!$A:$A,"&gt;="&amp;DATE(2026,11,15),'DRAFT 2'!$A:$A,"&lt;="&amp;DATE(2026,11,21))</f>
        <v/>
      </c>
      <c r="IG129" s="116">
        <f>COUNTIFS('DRAFT 2'!$D:$D,$B129,'DRAFT 2'!$A:$A,"&gt;="&amp;DATE(2026,11,22),'DRAFT 2'!$A:$A,"&lt;"&amp;DATE(2026,IF(11=12,11+1,11+1),1))</f>
        <v/>
      </c>
      <c r="IH129" s="116">
        <f>SUM(ID129:IG129)</f>
        <v/>
      </c>
      <c r="IR129" s="116">
        <f>IFERROR(LOOKUP(2,1/('DRAFT 2'!$D:$D=$B129)*('DRAFT 2'!$A:$A&gt;=DATE(2026,12,1))*('DRAFT 2'!$A:$A&lt;DATE(2026,IF(12=12,12+1,12+1),1)),'DRAFT 2'!$A:$A),"")</f>
        <v/>
      </c>
      <c r="IS129" s="116">
        <f>COUNTIFS('DRAFT 2'!$D:$D,$B129,'DRAFT 2'!$A:$A,"&gt;="&amp;DATE(2026,12,1),'DRAFT 2'!$A:$A,"&lt;="&amp;DATE(2026,12,7))</f>
        <v/>
      </c>
      <c r="IT129" s="116">
        <f>COUNTIFS('DRAFT 2'!$D:$D,$B129,'DRAFT 2'!$A:$A,"&gt;="&amp;DATE(2026,12,8),'DRAFT 2'!$A:$A,"&lt;="&amp;DATE(2026,12,14))</f>
        <v/>
      </c>
      <c r="IU129" s="116">
        <f>COUNTIFS('DRAFT 2'!$D:$D,$B129,'DRAFT 2'!$A:$A,"&gt;="&amp;DATE(2026,12,15),'DRAFT 2'!$A:$A,"&lt;="&amp;DATE(2026,12,21))</f>
        <v/>
      </c>
      <c r="IV129" s="116">
        <f>COUNTIFS('DRAFT 2'!$D:$D,$B129,'DRAFT 2'!$A:$A,"&gt;="&amp;DATE(2026,12,22),'DRAFT 2'!$A:$A,"&lt;"&amp;DATE(2026,IF(12=12,12+1,12+1),1))</f>
        <v/>
      </c>
      <c r="IW129" s="116">
        <f>SUM(IS129:IV129)</f>
        <v/>
      </c>
    </row>
    <row r="130">
      <c r="A130" s="116">
        <f>IFERROR(INDEX('DRAFT 1'!$A:$A,MATCH($B130,'DRAFT 1'!$B:$B,0)),"")</f>
        <v/>
      </c>
      <c r="C130" s="116">
        <f>IFERROR(INDEX('DRAFT 1'!$C:$C,MATCH($B130,'DRAFT 1'!$B:$B,0)),"")</f>
        <v/>
      </c>
      <c r="D130" s="116">
        <f>IFERROR(INDEX('DRAFT 1'!$D:$D,MATCH($B130,'DRAFT 1'!$B:$B,0)),"")</f>
        <v/>
      </c>
      <c r="E130" s="116">
        <f>IFERROR(INDEX('DRAFT 1'!$E:$E,MATCH($B130,'DRAFT 1'!$B:$B,0)),"")</f>
        <v/>
      </c>
      <c r="F130" s="116">
        <f>IFERROR(INDEX('DRAFT 1'!$F:$F,MATCH($B130,'DRAFT 1'!$B:$B,0)),"")</f>
        <v/>
      </c>
      <c r="G130" s="116">
        <f>IFERROR(INDEX('DRAFT 1'!$G:$G,MATCH($B130,'DRAFT 1'!$B:$B,0)),"")</f>
        <v/>
      </c>
      <c r="H130" s="116">
        <f>IFERROR(INDEX('DRAFT 1'!$H:$H,MATCH($B130,'DRAFT 1'!$B:$B,0)),"")</f>
        <v/>
      </c>
      <c r="I130" s="116">
        <f>IFERROR(INDEX('DRAFT 1'!$I:$I,MATCH($B130,'DRAFT 1'!$B:$B,0)),"")</f>
        <v/>
      </c>
      <c r="K130" s="116">
        <f>IFERROR(INDEX('DRAFT 1'!$AL:$AL,MATCH($B130,'DRAFT 1'!$B:$B,0)),"")</f>
        <v/>
      </c>
      <c r="L130" s="116">
        <f>IFERROR(INDEX('DRAFT 1'!$J:$J,MATCH($B130,'DRAFT 1'!$B:$B,0)),"")</f>
        <v/>
      </c>
      <c r="M130" s="116">
        <f>IFERROR(INDEX('DRAFT 1'!$K:$K,MATCH($B130,'DRAFT 1'!$B:$B,0)),"")</f>
        <v/>
      </c>
      <c r="P130" s="116">
        <f>IFERROR(INDEX('DRAFT 1'!$L:$L,MATCH($B130,'DRAFT 1'!$B:$B,0)),"")</f>
        <v/>
      </c>
      <c r="Q130" s="116">
        <f>IFERROR(INDEX('DRAFT 1'!$M:$M,MATCH($B130,'DRAFT 1'!$B:$B,0)),"")</f>
        <v/>
      </c>
      <c r="R130" s="116">
        <f>IFERROR(INDEX('DRAFT 1'!$N:$N,MATCH($B130,'DRAFT 1'!$B:$B,0)),"")</f>
        <v/>
      </c>
      <c r="S130" s="116">
        <f>IFERROR(INDEX('DRAFT 1'!$O:$O,MATCH($B130,'DRAFT 1'!$B:$B,0)),"")</f>
        <v/>
      </c>
      <c r="T130" s="116">
        <f>IFERROR(INDEX('DRAFT 1'!$P:$P,MATCH($B130,'DRAFT 1'!$B:$B,0)),"")</f>
        <v/>
      </c>
      <c r="U130" s="116">
        <f>IFERROR(INDEX('DRAFT 1'!$Q:$Q,MATCH($B130,'DRAFT 1'!$B:$B,0)),"")</f>
        <v/>
      </c>
      <c r="V130" s="116">
        <f>IFERROR(INDEX('DRAFT 1'!$R:$R,MATCH($B130,'DRAFT 1'!$B:$B,0)),"")</f>
        <v/>
      </c>
      <c r="W130" s="116">
        <f>IFERROR(INDEX('DRAFT 1'!$S:$S,MATCH($B130,'DRAFT 1'!$B:$B,0)),"")</f>
        <v/>
      </c>
      <c r="X130" s="116">
        <f>IFERROR(INDEX('DRAFT 1'!$T:$T,MATCH($B130,'DRAFT 1'!$B:$B,0)),"")</f>
        <v/>
      </c>
      <c r="Z130" s="116">
        <f>IFERROR(INDEX('DRAFT 1'!$U:$U,MATCH($B130,'DRAFT 1'!$B:$B,0)),"")</f>
        <v/>
      </c>
      <c r="AA130" s="116">
        <f>IFERROR(INDEX('DRAFT 1'!$V:$V,MATCH($B130,'DRAFT 1'!$B:$B,0)),"")</f>
        <v/>
      </c>
      <c r="AB130" s="116">
        <f>IFERROR(INDEX('DRAFT 1'!$W:$W,MATCH($B130,'DRAFT 1'!$B:$B,0)),"")</f>
        <v/>
      </c>
      <c r="AC130" s="116">
        <f>IFERROR(INDEX('DRAFT 1'!$X:$X,MATCH($B130,'DRAFT 1'!$B:$B,0)),"")</f>
        <v/>
      </c>
      <c r="AD130" s="116">
        <f>IFERROR(INDEX('DRAFT 1'!$Y:$Y,MATCH($B130,'DRAFT 1'!$B:$B,0)),"")</f>
        <v/>
      </c>
      <c r="AE130" s="116">
        <f>IFERROR(INDEX('DRAFT 1'!$Z:$Z,MATCH($B130,'DRAFT 1'!$B:$B,0)),"")</f>
        <v/>
      </c>
      <c r="AF130" s="116">
        <f>IFERROR(INDEX('DRAFT 1'!$AA:$AA,MATCH($B130,'DRAFT 1'!$B:$B,0)),"")</f>
        <v/>
      </c>
      <c r="AG130" s="116">
        <f>IFERROR(INDEX('DRAFT 1'!$AB:$AB,MATCH($B130,'DRAFT 1'!$B:$B,0)),"")</f>
        <v/>
      </c>
      <c r="AH130" s="116">
        <f>IFERROR(INDEX('DRAFT 1'!$AC:$AC,MATCH($B130,'DRAFT 1'!$B:$B,0)),"")</f>
        <v/>
      </c>
      <c r="AI130" s="116">
        <f>IFERROR(INDEX('DRAFT 1'!$AD:$AD,MATCH($B130,'DRAFT 1'!$B:$B,0)),"")</f>
        <v/>
      </c>
      <c r="AJ130" s="116">
        <f>IFERROR(INDEX('DRAFT 1'!$AE:$AE,MATCH($B130,'DRAFT 1'!$B:$B,0)),"")</f>
        <v/>
      </c>
      <c r="AK130" s="116">
        <f>IFERROR(INDEX('DRAFT 1'!$AG:$AG,MATCH($B130,'DRAFT 1'!$B:$B,0)),"")</f>
        <v/>
      </c>
      <c r="AL130" s="116">
        <f>IFERROR(INDEX('DRAFT 1'!$AH:$AH,MATCH($B130,'DRAFT 1'!$B:$B,0)),"")</f>
        <v/>
      </c>
      <c r="AM130" s="116">
        <f>IFERROR(INDEX('DRAFT 1'!$AI:$AI,MATCH($B130,'DRAFT 1'!$B:$B,0)),"")</f>
        <v/>
      </c>
      <c r="AN130" s="116">
        <f>IFERROR(INDEX('DRAFT 1'!$AJ:$AJ,MATCH($B130,'DRAFT 1'!$B:$B,0)),"")</f>
        <v/>
      </c>
      <c r="AO130" s="116">
        <f>IFERROR(Y130/AN130,0)</f>
        <v/>
      </c>
      <c r="AP130" s="116">
        <f>IFERROR(INDEX('DRAFT 1'!$AK:$AK,MATCH($B130,'DRAFT 1'!$B:$B,0)),"")</f>
        <v/>
      </c>
      <c r="AR130" s="116">
        <f>IFERROR(LOOKUP(2,1/('DRAFT 2'!$D:$D=$B130),'DRAFT 2'!$I:$I),"")</f>
        <v/>
      </c>
      <c r="AS130" s="116">
        <f>IFERROR(LOOKUP(2,1/('DRAFT 2'!$D:$D=$B130),'DRAFT 2'!$T:$T),"")</f>
        <v/>
      </c>
      <c r="AT130" s="116">
        <f>IFERROR(LOOKUP(2,1/('DRAFT 2'!$D:$D=$B130),'DRAFT 2'!$A:$A),"")</f>
        <v/>
      </c>
      <c r="AU130" s="116">
        <f>IFERROR(LOOKUP(2,1/('DRAFT 2'!$D:$D=$B130),'DRAFT 2'!$R:$R),"")</f>
        <v/>
      </c>
      <c r="AV130" s="116">
        <f>IFERROR(LOOKUP(2,1/('DRAFT 2'!$D:$D=$B130),'DRAFT 2'!$S:$S),"")</f>
        <v/>
      </c>
      <c r="AX130" s="116">
        <f>IFERROR(LOOKUP(2,1/('DRAFT 2'!$D:$D=$B130),'DRAFT 2'!$M:$M),"")</f>
        <v/>
      </c>
      <c r="AY130" s="116">
        <f>IFERROR(LOOKUP(2,1/('DRAFT 2'!$D:$D=$B130),'DRAFT 2'!$K:$K),"")</f>
        <v/>
      </c>
      <c r="BG130" s="116">
        <f>IFERROR(LOOKUP(2,1/('DRAFT 2'!$D:$D=$B130),'DRAFT 2'!$U:$U),"")</f>
        <v/>
      </c>
      <c r="BH130" s="116">
        <f>IFERROR(LOOKUP(2,1/('DRAFT 2'!$D:$D=$B130),'DRAFT 2'!$V:$V),"")</f>
        <v/>
      </c>
      <c r="CE130" s="116">
        <f>IFERROR(AJ130,0)</f>
        <v/>
      </c>
      <c r="CF130" s="116">
        <f>IFERROR(LOOKUP(2,1/('DRAFT 2'!$D:$D=$B130)*('DRAFT 2'!$A:$A&gt;=DATE(2026,1,1))*('DRAFT 2'!$A:$A&lt;DATE(2026,IF(1=12,1+1,1+1),1)),'DRAFT 2'!$A:$A),"")</f>
        <v/>
      </c>
      <c r="CG130" s="116">
        <f>COUNTIFS('DRAFT 2'!$D:$D,$B130,'DRAFT 2'!$A:$A,"&gt;="&amp;DATE(2026,1,1),'DRAFT 2'!$A:$A,"&lt;="&amp;DATE(2026,1,7))</f>
        <v/>
      </c>
      <c r="CH130" s="116">
        <f>COUNTIFS('DRAFT 2'!$D:$D,$B130,'DRAFT 2'!$A:$A,"&gt;="&amp;DATE(2026,1,8),'DRAFT 2'!$A:$A,"&lt;="&amp;DATE(2026,1,14))</f>
        <v/>
      </c>
      <c r="CI130" s="116">
        <f>COUNTIFS('DRAFT 2'!$D:$D,$B130,'DRAFT 2'!$A:$A,"&gt;="&amp;DATE(2026,1,15),'DRAFT 2'!$A:$A,"&lt;="&amp;DATE(2026,1,21))</f>
        <v/>
      </c>
      <c r="CJ130" s="116">
        <f>COUNTIFS('DRAFT 2'!$D:$D,$B130,'DRAFT 2'!$A:$A,"&gt;="&amp;DATE(2026,1,22),'DRAFT 2'!$A:$A,"&lt;"&amp;DATE(2026,IF(1=12,1+1,1+1),1))</f>
        <v/>
      </c>
      <c r="CK130" s="116">
        <f>SUM(CG130:CJ130)</f>
        <v/>
      </c>
      <c r="CT130" s="116" t="n">
        <v>0</v>
      </c>
      <c r="CU130" s="116">
        <f>IFERROR(LOOKUP(2,1/('DRAFT 2'!$D:$D=$B130)*('DRAFT 2'!$A:$A&gt;=DATE(2026,2,1))*('DRAFT 2'!$A:$A&lt;DATE(2026,IF(2=12,2+1,2+1),1)),'DRAFT 2'!$A:$A),"")</f>
        <v/>
      </c>
      <c r="CV130" s="116">
        <f>COUNTIFS('DRAFT 2'!$D:$D,$B130,'DRAFT 2'!$A:$A,"&gt;="&amp;DATE(2026,2,1),'DRAFT 2'!$A:$A,"&lt;="&amp;DATE(2026,2,7))</f>
        <v/>
      </c>
      <c r="CW130" s="116">
        <f>COUNTIFS('DRAFT 2'!$D:$D,$B130,'DRAFT 2'!$A:$A,"&gt;="&amp;DATE(2026,2,8),'DRAFT 2'!$A:$A,"&lt;="&amp;DATE(2026,2,14))</f>
        <v/>
      </c>
      <c r="CX130" s="116">
        <f>COUNTIFS('DRAFT 2'!$D:$D,$B130,'DRAFT 2'!$A:$A,"&gt;="&amp;DATE(2026,2,15),'DRAFT 2'!$A:$A,"&lt;="&amp;DATE(2026,2,21))</f>
        <v/>
      </c>
      <c r="CY130" s="116">
        <f>COUNTIFS('DRAFT 2'!$D:$D,$B130,'DRAFT 2'!$A:$A,"&gt;="&amp;DATE(2026,2,22),'DRAFT 2'!$A:$A,"&lt;"&amp;DATE(2026,IF(2=12,2+1,2+1),1))</f>
        <v/>
      </c>
      <c r="CZ130" s="116">
        <f>SUM(CV130:CY130)</f>
        <v/>
      </c>
      <c r="DJ130" s="116">
        <f>IFERROR(LOOKUP(2,1/('DRAFT 2'!$D:$D=$B130)*('DRAFT 2'!$A:$A&gt;=DATE(2026,3,1))*('DRAFT 2'!$A:$A&lt;DATE(2026,IF(3=12,3+1,3+1),1)),'DRAFT 2'!$A:$A),"")</f>
        <v/>
      </c>
      <c r="DK130" s="116">
        <f>COUNTIFS('DRAFT 2'!$D:$D,$B130,'DRAFT 2'!$A:$A,"&gt;="&amp;DATE(2026,3,1),'DRAFT 2'!$A:$A,"&lt;="&amp;DATE(2026,3,7))</f>
        <v/>
      </c>
      <c r="DL130" s="116">
        <f>COUNTIFS('DRAFT 2'!$D:$D,$B130,'DRAFT 2'!$A:$A,"&gt;="&amp;DATE(2026,3,8),'DRAFT 2'!$A:$A,"&lt;="&amp;DATE(2026,3,14))</f>
        <v/>
      </c>
      <c r="DM130" s="116">
        <f>COUNTIFS('DRAFT 2'!$D:$D,$B130,'DRAFT 2'!$A:$A,"&gt;="&amp;DATE(2026,3,15),'DRAFT 2'!$A:$A,"&lt;="&amp;DATE(2026,3,21))</f>
        <v/>
      </c>
      <c r="DN130" s="116">
        <f>COUNTIFS('DRAFT 2'!$D:$D,$B130,'DRAFT 2'!$A:$A,"&gt;="&amp;DATE(2026,3,22),'DRAFT 2'!$A:$A,"&lt;"&amp;DATE(2026,IF(3=12,3+1,3+1),1))</f>
        <v/>
      </c>
      <c r="DO130" s="116">
        <f>SUM(DK130:DN130)</f>
        <v/>
      </c>
      <c r="DZ130" s="116">
        <f>IFERROR(LOOKUP(2,1/('DRAFT 2'!$D:$D=$B130)*('DRAFT 2'!$A:$A&gt;=DATE(2026,4,1))*('DRAFT 2'!$A:$A&lt;DATE(2026,IF(4=12,4+1,4+1),1)),'DRAFT 2'!$A:$A),"")</f>
        <v/>
      </c>
      <c r="EA130" s="116">
        <f>COUNTIFS('DRAFT 2'!$D:$D,$B130,'DRAFT 2'!$A:$A,"&gt;="&amp;DATE(2026,4,1),'DRAFT 2'!$A:$A,"&lt;="&amp;DATE(2026,4,7))</f>
        <v/>
      </c>
      <c r="EB130" s="116">
        <f>COUNTIFS('DRAFT 2'!$D:$D,$B130,'DRAFT 2'!$A:$A,"&gt;="&amp;DATE(2026,4,8),'DRAFT 2'!$A:$A,"&lt;="&amp;DATE(2026,4,14))</f>
        <v/>
      </c>
      <c r="EC130" s="116">
        <f>COUNTIFS('DRAFT 2'!$D:$D,$B130,'DRAFT 2'!$A:$A,"&gt;="&amp;DATE(2026,4,15),'DRAFT 2'!$A:$A,"&lt;="&amp;DATE(2026,4,21))</f>
        <v/>
      </c>
      <c r="ED130" s="116">
        <f>COUNTIFS('DRAFT 2'!$D:$D,$B130,'DRAFT 2'!$A:$A,"&gt;="&amp;DATE(2026,4,22),'DRAFT 2'!$A:$A,"&lt;"&amp;DATE(2026,IF(4=12,4+1,4+1),1))</f>
        <v/>
      </c>
      <c r="EE130" s="116">
        <f>SUM(EA130:ED130)</f>
        <v/>
      </c>
      <c r="EO130" s="116">
        <f>IFERROR(LOOKUP(2,1/('DRAFT 2'!$D:$D=$B130)*('DRAFT 2'!$A:$A&gt;=DATE(2026,5,1))*('DRAFT 2'!$A:$A&lt;DATE(2026,IF(5=12,5+1,5+1),1)),'DRAFT 2'!$A:$A),"")</f>
        <v/>
      </c>
      <c r="EP130" s="116">
        <f>COUNTIFS('DRAFT 2'!$D:$D,$B130,'DRAFT 2'!$A:$A,"&gt;="&amp;DATE(2026,5,1),'DRAFT 2'!$A:$A,"&lt;="&amp;DATE(2026,5,7))</f>
        <v/>
      </c>
      <c r="EQ130" s="116">
        <f>COUNTIFS('DRAFT 2'!$D:$D,$B130,'DRAFT 2'!$A:$A,"&gt;="&amp;DATE(2026,5,8),'DRAFT 2'!$A:$A,"&lt;="&amp;DATE(2026,5,14))</f>
        <v/>
      </c>
      <c r="ER130" s="116">
        <f>COUNTIFS('DRAFT 2'!$D:$D,$B130,'DRAFT 2'!$A:$A,"&gt;="&amp;DATE(2026,5,15),'DRAFT 2'!$A:$A,"&lt;="&amp;DATE(2026,5,21))</f>
        <v/>
      </c>
      <c r="ES130" s="116">
        <f>COUNTIFS('DRAFT 2'!$D:$D,$B130,'DRAFT 2'!$A:$A,"&gt;="&amp;DATE(2026,5,22),'DRAFT 2'!$A:$A,"&lt;"&amp;DATE(2026,IF(5=12,5+1,5+1),1))</f>
        <v/>
      </c>
      <c r="ET130" s="116">
        <f>SUM(EP130:ES130)</f>
        <v/>
      </c>
      <c r="FD130" s="116">
        <f>IFERROR(LOOKUP(2,1/('DRAFT 2'!$D:$D=$B130)*('DRAFT 2'!$A:$A&gt;=DATE(2026,6,1))*('DRAFT 2'!$A:$A&lt;DATE(2026,IF(6=12,6+1,6+1),1)),'DRAFT 2'!$A:$A),"")</f>
        <v/>
      </c>
      <c r="FE130" s="116">
        <f>COUNTIFS('DRAFT 2'!$D:$D,$B130,'DRAFT 2'!$A:$A,"&gt;="&amp;DATE(2026,6,1),'DRAFT 2'!$A:$A,"&lt;="&amp;DATE(2026,6,7))</f>
        <v/>
      </c>
      <c r="FF130" s="116">
        <f>COUNTIFS('DRAFT 2'!$D:$D,$B130,'DRAFT 2'!$A:$A,"&gt;="&amp;DATE(2026,6,8),'DRAFT 2'!$A:$A,"&lt;="&amp;DATE(2026,6,14))</f>
        <v/>
      </c>
      <c r="FG130" s="116">
        <f>COUNTIFS('DRAFT 2'!$D:$D,$B130,'DRAFT 2'!$A:$A,"&gt;="&amp;DATE(2026,6,15),'DRAFT 2'!$A:$A,"&lt;="&amp;DATE(2026,6,21))</f>
        <v/>
      </c>
      <c r="FH130" s="116">
        <f>COUNTIFS('DRAFT 2'!$D:$D,$B130,'DRAFT 2'!$A:$A,"&gt;="&amp;DATE(2026,6,22),'DRAFT 2'!$A:$A,"&lt;"&amp;DATE(2026,IF(6=12,6+1,6+1),1))</f>
        <v/>
      </c>
      <c r="FI130" s="116">
        <f>SUM(FE130:FH130)</f>
        <v/>
      </c>
      <c r="FT130" s="116">
        <f>IFERROR(LOOKUP(2,1/('DRAFT 2'!$D:$D=$B130)*('DRAFT 2'!$A:$A&gt;=DATE(2026,7,1))*('DRAFT 2'!$A:$A&lt;DATE(2026,IF(7=12,7+1,7+1),1)),'DRAFT 2'!$A:$A),"")</f>
        <v/>
      </c>
      <c r="FU130" s="116">
        <f>COUNTIFS('DRAFT 2'!$D:$D,$B130,'DRAFT 2'!$A:$A,"&gt;="&amp;DATE(2026,7,1),'DRAFT 2'!$A:$A,"&lt;="&amp;DATE(2026,7,7))</f>
        <v/>
      </c>
      <c r="FV130" s="116">
        <f>COUNTIFS('DRAFT 2'!$D:$D,$B130,'DRAFT 2'!$A:$A,"&gt;="&amp;DATE(2026,7,8),'DRAFT 2'!$A:$A,"&lt;="&amp;DATE(2026,7,14))</f>
        <v/>
      </c>
      <c r="FW130" s="116">
        <f>COUNTIFS('DRAFT 2'!$D:$D,$B130,'DRAFT 2'!$A:$A,"&gt;="&amp;DATE(2026,7,15),'DRAFT 2'!$A:$A,"&lt;="&amp;DATE(2026,7,21))</f>
        <v/>
      </c>
      <c r="FX130" s="116">
        <f>COUNTIFS('DRAFT 2'!$D:$D,$B130,'DRAFT 2'!$A:$A,"&gt;="&amp;DATE(2026,7,22),'DRAFT 2'!$A:$A,"&lt;"&amp;DATE(2026,IF(7=12,7+1,7+1),1))</f>
        <v/>
      </c>
      <c r="FY130" s="116">
        <f>SUM(FU130:FX130)</f>
        <v/>
      </c>
      <c r="GI130" s="116">
        <f>IFERROR(LOOKUP(2,1/('DRAFT 2'!$D:$D=$B130)*('DRAFT 2'!$A:$A&gt;=DATE(2026,8,1))*('DRAFT 2'!$A:$A&lt;DATE(2026,IF(8=12,8+1,8+1),1)),'DRAFT 2'!$A:$A),"")</f>
        <v/>
      </c>
      <c r="GJ130" s="116">
        <f>COUNTIFS('DRAFT 2'!$D:$D,$B130,'DRAFT 2'!$A:$A,"&gt;="&amp;DATE(2026,8,1),'DRAFT 2'!$A:$A,"&lt;="&amp;DATE(2026,8,7))</f>
        <v/>
      </c>
      <c r="GK130" s="116">
        <f>COUNTIFS('DRAFT 2'!$D:$D,$B130,'DRAFT 2'!$A:$A,"&gt;="&amp;DATE(2026,8,8),'DRAFT 2'!$A:$A,"&lt;="&amp;DATE(2026,8,14))</f>
        <v/>
      </c>
      <c r="GL130" s="116">
        <f>COUNTIFS('DRAFT 2'!$D:$D,$B130,'DRAFT 2'!$A:$A,"&gt;="&amp;DATE(2026,8,15),'DRAFT 2'!$A:$A,"&lt;="&amp;DATE(2026,8,21))</f>
        <v/>
      </c>
      <c r="GM130" s="116">
        <f>COUNTIFS('DRAFT 2'!$D:$D,$B130,'DRAFT 2'!$A:$A,"&gt;="&amp;DATE(2026,8,22),'DRAFT 2'!$A:$A,"&lt;"&amp;DATE(2026,IF(8=12,8+1,8+1),1))</f>
        <v/>
      </c>
      <c r="GN130" s="116">
        <f>SUM(GJ130:GM130)</f>
        <v/>
      </c>
      <c r="GX130" s="116">
        <f>IFERROR(LOOKUP(2,1/('DRAFT 2'!$D:$D=$B130)*('DRAFT 2'!$A:$A&gt;=DATE(2026,9,1))*('DRAFT 2'!$A:$A&lt;DATE(2026,IF(9=12,9+1,9+1),1)),'DRAFT 2'!$A:$A),"")</f>
        <v/>
      </c>
      <c r="GY130" s="116">
        <f>COUNTIFS('DRAFT 2'!$D:$D,$B130,'DRAFT 2'!$A:$A,"&gt;="&amp;DATE(2026,9,1),'DRAFT 2'!$A:$A,"&lt;="&amp;DATE(2026,9,7))</f>
        <v/>
      </c>
      <c r="GZ130" s="116">
        <f>COUNTIFS('DRAFT 2'!$D:$D,$B130,'DRAFT 2'!$A:$A,"&gt;="&amp;DATE(2026,9,8),'DRAFT 2'!$A:$A,"&lt;="&amp;DATE(2026,9,14))</f>
        <v/>
      </c>
      <c r="HA130" s="116">
        <f>COUNTIFS('DRAFT 2'!$D:$D,$B130,'DRAFT 2'!$A:$A,"&gt;="&amp;DATE(2026,9,15),'DRAFT 2'!$A:$A,"&lt;="&amp;DATE(2026,9,21))</f>
        <v/>
      </c>
      <c r="HB130" s="116">
        <f>COUNTIFS('DRAFT 2'!$D:$D,$B130,'DRAFT 2'!$A:$A,"&gt;="&amp;DATE(2026,9,22),'DRAFT 2'!$A:$A,"&lt;"&amp;DATE(2026,IF(9=12,9+1,9+1),1))</f>
        <v/>
      </c>
      <c r="HC130" s="116">
        <f>SUM(GY130:HB130)</f>
        <v/>
      </c>
      <c r="HN130" s="116">
        <f>IFERROR(LOOKUP(2,1/('DRAFT 2'!$D:$D=$B130)*('DRAFT 2'!$A:$A&gt;=DATE(2026,10,1))*('DRAFT 2'!$A:$A&lt;DATE(2026,IF(10=12,10+1,10+1),1)),'DRAFT 2'!$A:$A),"")</f>
        <v/>
      </c>
      <c r="HO130" s="116">
        <f>COUNTIFS('DRAFT 2'!$D:$D,$B130,'DRAFT 2'!$A:$A,"&gt;="&amp;DATE(2026,10,1),'DRAFT 2'!$A:$A,"&lt;="&amp;DATE(2026,10,7))</f>
        <v/>
      </c>
      <c r="HP130" s="116">
        <f>COUNTIFS('DRAFT 2'!$D:$D,$B130,'DRAFT 2'!$A:$A,"&gt;="&amp;DATE(2026,10,8),'DRAFT 2'!$A:$A,"&lt;="&amp;DATE(2026,10,14))</f>
        <v/>
      </c>
      <c r="HQ130" s="116">
        <f>COUNTIFS('DRAFT 2'!$D:$D,$B130,'DRAFT 2'!$A:$A,"&gt;="&amp;DATE(2026,10,15),'DRAFT 2'!$A:$A,"&lt;="&amp;DATE(2026,10,21))</f>
        <v/>
      </c>
      <c r="HR130" s="116">
        <f>COUNTIFS('DRAFT 2'!$D:$D,$B130,'DRAFT 2'!$A:$A,"&gt;="&amp;DATE(2026,10,22),'DRAFT 2'!$A:$A,"&lt;"&amp;DATE(2026,IF(10=12,10+1,10+1),1))</f>
        <v/>
      </c>
      <c r="HS130" s="116">
        <f>SUM(HO130:HR130)</f>
        <v/>
      </c>
      <c r="IC130" s="116">
        <f>IFERROR(LOOKUP(2,1/('DRAFT 2'!$D:$D=$B130)*('DRAFT 2'!$A:$A&gt;=DATE(2026,11,1))*('DRAFT 2'!$A:$A&lt;DATE(2026,IF(11=12,11+1,11+1),1)),'DRAFT 2'!$A:$A),"")</f>
        <v/>
      </c>
      <c r="ID130" s="116">
        <f>COUNTIFS('DRAFT 2'!$D:$D,$B130,'DRAFT 2'!$A:$A,"&gt;="&amp;DATE(2026,11,1),'DRAFT 2'!$A:$A,"&lt;="&amp;DATE(2026,11,7))</f>
        <v/>
      </c>
      <c r="IE130" s="116">
        <f>COUNTIFS('DRAFT 2'!$D:$D,$B130,'DRAFT 2'!$A:$A,"&gt;="&amp;DATE(2026,11,8),'DRAFT 2'!$A:$A,"&lt;="&amp;DATE(2026,11,14))</f>
        <v/>
      </c>
      <c r="IF130" s="116">
        <f>COUNTIFS('DRAFT 2'!$D:$D,$B130,'DRAFT 2'!$A:$A,"&gt;="&amp;DATE(2026,11,15),'DRAFT 2'!$A:$A,"&lt;="&amp;DATE(2026,11,21))</f>
        <v/>
      </c>
      <c r="IG130" s="116">
        <f>COUNTIFS('DRAFT 2'!$D:$D,$B130,'DRAFT 2'!$A:$A,"&gt;="&amp;DATE(2026,11,22),'DRAFT 2'!$A:$A,"&lt;"&amp;DATE(2026,IF(11=12,11+1,11+1),1))</f>
        <v/>
      </c>
      <c r="IH130" s="116">
        <f>SUM(ID130:IG130)</f>
        <v/>
      </c>
      <c r="IR130" s="116">
        <f>IFERROR(LOOKUP(2,1/('DRAFT 2'!$D:$D=$B130)*('DRAFT 2'!$A:$A&gt;=DATE(2026,12,1))*('DRAFT 2'!$A:$A&lt;DATE(2026,IF(12=12,12+1,12+1),1)),'DRAFT 2'!$A:$A),"")</f>
        <v/>
      </c>
      <c r="IS130" s="116">
        <f>COUNTIFS('DRAFT 2'!$D:$D,$B130,'DRAFT 2'!$A:$A,"&gt;="&amp;DATE(2026,12,1),'DRAFT 2'!$A:$A,"&lt;="&amp;DATE(2026,12,7))</f>
        <v/>
      </c>
      <c r="IT130" s="116">
        <f>COUNTIFS('DRAFT 2'!$D:$D,$B130,'DRAFT 2'!$A:$A,"&gt;="&amp;DATE(2026,12,8),'DRAFT 2'!$A:$A,"&lt;="&amp;DATE(2026,12,14))</f>
        <v/>
      </c>
      <c r="IU130" s="116">
        <f>COUNTIFS('DRAFT 2'!$D:$D,$B130,'DRAFT 2'!$A:$A,"&gt;="&amp;DATE(2026,12,15),'DRAFT 2'!$A:$A,"&lt;="&amp;DATE(2026,12,21))</f>
        <v/>
      </c>
      <c r="IV130" s="116">
        <f>COUNTIFS('DRAFT 2'!$D:$D,$B130,'DRAFT 2'!$A:$A,"&gt;="&amp;DATE(2026,12,22),'DRAFT 2'!$A:$A,"&lt;"&amp;DATE(2026,IF(12=12,12+1,12+1),1))</f>
        <v/>
      </c>
      <c r="IW130" s="116">
        <f>SUM(IS130:IV130)</f>
        <v/>
      </c>
    </row>
    <row r="131">
      <c r="A131" s="116">
        <f>IFERROR(INDEX('DRAFT 1'!$A:$A,MATCH($B131,'DRAFT 1'!$B:$B,0)),"")</f>
        <v/>
      </c>
      <c r="C131" s="116">
        <f>IFERROR(INDEX('DRAFT 1'!$C:$C,MATCH($B131,'DRAFT 1'!$B:$B,0)),"")</f>
        <v/>
      </c>
      <c r="D131" s="116">
        <f>IFERROR(INDEX('DRAFT 1'!$D:$D,MATCH($B131,'DRAFT 1'!$B:$B,0)),"")</f>
        <v/>
      </c>
      <c r="E131" s="116">
        <f>IFERROR(INDEX('DRAFT 1'!$E:$E,MATCH($B131,'DRAFT 1'!$B:$B,0)),"")</f>
        <v/>
      </c>
      <c r="F131" s="116">
        <f>IFERROR(INDEX('DRAFT 1'!$F:$F,MATCH($B131,'DRAFT 1'!$B:$B,0)),"")</f>
        <v/>
      </c>
      <c r="G131" s="116">
        <f>IFERROR(INDEX('DRAFT 1'!$G:$G,MATCH($B131,'DRAFT 1'!$B:$B,0)),"")</f>
        <v/>
      </c>
      <c r="H131" s="116">
        <f>IFERROR(INDEX('DRAFT 1'!$H:$H,MATCH($B131,'DRAFT 1'!$B:$B,0)),"")</f>
        <v/>
      </c>
      <c r="I131" s="116">
        <f>IFERROR(INDEX('DRAFT 1'!$I:$I,MATCH($B131,'DRAFT 1'!$B:$B,0)),"")</f>
        <v/>
      </c>
      <c r="K131" s="116">
        <f>IFERROR(INDEX('DRAFT 1'!$AL:$AL,MATCH($B131,'DRAFT 1'!$B:$B,0)),"")</f>
        <v/>
      </c>
      <c r="L131" s="116">
        <f>IFERROR(INDEX('DRAFT 1'!$J:$J,MATCH($B131,'DRAFT 1'!$B:$B,0)),"")</f>
        <v/>
      </c>
      <c r="M131" s="116">
        <f>IFERROR(INDEX('DRAFT 1'!$K:$K,MATCH($B131,'DRAFT 1'!$B:$B,0)),"")</f>
        <v/>
      </c>
      <c r="P131" s="116">
        <f>IFERROR(INDEX('DRAFT 1'!$L:$L,MATCH($B131,'DRAFT 1'!$B:$B,0)),"")</f>
        <v/>
      </c>
      <c r="Q131" s="116">
        <f>IFERROR(INDEX('DRAFT 1'!$M:$M,MATCH($B131,'DRAFT 1'!$B:$B,0)),"")</f>
        <v/>
      </c>
      <c r="R131" s="116">
        <f>IFERROR(INDEX('DRAFT 1'!$N:$N,MATCH($B131,'DRAFT 1'!$B:$B,0)),"")</f>
        <v/>
      </c>
      <c r="S131" s="116">
        <f>IFERROR(INDEX('DRAFT 1'!$O:$O,MATCH($B131,'DRAFT 1'!$B:$B,0)),"")</f>
        <v/>
      </c>
      <c r="T131" s="116">
        <f>IFERROR(INDEX('DRAFT 1'!$P:$P,MATCH($B131,'DRAFT 1'!$B:$B,0)),"")</f>
        <v/>
      </c>
      <c r="U131" s="116">
        <f>IFERROR(INDEX('DRAFT 1'!$Q:$Q,MATCH($B131,'DRAFT 1'!$B:$B,0)),"")</f>
        <v/>
      </c>
      <c r="V131" s="116">
        <f>IFERROR(INDEX('DRAFT 1'!$R:$R,MATCH($B131,'DRAFT 1'!$B:$B,0)),"")</f>
        <v/>
      </c>
      <c r="W131" s="116">
        <f>IFERROR(INDEX('DRAFT 1'!$S:$S,MATCH($B131,'DRAFT 1'!$B:$B,0)),"")</f>
        <v/>
      </c>
      <c r="X131" s="116">
        <f>IFERROR(INDEX('DRAFT 1'!$T:$T,MATCH($B131,'DRAFT 1'!$B:$B,0)),"")</f>
        <v/>
      </c>
      <c r="Z131" s="116">
        <f>IFERROR(INDEX('DRAFT 1'!$U:$U,MATCH($B131,'DRAFT 1'!$B:$B,0)),"")</f>
        <v/>
      </c>
      <c r="AA131" s="116">
        <f>IFERROR(INDEX('DRAFT 1'!$V:$V,MATCH($B131,'DRAFT 1'!$B:$B,0)),"")</f>
        <v/>
      </c>
      <c r="AB131" s="116">
        <f>IFERROR(INDEX('DRAFT 1'!$W:$W,MATCH($B131,'DRAFT 1'!$B:$B,0)),"")</f>
        <v/>
      </c>
      <c r="AC131" s="116">
        <f>IFERROR(INDEX('DRAFT 1'!$X:$X,MATCH($B131,'DRAFT 1'!$B:$B,0)),"")</f>
        <v/>
      </c>
      <c r="AD131" s="116">
        <f>IFERROR(INDEX('DRAFT 1'!$Y:$Y,MATCH($B131,'DRAFT 1'!$B:$B,0)),"")</f>
        <v/>
      </c>
      <c r="AE131" s="116">
        <f>IFERROR(INDEX('DRAFT 1'!$Z:$Z,MATCH($B131,'DRAFT 1'!$B:$B,0)),"")</f>
        <v/>
      </c>
      <c r="AF131" s="116">
        <f>IFERROR(INDEX('DRAFT 1'!$AA:$AA,MATCH($B131,'DRAFT 1'!$B:$B,0)),"")</f>
        <v/>
      </c>
      <c r="AG131" s="116">
        <f>IFERROR(INDEX('DRAFT 1'!$AB:$AB,MATCH($B131,'DRAFT 1'!$B:$B,0)),"")</f>
        <v/>
      </c>
      <c r="AH131" s="116">
        <f>IFERROR(INDEX('DRAFT 1'!$AC:$AC,MATCH($B131,'DRAFT 1'!$B:$B,0)),"")</f>
        <v/>
      </c>
      <c r="AI131" s="116">
        <f>IFERROR(INDEX('DRAFT 1'!$AD:$AD,MATCH($B131,'DRAFT 1'!$B:$B,0)),"")</f>
        <v/>
      </c>
      <c r="AJ131" s="116">
        <f>IFERROR(INDEX('DRAFT 1'!$AE:$AE,MATCH($B131,'DRAFT 1'!$B:$B,0)),"")</f>
        <v/>
      </c>
      <c r="AK131" s="116">
        <f>IFERROR(INDEX('DRAFT 1'!$AG:$AG,MATCH($B131,'DRAFT 1'!$B:$B,0)),"")</f>
        <v/>
      </c>
      <c r="AL131" s="116">
        <f>IFERROR(INDEX('DRAFT 1'!$AH:$AH,MATCH($B131,'DRAFT 1'!$B:$B,0)),"")</f>
        <v/>
      </c>
      <c r="AM131" s="116">
        <f>IFERROR(INDEX('DRAFT 1'!$AI:$AI,MATCH($B131,'DRAFT 1'!$B:$B,0)),"")</f>
        <v/>
      </c>
      <c r="AN131" s="116">
        <f>IFERROR(INDEX('DRAFT 1'!$AJ:$AJ,MATCH($B131,'DRAFT 1'!$B:$B,0)),"")</f>
        <v/>
      </c>
      <c r="AO131" s="116">
        <f>IFERROR(Y131/AN131,0)</f>
        <v/>
      </c>
      <c r="AP131" s="116">
        <f>IFERROR(INDEX('DRAFT 1'!$AK:$AK,MATCH($B131,'DRAFT 1'!$B:$B,0)),"")</f>
        <v/>
      </c>
      <c r="AR131" s="116">
        <f>IFERROR(LOOKUP(2,1/('DRAFT 2'!$D:$D=$B131),'DRAFT 2'!$I:$I),"")</f>
        <v/>
      </c>
      <c r="AS131" s="116">
        <f>IFERROR(LOOKUP(2,1/('DRAFT 2'!$D:$D=$B131),'DRAFT 2'!$T:$T),"")</f>
        <v/>
      </c>
      <c r="AT131" s="116">
        <f>IFERROR(LOOKUP(2,1/('DRAFT 2'!$D:$D=$B131),'DRAFT 2'!$A:$A),"")</f>
        <v/>
      </c>
      <c r="AU131" s="116">
        <f>IFERROR(LOOKUP(2,1/('DRAFT 2'!$D:$D=$B131),'DRAFT 2'!$R:$R),"")</f>
        <v/>
      </c>
      <c r="AV131" s="116">
        <f>IFERROR(LOOKUP(2,1/('DRAFT 2'!$D:$D=$B131),'DRAFT 2'!$S:$S),"")</f>
        <v/>
      </c>
      <c r="AX131" s="116">
        <f>IFERROR(LOOKUP(2,1/('DRAFT 2'!$D:$D=$B131),'DRAFT 2'!$M:$M),"")</f>
        <v/>
      </c>
      <c r="AY131" s="116">
        <f>IFERROR(LOOKUP(2,1/('DRAFT 2'!$D:$D=$B131),'DRAFT 2'!$K:$K),"")</f>
        <v/>
      </c>
      <c r="BG131" s="116">
        <f>IFERROR(LOOKUP(2,1/('DRAFT 2'!$D:$D=$B131),'DRAFT 2'!$U:$U),"")</f>
        <v/>
      </c>
      <c r="BH131" s="116">
        <f>IFERROR(LOOKUP(2,1/('DRAFT 2'!$D:$D=$B131),'DRAFT 2'!$V:$V),"")</f>
        <v/>
      </c>
      <c r="CE131" s="116">
        <f>IFERROR(AJ131,0)</f>
        <v/>
      </c>
      <c r="CF131" s="116">
        <f>IFERROR(LOOKUP(2,1/('DRAFT 2'!$D:$D=$B131)*('DRAFT 2'!$A:$A&gt;=DATE(2026,1,1))*('DRAFT 2'!$A:$A&lt;DATE(2026,IF(1=12,1+1,1+1),1)),'DRAFT 2'!$A:$A),"")</f>
        <v/>
      </c>
      <c r="CG131" s="116">
        <f>COUNTIFS('DRAFT 2'!$D:$D,$B131,'DRAFT 2'!$A:$A,"&gt;="&amp;DATE(2026,1,1),'DRAFT 2'!$A:$A,"&lt;="&amp;DATE(2026,1,7))</f>
        <v/>
      </c>
      <c r="CH131" s="116">
        <f>COUNTIFS('DRAFT 2'!$D:$D,$B131,'DRAFT 2'!$A:$A,"&gt;="&amp;DATE(2026,1,8),'DRAFT 2'!$A:$A,"&lt;="&amp;DATE(2026,1,14))</f>
        <v/>
      </c>
      <c r="CI131" s="116">
        <f>COUNTIFS('DRAFT 2'!$D:$D,$B131,'DRAFT 2'!$A:$A,"&gt;="&amp;DATE(2026,1,15),'DRAFT 2'!$A:$A,"&lt;="&amp;DATE(2026,1,21))</f>
        <v/>
      </c>
      <c r="CJ131" s="116">
        <f>COUNTIFS('DRAFT 2'!$D:$D,$B131,'DRAFT 2'!$A:$A,"&gt;="&amp;DATE(2026,1,22),'DRAFT 2'!$A:$A,"&lt;"&amp;DATE(2026,IF(1=12,1+1,1+1),1))</f>
        <v/>
      </c>
      <c r="CK131" s="116">
        <f>SUM(CG131:CJ131)</f>
        <v/>
      </c>
      <c r="CT131" s="116" t="n">
        <v>0</v>
      </c>
      <c r="CU131" s="116">
        <f>IFERROR(LOOKUP(2,1/('DRAFT 2'!$D:$D=$B131)*('DRAFT 2'!$A:$A&gt;=DATE(2026,2,1))*('DRAFT 2'!$A:$A&lt;DATE(2026,IF(2=12,2+1,2+1),1)),'DRAFT 2'!$A:$A),"")</f>
        <v/>
      </c>
      <c r="CV131" s="116">
        <f>COUNTIFS('DRAFT 2'!$D:$D,$B131,'DRAFT 2'!$A:$A,"&gt;="&amp;DATE(2026,2,1),'DRAFT 2'!$A:$A,"&lt;="&amp;DATE(2026,2,7))</f>
        <v/>
      </c>
      <c r="CW131" s="116">
        <f>COUNTIFS('DRAFT 2'!$D:$D,$B131,'DRAFT 2'!$A:$A,"&gt;="&amp;DATE(2026,2,8),'DRAFT 2'!$A:$A,"&lt;="&amp;DATE(2026,2,14))</f>
        <v/>
      </c>
      <c r="CX131" s="116">
        <f>COUNTIFS('DRAFT 2'!$D:$D,$B131,'DRAFT 2'!$A:$A,"&gt;="&amp;DATE(2026,2,15),'DRAFT 2'!$A:$A,"&lt;="&amp;DATE(2026,2,21))</f>
        <v/>
      </c>
      <c r="CY131" s="116">
        <f>COUNTIFS('DRAFT 2'!$D:$D,$B131,'DRAFT 2'!$A:$A,"&gt;="&amp;DATE(2026,2,22),'DRAFT 2'!$A:$A,"&lt;"&amp;DATE(2026,IF(2=12,2+1,2+1),1))</f>
        <v/>
      </c>
      <c r="CZ131" s="116">
        <f>SUM(CV131:CY131)</f>
        <v/>
      </c>
      <c r="DJ131" s="116">
        <f>IFERROR(LOOKUP(2,1/('DRAFT 2'!$D:$D=$B131)*('DRAFT 2'!$A:$A&gt;=DATE(2026,3,1))*('DRAFT 2'!$A:$A&lt;DATE(2026,IF(3=12,3+1,3+1),1)),'DRAFT 2'!$A:$A),"")</f>
        <v/>
      </c>
      <c r="DK131" s="116">
        <f>COUNTIFS('DRAFT 2'!$D:$D,$B131,'DRAFT 2'!$A:$A,"&gt;="&amp;DATE(2026,3,1),'DRAFT 2'!$A:$A,"&lt;="&amp;DATE(2026,3,7))</f>
        <v/>
      </c>
      <c r="DL131" s="116">
        <f>COUNTIFS('DRAFT 2'!$D:$D,$B131,'DRAFT 2'!$A:$A,"&gt;="&amp;DATE(2026,3,8),'DRAFT 2'!$A:$A,"&lt;="&amp;DATE(2026,3,14))</f>
        <v/>
      </c>
      <c r="DM131" s="116">
        <f>COUNTIFS('DRAFT 2'!$D:$D,$B131,'DRAFT 2'!$A:$A,"&gt;="&amp;DATE(2026,3,15),'DRAFT 2'!$A:$A,"&lt;="&amp;DATE(2026,3,21))</f>
        <v/>
      </c>
      <c r="DN131" s="116">
        <f>COUNTIFS('DRAFT 2'!$D:$D,$B131,'DRAFT 2'!$A:$A,"&gt;="&amp;DATE(2026,3,22),'DRAFT 2'!$A:$A,"&lt;"&amp;DATE(2026,IF(3=12,3+1,3+1),1))</f>
        <v/>
      </c>
      <c r="DO131" s="116">
        <f>SUM(DK131:DN131)</f>
        <v/>
      </c>
      <c r="DZ131" s="116">
        <f>IFERROR(LOOKUP(2,1/('DRAFT 2'!$D:$D=$B131)*('DRAFT 2'!$A:$A&gt;=DATE(2026,4,1))*('DRAFT 2'!$A:$A&lt;DATE(2026,IF(4=12,4+1,4+1),1)),'DRAFT 2'!$A:$A),"")</f>
        <v/>
      </c>
      <c r="EA131" s="116">
        <f>COUNTIFS('DRAFT 2'!$D:$D,$B131,'DRAFT 2'!$A:$A,"&gt;="&amp;DATE(2026,4,1),'DRAFT 2'!$A:$A,"&lt;="&amp;DATE(2026,4,7))</f>
        <v/>
      </c>
      <c r="EB131" s="116">
        <f>COUNTIFS('DRAFT 2'!$D:$D,$B131,'DRAFT 2'!$A:$A,"&gt;="&amp;DATE(2026,4,8),'DRAFT 2'!$A:$A,"&lt;="&amp;DATE(2026,4,14))</f>
        <v/>
      </c>
      <c r="EC131" s="116">
        <f>COUNTIFS('DRAFT 2'!$D:$D,$B131,'DRAFT 2'!$A:$A,"&gt;="&amp;DATE(2026,4,15),'DRAFT 2'!$A:$A,"&lt;="&amp;DATE(2026,4,21))</f>
        <v/>
      </c>
      <c r="ED131" s="116">
        <f>COUNTIFS('DRAFT 2'!$D:$D,$B131,'DRAFT 2'!$A:$A,"&gt;="&amp;DATE(2026,4,22),'DRAFT 2'!$A:$A,"&lt;"&amp;DATE(2026,IF(4=12,4+1,4+1),1))</f>
        <v/>
      </c>
      <c r="EE131" s="116">
        <f>SUM(EA131:ED131)</f>
        <v/>
      </c>
      <c r="EO131" s="116">
        <f>IFERROR(LOOKUP(2,1/('DRAFT 2'!$D:$D=$B131)*('DRAFT 2'!$A:$A&gt;=DATE(2026,5,1))*('DRAFT 2'!$A:$A&lt;DATE(2026,IF(5=12,5+1,5+1),1)),'DRAFT 2'!$A:$A),"")</f>
        <v/>
      </c>
      <c r="EP131" s="116">
        <f>COUNTIFS('DRAFT 2'!$D:$D,$B131,'DRAFT 2'!$A:$A,"&gt;="&amp;DATE(2026,5,1),'DRAFT 2'!$A:$A,"&lt;="&amp;DATE(2026,5,7))</f>
        <v/>
      </c>
      <c r="EQ131" s="116">
        <f>COUNTIFS('DRAFT 2'!$D:$D,$B131,'DRAFT 2'!$A:$A,"&gt;="&amp;DATE(2026,5,8),'DRAFT 2'!$A:$A,"&lt;="&amp;DATE(2026,5,14))</f>
        <v/>
      </c>
      <c r="ER131" s="116">
        <f>COUNTIFS('DRAFT 2'!$D:$D,$B131,'DRAFT 2'!$A:$A,"&gt;="&amp;DATE(2026,5,15),'DRAFT 2'!$A:$A,"&lt;="&amp;DATE(2026,5,21))</f>
        <v/>
      </c>
      <c r="ES131" s="116">
        <f>COUNTIFS('DRAFT 2'!$D:$D,$B131,'DRAFT 2'!$A:$A,"&gt;="&amp;DATE(2026,5,22),'DRAFT 2'!$A:$A,"&lt;"&amp;DATE(2026,IF(5=12,5+1,5+1),1))</f>
        <v/>
      </c>
      <c r="ET131" s="116">
        <f>SUM(EP131:ES131)</f>
        <v/>
      </c>
      <c r="FD131" s="116">
        <f>IFERROR(LOOKUP(2,1/('DRAFT 2'!$D:$D=$B131)*('DRAFT 2'!$A:$A&gt;=DATE(2026,6,1))*('DRAFT 2'!$A:$A&lt;DATE(2026,IF(6=12,6+1,6+1),1)),'DRAFT 2'!$A:$A),"")</f>
        <v/>
      </c>
      <c r="FE131" s="116">
        <f>COUNTIFS('DRAFT 2'!$D:$D,$B131,'DRAFT 2'!$A:$A,"&gt;="&amp;DATE(2026,6,1),'DRAFT 2'!$A:$A,"&lt;="&amp;DATE(2026,6,7))</f>
        <v/>
      </c>
      <c r="FF131" s="116">
        <f>COUNTIFS('DRAFT 2'!$D:$D,$B131,'DRAFT 2'!$A:$A,"&gt;="&amp;DATE(2026,6,8),'DRAFT 2'!$A:$A,"&lt;="&amp;DATE(2026,6,14))</f>
        <v/>
      </c>
      <c r="FG131" s="116">
        <f>COUNTIFS('DRAFT 2'!$D:$D,$B131,'DRAFT 2'!$A:$A,"&gt;="&amp;DATE(2026,6,15),'DRAFT 2'!$A:$A,"&lt;="&amp;DATE(2026,6,21))</f>
        <v/>
      </c>
      <c r="FH131" s="116">
        <f>COUNTIFS('DRAFT 2'!$D:$D,$B131,'DRAFT 2'!$A:$A,"&gt;="&amp;DATE(2026,6,22),'DRAFT 2'!$A:$A,"&lt;"&amp;DATE(2026,IF(6=12,6+1,6+1),1))</f>
        <v/>
      </c>
      <c r="FI131" s="116">
        <f>SUM(FE131:FH131)</f>
        <v/>
      </c>
      <c r="FT131" s="116">
        <f>IFERROR(LOOKUP(2,1/('DRAFT 2'!$D:$D=$B131)*('DRAFT 2'!$A:$A&gt;=DATE(2026,7,1))*('DRAFT 2'!$A:$A&lt;DATE(2026,IF(7=12,7+1,7+1),1)),'DRAFT 2'!$A:$A),"")</f>
        <v/>
      </c>
      <c r="FU131" s="116">
        <f>COUNTIFS('DRAFT 2'!$D:$D,$B131,'DRAFT 2'!$A:$A,"&gt;="&amp;DATE(2026,7,1),'DRAFT 2'!$A:$A,"&lt;="&amp;DATE(2026,7,7))</f>
        <v/>
      </c>
      <c r="FV131" s="116">
        <f>COUNTIFS('DRAFT 2'!$D:$D,$B131,'DRAFT 2'!$A:$A,"&gt;="&amp;DATE(2026,7,8),'DRAFT 2'!$A:$A,"&lt;="&amp;DATE(2026,7,14))</f>
        <v/>
      </c>
      <c r="FW131" s="116">
        <f>COUNTIFS('DRAFT 2'!$D:$D,$B131,'DRAFT 2'!$A:$A,"&gt;="&amp;DATE(2026,7,15),'DRAFT 2'!$A:$A,"&lt;="&amp;DATE(2026,7,21))</f>
        <v/>
      </c>
      <c r="FX131" s="116">
        <f>COUNTIFS('DRAFT 2'!$D:$D,$B131,'DRAFT 2'!$A:$A,"&gt;="&amp;DATE(2026,7,22),'DRAFT 2'!$A:$A,"&lt;"&amp;DATE(2026,IF(7=12,7+1,7+1),1))</f>
        <v/>
      </c>
      <c r="FY131" s="116">
        <f>SUM(FU131:FX131)</f>
        <v/>
      </c>
      <c r="GI131" s="116">
        <f>IFERROR(LOOKUP(2,1/('DRAFT 2'!$D:$D=$B131)*('DRAFT 2'!$A:$A&gt;=DATE(2026,8,1))*('DRAFT 2'!$A:$A&lt;DATE(2026,IF(8=12,8+1,8+1),1)),'DRAFT 2'!$A:$A),"")</f>
        <v/>
      </c>
      <c r="GJ131" s="116">
        <f>COUNTIFS('DRAFT 2'!$D:$D,$B131,'DRAFT 2'!$A:$A,"&gt;="&amp;DATE(2026,8,1),'DRAFT 2'!$A:$A,"&lt;="&amp;DATE(2026,8,7))</f>
        <v/>
      </c>
      <c r="GK131" s="116">
        <f>COUNTIFS('DRAFT 2'!$D:$D,$B131,'DRAFT 2'!$A:$A,"&gt;="&amp;DATE(2026,8,8),'DRAFT 2'!$A:$A,"&lt;="&amp;DATE(2026,8,14))</f>
        <v/>
      </c>
      <c r="GL131" s="116">
        <f>COUNTIFS('DRAFT 2'!$D:$D,$B131,'DRAFT 2'!$A:$A,"&gt;="&amp;DATE(2026,8,15),'DRAFT 2'!$A:$A,"&lt;="&amp;DATE(2026,8,21))</f>
        <v/>
      </c>
      <c r="GM131" s="116">
        <f>COUNTIFS('DRAFT 2'!$D:$D,$B131,'DRAFT 2'!$A:$A,"&gt;="&amp;DATE(2026,8,22),'DRAFT 2'!$A:$A,"&lt;"&amp;DATE(2026,IF(8=12,8+1,8+1),1))</f>
        <v/>
      </c>
      <c r="GN131" s="116">
        <f>SUM(GJ131:GM131)</f>
        <v/>
      </c>
      <c r="GX131" s="116">
        <f>IFERROR(LOOKUP(2,1/('DRAFT 2'!$D:$D=$B131)*('DRAFT 2'!$A:$A&gt;=DATE(2026,9,1))*('DRAFT 2'!$A:$A&lt;DATE(2026,IF(9=12,9+1,9+1),1)),'DRAFT 2'!$A:$A),"")</f>
        <v/>
      </c>
      <c r="GY131" s="116">
        <f>COUNTIFS('DRAFT 2'!$D:$D,$B131,'DRAFT 2'!$A:$A,"&gt;="&amp;DATE(2026,9,1),'DRAFT 2'!$A:$A,"&lt;="&amp;DATE(2026,9,7))</f>
        <v/>
      </c>
      <c r="GZ131" s="116">
        <f>COUNTIFS('DRAFT 2'!$D:$D,$B131,'DRAFT 2'!$A:$A,"&gt;="&amp;DATE(2026,9,8),'DRAFT 2'!$A:$A,"&lt;="&amp;DATE(2026,9,14))</f>
        <v/>
      </c>
      <c r="HA131" s="116">
        <f>COUNTIFS('DRAFT 2'!$D:$D,$B131,'DRAFT 2'!$A:$A,"&gt;="&amp;DATE(2026,9,15),'DRAFT 2'!$A:$A,"&lt;="&amp;DATE(2026,9,21))</f>
        <v/>
      </c>
      <c r="HB131" s="116">
        <f>COUNTIFS('DRAFT 2'!$D:$D,$B131,'DRAFT 2'!$A:$A,"&gt;="&amp;DATE(2026,9,22),'DRAFT 2'!$A:$A,"&lt;"&amp;DATE(2026,IF(9=12,9+1,9+1),1))</f>
        <v/>
      </c>
      <c r="HC131" s="116">
        <f>SUM(GY131:HB131)</f>
        <v/>
      </c>
      <c r="HN131" s="116">
        <f>IFERROR(LOOKUP(2,1/('DRAFT 2'!$D:$D=$B131)*('DRAFT 2'!$A:$A&gt;=DATE(2026,10,1))*('DRAFT 2'!$A:$A&lt;DATE(2026,IF(10=12,10+1,10+1),1)),'DRAFT 2'!$A:$A),"")</f>
        <v/>
      </c>
      <c r="HO131" s="116">
        <f>COUNTIFS('DRAFT 2'!$D:$D,$B131,'DRAFT 2'!$A:$A,"&gt;="&amp;DATE(2026,10,1),'DRAFT 2'!$A:$A,"&lt;="&amp;DATE(2026,10,7))</f>
        <v/>
      </c>
      <c r="HP131" s="116">
        <f>COUNTIFS('DRAFT 2'!$D:$D,$B131,'DRAFT 2'!$A:$A,"&gt;="&amp;DATE(2026,10,8),'DRAFT 2'!$A:$A,"&lt;="&amp;DATE(2026,10,14))</f>
        <v/>
      </c>
      <c r="HQ131" s="116">
        <f>COUNTIFS('DRAFT 2'!$D:$D,$B131,'DRAFT 2'!$A:$A,"&gt;="&amp;DATE(2026,10,15),'DRAFT 2'!$A:$A,"&lt;="&amp;DATE(2026,10,21))</f>
        <v/>
      </c>
      <c r="HR131" s="116">
        <f>COUNTIFS('DRAFT 2'!$D:$D,$B131,'DRAFT 2'!$A:$A,"&gt;="&amp;DATE(2026,10,22),'DRAFT 2'!$A:$A,"&lt;"&amp;DATE(2026,IF(10=12,10+1,10+1),1))</f>
        <v/>
      </c>
      <c r="HS131" s="116">
        <f>SUM(HO131:HR131)</f>
        <v/>
      </c>
      <c r="IC131" s="116">
        <f>IFERROR(LOOKUP(2,1/('DRAFT 2'!$D:$D=$B131)*('DRAFT 2'!$A:$A&gt;=DATE(2026,11,1))*('DRAFT 2'!$A:$A&lt;DATE(2026,IF(11=12,11+1,11+1),1)),'DRAFT 2'!$A:$A),"")</f>
        <v/>
      </c>
      <c r="ID131" s="116">
        <f>COUNTIFS('DRAFT 2'!$D:$D,$B131,'DRAFT 2'!$A:$A,"&gt;="&amp;DATE(2026,11,1),'DRAFT 2'!$A:$A,"&lt;="&amp;DATE(2026,11,7))</f>
        <v/>
      </c>
      <c r="IE131" s="116">
        <f>COUNTIFS('DRAFT 2'!$D:$D,$B131,'DRAFT 2'!$A:$A,"&gt;="&amp;DATE(2026,11,8),'DRAFT 2'!$A:$A,"&lt;="&amp;DATE(2026,11,14))</f>
        <v/>
      </c>
      <c r="IF131" s="116">
        <f>COUNTIFS('DRAFT 2'!$D:$D,$B131,'DRAFT 2'!$A:$A,"&gt;="&amp;DATE(2026,11,15),'DRAFT 2'!$A:$A,"&lt;="&amp;DATE(2026,11,21))</f>
        <v/>
      </c>
      <c r="IG131" s="116">
        <f>COUNTIFS('DRAFT 2'!$D:$D,$B131,'DRAFT 2'!$A:$A,"&gt;="&amp;DATE(2026,11,22),'DRAFT 2'!$A:$A,"&lt;"&amp;DATE(2026,IF(11=12,11+1,11+1),1))</f>
        <v/>
      </c>
      <c r="IH131" s="116">
        <f>SUM(ID131:IG131)</f>
        <v/>
      </c>
      <c r="IR131" s="116">
        <f>IFERROR(LOOKUP(2,1/('DRAFT 2'!$D:$D=$B131)*('DRAFT 2'!$A:$A&gt;=DATE(2026,12,1))*('DRAFT 2'!$A:$A&lt;DATE(2026,IF(12=12,12+1,12+1),1)),'DRAFT 2'!$A:$A),"")</f>
        <v/>
      </c>
      <c r="IS131" s="116">
        <f>COUNTIFS('DRAFT 2'!$D:$D,$B131,'DRAFT 2'!$A:$A,"&gt;="&amp;DATE(2026,12,1),'DRAFT 2'!$A:$A,"&lt;="&amp;DATE(2026,12,7))</f>
        <v/>
      </c>
      <c r="IT131" s="116">
        <f>COUNTIFS('DRAFT 2'!$D:$D,$B131,'DRAFT 2'!$A:$A,"&gt;="&amp;DATE(2026,12,8),'DRAFT 2'!$A:$A,"&lt;="&amp;DATE(2026,12,14))</f>
        <v/>
      </c>
      <c r="IU131" s="116">
        <f>COUNTIFS('DRAFT 2'!$D:$D,$B131,'DRAFT 2'!$A:$A,"&gt;="&amp;DATE(2026,12,15),'DRAFT 2'!$A:$A,"&lt;="&amp;DATE(2026,12,21))</f>
        <v/>
      </c>
      <c r="IV131" s="116">
        <f>COUNTIFS('DRAFT 2'!$D:$D,$B131,'DRAFT 2'!$A:$A,"&gt;="&amp;DATE(2026,12,22),'DRAFT 2'!$A:$A,"&lt;"&amp;DATE(2026,IF(12=12,12+1,12+1),1))</f>
        <v/>
      </c>
      <c r="IW131" s="116">
        <f>SUM(IS131:IV131)</f>
        <v/>
      </c>
    </row>
    <row r="132">
      <c r="A132" s="116">
        <f>IFERROR(INDEX('DRAFT 1'!$A:$A,MATCH($B132,'DRAFT 1'!$B:$B,0)),"")</f>
        <v/>
      </c>
      <c r="C132" s="116">
        <f>IFERROR(INDEX('DRAFT 1'!$C:$C,MATCH($B132,'DRAFT 1'!$B:$B,0)),"")</f>
        <v/>
      </c>
      <c r="D132" s="116">
        <f>IFERROR(INDEX('DRAFT 1'!$D:$D,MATCH($B132,'DRAFT 1'!$B:$B,0)),"")</f>
        <v/>
      </c>
      <c r="E132" s="116">
        <f>IFERROR(INDEX('DRAFT 1'!$E:$E,MATCH($B132,'DRAFT 1'!$B:$B,0)),"")</f>
        <v/>
      </c>
      <c r="F132" s="116">
        <f>IFERROR(INDEX('DRAFT 1'!$F:$F,MATCH($B132,'DRAFT 1'!$B:$B,0)),"")</f>
        <v/>
      </c>
      <c r="G132" s="116">
        <f>IFERROR(INDEX('DRAFT 1'!$G:$G,MATCH($B132,'DRAFT 1'!$B:$B,0)),"")</f>
        <v/>
      </c>
      <c r="H132" s="116">
        <f>IFERROR(INDEX('DRAFT 1'!$H:$H,MATCH($B132,'DRAFT 1'!$B:$B,0)),"")</f>
        <v/>
      </c>
      <c r="I132" s="116">
        <f>IFERROR(INDEX('DRAFT 1'!$I:$I,MATCH($B132,'DRAFT 1'!$B:$B,0)),"")</f>
        <v/>
      </c>
      <c r="K132" s="116">
        <f>IFERROR(INDEX('DRAFT 1'!$AL:$AL,MATCH($B132,'DRAFT 1'!$B:$B,0)),"")</f>
        <v/>
      </c>
      <c r="L132" s="116">
        <f>IFERROR(INDEX('DRAFT 1'!$J:$J,MATCH($B132,'DRAFT 1'!$B:$B,0)),"")</f>
        <v/>
      </c>
      <c r="M132" s="116">
        <f>IFERROR(INDEX('DRAFT 1'!$K:$K,MATCH($B132,'DRAFT 1'!$B:$B,0)),"")</f>
        <v/>
      </c>
      <c r="P132" s="116">
        <f>IFERROR(INDEX('DRAFT 1'!$L:$L,MATCH($B132,'DRAFT 1'!$B:$B,0)),"")</f>
        <v/>
      </c>
      <c r="Q132" s="116">
        <f>IFERROR(INDEX('DRAFT 1'!$M:$M,MATCH($B132,'DRAFT 1'!$B:$B,0)),"")</f>
        <v/>
      </c>
      <c r="R132" s="116">
        <f>IFERROR(INDEX('DRAFT 1'!$N:$N,MATCH($B132,'DRAFT 1'!$B:$B,0)),"")</f>
        <v/>
      </c>
      <c r="S132" s="116">
        <f>IFERROR(INDEX('DRAFT 1'!$O:$O,MATCH($B132,'DRAFT 1'!$B:$B,0)),"")</f>
        <v/>
      </c>
      <c r="T132" s="116">
        <f>IFERROR(INDEX('DRAFT 1'!$P:$P,MATCH($B132,'DRAFT 1'!$B:$B,0)),"")</f>
        <v/>
      </c>
      <c r="U132" s="116">
        <f>IFERROR(INDEX('DRAFT 1'!$Q:$Q,MATCH($B132,'DRAFT 1'!$B:$B,0)),"")</f>
        <v/>
      </c>
      <c r="V132" s="116">
        <f>IFERROR(INDEX('DRAFT 1'!$R:$R,MATCH($B132,'DRAFT 1'!$B:$B,0)),"")</f>
        <v/>
      </c>
      <c r="W132" s="116">
        <f>IFERROR(INDEX('DRAFT 1'!$S:$S,MATCH($B132,'DRAFT 1'!$B:$B,0)),"")</f>
        <v/>
      </c>
      <c r="X132" s="116">
        <f>IFERROR(INDEX('DRAFT 1'!$T:$T,MATCH($B132,'DRAFT 1'!$B:$B,0)),"")</f>
        <v/>
      </c>
      <c r="Z132" s="116">
        <f>IFERROR(INDEX('DRAFT 1'!$U:$U,MATCH($B132,'DRAFT 1'!$B:$B,0)),"")</f>
        <v/>
      </c>
      <c r="AA132" s="116">
        <f>IFERROR(INDEX('DRAFT 1'!$V:$V,MATCH($B132,'DRAFT 1'!$B:$B,0)),"")</f>
        <v/>
      </c>
      <c r="AB132" s="116">
        <f>IFERROR(INDEX('DRAFT 1'!$W:$W,MATCH($B132,'DRAFT 1'!$B:$B,0)),"")</f>
        <v/>
      </c>
      <c r="AC132" s="116">
        <f>IFERROR(INDEX('DRAFT 1'!$X:$X,MATCH($B132,'DRAFT 1'!$B:$B,0)),"")</f>
        <v/>
      </c>
      <c r="AD132" s="116">
        <f>IFERROR(INDEX('DRAFT 1'!$Y:$Y,MATCH($B132,'DRAFT 1'!$B:$B,0)),"")</f>
        <v/>
      </c>
      <c r="AE132" s="116">
        <f>IFERROR(INDEX('DRAFT 1'!$Z:$Z,MATCH($B132,'DRAFT 1'!$B:$B,0)),"")</f>
        <v/>
      </c>
      <c r="AF132" s="116">
        <f>IFERROR(INDEX('DRAFT 1'!$AA:$AA,MATCH($B132,'DRAFT 1'!$B:$B,0)),"")</f>
        <v/>
      </c>
      <c r="AG132" s="116">
        <f>IFERROR(INDEX('DRAFT 1'!$AB:$AB,MATCH($B132,'DRAFT 1'!$B:$B,0)),"")</f>
        <v/>
      </c>
      <c r="AH132" s="116">
        <f>IFERROR(INDEX('DRAFT 1'!$AC:$AC,MATCH($B132,'DRAFT 1'!$B:$B,0)),"")</f>
        <v/>
      </c>
      <c r="AI132" s="116">
        <f>IFERROR(INDEX('DRAFT 1'!$AD:$AD,MATCH($B132,'DRAFT 1'!$B:$B,0)),"")</f>
        <v/>
      </c>
      <c r="AJ132" s="116">
        <f>IFERROR(INDEX('DRAFT 1'!$AE:$AE,MATCH($B132,'DRAFT 1'!$B:$B,0)),"")</f>
        <v/>
      </c>
      <c r="AK132" s="116">
        <f>IFERROR(INDEX('DRAFT 1'!$AG:$AG,MATCH($B132,'DRAFT 1'!$B:$B,0)),"")</f>
        <v/>
      </c>
      <c r="AL132" s="116">
        <f>IFERROR(INDEX('DRAFT 1'!$AH:$AH,MATCH($B132,'DRAFT 1'!$B:$B,0)),"")</f>
        <v/>
      </c>
      <c r="AM132" s="116">
        <f>IFERROR(INDEX('DRAFT 1'!$AI:$AI,MATCH($B132,'DRAFT 1'!$B:$B,0)),"")</f>
        <v/>
      </c>
      <c r="AN132" s="116">
        <f>IFERROR(INDEX('DRAFT 1'!$AJ:$AJ,MATCH($B132,'DRAFT 1'!$B:$B,0)),"")</f>
        <v/>
      </c>
      <c r="AO132" s="116">
        <f>IFERROR(Y132/AN132,0)</f>
        <v/>
      </c>
      <c r="AP132" s="116">
        <f>IFERROR(INDEX('DRAFT 1'!$AK:$AK,MATCH($B132,'DRAFT 1'!$B:$B,0)),"")</f>
        <v/>
      </c>
      <c r="AR132" s="116">
        <f>IFERROR(LOOKUP(2,1/('DRAFT 2'!$D:$D=$B132),'DRAFT 2'!$I:$I),"")</f>
        <v/>
      </c>
      <c r="AS132" s="116">
        <f>IFERROR(LOOKUP(2,1/('DRAFT 2'!$D:$D=$B132),'DRAFT 2'!$T:$T),"")</f>
        <v/>
      </c>
      <c r="AT132" s="116">
        <f>IFERROR(LOOKUP(2,1/('DRAFT 2'!$D:$D=$B132),'DRAFT 2'!$A:$A),"")</f>
        <v/>
      </c>
      <c r="AU132" s="116">
        <f>IFERROR(LOOKUP(2,1/('DRAFT 2'!$D:$D=$B132),'DRAFT 2'!$R:$R),"")</f>
        <v/>
      </c>
      <c r="AV132" s="116">
        <f>IFERROR(LOOKUP(2,1/('DRAFT 2'!$D:$D=$B132),'DRAFT 2'!$S:$S),"")</f>
        <v/>
      </c>
      <c r="AX132" s="116">
        <f>IFERROR(LOOKUP(2,1/('DRAFT 2'!$D:$D=$B132),'DRAFT 2'!$M:$M),"")</f>
        <v/>
      </c>
      <c r="AY132" s="116">
        <f>IFERROR(LOOKUP(2,1/('DRAFT 2'!$D:$D=$B132),'DRAFT 2'!$K:$K),"")</f>
        <v/>
      </c>
      <c r="BG132" s="116">
        <f>IFERROR(LOOKUP(2,1/('DRAFT 2'!$D:$D=$B132),'DRAFT 2'!$U:$U),"")</f>
        <v/>
      </c>
      <c r="BH132" s="116">
        <f>IFERROR(LOOKUP(2,1/('DRAFT 2'!$D:$D=$B132),'DRAFT 2'!$V:$V),"")</f>
        <v/>
      </c>
      <c r="CE132" s="116">
        <f>IFERROR(AJ132,0)</f>
        <v/>
      </c>
      <c r="CF132" s="116">
        <f>IFERROR(LOOKUP(2,1/('DRAFT 2'!$D:$D=$B132)*('DRAFT 2'!$A:$A&gt;=DATE(2026,1,1))*('DRAFT 2'!$A:$A&lt;DATE(2026,IF(1=12,1+1,1+1),1)),'DRAFT 2'!$A:$A),"")</f>
        <v/>
      </c>
      <c r="CG132" s="116">
        <f>COUNTIFS('DRAFT 2'!$D:$D,$B132,'DRAFT 2'!$A:$A,"&gt;="&amp;DATE(2026,1,1),'DRAFT 2'!$A:$A,"&lt;="&amp;DATE(2026,1,7))</f>
        <v/>
      </c>
      <c r="CH132" s="116">
        <f>COUNTIFS('DRAFT 2'!$D:$D,$B132,'DRAFT 2'!$A:$A,"&gt;="&amp;DATE(2026,1,8),'DRAFT 2'!$A:$A,"&lt;="&amp;DATE(2026,1,14))</f>
        <v/>
      </c>
      <c r="CI132" s="116">
        <f>COUNTIFS('DRAFT 2'!$D:$D,$B132,'DRAFT 2'!$A:$A,"&gt;="&amp;DATE(2026,1,15),'DRAFT 2'!$A:$A,"&lt;="&amp;DATE(2026,1,21))</f>
        <v/>
      </c>
      <c r="CJ132" s="116">
        <f>COUNTIFS('DRAFT 2'!$D:$D,$B132,'DRAFT 2'!$A:$A,"&gt;="&amp;DATE(2026,1,22),'DRAFT 2'!$A:$A,"&lt;"&amp;DATE(2026,IF(1=12,1+1,1+1),1))</f>
        <v/>
      </c>
      <c r="CK132" s="116">
        <f>SUM(CG132:CJ132)</f>
        <v/>
      </c>
      <c r="CT132" s="116" t="n">
        <v>0</v>
      </c>
      <c r="CU132" s="116">
        <f>IFERROR(LOOKUP(2,1/('DRAFT 2'!$D:$D=$B132)*('DRAFT 2'!$A:$A&gt;=DATE(2026,2,1))*('DRAFT 2'!$A:$A&lt;DATE(2026,IF(2=12,2+1,2+1),1)),'DRAFT 2'!$A:$A),"")</f>
        <v/>
      </c>
      <c r="CV132" s="116">
        <f>COUNTIFS('DRAFT 2'!$D:$D,$B132,'DRAFT 2'!$A:$A,"&gt;="&amp;DATE(2026,2,1),'DRAFT 2'!$A:$A,"&lt;="&amp;DATE(2026,2,7))</f>
        <v/>
      </c>
      <c r="CW132" s="116">
        <f>COUNTIFS('DRAFT 2'!$D:$D,$B132,'DRAFT 2'!$A:$A,"&gt;="&amp;DATE(2026,2,8),'DRAFT 2'!$A:$A,"&lt;="&amp;DATE(2026,2,14))</f>
        <v/>
      </c>
      <c r="CX132" s="116">
        <f>COUNTIFS('DRAFT 2'!$D:$D,$B132,'DRAFT 2'!$A:$A,"&gt;="&amp;DATE(2026,2,15),'DRAFT 2'!$A:$A,"&lt;="&amp;DATE(2026,2,21))</f>
        <v/>
      </c>
      <c r="CY132" s="116">
        <f>COUNTIFS('DRAFT 2'!$D:$D,$B132,'DRAFT 2'!$A:$A,"&gt;="&amp;DATE(2026,2,22),'DRAFT 2'!$A:$A,"&lt;"&amp;DATE(2026,IF(2=12,2+1,2+1),1))</f>
        <v/>
      </c>
      <c r="CZ132" s="116">
        <f>SUM(CV132:CY132)</f>
        <v/>
      </c>
      <c r="DJ132" s="116">
        <f>IFERROR(LOOKUP(2,1/('DRAFT 2'!$D:$D=$B132)*('DRAFT 2'!$A:$A&gt;=DATE(2026,3,1))*('DRAFT 2'!$A:$A&lt;DATE(2026,IF(3=12,3+1,3+1),1)),'DRAFT 2'!$A:$A),"")</f>
        <v/>
      </c>
      <c r="DK132" s="116">
        <f>COUNTIFS('DRAFT 2'!$D:$D,$B132,'DRAFT 2'!$A:$A,"&gt;="&amp;DATE(2026,3,1),'DRAFT 2'!$A:$A,"&lt;="&amp;DATE(2026,3,7))</f>
        <v/>
      </c>
      <c r="DL132" s="116">
        <f>COUNTIFS('DRAFT 2'!$D:$D,$B132,'DRAFT 2'!$A:$A,"&gt;="&amp;DATE(2026,3,8),'DRAFT 2'!$A:$A,"&lt;="&amp;DATE(2026,3,14))</f>
        <v/>
      </c>
      <c r="DM132" s="116">
        <f>COUNTIFS('DRAFT 2'!$D:$D,$B132,'DRAFT 2'!$A:$A,"&gt;="&amp;DATE(2026,3,15),'DRAFT 2'!$A:$A,"&lt;="&amp;DATE(2026,3,21))</f>
        <v/>
      </c>
      <c r="DN132" s="116">
        <f>COUNTIFS('DRAFT 2'!$D:$D,$B132,'DRAFT 2'!$A:$A,"&gt;="&amp;DATE(2026,3,22),'DRAFT 2'!$A:$A,"&lt;"&amp;DATE(2026,IF(3=12,3+1,3+1),1))</f>
        <v/>
      </c>
      <c r="DO132" s="116">
        <f>SUM(DK132:DN132)</f>
        <v/>
      </c>
      <c r="DZ132" s="116">
        <f>IFERROR(LOOKUP(2,1/('DRAFT 2'!$D:$D=$B132)*('DRAFT 2'!$A:$A&gt;=DATE(2026,4,1))*('DRAFT 2'!$A:$A&lt;DATE(2026,IF(4=12,4+1,4+1),1)),'DRAFT 2'!$A:$A),"")</f>
        <v/>
      </c>
      <c r="EA132" s="116">
        <f>COUNTIFS('DRAFT 2'!$D:$D,$B132,'DRAFT 2'!$A:$A,"&gt;="&amp;DATE(2026,4,1),'DRAFT 2'!$A:$A,"&lt;="&amp;DATE(2026,4,7))</f>
        <v/>
      </c>
      <c r="EB132" s="116">
        <f>COUNTIFS('DRAFT 2'!$D:$D,$B132,'DRAFT 2'!$A:$A,"&gt;="&amp;DATE(2026,4,8),'DRAFT 2'!$A:$A,"&lt;="&amp;DATE(2026,4,14))</f>
        <v/>
      </c>
      <c r="EC132" s="116">
        <f>COUNTIFS('DRAFT 2'!$D:$D,$B132,'DRAFT 2'!$A:$A,"&gt;="&amp;DATE(2026,4,15),'DRAFT 2'!$A:$A,"&lt;="&amp;DATE(2026,4,21))</f>
        <v/>
      </c>
      <c r="ED132" s="116">
        <f>COUNTIFS('DRAFT 2'!$D:$D,$B132,'DRAFT 2'!$A:$A,"&gt;="&amp;DATE(2026,4,22),'DRAFT 2'!$A:$A,"&lt;"&amp;DATE(2026,IF(4=12,4+1,4+1),1))</f>
        <v/>
      </c>
      <c r="EE132" s="116">
        <f>SUM(EA132:ED132)</f>
        <v/>
      </c>
      <c r="EO132" s="116">
        <f>IFERROR(LOOKUP(2,1/('DRAFT 2'!$D:$D=$B132)*('DRAFT 2'!$A:$A&gt;=DATE(2026,5,1))*('DRAFT 2'!$A:$A&lt;DATE(2026,IF(5=12,5+1,5+1),1)),'DRAFT 2'!$A:$A),"")</f>
        <v/>
      </c>
      <c r="EP132" s="116">
        <f>COUNTIFS('DRAFT 2'!$D:$D,$B132,'DRAFT 2'!$A:$A,"&gt;="&amp;DATE(2026,5,1),'DRAFT 2'!$A:$A,"&lt;="&amp;DATE(2026,5,7))</f>
        <v/>
      </c>
      <c r="EQ132" s="116">
        <f>COUNTIFS('DRAFT 2'!$D:$D,$B132,'DRAFT 2'!$A:$A,"&gt;="&amp;DATE(2026,5,8),'DRAFT 2'!$A:$A,"&lt;="&amp;DATE(2026,5,14))</f>
        <v/>
      </c>
      <c r="ER132" s="116">
        <f>COUNTIFS('DRAFT 2'!$D:$D,$B132,'DRAFT 2'!$A:$A,"&gt;="&amp;DATE(2026,5,15),'DRAFT 2'!$A:$A,"&lt;="&amp;DATE(2026,5,21))</f>
        <v/>
      </c>
      <c r="ES132" s="116">
        <f>COUNTIFS('DRAFT 2'!$D:$D,$B132,'DRAFT 2'!$A:$A,"&gt;="&amp;DATE(2026,5,22),'DRAFT 2'!$A:$A,"&lt;"&amp;DATE(2026,IF(5=12,5+1,5+1),1))</f>
        <v/>
      </c>
      <c r="ET132" s="116">
        <f>SUM(EP132:ES132)</f>
        <v/>
      </c>
      <c r="FD132" s="116">
        <f>IFERROR(LOOKUP(2,1/('DRAFT 2'!$D:$D=$B132)*('DRAFT 2'!$A:$A&gt;=DATE(2026,6,1))*('DRAFT 2'!$A:$A&lt;DATE(2026,IF(6=12,6+1,6+1),1)),'DRAFT 2'!$A:$A),"")</f>
        <v/>
      </c>
      <c r="FE132" s="116">
        <f>COUNTIFS('DRAFT 2'!$D:$D,$B132,'DRAFT 2'!$A:$A,"&gt;="&amp;DATE(2026,6,1),'DRAFT 2'!$A:$A,"&lt;="&amp;DATE(2026,6,7))</f>
        <v/>
      </c>
      <c r="FF132" s="116">
        <f>COUNTIFS('DRAFT 2'!$D:$D,$B132,'DRAFT 2'!$A:$A,"&gt;="&amp;DATE(2026,6,8),'DRAFT 2'!$A:$A,"&lt;="&amp;DATE(2026,6,14))</f>
        <v/>
      </c>
      <c r="FG132" s="116">
        <f>COUNTIFS('DRAFT 2'!$D:$D,$B132,'DRAFT 2'!$A:$A,"&gt;="&amp;DATE(2026,6,15),'DRAFT 2'!$A:$A,"&lt;="&amp;DATE(2026,6,21))</f>
        <v/>
      </c>
      <c r="FH132" s="116">
        <f>COUNTIFS('DRAFT 2'!$D:$D,$B132,'DRAFT 2'!$A:$A,"&gt;="&amp;DATE(2026,6,22),'DRAFT 2'!$A:$A,"&lt;"&amp;DATE(2026,IF(6=12,6+1,6+1),1))</f>
        <v/>
      </c>
      <c r="FI132" s="116">
        <f>SUM(FE132:FH132)</f>
        <v/>
      </c>
      <c r="FT132" s="116">
        <f>IFERROR(LOOKUP(2,1/('DRAFT 2'!$D:$D=$B132)*('DRAFT 2'!$A:$A&gt;=DATE(2026,7,1))*('DRAFT 2'!$A:$A&lt;DATE(2026,IF(7=12,7+1,7+1),1)),'DRAFT 2'!$A:$A),"")</f>
        <v/>
      </c>
      <c r="FU132" s="116">
        <f>COUNTIFS('DRAFT 2'!$D:$D,$B132,'DRAFT 2'!$A:$A,"&gt;="&amp;DATE(2026,7,1),'DRAFT 2'!$A:$A,"&lt;="&amp;DATE(2026,7,7))</f>
        <v/>
      </c>
      <c r="FV132" s="116">
        <f>COUNTIFS('DRAFT 2'!$D:$D,$B132,'DRAFT 2'!$A:$A,"&gt;="&amp;DATE(2026,7,8),'DRAFT 2'!$A:$A,"&lt;="&amp;DATE(2026,7,14))</f>
        <v/>
      </c>
      <c r="FW132" s="116">
        <f>COUNTIFS('DRAFT 2'!$D:$D,$B132,'DRAFT 2'!$A:$A,"&gt;="&amp;DATE(2026,7,15),'DRAFT 2'!$A:$A,"&lt;="&amp;DATE(2026,7,21))</f>
        <v/>
      </c>
      <c r="FX132" s="116">
        <f>COUNTIFS('DRAFT 2'!$D:$D,$B132,'DRAFT 2'!$A:$A,"&gt;="&amp;DATE(2026,7,22),'DRAFT 2'!$A:$A,"&lt;"&amp;DATE(2026,IF(7=12,7+1,7+1),1))</f>
        <v/>
      </c>
      <c r="FY132" s="116">
        <f>SUM(FU132:FX132)</f>
        <v/>
      </c>
      <c r="GI132" s="116">
        <f>IFERROR(LOOKUP(2,1/('DRAFT 2'!$D:$D=$B132)*('DRAFT 2'!$A:$A&gt;=DATE(2026,8,1))*('DRAFT 2'!$A:$A&lt;DATE(2026,IF(8=12,8+1,8+1),1)),'DRAFT 2'!$A:$A),"")</f>
        <v/>
      </c>
      <c r="GJ132" s="116">
        <f>COUNTIFS('DRAFT 2'!$D:$D,$B132,'DRAFT 2'!$A:$A,"&gt;="&amp;DATE(2026,8,1),'DRAFT 2'!$A:$A,"&lt;="&amp;DATE(2026,8,7))</f>
        <v/>
      </c>
      <c r="GK132" s="116">
        <f>COUNTIFS('DRAFT 2'!$D:$D,$B132,'DRAFT 2'!$A:$A,"&gt;="&amp;DATE(2026,8,8),'DRAFT 2'!$A:$A,"&lt;="&amp;DATE(2026,8,14))</f>
        <v/>
      </c>
      <c r="GL132" s="116">
        <f>COUNTIFS('DRAFT 2'!$D:$D,$B132,'DRAFT 2'!$A:$A,"&gt;="&amp;DATE(2026,8,15),'DRAFT 2'!$A:$A,"&lt;="&amp;DATE(2026,8,21))</f>
        <v/>
      </c>
      <c r="GM132" s="116">
        <f>COUNTIFS('DRAFT 2'!$D:$D,$B132,'DRAFT 2'!$A:$A,"&gt;="&amp;DATE(2026,8,22),'DRAFT 2'!$A:$A,"&lt;"&amp;DATE(2026,IF(8=12,8+1,8+1),1))</f>
        <v/>
      </c>
      <c r="GN132" s="116">
        <f>SUM(GJ132:GM132)</f>
        <v/>
      </c>
      <c r="GX132" s="116">
        <f>IFERROR(LOOKUP(2,1/('DRAFT 2'!$D:$D=$B132)*('DRAFT 2'!$A:$A&gt;=DATE(2026,9,1))*('DRAFT 2'!$A:$A&lt;DATE(2026,IF(9=12,9+1,9+1),1)),'DRAFT 2'!$A:$A),"")</f>
        <v/>
      </c>
      <c r="GY132" s="116">
        <f>COUNTIFS('DRAFT 2'!$D:$D,$B132,'DRAFT 2'!$A:$A,"&gt;="&amp;DATE(2026,9,1),'DRAFT 2'!$A:$A,"&lt;="&amp;DATE(2026,9,7))</f>
        <v/>
      </c>
      <c r="GZ132" s="116">
        <f>COUNTIFS('DRAFT 2'!$D:$D,$B132,'DRAFT 2'!$A:$A,"&gt;="&amp;DATE(2026,9,8),'DRAFT 2'!$A:$A,"&lt;="&amp;DATE(2026,9,14))</f>
        <v/>
      </c>
      <c r="HA132" s="116">
        <f>COUNTIFS('DRAFT 2'!$D:$D,$B132,'DRAFT 2'!$A:$A,"&gt;="&amp;DATE(2026,9,15),'DRAFT 2'!$A:$A,"&lt;="&amp;DATE(2026,9,21))</f>
        <v/>
      </c>
      <c r="HB132" s="116">
        <f>COUNTIFS('DRAFT 2'!$D:$D,$B132,'DRAFT 2'!$A:$A,"&gt;="&amp;DATE(2026,9,22),'DRAFT 2'!$A:$A,"&lt;"&amp;DATE(2026,IF(9=12,9+1,9+1),1))</f>
        <v/>
      </c>
      <c r="HC132" s="116">
        <f>SUM(GY132:HB132)</f>
        <v/>
      </c>
      <c r="HN132" s="116">
        <f>IFERROR(LOOKUP(2,1/('DRAFT 2'!$D:$D=$B132)*('DRAFT 2'!$A:$A&gt;=DATE(2026,10,1))*('DRAFT 2'!$A:$A&lt;DATE(2026,IF(10=12,10+1,10+1),1)),'DRAFT 2'!$A:$A),"")</f>
        <v/>
      </c>
      <c r="HO132" s="116">
        <f>COUNTIFS('DRAFT 2'!$D:$D,$B132,'DRAFT 2'!$A:$A,"&gt;="&amp;DATE(2026,10,1),'DRAFT 2'!$A:$A,"&lt;="&amp;DATE(2026,10,7))</f>
        <v/>
      </c>
      <c r="HP132" s="116">
        <f>COUNTIFS('DRAFT 2'!$D:$D,$B132,'DRAFT 2'!$A:$A,"&gt;="&amp;DATE(2026,10,8),'DRAFT 2'!$A:$A,"&lt;="&amp;DATE(2026,10,14))</f>
        <v/>
      </c>
      <c r="HQ132" s="116">
        <f>COUNTIFS('DRAFT 2'!$D:$D,$B132,'DRAFT 2'!$A:$A,"&gt;="&amp;DATE(2026,10,15),'DRAFT 2'!$A:$A,"&lt;="&amp;DATE(2026,10,21))</f>
        <v/>
      </c>
      <c r="HR132" s="116">
        <f>COUNTIFS('DRAFT 2'!$D:$D,$B132,'DRAFT 2'!$A:$A,"&gt;="&amp;DATE(2026,10,22),'DRAFT 2'!$A:$A,"&lt;"&amp;DATE(2026,IF(10=12,10+1,10+1),1))</f>
        <v/>
      </c>
      <c r="HS132" s="116">
        <f>SUM(HO132:HR132)</f>
        <v/>
      </c>
      <c r="IC132" s="116">
        <f>IFERROR(LOOKUP(2,1/('DRAFT 2'!$D:$D=$B132)*('DRAFT 2'!$A:$A&gt;=DATE(2026,11,1))*('DRAFT 2'!$A:$A&lt;DATE(2026,IF(11=12,11+1,11+1),1)),'DRAFT 2'!$A:$A),"")</f>
        <v/>
      </c>
      <c r="ID132" s="116">
        <f>COUNTIFS('DRAFT 2'!$D:$D,$B132,'DRAFT 2'!$A:$A,"&gt;="&amp;DATE(2026,11,1),'DRAFT 2'!$A:$A,"&lt;="&amp;DATE(2026,11,7))</f>
        <v/>
      </c>
      <c r="IE132" s="116">
        <f>COUNTIFS('DRAFT 2'!$D:$D,$B132,'DRAFT 2'!$A:$A,"&gt;="&amp;DATE(2026,11,8),'DRAFT 2'!$A:$A,"&lt;="&amp;DATE(2026,11,14))</f>
        <v/>
      </c>
      <c r="IF132" s="116">
        <f>COUNTIFS('DRAFT 2'!$D:$D,$B132,'DRAFT 2'!$A:$A,"&gt;="&amp;DATE(2026,11,15),'DRAFT 2'!$A:$A,"&lt;="&amp;DATE(2026,11,21))</f>
        <v/>
      </c>
      <c r="IG132" s="116">
        <f>COUNTIFS('DRAFT 2'!$D:$D,$B132,'DRAFT 2'!$A:$A,"&gt;="&amp;DATE(2026,11,22),'DRAFT 2'!$A:$A,"&lt;"&amp;DATE(2026,IF(11=12,11+1,11+1),1))</f>
        <v/>
      </c>
      <c r="IH132" s="116">
        <f>SUM(ID132:IG132)</f>
        <v/>
      </c>
      <c r="IR132" s="116">
        <f>IFERROR(LOOKUP(2,1/('DRAFT 2'!$D:$D=$B132)*('DRAFT 2'!$A:$A&gt;=DATE(2026,12,1))*('DRAFT 2'!$A:$A&lt;DATE(2026,IF(12=12,12+1,12+1),1)),'DRAFT 2'!$A:$A),"")</f>
        <v/>
      </c>
      <c r="IS132" s="116">
        <f>COUNTIFS('DRAFT 2'!$D:$D,$B132,'DRAFT 2'!$A:$A,"&gt;="&amp;DATE(2026,12,1),'DRAFT 2'!$A:$A,"&lt;="&amp;DATE(2026,12,7))</f>
        <v/>
      </c>
      <c r="IT132" s="116">
        <f>COUNTIFS('DRAFT 2'!$D:$D,$B132,'DRAFT 2'!$A:$A,"&gt;="&amp;DATE(2026,12,8),'DRAFT 2'!$A:$A,"&lt;="&amp;DATE(2026,12,14))</f>
        <v/>
      </c>
      <c r="IU132" s="116">
        <f>COUNTIFS('DRAFT 2'!$D:$D,$B132,'DRAFT 2'!$A:$A,"&gt;="&amp;DATE(2026,12,15),'DRAFT 2'!$A:$A,"&lt;="&amp;DATE(2026,12,21))</f>
        <v/>
      </c>
      <c r="IV132" s="116">
        <f>COUNTIFS('DRAFT 2'!$D:$D,$B132,'DRAFT 2'!$A:$A,"&gt;="&amp;DATE(2026,12,22),'DRAFT 2'!$A:$A,"&lt;"&amp;DATE(2026,IF(12=12,12+1,12+1),1))</f>
        <v/>
      </c>
      <c r="IW132" s="116">
        <f>SUM(IS132:IV132)</f>
        <v/>
      </c>
    </row>
    <row r="133">
      <c r="A133" s="116">
        <f>IFERROR(INDEX('DRAFT 1'!$A:$A,MATCH($B133,'DRAFT 1'!$B:$B,0)),"")</f>
        <v/>
      </c>
      <c r="C133" s="116">
        <f>IFERROR(INDEX('DRAFT 1'!$C:$C,MATCH($B133,'DRAFT 1'!$B:$B,0)),"")</f>
        <v/>
      </c>
      <c r="D133" s="116">
        <f>IFERROR(INDEX('DRAFT 1'!$D:$D,MATCH($B133,'DRAFT 1'!$B:$B,0)),"")</f>
        <v/>
      </c>
      <c r="E133" s="116">
        <f>IFERROR(INDEX('DRAFT 1'!$E:$E,MATCH($B133,'DRAFT 1'!$B:$B,0)),"")</f>
        <v/>
      </c>
      <c r="F133" s="116">
        <f>IFERROR(INDEX('DRAFT 1'!$F:$F,MATCH($B133,'DRAFT 1'!$B:$B,0)),"")</f>
        <v/>
      </c>
      <c r="G133" s="116">
        <f>IFERROR(INDEX('DRAFT 1'!$G:$G,MATCH($B133,'DRAFT 1'!$B:$B,0)),"")</f>
        <v/>
      </c>
      <c r="H133" s="116">
        <f>IFERROR(INDEX('DRAFT 1'!$H:$H,MATCH($B133,'DRAFT 1'!$B:$B,0)),"")</f>
        <v/>
      </c>
      <c r="I133" s="116">
        <f>IFERROR(INDEX('DRAFT 1'!$I:$I,MATCH($B133,'DRAFT 1'!$B:$B,0)),"")</f>
        <v/>
      </c>
      <c r="K133" s="116">
        <f>IFERROR(INDEX('DRAFT 1'!$AL:$AL,MATCH($B133,'DRAFT 1'!$B:$B,0)),"")</f>
        <v/>
      </c>
      <c r="L133" s="116">
        <f>IFERROR(INDEX('DRAFT 1'!$J:$J,MATCH($B133,'DRAFT 1'!$B:$B,0)),"")</f>
        <v/>
      </c>
      <c r="M133" s="116">
        <f>IFERROR(INDEX('DRAFT 1'!$K:$K,MATCH($B133,'DRAFT 1'!$B:$B,0)),"")</f>
        <v/>
      </c>
      <c r="P133" s="116">
        <f>IFERROR(INDEX('DRAFT 1'!$L:$L,MATCH($B133,'DRAFT 1'!$B:$B,0)),"")</f>
        <v/>
      </c>
      <c r="Q133" s="116">
        <f>IFERROR(INDEX('DRAFT 1'!$M:$M,MATCH($B133,'DRAFT 1'!$B:$B,0)),"")</f>
        <v/>
      </c>
      <c r="R133" s="116">
        <f>IFERROR(INDEX('DRAFT 1'!$N:$N,MATCH($B133,'DRAFT 1'!$B:$B,0)),"")</f>
        <v/>
      </c>
      <c r="S133" s="116">
        <f>IFERROR(INDEX('DRAFT 1'!$O:$O,MATCH($B133,'DRAFT 1'!$B:$B,0)),"")</f>
        <v/>
      </c>
      <c r="T133" s="116">
        <f>IFERROR(INDEX('DRAFT 1'!$P:$P,MATCH($B133,'DRAFT 1'!$B:$B,0)),"")</f>
        <v/>
      </c>
      <c r="U133" s="116">
        <f>IFERROR(INDEX('DRAFT 1'!$Q:$Q,MATCH($B133,'DRAFT 1'!$B:$B,0)),"")</f>
        <v/>
      </c>
      <c r="V133" s="116">
        <f>IFERROR(INDEX('DRAFT 1'!$R:$R,MATCH($B133,'DRAFT 1'!$B:$B,0)),"")</f>
        <v/>
      </c>
      <c r="W133" s="116">
        <f>IFERROR(INDEX('DRAFT 1'!$S:$S,MATCH($B133,'DRAFT 1'!$B:$B,0)),"")</f>
        <v/>
      </c>
      <c r="X133" s="116">
        <f>IFERROR(INDEX('DRAFT 1'!$T:$T,MATCH($B133,'DRAFT 1'!$B:$B,0)),"")</f>
        <v/>
      </c>
      <c r="Z133" s="116">
        <f>IFERROR(INDEX('DRAFT 1'!$U:$U,MATCH($B133,'DRAFT 1'!$B:$B,0)),"")</f>
        <v/>
      </c>
      <c r="AA133" s="116">
        <f>IFERROR(INDEX('DRAFT 1'!$V:$V,MATCH($B133,'DRAFT 1'!$B:$B,0)),"")</f>
        <v/>
      </c>
      <c r="AB133" s="116">
        <f>IFERROR(INDEX('DRAFT 1'!$W:$W,MATCH($B133,'DRAFT 1'!$B:$B,0)),"")</f>
        <v/>
      </c>
      <c r="AC133" s="116">
        <f>IFERROR(INDEX('DRAFT 1'!$X:$X,MATCH($B133,'DRAFT 1'!$B:$B,0)),"")</f>
        <v/>
      </c>
      <c r="AD133" s="116">
        <f>IFERROR(INDEX('DRAFT 1'!$Y:$Y,MATCH($B133,'DRAFT 1'!$B:$B,0)),"")</f>
        <v/>
      </c>
      <c r="AE133" s="116">
        <f>IFERROR(INDEX('DRAFT 1'!$Z:$Z,MATCH($B133,'DRAFT 1'!$B:$B,0)),"")</f>
        <v/>
      </c>
      <c r="AF133" s="116">
        <f>IFERROR(INDEX('DRAFT 1'!$AA:$AA,MATCH($B133,'DRAFT 1'!$B:$B,0)),"")</f>
        <v/>
      </c>
      <c r="AG133" s="116">
        <f>IFERROR(INDEX('DRAFT 1'!$AB:$AB,MATCH($B133,'DRAFT 1'!$B:$B,0)),"")</f>
        <v/>
      </c>
      <c r="AH133" s="116">
        <f>IFERROR(INDEX('DRAFT 1'!$AC:$AC,MATCH($B133,'DRAFT 1'!$B:$B,0)),"")</f>
        <v/>
      </c>
      <c r="AI133" s="116">
        <f>IFERROR(INDEX('DRAFT 1'!$AD:$AD,MATCH($B133,'DRAFT 1'!$B:$B,0)),"")</f>
        <v/>
      </c>
      <c r="AJ133" s="116">
        <f>IFERROR(INDEX('DRAFT 1'!$AE:$AE,MATCH($B133,'DRAFT 1'!$B:$B,0)),"")</f>
        <v/>
      </c>
      <c r="AK133" s="116">
        <f>IFERROR(INDEX('DRAFT 1'!$AG:$AG,MATCH($B133,'DRAFT 1'!$B:$B,0)),"")</f>
        <v/>
      </c>
      <c r="AL133" s="116">
        <f>IFERROR(INDEX('DRAFT 1'!$AH:$AH,MATCH($B133,'DRAFT 1'!$B:$B,0)),"")</f>
        <v/>
      </c>
      <c r="AM133" s="116">
        <f>IFERROR(INDEX('DRAFT 1'!$AI:$AI,MATCH($B133,'DRAFT 1'!$B:$B,0)),"")</f>
        <v/>
      </c>
      <c r="AN133" s="116">
        <f>IFERROR(INDEX('DRAFT 1'!$AJ:$AJ,MATCH($B133,'DRAFT 1'!$B:$B,0)),"")</f>
        <v/>
      </c>
      <c r="AO133" s="116">
        <f>IFERROR(Y133/AN133,0)</f>
        <v/>
      </c>
      <c r="AP133" s="116">
        <f>IFERROR(INDEX('DRAFT 1'!$AK:$AK,MATCH($B133,'DRAFT 1'!$B:$B,0)),"")</f>
        <v/>
      </c>
      <c r="AR133" s="116">
        <f>IFERROR(LOOKUP(2,1/('DRAFT 2'!$D:$D=$B133),'DRAFT 2'!$I:$I),"")</f>
        <v/>
      </c>
      <c r="AS133" s="116">
        <f>IFERROR(LOOKUP(2,1/('DRAFT 2'!$D:$D=$B133),'DRAFT 2'!$T:$T),"")</f>
        <v/>
      </c>
      <c r="AT133" s="116">
        <f>IFERROR(LOOKUP(2,1/('DRAFT 2'!$D:$D=$B133),'DRAFT 2'!$A:$A),"")</f>
        <v/>
      </c>
      <c r="AU133" s="116">
        <f>IFERROR(LOOKUP(2,1/('DRAFT 2'!$D:$D=$B133),'DRAFT 2'!$R:$R),"")</f>
        <v/>
      </c>
      <c r="AV133" s="116">
        <f>IFERROR(LOOKUP(2,1/('DRAFT 2'!$D:$D=$B133),'DRAFT 2'!$S:$S),"")</f>
        <v/>
      </c>
      <c r="AX133" s="116">
        <f>IFERROR(LOOKUP(2,1/('DRAFT 2'!$D:$D=$B133),'DRAFT 2'!$M:$M),"")</f>
        <v/>
      </c>
      <c r="AY133" s="116">
        <f>IFERROR(LOOKUP(2,1/('DRAFT 2'!$D:$D=$B133),'DRAFT 2'!$K:$K),"")</f>
        <v/>
      </c>
      <c r="BG133" s="116">
        <f>IFERROR(LOOKUP(2,1/('DRAFT 2'!$D:$D=$B133),'DRAFT 2'!$U:$U),"")</f>
        <v/>
      </c>
      <c r="BH133" s="116">
        <f>IFERROR(LOOKUP(2,1/('DRAFT 2'!$D:$D=$B133),'DRAFT 2'!$V:$V),"")</f>
        <v/>
      </c>
      <c r="CE133" s="116">
        <f>IFERROR(AJ133,0)</f>
        <v/>
      </c>
      <c r="CF133" s="116">
        <f>IFERROR(LOOKUP(2,1/('DRAFT 2'!$D:$D=$B133)*('DRAFT 2'!$A:$A&gt;=DATE(2026,1,1))*('DRAFT 2'!$A:$A&lt;DATE(2026,IF(1=12,1+1,1+1),1)),'DRAFT 2'!$A:$A),"")</f>
        <v/>
      </c>
      <c r="CG133" s="116">
        <f>COUNTIFS('DRAFT 2'!$D:$D,$B133,'DRAFT 2'!$A:$A,"&gt;="&amp;DATE(2026,1,1),'DRAFT 2'!$A:$A,"&lt;="&amp;DATE(2026,1,7))</f>
        <v/>
      </c>
      <c r="CH133" s="116">
        <f>COUNTIFS('DRAFT 2'!$D:$D,$B133,'DRAFT 2'!$A:$A,"&gt;="&amp;DATE(2026,1,8),'DRAFT 2'!$A:$A,"&lt;="&amp;DATE(2026,1,14))</f>
        <v/>
      </c>
      <c r="CI133" s="116">
        <f>COUNTIFS('DRAFT 2'!$D:$D,$B133,'DRAFT 2'!$A:$A,"&gt;="&amp;DATE(2026,1,15),'DRAFT 2'!$A:$A,"&lt;="&amp;DATE(2026,1,21))</f>
        <v/>
      </c>
      <c r="CJ133" s="116">
        <f>COUNTIFS('DRAFT 2'!$D:$D,$B133,'DRAFT 2'!$A:$A,"&gt;="&amp;DATE(2026,1,22),'DRAFT 2'!$A:$A,"&lt;"&amp;DATE(2026,IF(1=12,1+1,1+1),1))</f>
        <v/>
      </c>
      <c r="CK133" s="116">
        <f>SUM(CG133:CJ133)</f>
        <v/>
      </c>
      <c r="CT133" s="116" t="n">
        <v>0</v>
      </c>
      <c r="CU133" s="116">
        <f>IFERROR(LOOKUP(2,1/('DRAFT 2'!$D:$D=$B133)*('DRAFT 2'!$A:$A&gt;=DATE(2026,2,1))*('DRAFT 2'!$A:$A&lt;DATE(2026,IF(2=12,2+1,2+1),1)),'DRAFT 2'!$A:$A),"")</f>
        <v/>
      </c>
      <c r="CV133" s="116">
        <f>COUNTIFS('DRAFT 2'!$D:$D,$B133,'DRAFT 2'!$A:$A,"&gt;="&amp;DATE(2026,2,1),'DRAFT 2'!$A:$A,"&lt;="&amp;DATE(2026,2,7))</f>
        <v/>
      </c>
      <c r="CW133" s="116">
        <f>COUNTIFS('DRAFT 2'!$D:$D,$B133,'DRAFT 2'!$A:$A,"&gt;="&amp;DATE(2026,2,8),'DRAFT 2'!$A:$A,"&lt;="&amp;DATE(2026,2,14))</f>
        <v/>
      </c>
      <c r="CX133" s="116">
        <f>COUNTIFS('DRAFT 2'!$D:$D,$B133,'DRAFT 2'!$A:$A,"&gt;="&amp;DATE(2026,2,15),'DRAFT 2'!$A:$A,"&lt;="&amp;DATE(2026,2,21))</f>
        <v/>
      </c>
      <c r="CY133" s="116">
        <f>COUNTIFS('DRAFT 2'!$D:$D,$B133,'DRAFT 2'!$A:$A,"&gt;="&amp;DATE(2026,2,22),'DRAFT 2'!$A:$A,"&lt;"&amp;DATE(2026,IF(2=12,2+1,2+1),1))</f>
        <v/>
      </c>
      <c r="CZ133" s="116">
        <f>SUM(CV133:CY133)</f>
        <v/>
      </c>
      <c r="DJ133" s="116">
        <f>IFERROR(LOOKUP(2,1/('DRAFT 2'!$D:$D=$B133)*('DRAFT 2'!$A:$A&gt;=DATE(2026,3,1))*('DRAFT 2'!$A:$A&lt;DATE(2026,IF(3=12,3+1,3+1),1)),'DRAFT 2'!$A:$A),"")</f>
        <v/>
      </c>
      <c r="DK133" s="116">
        <f>COUNTIFS('DRAFT 2'!$D:$D,$B133,'DRAFT 2'!$A:$A,"&gt;="&amp;DATE(2026,3,1),'DRAFT 2'!$A:$A,"&lt;="&amp;DATE(2026,3,7))</f>
        <v/>
      </c>
      <c r="DL133" s="116">
        <f>COUNTIFS('DRAFT 2'!$D:$D,$B133,'DRAFT 2'!$A:$A,"&gt;="&amp;DATE(2026,3,8),'DRAFT 2'!$A:$A,"&lt;="&amp;DATE(2026,3,14))</f>
        <v/>
      </c>
      <c r="DM133" s="116">
        <f>COUNTIFS('DRAFT 2'!$D:$D,$B133,'DRAFT 2'!$A:$A,"&gt;="&amp;DATE(2026,3,15),'DRAFT 2'!$A:$A,"&lt;="&amp;DATE(2026,3,21))</f>
        <v/>
      </c>
      <c r="DN133" s="116">
        <f>COUNTIFS('DRAFT 2'!$D:$D,$B133,'DRAFT 2'!$A:$A,"&gt;="&amp;DATE(2026,3,22),'DRAFT 2'!$A:$A,"&lt;"&amp;DATE(2026,IF(3=12,3+1,3+1),1))</f>
        <v/>
      </c>
      <c r="DO133" s="116">
        <f>SUM(DK133:DN133)</f>
        <v/>
      </c>
      <c r="DZ133" s="116">
        <f>IFERROR(LOOKUP(2,1/('DRAFT 2'!$D:$D=$B133)*('DRAFT 2'!$A:$A&gt;=DATE(2026,4,1))*('DRAFT 2'!$A:$A&lt;DATE(2026,IF(4=12,4+1,4+1),1)),'DRAFT 2'!$A:$A),"")</f>
        <v/>
      </c>
      <c r="EA133" s="116">
        <f>COUNTIFS('DRAFT 2'!$D:$D,$B133,'DRAFT 2'!$A:$A,"&gt;="&amp;DATE(2026,4,1),'DRAFT 2'!$A:$A,"&lt;="&amp;DATE(2026,4,7))</f>
        <v/>
      </c>
      <c r="EB133" s="116">
        <f>COUNTIFS('DRAFT 2'!$D:$D,$B133,'DRAFT 2'!$A:$A,"&gt;="&amp;DATE(2026,4,8),'DRAFT 2'!$A:$A,"&lt;="&amp;DATE(2026,4,14))</f>
        <v/>
      </c>
      <c r="EC133" s="116">
        <f>COUNTIFS('DRAFT 2'!$D:$D,$B133,'DRAFT 2'!$A:$A,"&gt;="&amp;DATE(2026,4,15),'DRAFT 2'!$A:$A,"&lt;="&amp;DATE(2026,4,21))</f>
        <v/>
      </c>
      <c r="ED133" s="116">
        <f>COUNTIFS('DRAFT 2'!$D:$D,$B133,'DRAFT 2'!$A:$A,"&gt;="&amp;DATE(2026,4,22),'DRAFT 2'!$A:$A,"&lt;"&amp;DATE(2026,IF(4=12,4+1,4+1),1))</f>
        <v/>
      </c>
      <c r="EE133" s="116">
        <f>SUM(EA133:ED133)</f>
        <v/>
      </c>
      <c r="EO133" s="116">
        <f>IFERROR(LOOKUP(2,1/('DRAFT 2'!$D:$D=$B133)*('DRAFT 2'!$A:$A&gt;=DATE(2026,5,1))*('DRAFT 2'!$A:$A&lt;DATE(2026,IF(5=12,5+1,5+1),1)),'DRAFT 2'!$A:$A),"")</f>
        <v/>
      </c>
      <c r="EP133" s="116">
        <f>COUNTIFS('DRAFT 2'!$D:$D,$B133,'DRAFT 2'!$A:$A,"&gt;="&amp;DATE(2026,5,1),'DRAFT 2'!$A:$A,"&lt;="&amp;DATE(2026,5,7))</f>
        <v/>
      </c>
      <c r="EQ133" s="116">
        <f>COUNTIFS('DRAFT 2'!$D:$D,$B133,'DRAFT 2'!$A:$A,"&gt;="&amp;DATE(2026,5,8),'DRAFT 2'!$A:$A,"&lt;="&amp;DATE(2026,5,14))</f>
        <v/>
      </c>
      <c r="ER133" s="116">
        <f>COUNTIFS('DRAFT 2'!$D:$D,$B133,'DRAFT 2'!$A:$A,"&gt;="&amp;DATE(2026,5,15),'DRAFT 2'!$A:$A,"&lt;="&amp;DATE(2026,5,21))</f>
        <v/>
      </c>
      <c r="ES133" s="116">
        <f>COUNTIFS('DRAFT 2'!$D:$D,$B133,'DRAFT 2'!$A:$A,"&gt;="&amp;DATE(2026,5,22),'DRAFT 2'!$A:$A,"&lt;"&amp;DATE(2026,IF(5=12,5+1,5+1),1))</f>
        <v/>
      </c>
      <c r="ET133" s="116">
        <f>SUM(EP133:ES133)</f>
        <v/>
      </c>
      <c r="FD133" s="116">
        <f>IFERROR(LOOKUP(2,1/('DRAFT 2'!$D:$D=$B133)*('DRAFT 2'!$A:$A&gt;=DATE(2026,6,1))*('DRAFT 2'!$A:$A&lt;DATE(2026,IF(6=12,6+1,6+1),1)),'DRAFT 2'!$A:$A),"")</f>
        <v/>
      </c>
      <c r="FE133" s="116">
        <f>COUNTIFS('DRAFT 2'!$D:$D,$B133,'DRAFT 2'!$A:$A,"&gt;="&amp;DATE(2026,6,1),'DRAFT 2'!$A:$A,"&lt;="&amp;DATE(2026,6,7))</f>
        <v/>
      </c>
      <c r="FF133" s="116">
        <f>COUNTIFS('DRAFT 2'!$D:$D,$B133,'DRAFT 2'!$A:$A,"&gt;="&amp;DATE(2026,6,8),'DRAFT 2'!$A:$A,"&lt;="&amp;DATE(2026,6,14))</f>
        <v/>
      </c>
      <c r="FG133" s="116">
        <f>COUNTIFS('DRAFT 2'!$D:$D,$B133,'DRAFT 2'!$A:$A,"&gt;="&amp;DATE(2026,6,15),'DRAFT 2'!$A:$A,"&lt;="&amp;DATE(2026,6,21))</f>
        <v/>
      </c>
      <c r="FH133" s="116">
        <f>COUNTIFS('DRAFT 2'!$D:$D,$B133,'DRAFT 2'!$A:$A,"&gt;="&amp;DATE(2026,6,22),'DRAFT 2'!$A:$A,"&lt;"&amp;DATE(2026,IF(6=12,6+1,6+1),1))</f>
        <v/>
      </c>
      <c r="FI133" s="116">
        <f>SUM(FE133:FH133)</f>
        <v/>
      </c>
      <c r="FT133" s="116">
        <f>IFERROR(LOOKUP(2,1/('DRAFT 2'!$D:$D=$B133)*('DRAFT 2'!$A:$A&gt;=DATE(2026,7,1))*('DRAFT 2'!$A:$A&lt;DATE(2026,IF(7=12,7+1,7+1),1)),'DRAFT 2'!$A:$A),"")</f>
        <v/>
      </c>
      <c r="FU133" s="116">
        <f>COUNTIFS('DRAFT 2'!$D:$D,$B133,'DRAFT 2'!$A:$A,"&gt;="&amp;DATE(2026,7,1),'DRAFT 2'!$A:$A,"&lt;="&amp;DATE(2026,7,7))</f>
        <v/>
      </c>
      <c r="FV133" s="116">
        <f>COUNTIFS('DRAFT 2'!$D:$D,$B133,'DRAFT 2'!$A:$A,"&gt;="&amp;DATE(2026,7,8),'DRAFT 2'!$A:$A,"&lt;="&amp;DATE(2026,7,14))</f>
        <v/>
      </c>
      <c r="FW133" s="116">
        <f>COUNTIFS('DRAFT 2'!$D:$D,$B133,'DRAFT 2'!$A:$A,"&gt;="&amp;DATE(2026,7,15),'DRAFT 2'!$A:$A,"&lt;="&amp;DATE(2026,7,21))</f>
        <v/>
      </c>
      <c r="FX133" s="116">
        <f>COUNTIFS('DRAFT 2'!$D:$D,$B133,'DRAFT 2'!$A:$A,"&gt;="&amp;DATE(2026,7,22),'DRAFT 2'!$A:$A,"&lt;"&amp;DATE(2026,IF(7=12,7+1,7+1),1))</f>
        <v/>
      </c>
      <c r="FY133" s="116">
        <f>SUM(FU133:FX133)</f>
        <v/>
      </c>
      <c r="GI133" s="116">
        <f>IFERROR(LOOKUP(2,1/('DRAFT 2'!$D:$D=$B133)*('DRAFT 2'!$A:$A&gt;=DATE(2026,8,1))*('DRAFT 2'!$A:$A&lt;DATE(2026,IF(8=12,8+1,8+1),1)),'DRAFT 2'!$A:$A),"")</f>
        <v/>
      </c>
      <c r="GJ133" s="116">
        <f>COUNTIFS('DRAFT 2'!$D:$D,$B133,'DRAFT 2'!$A:$A,"&gt;="&amp;DATE(2026,8,1),'DRAFT 2'!$A:$A,"&lt;="&amp;DATE(2026,8,7))</f>
        <v/>
      </c>
      <c r="GK133" s="116">
        <f>COUNTIFS('DRAFT 2'!$D:$D,$B133,'DRAFT 2'!$A:$A,"&gt;="&amp;DATE(2026,8,8),'DRAFT 2'!$A:$A,"&lt;="&amp;DATE(2026,8,14))</f>
        <v/>
      </c>
      <c r="GL133" s="116">
        <f>COUNTIFS('DRAFT 2'!$D:$D,$B133,'DRAFT 2'!$A:$A,"&gt;="&amp;DATE(2026,8,15),'DRAFT 2'!$A:$A,"&lt;="&amp;DATE(2026,8,21))</f>
        <v/>
      </c>
      <c r="GM133" s="116">
        <f>COUNTIFS('DRAFT 2'!$D:$D,$B133,'DRAFT 2'!$A:$A,"&gt;="&amp;DATE(2026,8,22),'DRAFT 2'!$A:$A,"&lt;"&amp;DATE(2026,IF(8=12,8+1,8+1),1))</f>
        <v/>
      </c>
      <c r="GN133" s="116">
        <f>SUM(GJ133:GM133)</f>
        <v/>
      </c>
      <c r="GX133" s="116">
        <f>IFERROR(LOOKUP(2,1/('DRAFT 2'!$D:$D=$B133)*('DRAFT 2'!$A:$A&gt;=DATE(2026,9,1))*('DRAFT 2'!$A:$A&lt;DATE(2026,IF(9=12,9+1,9+1),1)),'DRAFT 2'!$A:$A),"")</f>
        <v/>
      </c>
      <c r="GY133" s="116">
        <f>COUNTIFS('DRAFT 2'!$D:$D,$B133,'DRAFT 2'!$A:$A,"&gt;="&amp;DATE(2026,9,1),'DRAFT 2'!$A:$A,"&lt;="&amp;DATE(2026,9,7))</f>
        <v/>
      </c>
      <c r="GZ133" s="116">
        <f>COUNTIFS('DRAFT 2'!$D:$D,$B133,'DRAFT 2'!$A:$A,"&gt;="&amp;DATE(2026,9,8),'DRAFT 2'!$A:$A,"&lt;="&amp;DATE(2026,9,14))</f>
        <v/>
      </c>
      <c r="HA133" s="116">
        <f>COUNTIFS('DRAFT 2'!$D:$D,$B133,'DRAFT 2'!$A:$A,"&gt;="&amp;DATE(2026,9,15),'DRAFT 2'!$A:$A,"&lt;="&amp;DATE(2026,9,21))</f>
        <v/>
      </c>
      <c r="HB133" s="116">
        <f>COUNTIFS('DRAFT 2'!$D:$D,$B133,'DRAFT 2'!$A:$A,"&gt;="&amp;DATE(2026,9,22),'DRAFT 2'!$A:$A,"&lt;"&amp;DATE(2026,IF(9=12,9+1,9+1),1))</f>
        <v/>
      </c>
      <c r="HC133" s="116">
        <f>SUM(GY133:HB133)</f>
        <v/>
      </c>
      <c r="HN133" s="116">
        <f>IFERROR(LOOKUP(2,1/('DRAFT 2'!$D:$D=$B133)*('DRAFT 2'!$A:$A&gt;=DATE(2026,10,1))*('DRAFT 2'!$A:$A&lt;DATE(2026,IF(10=12,10+1,10+1),1)),'DRAFT 2'!$A:$A),"")</f>
        <v/>
      </c>
      <c r="HO133" s="116">
        <f>COUNTIFS('DRAFT 2'!$D:$D,$B133,'DRAFT 2'!$A:$A,"&gt;="&amp;DATE(2026,10,1),'DRAFT 2'!$A:$A,"&lt;="&amp;DATE(2026,10,7))</f>
        <v/>
      </c>
      <c r="HP133" s="116">
        <f>COUNTIFS('DRAFT 2'!$D:$D,$B133,'DRAFT 2'!$A:$A,"&gt;="&amp;DATE(2026,10,8),'DRAFT 2'!$A:$A,"&lt;="&amp;DATE(2026,10,14))</f>
        <v/>
      </c>
      <c r="HQ133" s="116">
        <f>COUNTIFS('DRAFT 2'!$D:$D,$B133,'DRAFT 2'!$A:$A,"&gt;="&amp;DATE(2026,10,15),'DRAFT 2'!$A:$A,"&lt;="&amp;DATE(2026,10,21))</f>
        <v/>
      </c>
      <c r="HR133" s="116">
        <f>COUNTIFS('DRAFT 2'!$D:$D,$B133,'DRAFT 2'!$A:$A,"&gt;="&amp;DATE(2026,10,22),'DRAFT 2'!$A:$A,"&lt;"&amp;DATE(2026,IF(10=12,10+1,10+1),1))</f>
        <v/>
      </c>
      <c r="HS133" s="116">
        <f>SUM(HO133:HR133)</f>
        <v/>
      </c>
      <c r="IC133" s="116">
        <f>IFERROR(LOOKUP(2,1/('DRAFT 2'!$D:$D=$B133)*('DRAFT 2'!$A:$A&gt;=DATE(2026,11,1))*('DRAFT 2'!$A:$A&lt;DATE(2026,IF(11=12,11+1,11+1),1)),'DRAFT 2'!$A:$A),"")</f>
        <v/>
      </c>
      <c r="ID133" s="116">
        <f>COUNTIFS('DRAFT 2'!$D:$D,$B133,'DRAFT 2'!$A:$A,"&gt;="&amp;DATE(2026,11,1),'DRAFT 2'!$A:$A,"&lt;="&amp;DATE(2026,11,7))</f>
        <v/>
      </c>
      <c r="IE133" s="116">
        <f>COUNTIFS('DRAFT 2'!$D:$D,$B133,'DRAFT 2'!$A:$A,"&gt;="&amp;DATE(2026,11,8),'DRAFT 2'!$A:$A,"&lt;="&amp;DATE(2026,11,14))</f>
        <v/>
      </c>
      <c r="IF133" s="116">
        <f>COUNTIFS('DRAFT 2'!$D:$D,$B133,'DRAFT 2'!$A:$A,"&gt;="&amp;DATE(2026,11,15),'DRAFT 2'!$A:$A,"&lt;="&amp;DATE(2026,11,21))</f>
        <v/>
      </c>
      <c r="IG133" s="116">
        <f>COUNTIFS('DRAFT 2'!$D:$D,$B133,'DRAFT 2'!$A:$A,"&gt;="&amp;DATE(2026,11,22),'DRAFT 2'!$A:$A,"&lt;"&amp;DATE(2026,IF(11=12,11+1,11+1),1))</f>
        <v/>
      </c>
      <c r="IH133" s="116">
        <f>SUM(ID133:IG133)</f>
        <v/>
      </c>
      <c r="IR133" s="116">
        <f>IFERROR(LOOKUP(2,1/('DRAFT 2'!$D:$D=$B133)*('DRAFT 2'!$A:$A&gt;=DATE(2026,12,1))*('DRAFT 2'!$A:$A&lt;DATE(2026,IF(12=12,12+1,12+1),1)),'DRAFT 2'!$A:$A),"")</f>
        <v/>
      </c>
      <c r="IS133" s="116">
        <f>COUNTIFS('DRAFT 2'!$D:$D,$B133,'DRAFT 2'!$A:$A,"&gt;="&amp;DATE(2026,12,1),'DRAFT 2'!$A:$A,"&lt;="&amp;DATE(2026,12,7))</f>
        <v/>
      </c>
      <c r="IT133" s="116">
        <f>COUNTIFS('DRAFT 2'!$D:$D,$B133,'DRAFT 2'!$A:$A,"&gt;="&amp;DATE(2026,12,8),'DRAFT 2'!$A:$A,"&lt;="&amp;DATE(2026,12,14))</f>
        <v/>
      </c>
      <c r="IU133" s="116">
        <f>COUNTIFS('DRAFT 2'!$D:$D,$B133,'DRAFT 2'!$A:$A,"&gt;="&amp;DATE(2026,12,15),'DRAFT 2'!$A:$A,"&lt;="&amp;DATE(2026,12,21))</f>
        <v/>
      </c>
      <c r="IV133" s="116">
        <f>COUNTIFS('DRAFT 2'!$D:$D,$B133,'DRAFT 2'!$A:$A,"&gt;="&amp;DATE(2026,12,22),'DRAFT 2'!$A:$A,"&lt;"&amp;DATE(2026,IF(12=12,12+1,12+1),1))</f>
        <v/>
      </c>
      <c r="IW133" s="116">
        <f>SUM(IS133:IV133)</f>
        <v/>
      </c>
    </row>
    <row r="134">
      <c r="A134" s="116">
        <f>IFERROR(INDEX('DRAFT 1'!$A:$A,MATCH($B134,'DRAFT 1'!$B:$B,0)),"")</f>
        <v/>
      </c>
      <c r="C134" s="116">
        <f>IFERROR(INDEX('DRAFT 1'!$C:$C,MATCH($B134,'DRAFT 1'!$B:$B,0)),"")</f>
        <v/>
      </c>
      <c r="D134" s="116">
        <f>IFERROR(INDEX('DRAFT 1'!$D:$D,MATCH($B134,'DRAFT 1'!$B:$B,0)),"")</f>
        <v/>
      </c>
      <c r="E134" s="116">
        <f>IFERROR(INDEX('DRAFT 1'!$E:$E,MATCH($B134,'DRAFT 1'!$B:$B,0)),"")</f>
        <v/>
      </c>
      <c r="F134" s="116">
        <f>IFERROR(INDEX('DRAFT 1'!$F:$F,MATCH($B134,'DRAFT 1'!$B:$B,0)),"")</f>
        <v/>
      </c>
      <c r="G134" s="116">
        <f>IFERROR(INDEX('DRAFT 1'!$G:$G,MATCH($B134,'DRAFT 1'!$B:$B,0)),"")</f>
        <v/>
      </c>
      <c r="H134" s="116">
        <f>IFERROR(INDEX('DRAFT 1'!$H:$H,MATCH($B134,'DRAFT 1'!$B:$B,0)),"")</f>
        <v/>
      </c>
      <c r="I134" s="116">
        <f>IFERROR(INDEX('DRAFT 1'!$I:$I,MATCH($B134,'DRAFT 1'!$B:$B,0)),"")</f>
        <v/>
      </c>
      <c r="K134" s="116">
        <f>IFERROR(INDEX('DRAFT 1'!$AL:$AL,MATCH($B134,'DRAFT 1'!$B:$B,0)),"")</f>
        <v/>
      </c>
      <c r="L134" s="116">
        <f>IFERROR(INDEX('DRAFT 1'!$J:$J,MATCH($B134,'DRAFT 1'!$B:$B,0)),"")</f>
        <v/>
      </c>
      <c r="M134" s="116">
        <f>IFERROR(INDEX('DRAFT 1'!$K:$K,MATCH($B134,'DRAFT 1'!$B:$B,0)),"")</f>
        <v/>
      </c>
      <c r="P134" s="116">
        <f>IFERROR(INDEX('DRAFT 1'!$L:$L,MATCH($B134,'DRAFT 1'!$B:$B,0)),"")</f>
        <v/>
      </c>
      <c r="Q134" s="116">
        <f>IFERROR(INDEX('DRAFT 1'!$M:$M,MATCH($B134,'DRAFT 1'!$B:$B,0)),"")</f>
        <v/>
      </c>
      <c r="R134" s="116">
        <f>IFERROR(INDEX('DRAFT 1'!$N:$N,MATCH($B134,'DRAFT 1'!$B:$B,0)),"")</f>
        <v/>
      </c>
      <c r="S134" s="116">
        <f>IFERROR(INDEX('DRAFT 1'!$O:$O,MATCH($B134,'DRAFT 1'!$B:$B,0)),"")</f>
        <v/>
      </c>
      <c r="T134" s="116">
        <f>IFERROR(INDEX('DRAFT 1'!$P:$P,MATCH($B134,'DRAFT 1'!$B:$B,0)),"")</f>
        <v/>
      </c>
      <c r="U134" s="116">
        <f>IFERROR(INDEX('DRAFT 1'!$Q:$Q,MATCH($B134,'DRAFT 1'!$B:$B,0)),"")</f>
        <v/>
      </c>
      <c r="V134" s="116">
        <f>IFERROR(INDEX('DRAFT 1'!$R:$R,MATCH($B134,'DRAFT 1'!$B:$B,0)),"")</f>
        <v/>
      </c>
      <c r="W134" s="116">
        <f>IFERROR(INDEX('DRAFT 1'!$S:$S,MATCH($B134,'DRAFT 1'!$B:$B,0)),"")</f>
        <v/>
      </c>
      <c r="X134" s="116">
        <f>IFERROR(INDEX('DRAFT 1'!$T:$T,MATCH($B134,'DRAFT 1'!$B:$B,0)),"")</f>
        <v/>
      </c>
      <c r="Z134" s="116">
        <f>IFERROR(INDEX('DRAFT 1'!$U:$U,MATCH($B134,'DRAFT 1'!$B:$B,0)),"")</f>
        <v/>
      </c>
      <c r="AA134" s="116">
        <f>IFERROR(INDEX('DRAFT 1'!$V:$V,MATCH($B134,'DRAFT 1'!$B:$B,0)),"")</f>
        <v/>
      </c>
      <c r="AB134" s="116">
        <f>IFERROR(INDEX('DRAFT 1'!$W:$W,MATCH($B134,'DRAFT 1'!$B:$B,0)),"")</f>
        <v/>
      </c>
      <c r="AC134" s="116">
        <f>IFERROR(INDEX('DRAFT 1'!$X:$X,MATCH($B134,'DRAFT 1'!$B:$B,0)),"")</f>
        <v/>
      </c>
      <c r="AD134" s="116">
        <f>IFERROR(INDEX('DRAFT 1'!$Y:$Y,MATCH($B134,'DRAFT 1'!$B:$B,0)),"")</f>
        <v/>
      </c>
      <c r="AE134" s="116">
        <f>IFERROR(INDEX('DRAFT 1'!$Z:$Z,MATCH($B134,'DRAFT 1'!$B:$B,0)),"")</f>
        <v/>
      </c>
      <c r="AF134" s="116">
        <f>IFERROR(INDEX('DRAFT 1'!$AA:$AA,MATCH($B134,'DRAFT 1'!$B:$B,0)),"")</f>
        <v/>
      </c>
      <c r="AG134" s="116">
        <f>IFERROR(INDEX('DRAFT 1'!$AB:$AB,MATCH($B134,'DRAFT 1'!$B:$B,0)),"")</f>
        <v/>
      </c>
      <c r="AH134" s="116">
        <f>IFERROR(INDEX('DRAFT 1'!$AC:$AC,MATCH($B134,'DRAFT 1'!$B:$B,0)),"")</f>
        <v/>
      </c>
      <c r="AI134" s="116">
        <f>IFERROR(INDEX('DRAFT 1'!$AD:$AD,MATCH($B134,'DRAFT 1'!$B:$B,0)),"")</f>
        <v/>
      </c>
      <c r="AJ134" s="116">
        <f>IFERROR(INDEX('DRAFT 1'!$AE:$AE,MATCH($B134,'DRAFT 1'!$B:$B,0)),"")</f>
        <v/>
      </c>
      <c r="AK134" s="116">
        <f>IFERROR(INDEX('DRAFT 1'!$AG:$AG,MATCH($B134,'DRAFT 1'!$B:$B,0)),"")</f>
        <v/>
      </c>
      <c r="AL134" s="116">
        <f>IFERROR(INDEX('DRAFT 1'!$AH:$AH,MATCH($B134,'DRAFT 1'!$B:$B,0)),"")</f>
        <v/>
      </c>
      <c r="AM134" s="116">
        <f>IFERROR(INDEX('DRAFT 1'!$AI:$AI,MATCH($B134,'DRAFT 1'!$B:$B,0)),"")</f>
        <v/>
      </c>
      <c r="AN134" s="116">
        <f>IFERROR(INDEX('DRAFT 1'!$AJ:$AJ,MATCH($B134,'DRAFT 1'!$B:$B,0)),"")</f>
        <v/>
      </c>
      <c r="AO134" s="116">
        <f>IFERROR(Y134/AN134,0)</f>
        <v/>
      </c>
      <c r="AP134" s="116">
        <f>IFERROR(INDEX('DRAFT 1'!$AK:$AK,MATCH($B134,'DRAFT 1'!$B:$B,0)),"")</f>
        <v/>
      </c>
      <c r="AR134" s="116">
        <f>IFERROR(LOOKUP(2,1/('DRAFT 2'!$D:$D=$B134),'DRAFT 2'!$I:$I),"")</f>
        <v/>
      </c>
      <c r="AS134" s="116">
        <f>IFERROR(LOOKUP(2,1/('DRAFT 2'!$D:$D=$B134),'DRAFT 2'!$T:$T),"")</f>
        <v/>
      </c>
      <c r="AT134" s="116">
        <f>IFERROR(LOOKUP(2,1/('DRAFT 2'!$D:$D=$B134),'DRAFT 2'!$A:$A),"")</f>
        <v/>
      </c>
      <c r="AU134" s="116">
        <f>IFERROR(LOOKUP(2,1/('DRAFT 2'!$D:$D=$B134),'DRAFT 2'!$R:$R),"")</f>
        <v/>
      </c>
      <c r="AV134" s="116">
        <f>IFERROR(LOOKUP(2,1/('DRAFT 2'!$D:$D=$B134),'DRAFT 2'!$S:$S),"")</f>
        <v/>
      </c>
      <c r="AX134" s="116">
        <f>IFERROR(LOOKUP(2,1/('DRAFT 2'!$D:$D=$B134),'DRAFT 2'!$M:$M),"")</f>
        <v/>
      </c>
      <c r="AY134" s="116">
        <f>IFERROR(LOOKUP(2,1/('DRAFT 2'!$D:$D=$B134),'DRAFT 2'!$K:$K),"")</f>
        <v/>
      </c>
      <c r="BG134" s="116">
        <f>IFERROR(LOOKUP(2,1/('DRAFT 2'!$D:$D=$B134),'DRAFT 2'!$U:$U),"")</f>
        <v/>
      </c>
      <c r="BH134" s="116">
        <f>IFERROR(LOOKUP(2,1/('DRAFT 2'!$D:$D=$B134),'DRAFT 2'!$V:$V),"")</f>
        <v/>
      </c>
      <c r="CE134" s="116">
        <f>IFERROR(AJ134,0)</f>
        <v/>
      </c>
      <c r="CF134" s="116">
        <f>IFERROR(LOOKUP(2,1/('DRAFT 2'!$D:$D=$B134)*('DRAFT 2'!$A:$A&gt;=DATE(2026,1,1))*('DRAFT 2'!$A:$A&lt;DATE(2026,IF(1=12,1+1,1+1),1)),'DRAFT 2'!$A:$A),"")</f>
        <v/>
      </c>
      <c r="CG134" s="116">
        <f>COUNTIFS('DRAFT 2'!$D:$D,$B134,'DRAFT 2'!$A:$A,"&gt;="&amp;DATE(2026,1,1),'DRAFT 2'!$A:$A,"&lt;="&amp;DATE(2026,1,7))</f>
        <v/>
      </c>
      <c r="CH134" s="116">
        <f>COUNTIFS('DRAFT 2'!$D:$D,$B134,'DRAFT 2'!$A:$A,"&gt;="&amp;DATE(2026,1,8),'DRAFT 2'!$A:$A,"&lt;="&amp;DATE(2026,1,14))</f>
        <v/>
      </c>
      <c r="CI134" s="116">
        <f>COUNTIFS('DRAFT 2'!$D:$D,$B134,'DRAFT 2'!$A:$A,"&gt;="&amp;DATE(2026,1,15),'DRAFT 2'!$A:$A,"&lt;="&amp;DATE(2026,1,21))</f>
        <v/>
      </c>
      <c r="CJ134" s="116">
        <f>COUNTIFS('DRAFT 2'!$D:$D,$B134,'DRAFT 2'!$A:$A,"&gt;="&amp;DATE(2026,1,22),'DRAFT 2'!$A:$A,"&lt;"&amp;DATE(2026,IF(1=12,1+1,1+1),1))</f>
        <v/>
      </c>
      <c r="CK134" s="116">
        <f>SUM(CG134:CJ134)</f>
        <v/>
      </c>
      <c r="CT134" s="116" t="n">
        <v>0</v>
      </c>
      <c r="CU134" s="116">
        <f>IFERROR(LOOKUP(2,1/('DRAFT 2'!$D:$D=$B134)*('DRAFT 2'!$A:$A&gt;=DATE(2026,2,1))*('DRAFT 2'!$A:$A&lt;DATE(2026,IF(2=12,2+1,2+1),1)),'DRAFT 2'!$A:$A),"")</f>
        <v/>
      </c>
      <c r="CV134" s="116">
        <f>COUNTIFS('DRAFT 2'!$D:$D,$B134,'DRAFT 2'!$A:$A,"&gt;="&amp;DATE(2026,2,1),'DRAFT 2'!$A:$A,"&lt;="&amp;DATE(2026,2,7))</f>
        <v/>
      </c>
      <c r="CW134" s="116">
        <f>COUNTIFS('DRAFT 2'!$D:$D,$B134,'DRAFT 2'!$A:$A,"&gt;="&amp;DATE(2026,2,8),'DRAFT 2'!$A:$A,"&lt;="&amp;DATE(2026,2,14))</f>
        <v/>
      </c>
      <c r="CX134" s="116">
        <f>COUNTIFS('DRAFT 2'!$D:$D,$B134,'DRAFT 2'!$A:$A,"&gt;="&amp;DATE(2026,2,15),'DRAFT 2'!$A:$A,"&lt;="&amp;DATE(2026,2,21))</f>
        <v/>
      </c>
      <c r="CY134" s="116">
        <f>COUNTIFS('DRAFT 2'!$D:$D,$B134,'DRAFT 2'!$A:$A,"&gt;="&amp;DATE(2026,2,22),'DRAFT 2'!$A:$A,"&lt;"&amp;DATE(2026,IF(2=12,2+1,2+1),1))</f>
        <v/>
      </c>
      <c r="CZ134" s="116">
        <f>SUM(CV134:CY134)</f>
        <v/>
      </c>
      <c r="DJ134" s="116">
        <f>IFERROR(LOOKUP(2,1/('DRAFT 2'!$D:$D=$B134)*('DRAFT 2'!$A:$A&gt;=DATE(2026,3,1))*('DRAFT 2'!$A:$A&lt;DATE(2026,IF(3=12,3+1,3+1),1)),'DRAFT 2'!$A:$A),"")</f>
        <v/>
      </c>
      <c r="DK134" s="116">
        <f>COUNTIFS('DRAFT 2'!$D:$D,$B134,'DRAFT 2'!$A:$A,"&gt;="&amp;DATE(2026,3,1),'DRAFT 2'!$A:$A,"&lt;="&amp;DATE(2026,3,7))</f>
        <v/>
      </c>
      <c r="DL134" s="116">
        <f>COUNTIFS('DRAFT 2'!$D:$D,$B134,'DRAFT 2'!$A:$A,"&gt;="&amp;DATE(2026,3,8),'DRAFT 2'!$A:$A,"&lt;="&amp;DATE(2026,3,14))</f>
        <v/>
      </c>
      <c r="DM134" s="116">
        <f>COUNTIFS('DRAFT 2'!$D:$D,$B134,'DRAFT 2'!$A:$A,"&gt;="&amp;DATE(2026,3,15),'DRAFT 2'!$A:$A,"&lt;="&amp;DATE(2026,3,21))</f>
        <v/>
      </c>
      <c r="DN134" s="116">
        <f>COUNTIFS('DRAFT 2'!$D:$D,$B134,'DRAFT 2'!$A:$A,"&gt;="&amp;DATE(2026,3,22),'DRAFT 2'!$A:$A,"&lt;"&amp;DATE(2026,IF(3=12,3+1,3+1),1))</f>
        <v/>
      </c>
      <c r="DO134" s="116">
        <f>SUM(DK134:DN134)</f>
        <v/>
      </c>
      <c r="DZ134" s="116">
        <f>IFERROR(LOOKUP(2,1/('DRAFT 2'!$D:$D=$B134)*('DRAFT 2'!$A:$A&gt;=DATE(2026,4,1))*('DRAFT 2'!$A:$A&lt;DATE(2026,IF(4=12,4+1,4+1),1)),'DRAFT 2'!$A:$A),"")</f>
        <v/>
      </c>
      <c r="EA134" s="116">
        <f>COUNTIFS('DRAFT 2'!$D:$D,$B134,'DRAFT 2'!$A:$A,"&gt;="&amp;DATE(2026,4,1),'DRAFT 2'!$A:$A,"&lt;="&amp;DATE(2026,4,7))</f>
        <v/>
      </c>
      <c r="EB134" s="116">
        <f>COUNTIFS('DRAFT 2'!$D:$D,$B134,'DRAFT 2'!$A:$A,"&gt;="&amp;DATE(2026,4,8),'DRAFT 2'!$A:$A,"&lt;="&amp;DATE(2026,4,14))</f>
        <v/>
      </c>
      <c r="EC134" s="116">
        <f>COUNTIFS('DRAFT 2'!$D:$D,$B134,'DRAFT 2'!$A:$A,"&gt;="&amp;DATE(2026,4,15),'DRAFT 2'!$A:$A,"&lt;="&amp;DATE(2026,4,21))</f>
        <v/>
      </c>
      <c r="ED134" s="116">
        <f>COUNTIFS('DRAFT 2'!$D:$D,$B134,'DRAFT 2'!$A:$A,"&gt;="&amp;DATE(2026,4,22),'DRAFT 2'!$A:$A,"&lt;"&amp;DATE(2026,IF(4=12,4+1,4+1),1))</f>
        <v/>
      </c>
      <c r="EE134" s="116">
        <f>SUM(EA134:ED134)</f>
        <v/>
      </c>
      <c r="EO134" s="116">
        <f>IFERROR(LOOKUP(2,1/('DRAFT 2'!$D:$D=$B134)*('DRAFT 2'!$A:$A&gt;=DATE(2026,5,1))*('DRAFT 2'!$A:$A&lt;DATE(2026,IF(5=12,5+1,5+1),1)),'DRAFT 2'!$A:$A),"")</f>
        <v/>
      </c>
      <c r="EP134" s="116">
        <f>COUNTIFS('DRAFT 2'!$D:$D,$B134,'DRAFT 2'!$A:$A,"&gt;="&amp;DATE(2026,5,1),'DRAFT 2'!$A:$A,"&lt;="&amp;DATE(2026,5,7))</f>
        <v/>
      </c>
      <c r="EQ134" s="116">
        <f>COUNTIFS('DRAFT 2'!$D:$D,$B134,'DRAFT 2'!$A:$A,"&gt;="&amp;DATE(2026,5,8),'DRAFT 2'!$A:$A,"&lt;="&amp;DATE(2026,5,14))</f>
        <v/>
      </c>
      <c r="ER134" s="116">
        <f>COUNTIFS('DRAFT 2'!$D:$D,$B134,'DRAFT 2'!$A:$A,"&gt;="&amp;DATE(2026,5,15),'DRAFT 2'!$A:$A,"&lt;="&amp;DATE(2026,5,21))</f>
        <v/>
      </c>
      <c r="ES134" s="116">
        <f>COUNTIFS('DRAFT 2'!$D:$D,$B134,'DRAFT 2'!$A:$A,"&gt;="&amp;DATE(2026,5,22),'DRAFT 2'!$A:$A,"&lt;"&amp;DATE(2026,IF(5=12,5+1,5+1),1))</f>
        <v/>
      </c>
      <c r="ET134" s="116">
        <f>SUM(EP134:ES134)</f>
        <v/>
      </c>
      <c r="FD134" s="116">
        <f>IFERROR(LOOKUP(2,1/('DRAFT 2'!$D:$D=$B134)*('DRAFT 2'!$A:$A&gt;=DATE(2026,6,1))*('DRAFT 2'!$A:$A&lt;DATE(2026,IF(6=12,6+1,6+1),1)),'DRAFT 2'!$A:$A),"")</f>
        <v/>
      </c>
      <c r="FE134" s="116">
        <f>COUNTIFS('DRAFT 2'!$D:$D,$B134,'DRAFT 2'!$A:$A,"&gt;="&amp;DATE(2026,6,1),'DRAFT 2'!$A:$A,"&lt;="&amp;DATE(2026,6,7))</f>
        <v/>
      </c>
      <c r="FF134" s="116">
        <f>COUNTIFS('DRAFT 2'!$D:$D,$B134,'DRAFT 2'!$A:$A,"&gt;="&amp;DATE(2026,6,8),'DRAFT 2'!$A:$A,"&lt;="&amp;DATE(2026,6,14))</f>
        <v/>
      </c>
      <c r="FG134" s="116">
        <f>COUNTIFS('DRAFT 2'!$D:$D,$B134,'DRAFT 2'!$A:$A,"&gt;="&amp;DATE(2026,6,15),'DRAFT 2'!$A:$A,"&lt;="&amp;DATE(2026,6,21))</f>
        <v/>
      </c>
      <c r="FH134" s="116">
        <f>COUNTIFS('DRAFT 2'!$D:$D,$B134,'DRAFT 2'!$A:$A,"&gt;="&amp;DATE(2026,6,22),'DRAFT 2'!$A:$A,"&lt;"&amp;DATE(2026,IF(6=12,6+1,6+1),1))</f>
        <v/>
      </c>
      <c r="FI134" s="116">
        <f>SUM(FE134:FH134)</f>
        <v/>
      </c>
      <c r="FT134" s="116">
        <f>IFERROR(LOOKUP(2,1/('DRAFT 2'!$D:$D=$B134)*('DRAFT 2'!$A:$A&gt;=DATE(2026,7,1))*('DRAFT 2'!$A:$A&lt;DATE(2026,IF(7=12,7+1,7+1),1)),'DRAFT 2'!$A:$A),"")</f>
        <v/>
      </c>
      <c r="FU134" s="116">
        <f>COUNTIFS('DRAFT 2'!$D:$D,$B134,'DRAFT 2'!$A:$A,"&gt;="&amp;DATE(2026,7,1),'DRAFT 2'!$A:$A,"&lt;="&amp;DATE(2026,7,7))</f>
        <v/>
      </c>
      <c r="FV134" s="116">
        <f>COUNTIFS('DRAFT 2'!$D:$D,$B134,'DRAFT 2'!$A:$A,"&gt;="&amp;DATE(2026,7,8),'DRAFT 2'!$A:$A,"&lt;="&amp;DATE(2026,7,14))</f>
        <v/>
      </c>
      <c r="FW134" s="116">
        <f>COUNTIFS('DRAFT 2'!$D:$D,$B134,'DRAFT 2'!$A:$A,"&gt;="&amp;DATE(2026,7,15),'DRAFT 2'!$A:$A,"&lt;="&amp;DATE(2026,7,21))</f>
        <v/>
      </c>
      <c r="FX134" s="116">
        <f>COUNTIFS('DRAFT 2'!$D:$D,$B134,'DRAFT 2'!$A:$A,"&gt;="&amp;DATE(2026,7,22),'DRAFT 2'!$A:$A,"&lt;"&amp;DATE(2026,IF(7=12,7+1,7+1),1))</f>
        <v/>
      </c>
      <c r="FY134" s="116">
        <f>SUM(FU134:FX134)</f>
        <v/>
      </c>
      <c r="GI134" s="116">
        <f>IFERROR(LOOKUP(2,1/('DRAFT 2'!$D:$D=$B134)*('DRAFT 2'!$A:$A&gt;=DATE(2026,8,1))*('DRAFT 2'!$A:$A&lt;DATE(2026,IF(8=12,8+1,8+1),1)),'DRAFT 2'!$A:$A),"")</f>
        <v/>
      </c>
      <c r="GJ134" s="116">
        <f>COUNTIFS('DRAFT 2'!$D:$D,$B134,'DRAFT 2'!$A:$A,"&gt;="&amp;DATE(2026,8,1),'DRAFT 2'!$A:$A,"&lt;="&amp;DATE(2026,8,7))</f>
        <v/>
      </c>
      <c r="GK134" s="116">
        <f>COUNTIFS('DRAFT 2'!$D:$D,$B134,'DRAFT 2'!$A:$A,"&gt;="&amp;DATE(2026,8,8),'DRAFT 2'!$A:$A,"&lt;="&amp;DATE(2026,8,14))</f>
        <v/>
      </c>
      <c r="GL134" s="116">
        <f>COUNTIFS('DRAFT 2'!$D:$D,$B134,'DRAFT 2'!$A:$A,"&gt;="&amp;DATE(2026,8,15),'DRAFT 2'!$A:$A,"&lt;="&amp;DATE(2026,8,21))</f>
        <v/>
      </c>
      <c r="GM134" s="116">
        <f>COUNTIFS('DRAFT 2'!$D:$D,$B134,'DRAFT 2'!$A:$A,"&gt;="&amp;DATE(2026,8,22),'DRAFT 2'!$A:$A,"&lt;"&amp;DATE(2026,IF(8=12,8+1,8+1),1))</f>
        <v/>
      </c>
      <c r="GN134" s="116">
        <f>SUM(GJ134:GM134)</f>
        <v/>
      </c>
      <c r="GX134" s="116">
        <f>IFERROR(LOOKUP(2,1/('DRAFT 2'!$D:$D=$B134)*('DRAFT 2'!$A:$A&gt;=DATE(2026,9,1))*('DRAFT 2'!$A:$A&lt;DATE(2026,IF(9=12,9+1,9+1),1)),'DRAFT 2'!$A:$A),"")</f>
        <v/>
      </c>
      <c r="GY134" s="116">
        <f>COUNTIFS('DRAFT 2'!$D:$D,$B134,'DRAFT 2'!$A:$A,"&gt;="&amp;DATE(2026,9,1),'DRAFT 2'!$A:$A,"&lt;="&amp;DATE(2026,9,7))</f>
        <v/>
      </c>
      <c r="GZ134" s="116">
        <f>COUNTIFS('DRAFT 2'!$D:$D,$B134,'DRAFT 2'!$A:$A,"&gt;="&amp;DATE(2026,9,8),'DRAFT 2'!$A:$A,"&lt;="&amp;DATE(2026,9,14))</f>
        <v/>
      </c>
      <c r="HA134" s="116">
        <f>COUNTIFS('DRAFT 2'!$D:$D,$B134,'DRAFT 2'!$A:$A,"&gt;="&amp;DATE(2026,9,15),'DRAFT 2'!$A:$A,"&lt;="&amp;DATE(2026,9,21))</f>
        <v/>
      </c>
      <c r="HB134" s="116">
        <f>COUNTIFS('DRAFT 2'!$D:$D,$B134,'DRAFT 2'!$A:$A,"&gt;="&amp;DATE(2026,9,22),'DRAFT 2'!$A:$A,"&lt;"&amp;DATE(2026,IF(9=12,9+1,9+1),1))</f>
        <v/>
      </c>
      <c r="HC134" s="116">
        <f>SUM(GY134:HB134)</f>
        <v/>
      </c>
      <c r="HN134" s="116">
        <f>IFERROR(LOOKUP(2,1/('DRAFT 2'!$D:$D=$B134)*('DRAFT 2'!$A:$A&gt;=DATE(2026,10,1))*('DRAFT 2'!$A:$A&lt;DATE(2026,IF(10=12,10+1,10+1),1)),'DRAFT 2'!$A:$A),"")</f>
        <v/>
      </c>
      <c r="HO134" s="116">
        <f>COUNTIFS('DRAFT 2'!$D:$D,$B134,'DRAFT 2'!$A:$A,"&gt;="&amp;DATE(2026,10,1),'DRAFT 2'!$A:$A,"&lt;="&amp;DATE(2026,10,7))</f>
        <v/>
      </c>
      <c r="HP134" s="116">
        <f>COUNTIFS('DRAFT 2'!$D:$D,$B134,'DRAFT 2'!$A:$A,"&gt;="&amp;DATE(2026,10,8),'DRAFT 2'!$A:$A,"&lt;="&amp;DATE(2026,10,14))</f>
        <v/>
      </c>
      <c r="HQ134" s="116">
        <f>COUNTIFS('DRAFT 2'!$D:$D,$B134,'DRAFT 2'!$A:$A,"&gt;="&amp;DATE(2026,10,15),'DRAFT 2'!$A:$A,"&lt;="&amp;DATE(2026,10,21))</f>
        <v/>
      </c>
      <c r="HR134" s="116">
        <f>COUNTIFS('DRAFT 2'!$D:$D,$B134,'DRAFT 2'!$A:$A,"&gt;="&amp;DATE(2026,10,22),'DRAFT 2'!$A:$A,"&lt;"&amp;DATE(2026,IF(10=12,10+1,10+1),1))</f>
        <v/>
      </c>
      <c r="HS134" s="116">
        <f>SUM(HO134:HR134)</f>
        <v/>
      </c>
      <c r="IC134" s="116">
        <f>IFERROR(LOOKUP(2,1/('DRAFT 2'!$D:$D=$B134)*('DRAFT 2'!$A:$A&gt;=DATE(2026,11,1))*('DRAFT 2'!$A:$A&lt;DATE(2026,IF(11=12,11+1,11+1),1)),'DRAFT 2'!$A:$A),"")</f>
        <v/>
      </c>
      <c r="ID134" s="116">
        <f>COUNTIFS('DRAFT 2'!$D:$D,$B134,'DRAFT 2'!$A:$A,"&gt;="&amp;DATE(2026,11,1),'DRAFT 2'!$A:$A,"&lt;="&amp;DATE(2026,11,7))</f>
        <v/>
      </c>
      <c r="IE134" s="116">
        <f>COUNTIFS('DRAFT 2'!$D:$D,$B134,'DRAFT 2'!$A:$A,"&gt;="&amp;DATE(2026,11,8),'DRAFT 2'!$A:$A,"&lt;="&amp;DATE(2026,11,14))</f>
        <v/>
      </c>
      <c r="IF134" s="116">
        <f>COUNTIFS('DRAFT 2'!$D:$D,$B134,'DRAFT 2'!$A:$A,"&gt;="&amp;DATE(2026,11,15),'DRAFT 2'!$A:$A,"&lt;="&amp;DATE(2026,11,21))</f>
        <v/>
      </c>
      <c r="IG134" s="116">
        <f>COUNTIFS('DRAFT 2'!$D:$D,$B134,'DRAFT 2'!$A:$A,"&gt;="&amp;DATE(2026,11,22),'DRAFT 2'!$A:$A,"&lt;"&amp;DATE(2026,IF(11=12,11+1,11+1),1))</f>
        <v/>
      </c>
      <c r="IH134" s="116">
        <f>SUM(ID134:IG134)</f>
        <v/>
      </c>
      <c r="IR134" s="116">
        <f>IFERROR(LOOKUP(2,1/('DRAFT 2'!$D:$D=$B134)*('DRAFT 2'!$A:$A&gt;=DATE(2026,12,1))*('DRAFT 2'!$A:$A&lt;DATE(2026,IF(12=12,12+1,12+1),1)),'DRAFT 2'!$A:$A),"")</f>
        <v/>
      </c>
      <c r="IS134" s="116">
        <f>COUNTIFS('DRAFT 2'!$D:$D,$B134,'DRAFT 2'!$A:$A,"&gt;="&amp;DATE(2026,12,1),'DRAFT 2'!$A:$A,"&lt;="&amp;DATE(2026,12,7))</f>
        <v/>
      </c>
      <c r="IT134" s="116">
        <f>COUNTIFS('DRAFT 2'!$D:$D,$B134,'DRAFT 2'!$A:$A,"&gt;="&amp;DATE(2026,12,8),'DRAFT 2'!$A:$A,"&lt;="&amp;DATE(2026,12,14))</f>
        <v/>
      </c>
      <c r="IU134" s="116">
        <f>COUNTIFS('DRAFT 2'!$D:$D,$B134,'DRAFT 2'!$A:$A,"&gt;="&amp;DATE(2026,12,15),'DRAFT 2'!$A:$A,"&lt;="&amp;DATE(2026,12,21))</f>
        <v/>
      </c>
      <c r="IV134" s="116">
        <f>COUNTIFS('DRAFT 2'!$D:$D,$B134,'DRAFT 2'!$A:$A,"&gt;="&amp;DATE(2026,12,22),'DRAFT 2'!$A:$A,"&lt;"&amp;DATE(2026,IF(12=12,12+1,12+1),1))</f>
        <v/>
      </c>
      <c r="IW134" s="116">
        <f>SUM(IS134:IV134)</f>
        <v/>
      </c>
    </row>
    <row r="135">
      <c r="A135" s="116">
        <f>IFERROR(INDEX('DRAFT 1'!$A:$A,MATCH($B135,'DRAFT 1'!$B:$B,0)),"")</f>
        <v/>
      </c>
      <c r="C135" s="116">
        <f>IFERROR(INDEX('DRAFT 1'!$C:$C,MATCH($B135,'DRAFT 1'!$B:$B,0)),"")</f>
        <v/>
      </c>
      <c r="D135" s="116">
        <f>IFERROR(INDEX('DRAFT 1'!$D:$D,MATCH($B135,'DRAFT 1'!$B:$B,0)),"")</f>
        <v/>
      </c>
      <c r="E135" s="116">
        <f>IFERROR(INDEX('DRAFT 1'!$E:$E,MATCH($B135,'DRAFT 1'!$B:$B,0)),"")</f>
        <v/>
      </c>
      <c r="F135" s="116">
        <f>IFERROR(INDEX('DRAFT 1'!$F:$F,MATCH($B135,'DRAFT 1'!$B:$B,0)),"")</f>
        <v/>
      </c>
      <c r="G135" s="116">
        <f>IFERROR(INDEX('DRAFT 1'!$G:$G,MATCH($B135,'DRAFT 1'!$B:$B,0)),"")</f>
        <v/>
      </c>
      <c r="H135" s="116">
        <f>IFERROR(INDEX('DRAFT 1'!$H:$H,MATCH($B135,'DRAFT 1'!$B:$B,0)),"")</f>
        <v/>
      </c>
      <c r="I135" s="116">
        <f>IFERROR(INDEX('DRAFT 1'!$I:$I,MATCH($B135,'DRAFT 1'!$B:$B,0)),"")</f>
        <v/>
      </c>
      <c r="K135" s="116">
        <f>IFERROR(INDEX('DRAFT 1'!$AL:$AL,MATCH($B135,'DRAFT 1'!$B:$B,0)),"")</f>
        <v/>
      </c>
      <c r="L135" s="116">
        <f>IFERROR(INDEX('DRAFT 1'!$J:$J,MATCH($B135,'DRAFT 1'!$B:$B,0)),"")</f>
        <v/>
      </c>
      <c r="M135" s="116">
        <f>IFERROR(INDEX('DRAFT 1'!$K:$K,MATCH($B135,'DRAFT 1'!$B:$B,0)),"")</f>
        <v/>
      </c>
      <c r="P135" s="116">
        <f>IFERROR(INDEX('DRAFT 1'!$L:$L,MATCH($B135,'DRAFT 1'!$B:$B,0)),"")</f>
        <v/>
      </c>
      <c r="Q135" s="116">
        <f>IFERROR(INDEX('DRAFT 1'!$M:$M,MATCH($B135,'DRAFT 1'!$B:$B,0)),"")</f>
        <v/>
      </c>
      <c r="R135" s="116">
        <f>IFERROR(INDEX('DRAFT 1'!$N:$N,MATCH($B135,'DRAFT 1'!$B:$B,0)),"")</f>
        <v/>
      </c>
      <c r="S135" s="116">
        <f>IFERROR(INDEX('DRAFT 1'!$O:$O,MATCH($B135,'DRAFT 1'!$B:$B,0)),"")</f>
        <v/>
      </c>
      <c r="T135" s="116">
        <f>IFERROR(INDEX('DRAFT 1'!$P:$P,MATCH($B135,'DRAFT 1'!$B:$B,0)),"")</f>
        <v/>
      </c>
      <c r="U135" s="116">
        <f>IFERROR(INDEX('DRAFT 1'!$Q:$Q,MATCH($B135,'DRAFT 1'!$B:$B,0)),"")</f>
        <v/>
      </c>
      <c r="V135" s="116">
        <f>IFERROR(INDEX('DRAFT 1'!$R:$R,MATCH($B135,'DRAFT 1'!$B:$B,0)),"")</f>
        <v/>
      </c>
      <c r="W135" s="116">
        <f>IFERROR(INDEX('DRAFT 1'!$S:$S,MATCH($B135,'DRAFT 1'!$B:$B,0)),"")</f>
        <v/>
      </c>
      <c r="X135" s="116">
        <f>IFERROR(INDEX('DRAFT 1'!$T:$T,MATCH($B135,'DRAFT 1'!$B:$B,0)),"")</f>
        <v/>
      </c>
      <c r="Z135" s="116">
        <f>IFERROR(INDEX('DRAFT 1'!$U:$U,MATCH($B135,'DRAFT 1'!$B:$B,0)),"")</f>
        <v/>
      </c>
      <c r="AA135" s="116">
        <f>IFERROR(INDEX('DRAFT 1'!$V:$V,MATCH($B135,'DRAFT 1'!$B:$B,0)),"")</f>
        <v/>
      </c>
      <c r="AB135" s="116">
        <f>IFERROR(INDEX('DRAFT 1'!$W:$W,MATCH($B135,'DRAFT 1'!$B:$B,0)),"")</f>
        <v/>
      </c>
      <c r="AC135" s="116">
        <f>IFERROR(INDEX('DRAFT 1'!$X:$X,MATCH($B135,'DRAFT 1'!$B:$B,0)),"")</f>
        <v/>
      </c>
      <c r="AD135" s="116">
        <f>IFERROR(INDEX('DRAFT 1'!$Y:$Y,MATCH($B135,'DRAFT 1'!$B:$B,0)),"")</f>
        <v/>
      </c>
      <c r="AE135" s="116">
        <f>IFERROR(INDEX('DRAFT 1'!$Z:$Z,MATCH($B135,'DRAFT 1'!$B:$B,0)),"")</f>
        <v/>
      </c>
      <c r="AF135" s="116">
        <f>IFERROR(INDEX('DRAFT 1'!$AA:$AA,MATCH($B135,'DRAFT 1'!$B:$B,0)),"")</f>
        <v/>
      </c>
      <c r="AG135" s="116">
        <f>IFERROR(INDEX('DRAFT 1'!$AB:$AB,MATCH($B135,'DRAFT 1'!$B:$B,0)),"")</f>
        <v/>
      </c>
      <c r="AH135" s="116">
        <f>IFERROR(INDEX('DRAFT 1'!$AC:$AC,MATCH($B135,'DRAFT 1'!$B:$B,0)),"")</f>
        <v/>
      </c>
      <c r="AI135" s="116">
        <f>IFERROR(INDEX('DRAFT 1'!$AD:$AD,MATCH($B135,'DRAFT 1'!$B:$B,0)),"")</f>
        <v/>
      </c>
      <c r="AJ135" s="116">
        <f>IFERROR(INDEX('DRAFT 1'!$AE:$AE,MATCH($B135,'DRAFT 1'!$B:$B,0)),"")</f>
        <v/>
      </c>
      <c r="AK135" s="116">
        <f>IFERROR(INDEX('DRAFT 1'!$AG:$AG,MATCH($B135,'DRAFT 1'!$B:$B,0)),"")</f>
        <v/>
      </c>
      <c r="AL135" s="116">
        <f>IFERROR(INDEX('DRAFT 1'!$AH:$AH,MATCH($B135,'DRAFT 1'!$B:$B,0)),"")</f>
        <v/>
      </c>
      <c r="AM135" s="116">
        <f>IFERROR(INDEX('DRAFT 1'!$AI:$AI,MATCH($B135,'DRAFT 1'!$B:$B,0)),"")</f>
        <v/>
      </c>
      <c r="AN135" s="116">
        <f>IFERROR(INDEX('DRAFT 1'!$AJ:$AJ,MATCH($B135,'DRAFT 1'!$B:$B,0)),"")</f>
        <v/>
      </c>
      <c r="AO135" s="116">
        <f>IFERROR(Y135/AN135,0)</f>
        <v/>
      </c>
      <c r="AP135" s="116">
        <f>IFERROR(INDEX('DRAFT 1'!$AK:$AK,MATCH($B135,'DRAFT 1'!$B:$B,0)),"")</f>
        <v/>
      </c>
      <c r="AR135" s="116">
        <f>IFERROR(LOOKUP(2,1/('DRAFT 2'!$D:$D=$B135),'DRAFT 2'!$I:$I),"")</f>
        <v/>
      </c>
      <c r="AS135" s="116">
        <f>IFERROR(LOOKUP(2,1/('DRAFT 2'!$D:$D=$B135),'DRAFT 2'!$T:$T),"")</f>
        <v/>
      </c>
      <c r="AT135" s="116">
        <f>IFERROR(LOOKUP(2,1/('DRAFT 2'!$D:$D=$B135),'DRAFT 2'!$A:$A),"")</f>
        <v/>
      </c>
      <c r="AU135" s="116">
        <f>IFERROR(LOOKUP(2,1/('DRAFT 2'!$D:$D=$B135),'DRAFT 2'!$R:$R),"")</f>
        <v/>
      </c>
      <c r="AV135" s="116">
        <f>IFERROR(LOOKUP(2,1/('DRAFT 2'!$D:$D=$B135),'DRAFT 2'!$S:$S),"")</f>
        <v/>
      </c>
      <c r="AX135" s="116">
        <f>IFERROR(LOOKUP(2,1/('DRAFT 2'!$D:$D=$B135),'DRAFT 2'!$M:$M),"")</f>
        <v/>
      </c>
      <c r="AY135" s="116">
        <f>IFERROR(LOOKUP(2,1/('DRAFT 2'!$D:$D=$B135),'DRAFT 2'!$K:$K),"")</f>
        <v/>
      </c>
      <c r="BG135" s="116">
        <f>IFERROR(LOOKUP(2,1/('DRAFT 2'!$D:$D=$B135),'DRAFT 2'!$U:$U),"")</f>
        <v/>
      </c>
      <c r="BH135" s="116">
        <f>IFERROR(LOOKUP(2,1/('DRAFT 2'!$D:$D=$B135),'DRAFT 2'!$V:$V),"")</f>
        <v/>
      </c>
      <c r="CE135" s="116">
        <f>IFERROR(AJ135,0)</f>
        <v/>
      </c>
      <c r="CF135" s="116">
        <f>IFERROR(LOOKUP(2,1/('DRAFT 2'!$D:$D=$B135)*('DRAFT 2'!$A:$A&gt;=DATE(2026,1,1))*('DRAFT 2'!$A:$A&lt;DATE(2026,IF(1=12,1+1,1+1),1)),'DRAFT 2'!$A:$A),"")</f>
        <v/>
      </c>
      <c r="CG135" s="116">
        <f>COUNTIFS('DRAFT 2'!$D:$D,$B135,'DRAFT 2'!$A:$A,"&gt;="&amp;DATE(2026,1,1),'DRAFT 2'!$A:$A,"&lt;="&amp;DATE(2026,1,7))</f>
        <v/>
      </c>
      <c r="CH135" s="116">
        <f>COUNTIFS('DRAFT 2'!$D:$D,$B135,'DRAFT 2'!$A:$A,"&gt;="&amp;DATE(2026,1,8),'DRAFT 2'!$A:$A,"&lt;="&amp;DATE(2026,1,14))</f>
        <v/>
      </c>
      <c r="CI135" s="116">
        <f>COUNTIFS('DRAFT 2'!$D:$D,$B135,'DRAFT 2'!$A:$A,"&gt;="&amp;DATE(2026,1,15),'DRAFT 2'!$A:$A,"&lt;="&amp;DATE(2026,1,21))</f>
        <v/>
      </c>
      <c r="CJ135" s="116">
        <f>COUNTIFS('DRAFT 2'!$D:$D,$B135,'DRAFT 2'!$A:$A,"&gt;="&amp;DATE(2026,1,22),'DRAFT 2'!$A:$A,"&lt;"&amp;DATE(2026,IF(1=12,1+1,1+1),1))</f>
        <v/>
      </c>
      <c r="CK135" s="116">
        <f>SUM(CG135:CJ135)</f>
        <v/>
      </c>
      <c r="CT135" s="116" t="n">
        <v>0</v>
      </c>
      <c r="CU135" s="116">
        <f>IFERROR(LOOKUP(2,1/('DRAFT 2'!$D:$D=$B135)*('DRAFT 2'!$A:$A&gt;=DATE(2026,2,1))*('DRAFT 2'!$A:$A&lt;DATE(2026,IF(2=12,2+1,2+1),1)),'DRAFT 2'!$A:$A),"")</f>
        <v/>
      </c>
      <c r="CV135" s="116">
        <f>COUNTIFS('DRAFT 2'!$D:$D,$B135,'DRAFT 2'!$A:$A,"&gt;="&amp;DATE(2026,2,1),'DRAFT 2'!$A:$A,"&lt;="&amp;DATE(2026,2,7))</f>
        <v/>
      </c>
      <c r="CW135" s="116">
        <f>COUNTIFS('DRAFT 2'!$D:$D,$B135,'DRAFT 2'!$A:$A,"&gt;="&amp;DATE(2026,2,8),'DRAFT 2'!$A:$A,"&lt;="&amp;DATE(2026,2,14))</f>
        <v/>
      </c>
      <c r="CX135" s="116">
        <f>COUNTIFS('DRAFT 2'!$D:$D,$B135,'DRAFT 2'!$A:$A,"&gt;="&amp;DATE(2026,2,15),'DRAFT 2'!$A:$A,"&lt;="&amp;DATE(2026,2,21))</f>
        <v/>
      </c>
      <c r="CY135" s="116">
        <f>COUNTIFS('DRAFT 2'!$D:$D,$B135,'DRAFT 2'!$A:$A,"&gt;="&amp;DATE(2026,2,22),'DRAFT 2'!$A:$A,"&lt;"&amp;DATE(2026,IF(2=12,2+1,2+1),1))</f>
        <v/>
      </c>
      <c r="CZ135" s="116">
        <f>SUM(CV135:CY135)</f>
        <v/>
      </c>
      <c r="DJ135" s="116">
        <f>IFERROR(LOOKUP(2,1/('DRAFT 2'!$D:$D=$B135)*('DRAFT 2'!$A:$A&gt;=DATE(2026,3,1))*('DRAFT 2'!$A:$A&lt;DATE(2026,IF(3=12,3+1,3+1),1)),'DRAFT 2'!$A:$A),"")</f>
        <v/>
      </c>
      <c r="DK135" s="116">
        <f>COUNTIFS('DRAFT 2'!$D:$D,$B135,'DRAFT 2'!$A:$A,"&gt;="&amp;DATE(2026,3,1),'DRAFT 2'!$A:$A,"&lt;="&amp;DATE(2026,3,7))</f>
        <v/>
      </c>
      <c r="DL135" s="116">
        <f>COUNTIFS('DRAFT 2'!$D:$D,$B135,'DRAFT 2'!$A:$A,"&gt;="&amp;DATE(2026,3,8),'DRAFT 2'!$A:$A,"&lt;="&amp;DATE(2026,3,14))</f>
        <v/>
      </c>
      <c r="DM135" s="116">
        <f>COUNTIFS('DRAFT 2'!$D:$D,$B135,'DRAFT 2'!$A:$A,"&gt;="&amp;DATE(2026,3,15),'DRAFT 2'!$A:$A,"&lt;="&amp;DATE(2026,3,21))</f>
        <v/>
      </c>
      <c r="DN135" s="116">
        <f>COUNTIFS('DRAFT 2'!$D:$D,$B135,'DRAFT 2'!$A:$A,"&gt;="&amp;DATE(2026,3,22),'DRAFT 2'!$A:$A,"&lt;"&amp;DATE(2026,IF(3=12,3+1,3+1),1))</f>
        <v/>
      </c>
      <c r="DO135" s="116">
        <f>SUM(DK135:DN135)</f>
        <v/>
      </c>
      <c r="DZ135" s="116">
        <f>IFERROR(LOOKUP(2,1/('DRAFT 2'!$D:$D=$B135)*('DRAFT 2'!$A:$A&gt;=DATE(2026,4,1))*('DRAFT 2'!$A:$A&lt;DATE(2026,IF(4=12,4+1,4+1),1)),'DRAFT 2'!$A:$A),"")</f>
        <v/>
      </c>
      <c r="EA135" s="116">
        <f>COUNTIFS('DRAFT 2'!$D:$D,$B135,'DRAFT 2'!$A:$A,"&gt;="&amp;DATE(2026,4,1),'DRAFT 2'!$A:$A,"&lt;="&amp;DATE(2026,4,7))</f>
        <v/>
      </c>
      <c r="EB135" s="116">
        <f>COUNTIFS('DRAFT 2'!$D:$D,$B135,'DRAFT 2'!$A:$A,"&gt;="&amp;DATE(2026,4,8),'DRAFT 2'!$A:$A,"&lt;="&amp;DATE(2026,4,14))</f>
        <v/>
      </c>
      <c r="EC135" s="116">
        <f>COUNTIFS('DRAFT 2'!$D:$D,$B135,'DRAFT 2'!$A:$A,"&gt;="&amp;DATE(2026,4,15),'DRAFT 2'!$A:$A,"&lt;="&amp;DATE(2026,4,21))</f>
        <v/>
      </c>
      <c r="ED135" s="116">
        <f>COUNTIFS('DRAFT 2'!$D:$D,$B135,'DRAFT 2'!$A:$A,"&gt;="&amp;DATE(2026,4,22),'DRAFT 2'!$A:$A,"&lt;"&amp;DATE(2026,IF(4=12,4+1,4+1),1))</f>
        <v/>
      </c>
      <c r="EE135" s="116">
        <f>SUM(EA135:ED135)</f>
        <v/>
      </c>
      <c r="EO135" s="116">
        <f>IFERROR(LOOKUP(2,1/('DRAFT 2'!$D:$D=$B135)*('DRAFT 2'!$A:$A&gt;=DATE(2026,5,1))*('DRAFT 2'!$A:$A&lt;DATE(2026,IF(5=12,5+1,5+1),1)),'DRAFT 2'!$A:$A),"")</f>
        <v/>
      </c>
      <c r="EP135" s="116">
        <f>COUNTIFS('DRAFT 2'!$D:$D,$B135,'DRAFT 2'!$A:$A,"&gt;="&amp;DATE(2026,5,1),'DRAFT 2'!$A:$A,"&lt;="&amp;DATE(2026,5,7))</f>
        <v/>
      </c>
      <c r="EQ135" s="116">
        <f>COUNTIFS('DRAFT 2'!$D:$D,$B135,'DRAFT 2'!$A:$A,"&gt;="&amp;DATE(2026,5,8),'DRAFT 2'!$A:$A,"&lt;="&amp;DATE(2026,5,14))</f>
        <v/>
      </c>
      <c r="ER135" s="116">
        <f>COUNTIFS('DRAFT 2'!$D:$D,$B135,'DRAFT 2'!$A:$A,"&gt;="&amp;DATE(2026,5,15),'DRAFT 2'!$A:$A,"&lt;="&amp;DATE(2026,5,21))</f>
        <v/>
      </c>
      <c r="ES135" s="116">
        <f>COUNTIFS('DRAFT 2'!$D:$D,$B135,'DRAFT 2'!$A:$A,"&gt;="&amp;DATE(2026,5,22),'DRAFT 2'!$A:$A,"&lt;"&amp;DATE(2026,IF(5=12,5+1,5+1),1))</f>
        <v/>
      </c>
      <c r="ET135" s="116">
        <f>SUM(EP135:ES135)</f>
        <v/>
      </c>
      <c r="FD135" s="116">
        <f>IFERROR(LOOKUP(2,1/('DRAFT 2'!$D:$D=$B135)*('DRAFT 2'!$A:$A&gt;=DATE(2026,6,1))*('DRAFT 2'!$A:$A&lt;DATE(2026,IF(6=12,6+1,6+1),1)),'DRAFT 2'!$A:$A),"")</f>
        <v/>
      </c>
      <c r="FE135" s="116">
        <f>COUNTIFS('DRAFT 2'!$D:$D,$B135,'DRAFT 2'!$A:$A,"&gt;="&amp;DATE(2026,6,1),'DRAFT 2'!$A:$A,"&lt;="&amp;DATE(2026,6,7))</f>
        <v/>
      </c>
      <c r="FF135" s="116">
        <f>COUNTIFS('DRAFT 2'!$D:$D,$B135,'DRAFT 2'!$A:$A,"&gt;="&amp;DATE(2026,6,8),'DRAFT 2'!$A:$A,"&lt;="&amp;DATE(2026,6,14))</f>
        <v/>
      </c>
      <c r="FG135" s="116">
        <f>COUNTIFS('DRAFT 2'!$D:$D,$B135,'DRAFT 2'!$A:$A,"&gt;="&amp;DATE(2026,6,15),'DRAFT 2'!$A:$A,"&lt;="&amp;DATE(2026,6,21))</f>
        <v/>
      </c>
      <c r="FH135" s="116">
        <f>COUNTIFS('DRAFT 2'!$D:$D,$B135,'DRAFT 2'!$A:$A,"&gt;="&amp;DATE(2026,6,22),'DRAFT 2'!$A:$A,"&lt;"&amp;DATE(2026,IF(6=12,6+1,6+1),1))</f>
        <v/>
      </c>
      <c r="FI135" s="116">
        <f>SUM(FE135:FH135)</f>
        <v/>
      </c>
      <c r="FT135" s="116">
        <f>IFERROR(LOOKUP(2,1/('DRAFT 2'!$D:$D=$B135)*('DRAFT 2'!$A:$A&gt;=DATE(2026,7,1))*('DRAFT 2'!$A:$A&lt;DATE(2026,IF(7=12,7+1,7+1),1)),'DRAFT 2'!$A:$A),"")</f>
        <v/>
      </c>
      <c r="FU135" s="116">
        <f>COUNTIFS('DRAFT 2'!$D:$D,$B135,'DRAFT 2'!$A:$A,"&gt;="&amp;DATE(2026,7,1),'DRAFT 2'!$A:$A,"&lt;="&amp;DATE(2026,7,7))</f>
        <v/>
      </c>
      <c r="FV135" s="116">
        <f>COUNTIFS('DRAFT 2'!$D:$D,$B135,'DRAFT 2'!$A:$A,"&gt;="&amp;DATE(2026,7,8),'DRAFT 2'!$A:$A,"&lt;="&amp;DATE(2026,7,14))</f>
        <v/>
      </c>
      <c r="FW135" s="116">
        <f>COUNTIFS('DRAFT 2'!$D:$D,$B135,'DRAFT 2'!$A:$A,"&gt;="&amp;DATE(2026,7,15),'DRAFT 2'!$A:$A,"&lt;="&amp;DATE(2026,7,21))</f>
        <v/>
      </c>
      <c r="FX135" s="116">
        <f>COUNTIFS('DRAFT 2'!$D:$D,$B135,'DRAFT 2'!$A:$A,"&gt;="&amp;DATE(2026,7,22),'DRAFT 2'!$A:$A,"&lt;"&amp;DATE(2026,IF(7=12,7+1,7+1),1))</f>
        <v/>
      </c>
      <c r="FY135" s="116">
        <f>SUM(FU135:FX135)</f>
        <v/>
      </c>
      <c r="GI135" s="116">
        <f>IFERROR(LOOKUP(2,1/('DRAFT 2'!$D:$D=$B135)*('DRAFT 2'!$A:$A&gt;=DATE(2026,8,1))*('DRAFT 2'!$A:$A&lt;DATE(2026,IF(8=12,8+1,8+1),1)),'DRAFT 2'!$A:$A),"")</f>
        <v/>
      </c>
      <c r="GJ135" s="116">
        <f>COUNTIFS('DRAFT 2'!$D:$D,$B135,'DRAFT 2'!$A:$A,"&gt;="&amp;DATE(2026,8,1),'DRAFT 2'!$A:$A,"&lt;="&amp;DATE(2026,8,7))</f>
        <v/>
      </c>
      <c r="GK135" s="116">
        <f>COUNTIFS('DRAFT 2'!$D:$D,$B135,'DRAFT 2'!$A:$A,"&gt;="&amp;DATE(2026,8,8),'DRAFT 2'!$A:$A,"&lt;="&amp;DATE(2026,8,14))</f>
        <v/>
      </c>
      <c r="GL135" s="116">
        <f>COUNTIFS('DRAFT 2'!$D:$D,$B135,'DRAFT 2'!$A:$A,"&gt;="&amp;DATE(2026,8,15),'DRAFT 2'!$A:$A,"&lt;="&amp;DATE(2026,8,21))</f>
        <v/>
      </c>
      <c r="GM135" s="116">
        <f>COUNTIFS('DRAFT 2'!$D:$D,$B135,'DRAFT 2'!$A:$A,"&gt;="&amp;DATE(2026,8,22),'DRAFT 2'!$A:$A,"&lt;"&amp;DATE(2026,IF(8=12,8+1,8+1),1))</f>
        <v/>
      </c>
      <c r="GN135" s="116">
        <f>SUM(GJ135:GM135)</f>
        <v/>
      </c>
      <c r="GX135" s="116">
        <f>IFERROR(LOOKUP(2,1/('DRAFT 2'!$D:$D=$B135)*('DRAFT 2'!$A:$A&gt;=DATE(2026,9,1))*('DRAFT 2'!$A:$A&lt;DATE(2026,IF(9=12,9+1,9+1),1)),'DRAFT 2'!$A:$A),"")</f>
        <v/>
      </c>
      <c r="GY135" s="116">
        <f>COUNTIFS('DRAFT 2'!$D:$D,$B135,'DRAFT 2'!$A:$A,"&gt;="&amp;DATE(2026,9,1),'DRAFT 2'!$A:$A,"&lt;="&amp;DATE(2026,9,7))</f>
        <v/>
      </c>
      <c r="GZ135" s="116">
        <f>COUNTIFS('DRAFT 2'!$D:$D,$B135,'DRAFT 2'!$A:$A,"&gt;="&amp;DATE(2026,9,8),'DRAFT 2'!$A:$A,"&lt;="&amp;DATE(2026,9,14))</f>
        <v/>
      </c>
      <c r="HA135" s="116">
        <f>COUNTIFS('DRAFT 2'!$D:$D,$B135,'DRAFT 2'!$A:$A,"&gt;="&amp;DATE(2026,9,15),'DRAFT 2'!$A:$A,"&lt;="&amp;DATE(2026,9,21))</f>
        <v/>
      </c>
      <c r="HB135" s="116">
        <f>COUNTIFS('DRAFT 2'!$D:$D,$B135,'DRAFT 2'!$A:$A,"&gt;="&amp;DATE(2026,9,22),'DRAFT 2'!$A:$A,"&lt;"&amp;DATE(2026,IF(9=12,9+1,9+1),1))</f>
        <v/>
      </c>
      <c r="HC135" s="116">
        <f>SUM(GY135:HB135)</f>
        <v/>
      </c>
      <c r="HN135" s="116">
        <f>IFERROR(LOOKUP(2,1/('DRAFT 2'!$D:$D=$B135)*('DRAFT 2'!$A:$A&gt;=DATE(2026,10,1))*('DRAFT 2'!$A:$A&lt;DATE(2026,IF(10=12,10+1,10+1),1)),'DRAFT 2'!$A:$A),"")</f>
        <v/>
      </c>
      <c r="HO135" s="116">
        <f>COUNTIFS('DRAFT 2'!$D:$D,$B135,'DRAFT 2'!$A:$A,"&gt;="&amp;DATE(2026,10,1),'DRAFT 2'!$A:$A,"&lt;="&amp;DATE(2026,10,7))</f>
        <v/>
      </c>
      <c r="HP135" s="116">
        <f>COUNTIFS('DRAFT 2'!$D:$D,$B135,'DRAFT 2'!$A:$A,"&gt;="&amp;DATE(2026,10,8),'DRAFT 2'!$A:$A,"&lt;="&amp;DATE(2026,10,14))</f>
        <v/>
      </c>
      <c r="HQ135" s="116">
        <f>COUNTIFS('DRAFT 2'!$D:$D,$B135,'DRAFT 2'!$A:$A,"&gt;="&amp;DATE(2026,10,15),'DRAFT 2'!$A:$A,"&lt;="&amp;DATE(2026,10,21))</f>
        <v/>
      </c>
      <c r="HR135" s="116">
        <f>COUNTIFS('DRAFT 2'!$D:$D,$B135,'DRAFT 2'!$A:$A,"&gt;="&amp;DATE(2026,10,22),'DRAFT 2'!$A:$A,"&lt;"&amp;DATE(2026,IF(10=12,10+1,10+1),1))</f>
        <v/>
      </c>
      <c r="HS135" s="116">
        <f>SUM(HO135:HR135)</f>
        <v/>
      </c>
      <c r="IC135" s="116">
        <f>IFERROR(LOOKUP(2,1/('DRAFT 2'!$D:$D=$B135)*('DRAFT 2'!$A:$A&gt;=DATE(2026,11,1))*('DRAFT 2'!$A:$A&lt;DATE(2026,IF(11=12,11+1,11+1),1)),'DRAFT 2'!$A:$A),"")</f>
        <v/>
      </c>
      <c r="ID135" s="116">
        <f>COUNTIFS('DRAFT 2'!$D:$D,$B135,'DRAFT 2'!$A:$A,"&gt;="&amp;DATE(2026,11,1),'DRAFT 2'!$A:$A,"&lt;="&amp;DATE(2026,11,7))</f>
        <v/>
      </c>
      <c r="IE135" s="116">
        <f>COUNTIFS('DRAFT 2'!$D:$D,$B135,'DRAFT 2'!$A:$A,"&gt;="&amp;DATE(2026,11,8),'DRAFT 2'!$A:$A,"&lt;="&amp;DATE(2026,11,14))</f>
        <v/>
      </c>
      <c r="IF135" s="116">
        <f>COUNTIFS('DRAFT 2'!$D:$D,$B135,'DRAFT 2'!$A:$A,"&gt;="&amp;DATE(2026,11,15),'DRAFT 2'!$A:$A,"&lt;="&amp;DATE(2026,11,21))</f>
        <v/>
      </c>
      <c r="IG135" s="116">
        <f>COUNTIFS('DRAFT 2'!$D:$D,$B135,'DRAFT 2'!$A:$A,"&gt;="&amp;DATE(2026,11,22),'DRAFT 2'!$A:$A,"&lt;"&amp;DATE(2026,IF(11=12,11+1,11+1),1))</f>
        <v/>
      </c>
      <c r="IH135" s="116">
        <f>SUM(ID135:IG135)</f>
        <v/>
      </c>
      <c r="IR135" s="116">
        <f>IFERROR(LOOKUP(2,1/('DRAFT 2'!$D:$D=$B135)*('DRAFT 2'!$A:$A&gt;=DATE(2026,12,1))*('DRAFT 2'!$A:$A&lt;DATE(2026,IF(12=12,12+1,12+1),1)),'DRAFT 2'!$A:$A),"")</f>
        <v/>
      </c>
      <c r="IS135" s="116">
        <f>COUNTIFS('DRAFT 2'!$D:$D,$B135,'DRAFT 2'!$A:$A,"&gt;="&amp;DATE(2026,12,1),'DRAFT 2'!$A:$A,"&lt;="&amp;DATE(2026,12,7))</f>
        <v/>
      </c>
      <c r="IT135" s="116">
        <f>COUNTIFS('DRAFT 2'!$D:$D,$B135,'DRAFT 2'!$A:$A,"&gt;="&amp;DATE(2026,12,8),'DRAFT 2'!$A:$A,"&lt;="&amp;DATE(2026,12,14))</f>
        <v/>
      </c>
      <c r="IU135" s="116">
        <f>COUNTIFS('DRAFT 2'!$D:$D,$B135,'DRAFT 2'!$A:$A,"&gt;="&amp;DATE(2026,12,15),'DRAFT 2'!$A:$A,"&lt;="&amp;DATE(2026,12,21))</f>
        <v/>
      </c>
      <c r="IV135" s="116">
        <f>COUNTIFS('DRAFT 2'!$D:$D,$B135,'DRAFT 2'!$A:$A,"&gt;="&amp;DATE(2026,12,22),'DRAFT 2'!$A:$A,"&lt;"&amp;DATE(2026,IF(12=12,12+1,12+1),1))</f>
        <v/>
      </c>
      <c r="IW135" s="116">
        <f>SUM(IS135:IV135)</f>
        <v/>
      </c>
    </row>
    <row r="136">
      <c r="A136" s="116">
        <f>IFERROR(INDEX('DRAFT 1'!$A:$A,MATCH($B136,'DRAFT 1'!$B:$B,0)),"")</f>
        <v/>
      </c>
      <c r="C136" s="116">
        <f>IFERROR(INDEX('DRAFT 1'!$C:$C,MATCH($B136,'DRAFT 1'!$B:$B,0)),"")</f>
        <v/>
      </c>
      <c r="D136" s="116">
        <f>IFERROR(INDEX('DRAFT 1'!$D:$D,MATCH($B136,'DRAFT 1'!$B:$B,0)),"")</f>
        <v/>
      </c>
      <c r="E136" s="116">
        <f>IFERROR(INDEX('DRAFT 1'!$E:$E,MATCH($B136,'DRAFT 1'!$B:$B,0)),"")</f>
        <v/>
      </c>
      <c r="F136" s="116">
        <f>IFERROR(INDEX('DRAFT 1'!$F:$F,MATCH($B136,'DRAFT 1'!$B:$B,0)),"")</f>
        <v/>
      </c>
      <c r="G136" s="116">
        <f>IFERROR(INDEX('DRAFT 1'!$G:$G,MATCH($B136,'DRAFT 1'!$B:$B,0)),"")</f>
        <v/>
      </c>
      <c r="H136" s="116">
        <f>IFERROR(INDEX('DRAFT 1'!$H:$H,MATCH($B136,'DRAFT 1'!$B:$B,0)),"")</f>
        <v/>
      </c>
      <c r="I136" s="116">
        <f>IFERROR(INDEX('DRAFT 1'!$I:$I,MATCH($B136,'DRAFT 1'!$B:$B,0)),"")</f>
        <v/>
      </c>
      <c r="K136" s="116">
        <f>IFERROR(INDEX('DRAFT 1'!$AL:$AL,MATCH($B136,'DRAFT 1'!$B:$B,0)),"")</f>
        <v/>
      </c>
      <c r="L136" s="116">
        <f>IFERROR(INDEX('DRAFT 1'!$J:$J,MATCH($B136,'DRAFT 1'!$B:$B,0)),"")</f>
        <v/>
      </c>
      <c r="M136" s="116">
        <f>IFERROR(INDEX('DRAFT 1'!$K:$K,MATCH($B136,'DRAFT 1'!$B:$B,0)),"")</f>
        <v/>
      </c>
      <c r="P136" s="116">
        <f>IFERROR(INDEX('DRAFT 1'!$L:$L,MATCH($B136,'DRAFT 1'!$B:$B,0)),"")</f>
        <v/>
      </c>
      <c r="Q136" s="116">
        <f>IFERROR(INDEX('DRAFT 1'!$M:$M,MATCH($B136,'DRAFT 1'!$B:$B,0)),"")</f>
        <v/>
      </c>
      <c r="R136" s="116">
        <f>IFERROR(INDEX('DRAFT 1'!$N:$N,MATCH($B136,'DRAFT 1'!$B:$B,0)),"")</f>
        <v/>
      </c>
      <c r="S136" s="116">
        <f>IFERROR(INDEX('DRAFT 1'!$O:$O,MATCH($B136,'DRAFT 1'!$B:$B,0)),"")</f>
        <v/>
      </c>
      <c r="T136" s="116">
        <f>IFERROR(INDEX('DRAFT 1'!$P:$P,MATCH($B136,'DRAFT 1'!$B:$B,0)),"")</f>
        <v/>
      </c>
      <c r="U136" s="116">
        <f>IFERROR(INDEX('DRAFT 1'!$Q:$Q,MATCH($B136,'DRAFT 1'!$B:$B,0)),"")</f>
        <v/>
      </c>
      <c r="V136" s="116">
        <f>IFERROR(INDEX('DRAFT 1'!$R:$R,MATCH($B136,'DRAFT 1'!$B:$B,0)),"")</f>
        <v/>
      </c>
      <c r="W136" s="116">
        <f>IFERROR(INDEX('DRAFT 1'!$S:$S,MATCH($B136,'DRAFT 1'!$B:$B,0)),"")</f>
        <v/>
      </c>
      <c r="X136" s="116">
        <f>IFERROR(INDEX('DRAFT 1'!$T:$T,MATCH($B136,'DRAFT 1'!$B:$B,0)),"")</f>
        <v/>
      </c>
      <c r="Z136" s="116">
        <f>IFERROR(INDEX('DRAFT 1'!$U:$U,MATCH($B136,'DRAFT 1'!$B:$B,0)),"")</f>
        <v/>
      </c>
      <c r="AA136" s="116">
        <f>IFERROR(INDEX('DRAFT 1'!$V:$V,MATCH($B136,'DRAFT 1'!$B:$B,0)),"")</f>
        <v/>
      </c>
      <c r="AB136" s="116">
        <f>IFERROR(INDEX('DRAFT 1'!$W:$W,MATCH($B136,'DRAFT 1'!$B:$B,0)),"")</f>
        <v/>
      </c>
      <c r="AC136" s="116">
        <f>IFERROR(INDEX('DRAFT 1'!$X:$X,MATCH($B136,'DRAFT 1'!$B:$B,0)),"")</f>
        <v/>
      </c>
      <c r="AD136" s="116">
        <f>IFERROR(INDEX('DRAFT 1'!$Y:$Y,MATCH($B136,'DRAFT 1'!$B:$B,0)),"")</f>
        <v/>
      </c>
      <c r="AE136" s="116">
        <f>IFERROR(INDEX('DRAFT 1'!$Z:$Z,MATCH($B136,'DRAFT 1'!$B:$B,0)),"")</f>
        <v/>
      </c>
      <c r="AF136" s="116">
        <f>IFERROR(INDEX('DRAFT 1'!$AA:$AA,MATCH($B136,'DRAFT 1'!$B:$B,0)),"")</f>
        <v/>
      </c>
      <c r="AG136" s="116">
        <f>IFERROR(INDEX('DRAFT 1'!$AB:$AB,MATCH($B136,'DRAFT 1'!$B:$B,0)),"")</f>
        <v/>
      </c>
      <c r="AH136" s="116">
        <f>IFERROR(INDEX('DRAFT 1'!$AC:$AC,MATCH($B136,'DRAFT 1'!$B:$B,0)),"")</f>
        <v/>
      </c>
      <c r="AI136" s="116">
        <f>IFERROR(INDEX('DRAFT 1'!$AD:$AD,MATCH($B136,'DRAFT 1'!$B:$B,0)),"")</f>
        <v/>
      </c>
      <c r="AJ136" s="116">
        <f>IFERROR(INDEX('DRAFT 1'!$AE:$AE,MATCH($B136,'DRAFT 1'!$B:$B,0)),"")</f>
        <v/>
      </c>
      <c r="AK136" s="116">
        <f>IFERROR(INDEX('DRAFT 1'!$AG:$AG,MATCH($B136,'DRAFT 1'!$B:$B,0)),"")</f>
        <v/>
      </c>
      <c r="AL136" s="116">
        <f>IFERROR(INDEX('DRAFT 1'!$AH:$AH,MATCH($B136,'DRAFT 1'!$B:$B,0)),"")</f>
        <v/>
      </c>
      <c r="AM136" s="116">
        <f>IFERROR(INDEX('DRAFT 1'!$AI:$AI,MATCH($B136,'DRAFT 1'!$B:$B,0)),"")</f>
        <v/>
      </c>
      <c r="AN136" s="116">
        <f>IFERROR(INDEX('DRAFT 1'!$AJ:$AJ,MATCH($B136,'DRAFT 1'!$B:$B,0)),"")</f>
        <v/>
      </c>
      <c r="AO136" s="116">
        <f>IFERROR(Y136/AN136,0)</f>
        <v/>
      </c>
      <c r="AP136" s="116">
        <f>IFERROR(INDEX('DRAFT 1'!$AK:$AK,MATCH($B136,'DRAFT 1'!$B:$B,0)),"")</f>
        <v/>
      </c>
      <c r="AR136" s="116">
        <f>IFERROR(LOOKUP(2,1/('DRAFT 2'!$D:$D=$B136),'DRAFT 2'!$I:$I),"")</f>
        <v/>
      </c>
      <c r="AS136" s="116">
        <f>IFERROR(LOOKUP(2,1/('DRAFT 2'!$D:$D=$B136),'DRAFT 2'!$T:$T),"")</f>
        <v/>
      </c>
      <c r="AT136" s="116">
        <f>IFERROR(LOOKUP(2,1/('DRAFT 2'!$D:$D=$B136),'DRAFT 2'!$A:$A),"")</f>
        <v/>
      </c>
      <c r="AU136" s="116">
        <f>IFERROR(LOOKUP(2,1/('DRAFT 2'!$D:$D=$B136),'DRAFT 2'!$R:$R),"")</f>
        <v/>
      </c>
      <c r="AV136" s="116">
        <f>IFERROR(LOOKUP(2,1/('DRAFT 2'!$D:$D=$B136),'DRAFT 2'!$S:$S),"")</f>
        <v/>
      </c>
      <c r="AX136" s="116">
        <f>IFERROR(LOOKUP(2,1/('DRAFT 2'!$D:$D=$B136),'DRAFT 2'!$M:$M),"")</f>
        <v/>
      </c>
      <c r="AY136" s="116">
        <f>IFERROR(LOOKUP(2,1/('DRAFT 2'!$D:$D=$B136),'DRAFT 2'!$K:$K),"")</f>
        <v/>
      </c>
      <c r="BG136" s="116">
        <f>IFERROR(LOOKUP(2,1/('DRAFT 2'!$D:$D=$B136),'DRAFT 2'!$U:$U),"")</f>
        <v/>
      </c>
      <c r="BH136" s="116">
        <f>IFERROR(LOOKUP(2,1/('DRAFT 2'!$D:$D=$B136),'DRAFT 2'!$V:$V),"")</f>
        <v/>
      </c>
      <c r="CE136" s="116">
        <f>IFERROR(AJ136,0)</f>
        <v/>
      </c>
      <c r="CF136" s="116">
        <f>IFERROR(LOOKUP(2,1/('DRAFT 2'!$D:$D=$B136)*('DRAFT 2'!$A:$A&gt;=DATE(2026,1,1))*('DRAFT 2'!$A:$A&lt;DATE(2026,IF(1=12,1+1,1+1),1)),'DRAFT 2'!$A:$A),"")</f>
        <v/>
      </c>
      <c r="CG136" s="116">
        <f>COUNTIFS('DRAFT 2'!$D:$D,$B136,'DRAFT 2'!$A:$A,"&gt;="&amp;DATE(2026,1,1),'DRAFT 2'!$A:$A,"&lt;="&amp;DATE(2026,1,7))</f>
        <v/>
      </c>
      <c r="CH136" s="116">
        <f>COUNTIFS('DRAFT 2'!$D:$D,$B136,'DRAFT 2'!$A:$A,"&gt;="&amp;DATE(2026,1,8),'DRAFT 2'!$A:$A,"&lt;="&amp;DATE(2026,1,14))</f>
        <v/>
      </c>
      <c r="CI136" s="116">
        <f>COUNTIFS('DRAFT 2'!$D:$D,$B136,'DRAFT 2'!$A:$A,"&gt;="&amp;DATE(2026,1,15),'DRAFT 2'!$A:$A,"&lt;="&amp;DATE(2026,1,21))</f>
        <v/>
      </c>
      <c r="CJ136" s="116">
        <f>COUNTIFS('DRAFT 2'!$D:$D,$B136,'DRAFT 2'!$A:$A,"&gt;="&amp;DATE(2026,1,22),'DRAFT 2'!$A:$A,"&lt;"&amp;DATE(2026,IF(1=12,1+1,1+1),1))</f>
        <v/>
      </c>
      <c r="CK136" s="116">
        <f>SUM(CG136:CJ136)</f>
        <v/>
      </c>
      <c r="CT136" s="116" t="n">
        <v>0</v>
      </c>
      <c r="CU136" s="116">
        <f>IFERROR(LOOKUP(2,1/('DRAFT 2'!$D:$D=$B136)*('DRAFT 2'!$A:$A&gt;=DATE(2026,2,1))*('DRAFT 2'!$A:$A&lt;DATE(2026,IF(2=12,2+1,2+1),1)),'DRAFT 2'!$A:$A),"")</f>
        <v/>
      </c>
      <c r="CV136" s="116">
        <f>COUNTIFS('DRAFT 2'!$D:$D,$B136,'DRAFT 2'!$A:$A,"&gt;="&amp;DATE(2026,2,1),'DRAFT 2'!$A:$A,"&lt;="&amp;DATE(2026,2,7))</f>
        <v/>
      </c>
      <c r="CW136" s="116">
        <f>COUNTIFS('DRAFT 2'!$D:$D,$B136,'DRAFT 2'!$A:$A,"&gt;="&amp;DATE(2026,2,8),'DRAFT 2'!$A:$A,"&lt;="&amp;DATE(2026,2,14))</f>
        <v/>
      </c>
      <c r="CX136" s="116">
        <f>COUNTIFS('DRAFT 2'!$D:$D,$B136,'DRAFT 2'!$A:$A,"&gt;="&amp;DATE(2026,2,15),'DRAFT 2'!$A:$A,"&lt;="&amp;DATE(2026,2,21))</f>
        <v/>
      </c>
      <c r="CY136" s="116">
        <f>COUNTIFS('DRAFT 2'!$D:$D,$B136,'DRAFT 2'!$A:$A,"&gt;="&amp;DATE(2026,2,22),'DRAFT 2'!$A:$A,"&lt;"&amp;DATE(2026,IF(2=12,2+1,2+1),1))</f>
        <v/>
      </c>
      <c r="CZ136" s="116">
        <f>SUM(CV136:CY136)</f>
        <v/>
      </c>
      <c r="DJ136" s="116">
        <f>IFERROR(LOOKUP(2,1/('DRAFT 2'!$D:$D=$B136)*('DRAFT 2'!$A:$A&gt;=DATE(2026,3,1))*('DRAFT 2'!$A:$A&lt;DATE(2026,IF(3=12,3+1,3+1),1)),'DRAFT 2'!$A:$A),"")</f>
        <v/>
      </c>
      <c r="DK136" s="116">
        <f>COUNTIFS('DRAFT 2'!$D:$D,$B136,'DRAFT 2'!$A:$A,"&gt;="&amp;DATE(2026,3,1),'DRAFT 2'!$A:$A,"&lt;="&amp;DATE(2026,3,7))</f>
        <v/>
      </c>
      <c r="DL136" s="116">
        <f>COUNTIFS('DRAFT 2'!$D:$D,$B136,'DRAFT 2'!$A:$A,"&gt;="&amp;DATE(2026,3,8),'DRAFT 2'!$A:$A,"&lt;="&amp;DATE(2026,3,14))</f>
        <v/>
      </c>
      <c r="DM136" s="116">
        <f>COUNTIFS('DRAFT 2'!$D:$D,$B136,'DRAFT 2'!$A:$A,"&gt;="&amp;DATE(2026,3,15),'DRAFT 2'!$A:$A,"&lt;="&amp;DATE(2026,3,21))</f>
        <v/>
      </c>
      <c r="DN136" s="116">
        <f>COUNTIFS('DRAFT 2'!$D:$D,$B136,'DRAFT 2'!$A:$A,"&gt;="&amp;DATE(2026,3,22),'DRAFT 2'!$A:$A,"&lt;"&amp;DATE(2026,IF(3=12,3+1,3+1),1))</f>
        <v/>
      </c>
      <c r="DO136" s="116">
        <f>SUM(DK136:DN136)</f>
        <v/>
      </c>
      <c r="DZ136" s="116">
        <f>IFERROR(LOOKUP(2,1/('DRAFT 2'!$D:$D=$B136)*('DRAFT 2'!$A:$A&gt;=DATE(2026,4,1))*('DRAFT 2'!$A:$A&lt;DATE(2026,IF(4=12,4+1,4+1),1)),'DRAFT 2'!$A:$A),"")</f>
        <v/>
      </c>
      <c r="EA136" s="116">
        <f>COUNTIFS('DRAFT 2'!$D:$D,$B136,'DRAFT 2'!$A:$A,"&gt;="&amp;DATE(2026,4,1),'DRAFT 2'!$A:$A,"&lt;="&amp;DATE(2026,4,7))</f>
        <v/>
      </c>
      <c r="EB136" s="116">
        <f>COUNTIFS('DRAFT 2'!$D:$D,$B136,'DRAFT 2'!$A:$A,"&gt;="&amp;DATE(2026,4,8),'DRAFT 2'!$A:$A,"&lt;="&amp;DATE(2026,4,14))</f>
        <v/>
      </c>
      <c r="EC136" s="116">
        <f>COUNTIFS('DRAFT 2'!$D:$D,$B136,'DRAFT 2'!$A:$A,"&gt;="&amp;DATE(2026,4,15),'DRAFT 2'!$A:$A,"&lt;="&amp;DATE(2026,4,21))</f>
        <v/>
      </c>
      <c r="ED136" s="116">
        <f>COUNTIFS('DRAFT 2'!$D:$D,$B136,'DRAFT 2'!$A:$A,"&gt;="&amp;DATE(2026,4,22),'DRAFT 2'!$A:$A,"&lt;"&amp;DATE(2026,IF(4=12,4+1,4+1),1))</f>
        <v/>
      </c>
      <c r="EE136" s="116">
        <f>SUM(EA136:ED136)</f>
        <v/>
      </c>
      <c r="EO136" s="116">
        <f>IFERROR(LOOKUP(2,1/('DRAFT 2'!$D:$D=$B136)*('DRAFT 2'!$A:$A&gt;=DATE(2026,5,1))*('DRAFT 2'!$A:$A&lt;DATE(2026,IF(5=12,5+1,5+1),1)),'DRAFT 2'!$A:$A),"")</f>
        <v/>
      </c>
      <c r="EP136" s="116">
        <f>COUNTIFS('DRAFT 2'!$D:$D,$B136,'DRAFT 2'!$A:$A,"&gt;="&amp;DATE(2026,5,1),'DRAFT 2'!$A:$A,"&lt;="&amp;DATE(2026,5,7))</f>
        <v/>
      </c>
      <c r="EQ136" s="116">
        <f>COUNTIFS('DRAFT 2'!$D:$D,$B136,'DRAFT 2'!$A:$A,"&gt;="&amp;DATE(2026,5,8),'DRAFT 2'!$A:$A,"&lt;="&amp;DATE(2026,5,14))</f>
        <v/>
      </c>
      <c r="ER136" s="116">
        <f>COUNTIFS('DRAFT 2'!$D:$D,$B136,'DRAFT 2'!$A:$A,"&gt;="&amp;DATE(2026,5,15),'DRAFT 2'!$A:$A,"&lt;="&amp;DATE(2026,5,21))</f>
        <v/>
      </c>
      <c r="ES136" s="116">
        <f>COUNTIFS('DRAFT 2'!$D:$D,$B136,'DRAFT 2'!$A:$A,"&gt;="&amp;DATE(2026,5,22),'DRAFT 2'!$A:$A,"&lt;"&amp;DATE(2026,IF(5=12,5+1,5+1),1))</f>
        <v/>
      </c>
      <c r="ET136" s="116">
        <f>SUM(EP136:ES136)</f>
        <v/>
      </c>
      <c r="FD136" s="116">
        <f>IFERROR(LOOKUP(2,1/('DRAFT 2'!$D:$D=$B136)*('DRAFT 2'!$A:$A&gt;=DATE(2026,6,1))*('DRAFT 2'!$A:$A&lt;DATE(2026,IF(6=12,6+1,6+1),1)),'DRAFT 2'!$A:$A),"")</f>
        <v/>
      </c>
      <c r="FE136" s="116">
        <f>COUNTIFS('DRAFT 2'!$D:$D,$B136,'DRAFT 2'!$A:$A,"&gt;="&amp;DATE(2026,6,1),'DRAFT 2'!$A:$A,"&lt;="&amp;DATE(2026,6,7))</f>
        <v/>
      </c>
      <c r="FF136" s="116">
        <f>COUNTIFS('DRAFT 2'!$D:$D,$B136,'DRAFT 2'!$A:$A,"&gt;="&amp;DATE(2026,6,8),'DRAFT 2'!$A:$A,"&lt;="&amp;DATE(2026,6,14))</f>
        <v/>
      </c>
      <c r="FG136" s="116">
        <f>COUNTIFS('DRAFT 2'!$D:$D,$B136,'DRAFT 2'!$A:$A,"&gt;="&amp;DATE(2026,6,15),'DRAFT 2'!$A:$A,"&lt;="&amp;DATE(2026,6,21))</f>
        <v/>
      </c>
      <c r="FH136" s="116">
        <f>COUNTIFS('DRAFT 2'!$D:$D,$B136,'DRAFT 2'!$A:$A,"&gt;="&amp;DATE(2026,6,22),'DRAFT 2'!$A:$A,"&lt;"&amp;DATE(2026,IF(6=12,6+1,6+1),1))</f>
        <v/>
      </c>
      <c r="FI136" s="116">
        <f>SUM(FE136:FH136)</f>
        <v/>
      </c>
      <c r="FT136" s="116">
        <f>IFERROR(LOOKUP(2,1/('DRAFT 2'!$D:$D=$B136)*('DRAFT 2'!$A:$A&gt;=DATE(2026,7,1))*('DRAFT 2'!$A:$A&lt;DATE(2026,IF(7=12,7+1,7+1),1)),'DRAFT 2'!$A:$A),"")</f>
        <v/>
      </c>
      <c r="FU136" s="116">
        <f>COUNTIFS('DRAFT 2'!$D:$D,$B136,'DRAFT 2'!$A:$A,"&gt;="&amp;DATE(2026,7,1),'DRAFT 2'!$A:$A,"&lt;="&amp;DATE(2026,7,7))</f>
        <v/>
      </c>
      <c r="FV136" s="116">
        <f>COUNTIFS('DRAFT 2'!$D:$D,$B136,'DRAFT 2'!$A:$A,"&gt;="&amp;DATE(2026,7,8),'DRAFT 2'!$A:$A,"&lt;="&amp;DATE(2026,7,14))</f>
        <v/>
      </c>
      <c r="FW136" s="116">
        <f>COUNTIFS('DRAFT 2'!$D:$D,$B136,'DRAFT 2'!$A:$A,"&gt;="&amp;DATE(2026,7,15),'DRAFT 2'!$A:$A,"&lt;="&amp;DATE(2026,7,21))</f>
        <v/>
      </c>
      <c r="FX136" s="116">
        <f>COUNTIFS('DRAFT 2'!$D:$D,$B136,'DRAFT 2'!$A:$A,"&gt;="&amp;DATE(2026,7,22),'DRAFT 2'!$A:$A,"&lt;"&amp;DATE(2026,IF(7=12,7+1,7+1),1))</f>
        <v/>
      </c>
      <c r="FY136" s="116">
        <f>SUM(FU136:FX136)</f>
        <v/>
      </c>
      <c r="GI136" s="116">
        <f>IFERROR(LOOKUP(2,1/('DRAFT 2'!$D:$D=$B136)*('DRAFT 2'!$A:$A&gt;=DATE(2026,8,1))*('DRAFT 2'!$A:$A&lt;DATE(2026,IF(8=12,8+1,8+1),1)),'DRAFT 2'!$A:$A),"")</f>
        <v/>
      </c>
      <c r="GJ136" s="116">
        <f>COUNTIFS('DRAFT 2'!$D:$D,$B136,'DRAFT 2'!$A:$A,"&gt;="&amp;DATE(2026,8,1),'DRAFT 2'!$A:$A,"&lt;="&amp;DATE(2026,8,7))</f>
        <v/>
      </c>
      <c r="GK136" s="116">
        <f>COUNTIFS('DRAFT 2'!$D:$D,$B136,'DRAFT 2'!$A:$A,"&gt;="&amp;DATE(2026,8,8),'DRAFT 2'!$A:$A,"&lt;="&amp;DATE(2026,8,14))</f>
        <v/>
      </c>
      <c r="GL136" s="116">
        <f>COUNTIFS('DRAFT 2'!$D:$D,$B136,'DRAFT 2'!$A:$A,"&gt;="&amp;DATE(2026,8,15),'DRAFT 2'!$A:$A,"&lt;="&amp;DATE(2026,8,21))</f>
        <v/>
      </c>
      <c r="GM136" s="116">
        <f>COUNTIFS('DRAFT 2'!$D:$D,$B136,'DRAFT 2'!$A:$A,"&gt;="&amp;DATE(2026,8,22),'DRAFT 2'!$A:$A,"&lt;"&amp;DATE(2026,IF(8=12,8+1,8+1),1))</f>
        <v/>
      </c>
      <c r="GN136" s="116">
        <f>SUM(GJ136:GM136)</f>
        <v/>
      </c>
      <c r="GX136" s="116">
        <f>IFERROR(LOOKUP(2,1/('DRAFT 2'!$D:$D=$B136)*('DRAFT 2'!$A:$A&gt;=DATE(2026,9,1))*('DRAFT 2'!$A:$A&lt;DATE(2026,IF(9=12,9+1,9+1),1)),'DRAFT 2'!$A:$A),"")</f>
        <v/>
      </c>
      <c r="GY136" s="116">
        <f>COUNTIFS('DRAFT 2'!$D:$D,$B136,'DRAFT 2'!$A:$A,"&gt;="&amp;DATE(2026,9,1),'DRAFT 2'!$A:$A,"&lt;="&amp;DATE(2026,9,7))</f>
        <v/>
      </c>
      <c r="GZ136" s="116">
        <f>COUNTIFS('DRAFT 2'!$D:$D,$B136,'DRAFT 2'!$A:$A,"&gt;="&amp;DATE(2026,9,8),'DRAFT 2'!$A:$A,"&lt;="&amp;DATE(2026,9,14))</f>
        <v/>
      </c>
      <c r="HA136" s="116">
        <f>COUNTIFS('DRAFT 2'!$D:$D,$B136,'DRAFT 2'!$A:$A,"&gt;="&amp;DATE(2026,9,15),'DRAFT 2'!$A:$A,"&lt;="&amp;DATE(2026,9,21))</f>
        <v/>
      </c>
      <c r="HB136" s="116">
        <f>COUNTIFS('DRAFT 2'!$D:$D,$B136,'DRAFT 2'!$A:$A,"&gt;="&amp;DATE(2026,9,22),'DRAFT 2'!$A:$A,"&lt;"&amp;DATE(2026,IF(9=12,9+1,9+1),1))</f>
        <v/>
      </c>
      <c r="HC136" s="116">
        <f>SUM(GY136:HB136)</f>
        <v/>
      </c>
      <c r="HN136" s="116">
        <f>IFERROR(LOOKUP(2,1/('DRAFT 2'!$D:$D=$B136)*('DRAFT 2'!$A:$A&gt;=DATE(2026,10,1))*('DRAFT 2'!$A:$A&lt;DATE(2026,IF(10=12,10+1,10+1),1)),'DRAFT 2'!$A:$A),"")</f>
        <v/>
      </c>
      <c r="HO136" s="116">
        <f>COUNTIFS('DRAFT 2'!$D:$D,$B136,'DRAFT 2'!$A:$A,"&gt;="&amp;DATE(2026,10,1),'DRAFT 2'!$A:$A,"&lt;="&amp;DATE(2026,10,7))</f>
        <v/>
      </c>
      <c r="HP136" s="116">
        <f>COUNTIFS('DRAFT 2'!$D:$D,$B136,'DRAFT 2'!$A:$A,"&gt;="&amp;DATE(2026,10,8),'DRAFT 2'!$A:$A,"&lt;="&amp;DATE(2026,10,14))</f>
        <v/>
      </c>
      <c r="HQ136" s="116">
        <f>COUNTIFS('DRAFT 2'!$D:$D,$B136,'DRAFT 2'!$A:$A,"&gt;="&amp;DATE(2026,10,15),'DRAFT 2'!$A:$A,"&lt;="&amp;DATE(2026,10,21))</f>
        <v/>
      </c>
      <c r="HR136" s="116">
        <f>COUNTIFS('DRAFT 2'!$D:$D,$B136,'DRAFT 2'!$A:$A,"&gt;="&amp;DATE(2026,10,22),'DRAFT 2'!$A:$A,"&lt;"&amp;DATE(2026,IF(10=12,10+1,10+1),1))</f>
        <v/>
      </c>
      <c r="HS136" s="116">
        <f>SUM(HO136:HR136)</f>
        <v/>
      </c>
      <c r="IC136" s="116">
        <f>IFERROR(LOOKUP(2,1/('DRAFT 2'!$D:$D=$B136)*('DRAFT 2'!$A:$A&gt;=DATE(2026,11,1))*('DRAFT 2'!$A:$A&lt;DATE(2026,IF(11=12,11+1,11+1),1)),'DRAFT 2'!$A:$A),"")</f>
        <v/>
      </c>
      <c r="ID136" s="116">
        <f>COUNTIFS('DRAFT 2'!$D:$D,$B136,'DRAFT 2'!$A:$A,"&gt;="&amp;DATE(2026,11,1),'DRAFT 2'!$A:$A,"&lt;="&amp;DATE(2026,11,7))</f>
        <v/>
      </c>
      <c r="IE136" s="116">
        <f>COUNTIFS('DRAFT 2'!$D:$D,$B136,'DRAFT 2'!$A:$A,"&gt;="&amp;DATE(2026,11,8),'DRAFT 2'!$A:$A,"&lt;="&amp;DATE(2026,11,14))</f>
        <v/>
      </c>
      <c r="IF136" s="116">
        <f>COUNTIFS('DRAFT 2'!$D:$D,$B136,'DRAFT 2'!$A:$A,"&gt;="&amp;DATE(2026,11,15),'DRAFT 2'!$A:$A,"&lt;="&amp;DATE(2026,11,21))</f>
        <v/>
      </c>
      <c r="IG136" s="116">
        <f>COUNTIFS('DRAFT 2'!$D:$D,$B136,'DRAFT 2'!$A:$A,"&gt;="&amp;DATE(2026,11,22),'DRAFT 2'!$A:$A,"&lt;"&amp;DATE(2026,IF(11=12,11+1,11+1),1))</f>
        <v/>
      </c>
      <c r="IH136" s="116">
        <f>SUM(ID136:IG136)</f>
        <v/>
      </c>
      <c r="IR136" s="116">
        <f>IFERROR(LOOKUP(2,1/('DRAFT 2'!$D:$D=$B136)*('DRAFT 2'!$A:$A&gt;=DATE(2026,12,1))*('DRAFT 2'!$A:$A&lt;DATE(2026,IF(12=12,12+1,12+1),1)),'DRAFT 2'!$A:$A),"")</f>
        <v/>
      </c>
      <c r="IS136" s="116">
        <f>COUNTIFS('DRAFT 2'!$D:$D,$B136,'DRAFT 2'!$A:$A,"&gt;="&amp;DATE(2026,12,1),'DRAFT 2'!$A:$A,"&lt;="&amp;DATE(2026,12,7))</f>
        <v/>
      </c>
      <c r="IT136" s="116">
        <f>COUNTIFS('DRAFT 2'!$D:$D,$B136,'DRAFT 2'!$A:$A,"&gt;="&amp;DATE(2026,12,8),'DRAFT 2'!$A:$A,"&lt;="&amp;DATE(2026,12,14))</f>
        <v/>
      </c>
      <c r="IU136" s="116">
        <f>COUNTIFS('DRAFT 2'!$D:$D,$B136,'DRAFT 2'!$A:$A,"&gt;="&amp;DATE(2026,12,15),'DRAFT 2'!$A:$A,"&lt;="&amp;DATE(2026,12,21))</f>
        <v/>
      </c>
      <c r="IV136" s="116">
        <f>COUNTIFS('DRAFT 2'!$D:$D,$B136,'DRAFT 2'!$A:$A,"&gt;="&amp;DATE(2026,12,22),'DRAFT 2'!$A:$A,"&lt;"&amp;DATE(2026,IF(12=12,12+1,12+1),1))</f>
        <v/>
      </c>
      <c r="IW136" s="116">
        <f>SUM(IS136:IV136)</f>
        <v/>
      </c>
    </row>
    <row r="137">
      <c r="A137" s="116">
        <f>IFERROR(INDEX('DRAFT 1'!$A:$A,MATCH($B137,'DRAFT 1'!$B:$B,0)),"")</f>
        <v/>
      </c>
      <c r="C137" s="116">
        <f>IFERROR(INDEX('DRAFT 1'!$C:$C,MATCH($B137,'DRAFT 1'!$B:$B,0)),"")</f>
        <v/>
      </c>
      <c r="D137" s="116">
        <f>IFERROR(INDEX('DRAFT 1'!$D:$D,MATCH($B137,'DRAFT 1'!$B:$B,0)),"")</f>
        <v/>
      </c>
      <c r="E137" s="116">
        <f>IFERROR(INDEX('DRAFT 1'!$E:$E,MATCH($B137,'DRAFT 1'!$B:$B,0)),"")</f>
        <v/>
      </c>
      <c r="F137" s="116">
        <f>IFERROR(INDEX('DRAFT 1'!$F:$F,MATCH($B137,'DRAFT 1'!$B:$B,0)),"")</f>
        <v/>
      </c>
      <c r="G137" s="116">
        <f>IFERROR(INDEX('DRAFT 1'!$G:$G,MATCH($B137,'DRAFT 1'!$B:$B,0)),"")</f>
        <v/>
      </c>
      <c r="H137" s="116">
        <f>IFERROR(INDEX('DRAFT 1'!$H:$H,MATCH($B137,'DRAFT 1'!$B:$B,0)),"")</f>
        <v/>
      </c>
      <c r="I137" s="116">
        <f>IFERROR(INDEX('DRAFT 1'!$I:$I,MATCH($B137,'DRAFT 1'!$B:$B,0)),"")</f>
        <v/>
      </c>
      <c r="K137" s="116">
        <f>IFERROR(INDEX('DRAFT 1'!$AL:$AL,MATCH($B137,'DRAFT 1'!$B:$B,0)),"")</f>
        <v/>
      </c>
      <c r="L137" s="116">
        <f>IFERROR(INDEX('DRAFT 1'!$J:$J,MATCH($B137,'DRAFT 1'!$B:$B,0)),"")</f>
        <v/>
      </c>
      <c r="M137" s="116">
        <f>IFERROR(INDEX('DRAFT 1'!$K:$K,MATCH($B137,'DRAFT 1'!$B:$B,0)),"")</f>
        <v/>
      </c>
      <c r="P137" s="116">
        <f>IFERROR(INDEX('DRAFT 1'!$L:$L,MATCH($B137,'DRAFT 1'!$B:$B,0)),"")</f>
        <v/>
      </c>
      <c r="Q137" s="116">
        <f>IFERROR(INDEX('DRAFT 1'!$M:$M,MATCH($B137,'DRAFT 1'!$B:$B,0)),"")</f>
        <v/>
      </c>
      <c r="R137" s="116">
        <f>IFERROR(INDEX('DRAFT 1'!$N:$N,MATCH($B137,'DRAFT 1'!$B:$B,0)),"")</f>
        <v/>
      </c>
      <c r="S137" s="116">
        <f>IFERROR(INDEX('DRAFT 1'!$O:$O,MATCH($B137,'DRAFT 1'!$B:$B,0)),"")</f>
        <v/>
      </c>
      <c r="T137" s="116">
        <f>IFERROR(INDEX('DRAFT 1'!$P:$P,MATCH($B137,'DRAFT 1'!$B:$B,0)),"")</f>
        <v/>
      </c>
      <c r="U137" s="116">
        <f>IFERROR(INDEX('DRAFT 1'!$Q:$Q,MATCH($B137,'DRAFT 1'!$B:$B,0)),"")</f>
        <v/>
      </c>
      <c r="V137" s="116">
        <f>IFERROR(INDEX('DRAFT 1'!$R:$R,MATCH($B137,'DRAFT 1'!$B:$B,0)),"")</f>
        <v/>
      </c>
      <c r="W137" s="116">
        <f>IFERROR(INDEX('DRAFT 1'!$S:$S,MATCH($B137,'DRAFT 1'!$B:$B,0)),"")</f>
        <v/>
      </c>
      <c r="X137" s="116">
        <f>IFERROR(INDEX('DRAFT 1'!$T:$T,MATCH($B137,'DRAFT 1'!$B:$B,0)),"")</f>
        <v/>
      </c>
      <c r="Z137" s="116">
        <f>IFERROR(INDEX('DRAFT 1'!$U:$U,MATCH($B137,'DRAFT 1'!$B:$B,0)),"")</f>
        <v/>
      </c>
      <c r="AA137" s="116">
        <f>IFERROR(INDEX('DRAFT 1'!$V:$V,MATCH($B137,'DRAFT 1'!$B:$B,0)),"")</f>
        <v/>
      </c>
      <c r="AB137" s="116">
        <f>IFERROR(INDEX('DRAFT 1'!$W:$W,MATCH($B137,'DRAFT 1'!$B:$B,0)),"")</f>
        <v/>
      </c>
      <c r="AC137" s="116">
        <f>IFERROR(INDEX('DRAFT 1'!$X:$X,MATCH($B137,'DRAFT 1'!$B:$B,0)),"")</f>
        <v/>
      </c>
      <c r="AD137" s="116">
        <f>IFERROR(INDEX('DRAFT 1'!$Y:$Y,MATCH($B137,'DRAFT 1'!$B:$B,0)),"")</f>
        <v/>
      </c>
      <c r="AE137" s="116">
        <f>IFERROR(INDEX('DRAFT 1'!$Z:$Z,MATCH($B137,'DRAFT 1'!$B:$B,0)),"")</f>
        <v/>
      </c>
      <c r="AF137" s="116">
        <f>IFERROR(INDEX('DRAFT 1'!$AA:$AA,MATCH($B137,'DRAFT 1'!$B:$B,0)),"")</f>
        <v/>
      </c>
      <c r="AG137" s="116">
        <f>IFERROR(INDEX('DRAFT 1'!$AB:$AB,MATCH($B137,'DRAFT 1'!$B:$B,0)),"")</f>
        <v/>
      </c>
      <c r="AH137" s="116">
        <f>IFERROR(INDEX('DRAFT 1'!$AC:$AC,MATCH($B137,'DRAFT 1'!$B:$B,0)),"")</f>
        <v/>
      </c>
      <c r="AI137" s="116">
        <f>IFERROR(INDEX('DRAFT 1'!$AD:$AD,MATCH($B137,'DRAFT 1'!$B:$B,0)),"")</f>
        <v/>
      </c>
      <c r="AJ137" s="116">
        <f>IFERROR(INDEX('DRAFT 1'!$AE:$AE,MATCH($B137,'DRAFT 1'!$B:$B,0)),"")</f>
        <v/>
      </c>
      <c r="AK137" s="116">
        <f>IFERROR(INDEX('DRAFT 1'!$AG:$AG,MATCH($B137,'DRAFT 1'!$B:$B,0)),"")</f>
        <v/>
      </c>
      <c r="AL137" s="116">
        <f>IFERROR(INDEX('DRAFT 1'!$AH:$AH,MATCH($B137,'DRAFT 1'!$B:$B,0)),"")</f>
        <v/>
      </c>
      <c r="AM137" s="116">
        <f>IFERROR(INDEX('DRAFT 1'!$AI:$AI,MATCH($B137,'DRAFT 1'!$B:$B,0)),"")</f>
        <v/>
      </c>
      <c r="AN137" s="116">
        <f>IFERROR(INDEX('DRAFT 1'!$AJ:$AJ,MATCH($B137,'DRAFT 1'!$B:$B,0)),"")</f>
        <v/>
      </c>
      <c r="AO137" s="116">
        <f>IFERROR(Y137/AN137,0)</f>
        <v/>
      </c>
      <c r="AP137" s="116">
        <f>IFERROR(INDEX('DRAFT 1'!$AK:$AK,MATCH($B137,'DRAFT 1'!$B:$B,0)),"")</f>
        <v/>
      </c>
      <c r="AR137" s="116">
        <f>IFERROR(LOOKUP(2,1/('DRAFT 2'!$D:$D=$B137),'DRAFT 2'!$I:$I),"")</f>
        <v/>
      </c>
      <c r="AS137" s="116">
        <f>IFERROR(LOOKUP(2,1/('DRAFT 2'!$D:$D=$B137),'DRAFT 2'!$T:$T),"")</f>
        <v/>
      </c>
      <c r="AT137" s="116">
        <f>IFERROR(LOOKUP(2,1/('DRAFT 2'!$D:$D=$B137),'DRAFT 2'!$A:$A),"")</f>
        <v/>
      </c>
      <c r="AU137" s="116">
        <f>IFERROR(LOOKUP(2,1/('DRAFT 2'!$D:$D=$B137),'DRAFT 2'!$R:$R),"")</f>
        <v/>
      </c>
      <c r="AV137" s="116">
        <f>IFERROR(LOOKUP(2,1/('DRAFT 2'!$D:$D=$B137),'DRAFT 2'!$S:$S),"")</f>
        <v/>
      </c>
      <c r="AX137" s="116">
        <f>IFERROR(LOOKUP(2,1/('DRAFT 2'!$D:$D=$B137),'DRAFT 2'!$M:$M),"")</f>
        <v/>
      </c>
      <c r="AY137" s="116">
        <f>IFERROR(LOOKUP(2,1/('DRAFT 2'!$D:$D=$B137),'DRAFT 2'!$K:$K),"")</f>
        <v/>
      </c>
      <c r="BG137" s="116">
        <f>IFERROR(LOOKUP(2,1/('DRAFT 2'!$D:$D=$B137),'DRAFT 2'!$U:$U),"")</f>
        <v/>
      </c>
      <c r="BH137" s="116">
        <f>IFERROR(LOOKUP(2,1/('DRAFT 2'!$D:$D=$B137),'DRAFT 2'!$V:$V),"")</f>
        <v/>
      </c>
      <c r="CE137" s="116">
        <f>IFERROR(AJ137,0)</f>
        <v/>
      </c>
      <c r="CF137" s="116">
        <f>IFERROR(LOOKUP(2,1/('DRAFT 2'!$D:$D=$B137)*('DRAFT 2'!$A:$A&gt;=DATE(2026,1,1))*('DRAFT 2'!$A:$A&lt;DATE(2026,IF(1=12,1+1,1+1),1)),'DRAFT 2'!$A:$A),"")</f>
        <v/>
      </c>
      <c r="CG137" s="116">
        <f>COUNTIFS('DRAFT 2'!$D:$D,$B137,'DRAFT 2'!$A:$A,"&gt;="&amp;DATE(2026,1,1),'DRAFT 2'!$A:$A,"&lt;="&amp;DATE(2026,1,7))</f>
        <v/>
      </c>
      <c r="CH137" s="116">
        <f>COUNTIFS('DRAFT 2'!$D:$D,$B137,'DRAFT 2'!$A:$A,"&gt;="&amp;DATE(2026,1,8),'DRAFT 2'!$A:$A,"&lt;="&amp;DATE(2026,1,14))</f>
        <v/>
      </c>
      <c r="CI137" s="116">
        <f>COUNTIFS('DRAFT 2'!$D:$D,$B137,'DRAFT 2'!$A:$A,"&gt;="&amp;DATE(2026,1,15),'DRAFT 2'!$A:$A,"&lt;="&amp;DATE(2026,1,21))</f>
        <v/>
      </c>
      <c r="CJ137" s="116">
        <f>COUNTIFS('DRAFT 2'!$D:$D,$B137,'DRAFT 2'!$A:$A,"&gt;="&amp;DATE(2026,1,22),'DRAFT 2'!$A:$A,"&lt;"&amp;DATE(2026,IF(1=12,1+1,1+1),1))</f>
        <v/>
      </c>
      <c r="CK137" s="116">
        <f>SUM(CG137:CJ137)</f>
        <v/>
      </c>
      <c r="CT137" s="116" t="n">
        <v>0</v>
      </c>
      <c r="CU137" s="116">
        <f>IFERROR(LOOKUP(2,1/('DRAFT 2'!$D:$D=$B137)*('DRAFT 2'!$A:$A&gt;=DATE(2026,2,1))*('DRAFT 2'!$A:$A&lt;DATE(2026,IF(2=12,2+1,2+1),1)),'DRAFT 2'!$A:$A),"")</f>
        <v/>
      </c>
      <c r="CV137" s="116">
        <f>COUNTIFS('DRAFT 2'!$D:$D,$B137,'DRAFT 2'!$A:$A,"&gt;="&amp;DATE(2026,2,1),'DRAFT 2'!$A:$A,"&lt;="&amp;DATE(2026,2,7))</f>
        <v/>
      </c>
      <c r="CW137" s="116">
        <f>COUNTIFS('DRAFT 2'!$D:$D,$B137,'DRAFT 2'!$A:$A,"&gt;="&amp;DATE(2026,2,8),'DRAFT 2'!$A:$A,"&lt;="&amp;DATE(2026,2,14))</f>
        <v/>
      </c>
      <c r="CX137" s="116">
        <f>COUNTIFS('DRAFT 2'!$D:$D,$B137,'DRAFT 2'!$A:$A,"&gt;="&amp;DATE(2026,2,15),'DRAFT 2'!$A:$A,"&lt;="&amp;DATE(2026,2,21))</f>
        <v/>
      </c>
      <c r="CY137" s="116">
        <f>COUNTIFS('DRAFT 2'!$D:$D,$B137,'DRAFT 2'!$A:$A,"&gt;="&amp;DATE(2026,2,22),'DRAFT 2'!$A:$A,"&lt;"&amp;DATE(2026,IF(2=12,2+1,2+1),1))</f>
        <v/>
      </c>
      <c r="CZ137" s="116">
        <f>SUM(CV137:CY137)</f>
        <v/>
      </c>
      <c r="DJ137" s="116">
        <f>IFERROR(LOOKUP(2,1/('DRAFT 2'!$D:$D=$B137)*('DRAFT 2'!$A:$A&gt;=DATE(2026,3,1))*('DRAFT 2'!$A:$A&lt;DATE(2026,IF(3=12,3+1,3+1),1)),'DRAFT 2'!$A:$A),"")</f>
        <v/>
      </c>
      <c r="DK137" s="116">
        <f>COUNTIFS('DRAFT 2'!$D:$D,$B137,'DRAFT 2'!$A:$A,"&gt;="&amp;DATE(2026,3,1),'DRAFT 2'!$A:$A,"&lt;="&amp;DATE(2026,3,7))</f>
        <v/>
      </c>
      <c r="DL137" s="116">
        <f>COUNTIFS('DRAFT 2'!$D:$D,$B137,'DRAFT 2'!$A:$A,"&gt;="&amp;DATE(2026,3,8),'DRAFT 2'!$A:$A,"&lt;="&amp;DATE(2026,3,14))</f>
        <v/>
      </c>
      <c r="DM137" s="116">
        <f>COUNTIFS('DRAFT 2'!$D:$D,$B137,'DRAFT 2'!$A:$A,"&gt;="&amp;DATE(2026,3,15),'DRAFT 2'!$A:$A,"&lt;="&amp;DATE(2026,3,21))</f>
        <v/>
      </c>
      <c r="DN137" s="116">
        <f>COUNTIFS('DRAFT 2'!$D:$D,$B137,'DRAFT 2'!$A:$A,"&gt;="&amp;DATE(2026,3,22),'DRAFT 2'!$A:$A,"&lt;"&amp;DATE(2026,IF(3=12,3+1,3+1),1))</f>
        <v/>
      </c>
      <c r="DO137" s="116">
        <f>SUM(DK137:DN137)</f>
        <v/>
      </c>
      <c r="DZ137" s="116">
        <f>IFERROR(LOOKUP(2,1/('DRAFT 2'!$D:$D=$B137)*('DRAFT 2'!$A:$A&gt;=DATE(2026,4,1))*('DRAFT 2'!$A:$A&lt;DATE(2026,IF(4=12,4+1,4+1),1)),'DRAFT 2'!$A:$A),"")</f>
        <v/>
      </c>
      <c r="EA137" s="116">
        <f>COUNTIFS('DRAFT 2'!$D:$D,$B137,'DRAFT 2'!$A:$A,"&gt;="&amp;DATE(2026,4,1),'DRAFT 2'!$A:$A,"&lt;="&amp;DATE(2026,4,7))</f>
        <v/>
      </c>
      <c r="EB137" s="116">
        <f>COUNTIFS('DRAFT 2'!$D:$D,$B137,'DRAFT 2'!$A:$A,"&gt;="&amp;DATE(2026,4,8),'DRAFT 2'!$A:$A,"&lt;="&amp;DATE(2026,4,14))</f>
        <v/>
      </c>
      <c r="EC137" s="116">
        <f>COUNTIFS('DRAFT 2'!$D:$D,$B137,'DRAFT 2'!$A:$A,"&gt;="&amp;DATE(2026,4,15),'DRAFT 2'!$A:$A,"&lt;="&amp;DATE(2026,4,21))</f>
        <v/>
      </c>
      <c r="ED137" s="116">
        <f>COUNTIFS('DRAFT 2'!$D:$D,$B137,'DRAFT 2'!$A:$A,"&gt;="&amp;DATE(2026,4,22),'DRAFT 2'!$A:$A,"&lt;"&amp;DATE(2026,IF(4=12,4+1,4+1),1))</f>
        <v/>
      </c>
      <c r="EE137" s="116">
        <f>SUM(EA137:ED137)</f>
        <v/>
      </c>
      <c r="EO137" s="116">
        <f>IFERROR(LOOKUP(2,1/('DRAFT 2'!$D:$D=$B137)*('DRAFT 2'!$A:$A&gt;=DATE(2026,5,1))*('DRAFT 2'!$A:$A&lt;DATE(2026,IF(5=12,5+1,5+1),1)),'DRAFT 2'!$A:$A),"")</f>
        <v/>
      </c>
      <c r="EP137" s="116">
        <f>COUNTIFS('DRAFT 2'!$D:$D,$B137,'DRAFT 2'!$A:$A,"&gt;="&amp;DATE(2026,5,1),'DRAFT 2'!$A:$A,"&lt;="&amp;DATE(2026,5,7))</f>
        <v/>
      </c>
      <c r="EQ137" s="116">
        <f>COUNTIFS('DRAFT 2'!$D:$D,$B137,'DRAFT 2'!$A:$A,"&gt;="&amp;DATE(2026,5,8),'DRAFT 2'!$A:$A,"&lt;="&amp;DATE(2026,5,14))</f>
        <v/>
      </c>
      <c r="ER137" s="116">
        <f>COUNTIFS('DRAFT 2'!$D:$D,$B137,'DRAFT 2'!$A:$A,"&gt;="&amp;DATE(2026,5,15),'DRAFT 2'!$A:$A,"&lt;="&amp;DATE(2026,5,21))</f>
        <v/>
      </c>
      <c r="ES137" s="116">
        <f>COUNTIFS('DRAFT 2'!$D:$D,$B137,'DRAFT 2'!$A:$A,"&gt;="&amp;DATE(2026,5,22),'DRAFT 2'!$A:$A,"&lt;"&amp;DATE(2026,IF(5=12,5+1,5+1),1))</f>
        <v/>
      </c>
      <c r="ET137" s="116">
        <f>SUM(EP137:ES137)</f>
        <v/>
      </c>
      <c r="FD137" s="116">
        <f>IFERROR(LOOKUP(2,1/('DRAFT 2'!$D:$D=$B137)*('DRAFT 2'!$A:$A&gt;=DATE(2026,6,1))*('DRAFT 2'!$A:$A&lt;DATE(2026,IF(6=12,6+1,6+1),1)),'DRAFT 2'!$A:$A),"")</f>
        <v/>
      </c>
      <c r="FE137" s="116">
        <f>COUNTIFS('DRAFT 2'!$D:$D,$B137,'DRAFT 2'!$A:$A,"&gt;="&amp;DATE(2026,6,1),'DRAFT 2'!$A:$A,"&lt;="&amp;DATE(2026,6,7))</f>
        <v/>
      </c>
      <c r="FF137" s="116">
        <f>COUNTIFS('DRAFT 2'!$D:$D,$B137,'DRAFT 2'!$A:$A,"&gt;="&amp;DATE(2026,6,8),'DRAFT 2'!$A:$A,"&lt;="&amp;DATE(2026,6,14))</f>
        <v/>
      </c>
      <c r="FG137" s="116">
        <f>COUNTIFS('DRAFT 2'!$D:$D,$B137,'DRAFT 2'!$A:$A,"&gt;="&amp;DATE(2026,6,15),'DRAFT 2'!$A:$A,"&lt;="&amp;DATE(2026,6,21))</f>
        <v/>
      </c>
      <c r="FH137" s="116">
        <f>COUNTIFS('DRAFT 2'!$D:$D,$B137,'DRAFT 2'!$A:$A,"&gt;="&amp;DATE(2026,6,22),'DRAFT 2'!$A:$A,"&lt;"&amp;DATE(2026,IF(6=12,6+1,6+1),1))</f>
        <v/>
      </c>
      <c r="FI137" s="116">
        <f>SUM(FE137:FH137)</f>
        <v/>
      </c>
      <c r="FT137" s="116">
        <f>IFERROR(LOOKUP(2,1/('DRAFT 2'!$D:$D=$B137)*('DRAFT 2'!$A:$A&gt;=DATE(2026,7,1))*('DRAFT 2'!$A:$A&lt;DATE(2026,IF(7=12,7+1,7+1),1)),'DRAFT 2'!$A:$A),"")</f>
        <v/>
      </c>
      <c r="FU137" s="116">
        <f>COUNTIFS('DRAFT 2'!$D:$D,$B137,'DRAFT 2'!$A:$A,"&gt;="&amp;DATE(2026,7,1),'DRAFT 2'!$A:$A,"&lt;="&amp;DATE(2026,7,7))</f>
        <v/>
      </c>
      <c r="FV137" s="116">
        <f>COUNTIFS('DRAFT 2'!$D:$D,$B137,'DRAFT 2'!$A:$A,"&gt;="&amp;DATE(2026,7,8),'DRAFT 2'!$A:$A,"&lt;="&amp;DATE(2026,7,14))</f>
        <v/>
      </c>
      <c r="FW137" s="116">
        <f>COUNTIFS('DRAFT 2'!$D:$D,$B137,'DRAFT 2'!$A:$A,"&gt;="&amp;DATE(2026,7,15),'DRAFT 2'!$A:$A,"&lt;="&amp;DATE(2026,7,21))</f>
        <v/>
      </c>
      <c r="FX137" s="116">
        <f>COUNTIFS('DRAFT 2'!$D:$D,$B137,'DRAFT 2'!$A:$A,"&gt;="&amp;DATE(2026,7,22),'DRAFT 2'!$A:$A,"&lt;"&amp;DATE(2026,IF(7=12,7+1,7+1),1))</f>
        <v/>
      </c>
      <c r="FY137" s="116">
        <f>SUM(FU137:FX137)</f>
        <v/>
      </c>
      <c r="GI137" s="116">
        <f>IFERROR(LOOKUP(2,1/('DRAFT 2'!$D:$D=$B137)*('DRAFT 2'!$A:$A&gt;=DATE(2026,8,1))*('DRAFT 2'!$A:$A&lt;DATE(2026,IF(8=12,8+1,8+1),1)),'DRAFT 2'!$A:$A),"")</f>
        <v/>
      </c>
      <c r="GJ137" s="116">
        <f>COUNTIFS('DRAFT 2'!$D:$D,$B137,'DRAFT 2'!$A:$A,"&gt;="&amp;DATE(2026,8,1),'DRAFT 2'!$A:$A,"&lt;="&amp;DATE(2026,8,7))</f>
        <v/>
      </c>
      <c r="GK137" s="116">
        <f>COUNTIFS('DRAFT 2'!$D:$D,$B137,'DRAFT 2'!$A:$A,"&gt;="&amp;DATE(2026,8,8),'DRAFT 2'!$A:$A,"&lt;="&amp;DATE(2026,8,14))</f>
        <v/>
      </c>
      <c r="GL137" s="116">
        <f>COUNTIFS('DRAFT 2'!$D:$D,$B137,'DRAFT 2'!$A:$A,"&gt;="&amp;DATE(2026,8,15),'DRAFT 2'!$A:$A,"&lt;="&amp;DATE(2026,8,21))</f>
        <v/>
      </c>
      <c r="GM137" s="116">
        <f>COUNTIFS('DRAFT 2'!$D:$D,$B137,'DRAFT 2'!$A:$A,"&gt;="&amp;DATE(2026,8,22),'DRAFT 2'!$A:$A,"&lt;"&amp;DATE(2026,IF(8=12,8+1,8+1),1))</f>
        <v/>
      </c>
      <c r="GN137" s="116">
        <f>SUM(GJ137:GM137)</f>
        <v/>
      </c>
      <c r="GX137" s="116">
        <f>IFERROR(LOOKUP(2,1/('DRAFT 2'!$D:$D=$B137)*('DRAFT 2'!$A:$A&gt;=DATE(2026,9,1))*('DRAFT 2'!$A:$A&lt;DATE(2026,IF(9=12,9+1,9+1),1)),'DRAFT 2'!$A:$A),"")</f>
        <v/>
      </c>
      <c r="GY137" s="116">
        <f>COUNTIFS('DRAFT 2'!$D:$D,$B137,'DRAFT 2'!$A:$A,"&gt;="&amp;DATE(2026,9,1),'DRAFT 2'!$A:$A,"&lt;="&amp;DATE(2026,9,7))</f>
        <v/>
      </c>
      <c r="GZ137" s="116">
        <f>COUNTIFS('DRAFT 2'!$D:$D,$B137,'DRAFT 2'!$A:$A,"&gt;="&amp;DATE(2026,9,8),'DRAFT 2'!$A:$A,"&lt;="&amp;DATE(2026,9,14))</f>
        <v/>
      </c>
      <c r="HA137" s="116">
        <f>COUNTIFS('DRAFT 2'!$D:$D,$B137,'DRAFT 2'!$A:$A,"&gt;="&amp;DATE(2026,9,15),'DRAFT 2'!$A:$A,"&lt;="&amp;DATE(2026,9,21))</f>
        <v/>
      </c>
      <c r="HB137" s="116">
        <f>COUNTIFS('DRAFT 2'!$D:$D,$B137,'DRAFT 2'!$A:$A,"&gt;="&amp;DATE(2026,9,22),'DRAFT 2'!$A:$A,"&lt;"&amp;DATE(2026,IF(9=12,9+1,9+1),1))</f>
        <v/>
      </c>
      <c r="HC137" s="116">
        <f>SUM(GY137:HB137)</f>
        <v/>
      </c>
      <c r="HN137" s="116">
        <f>IFERROR(LOOKUP(2,1/('DRAFT 2'!$D:$D=$B137)*('DRAFT 2'!$A:$A&gt;=DATE(2026,10,1))*('DRAFT 2'!$A:$A&lt;DATE(2026,IF(10=12,10+1,10+1),1)),'DRAFT 2'!$A:$A),"")</f>
        <v/>
      </c>
      <c r="HO137" s="116">
        <f>COUNTIFS('DRAFT 2'!$D:$D,$B137,'DRAFT 2'!$A:$A,"&gt;="&amp;DATE(2026,10,1),'DRAFT 2'!$A:$A,"&lt;="&amp;DATE(2026,10,7))</f>
        <v/>
      </c>
      <c r="HP137" s="116">
        <f>COUNTIFS('DRAFT 2'!$D:$D,$B137,'DRAFT 2'!$A:$A,"&gt;="&amp;DATE(2026,10,8),'DRAFT 2'!$A:$A,"&lt;="&amp;DATE(2026,10,14))</f>
        <v/>
      </c>
      <c r="HQ137" s="116">
        <f>COUNTIFS('DRAFT 2'!$D:$D,$B137,'DRAFT 2'!$A:$A,"&gt;="&amp;DATE(2026,10,15),'DRAFT 2'!$A:$A,"&lt;="&amp;DATE(2026,10,21))</f>
        <v/>
      </c>
      <c r="HR137" s="116">
        <f>COUNTIFS('DRAFT 2'!$D:$D,$B137,'DRAFT 2'!$A:$A,"&gt;="&amp;DATE(2026,10,22),'DRAFT 2'!$A:$A,"&lt;"&amp;DATE(2026,IF(10=12,10+1,10+1),1))</f>
        <v/>
      </c>
      <c r="HS137" s="116">
        <f>SUM(HO137:HR137)</f>
        <v/>
      </c>
      <c r="IC137" s="116">
        <f>IFERROR(LOOKUP(2,1/('DRAFT 2'!$D:$D=$B137)*('DRAFT 2'!$A:$A&gt;=DATE(2026,11,1))*('DRAFT 2'!$A:$A&lt;DATE(2026,IF(11=12,11+1,11+1),1)),'DRAFT 2'!$A:$A),"")</f>
        <v/>
      </c>
      <c r="ID137" s="116">
        <f>COUNTIFS('DRAFT 2'!$D:$D,$B137,'DRAFT 2'!$A:$A,"&gt;="&amp;DATE(2026,11,1),'DRAFT 2'!$A:$A,"&lt;="&amp;DATE(2026,11,7))</f>
        <v/>
      </c>
      <c r="IE137" s="116">
        <f>COUNTIFS('DRAFT 2'!$D:$D,$B137,'DRAFT 2'!$A:$A,"&gt;="&amp;DATE(2026,11,8),'DRAFT 2'!$A:$A,"&lt;="&amp;DATE(2026,11,14))</f>
        <v/>
      </c>
      <c r="IF137" s="116">
        <f>COUNTIFS('DRAFT 2'!$D:$D,$B137,'DRAFT 2'!$A:$A,"&gt;="&amp;DATE(2026,11,15),'DRAFT 2'!$A:$A,"&lt;="&amp;DATE(2026,11,21))</f>
        <v/>
      </c>
      <c r="IG137" s="116">
        <f>COUNTIFS('DRAFT 2'!$D:$D,$B137,'DRAFT 2'!$A:$A,"&gt;="&amp;DATE(2026,11,22),'DRAFT 2'!$A:$A,"&lt;"&amp;DATE(2026,IF(11=12,11+1,11+1),1))</f>
        <v/>
      </c>
      <c r="IH137" s="116">
        <f>SUM(ID137:IG137)</f>
        <v/>
      </c>
      <c r="IR137" s="116">
        <f>IFERROR(LOOKUP(2,1/('DRAFT 2'!$D:$D=$B137)*('DRAFT 2'!$A:$A&gt;=DATE(2026,12,1))*('DRAFT 2'!$A:$A&lt;DATE(2026,IF(12=12,12+1,12+1),1)),'DRAFT 2'!$A:$A),"")</f>
        <v/>
      </c>
      <c r="IS137" s="116">
        <f>COUNTIFS('DRAFT 2'!$D:$D,$B137,'DRAFT 2'!$A:$A,"&gt;="&amp;DATE(2026,12,1),'DRAFT 2'!$A:$A,"&lt;="&amp;DATE(2026,12,7))</f>
        <v/>
      </c>
      <c r="IT137" s="116">
        <f>COUNTIFS('DRAFT 2'!$D:$D,$B137,'DRAFT 2'!$A:$A,"&gt;="&amp;DATE(2026,12,8),'DRAFT 2'!$A:$A,"&lt;="&amp;DATE(2026,12,14))</f>
        <v/>
      </c>
      <c r="IU137" s="116">
        <f>COUNTIFS('DRAFT 2'!$D:$D,$B137,'DRAFT 2'!$A:$A,"&gt;="&amp;DATE(2026,12,15),'DRAFT 2'!$A:$A,"&lt;="&amp;DATE(2026,12,21))</f>
        <v/>
      </c>
      <c r="IV137" s="116">
        <f>COUNTIFS('DRAFT 2'!$D:$D,$B137,'DRAFT 2'!$A:$A,"&gt;="&amp;DATE(2026,12,22),'DRAFT 2'!$A:$A,"&lt;"&amp;DATE(2026,IF(12=12,12+1,12+1),1))</f>
        <v/>
      </c>
      <c r="IW137" s="116">
        <f>SUM(IS137:IV137)</f>
        <v/>
      </c>
    </row>
    <row r="138">
      <c r="A138" s="116">
        <f>IFERROR(INDEX('DRAFT 1'!$A:$A,MATCH($B138,'DRAFT 1'!$B:$B,0)),"")</f>
        <v/>
      </c>
      <c r="C138" s="116">
        <f>IFERROR(INDEX('DRAFT 1'!$C:$C,MATCH($B138,'DRAFT 1'!$B:$B,0)),"")</f>
        <v/>
      </c>
      <c r="D138" s="116">
        <f>IFERROR(INDEX('DRAFT 1'!$D:$D,MATCH($B138,'DRAFT 1'!$B:$B,0)),"")</f>
        <v/>
      </c>
      <c r="E138" s="116">
        <f>IFERROR(INDEX('DRAFT 1'!$E:$E,MATCH($B138,'DRAFT 1'!$B:$B,0)),"")</f>
        <v/>
      </c>
      <c r="F138" s="116">
        <f>IFERROR(INDEX('DRAFT 1'!$F:$F,MATCH($B138,'DRAFT 1'!$B:$B,0)),"")</f>
        <v/>
      </c>
      <c r="G138" s="116">
        <f>IFERROR(INDEX('DRAFT 1'!$G:$G,MATCH($B138,'DRAFT 1'!$B:$B,0)),"")</f>
        <v/>
      </c>
      <c r="H138" s="116">
        <f>IFERROR(INDEX('DRAFT 1'!$H:$H,MATCH($B138,'DRAFT 1'!$B:$B,0)),"")</f>
        <v/>
      </c>
      <c r="I138" s="116">
        <f>IFERROR(INDEX('DRAFT 1'!$I:$I,MATCH($B138,'DRAFT 1'!$B:$B,0)),"")</f>
        <v/>
      </c>
      <c r="K138" s="116">
        <f>IFERROR(INDEX('DRAFT 1'!$AL:$AL,MATCH($B138,'DRAFT 1'!$B:$B,0)),"")</f>
        <v/>
      </c>
      <c r="L138" s="116">
        <f>IFERROR(INDEX('DRAFT 1'!$J:$J,MATCH($B138,'DRAFT 1'!$B:$B,0)),"")</f>
        <v/>
      </c>
      <c r="M138" s="116">
        <f>IFERROR(INDEX('DRAFT 1'!$K:$K,MATCH($B138,'DRAFT 1'!$B:$B,0)),"")</f>
        <v/>
      </c>
      <c r="P138" s="116">
        <f>IFERROR(INDEX('DRAFT 1'!$L:$L,MATCH($B138,'DRAFT 1'!$B:$B,0)),"")</f>
        <v/>
      </c>
      <c r="Q138" s="116">
        <f>IFERROR(INDEX('DRAFT 1'!$M:$M,MATCH($B138,'DRAFT 1'!$B:$B,0)),"")</f>
        <v/>
      </c>
      <c r="R138" s="116">
        <f>IFERROR(INDEX('DRAFT 1'!$N:$N,MATCH($B138,'DRAFT 1'!$B:$B,0)),"")</f>
        <v/>
      </c>
      <c r="S138" s="116">
        <f>IFERROR(INDEX('DRAFT 1'!$O:$O,MATCH($B138,'DRAFT 1'!$B:$B,0)),"")</f>
        <v/>
      </c>
      <c r="T138" s="116">
        <f>IFERROR(INDEX('DRAFT 1'!$P:$P,MATCH($B138,'DRAFT 1'!$B:$B,0)),"")</f>
        <v/>
      </c>
      <c r="U138" s="116">
        <f>IFERROR(INDEX('DRAFT 1'!$Q:$Q,MATCH($B138,'DRAFT 1'!$B:$B,0)),"")</f>
        <v/>
      </c>
      <c r="V138" s="116">
        <f>IFERROR(INDEX('DRAFT 1'!$R:$R,MATCH($B138,'DRAFT 1'!$B:$B,0)),"")</f>
        <v/>
      </c>
      <c r="W138" s="116">
        <f>IFERROR(INDEX('DRAFT 1'!$S:$S,MATCH($B138,'DRAFT 1'!$B:$B,0)),"")</f>
        <v/>
      </c>
      <c r="X138" s="116">
        <f>IFERROR(INDEX('DRAFT 1'!$T:$T,MATCH($B138,'DRAFT 1'!$B:$B,0)),"")</f>
        <v/>
      </c>
      <c r="Z138" s="116">
        <f>IFERROR(INDEX('DRAFT 1'!$U:$U,MATCH($B138,'DRAFT 1'!$B:$B,0)),"")</f>
        <v/>
      </c>
      <c r="AA138" s="116">
        <f>IFERROR(INDEX('DRAFT 1'!$V:$V,MATCH($B138,'DRAFT 1'!$B:$B,0)),"")</f>
        <v/>
      </c>
      <c r="AB138" s="116">
        <f>IFERROR(INDEX('DRAFT 1'!$W:$W,MATCH($B138,'DRAFT 1'!$B:$B,0)),"")</f>
        <v/>
      </c>
      <c r="AC138" s="116">
        <f>IFERROR(INDEX('DRAFT 1'!$X:$X,MATCH($B138,'DRAFT 1'!$B:$B,0)),"")</f>
        <v/>
      </c>
      <c r="AD138" s="116">
        <f>IFERROR(INDEX('DRAFT 1'!$Y:$Y,MATCH($B138,'DRAFT 1'!$B:$B,0)),"")</f>
        <v/>
      </c>
      <c r="AE138" s="116">
        <f>IFERROR(INDEX('DRAFT 1'!$Z:$Z,MATCH($B138,'DRAFT 1'!$B:$B,0)),"")</f>
        <v/>
      </c>
      <c r="AF138" s="116">
        <f>IFERROR(INDEX('DRAFT 1'!$AA:$AA,MATCH($B138,'DRAFT 1'!$B:$B,0)),"")</f>
        <v/>
      </c>
      <c r="AG138" s="116">
        <f>IFERROR(INDEX('DRAFT 1'!$AB:$AB,MATCH($B138,'DRAFT 1'!$B:$B,0)),"")</f>
        <v/>
      </c>
      <c r="AH138" s="116">
        <f>IFERROR(INDEX('DRAFT 1'!$AC:$AC,MATCH($B138,'DRAFT 1'!$B:$B,0)),"")</f>
        <v/>
      </c>
      <c r="AI138" s="116">
        <f>IFERROR(INDEX('DRAFT 1'!$AD:$AD,MATCH($B138,'DRAFT 1'!$B:$B,0)),"")</f>
        <v/>
      </c>
      <c r="AJ138" s="116">
        <f>IFERROR(INDEX('DRAFT 1'!$AE:$AE,MATCH($B138,'DRAFT 1'!$B:$B,0)),"")</f>
        <v/>
      </c>
      <c r="AK138" s="116">
        <f>IFERROR(INDEX('DRAFT 1'!$AG:$AG,MATCH($B138,'DRAFT 1'!$B:$B,0)),"")</f>
        <v/>
      </c>
      <c r="AL138" s="116">
        <f>IFERROR(INDEX('DRAFT 1'!$AH:$AH,MATCH($B138,'DRAFT 1'!$B:$B,0)),"")</f>
        <v/>
      </c>
      <c r="AM138" s="116">
        <f>IFERROR(INDEX('DRAFT 1'!$AI:$AI,MATCH($B138,'DRAFT 1'!$B:$B,0)),"")</f>
        <v/>
      </c>
      <c r="AN138" s="116">
        <f>IFERROR(INDEX('DRAFT 1'!$AJ:$AJ,MATCH($B138,'DRAFT 1'!$B:$B,0)),"")</f>
        <v/>
      </c>
      <c r="AO138" s="116">
        <f>IFERROR(Y138/AN138,0)</f>
        <v/>
      </c>
      <c r="AP138" s="116">
        <f>IFERROR(INDEX('DRAFT 1'!$AK:$AK,MATCH($B138,'DRAFT 1'!$B:$B,0)),"")</f>
        <v/>
      </c>
      <c r="AR138" s="116">
        <f>IFERROR(LOOKUP(2,1/('DRAFT 2'!$D:$D=$B138),'DRAFT 2'!$I:$I),"")</f>
        <v/>
      </c>
      <c r="AS138" s="116">
        <f>IFERROR(LOOKUP(2,1/('DRAFT 2'!$D:$D=$B138),'DRAFT 2'!$T:$T),"")</f>
        <v/>
      </c>
      <c r="AT138" s="116">
        <f>IFERROR(LOOKUP(2,1/('DRAFT 2'!$D:$D=$B138),'DRAFT 2'!$A:$A),"")</f>
        <v/>
      </c>
      <c r="AU138" s="116">
        <f>IFERROR(LOOKUP(2,1/('DRAFT 2'!$D:$D=$B138),'DRAFT 2'!$R:$R),"")</f>
        <v/>
      </c>
      <c r="AV138" s="116">
        <f>IFERROR(LOOKUP(2,1/('DRAFT 2'!$D:$D=$B138),'DRAFT 2'!$S:$S),"")</f>
        <v/>
      </c>
      <c r="AX138" s="116">
        <f>IFERROR(LOOKUP(2,1/('DRAFT 2'!$D:$D=$B138),'DRAFT 2'!$M:$M),"")</f>
        <v/>
      </c>
      <c r="AY138" s="116">
        <f>IFERROR(LOOKUP(2,1/('DRAFT 2'!$D:$D=$B138),'DRAFT 2'!$K:$K),"")</f>
        <v/>
      </c>
      <c r="BG138" s="116">
        <f>IFERROR(LOOKUP(2,1/('DRAFT 2'!$D:$D=$B138),'DRAFT 2'!$U:$U),"")</f>
        <v/>
      </c>
      <c r="BH138" s="116">
        <f>IFERROR(LOOKUP(2,1/('DRAFT 2'!$D:$D=$B138),'DRAFT 2'!$V:$V),"")</f>
        <v/>
      </c>
      <c r="CE138" s="116">
        <f>IFERROR(AJ138,0)</f>
        <v/>
      </c>
      <c r="CF138" s="116">
        <f>IFERROR(LOOKUP(2,1/('DRAFT 2'!$D:$D=$B138)*('DRAFT 2'!$A:$A&gt;=DATE(2026,1,1))*('DRAFT 2'!$A:$A&lt;DATE(2026,IF(1=12,1+1,1+1),1)),'DRAFT 2'!$A:$A),"")</f>
        <v/>
      </c>
      <c r="CG138" s="116">
        <f>COUNTIFS('DRAFT 2'!$D:$D,$B138,'DRAFT 2'!$A:$A,"&gt;="&amp;DATE(2026,1,1),'DRAFT 2'!$A:$A,"&lt;="&amp;DATE(2026,1,7))</f>
        <v/>
      </c>
      <c r="CH138" s="116">
        <f>COUNTIFS('DRAFT 2'!$D:$D,$B138,'DRAFT 2'!$A:$A,"&gt;="&amp;DATE(2026,1,8),'DRAFT 2'!$A:$A,"&lt;="&amp;DATE(2026,1,14))</f>
        <v/>
      </c>
      <c r="CI138" s="116">
        <f>COUNTIFS('DRAFT 2'!$D:$D,$B138,'DRAFT 2'!$A:$A,"&gt;="&amp;DATE(2026,1,15),'DRAFT 2'!$A:$A,"&lt;="&amp;DATE(2026,1,21))</f>
        <v/>
      </c>
      <c r="CJ138" s="116">
        <f>COUNTIFS('DRAFT 2'!$D:$D,$B138,'DRAFT 2'!$A:$A,"&gt;="&amp;DATE(2026,1,22),'DRAFT 2'!$A:$A,"&lt;"&amp;DATE(2026,IF(1=12,1+1,1+1),1))</f>
        <v/>
      </c>
      <c r="CK138" s="116">
        <f>SUM(CG138:CJ138)</f>
        <v/>
      </c>
      <c r="CT138" s="116" t="n">
        <v>0</v>
      </c>
      <c r="CU138" s="116">
        <f>IFERROR(LOOKUP(2,1/('DRAFT 2'!$D:$D=$B138)*('DRAFT 2'!$A:$A&gt;=DATE(2026,2,1))*('DRAFT 2'!$A:$A&lt;DATE(2026,IF(2=12,2+1,2+1),1)),'DRAFT 2'!$A:$A),"")</f>
        <v/>
      </c>
      <c r="CV138" s="116">
        <f>COUNTIFS('DRAFT 2'!$D:$D,$B138,'DRAFT 2'!$A:$A,"&gt;="&amp;DATE(2026,2,1),'DRAFT 2'!$A:$A,"&lt;="&amp;DATE(2026,2,7))</f>
        <v/>
      </c>
      <c r="CW138" s="116">
        <f>COUNTIFS('DRAFT 2'!$D:$D,$B138,'DRAFT 2'!$A:$A,"&gt;="&amp;DATE(2026,2,8),'DRAFT 2'!$A:$A,"&lt;="&amp;DATE(2026,2,14))</f>
        <v/>
      </c>
      <c r="CX138" s="116">
        <f>COUNTIFS('DRAFT 2'!$D:$D,$B138,'DRAFT 2'!$A:$A,"&gt;="&amp;DATE(2026,2,15),'DRAFT 2'!$A:$A,"&lt;="&amp;DATE(2026,2,21))</f>
        <v/>
      </c>
      <c r="CY138" s="116">
        <f>COUNTIFS('DRAFT 2'!$D:$D,$B138,'DRAFT 2'!$A:$A,"&gt;="&amp;DATE(2026,2,22),'DRAFT 2'!$A:$A,"&lt;"&amp;DATE(2026,IF(2=12,2+1,2+1),1))</f>
        <v/>
      </c>
      <c r="CZ138" s="116">
        <f>SUM(CV138:CY138)</f>
        <v/>
      </c>
      <c r="DJ138" s="116">
        <f>IFERROR(LOOKUP(2,1/('DRAFT 2'!$D:$D=$B138)*('DRAFT 2'!$A:$A&gt;=DATE(2026,3,1))*('DRAFT 2'!$A:$A&lt;DATE(2026,IF(3=12,3+1,3+1),1)),'DRAFT 2'!$A:$A),"")</f>
        <v/>
      </c>
      <c r="DK138" s="116">
        <f>COUNTIFS('DRAFT 2'!$D:$D,$B138,'DRAFT 2'!$A:$A,"&gt;="&amp;DATE(2026,3,1),'DRAFT 2'!$A:$A,"&lt;="&amp;DATE(2026,3,7))</f>
        <v/>
      </c>
      <c r="DL138" s="116">
        <f>COUNTIFS('DRAFT 2'!$D:$D,$B138,'DRAFT 2'!$A:$A,"&gt;="&amp;DATE(2026,3,8),'DRAFT 2'!$A:$A,"&lt;="&amp;DATE(2026,3,14))</f>
        <v/>
      </c>
      <c r="DM138" s="116">
        <f>COUNTIFS('DRAFT 2'!$D:$D,$B138,'DRAFT 2'!$A:$A,"&gt;="&amp;DATE(2026,3,15),'DRAFT 2'!$A:$A,"&lt;="&amp;DATE(2026,3,21))</f>
        <v/>
      </c>
      <c r="DN138" s="116">
        <f>COUNTIFS('DRAFT 2'!$D:$D,$B138,'DRAFT 2'!$A:$A,"&gt;="&amp;DATE(2026,3,22),'DRAFT 2'!$A:$A,"&lt;"&amp;DATE(2026,IF(3=12,3+1,3+1),1))</f>
        <v/>
      </c>
      <c r="DO138" s="116">
        <f>SUM(DK138:DN138)</f>
        <v/>
      </c>
      <c r="DZ138" s="116">
        <f>IFERROR(LOOKUP(2,1/('DRAFT 2'!$D:$D=$B138)*('DRAFT 2'!$A:$A&gt;=DATE(2026,4,1))*('DRAFT 2'!$A:$A&lt;DATE(2026,IF(4=12,4+1,4+1),1)),'DRAFT 2'!$A:$A),"")</f>
        <v/>
      </c>
      <c r="EA138" s="116">
        <f>COUNTIFS('DRAFT 2'!$D:$D,$B138,'DRAFT 2'!$A:$A,"&gt;="&amp;DATE(2026,4,1),'DRAFT 2'!$A:$A,"&lt;="&amp;DATE(2026,4,7))</f>
        <v/>
      </c>
      <c r="EB138" s="116">
        <f>COUNTIFS('DRAFT 2'!$D:$D,$B138,'DRAFT 2'!$A:$A,"&gt;="&amp;DATE(2026,4,8),'DRAFT 2'!$A:$A,"&lt;="&amp;DATE(2026,4,14))</f>
        <v/>
      </c>
      <c r="EC138" s="116">
        <f>COUNTIFS('DRAFT 2'!$D:$D,$B138,'DRAFT 2'!$A:$A,"&gt;="&amp;DATE(2026,4,15),'DRAFT 2'!$A:$A,"&lt;="&amp;DATE(2026,4,21))</f>
        <v/>
      </c>
      <c r="ED138" s="116">
        <f>COUNTIFS('DRAFT 2'!$D:$D,$B138,'DRAFT 2'!$A:$A,"&gt;="&amp;DATE(2026,4,22),'DRAFT 2'!$A:$A,"&lt;"&amp;DATE(2026,IF(4=12,4+1,4+1),1))</f>
        <v/>
      </c>
      <c r="EE138" s="116">
        <f>SUM(EA138:ED138)</f>
        <v/>
      </c>
      <c r="EO138" s="116">
        <f>IFERROR(LOOKUP(2,1/('DRAFT 2'!$D:$D=$B138)*('DRAFT 2'!$A:$A&gt;=DATE(2026,5,1))*('DRAFT 2'!$A:$A&lt;DATE(2026,IF(5=12,5+1,5+1),1)),'DRAFT 2'!$A:$A),"")</f>
        <v/>
      </c>
      <c r="EP138" s="116">
        <f>COUNTIFS('DRAFT 2'!$D:$D,$B138,'DRAFT 2'!$A:$A,"&gt;="&amp;DATE(2026,5,1),'DRAFT 2'!$A:$A,"&lt;="&amp;DATE(2026,5,7))</f>
        <v/>
      </c>
      <c r="EQ138" s="116">
        <f>COUNTIFS('DRAFT 2'!$D:$D,$B138,'DRAFT 2'!$A:$A,"&gt;="&amp;DATE(2026,5,8),'DRAFT 2'!$A:$A,"&lt;="&amp;DATE(2026,5,14))</f>
        <v/>
      </c>
      <c r="ER138" s="116">
        <f>COUNTIFS('DRAFT 2'!$D:$D,$B138,'DRAFT 2'!$A:$A,"&gt;="&amp;DATE(2026,5,15),'DRAFT 2'!$A:$A,"&lt;="&amp;DATE(2026,5,21))</f>
        <v/>
      </c>
      <c r="ES138" s="116">
        <f>COUNTIFS('DRAFT 2'!$D:$D,$B138,'DRAFT 2'!$A:$A,"&gt;="&amp;DATE(2026,5,22),'DRAFT 2'!$A:$A,"&lt;"&amp;DATE(2026,IF(5=12,5+1,5+1),1))</f>
        <v/>
      </c>
      <c r="ET138" s="116">
        <f>SUM(EP138:ES138)</f>
        <v/>
      </c>
      <c r="FD138" s="116">
        <f>IFERROR(LOOKUP(2,1/('DRAFT 2'!$D:$D=$B138)*('DRAFT 2'!$A:$A&gt;=DATE(2026,6,1))*('DRAFT 2'!$A:$A&lt;DATE(2026,IF(6=12,6+1,6+1),1)),'DRAFT 2'!$A:$A),"")</f>
        <v/>
      </c>
      <c r="FE138" s="116">
        <f>COUNTIFS('DRAFT 2'!$D:$D,$B138,'DRAFT 2'!$A:$A,"&gt;="&amp;DATE(2026,6,1),'DRAFT 2'!$A:$A,"&lt;="&amp;DATE(2026,6,7))</f>
        <v/>
      </c>
      <c r="FF138" s="116">
        <f>COUNTIFS('DRAFT 2'!$D:$D,$B138,'DRAFT 2'!$A:$A,"&gt;="&amp;DATE(2026,6,8),'DRAFT 2'!$A:$A,"&lt;="&amp;DATE(2026,6,14))</f>
        <v/>
      </c>
      <c r="FG138" s="116">
        <f>COUNTIFS('DRAFT 2'!$D:$D,$B138,'DRAFT 2'!$A:$A,"&gt;="&amp;DATE(2026,6,15),'DRAFT 2'!$A:$A,"&lt;="&amp;DATE(2026,6,21))</f>
        <v/>
      </c>
      <c r="FH138" s="116">
        <f>COUNTIFS('DRAFT 2'!$D:$D,$B138,'DRAFT 2'!$A:$A,"&gt;="&amp;DATE(2026,6,22),'DRAFT 2'!$A:$A,"&lt;"&amp;DATE(2026,IF(6=12,6+1,6+1),1))</f>
        <v/>
      </c>
      <c r="FI138" s="116">
        <f>SUM(FE138:FH138)</f>
        <v/>
      </c>
      <c r="FT138" s="116">
        <f>IFERROR(LOOKUP(2,1/('DRAFT 2'!$D:$D=$B138)*('DRAFT 2'!$A:$A&gt;=DATE(2026,7,1))*('DRAFT 2'!$A:$A&lt;DATE(2026,IF(7=12,7+1,7+1),1)),'DRAFT 2'!$A:$A),"")</f>
        <v/>
      </c>
      <c r="FU138" s="116">
        <f>COUNTIFS('DRAFT 2'!$D:$D,$B138,'DRAFT 2'!$A:$A,"&gt;="&amp;DATE(2026,7,1),'DRAFT 2'!$A:$A,"&lt;="&amp;DATE(2026,7,7))</f>
        <v/>
      </c>
      <c r="FV138" s="116">
        <f>COUNTIFS('DRAFT 2'!$D:$D,$B138,'DRAFT 2'!$A:$A,"&gt;="&amp;DATE(2026,7,8),'DRAFT 2'!$A:$A,"&lt;="&amp;DATE(2026,7,14))</f>
        <v/>
      </c>
      <c r="FW138" s="116">
        <f>COUNTIFS('DRAFT 2'!$D:$D,$B138,'DRAFT 2'!$A:$A,"&gt;="&amp;DATE(2026,7,15),'DRAFT 2'!$A:$A,"&lt;="&amp;DATE(2026,7,21))</f>
        <v/>
      </c>
      <c r="FX138" s="116">
        <f>COUNTIFS('DRAFT 2'!$D:$D,$B138,'DRAFT 2'!$A:$A,"&gt;="&amp;DATE(2026,7,22),'DRAFT 2'!$A:$A,"&lt;"&amp;DATE(2026,IF(7=12,7+1,7+1),1))</f>
        <v/>
      </c>
      <c r="FY138" s="116">
        <f>SUM(FU138:FX138)</f>
        <v/>
      </c>
      <c r="GI138" s="116">
        <f>IFERROR(LOOKUP(2,1/('DRAFT 2'!$D:$D=$B138)*('DRAFT 2'!$A:$A&gt;=DATE(2026,8,1))*('DRAFT 2'!$A:$A&lt;DATE(2026,IF(8=12,8+1,8+1),1)),'DRAFT 2'!$A:$A),"")</f>
        <v/>
      </c>
      <c r="GJ138" s="116">
        <f>COUNTIFS('DRAFT 2'!$D:$D,$B138,'DRAFT 2'!$A:$A,"&gt;="&amp;DATE(2026,8,1),'DRAFT 2'!$A:$A,"&lt;="&amp;DATE(2026,8,7))</f>
        <v/>
      </c>
      <c r="GK138" s="116">
        <f>COUNTIFS('DRAFT 2'!$D:$D,$B138,'DRAFT 2'!$A:$A,"&gt;="&amp;DATE(2026,8,8),'DRAFT 2'!$A:$A,"&lt;="&amp;DATE(2026,8,14))</f>
        <v/>
      </c>
      <c r="GL138" s="116">
        <f>COUNTIFS('DRAFT 2'!$D:$D,$B138,'DRAFT 2'!$A:$A,"&gt;="&amp;DATE(2026,8,15),'DRAFT 2'!$A:$A,"&lt;="&amp;DATE(2026,8,21))</f>
        <v/>
      </c>
      <c r="GM138" s="116">
        <f>COUNTIFS('DRAFT 2'!$D:$D,$B138,'DRAFT 2'!$A:$A,"&gt;="&amp;DATE(2026,8,22),'DRAFT 2'!$A:$A,"&lt;"&amp;DATE(2026,IF(8=12,8+1,8+1),1))</f>
        <v/>
      </c>
      <c r="GN138" s="116">
        <f>SUM(GJ138:GM138)</f>
        <v/>
      </c>
      <c r="GX138" s="116">
        <f>IFERROR(LOOKUP(2,1/('DRAFT 2'!$D:$D=$B138)*('DRAFT 2'!$A:$A&gt;=DATE(2026,9,1))*('DRAFT 2'!$A:$A&lt;DATE(2026,IF(9=12,9+1,9+1),1)),'DRAFT 2'!$A:$A),"")</f>
        <v/>
      </c>
      <c r="GY138" s="116">
        <f>COUNTIFS('DRAFT 2'!$D:$D,$B138,'DRAFT 2'!$A:$A,"&gt;="&amp;DATE(2026,9,1),'DRAFT 2'!$A:$A,"&lt;="&amp;DATE(2026,9,7))</f>
        <v/>
      </c>
      <c r="GZ138" s="116">
        <f>COUNTIFS('DRAFT 2'!$D:$D,$B138,'DRAFT 2'!$A:$A,"&gt;="&amp;DATE(2026,9,8),'DRAFT 2'!$A:$A,"&lt;="&amp;DATE(2026,9,14))</f>
        <v/>
      </c>
      <c r="HA138" s="116">
        <f>COUNTIFS('DRAFT 2'!$D:$D,$B138,'DRAFT 2'!$A:$A,"&gt;="&amp;DATE(2026,9,15),'DRAFT 2'!$A:$A,"&lt;="&amp;DATE(2026,9,21))</f>
        <v/>
      </c>
      <c r="HB138" s="116">
        <f>COUNTIFS('DRAFT 2'!$D:$D,$B138,'DRAFT 2'!$A:$A,"&gt;="&amp;DATE(2026,9,22),'DRAFT 2'!$A:$A,"&lt;"&amp;DATE(2026,IF(9=12,9+1,9+1),1))</f>
        <v/>
      </c>
      <c r="HC138" s="116">
        <f>SUM(GY138:HB138)</f>
        <v/>
      </c>
      <c r="HN138" s="116">
        <f>IFERROR(LOOKUP(2,1/('DRAFT 2'!$D:$D=$B138)*('DRAFT 2'!$A:$A&gt;=DATE(2026,10,1))*('DRAFT 2'!$A:$A&lt;DATE(2026,IF(10=12,10+1,10+1),1)),'DRAFT 2'!$A:$A),"")</f>
        <v/>
      </c>
      <c r="HO138" s="116">
        <f>COUNTIFS('DRAFT 2'!$D:$D,$B138,'DRAFT 2'!$A:$A,"&gt;="&amp;DATE(2026,10,1),'DRAFT 2'!$A:$A,"&lt;="&amp;DATE(2026,10,7))</f>
        <v/>
      </c>
      <c r="HP138" s="116">
        <f>COUNTIFS('DRAFT 2'!$D:$D,$B138,'DRAFT 2'!$A:$A,"&gt;="&amp;DATE(2026,10,8),'DRAFT 2'!$A:$A,"&lt;="&amp;DATE(2026,10,14))</f>
        <v/>
      </c>
      <c r="HQ138" s="116">
        <f>COUNTIFS('DRAFT 2'!$D:$D,$B138,'DRAFT 2'!$A:$A,"&gt;="&amp;DATE(2026,10,15),'DRAFT 2'!$A:$A,"&lt;="&amp;DATE(2026,10,21))</f>
        <v/>
      </c>
      <c r="HR138" s="116">
        <f>COUNTIFS('DRAFT 2'!$D:$D,$B138,'DRAFT 2'!$A:$A,"&gt;="&amp;DATE(2026,10,22),'DRAFT 2'!$A:$A,"&lt;"&amp;DATE(2026,IF(10=12,10+1,10+1),1))</f>
        <v/>
      </c>
      <c r="HS138" s="116">
        <f>SUM(HO138:HR138)</f>
        <v/>
      </c>
      <c r="IC138" s="116">
        <f>IFERROR(LOOKUP(2,1/('DRAFT 2'!$D:$D=$B138)*('DRAFT 2'!$A:$A&gt;=DATE(2026,11,1))*('DRAFT 2'!$A:$A&lt;DATE(2026,IF(11=12,11+1,11+1),1)),'DRAFT 2'!$A:$A),"")</f>
        <v/>
      </c>
      <c r="ID138" s="116">
        <f>COUNTIFS('DRAFT 2'!$D:$D,$B138,'DRAFT 2'!$A:$A,"&gt;="&amp;DATE(2026,11,1),'DRAFT 2'!$A:$A,"&lt;="&amp;DATE(2026,11,7))</f>
        <v/>
      </c>
      <c r="IE138" s="116">
        <f>COUNTIFS('DRAFT 2'!$D:$D,$B138,'DRAFT 2'!$A:$A,"&gt;="&amp;DATE(2026,11,8),'DRAFT 2'!$A:$A,"&lt;="&amp;DATE(2026,11,14))</f>
        <v/>
      </c>
      <c r="IF138" s="116">
        <f>COUNTIFS('DRAFT 2'!$D:$D,$B138,'DRAFT 2'!$A:$A,"&gt;="&amp;DATE(2026,11,15),'DRAFT 2'!$A:$A,"&lt;="&amp;DATE(2026,11,21))</f>
        <v/>
      </c>
      <c r="IG138" s="116">
        <f>COUNTIFS('DRAFT 2'!$D:$D,$B138,'DRAFT 2'!$A:$A,"&gt;="&amp;DATE(2026,11,22),'DRAFT 2'!$A:$A,"&lt;"&amp;DATE(2026,IF(11=12,11+1,11+1),1))</f>
        <v/>
      </c>
      <c r="IH138" s="116">
        <f>SUM(ID138:IG138)</f>
        <v/>
      </c>
      <c r="IR138" s="116">
        <f>IFERROR(LOOKUP(2,1/('DRAFT 2'!$D:$D=$B138)*('DRAFT 2'!$A:$A&gt;=DATE(2026,12,1))*('DRAFT 2'!$A:$A&lt;DATE(2026,IF(12=12,12+1,12+1),1)),'DRAFT 2'!$A:$A),"")</f>
        <v/>
      </c>
      <c r="IS138" s="116">
        <f>COUNTIFS('DRAFT 2'!$D:$D,$B138,'DRAFT 2'!$A:$A,"&gt;="&amp;DATE(2026,12,1),'DRAFT 2'!$A:$A,"&lt;="&amp;DATE(2026,12,7))</f>
        <v/>
      </c>
      <c r="IT138" s="116">
        <f>COUNTIFS('DRAFT 2'!$D:$D,$B138,'DRAFT 2'!$A:$A,"&gt;="&amp;DATE(2026,12,8),'DRAFT 2'!$A:$A,"&lt;="&amp;DATE(2026,12,14))</f>
        <v/>
      </c>
      <c r="IU138" s="116">
        <f>COUNTIFS('DRAFT 2'!$D:$D,$B138,'DRAFT 2'!$A:$A,"&gt;="&amp;DATE(2026,12,15),'DRAFT 2'!$A:$A,"&lt;="&amp;DATE(2026,12,21))</f>
        <v/>
      </c>
      <c r="IV138" s="116">
        <f>COUNTIFS('DRAFT 2'!$D:$D,$B138,'DRAFT 2'!$A:$A,"&gt;="&amp;DATE(2026,12,22),'DRAFT 2'!$A:$A,"&lt;"&amp;DATE(2026,IF(12=12,12+1,12+1),1))</f>
        <v/>
      </c>
      <c r="IW138" s="116">
        <f>SUM(IS138:IV138)</f>
        <v/>
      </c>
    </row>
    <row r="139">
      <c r="A139" s="116">
        <f>IFERROR(INDEX('DRAFT 1'!$A:$A,MATCH($B139,'DRAFT 1'!$B:$B,0)),"")</f>
        <v/>
      </c>
      <c r="C139" s="116">
        <f>IFERROR(INDEX('DRAFT 1'!$C:$C,MATCH($B139,'DRAFT 1'!$B:$B,0)),"")</f>
        <v/>
      </c>
      <c r="D139" s="116">
        <f>IFERROR(INDEX('DRAFT 1'!$D:$D,MATCH($B139,'DRAFT 1'!$B:$B,0)),"")</f>
        <v/>
      </c>
      <c r="E139" s="116">
        <f>IFERROR(INDEX('DRAFT 1'!$E:$E,MATCH($B139,'DRAFT 1'!$B:$B,0)),"")</f>
        <v/>
      </c>
      <c r="F139" s="116">
        <f>IFERROR(INDEX('DRAFT 1'!$F:$F,MATCH($B139,'DRAFT 1'!$B:$B,0)),"")</f>
        <v/>
      </c>
      <c r="G139" s="116">
        <f>IFERROR(INDEX('DRAFT 1'!$G:$G,MATCH($B139,'DRAFT 1'!$B:$B,0)),"")</f>
        <v/>
      </c>
      <c r="H139" s="116">
        <f>IFERROR(INDEX('DRAFT 1'!$H:$H,MATCH($B139,'DRAFT 1'!$B:$B,0)),"")</f>
        <v/>
      </c>
      <c r="I139" s="116">
        <f>IFERROR(INDEX('DRAFT 1'!$I:$I,MATCH($B139,'DRAFT 1'!$B:$B,0)),"")</f>
        <v/>
      </c>
      <c r="K139" s="116">
        <f>IFERROR(INDEX('DRAFT 1'!$AL:$AL,MATCH($B139,'DRAFT 1'!$B:$B,0)),"")</f>
        <v/>
      </c>
      <c r="L139" s="116">
        <f>IFERROR(INDEX('DRAFT 1'!$J:$J,MATCH($B139,'DRAFT 1'!$B:$B,0)),"")</f>
        <v/>
      </c>
      <c r="M139" s="116">
        <f>IFERROR(INDEX('DRAFT 1'!$K:$K,MATCH($B139,'DRAFT 1'!$B:$B,0)),"")</f>
        <v/>
      </c>
      <c r="P139" s="116">
        <f>IFERROR(INDEX('DRAFT 1'!$L:$L,MATCH($B139,'DRAFT 1'!$B:$B,0)),"")</f>
        <v/>
      </c>
      <c r="Q139" s="116">
        <f>IFERROR(INDEX('DRAFT 1'!$M:$M,MATCH($B139,'DRAFT 1'!$B:$B,0)),"")</f>
        <v/>
      </c>
      <c r="R139" s="116">
        <f>IFERROR(INDEX('DRAFT 1'!$N:$N,MATCH($B139,'DRAFT 1'!$B:$B,0)),"")</f>
        <v/>
      </c>
      <c r="S139" s="116">
        <f>IFERROR(INDEX('DRAFT 1'!$O:$O,MATCH($B139,'DRAFT 1'!$B:$B,0)),"")</f>
        <v/>
      </c>
      <c r="T139" s="116">
        <f>IFERROR(INDEX('DRAFT 1'!$P:$P,MATCH($B139,'DRAFT 1'!$B:$B,0)),"")</f>
        <v/>
      </c>
      <c r="U139" s="116">
        <f>IFERROR(INDEX('DRAFT 1'!$Q:$Q,MATCH($B139,'DRAFT 1'!$B:$B,0)),"")</f>
        <v/>
      </c>
      <c r="V139" s="116">
        <f>IFERROR(INDEX('DRAFT 1'!$R:$R,MATCH($B139,'DRAFT 1'!$B:$B,0)),"")</f>
        <v/>
      </c>
      <c r="W139" s="116">
        <f>IFERROR(INDEX('DRAFT 1'!$S:$S,MATCH($B139,'DRAFT 1'!$B:$B,0)),"")</f>
        <v/>
      </c>
      <c r="X139" s="116">
        <f>IFERROR(INDEX('DRAFT 1'!$T:$T,MATCH($B139,'DRAFT 1'!$B:$B,0)),"")</f>
        <v/>
      </c>
      <c r="Z139" s="116">
        <f>IFERROR(INDEX('DRAFT 1'!$U:$U,MATCH($B139,'DRAFT 1'!$B:$B,0)),"")</f>
        <v/>
      </c>
      <c r="AA139" s="116">
        <f>IFERROR(INDEX('DRAFT 1'!$V:$V,MATCH($B139,'DRAFT 1'!$B:$B,0)),"")</f>
        <v/>
      </c>
      <c r="AB139" s="116">
        <f>IFERROR(INDEX('DRAFT 1'!$W:$W,MATCH($B139,'DRAFT 1'!$B:$B,0)),"")</f>
        <v/>
      </c>
      <c r="AC139" s="116">
        <f>IFERROR(INDEX('DRAFT 1'!$X:$X,MATCH($B139,'DRAFT 1'!$B:$B,0)),"")</f>
        <v/>
      </c>
      <c r="AD139" s="116">
        <f>IFERROR(INDEX('DRAFT 1'!$Y:$Y,MATCH($B139,'DRAFT 1'!$B:$B,0)),"")</f>
        <v/>
      </c>
      <c r="AE139" s="116">
        <f>IFERROR(INDEX('DRAFT 1'!$Z:$Z,MATCH($B139,'DRAFT 1'!$B:$B,0)),"")</f>
        <v/>
      </c>
      <c r="AF139" s="116">
        <f>IFERROR(INDEX('DRAFT 1'!$AA:$AA,MATCH($B139,'DRAFT 1'!$B:$B,0)),"")</f>
        <v/>
      </c>
      <c r="AG139" s="116">
        <f>IFERROR(INDEX('DRAFT 1'!$AB:$AB,MATCH($B139,'DRAFT 1'!$B:$B,0)),"")</f>
        <v/>
      </c>
      <c r="AH139" s="116">
        <f>IFERROR(INDEX('DRAFT 1'!$AC:$AC,MATCH($B139,'DRAFT 1'!$B:$B,0)),"")</f>
        <v/>
      </c>
      <c r="AI139" s="116">
        <f>IFERROR(INDEX('DRAFT 1'!$AD:$AD,MATCH($B139,'DRAFT 1'!$B:$B,0)),"")</f>
        <v/>
      </c>
      <c r="AJ139" s="116">
        <f>IFERROR(INDEX('DRAFT 1'!$AE:$AE,MATCH($B139,'DRAFT 1'!$B:$B,0)),"")</f>
        <v/>
      </c>
      <c r="AK139" s="116">
        <f>IFERROR(INDEX('DRAFT 1'!$AG:$AG,MATCH($B139,'DRAFT 1'!$B:$B,0)),"")</f>
        <v/>
      </c>
      <c r="AL139" s="116">
        <f>IFERROR(INDEX('DRAFT 1'!$AH:$AH,MATCH($B139,'DRAFT 1'!$B:$B,0)),"")</f>
        <v/>
      </c>
      <c r="AM139" s="116">
        <f>IFERROR(INDEX('DRAFT 1'!$AI:$AI,MATCH($B139,'DRAFT 1'!$B:$B,0)),"")</f>
        <v/>
      </c>
      <c r="AN139" s="116">
        <f>IFERROR(INDEX('DRAFT 1'!$AJ:$AJ,MATCH($B139,'DRAFT 1'!$B:$B,0)),"")</f>
        <v/>
      </c>
      <c r="AO139" s="116">
        <f>IFERROR(Y139/AN139,0)</f>
        <v/>
      </c>
      <c r="AP139" s="116">
        <f>IFERROR(INDEX('DRAFT 1'!$AK:$AK,MATCH($B139,'DRAFT 1'!$B:$B,0)),"")</f>
        <v/>
      </c>
      <c r="AR139" s="116">
        <f>IFERROR(LOOKUP(2,1/('DRAFT 2'!$D:$D=$B139),'DRAFT 2'!$I:$I),"")</f>
        <v/>
      </c>
      <c r="AS139" s="116">
        <f>IFERROR(LOOKUP(2,1/('DRAFT 2'!$D:$D=$B139),'DRAFT 2'!$T:$T),"")</f>
        <v/>
      </c>
      <c r="AT139" s="116">
        <f>IFERROR(LOOKUP(2,1/('DRAFT 2'!$D:$D=$B139),'DRAFT 2'!$A:$A),"")</f>
        <v/>
      </c>
      <c r="AU139" s="116">
        <f>IFERROR(LOOKUP(2,1/('DRAFT 2'!$D:$D=$B139),'DRAFT 2'!$R:$R),"")</f>
        <v/>
      </c>
      <c r="AV139" s="116">
        <f>IFERROR(LOOKUP(2,1/('DRAFT 2'!$D:$D=$B139),'DRAFT 2'!$S:$S),"")</f>
        <v/>
      </c>
      <c r="AX139" s="116">
        <f>IFERROR(LOOKUP(2,1/('DRAFT 2'!$D:$D=$B139),'DRAFT 2'!$M:$M),"")</f>
        <v/>
      </c>
      <c r="AY139" s="116">
        <f>IFERROR(LOOKUP(2,1/('DRAFT 2'!$D:$D=$B139),'DRAFT 2'!$K:$K),"")</f>
        <v/>
      </c>
      <c r="BG139" s="116">
        <f>IFERROR(LOOKUP(2,1/('DRAFT 2'!$D:$D=$B139),'DRAFT 2'!$U:$U),"")</f>
        <v/>
      </c>
      <c r="BH139" s="116">
        <f>IFERROR(LOOKUP(2,1/('DRAFT 2'!$D:$D=$B139),'DRAFT 2'!$V:$V),"")</f>
        <v/>
      </c>
      <c r="CE139" s="116">
        <f>IFERROR(AJ139,0)</f>
        <v/>
      </c>
      <c r="CF139" s="116">
        <f>IFERROR(LOOKUP(2,1/('DRAFT 2'!$D:$D=$B139)*('DRAFT 2'!$A:$A&gt;=DATE(2026,1,1))*('DRAFT 2'!$A:$A&lt;DATE(2026,IF(1=12,1+1,1+1),1)),'DRAFT 2'!$A:$A),"")</f>
        <v/>
      </c>
      <c r="CG139" s="116">
        <f>COUNTIFS('DRAFT 2'!$D:$D,$B139,'DRAFT 2'!$A:$A,"&gt;="&amp;DATE(2026,1,1),'DRAFT 2'!$A:$A,"&lt;="&amp;DATE(2026,1,7))</f>
        <v/>
      </c>
      <c r="CH139" s="116">
        <f>COUNTIFS('DRAFT 2'!$D:$D,$B139,'DRAFT 2'!$A:$A,"&gt;="&amp;DATE(2026,1,8),'DRAFT 2'!$A:$A,"&lt;="&amp;DATE(2026,1,14))</f>
        <v/>
      </c>
      <c r="CI139" s="116">
        <f>COUNTIFS('DRAFT 2'!$D:$D,$B139,'DRAFT 2'!$A:$A,"&gt;="&amp;DATE(2026,1,15),'DRAFT 2'!$A:$A,"&lt;="&amp;DATE(2026,1,21))</f>
        <v/>
      </c>
      <c r="CJ139" s="116">
        <f>COUNTIFS('DRAFT 2'!$D:$D,$B139,'DRAFT 2'!$A:$A,"&gt;="&amp;DATE(2026,1,22),'DRAFT 2'!$A:$A,"&lt;"&amp;DATE(2026,IF(1=12,1+1,1+1),1))</f>
        <v/>
      </c>
      <c r="CK139" s="116">
        <f>SUM(CG139:CJ139)</f>
        <v/>
      </c>
      <c r="CT139" s="116" t="n">
        <v>0</v>
      </c>
      <c r="CU139" s="116">
        <f>IFERROR(LOOKUP(2,1/('DRAFT 2'!$D:$D=$B139)*('DRAFT 2'!$A:$A&gt;=DATE(2026,2,1))*('DRAFT 2'!$A:$A&lt;DATE(2026,IF(2=12,2+1,2+1),1)),'DRAFT 2'!$A:$A),"")</f>
        <v/>
      </c>
      <c r="CV139" s="116">
        <f>COUNTIFS('DRAFT 2'!$D:$D,$B139,'DRAFT 2'!$A:$A,"&gt;="&amp;DATE(2026,2,1),'DRAFT 2'!$A:$A,"&lt;="&amp;DATE(2026,2,7))</f>
        <v/>
      </c>
      <c r="CW139" s="116">
        <f>COUNTIFS('DRAFT 2'!$D:$D,$B139,'DRAFT 2'!$A:$A,"&gt;="&amp;DATE(2026,2,8),'DRAFT 2'!$A:$A,"&lt;="&amp;DATE(2026,2,14))</f>
        <v/>
      </c>
      <c r="CX139" s="116">
        <f>COUNTIFS('DRAFT 2'!$D:$D,$B139,'DRAFT 2'!$A:$A,"&gt;="&amp;DATE(2026,2,15),'DRAFT 2'!$A:$A,"&lt;="&amp;DATE(2026,2,21))</f>
        <v/>
      </c>
      <c r="CY139" s="116">
        <f>COUNTIFS('DRAFT 2'!$D:$D,$B139,'DRAFT 2'!$A:$A,"&gt;="&amp;DATE(2026,2,22),'DRAFT 2'!$A:$A,"&lt;"&amp;DATE(2026,IF(2=12,2+1,2+1),1))</f>
        <v/>
      </c>
      <c r="CZ139" s="116">
        <f>SUM(CV139:CY139)</f>
        <v/>
      </c>
      <c r="DJ139" s="116">
        <f>IFERROR(LOOKUP(2,1/('DRAFT 2'!$D:$D=$B139)*('DRAFT 2'!$A:$A&gt;=DATE(2026,3,1))*('DRAFT 2'!$A:$A&lt;DATE(2026,IF(3=12,3+1,3+1),1)),'DRAFT 2'!$A:$A),"")</f>
        <v/>
      </c>
      <c r="DK139" s="116">
        <f>COUNTIFS('DRAFT 2'!$D:$D,$B139,'DRAFT 2'!$A:$A,"&gt;="&amp;DATE(2026,3,1),'DRAFT 2'!$A:$A,"&lt;="&amp;DATE(2026,3,7))</f>
        <v/>
      </c>
      <c r="DL139" s="116">
        <f>COUNTIFS('DRAFT 2'!$D:$D,$B139,'DRAFT 2'!$A:$A,"&gt;="&amp;DATE(2026,3,8),'DRAFT 2'!$A:$A,"&lt;="&amp;DATE(2026,3,14))</f>
        <v/>
      </c>
      <c r="DM139" s="116">
        <f>COUNTIFS('DRAFT 2'!$D:$D,$B139,'DRAFT 2'!$A:$A,"&gt;="&amp;DATE(2026,3,15),'DRAFT 2'!$A:$A,"&lt;="&amp;DATE(2026,3,21))</f>
        <v/>
      </c>
      <c r="DN139" s="116">
        <f>COUNTIFS('DRAFT 2'!$D:$D,$B139,'DRAFT 2'!$A:$A,"&gt;="&amp;DATE(2026,3,22),'DRAFT 2'!$A:$A,"&lt;"&amp;DATE(2026,IF(3=12,3+1,3+1),1))</f>
        <v/>
      </c>
      <c r="DO139" s="116">
        <f>SUM(DK139:DN139)</f>
        <v/>
      </c>
      <c r="DZ139" s="116">
        <f>IFERROR(LOOKUP(2,1/('DRAFT 2'!$D:$D=$B139)*('DRAFT 2'!$A:$A&gt;=DATE(2026,4,1))*('DRAFT 2'!$A:$A&lt;DATE(2026,IF(4=12,4+1,4+1),1)),'DRAFT 2'!$A:$A),"")</f>
        <v/>
      </c>
      <c r="EA139" s="116">
        <f>COUNTIFS('DRAFT 2'!$D:$D,$B139,'DRAFT 2'!$A:$A,"&gt;="&amp;DATE(2026,4,1),'DRAFT 2'!$A:$A,"&lt;="&amp;DATE(2026,4,7))</f>
        <v/>
      </c>
      <c r="EB139" s="116">
        <f>COUNTIFS('DRAFT 2'!$D:$D,$B139,'DRAFT 2'!$A:$A,"&gt;="&amp;DATE(2026,4,8),'DRAFT 2'!$A:$A,"&lt;="&amp;DATE(2026,4,14))</f>
        <v/>
      </c>
      <c r="EC139" s="116">
        <f>COUNTIFS('DRAFT 2'!$D:$D,$B139,'DRAFT 2'!$A:$A,"&gt;="&amp;DATE(2026,4,15),'DRAFT 2'!$A:$A,"&lt;="&amp;DATE(2026,4,21))</f>
        <v/>
      </c>
      <c r="ED139" s="116">
        <f>COUNTIFS('DRAFT 2'!$D:$D,$B139,'DRAFT 2'!$A:$A,"&gt;="&amp;DATE(2026,4,22),'DRAFT 2'!$A:$A,"&lt;"&amp;DATE(2026,IF(4=12,4+1,4+1),1))</f>
        <v/>
      </c>
      <c r="EE139" s="116">
        <f>SUM(EA139:ED139)</f>
        <v/>
      </c>
      <c r="EO139" s="116">
        <f>IFERROR(LOOKUP(2,1/('DRAFT 2'!$D:$D=$B139)*('DRAFT 2'!$A:$A&gt;=DATE(2026,5,1))*('DRAFT 2'!$A:$A&lt;DATE(2026,IF(5=12,5+1,5+1),1)),'DRAFT 2'!$A:$A),"")</f>
        <v/>
      </c>
      <c r="EP139" s="116">
        <f>COUNTIFS('DRAFT 2'!$D:$D,$B139,'DRAFT 2'!$A:$A,"&gt;="&amp;DATE(2026,5,1),'DRAFT 2'!$A:$A,"&lt;="&amp;DATE(2026,5,7))</f>
        <v/>
      </c>
      <c r="EQ139" s="116">
        <f>COUNTIFS('DRAFT 2'!$D:$D,$B139,'DRAFT 2'!$A:$A,"&gt;="&amp;DATE(2026,5,8),'DRAFT 2'!$A:$A,"&lt;="&amp;DATE(2026,5,14))</f>
        <v/>
      </c>
      <c r="ER139" s="116">
        <f>COUNTIFS('DRAFT 2'!$D:$D,$B139,'DRAFT 2'!$A:$A,"&gt;="&amp;DATE(2026,5,15),'DRAFT 2'!$A:$A,"&lt;="&amp;DATE(2026,5,21))</f>
        <v/>
      </c>
      <c r="ES139" s="116">
        <f>COUNTIFS('DRAFT 2'!$D:$D,$B139,'DRAFT 2'!$A:$A,"&gt;="&amp;DATE(2026,5,22),'DRAFT 2'!$A:$A,"&lt;"&amp;DATE(2026,IF(5=12,5+1,5+1),1))</f>
        <v/>
      </c>
      <c r="ET139" s="116">
        <f>SUM(EP139:ES139)</f>
        <v/>
      </c>
      <c r="FD139" s="116">
        <f>IFERROR(LOOKUP(2,1/('DRAFT 2'!$D:$D=$B139)*('DRAFT 2'!$A:$A&gt;=DATE(2026,6,1))*('DRAFT 2'!$A:$A&lt;DATE(2026,IF(6=12,6+1,6+1),1)),'DRAFT 2'!$A:$A),"")</f>
        <v/>
      </c>
      <c r="FE139" s="116">
        <f>COUNTIFS('DRAFT 2'!$D:$D,$B139,'DRAFT 2'!$A:$A,"&gt;="&amp;DATE(2026,6,1),'DRAFT 2'!$A:$A,"&lt;="&amp;DATE(2026,6,7))</f>
        <v/>
      </c>
      <c r="FF139" s="116">
        <f>COUNTIFS('DRAFT 2'!$D:$D,$B139,'DRAFT 2'!$A:$A,"&gt;="&amp;DATE(2026,6,8),'DRAFT 2'!$A:$A,"&lt;="&amp;DATE(2026,6,14))</f>
        <v/>
      </c>
      <c r="FG139" s="116">
        <f>COUNTIFS('DRAFT 2'!$D:$D,$B139,'DRAFT 2'!$A:$A,"&gt;="&amp;DATE(2026,6,15),'DRAFT 2'!$A:$A,"&lt;="&amp;DATE(2026,6,21))</f>
        <v/>
      </c>
      <c r="FH139" s="116">
        <f>COUNTIFS('DRAFT 2'!$D:$D,$B139,'DRAFT 2'!$A:$A,"&gt;="&amp;DATE(2026,6,22),'DRAFT 2'!$A:$A,"&lt;"&amp;DATE(2026,IF(6=12,6+1,6+1),1))</f>
        <v/>
      </c>
      <c r="FI139" s="116">
        <f>SUM(FE139:FH139)</f>
        <v/>
      </c>
      <c r="FT139" s="116">
        <f>IFERROR(LOOKUP(2,1/('DRAFT 2'!$D:$D=$B139)*('DRAFT 2'!$A:$A&gt;=DATE(2026,7,1))*('DRAFT 2'!$A:$A&lt;DATE(2026,IF(7=12,7+1,7+1),1)),'DRAFT 2'!$A:$A),"")</f>
        <v/>
      </c>
      <c r="FU139" s="116">
        <f>COUNTIFS('DRAFT 2'!$D:$D,$B139,'DRAFT 2'!$A:$A,"&gt;="&amp;DATE(2026,7,1),'DRAFT 2'!$A:$A,"&lt;="&amp;DATE(2026,7,7))</f>
        <v/>
      </c>
      <c r="FV139" s="116">
        <f>COUNTIFS('DRAFT 2'!$D:$D,$B139,'DRAFT 2'!$A:$A,"&gt;="&amp;DATE(2026,7,8),'DRAFT 2'!$A:$A,"&lt;="&amp;DATE(2026,7,14))</f>
        <v/>
      </c>
      <c r="FW139" s="116">
        <f>COUNTIFS('DRAFT 2'!$D:$D,$B139,'DRAFT 2'!$A:$A,"&gt;="&amp;DATE(2026,7,15),'DRAFT 2'!$A:$A,"&lt;="&amp;DATE(2026,7,21))</f>
        <v/>
      </c>
      <c r="FX139" s="116">
        <f>COUNTIFS('DRAFT 2'!$D:$D,$B139,'DRAFT 2'!$A:$A,"&gt;="&amp;DATE(2026,7,22),'DRAFT 2'!$A:$A,"&lt;"&amp;DATE(2026,IF(7=12,7+1,7+1),1))</f>
        <v/>
      </c>
      <c r="FY139" s="116">
        <f>SUM(FU139:FX139)</f>
        <v/>
      </c>
      <c r="GI139" s="116">
        <f>IFERROR(LOOKUP(2,1/('DRAFT 2'!$D:$D=$B139)*('DRAFT 2'!$A:$A&gt;=DATE(2026,8,1))*('DRAFT 2'!$A:$A&lt;DATE(2026,IF(8=12,8+1,8+1),1)),'DRAFT 2'!$A:$A),"")</f>
        <v/>
      </c>
      <c r="GJ139" s="116">
        <f>COUNTIFS('DRAFT 2'!$D:$D,$B139,'DRAFT 2'!$A:$A,"&gt;="&amp;DATE(2026,8,1),'DRAFT 2'!$A:$A,"&lt;="&amp;DATE(2026,8,7))</f>
        <v/>
      </c>
      <c r="GK139" s="116">
        <f>COUNTIFS('DRAFT 2'!$D:$D,$B139,'DRAFT 2'!$A:$A,"&gt;="&amp;DATE(2026,8,8),'DRAFT 2'!$A:$A,"&lt;="&amp;DATE(2026,8,14))</f>
        <v/>
      </c>
      <c r="GL139" s="116">
        <f>COUNTIFS('DRAFT 2'!$D:$D,$B139,'DRAFT 2'!$A:$A,"&gt;="&amp;DATE(2026,8,15),'DRAFT 2'!$A:$A,"&lt;="&amp;DATE(2026,8,21))</f>
        <v/>
      </c>
      <c r="GM139" s="116">
        <f>COUNTIFS('DRAFT 2'!$D:$D,$B139,'DRAFT 2'!$A:$A,"&gt;="&amp;DATE(2026,8,22),'DRAFT 2'!$A:$A,"&lt;"&amp;DATE(2026,IF(8=12,8+1,8+1),1))</f>
        <v/>
      </c>
      <c r="GN139" s="116">
        <f>SUM(GJ139:GM139)</f>
        <v/>
      </c>
      <c r="GX139" s="116">
        <f>IFERROR(LOOKUP(2,1/('DRAFT 2'!$D:$D=$B139)*('DRAFT 2'!$A:$A&gt;=DATE(2026,9,1))*('DRAFT 2'!$A:$A&lt;DATE(2026,IF(9=12,9+1,9+1),1)),'DRAFT 2'!$A:$A),"")</f>
        <v/>
      </c>
      <c r="GY139" s="116">
        <f>COUNTIFS('DRAFT 2'!$D:$D,$B139,'DRAFT 2'!$A:$A,"&gt;="&amp;DATE(2026,9,1),'DRAFT 2'!$A:$A,"&lt;="&amp;DATE(2026,9,7))</f>
        <v/>
      </c>
      <c r="GZ139" s="116">
        <f>COUNTIFS('DRAFT 2'!$D:$D,$B139,'DRAFT 2'!$A:$A,"&gt;="&amp;DATE(2026,9,8),'DRAFT 2'!$A:$A,"&lt;="&amp;DATE(2026,9,14))</f>
        <v/>
      </c>
      <c r="HA139" s="116">
        <f>COUNTIFS('DRAFT 2'!$D:$D,$B139,'DRAFT 2'!$A:$A,"&gt;="&amp;DATE(2026,9,15),'DRAFT 2'!$A:$A,"&lt;="&amp;DATE(2026,9,21))</f>
        <v/>
      </c>
      <c r="HB139" s="116">
        <f>COUNTIFS('DRAFT 2'!$D:$D,$B139,'DRAFT 2'!$A:$A,"&gt;="&amp;DATE(2026,9,22),'DRAFT 2'!$A:$A,"&lt;"&amp;DATE(2026,IF(9=12,9+1,9+1),1))</f>
        <v/>
      </c>
      <c r="HC139" s="116">
        <f>SUM(GY139:HB139)</f>
        <v/>
      </c>
      <c r="HN139" s="116">
        <f>IFERROR(LOOKUP(2,1/('DRAFT 2'!$D:$D=$B139)*('DRAFT 2'!$A:$A&gt;=DATE(2026,10,1))*('DRAFT 2'!$A:$A&lt;DATE(2026,IF(10=12,10+1,10+1),1)),'DRAFT 2'!$A:$A),"")</f>
        <v/>
      </c>
      <c r="HO139" s="116">
        <f>COUNTIFS('DRAFT 2'!$D:$D,$B139,'DRAFT 2'!$A:$A,"&gt;="&amp;DATE(2026,10,1),'DRAFT 2'!$A:$A,"&lt;="&amp;DATE(2026,10,7))</f>
        <v/>
      </c>
      <c r="HP139" s="116">
        <f>COUNTIFS('DRAFT 2'!$D:$D,$B139,'DRAFT 2'!$A:$A,"&gt;="&amp;DATE(2026,10,8),'DRAFT 2'!$A:$A,"&lt;="&amp;DATE(2026,10,14))</f>
        <v/>
      </c>
      <c r="HQ139" s="116">
        <f>COUNTIFS('DRAFT 2'!$D:$D,$B139,'DRAFT 2'!$A:$A,"&gt;="&amp;DATE(2026,10,15),'DRAFT 2'!$A:$A,"&lt;="&amp;DATE(2026,10,21))</f>
        <v/>
      </c>
      <c r="HR139" s="116">
        <f>COUNTIFS('DRAFT 2'!$D:$D,$B139,'DRAFT 2'!$A:$A,"&gt;="&amp;DATE(2026,10,22),'DRAFT 2'!$A:$A,"&lt;"&amp;DATE(2026,IF(10=12,10+1,10+1),1))</f>
        <v/>
      </c>
      <c r="HS139" s="116">
        <f>SUM(HO139:HR139)</f>
        <v/>
      </c>
      <c r="IC139" s="116">
        <f>IFERROR(LOOKUP(2,1/('DRAFT 2'!$D:$D=$B139)*('DRAFT 2'!$A:$A&gt;=DATE(2026,11,1))*('DRAFT 2'!$A:$A&lt;DATE(2026,IF(11=12,11+1,11+1),1)),'DRAFT 2'!$A:$A),"")</f>
        <v/>
      </c>
      <c r="ID139" s="116">
        <f>COUNTIFS('DRAFT 2'!$D:$D,$B139,'DRAFT 2'!$A:$A,"&gt;="&amp;DATE(2026,11,1),'DRAFT 2'!$A:$A,"&lt;="&amp;DATE(2026,11,7))</f>
        <v/>
      </c>
      <c r="IE139" s="116">
        <f>COUNTIFS('DRAFT 2'!$D:$D,$B139,'DRAFT 2'!$A:$A,"&gt;="&amp;DATE(2026,11,8),'DRAFT 2'!$A:$A,"&lt;="&amp;DATE(2026,11,14))</f>
        <v/>
      </c>
      <c r="IF139" s="116">
        <f>COUNTIFS('DRAFT 2'!$D:$D,$B139,'DRAFT 2'!$A:$A,"&gt;="&amp;DATE(2026,11,15),'DRAFT 2'!$A:$A,"&lt;="&amp;DATE(2026,11,21))</f>
        <v/>
      </c>
      <c r="IG139" s="116">
        <f>COUNTIFS('DRAFT 2'!$D:$D,$B139,'DRAFT 2'!$A:$A,"&gt;="&amp;DATE(2026,11,22),'DRAFT 2'!$A:$A,"&lt;"&amp;DATE(2026,IF(11=12,11+1,11+1),1))</f>
        <v/>
      </c>
      <c r="IH139" s="116">
        <f>SUM(ID139:IG139)</f>
        <v/>
      </c>
      <c r="IR139" s="116">
        <f>IFERROR(LOOKUP(2,1/('DRAFT 2'!$D:$D=$B139)*('DRAFT 2'!$A:$A&gt;=DATE(2026,12,1))*('DRAFT 2'!$A:$A&lt;DATE(2026,IF(12=12,12+1,12+1),1)),'DRAFT 2'!$A:$A),"")</f>
        <v/>
      </c>
      <c r="IS139" s="116">
        <f>COUNTIFS('DRAFT 2'!$D:$D,$B139,'DRAFT 2'!$A:$A,"&gt;="&amp;DATE(2026,12,1),'DRAFT 2'!$A:$A,"&lt;="&amp;DATE(2026,12,7))</f>
        <v/>
      </c>
      <c r="IT139" s="116">
        <f>COUNTIFS('DRAFT 2'!$D:$D,$B139,'DRAFT 2'!$A:$A,"&gt;="&amp;DATE(2026,12,8),'DRAFT 2'!$A:$A,"&lt;="&amp;DATE(2026,12,14))</f>
        <v/>
      </c>
      <c r="IU139" s="116">
        <f>COUNTIFS('DRAFT 2'!$D:$D,$B139,'DRAFT 2'!$A:$A,"&gt;="&amp;DATE(2026,12,15),'DRAFT 2'!$A:$A,"&lt;="&amp;DATE(2026,12,21))</f>
        <v/>
      </c>
      <c r="IV139" s="116">
        <f>COUNTIFS('DRAFT 2'!$D:$D,$B139,'DRAFT 2'!$A:$A,"&gt;="&amp;DATE(2026,12,22),'DRAFT 2'!$A:$A,"&lt;"&amp;DATE(2026,IF(12=12,12+1,12+1),1))</f>
        <v/>
      </c>
      <c r="IW139" s="116">
        <f>SUM(IS139:IV139)</f>
        <v/>
      </c>
    </row>
    <row r="140">
      <c r="A140" s="116">
        <f>IFERROR(INDEX('DRAFT 1'!$A:$A,MATCH($B140,'DRAFT 1'!$B:$B,0)),"")</f>
        <v/>
      </c>
      <c r="C140" s="116">
        <f>IFERROR(INDEX('DRAFT 1'!$C:$C,MATCH($B140,'DRAFT 1'!$B:$B,0)),"")</f>
        <v/>
      </c>
      <c r="D140" s="116">
        <f>IFERROR(INDEX('DRAFT 1'!$D:$D,MATCH($B140,'DRAFT 1'!$B:$B,0)),"")</f>
        <v/>
      </c>
      <c r="E140" s="116">
        <f>IFERROR(INDEX('DRAFT 1'!$E:$E,MATCH($B140,'DRAFT 1'!$B:$B,0)),"")</f>
        <v/>
      </c>
      <c r="F140" s="116">
        <f>IFERROR(INDEX('DRAFT 1'!$F:$F,MATCH($B140,'DRAFT 1'!$B:$B,0)),"")</f>
        <v/>
      </c>
      <c r="G140" s="116">
        <f>IFERROR(INDEX('DRAFT 1'!$G:$G,MATCH($B140,'DRAFT 1'!$B:$B,0)),"")</f>
        <v/>
      </c>
      <c r="H140" s="116">
        <f>IFERROR(INDEX('DRAFT 1'!$H:$H,MATCH($B140,'DRAFT 1'!$B:$B,0)),"")</f>
        <v/>
      </c>
      <c r="I140" s="116">
        <f>IFERROR(INDEX('DRAFT 1'!$I:$I,MATCH($B140,'DRAFT 1'!$B:$B,0)),"")</f>
        <v/>
      </c>
      <c r="K140" s="116">
        <f>IFERROR(INDEX('DRAFT 1'!$AL:$AL,MATCH($B140,'DRAFT 1'!$B:$B,0)),"")</f>
        <v/>
      </c>
      <c r="L140" s="116">
        <f>IFERROR(INDEX('DRAFT 1'!$J:$J,MATCH($B140,'DRAFT 1'!$B:$B,0)),"")</f>
        <v/>
      </c>
      <c r="M140" s="116">
        <f>IFERROR(INDEX('DRAFT 1'!$K:$K,MATCH($B140,'DRAFT 1'!$B:$B,0)),"")</f>
        <v/>
      </c>
      <c r="P140" s="116">
        <f>IFERROR(INDEX('DRAFT 1'!$L:$L,MATCH($B140,'DRAFT 1'!$B:$B,0)),"")</f>
        <v/>
      </c>
      <c r="Q140" s="116">
        <f>IFERROR(INDEX('DRAFT 1'!$M:$M,MATCH($B140,'DRAFT 1'!$B:$B,0)),"")</f>
        <v/>
      </c>
      <c r="R140" s="116">
        <f>IFERROR(INDEX('DRAFT 1'!$N:$N,MATCH($B140,'DRAFT 1'!$B:$B,0)),"")</f>
        <v/>
      </c>
      <c r="S140" s="116">
        <f>IFERROR(INDEX('DRAFT 1'!$O:$O,MATCH($B140,'DRAFT 1'!$B:$B,0)),"")</f>
        <v/>
      </c>
      <c r="T140" s="116">
        <f>IFERROR(INDEX('DRAFT 1'!$P:$P,MATCH($B140,'DRAFT 1'!$B:$B,0)),"")</f>
        <v/>
      </c>
      <c r="U140" s="116">
        <f>IFERROR(INDEX('DRAFT 1'!$Q:$Q,MATCH($B140,'DRAFT 1'!$B:$B,0)),"")</f>
        <v/>
      </c>
      <c r="V140" s="116">
        <f>IFERROR(INDEX('DRAFT 1'!$R:$R,MATCH($B140,'DRAFT 1'!$B:$B,0)),"")</f>
        <v/>
      </c>
      <c r="W140" s="116">
        <f>IFERROR(INDEX('DRAFT 1'!$S:$S,MATCH($B140,'DRAFT 1'!$B:$B,0)),"")</f>
        <v/>
      </c>
      <c r="X140" s="116">
        <f>IFERROR(INDEX('DRAFT 1'!$T:$T,MATCH($B140,'DRAFT 1'!$B:$B,0)),"")</f>
        <v/>
      </c>
      <c r="Z140" s="116">
        <f>IFERROR(INDEX('DRAFT 1'!$U:$U,MATCH($B140,'DRAFT 1'!$B:$B,0)),"")</f>
        <v/>
      </c>
      <c r="AA140" s="116">
        <f>IFERROR(INDEX('DRAFT 1'!$V:$V,MATCH($B140,'DRAFT 1'!$B:$B,0)),"")</f>
        <v/>
      </c>
      <c r="AB140" s="116">
        <f>IFERROR(INDEX('DRAFT 1'!$W:$W,MATCH($B140,'DRAFT 1'!$B:$B,0)),"")</f>
        <v/>
      </c>
      <c r="AC140" s="116">
        <f>IFERROR(INDEX('DRAFT 1'!$X:$X,MATCH($B140,'DRAFT 1'!$B:$B,0)),"")</f>
        <v/>
      </c>
      <c r="AD140" s="116">
        <f>IFERROR(INDEX('DRAFT 1'!$Y:$Y,MATCH($B140,'DRAFT 1'!$B:$B,0)),"")</f>
        <v/>
      </c>
      <c r="AE140" s="116">
        <f>IFERROR(INDEX('DRAFT 1'!$Z:$Z,MATCH($B140,'DRAFT 1'!$B:$B,0)),"")</f>
        <v/>
      </c>
      <c r="AF140" s="116">
        <f>IFERROR(INDEX('DRAFT 1'!$AA:$AA,MATCH($B140,'DRAFT 1'!$B:$B,0)),"")</f>
        <v/>
      </c>
      <c r="AG140" s="116">
        <f>IFERROR(INDEX('DRAFT 1'!$AB:$AB,MATCH($B140,'DRAFT 1'!$B:$B,0)),"")</f>
        <v/>
      </c>
      <c r="AH140" s="116">
        <f>IFERROR(INDEX('DRAFT 1'!$AC:$AC,MATCH($B140,'DRAFT 1'!$B:$B,0)),"")</f>
        <v/>
      </c>
      <c r="AI140" s="116">
        <f>IFERROR(INDEX('DRAFT 1'!$AD:$AD,MATCH($B140,'DRAFT 1'!$B:$B,0)),"")</f>
        <v/>
      </c>
      <c r="AJ140" s="116">
        <f>IFERROR(INDEX('DRAFT 1'!$AE:$AE,MATCH($B140,'DRAFT 1'!$B:$B,0)),"")</f>
        <v/>
      </c>
      <c r="AK140" s="116">
        <f>IFERROR(INDEX('DRAFT 1'!$AG:$AG,MATCH($B140,'DRAFT 1'!$B:$B,0)),"")</f>
        <v/>
      </c>
      <c r="AL140" s="116">
        <f>IFERROR(INDEX('DRAFT 1'!$AH:$AH,MATCH($B140,'DRAFT 1'!$B:$B,0)),"")</f>
        <v/>
      </c>
      <c r="AM140" s="116">
        <f>IFERROR(INDEX('DRAFT 1'!$AI:$AI,MATCH($B140,'DRAFT 1'!$B:$B,0)),"")</f>
        <v/>
      </c>
      <c r="AN140" s="116">
        <f>IFERROR(INDEX('DRAFT 1'!$AJ:$AJ,MATCH($B140,'DRAFT 1'!$B:$B,0)),"")</f>
        <v/>
      </c>
      <c r="AO140" s="116">
        <f>IFERROR(Y140/AN140,0)</f>
        <v/>
      </c>
      <c r="AP140" s="116">
        <f>IFERROR(INDEX('DRAFT 1'!$AK:$AK,MATCH($B140,'DRAFT 1'!$B:$B,0)),"")</f>
        <v/>
      </c>
      <c r="AR140" s="116">
        <f>IFERROR(LOOKUP(2,1/('DRAFT 2'!$D:$D=$B140),'DRAFT 2'!$I:$I),"")</f>
        <v/>
      </c>
      <c r="AS140" s="116">
        <f>IFERROR(LOOKUP(2,1/('DRAFT 2'!$D:$D=$B140),'DRAFT 2'!$T:$T),"")</f>
        <v/>
      </c>
      <c r="AT140" s="116">
        <f>IFERROR(LOOKUP(2,1/('DRAFT 2'!$D:$D=$B140),'DRAFT 2'!$A:$A),"")</f>
        <v/>
      </c>
      <c r="AU140" s="116">
        <f>IFERROR(LOOKUP(2,1/('DRAFT 2'!$D:$D=$B140),'DRAFT 2'!$R:$R),"")</f>
        <v/>
      </c>
      <c r="AV140" s="116">
        <f>IFERROR(LOOKUP(2,1/('DRAFT 2'!$D:$D=$B140),'DRAFT 2'!$S:$S),"")</f>
        <v/>
      </c>
      <c r="AX140" s="116">
        <f>IFERROR(LOOKUP(2,1/('DRAFT 2'!$D:$D=$B140),'DRAFT 2'!$M:$M),"")</f>
        <v/>
      </c>
      <c r="AY140" s="116">
        <f>IFERROR(LOOKUP(2,1/('DRAFT 2'!$D:$D=$B140),'DRAFT 2'!$K:$K),"")</f>
        <v/>
      </c>
      <c r="BG140" s="116">
        <f>IFERROR(LOOKUP(2,1/('DRAFT 2'!$D:$D=$B140),'DRAFT 2'!$U:$U),"")</f>
        <v/>
      </c>
      <c r="BH140" s="116">
        <f>IFERROR(LOOKUP(2,1/('DRAFT 2'!$D:$D=$B140),'DRAFT 2'!$V:$V),"")</f>
        <v/>
      </c>
      <c r="CE140" s="116">
        <f>IFERROR(AJ140,0)</f>
        <v/>
      </c>
      <c r="CF140" s="116">
        <f>IFERROR(LOOKUP(2,1/('DRAFT 2'!$D:$D=$B140)*('DRAFT 2'!$A:$A&gt;=DATE(2026,1,1))*('DRAFT 2'!$A:$A&lt;DATE(2026,IF(1=12,1+1,1+1),1)),'DRAFT 2'!$A:$A),"")</f>
        <v/>
      </c>
      <c r="CG140" s="116">
        <f>COUNTIFS('DRAFT 2'!$D:$D,$B140,'DRAFT 2'!$A:$A,"&gt;="&amp;DATE(2026,1,1),'DRAFT 2'!$A:$A,"&lt;="&amp;DATE(2026,1,7))</f>
        <v/>
      </c>
      <c r="CH140" s="116">
        <f>COUNTIFS('DRAFT 2'!$D:$D,$B140,'DRAFT 2'!$A:$A,"&gt;="&amp;DATE(2026,1,8),'DRAFT 2'!$A:$A,"&lt;="&amp;DATE(2026,1,14))</f>
        <v/>
      </c>
      <c r="CI140" s="116">
        <f>COUNTIFS('DRAFT 2'!$D:$D,$B140,'DRAFT 2'!$A:$A,"&gt;="&amp;DATE(2026,1,15),'DRAFT 2'!$A:$A,"&lt;="&amp;DATE(2026,1,21))</f>
        <v/>
      </c>
      <c r="CJ140" s="116">
        <f>COUNTIFS('DRAFT 2'!$D:$D,$B140,'DRAFT 2'!$A:$A,"&gt;="&amp;DATE(2026,1,22),'DRAFT 2'!$A:$A,"&lt;"&amp;DATE(2026,IF(1=12,1+1,1+1),1))</f>
        <v/>
      </c>
      <c r="CK140" s="116">
        <f>SUM(CG140:CJ140)</f>
        <v/>
      </c>
      <c r="CT140" s="116" t="n">
        <v>0</v>
      </c>
      <c r="CU140" s="116">
        <f>IFERROR(LOOKUP(2,1/('DRAFT 2'!$D:$D=$B140)*('DRAFT 2'!$A:$A&gt;=DATE(2026,2,1))*('DRAFT 2'!$A:$A&lt;DATE(2026,IF(2=12,2+1,2+1),1)),'DRAFT 2'!$A:$A),"")</f>
        <v/>
      </c>
      <c r="CV140" s="116">
        <f>COUNTIFS('DRAFT 2'!$D:$D,$B140,'DRAFT 2'!$A:$A,"&gt;="&amp;DATE(2026,2,1),'DRAFT 2'!$A:$A,"&lt;="&amp;DATE(2026,2,7))</f>
        <v/>
      </c>
      <c r="CW140" s="116">
        <f>COUNTIFS('DRAFT 2'!$D:$D,$B140,'DRAFT 2'!$A:$A,"&gt;="&amp;DATE(2026,2,8),'DRAFT 2'!$A:$A,"&lt;="&amp;DATE(2026,2,14))</f>
        <v/>
      </c>
      <c r="CX140" s="116">
        <f>COUNTIFS('DRAFT 2'!$D:$D,$B140,'DRAFT 2'!$A:$A,"&gt;="&amp;DATE(2026,2,15),'DRAFT 2'!$A:$A,"&lt;="&amp;DATE(2026,2,21))</f>
        <v/>
      </c>
      <c r="CY140" s="116">
        <f>COUNTIFS('DRAFT 2'!$D:$D,$B140,'DRAFT 2'!$A:$A,"&gt;="&amp;DATE(2026,2,22),'DRAFT 2'!$A:$A,"&lt;"&amp;DATE(2026,IF(2=12,2+1,2+1),1))</f>
        <v/>
      </c>
      <c r="CZ140" s="116">
        <f>SUM(CV140:CY140)</f>
        <v/>
      </c>
      <c r="DJ140" s="116">
        <f>IFERROR(LOOKUP(2,1/('DRAFT 2'!$D:$D=$B140)*('DRAFT 2'!$A:$A&gt;=DATE(2026,3,1))*('DRAFT 2'!$A:$A&lt;DATE(2026,IF(3=12,3+1,3+1),1)),'DRAFT 2'!$A:$A),"")</f>
        <v/>
      </c>
      <c r="DK140" s="116">
        <f>COUNTIFS('DRAFT 2'!$D:$D,$B140,'DRAFT 2'!$A:$A,"&gt;="&amp;DATE(2026,3,1),'DRAFT 2'!$A:$A,"&lt;="&amp;DATE(2026,3,7))</f>
        <v/>
      </c>
      <c r="DL140" s="116">
        <f>COUNTIFS('DRAFT 2'!$D:$D,$B140,'DRAFT 2'!$A:$A,"&gt;="&amp;DATE(2026,3,8),'DRAFT 2'!$A:$A,"&lt;="&amp;DATE(2026,3,14))</f>
        <v/>
      </c>
      <c r="DM140" s="116">
        <f>COUNTIFS('DRAFT 2'!$D:$D,$B140,'DRAFT 2'!$A:$A,"&gt;="&amp;DATE(2026,3,15),'DRAFT 2'!$A:$A,"&lt;="&amp;DATE(2026,3,21))</f>
        <v/>
      </c>
      <c r="DN140" s="116">
        <f>COUNTIFS('DRAFT 2'!$D:$D,$B140,'DRAFT 2'!$A:$A,"&gt;="&amp;DATE(2026,3,22),'DRAFT 2'!$A:$A,"&lt;"&amp;DATE(2026,IF(3=12,3+1,3+1),1))</f>
        <v/>
      </c>
      <c r="DO140" s="116">
        <f>SUM(DK140:DN140)</f>
        <v/>
      </c>
      <c r="DZ140" s="116">
        <f>IFERROR(LOOKUP(2,1/('DRAFT 2'!$D:$D=$B140)*('DRAFT 2'!$A:$A&gt;=DATE(2026,4,1))*('DRAFT 2'!$A:$A&lt;DATE(2026,IF(4=12,4+1,4+1),1)),'DRAFT 2'!$A:$A),"")</f>
        <v/>
      </c>
      <c r="EA140" s="116">
        <f>COUNTIFS('DRAFT 2'!$D:$D,$B140,'DRAFT 2'!$A:$A,"&gt;="&amp;DATE(2026,4,1),'DRAFT 2'!$A:$A,"&lt;="&amp;DATE(2026,4,7))</f>
        <v/>
      </c>
      <c r="EB140" s="116">
        <f>COUNTIFS('DRAFT 2'!$D:$D,$B140,'DRAFT 2'!$A:$A,"&gt;="&amp;DATE(2026,4,8),'DRAFT 2'!$A:$A,"&lt;="&amp;DATE(2026,4,14))</f>
        <v/>
      </c>
      <c r="EC140" s="116">
        <f>COUNTIFS('DRAFT 2'!$D:$D,$B140,'DRAFT 2'!$A:$A,"&gt;="&amp;DATE(2026,4,15),'DRAFT 2'!$A:$A,"&lt;="&amp;DATE(2026,4,21))</f>
        <v/>
      </c>
      <c r="ED140" s="116">
        <f>COUNTIFS('DRAFT 2'!$D:$D,$B140,'DRAFT 2'!$A:$A,"&gt;="&amp;DATE(2026,4,22),'DRAFT 2'!$A:$A,"&lt;"&amp;DATE(2026,IF(4=12,4+1,4+1),1))</f>
        <v/>
      </c>
      <c r="EE140" s="116">
        <f>SUM(EA140:ED140)</f>
        <v/>
      </c>
      <c r="EO140" s="116">
        <f>IFERROR(LOOKUP(2,1/('DRAFT 2'!$D:$D=$B140)*('DRAFT 2'!$A:$A&gt;=DATE(2026,5,1))*('DRAFT 2'!$A:$A&lt;DATE(2026,IF(5=12,5+1,5+1),1)),'DRAFT 2'!$A:$A),"")</f>
        <v/>
      </c>
      <c r="EP140" s="116">
        <f>COUNTIFS('DRAFT 2'!$D:$D,$B140,'DRAFT 2'!$A:$A,"&gt;="&amp;DATE(2026,5,1),'DRAFT 2'!$A:$A,"&lt;="&amp;DATE(2026,5,7))</f>
        <v/>
      </c>
      <c r="EQ140" s="116">
        <f>COUNTIFS('DRAFT 2'!$D:$D,$B140,'DRAFT 2'!$A:$A,"&gt;="&amp;DATE(2026,5,8),'DRAFT 2'!$A:$A,"&lt;="&amp;DATE(2026,5,14))</f>
        <v/>
      </c>
      <c r="ER140" s="116">
        <f>COUNTIFS('DRAFT 2'!$D:$D,$B140,'DRAFT 2'!$A:$A,"&gt;="&amp;DATE(2026,5,15),'DRAFT 2'!$A:$A,"&lt;="&amp;DATE(2026,5,21))</f>
        <v/>
      </c>
      <c r="ES140" s="116">
        <f>COUNTIFS('DRAFT 2'!$D:$D,$B140,'DRAFT 2'!$A:$A,"&gt;="&amp;DATE(2026,5,22),'DRAFT 2'!$A:$A,"&lt;"&amp;DATE(2026,IF(5=12,5+1,5+1),1))</f>
        <v/>
      </c>
      <c r="ET140" s="116">
        <f>SUM(EP140:ES140)</f>
        <v/>
      </c>
      <c r="FD140" s="116">
        <f>IFERROR(LOOKUP(2,1/('DRAFT 2'!$D:$D=$B140)*('DRAFT 2'!$A:$A&gt;=DATE(2026,6,1))*('DRAFT 2'!$A:$A&lt;DATE(2026,IF(6=12,6+1,6+1),1)),'DRAFT 2'!$A:$A),"")</f>
        <v/>
      </c>
      <c r="FE140" s="116">
        <f>COUNTIFS('DRAFT 2'!$D:$D,$B140,'DRAFT 2'!$A:$A,"&gt;="&amp;DATE(2026,6,1),'DRAFT 2'!$A:$A,"&lt;="&amp;DATE(2026,6,7))</f>
        <v/>
      </c>
      <c r="FF140" s="116">
        <f>COUNTIFS('DRAFT 2'!$D:$D,$B140,'DRAFT 2'!$A:$A,"&gt;="&amp;DATE(2026,6,8),'DRAFT 2'!$A:$A,"&lt;="&amp;DATE(2026,6,14))</f>
        <v/>
      </c>
      <c r="FG140" s="116">
        <f>COUNTIFS('DRAFT 2'!$D:$D,$B140,'DRAFT 2'!$A:$A,"&gt;="&amp;DATE(2026,6,15),'DRAFT 2'!$A:$A,"&lt;="&amp;DATE(2026,6,21))</f>
        <v/>
      </c>
      <c r="FH140" s="116">
        <f>COUNTIFS('DRAFT 2'!$D:$D,$B140,'DRAFT 2'!$A:$A,"&gt;="&amp;DATE(2026,6,22),'DRAFT 2'!$A:$A,"&lt;"&amp;DATE(2026,IF(6=12,6+1,6+1),1))</f>
        <v/>
      </c>
      <c r="FI140" s="116">
        <f>SUM(FE140:FH140)</f>
        <v/>
      </c>
      <c r="FT140" s="116">
        <f>IFERROR(LOOKUP(2,1/('DRAFT 2'!$D:$D=$B140)*('DRAFT 2'!$A:$A&gt;=DATE(2026,7,1))*('DRAFT 2'!$A:$A&lt;DATE(2026,IF(7=12,7+1,7+1),1)),'DRAFT 2'!$A:$A),"")</f>
        <v/>
      </c>
      <c r="FU140" s="116">
        <f>COUNTIFS('DRAFT 2'!$D:$D,$B140,'DRAFT 2'!$A:$A,"&gt;="&amp;DATE(2026,7,1),'DRAFT 2'!$A:$A,"&lt;="&amp;DATE(2026,7,7))</f>
        <v/>
      </c>
      <c r="FV140" s="116">
        <f>COUNTIFS('DRAFT 2'!$D:$D,$B140,'DRAFT 2'!$A:$A,"&gt;="&amp;DATE(2026,7,8),'DRAFT 2'!$A:$A,"&lt;="&amp;DATE(2026,7,14))</f>
        <v/>
      </c>
      <c r="FW140" s="116">
        <f>COUNTIFS('DRAFT 2'!$D:$D,$B140,'DRAFT 2'!$A:$A,"&gt;="&amp;DATE(2026,7,15),'DRAFT 2'!$A:$A,"&lt;="&amp;DATE(2026,7,21))</f>
        <v/>
      </c>
      <c r="FX140" s="116">
        <f>COUNTIFS('DRAFT 2'!$D:$D,$B140,'DRAFT 2'!$A:$A,"&gt;="&amp;DATE(2026,7,22),'DRAFT 2'!$A:$A,"&lt;"&amp;DATE(2026,IF(7=12,7+1,7+1),1))</f>
        <v/>
      </c>
      <c r="FY140" s="116">
        <f>SUM(FU140:FX140)</f>
        <v/>
      </c>
      <c r="GI140" s="116">
        <f>IFERROR(LOOKUP(2,1/('DRAFT 2'!$D:$D=$B140)*('DRAFT 2'!$A:$A&gt;=DATE(2026,8,1))*('DRAFT 2'!$A:$A&lt;DATE(2026,IF(8=12,8+1,8+1),1)),'DRAFT 2'!$A:$A),"")</f>
        <v/>
      </c>
      <c r="GJ140" s="116">
        <f>COUNTIFS('DRAFT 2'!$D:$D,$B140,'DRAFT 2'!$A:$A,"&gt;="&amp;DATE(2026,8,1),'DRAFT 2'!$A:$A,"&lt;="&amp;DATE(2026,8,7))</f>
        <v/>
      </c>
      <c r="GK140" s="116">
        <f>COUNTIFS('DRAFT 2'!$D:$D,$B140,'DRAFT 2'!$A:$A,"&gt;="&amp;DATE(2026,8,8),'DRAFT 2'!$A:$A,"&lt;="&amp;DATE(2026,8,14))</f>
        <v/>
      </c>
      <c r="GL140" s="116">
        <f>COUNTIFS('DRAFT 2'!$D:$D,$B140,'DRAFT 2'!$A:$A,"&gt;="&amp;DATE(2026,8,15),'DRAFT 2'!$A:$A,"&lt;="&amp;DATE(2026,8,21))</f>
        <v/>
      </c>
      <c r="GM140" s="116">
        <f>COUNTIFS('DRAFT 2'!$D:$D,$B140,'DRAFT 2'!$A:$A,"&gt;="&amp;DATE(2026,8,22),'DRAFT 2'!$A:$A,"&lt;"&amp;DATE(2026,IF(8=12,8+1,8+1),1))</f>
        <v/>
      </c>
      <c r="GN140" s="116">
        <f>SUM(GJ140:GM140)</f>
        <v/>
      </c>
      <c r="GX140" s="116">
        <f>IFERROR(LOOKUP(2,1/('DRAFT 2'!$D:$D=$B140)*('DRAFT 2'!$A:$A&gt;=DATE(2026,9,1))*('DRAFT 2'!$A:$A&lt;DATE(2026,IF(9=12,9+1,9+1),1)),'DRAFT 2'!$A:$A),"")</f>
        <v/>
      </c>
      <c r="GY140" s="116">
        <f>COUNTIFS('DRAFT 2'!$D:$D,$B140,'DRAFT 2'!$A:$A,"&gt;="&amp;DATE(2026,9,1),'DRAFT 2'!$A:$A,"&lt;="&amp;DATE(2026,9,7))</f>
        <v/>
      </c>
      <c r="GZ140" s="116">
        <f>COUNTIFS('DRAFT 2'!$D:$D,$B140,'DRAFT 2'!$A:$A,"&gt;="&amp;DATE(2026,9,8),'DRAFT 2'!$A:$A,"&lt;="&amp;DATE(2026,9,14))</f>
        <v/>
      </c>
      <c r="HA140" s="116">
        <f>COUNTIFS('DRAFT 2'!$D:$D,$B140,'DRAFT 2'!$A:$A,"&gt;="&amp;DATE(2026,9,15),'DRAFT 2'!$A:$A,"&lt;="&amp;DATE(2026,9,21))</f>
        <v/>
      </c>
      <c r="HB140" s="116">
        <f>COUNTIFS('DRAFT 2'!$D:$D,$B140,'DRAFT 2'!$A:$A,"&gt;="&amp;DATE(2026,9,22),'DRAFT 2'!$A:$A,"&lt;"&amp;DATE(2026,IF(9=12,9+1,9+1),1))</f>
        <v/>
      </c>
      <c r="HC140" s="116">
        <f>SUM(GY140:HB140)</f>
        <v/>
      </c>
      <c r="HN140" s="116">
        <f>IFERROR(LOOKUP(2,1/('DRAFT 2'!$D:$D=$B140)*('DRAFT 2'!$A:$A&gt;=DATE(2026,10,1))*('DRAFT 2'!$A:$A&lt;DATE(2026,IF(10=12,10+1,10+1),1)),'DRAFT 2'!$A:$A),"")</f>
        <v/>
      </c>
      <c r="HO140" s="116">
        <f>COUNTIFS('DRAFT 2'!$D:$D,$B140,'DRAFT 2'!$A:$A,"&gt;="&amp;DATE(2026,10,1),'DRAFT 2'!$A:$A,"&lt;="&amp;DATE(2026,10,7))</f>
        <v/>
      </c>
      <c r="HP140" s="116">
        <f>COUNTIFS('DRAFT 2'!$D:$D,$B140,'DRAFT 2'!$A:$A,"&gt;="&amp;DATE(2026,10,8),'DRAFT 2'!$A:$A,"&lt;="&amp;DATE(2026,10,14))</f>
        <v/>
      </c>
      <c r="HQ140" s="116">
        <f>COUNTIFS('DRAFT 2'!$D:$D,$B140,'DRAFT 2'!$A:$A,"&gt;="&amp;DATE(2026,10,15),'DRAFT 2'!$A:$A,"&lt;="&amp;DATE(2026,10,21))</f>
        <v/>
      </c>
      <c r="HR140" s="116">
        <f>COUNTIFS('DRAFT 2'!$D:$D,$B140,'DRAFT 2'!$A:$A,"&gt;="&amp;DATE(2026,10,22),'DRAFT 2'!$A:$A,"&lt;"&amp;DATE(2026,IF(10=12,10+1,10+1),1))</f>
        <v/>
      </c>
      <c r="HS140" s="116">
        <f>SUM(HO140:HR140)</f>
        <v/>
      </c>
      <c r="IC140" s="116">
        <f>IFERROR(LOOKUP(2,1/('DRAFT 2'!$D:$D=$B140)*('DRAFT 2'!$A:$A&gt;=DATE(2026,11,1))*('DRAFT 2'!$A:$A&lt;DATE(2026,IF(11=12,11+1,11+1),1)),'DRAFT 2'!$A:$A),"")</f>
        <v/>
      </c>
      <c r="ID140" s="116">
        <f>COUNTIFS('DRAFT 2'!$D:$D,$B140,'DRAFT 2'!$A:$A,"&gt;="&amp;DATE(2026,11,1),'DRAFT 2'!$A:$A,"&lt;="&amp;DATE(2026,11,7))</f>
        <v/>
      </c>
      <c r="IE140" s="116">
        <f>COUNTIFS('DRAFT 2'!$D:$D,$B140,'DRAFT 2'!$A:$A,"&gt;="&amp;DATE(2026,11,8),'DRAFT 2'!$A:$A,"&lt;="&amp;DATE(2026,11,14))</f>
        <v/>
      </c>
      <c r="IF140" s="116">
        <f>COUNTIFS('DRAFT 2'!$D:$D,$B140,'DRAFT 2'!$A:$A,"&gt;="&amp;DATE(2026,11,15),'DRAFT 2'!$A:$A,"&lt;="&amp;DATE(2026,11,21))</f>
        <v/>
      </c>
      <c r="IG140" s="116">
        <f>COUNTIFS('DRAFT 2'!$D:$D,$B140,'DRAFT 2'!$A:$A,"&gt;="&amp;DATE(2026,11,22),'DRAFT 2'!$A:$A,"&lt;"&amp;DATE(2026,IF(11=12,11+1,11+1),1))</f>
        <v/>
      </c>
      <c r="IH140" s="116">
        <f>SUM(ID140:IG140)</f>
        <v/>
      </c>
      <c r="IR140" s="116">
        <f>IFERROR(LOOKUP(2,1/('DRAFT 2'!$D:$D=$B140)*('DRAFT 2'!$A:$A&gt;=DATE(2026,12,1))*('DRAFT 2'!$A:$A&lt;DATE(2026,IF(12=12,12+1,12+1),1)),'DRAFT 2'!$A:$A),"")</f>
        <v/>
      </c>
      <c r="IS140" s="116">
        <f>COUNTIFS('DRAFT 2'!$D:$D,$B140,'DRAFT 2'!$A:$A,"&gt;="&amp;DATE(2026,12,1),'DRAFT 2'!$A:$A,"&lt;="&amp;DATE(2026,12,7))</f>
        <v/>
      </c>
      <c r="IT140" s="116">
        <f>COUNTIFS('DRAFT 2'!$D:$D,$B140,'DRAFT 2'!$A:$A,"&gt;="&amp;DATE(2026,12,8),'DRAFT 2'!$A:$A,"&lt;="&amp;DATE(2026,12,14))</f>
        <v/>
      </c>
      <c r="IU140" s="116">
        <f>COUNTIFS('DRAFT 2'!$D:$D,$B140,'DRAFT 2'!$A:$A,"&gt;="&amp;DATE(2026,12,15),'DRAFT 2'!$A:$A,"&lt;="&amp;DATE(2026,12,21))</f>
        <v/>
      </c>
      <c r="IV140" s="116">
        <f>COUNTIFS('DRAFT 2'!$D:$D,$B140,'DRAFT 2'!$A:$A,"&gt;="&amp;DATE(2026,12,22),'DRAFT 2'!$A:$A,"&lt;"&amp;DATE(2026,IF(12=12,12+1,12+1),1))</f>
        <v/>
      </c>
      <c r="IW140" s="116">
        <f>SUM(IS140:IV140)</f>
        <v/>
      </c>
    </row>
    <row r="141">
      <c r="A141" s="116">
        <f>IFERROR(INDEX('DRAFT 1'!$A:$A,MATCH($B141,'DRAFT 1'!$B:$B,0)),"")</f>
        <v/>
      </c>
      <c r="C141" s="116">
        <f>IFERROR(INDEX('DRAFT 1'!$C:$C,MATCH($B141,'DRAFT 1'!$B:$B,0)),"")</f>
        <v/>
      </c>
      <c r="D141" s="116">
        <f>IFERROR(INDEX('DRAFT 1'!$D:$D,MATCH($B141,'DRAFT 1'!$B:$B,0)),"")</f>
        <v/>
      </c>
      <c r="E141" s="116">
        <f>IFERROR(INDEX('DRAFT 1'!$E:$E,MATCH($B141,'DRAFT 1'!$B:$B,0)),"")</f>
        <v/>
      </c>
      <c r="F141" s="116">
        <f>IFERROR(INDEX('DRAFT 1'!$F:$F,MATCH($B141,'DRAFT 1'!$B:$B,0)),"")</f>
        <v/>
      </c>
      <c r="G141" s="116">
        <f>IFERROR(INDEX('DRAFT 1'!$G:$G,MATCH($B141,'DRAFT 1'!$B:$B,0)),"")</f>
        <v/>
      </c>
      <c r="H141" s="116">
        <f>IFERROR(INDEX('DRAFT 1'!$H:$H,MATCH($B141,'DRAFT 1'!$B:$B,0)),"")</f>
        <v/>
      </c>
      <c r="I141" s="116">
        <f>IFERROR(INDEX('DRAFT 1'!$I:$I,MATCH($B141,'DRAFT 1'!$B:$B,0)),"")</f>
        <v/>
      </c>
      <c r="K141" s="116">
        <f>IFERROR(INDEX('DRAFT 1'!$AL:$AL,MATCH($B141,'DRAFT 1'!$B:$B,0)),"")</f>
        <v/>
      </c>
      <c r="L141" s="116">
        <f>IFERROR(INDEX('DRAFT 1'!$J:$J,MATCH($B141,'DRAFT 1'!$B:$B,0)),"")</f>
        <v/>
      </c>
      <c r="M141" s="116">
        <f>IFERROR(INDEX('DRAFT 1'!$K:$K,MATCH($B141,'DRAFT 1'!$B:$B,0)),"")</f>
        <v/>
      </c>
      <c r="P141" s="116">
        <f>IFERROR(INDEX('DRAFT 1'!$L:$L,MATCH($B141,'DRAFT 1'!$B:$B,0)),"")</f>
        <v/>
      </c>
      <c r="Q141" s="116">
        <f>IFERROR(INDEX('DRAFT 1'!$M:$M,MATCH($B141,'DRAFT 1'!$B:$B,0)),"")</f>
        <v/>
      </c>
      <c r="R141" s="116">
        <f>IFERROR(INDEX('DRAFT 1'!$N:$N,MATCH($B141,'DRAFT 1'!$B:$B,0)),"")</f>
        <v/>
      </c>
      <c r="S141" s="116">
        <f>IFERROR(INDEX('DRAFT 1'!$O:$O,MATCH($B141,'DRAFT 1'!$B:$B,0)),"")</f>
        <v/>
      </c>
      <c r="T141" s="116">
        <f>IFERROR(INDEX('DRAFT 1'!$P:$P,MATCH($B141,'DRAFT 1'!$B:$B,0)),"")</f>
        <v/>
      </c>
      <c r="U141" s="116">
        <f>IFERROR(INDEX('DRAFT 1'!$Q:$Q,MATCH($B141,'DRAFT 1'!$B:$B,0)),"")</f>
        <v/>
      </c>
      <c r="V141" s="116">
        <f>IFERROR(INDEX('DRAFT 1'!$R:$R,MATCH($B141,'DRAFT 1'!$B:$B,0)),"")</f>
        <v/>
      </c>
      <c r="W141" s="116">
        <f>IFERROR(INDEX('DRAFT 1'!$S:$S,MATCH($B141,'DRAFT 1'!$B:$B,0)),"")</f>
        <v/>
      </c>
      <c r="X141" s="116">
        <f>IFERROR(INDEX('DRAFT 1'!$T:$T,MATCH($B141,'DRAFT 1'!$B:$B,0)),"")</f>
        <v/>
      </c>
      <c r="Z141" s="116">
        <f>IFERROR(INDEX('DRAFT 1'!$U:$U,MATCH($B141,'DRAFT 1'!$B:$B,0)),"")</f>
        <v/>
      </c>
      <c r="AA141" s="116">
        <f>IFERROR(INDEX('DRAFT 1'!$V:$V,MATCH($B141,'DRAFT 1'!$B:$B,0)),"")</f>
        <v/>
      </c>
      <c r="AB141" s="116">
        <f>IFERROR(INDEX('DRAFT 1'!$W:$W,MATCH($B141,'DRAFT 1'!$B:$B,0)),"")</f>
        <v/>
      </c>
      <c r="AC141" s="116">
        <f>IFERROR(INDEX('DRAFT 1'!$X:$X,MATCH($B141,'DRAFT 1'!$B:$B,0)),"")</f>
        <v/>
      </c>
      <c r="AD141" s="116">
        <f>IFERROR(INDEX('DRAFT 1'!$Y:$Y,MATCH($B141,'DRAFT 1'!$B:$B,0)),"")</f>
        <v/>
      </c>
      <c r="AE141" s="116">
        <f>IFERROR(INDEX('DRAFT 1'!$Z:$Z,MATCH($B141,'DRAFT 1'!$B:$B,0)),"")</f>
        <v/>
      </c>
      <c r="AF141" s="116">
        <f>IFERROR(INDEX('DRAFT 1'!$AA:$AA,MATCH($B141,'DRAFT 1'!$B:$B,0)),"")</f>
        <v/>
      </c>
      <c r="AG141" s="116">
        <f>IFERROR(INDEX('DRAFT 1'!$AB:$AB,MATCH($B141,'DRAFT 1'!$B:$B,0)),"")</f>
        <v/>
      </c>
      <c r="AH141" s="116">
        <f>IFERROR(INDEX('DRAFT 1'!$AC:$AC,MATCH($B141,'DRAFT 1'!$B:$B,0)),"")</f>
        <v/>
      </c>
      <c r="AI141" s="116">
        <f>IFERROR(INDEX('DRAFT 1'!$AD:$AD,MATCH($B141,'DRAFT 1'!$B:$B,0)),"")</f>
        <v/>
      </c>
      <c r="AJ141" s="116">
        <f>IFERROR(INDEX('DRAFT 1'!$AE:$AE,MATCH($B141,'DRAFT 1'!$B:$B,0)),"")</f>
        <v/>
      </c>
      <c r="AK141" s="116">
        <f>IFERROR(INDEX('DRAFT 1'!$AG:$AG,MATCH($B141,'DRAFT 1'!$B:$B,0)),"")</f>
        <v/>
      </c>
      <c r="AL141" s="116">
        <f>IFERROR(INDEX('DRAFT 1'!$AH:$AH,MATCH($B141,'DRAFT 1'!$B:$B,0)),"")</f>
        <v/>
      </c>
      <c r="AM141" s="116">
        <f>IFERROR(INDEX('DRAFT 1'!$AI:$AI,MATCH($B141,'DRAFT 1'!$B:$B,0)),"")</f>
        <v/>
      </c>
      <c r="AN141" s="116">
        <f>IFERROR(INDEX('DRAFT 1'!$AJ:$AJ,MATCH($B141,'DRAFT 1'!$B:$B,0)),"")</f>
        <v/>
      </c>
      <c r="AO141" s="116">
        <f>IFERROR(Y141/AN141,0)</f>
        <v/>
      </c>
      <c r="AP141" s="116">
        <f>IFERROR(INDEX('DRAFT 1'!$AK:$AK,MATCH($B141,'DRAFT 1'!$B:$B,0)),"")</f>
        <v/>
      </c>
      <c r="AR141" s="116">
        <f>IFERROR(LOOKUP(2,1/('DRAFT 2'!$D:$D=$B141),'DRAFT 2'!$I:$I),"")</f>
        <v/>
      </c>
      <c r="AS141" s="116">
        <f>IFERROR(LOOKUP(2,1/('DRAFT 2'!$D:$D=$B141),'DRAFT 2'!$T:$T),"")</f>
        <v/>
      </c>
      <c r="AT141" s="116">
        <f>IFERROR(LOOKUP(2,1/('DRAFT 2'!$D:$D=$B141),'DRAFT 2'!$A:$A),"")</f>
        <v/>
      </c>
      <c r="AU141" s="116">
        <f>IFERROR(LOOKUP(2,1/('DRAFT 2'!$D:$D=$B141),'DRAFT 2'!$R:$R),"")</f>
        <v/>
      </c>
      <c r="AV141" s="116">
        <f>IFERROR(LOOKUP(2,1/('DRAFT 2'!$D:$D=$B141),'DRAFT 2'!$S:$S),"")</f>
        <v/>
      </c>
      <c r="AX141" s="116">
        <f>IFERROR(LOOKUP(2,1/('DRAFT 2'!$D:$D=$B141),'DRAFT 2'!$M:$M),"")</f>
        <v/>
      </c>
      <c r="AY141" s="116">
        <f>IFERROR(LOOKUP(2,1/('DRAFT 2'!$D:$D=$B141),'DRAFT 2'!$K:$K),"")</f>
        <v/>
      </c>
      <c r="BG141" s="116">
        <f>IFERROR(LOOKUP(2,1/('DRAFT 2'!$D:$D=$B141),'DRAFT 2'!$U:$U),"")</f>
        <v/>
      </c>
      <c r="BH141" s="116">
        <f>IFERROR(LOOKUP(2,1/('DRAFT 2'!$D:$D=$B141),'DRAFT 2'!$V:$V),"")</f>
        <v/>
      </c>
      <c r="CE141" s="116">
        <f>IFERROR(AJ141,0)</f>
        <v/>
      </c>
      <c r="CF141" s="116">
        <f>IFERROR(LOOKUP(2,1/('DRAFT 2'!$D:$D=$B141)*('DRAFT 2'!$A:$A&gt;=DATE(2026,1,1))*('DRAFT 2'!$A:$A&lt;DATE(2026,IF(1=12,1+1,1+1),1)),'DRAFT 2'!$A:$A),"")</f>
        <v/>
      </c>
      <c r="CG141" s="116">
        <f>COUNTIFS('DRAFT 2'!$D:$D,$B141,'DRAFT 2'!$A:$A,"&gt;="&amp;DATE(2026,1,1),'DRAFT 2'!$A:$A,"&lt;="&amp;DATE(2026,1,7))</f>
        <v/>
      </c>
      <c r="CH141" s="116">
        <f>COUNTIFS('DRAFT 2'!$D:$D,$B141,'DRAFT 2'!$A:$A,"&gt;="&amp;DATE(2026,1,8),'DRAFT 2'!$A:$A,"&lt;="&amp;DATE(2026,1,14))</f>
        <v/>
      </c>
      <c r="CI141" s="116">
        <f>COUNTIFS('DRAFT 2'!$D:$D,$B141,'DRAFT 2'!$A:$A,"&gt;="&amp;DATE(2026,1,15),'DRAFT 2'!$A:$A,"&lt;="&amp;DATE(2026,1,21))</f>
        <v/>
      </c>
      <c r="CJ141" s="116">
        <f>COUNTIFS('DRAFT 2'!$D:$D,$B141,'DRAFT 2'!$A:$A,"&gt;="&amp;DATE(2026,1,22),'DRAFT 2'!$A:$A,"&lt;"&amp;DATE(2026,IF(1=12,1+1,1+1),1))</f>
        <v/>
      </c>
      <c r="CK141" s="116">
        <f>SUM(CG141:CJ141)</f>
        <v/>
      </c>
      <c r="CT141" s="116" t="n">
        <v>0</v>
      </c>
      <c r="CU141" s="116">
        <f>IFERROR(LOOKUP(2,1/('DRAFT 2'!$D:$D=$B141)*('DRAFT 2'!$A:$A&gt;=DATE(2026,2,1))*('DRAFT 2'!$A:$A&lt;DATE(2026,IF(2=12,2+1,2+1),1)),'DRAFT 2'!$A:$A),"")</f>
        <v/>
      </c>
      <c r="CV141" s="116">
        <f>COUNTIFS('DRAFT 2'!$D:$D,$B141,'DRAFT 2'!$A:$A,"&gt;="&amp;DATE(2026,2,1),'DRAFT 2'!$A:$A,"&lt;="&amp;DATE(2026,2,7))</f>
        <v/>
      </c>
      <c r="CW141" s="116">
        <f>COUNTIFS('DRAFT 2'!$D:$D,$B141,'DRAFT 2'!$A:$A,"&gt;="&amp;DATE(2026,2,8),'DRAFT 2'!$A:$A,"&lt;="&amp;DATE(2026,2,14))</f>
        <v/>
      </c>
      <c r="CX141" s="116">
        <f>COUNTIFS('DRAFT 2'!$D:$D,$B141,'DRAFT 2'!$A:$A,"&gt;="&amp;DATE(2026,2,15),'DRAFT 2'!$A:$A,"&lt;="&amp;DATE(2026,2,21))</f>
        <v/>
      </c>
      <c r="CY141" s="116">
        <f>COUNTIFS('DRAFT 2'!$D:$D,$B141,'DRAFT 2'!$A:$A,"&gt;="&amp;DATE(2026,2,22),'DRAFT 2'!$A:$A,"&lt;"&amp;DATE(2026,IF(2=12,2+1,2+1),1))</f>
        <v/>
      </c>
      <c r="CZ141" s="116">
        <f>SUM(CV141:CY141)</f>
        <v/>
      </c>
      <c r="DJ141" s="116">
        <f>IFERROR(LOOKUP(2,1/('DRAFT 2'!$D:$D=$B141)*('DRAFT 2'!$A:$A&gt;=DATE(2026,3,1))*('DRAFT 2'!$A:$A&lt;DATE(2026,IF(3=12,3+1,3+1),1)),'DRAFT 2'!$A:$A),"")</f>
        <v/>
      </c>
      <c r="DK141" s="116">
        <f>COUNTIFS('DRAFT 2'!$D:$D,$B141,'DRAFT 2'!$A:$A,"&gt;="&amp;DATE(2026,3,1),'DRAFT 2'!$A:$A,"&lt;="&amp;DATE(2026,3,7))</f>
        <v/>
      </c>
      <c r="DL141" s="116">
        <f>COUNTIFS('DRAFT 2'!$D:$D,$B141,'DRAFT 2'!$A:$A,"&gt;="&amp;DATE(2026,3,8),'DRAFT 2'!$A:$A,"&lt;="&amp;DATE(2026,3,14))</f>
        <v/>
      </c>
      <c r="DM141" s="116">
        <f>COUNTIFS('DRAFT 2'!$D:$D,$B141,'DRAFT 2'!$A:$A,"&gt;="&amp;DATE(2026,3,15),'DRAFT 2'!$A:$A,"&lt;="&amp;DATE(2026,3,21))</f>
        <v/>
      </c>
      <c r="DN141" s="116">
        <f>COUNTIFS('DRAFT 2'!$D:$D,$B141,'DRAFT 2'!$A:$A,"&gt;="&amp;DATE(2026,3,22),'DRAFT 2'!$A:$A,"&lt;"&amp;DATE(2026,IF(3=12,3+1,3+1),1))</f>
        <v/>
      </c>
      <c r="DO141" s="116">
        <f>SUM(DK141:DN141)</f>
        <v/>
      </c>
      <c r="DZ141" s="116">
        <f>IFERROR(LOOKUP(2,1/('DRAFT 2'!$D:$D=$B141)*('DRAFT 2'!$A:$A&gt;=DATE(2026,4,1))*('DRAFT 2'!$A:$A&lt;DATE(2026,IF(4=12,4+1,4+1),1)),'DRAFT 2'!$A:$A),"")</f>
        <v/>
      </c>
      <c r="EA141" s="116">
        <f>COUNTIFS('DRAFT 2'!$D:$D,$B141,'DRAFT 2'!$A:$A,"&gt;="&amp;DATE(2026,4,1),'DRAFT 2'!$A:$A,"&lt;="&amp;DATE(2026,4,7))</f>
        <v/>
      </c>
      <c r="EB141" s="116">
        <f>COUNTIFS('DRAFT 2'!$D:$D,$B141,'DRAFT 2'!$A:$A,"&gt;="&amp;DATE(2026,4,8),'DRAFT 2'!$A:$A,"&lt;="&amp;DATE(2026,4,14))</f>
        <v/>
      </c>
      <c r="EC141" s="116">
        <f>COUNTIFS('DRAFT 2'!$D:$D,$B141,'DRAFT 2'!$A:$A,"&gt;="&amp;DATE(2026,4,15),'DRAFT 2'!$A:$A,"&lt;="&amp;DATE(2026,4,21))</f>
        <v/>
      </c>
      <c r="ED141" s="116">
        <f>COUNTIFS('DRAFT 2'!$D:$D,$B141,'DRAFT 2'!$A:$A,"&gt;="&amp;DATE(2026,4,22),'DRAFT 2'!$A:$A,"&lt;"&amp;DATE(2026,IF(4=12,4+1,4+1),1))</f>
        <v/>
      </c>
      <c r="EE141" s="116">
        <f>SUM(EA141:ED141)</f>
        <v/>
      </c>
      <c r="EO141" s="116">
        <f>IFERROR(LOOKUP(2,1/('DRAFT 2'!$D:$D=$B141)*('DRAFT 2'!$A:$A&gt;=DATE(2026,5,1))*('DRAFT 2'!$A:$A&lt;DATE(2026,IF(5=12,5+1,5+1),1)),'DRAFT 2'!$A:$A),"")</f>
        <v/>
      </c>
      <c r="EP141" s="116">
        <f>COUNTIFS('DRAFT 2'!$D:$D,$B141,'DRAFT 2'!$A:$A,"&gt;="&amp;DATE(2026,5,1),'DRAFT 2'!$A:$A,"&lt;="&amp;DATE(2026,5,7))</f>
        <v/>
      </c>
      <c r="EQ141" s="116">
        <f>COUNTIFS('DRAFT 2'!$D:$D,$B141,'DRAFT 2'!$A:$A,"&gt;="&amp;DATE(2026,5,8),'DRAFT 2'!$A:$A,"&lt;="&amp;DATE(2026,5,14))</f>
        <v/>
      </c>
      <c r="ER141" s="116">
        <f>COUNTIFS('DRAFT 2'!$D:$D,$B141,'DRAFT 2'!$A:$A,"&gt;="&amp;DATE(2026,5,15),'DRAFT 2'!$A:$A,"&lt;="&amp;DATE(2026,5,21))</f>
        <v/>
      </c>
      <c r="ES141" s="116">
        <f>COUNTIFS('DRAFT 2'!$D:$D,$B141,'DRAFT 2'!$A:$A,"&gt;="&amp;DATE(2026,5,22),'DRAFT 2'!$A:$A,"&lt;"&amp;DATE(2026,IF(5=12,5+1,5+1),1))</f>
        <v/>
      </c>
      <c r="ET141" s="116">
        <f>SUM(EP141:ES141)</f>
        <v/>
      </c>
      <c r="FD141" s="116">
        <f>IFERROR(LOOKUP(2,1/('DRAFT 2'!$D:$D=$B141)*('DRAFT 2'!$A:$A&gt;=DATE(2026,6,1))*('DRAFT 2'!$A:$A&lt;DATE(2026,IF(6=12,6+1,6+1),1)),'DRAFT 2'!$A:$A),"")</f>
        <v/>
      </c>
      <c r="FE141" s="116">
        <f>COUNTIFS('DRAFT 2'!$D:$D,$B141,'DRAFT 2'!$A:$A,"&gt;="&amp;DATE(2026,6,1),'DRAFT 2'!$A:$A,"&lt;="&amp;DATE(2026,6,7))</f>
        <v/>
      </c>
      <c r="FF141" s="116">
        <f>COUNTIFS('DRAFT 2'!$D:$D,$B141,'DRAFT 2'!$A:$A,"&gt;="&amp;DATE(2026,6,8),'DRAFT 2'!$A:$A,"&lt;="&amp;DATE(2026,6,14))</f>
        <v/>
      </c>
      <c r="FG141" s="116">
        <f>COUNTIFS('DRAFT 2'!$D:$D,$B141,'DRAFT 2'!$A:$A,"&gt;="&amp;DATE(2026,6,15),'DRAFT 2'!$A:$A,"&lt;="&amp;DATE(2026,6,21))</f>
        <v/>
      </c>
      <c r="FH141" s="116">
        <f>COUNTIFS('DRAFT 2'!$D:$D,$B141,'DRAFT 2'!$A:$A,"&gt;="&amp;DATE(2026,6,22),'DRAFT 2'!$A:$A,"&lt;"&amp;DATE(2026,IF(6=12,6+1,6+1),1))</f>
        <v/>
      </c>
      <c r="FI141" s="116">
        <f>SUM(FE141:FH141)</f>
        <v/>
      </c>
      <c r="FT141" s="116">
        <f>IFERROR(LOOKUP(2,1/('DRAFT 2'!$D:$D=$B141)*('DRAFT 2'!$A:$A&gt;=DATE(2026,7,1))*('DRAFT 2'!$A:$A&lt;DATE(2026,IF(7=12,7+1,7+1),1)),'DRAFT 2'!$A:$A),"")</f>
        <v/>
      </c>
      <c r="FU141" s="116">
        <f>COUNTIFS('DRAFT 2'!$D:$D,$B141,'DRAFT 2'!$A:$A,"&gt;="&amp;DATE(2026,7,1),'DRAFT 2'!$A:$A,"&lt;="&amp;DATE(2026,7,7))</f>
        <v/>
      </c>
      <c r="FV141" s="116">
        <f>COUNTIFS('DRAFT 2'!$D:$D,$B141,'DRAFT 2'!$A:$A,"&gt;="&amp;DATE(2026,7,8),'DRAFT 2'!$A:$A,"&lt;="&amp;DATE(2026,7,14))</f>
        <v/>
      </c>
      <c r="FW141" s="116">
        <f>COUNTIFS('DRAFT 2'!$D:$D,$B141,'DRAFT 2'!$A:$A,"&gt;="&amp;DATE(2026,7,15),'DRAFT 2'!$A:$A,"&lt;="&amp;DATE(2026,7,21))</f>
        <v/>
      </c>
      <c r="FX141" s="116">
        <f>COUNTIFS('DRAFT 2'!$D:$D,$B141,'DRAFT 2'!$A:$A,"&gt;="&amp;DATE(2026,7,22),'DRAFT 2'!$A:$A,"&lt;"&amp;DATE(2026,IF(7=12,7+1,7+1),1))</f>
        <v/>
      </c>
      <c r="FY141" s="116">
        <f>SUM(FU141:FX141)</f>
        <v/>
      </c>
      <c r="GI141" s="116">
        <f>IFERROR(LOOKUP(2,1/('DRAFT 2'!$D:$D=$B141)*('DRAFT 2'!$A:$A&gt;=DATE(2026,8,1))*('DRAFT 2'!$A:$A&lt;DATE(2026,IF(8=12,8+1,8+1),1)),'DRAFT 2'!$A:$A),"")</f>
        <v/>
      </c>
      <c r="GJ141" s="116">
        <f>COUNTIFS('DRAFT 2'!$D:$D,$B141,'DRAFT 2'!$A:$A,"&gt;="&amp;DATE(2026,8,1),'DRAFT 2'!$A:$A,"&lt;="&amp;DATE(2026,8,7))</f>
        <v/>
      </c>
      <c r="GK141" s="116">
        <f>COUNTIFS('DRAFT 2'!$D:$D,$B141,'DRAFT 2'!$A:$A,"&gt;="&amp;DATE(2026,8,8),'DRAFT 2'!$A:$A,"&lt;="&amp;DATE(2026,8,14))</f>
        <v/>
      </c>
      <c r="GL141" s="116">
        <f>COUNTIFS('DRAFT 2'!$D:$D,$B141,'DRAFT 2'!$A:$A,"&gt;="&amp;DATE(2026,8,15),'DRAFT 2'!$A:$A,"&lt;="&amp;DATE(2026,8,21))</f>
        <v/>
      </c>
      <c r="GM141" s="116">
        <f>COUNTIFS('DRAFT 2'!$D:$D,$B141,'DRAFT 2'!$A:$A,"&gt;="&amp;DATE(2026,8,22),'DRAFT 2'!$A:$A,"&lt;"&amp;DATE(2026,IF(8=12,8+1,8+1),1))</f>
        <v/>
      </c>
      <c r="GN141" s="116">
        <f>SUM(GJ141:GM141)</f>
        <v/>
      </c>
      <c r="GX141" s="116">
        <f>IFERROR(LOOKUP(2,1/('DRAFT 2'!$D:$D=$B141)*('DRAFT 2'!$A:$A&gt;=DATE(2026,9,1))*('DRAFT 2'!$A:$A&lt;DATE(2026,IF(9=12,9+1,9+1),1)),'DRAFT 2'!$A:$A),"")</f>
        <v/>
      </c>
      <c r="GY141" s="116">
        <f>COUNTIFS('DRAFT 2'!$D:$D,$B141,'DRAFT 2'!$A:$A,"&gt;="&amp;DATE(2026,9,1),'DRAFT 2'!$A:$A,"&lt;="&amp;DATE(2026,9,7))</f>
        <v/>
      </c>
      <c r="GZ141" s="116">
        <f>COUNTIFS('DRAFT 2'!$D:$D,$B141,'DRAFT 2'!$A:$A,"&gt;="&amp;DATE(2026,9,8),'DRAFT 2'!$A:$A,"&lt;="&amp;DATE(2026,9,14))</f>
        <v/>
      </c>
      <c r="HA141" s="116">
        <f>COUNTIFS('DRAFT 2'!$D:$D,$B141,'DRAFT 2'!$A:$A,"&gt;="&amp;DATE(2026,9,15),'DRAFT 2'!$A:$A,"&lt;="&amp;DATE(2026,9,21))</f>
        <v/>
      </c>
      <c r="HB141" s="116">
        <f>COUNTIFS('DRAFT 2'!$D:$D,$B141,'DRAFT 2'!$A:$A,"&gt;="&amp;DATE(2026,9,22),'DRAFT 2'!$A:$A,"&lt;"&amp;DATE(2026,IF(9=12,9+1,9+1),1))</f>
        <v/>
      </c>
      <c r="HC141" s="116">
        <f>SUM(GY141:HB141)</f>
        <v/>
      </c>
      <c r="HN141" s="116">
        <f>IFERROR(LOOKUP(2,1/('DRAFT 2'!$D:$D=$B141)*('DRAFT 2'!$A:$A&gt;=DATE(2026,10,1))*('DRAFT 2'!$A:$A&lt;DATE(2026,IF(10=12,10+1,10+1),1)),'DRAFT 2'!$A:$A),"")</f>
        <v/>
      </c>
      <c r="HO141" s="116">
        <f>COUNTIFS('DRAFT 2'!$D:$D,$B141,'DRAFT 2'!$A:$A,"&gt;="&amp;DATE(2026,10,1),'DRAFT 2'!$A:$A,"&lt;="&amp;DATE(2026,10,7))</f>
        <v/>
      </c>
      <c r="HP141" s="116">
        <f>COUNTIFS('DRAFT 2'!$D:$D,$B141,'DRAFT 2'!$A:$A,"&gt;="&amp;DATE(2026,10,8),'DRAFT 2'!$A:$A,"&lt;="&amp;DATE(2026,10,14))</f>
        <v/>
      </c>
      <c r="HQ141" s="116">
        <f>COUNTIFS('DRAFT 2'!$D:$D,$B141,'DRAFT 2'!$A:$A,"&gt;="&amp;DATE(2026,10,15),'DRAFT 2'!$A:$A,"&lt;="&amp;DATE(2026,10,21))</f>
        <v/>
      </c>
      <c r="HR141" s="116">
        <f>COUNTIFS('DRAFT 2'!$D:$D,$B141,'DRAFT 2'!$A:$A,"&gt;="&amp;DATE(2026,10,22),'DRAFT 2'!$A:$A,"&lt;"&amp;DATE(2026,IF(10=12,10+1,10+1),1))</f>
        <v/>
      </c>
      <c r="HS141" s="116">
        <f>SUM(HO141:HR141)</f>
        <v/>
      </c>
      <c r="IC141" s="116">
        <f>IFERROR(LOOKUP(2,1/('DRAFT 2'!$D:$D=$B141)*('DRAFT 2'!$A:$A&gt;=DATE(2026,11,1))*('DRAFT 2'!$A:$A&lt;DATE(2026,IF(11=12,11+1,11+1),1)),'DRAFT 2'!$A:$A),"")</f>
        <v/>
      </c>
      <c r="ID141" s="116">
        <f>COUNTIFS('DRAFT 2'!$D:$D,$B141,'DRAFT 2'!$A:$A,"&gt;="&amp;DATE(2026,11,1),'DRAFT 2'!$A:$A,"&lt;="&amp;DATE(2026,11,7))</f>
        <v/>
      </c>
      <c r="IE141" s="116">
        <f>COUNTIFS('DRAFT 2'!$D:$D,$B141,'DRAFT 2'!$A:$A,"&gt;="&amp;DATE(2026,11,8),'DRAFT 2'!$A:$A,"&lt;="&amp;DATE(2026,11,14))</f>
        <v/>
      </c>
      <c r="IF141" s="116">
        <f>COUNTIFS('DRAFT 2'!$D:$D,$B141,'DRAFT 2'!$A:$A,"&gt;="&amp;DATE(2026,11,15),'DRAFT 2'!$A:$A,"&lt;="&amp;DATE(2026,11,21))</f>
        <v/>
      </c>
      <c r="IG141" s="116">
        <f>COUNTIFS('DRAFT 2'!$D:$D,$B141,'DRAFT 2'!$A:$A,"&gt;="&amp;DATE(2026,11,22),'DRAFT 2'!$A:$A,"&lt;"&amp;DATE(2026,IF(11=12,11+1,11+1),1))</f>
        <v/>
      </c>
      <c r="IH141" s="116">
        <f>SUM(ID141:IG141)</f>
        <v/>
      </c>
      <c r="IR141" s="116">
        <f>IFERROR(LOOKUP(2,1/('DRAFT 2'!$D:$D=$B141)*('DRAFT 2'!$A:$A&gt;=DATE(2026,12,1))*('DRAFT 2'!$A:$A&lt;DATE(2026,IF(12=12,12+1,12+1),1)),'DRAFT 2'!$A:$A),"")</f>
        <v/>
      </c>
      <c r="IS141" s="116">
        <f>COUNTIFS('DRAFT 2'!$D:$D,$B141,'DRAFT 2'!$A:$A,"&gt;="&amp;DATE(2026,12,1),'DRAFT 2'!$A:$A,"&lt;="&amp;DATE(2026,12,7))</f>
        <v/>
      </c>
      <c r="IT141" s="116">
        <f>COUNTIFS('DRAFT 2'!$D:$D,$B141,'DRAFT 2'!$A:$A,"&gt;="&amp;DATE(2026,12,8),'DRAFT 2'!$A:$A,"&lt;="&amp;DATE(2026,12,14))</f>
        <v/>
      </c>
      <c r="IU141" s="116">
        <f>COUNTIFS('DRAFT 2'!$D:$D,$B141,'DRAFT 2'!$A:$A,"&gt;="&amp;DATE(2026,12,15),'DRAFT 2'!$A:$A,"&lt;="&amp;DATE(2026,12,21))</f>
        <v/>
      </c>
      <c r="IV141" s="116">
        <f>COUNTIFS('DRAFT 2'!$D:$D,$B141,'DRAFT 2'!$A:$A,"&gt;="&amp;DATE(2026,12,22),'DRAFT 2'!$A:$A,"&lt;"&amp;DATE(2026,IF(12=12,12+1,12+1),1))</f>
        <v/>
      </c>
      <c r="IW141" s="116">
        <f>SUM(IS141:IV141)</f>
        <v/>
      </c>
    </row>
    <row r="142">
      <c r="A142" s="116">
        <f>IFERROR(INDEX('DRAFT 1'!$A:$A,MATCH($B142,'DRAFT 1'!$B:$B,0)),"")</f>
        <v/>
      </c>
      <c r="C142" s="116">
        <f>IFERROR(INDEX('DRAFT 1'!$C:$C,MATCH($B142,'DRAFT 1'!$B:$B,0)),"")</f>
        <v/>
      </c>
      <c r="D142" s="116">
        <f>IFERROR(INDEX('DRAFT 1'!$D:$D,MATCH($B142,'DRAFT 1'!$B:$B,0)),"")</f>
        <v/>
      </c>
      <c r="E142" s="116">
        <f>IFERROR(INDEX('DRAFT 1'!$E:$E,MATCH($B142,'DRAFT 1'!$B:$B,0)),"")</f>
        <v/>
      </c>
      <c r="F142" s="116">
        <f>IFERROR(INDEX('DRAFT 1'!$F:$F,MATCH($B142,'DRAFT 1'!$B:$B,0)),"")</f>
        <v/>
      </c>
      <c r="G142" s="116">
        <f>IFERROR(INDEX('DRAFT 1'!$G:$G,MATCH($B142,'DRAFT 1'!$B:$B,0)),"")</f>
        <v/>
      </c>
      <c r="H142" s="116">
        <f>IFERROR(INDEX('DRAFT 1'!$H:$H,MATCH($B142,'DRAFT 1'!$B:$B,0)),"")</f>
        <v/>
      </c>
      <c r="I142" s="116">
        <f>IFERROR(INDEX('DRAFT 1'!$I:$I,MATCH($B142,'DRAFT 1'!$B:$B,0)),"")</f>
        <v/>
      </c>
      <c r="K142" s="116">
        <f>IFERROR(INDEX('DRAFT 1'!$AL:$AL,MATCH($B142,'DRAFT 1'!$B:$B,0)),"")</f>
        <v/>
      </c>
      <c r="L142" s="116">
        <f>IFERROR(INDEX('DRAFT 1'!$J:$J,MATCH($B142,'DRAFT 1'!$B:$B,0)),"")</f>
        <v/>
      </c>
      <c r="M142" s="116">
        <f>IFERROR(INDEX('DRAFT 1'!$K:$K,MATCH($B142,'DRAFT 1'!$B:$B,0)),"")</f>
        <v/>
      </c>
      <c r="P142" s="116">
        <f>IFERROR(INDEX('DRAFT 1'!$L:$L,MATCH($B142,'DRAFT 1'!$B:$B,0)),"")</f>
        <v/>
      </c>
      <c r="Q142" s="116">
        <f>IFERROR(INDEX('DRAFT 1'!$M:$M,MATCH($B142,'DRAFT 1'!$B:$B,0)),"")</f>
        <v/>
      </c>
      <c r="R142" s="116">
        <f>IFERROR(INDEX('DRAFT 1'!$N:$N,MATCH($B142,'DRAFT 1'!$B:$B,0)),"")</f>
        <v/>
      </c>
      <c r="S142" s="116">
        <f>IFERROR(INDEX('DRAFT 1'!$O:$O,MATCH($B142,'DRAFT 1'!$B:$B,0)),"")</f>
        <v/>
      </c>
      <c r="T142" s="116">
        <f>IFERROR(INDEX('DRAFT 1'!$P:$P,MATCH($B142,'DRAFT 1'!$B:$B,0)),"")</f>
        <v/>
      </c>
      <c r="U142" s="116">
        <f>IFERROR(INDEX('DRAFT 1'!$Q:$Q,MATCH($B142,'DRAFT 1'!$B:$B,0)),"")</f>
        <v/>
      </c>
      <c r="V142" s="116">
        <f>IFERROR(INDEX('DRAFT 1'!$R:$R,MATCH($B142,'DRAFT 1'!$B:$B,0)),"")</f>
        <v/>
      </c>
      <c r="W142" s="116">
        <f>IFERROR(INDEX('DRAFT 1'!$S:$S,MATCH($B142,'DRAFT 1'!$B:$B,0)),"")</f>
        <v/>
      </c>
      <c r="X142" s="116">
        <f>IFERROR(INDEX('DRAFT 1'!$T:$T,MATCH($B142,'DRAFT 1'!$B:$B,0)),"")</f>
        <v/>
      </c>
      <c r="Z142" s="116">
        <f>IFERROR(INDEX('DRAFT 1'!$U:$U,MATCH($B142,'DRAFT 1'!$B:$B,0)),"")</f>
        <v/>
      </c>
      <c r="AA142" s="116">
        <f>IFERROR(INDEX('DRAFT 1'!$V:$V,MATCH($B142,'DRAFT 1'!$B:$B,0)),"")</f>
        <v/>
      </c>
      <c r="AB142" s="116">
        <f>IFERROR(INDEX('DRAFT 1'!$W:$W,MATCH($B142,'DRAFT 1'!$B:$B,0)),"")</f>
        <v/>
      </c>
      <c r="AC142" s="116">
        <f>IFERROR(INDEX('DRAFT 1'!$X:$X,MATCH($B142,'DRAFT 1'!$B:$B,0)),"")</f>
        <v/>
      </c>
      <c r="AD142" s="116">
        <f>IFERROR(INDEX('DRAFT 1'!$Y:$Y,MATCH($B142,'DRAFT 1'!$B:$B,0)),"")</f>
        <v/>
      </c>
      <c r="AE142" s="116">
        <f>IFERROR(INDEX('DRAFT 1'!$Z:$Z,MATCH($B142,'DRAFT 1'!$B:$B,0)),"")</f>
        <v/>
      </c>
      <c r="AF142" s="116">
        <f>IFERROR(INDEX('DRAFT 1'!$AA:$AA,MATCH($B142,'DRAFT 1'!$B:$B,0)),"")</f>
        <v/>
      </c>
      <c r="AG142" s="116">
        <f>IFERROR(INDEX('DRAFT 1'!$AB:$AB,MATCH($B142,'DRAFT 1'!$B:$B,0)),"")</f>
        <v/>
      </c>
      <c r="AH142" s="116">
        <f>IFERROR(INDEX('DRAFT 1'!$AC:$AC,MATCH($B142,'DRAFT 1'!$B:$B,0)),"")</f>
        <v/>
      </c>
      <c r="AI142" s="116">
        <f>IFERROR(INDEX('DRAFT 1'!$AD:$AD,MATCH($B142,'DRAFT 1'!$B:$B,0)),"")</f>
        <v/>
      </c>
      <c r="AJ142" s="116">
        <f>IFERROR(INDEX('DRAFT 1'!$AE:$AE,MATCH($B142,'DRAFT 1'!$B:$B,0)),"")</f>
        <v/>
      </c>
      <c r="AK142" s="116">
        <f>IFERROR(INDEX('DRAFT 1'!$AG:$AG,MATCH($B142,'DRAFT 1'!$B:$B,0)),"")</f>
        <v/>
      </c>
      <c r="AL142" s="116">
        <f>IFERROR(INDEX('DRAFT 1'!$AH:$AH,MATCH($B142,'DRAFT 1'!$B:$B,0)),"")</f>
        <v/>
      </c>
      <c r="AM142" s="116">
        <f>IFERROR(INDEX('DRAFT 1'!$AI:$AI,MATCH($B142,'DRAFT 1'!$B:$B,0)),"")</f>
        <v/>
      </c>
      <c r="AN142" s="116">
        <f>IFERROR(INDEX('DRAFT 1'!$AJ:$AJ,MATCH($B142,'DRAFT 1'!$B:$B,0)),"")</f>
        <v/>
      </c>
      <c r="AO142" s="116">
        <f>IFERROR(Y142/AN142,0)</f>
        <v/>
      </c>
      <c r="AP142" s="116">
        <f>IFERROR(INDEX('DRAFT 1'!$AK:$AK,MATCH($B142,'DRAFT 1'!$B:$B,0)),"")</f>
        <v/>
      </c>
      <c r="AR142" s="116">
        <f>IFERROR(LOOKUP(2,1/('DRAFT 2'!$D:$D=$B142),'DRAFT 2'!$I:$I),"")</f>
        <v/>
      </c>
      <c r="AS142" s="116">
        <f>IFERROR(LOOKUP(2,1/('DRAFT 2'!$D:$D=$B142),'DRAFT 2'!$T:$T),"")</f>
        <v/>
      </c>
      <c r="AT142" s="116">
        <f>IFERROR(LOOKUP(2,1/('DRAFT 2'!$D:$D=$B142),'DRAFT 2'!$A:$A),"")</f>
        <v/>
      </c>
      <c r="AU142" s="116">
        <f>IFERROR(LOOKUP(2,1/('DRAFT 2'!$D:$D=$B142),'DRAFT 2'!$R:$R),"")</f>
        <v/>
      </c>
      <c r="AV142" s="116">
        <f>IFERROR(LOOKUP(2,1/('DRAFT 2'!$D:$D=$B142),'DRAFT 2'!$S:$S),"")</f>
        <v/>
      </c>
      <c r="AX142" s="116">
        <f>IFERROR(LOOKUP(2,1/('DRAFT 2'!$D:$D=$B142),'DRAFT 2'!$M:$M),"")</f>
        <v/>
      </c>
      <c r="AY142" s="116">
        <f>IFERROR(LOOKUP(2,1/('DRAFT 2'!$D:$D=$B142),'DRAFT 2'!$K:$K),"")</f>
        <v/>
      </c>
      <c r="BG142" s="116">
        <f>IFERROR(LOOKUP(2,1/('DRAFT 2'!$D:$D=$B142),'DRAFT 2'!$U:$U),"")</f>
        <v/>
      </c>
      <c r="BH142" s="116">
        <f>IFERROR(LOOKUP(2,1/('DRAFT 2'!$D:$D=$B142),'DRAFT 2'!$V:$V),"")</f>
        <v/>
      </c>
      <c r="CE142" s="116">
        <f>IFERROR(AJ142,0)</f>
        <v/>
      </c>
      <c r="CF142" s="116">
        <f>IFERROR(LOOKUP(2,1/('DRAFT 2'!$D:$D=$B142)*('DRAFT 2'!$A:$A&gt;=DATE(2026,1,1))*('DRAFT 2'!$A:$A&lt;DATE(2026,IF(1=12,1+1,1+1),1)),'DRAFT 2'!$A:$A),"")</f>
        <v/>
      </c>
      <c r="CG142" s="116">
        <f>COUNTIFS('DRAFT 2'!$D:$D,$B142,'DRAFT 2'!$A:$A,"&gt;="&amp;DATE(2026,1,1),'DRAFT 2'!$A:$A,"&lt;="&amp;DATE(2026,1,7))</f>
        <v/>
      </c>
      <c r="CH142" s="116">
        <f>COUNTIFS('DRAFT 2'!$D:$D,$B142,'DRAFT 2'!$A:$A,"&gt;="&amp;DATE(2026,1,8),'DRAFT 2'!$A:$A,"&lt;="&amp;DATE(2026,1,14))</f>
        <v/>
      </c>
      <c r="CI142" s="116">
        <f>COUNTIFS('DRAFT 2'!$D:$D,$B142,'DRAFT 2'!$A:$A,"&gt;="&amp;DATE(2026,1,15),'DRAFT 2'!$A:$A,"&lt;="&amp;DATE(2026,1,21))</f>
        <v/>
      </c>
      <c r="CJ142" s="116">
        <f>COUNTIFS('DRAFT 2'!$D:$D,$B142,'DRAFT 2'!$A:$A,"&gt;="&amp;DATE(2026,1,22),'DRAFT 2'!$A:$A,"&lt;"&amp;DATE(2026,IF(1=12,1+1,1+1),1))</f>
        <v/>
      </c>
      <c r="CK142" s="116">
        <f>SUM(CG142:CJ142)</f>
        <v/>
      </c>
      <c r="CT142" s="116" t="n">
        <v>0</v>
      </c>
      <c r="CU142" s="116">
        <f>IFERROR(LOOKUP(2,1/('DRAFT 2'!$D:$D=$B142)*('DRAFT 2'!$A:$A&gt;=DATE(2026,2,1))*('DRAFT 2'!$A:$A&lt;DATE(2026,IF(2=12,2+1,2+1),1)),'DRAFT 2'!$A:$A),"")</f>
        <v/>
      </c>
      <c r="CV142" s="116">
        <f>COUNTIFS('DRAFT 2'!$D:$D,$B142,'DRAFT 2'!$A:$A,"&gt;="&amp;DATE(2026,2,1),'DRAFT 2'!$A:$A,"&lt;="&amp;DATE(2026,2,7))</f>
        <v/>
      </c>
      <c r="CW142" s="116">
        <f>COUNTIFS('DRAFT 2'!$D:$D,$B142,'DRAFT 2'!$A:$A,"&gt;="&amp;DATE(2026,2,8),'DRAFT 2'!$A:$A,"&lt;="&amp;DATE(2026,2,14))</f>
        <v/>
      </c>
      <c r="CX142" s="116">
        <f>COUNTIFS('DRAFT 2'!$D:$D,$B142,'DRAFT 2'!$A:$A,"&gt;="&amp;DATE(2026,2,15),'DRAFT 2'!$A:$A,"&lt;="&amp;DATE(2026,2,21))</f>
        <v/>
      </c>
      <c r="CY142" s="116">
        <f>COUNTIFS('DRAFT 2'!$D:$D,$B142,'DRAFT 2'!$A:$A,"&gt;="&amp;DATE(2026,2,22),'DRAFT 2'!$A:$A,"&lt;"&amp;DATE(2026,IF(2=12,2+1,2+1),1))</f>
        <v/>
      </c>
      <c r="CZ142" s="116">
        <f>SUM(CV142:CY142)</f>
        <v/>
      </c>
      <c r="DJ142" s="116">
        <f>IFERROR(LOOKUP(2,1/('DRAFT 2'!$D:$D=$B142)*('DRAFT 2'!$A:$A&gt;=DATE(2026,3,1))*('DRAFT 2'!$A:$A&lt;DATE(2026,IF(3=12,3+1,3+1),1)),'DRAFT 2'!$A:$A),"")</f>
        <v/>
      </c>
      <c r="DK142" s="116">
        <f>COUNTIFS('DRAFT 2'!$D:$D,$B142,'DRAFT 2'!$A:$A,"&gt;="&amp;DATE(2026,3,1),'DRAFT 2'!$A:$A,"&lt;="&amp;DATE(2026,3,7))</f>
        <v/>
      </c>
      <c r="DL142" s="116">
        <f>COUNTIFS('DRAFT 2'!$D:$D,$B142,'DRAFT 2'!$A:$A,"&gt;="&amp;DATE(2026,3,8),'DRAFT 2'!$A:$A,"&lt;="&amp;DATE(2026,3,14))</f>
        <v/>
      </c>
      <c r="DM142" s="116">
        <f>COUNTIFS('DRAFT 2'!$D:$D,$B142,'DRAFT 2'!$A:$A,"&gt;="&amp;DATE(2026,3,15),'DRAFT 2'!$A:$A,"&lt;="&amp;DATE(2026,3,21))</f>
        <v/>
      </c>
      <c r="DN142" s="116">
        <f>COUNTIFS('DRAFT 2'!$D:$D,$B142,'DRAFT 2'!$A:$A,"&gt;="&amp;DATE(2026,3,22),'DRAFT 2'!$A:$A,"&lt;"&amp;DATE(2026,IF(3=12,3+1,3+1),1))</f>
        <v/>
      </c>
      <c r="DO142" s="116">
        <f>SUM(DK142:DN142)</f>
        <v/>
      </c>
      <c r="DZ142" s="116">
        <f>IFERROR(LOOKUP(2,1/('DRAFT 2'!$D:$D=$B142)*('DRAFT 2'!$A:$A&gt;=DATE(2026,4,1))*('DRAFT 2'!$A:$A&lt;DATE(2026,IF(4=12,4+1,4+1),1)),'DRAFT 2'!$A:$A),"")</f>
        <v/>
      </c>
      <c r="EA142" s="116">
        <f>COUNTIFS('DRAFT 2'!$D:$D,$B142,'DRAFT 2'!$A:$A,"&gt;="&amp;DATE(2026,4,1),'DRAFT 2'!$A:$A,"&lt;="&amp;DATE(2026,4,7))</f>
        <v/>
      </c>
      <c r="EB142" s="116">
        <f>COUNTIFS('DRAFT 2'!$D:$D,$B142,'DRAFT 2'!$A:$A,"&gt;="&amp;DATE(2026,4,8),'DRAFT 2'!$A:$A,"&lt;="&amp;DATE(2026,4,14))</f>
        <v/>
      </c>
      <c r="EC142" s="116">
        <f>COUNTIFS('DRAFT 2'!$D:$D,$B142,'DRAFT 2'!$A:$A,"&gt;="&amp;DATE(2026,4,15),'DRAFT 2'!$A:$A,"&lt;="&amp;DATE(2026,4,21))</f>
        <v/>
      </c>
      <c r="ED142" s="116">
        <f>COUNTIFS('DRAFT 2'!$D:$D,$B142,'DRAFT 2'!$A:$A,"&gt;="&amp;DATE(2026,4,22),'DRAFT 2'!$A:$A,"&lt;"&amp;DATE(2026,IF(4=12,4+1,4+1),1))</f>
        <v/>
      </c>
      <c r="EE142" s="116">
        <f>SUM(EA142:ED142)</f>
        <v/>
      </c>
      <c r="EO142" s="116">
        <f>IFERROR(LOOKUP(2,1/('DRAFT 2'!$D:$D=$B142)*('DRAFT 2'!$A:$A&gt;=DATE(2026,5,1))*('DRAFT 2'!$A:$A&lt;DATE(2026,IF(5=12,5+1,5+1),1)),'DRAFT 2'!$A:$A),"")</f>
        <v/>
      </c>
      <c r="EP142" s="116">
        <f>COUNTIFS('DRAFT 2'!$D:$D,$B142,'DRAFT 2'!$A:$A,"&gt;="&amp;DATE(2026,5,1),'DRAFT 2'!$A:$A,"&lt;="&amp;DATE(2026,5,7))</f>
        <v/>
      </c>
      <c r="EQ142" s="116">
        <f>COUNTIFS('DRAFT 2'!$D:$D,$B142,'DRAFT 2'!$A:$A,"&gt;="&amp;DATE(2026,5,8),'DRAFT 2'!$A:$A,"&lt;="&amp;DATE(2026,5,14))</f>
        <v/>
      </c>
      <c r="ER142" s="116">
        <f>COUNTIFS('DRAFT 2'!$D:$D,$B142,'DRAFT 2'!$A:$A,"&gt;="&amp;DATE(2026,5,15),'DRAFT 2'!$A:$A,"&lt;="&amp;DATE(2026,5,21))</f>
        <v/>
      </c>
      <c r="ES142" s="116">
        <f>COUNTIFS('DRAFT 2'!$D:$D,$B142,'DRAFT 2'!$A:$A,"&gt;="&amp;DATE(2026,5,22),'DRAFT 2'!$A:$A,"&lt;"&amp;DATE(2026,IF(5=12,5+1,5+1),1))</f>
        <v/>
      </c>
      <c r="ET142" s="116">
        <f>SUM(EP142:ES142)</f>
        <v/>
      </c>
      <c r="FD142" s="116">
        <f>IFERROR(LOOKUP(2,1/('DRAFT 2'!$D:$D=$B142)*('DRAFT 2'!$A:$A&gt;=DATE(2026,6,1))*('DRAFT 2'!$A:$A&lt;DATE(2026,IF(6=12,6+1,6+1),1)),'DRAFT 2'!$A:$A),"")</f>
        <v/>
      </c>
      <c r="FE142" s="116">
        <f>COUNTIFS('DRAFT 2'!$D:$D,$B142,'DRAFT 2'!$A:$A,"&gt;="&amp;DATE(2026,6,1),'DRAFT 2'!$A:$A,"&lt;="&amp;DATE(2026,6,7))</f>
        <v/>
      </c>
      <c r="FF142" s="116">
        <f>COUNTIFS('DRAFT 2'!$D:$D,$B142,'DRAFT 2'!$A:$A,"&gt;="&amp;DATE(2026,6,8),'DRAFT 2'!$A:$A,"&lt;="&amp;DATE(2026,6,14))</f>
        <v/>
      </c>
      <c r="FG142" s="116">
        <f>COUNTIFS('DRAFT 2'!$D:$D,$B142,'DRAFT 2'!$A:$A,"&gt;="&amp;DATE(2026,6,15),'DRAFT 2'!$A:$A,"&lt;="&amp;DATE(2026,6,21))</f>
        <v/>
      </c>
      <c r="FH142" s="116">
        <f>COUNTIFS('DRAFT 2'!$D:$D,$B142,'DRAFT 2'!$A:$A,"&gt;="&amp;DATE(2026,6,22),'DRAFT 2'!$A:$A,"&lt;"&amp;DATE(2026,IF(6=12,6+1,6+1),1))</f>
        <v/>
      </c>
      <c r="FI142" s="116">
        <f>SUM(FE142:FH142)</f>
        <v/>
      </c>
      <c r="FT142" s="116">
        <f>IFERROR(LOOKUP(2,1/('DRAFT 2'!$D:$D=$B142)*('DRAFT 2'!$A:$A&gt;=DATE(2026,7,1))*('DRAFT 2'!$A:$A&lt;DATE(2026,IF(7=12,7+1,7+1),1)),'DRAFT 2'!$A:$A),"")</f>
        <v/>
      </c>
      <c r="FU142" s="116">
        <f>COUNTIFS('DRAFT 2'!$D:$D,$B142,'DRAFT 2'!$A:$A,"&gt;="&amp;DATE(2026,7,1),'DRAFT 2'!$A:$A,"&lt;="&amp;DATE(2026,7,7))</f>
        <v/>
      </c>
      <c r="FV142" s="116">
        <f>COUNTIFS('DRAFT 2'!$D:$D,$B142,'DRAFT 2'!$A:$A,"&gt;="&amp;DATE(2026,7,8),'DRAFT 2'!$A:$A,"&lt;="&amp;DATE(2026,7,14))</f>
        <v/>
      </c>
      <c r="FW142" s="116">
        <f>COUNTIFS('DRAFT 2'!$D:$D,$B142,'DRAFT 2'!$A:$A,"&gt;="&amp;DATE(2026,7,15),'DRAFT 2'!$A:$A,"&lt;="&amp;DATE(2026,7,21))</f>
        <v/>
      </c>
      <c r="FX142" s="116">
        <f>COUNTIFS('DRAFT 2'!$D:$D,$B142,'DRAFT 2'!$A:$A,"&gt;="&amp;DATE(2026,7,22),'DRAFT 2'!$A:$A,"&lt;"&amp;DATE(2026,IF(7=12,7+1,7+1),1))</f>
        <v/>
      </c>
      <c r="FY142" s="116">
        <f>SUM(FU142:FX142)</f>
        <v/>
      </c>
      <c r="GI142" s="116">
        <f>IFERROR(LOOKUP(2,1/('DRAFT 2'!$D:$D=$B142)*('DRAFT 2'!$A:$A&gt;=DATE(2026,8,1))*('DRAFT 2'!$A:$A&lt;DATE(2026,IF(8=12,8+1,8+1),1)),'DRAFT 2'!$A:$A),"")</f>
        <v/>
      </c>
      <c r="GJ142" s="116">
        <f>COUNTIFS('DRAFT 2'!$D:$D,$B142,'DRAFT 2'!$A:$A,"&gt;="&amp;DATE(2026,8,1),'DRAFT 2'!$A:$A,"&lt;="&amp;DATE(2026,8,7))</f>
        <v/>
      </c>
      <c r="GK142" s="116">
        <f>COUNTIFS('DRAFT 2'!$D:$D,$B142,'DRAFT 2'!$A:$A,"&gt;="&amp;DATE(2026,8,8),'DRAFT 2'!$A:$A,"&lt;="&amp;DATE(2026,8,14))</f>
        <v/>
      </c>
      <c r="GL142" s="116">
        <f>COUNTIFS('DRAFT 2'!$D:$D,$B142,'DRAFT 2'!$A:$A,"&gt;="&amp;DATE(2026,8,15),'DRAFT 2'!$A:$A,"&lt;="&amp;DATE(2026,8,21))</f>
        <v/>
      </c>
      <c r="GM142" s="116">
        <f>COUNTIFS('DRAFT 2'!$D:$D,$B142,'DRAFT 2'!$A:$A,"&gt;="&amp;DATE(2026,8,22),'DRAFT 2'!$A:$A,"&lt;"&amp;DATE(2026,IF(8=12,8+1,8+1),1))</f>
        <v/>
      </c>
      <c r="GN142" s="116">
        <f>SUM(GJ142:GM142)</f>
        <v/>
      </c>
      <c r="GX142" s="116">
        <f>IFERROR(LOOKUP(2,1/('DRAFT 2'!$D:$D=$B142)*('DRAFT 2'!$A:$A&gt;=DATE(2026,9,1))*('DRAFT 2'!$A:$A&lt;DATE(2026,IF(9=12,9+1,9+1),1)),'DRAFT 2'!$A:$A),"")</f>
        <v/>
      </c>
      <c r="GY142" s="116">
        <f>COUNTIFS('DRAFT 2'!$D:$D,$B142,'DRAFT 2'!$A:$A,"&gt;="&amp;DATE(2026,9,1),'DRAFT 2'!$A:$A,"&lt;="&amp;DATE(2026,9,7))</f>
        <v/>
      </c>
      <c r="GZ142" s="116">
        <f>COUNTIFS('DRAFT 2'!$D:$D,$B142,'DRAFT 2'!$A:$A,"&gt;="&amp;DATE(2026,9,8),'DRAFT 2'!$A:$A,"&lt;="&amp;DATE(2026,9,14))</f>
        <v/>
      </c>
      <c r="HA142" s="116">
        <f>COUNTIFS('DRAFT 2'!$D:$D,$B142,'DRAFT 2'!$A:$A,"&gt;="&amp;DATE(2026,9,15),'DRAFT 2'!$A:$A,"&lt;="&amp;DATE(2026,9,21))</f>
        <v/>
      </c>
      <c r="HB142" s="116">
        <f>COUNTIFS('DRAFT 2'!$D:$D,$B142,'DRAFT 2'!$A:$A,"&gt;="&amp;DATE(2026,9,22),'DRAFT 2'!$A:$A,"&lt;"&amp;DATE(2026,IF(9=12,9+1,9+1),1))</f>
        <v/>
      </c>
      <c r="HC142" s="116">
        <f>SUM(GY142:HB142)</f>
        <v/>
      </c>
      <c r="HN142" s="116">
        <f>IFERROR(LOOKUP(2,1/('DRAFT 2'!$D:$D=$B142)*('DRAFT 2'!$A:$A&gt;=DATE(2026,10,1))*('DRAFT 2'!$A:$A&lt;DATE(2026,IF(10=12,10+1,10+1),1)),'DRAFT 2'!$A:$A),"")</f>
        <v/>
      </c>
      <c r="HO142" s="116">
        <f>COUNTIFS('DRAFT 2'!$D:$D,$B142,'DRAFT 2'!$A:$A,"&gt;="&amp;DATE(2026,10,1),'DRAFT 2'!$A:$A,"&lt;="&amp;DATE(2026,10,7))</f>
        <v/>
      </c>
      <c r="HP142" s="116">
        <f>COUNTIFS('DRAFT 2'!$D:$D,$B142,'DRAFT 2'!$A:$A,"&gt;="&amp;DATE(2026,10,8),'DRAFT 2'!$A:$A,"&lt;="&amp;DATE(2026,10,14))</f>
        <v/>
      </c>
      <c r="HQ142" s="116">
        <f>COUNTIFS('DRAFT 2'!$D:$D,$B142,'DRAFT 2'!$A:$A,"&gt;="&amp;DATE(2026,10,15),'DRAFT 2'!$A:$A,"&lt;="&amp;DATE(2026,10,21))</f>
        <v/>
      </c>
      <c r="HR142" s="116">
        <f>COUNTIFS('DRAFT 2'!$D:$D,$B142,'DRAFT 2'!$A:$A,"&gt;="&amp;DATE(2026,10,22),'DRAFT 2'!$A:$A,"&lt;"&amp;DATE(2026,IF(10=12,10+1,10+1),1))</f>
        <v/>
      </c>
      <c r="HS142" s="116">
        <f>SUM(HO142:HR142)</f>
        <v/>
      </c>
      <c r="IC142" s="116">
        <f>IFERROR(LOOKUP(2,1/('DRAFT 2'!$D:$D=$B142)*('DRAFT 2'!$A:$A&gt;=DATE(2026,11,1))*('DRAFT 2'!$A:$A&lt;DATE(2026,IF(11=12,11+1,11+1),1)),'DRAFT 2'!$A:$A),"")</f>
        <v/>
      </c>
      <c r="ID142" s="116">
        <f>COUNTIFS('DRAFT 2'!$D:$D,$B142,'DRAFT 2'!$A:$A,"&gt;="&amp;DATE(2026,11,1),'DRAFT 2'!$A:$A,"&lt;="&amp;DATE(2026,11,7))</f>
        <v/>
      </c>
      <c r="IE142" s="116">
        <f>COUNTIFS('DRAFT 2'!$D:$D,$B142,'DRAFT 2'!$A:$A,"&gt;="&amp;DATE(2026,11,8),'DRAFT 2'!$A:$A,"&lt;="&amp;DATE(2026,11,14))</f>
        <v/>
      </c>
      <c r="IF142" s="116">
        <f>COUNTIFS('DRAFT 2'!$D:$D,$B142,'DRAFT 2'!$A:$A,"&gt;="&amp;DATE(2026,11,15),'DRAFT 2'!$A:$A,"&lt;="&amp;DATE(2026,11,21))</f>
        <v/>
      </c>
      <c r="IG142" s="116">
        <f>COUNTIFS('DRAFT 2'!$D:$D,$B142,'DRAFT 2'!$A:$A,"&gt;="&amp;DATE(2026,11,22),'DRAFT 2'!$A:$A,"&lt;"&amp;DATE(2026,IF(11=12,11+1,11+1),1))</f>
        <v/>
      </c>
      <c r="IH142" s="116">
        <f>SUM(ID142:IG142)</f>
        <v/>
      </c>
      <c r="IR142" s="116">
        <f>IFERROR(LOOKUP(2,1/('DRAFT 2'!$D:$D=$B142)*('DRAFT 2'!$A:$A&gt;=DATE(2026,12,1))*('DRAFT 2'!$A:$A&lt;DATE(2026,IF(12=12,12+1,12+1),1)),'DRAFT 2'!$A:$A),"")</f>
        <v/>
      </c>
      <c r="IS142" s="116">
        <f>COUNTIFS('DRAFT 2'!$D:$D,$B142,'DRAFT 2'!$A:$A,"&gt;="&amp;DATE(2026,12,1),'DRAFT 2'!$A:$A,"&lt;="&amp;DATE(2026,12,7))</f>
        <v/>
      </c>
      <c r="IT142" s="116">
        <f>COUNTIFS('DRAFT 2'!$D:$D,$B142,'DRAFT 2'!$A:$A,"&gt;="&amp;DATE(2026,12,8),'DRAFT 2'!$A:$A,"&lt;="&amp;DATE(2026,12,14))</f>
        <v/>
      </c>
      <c r="IU142" s="116">
        <f>COUNTIFS('DRAFT 2'!$D:$D,$B142,'DRAFT 2'!$A:$A,"&gt;="&amp;DATE(2026,12,15),'DRAFT 2'!$A:$A,"&lt;="&amp;DATE(2026,12,21))</f>
        <v/>
      </c>
      <c r="IV142" s="116">
        <f>COUNTIFS('DRAFT 2'!$D:$D,$B142,'DRAFT 2'!$A:$A,"&gt;="&amp;DATE(2026,12,22),'DRAFT 2'!$A:$A,"&lt;"&amp;DATE(2026,IF(12=12,12+1,12+1),1))</f>
        <v/>
      </c>
      <c r="IW142" s="116">
        <f>SUM(IS142:IV142)</f>
        <v/>
      </c>
    </row>
    <row r="143">
      <c r="A143" s="116">
        <f>IFERROR(INDEX('DRAFT 1'!$A:$A,MATCH($B143,'DRAFT 1'!$B:$B,0)),"")</f>
        <v/>
      </c>
      <c r="C143" s="116">
        <f>IFERROR(INDEX('DRAFT 1'!$C:$C,MATCH($B143,'DRAFT 1'!$B:$B,0)),"")</f>
        <v/>
      </c>
      <c r="D143" s="116">
        <f>IFERROR(INDEX('DRAFT 1'!$D:$D,MATCH($B143,'DRAFT 1'!$B:$B,0)),"")</f>
        <v/>
      </c>
      <c r="E143" s="116">
        <f>IFERROR(INDEX('DRAFT 1'!$E:$E,MATCH($B143,'DRAFT 1'!$B:$B,0)),"")</f>
        <v/>
      </c>
      <c r="F143" s="116">
        <f>IFERROR(INDEX('DRAFT 1'!$F:$F,MATCH($B143,'DRAFT 1'!$B:$B,0)),"")</f>
        <v/>
      </c>
      <c r="G143" s="116">
        <f>IFERROR(INDEX('DRAFT 1'!$G:$G,MATCH($B143,'DRAFT 1'!$B:$B,0)),"")</f>
        <v/>
      </c>
      <c r="H143" s="116">
        <f>IFERROR(INDEX('DRAFT 1'!$H:$H,MATCH($B143,'DRAFT 1'!$B:$B,0)),"")</f>
        <v/>
      </c>
      <c r="I143" s="116">
        <f>IFERROR(INDEX('DRAFT 1'!$I:$I,MATCH($B143,'DRAFT 1'!$B:$B,0)),"")</f>
        <v/>
      </c>
      <c r="K143" s="116">
        <f>IFERROR(INDEX('DRAFT 1'!$AL:$AL,MATCH($B143,'DRAFT 1'!$B:$B,0)),"")</f>
        <v/>
      </c>
      <c r="L143" s="116">
        <f>IFERROR(INDEX('DRAFT 1'!$J:$J,MATCH($B143,'DRAFT 1'!$B:$B,0)),"")</f>
        <v/>
      </c>
      <c r="M143" s="116">
        <f>IFERROR(INDEX('DRAFT 1'!$K:$K,MATCH($B143,'DRAFT 1'!$B:$B,0)),"")</f>
        <v/>
      </c>
      <c r="P143" s="116">
        <f>IFERROR(INDEX('DRAFT 1'!$L:$L,MATCH($B143,'DRAFT 1'!$B:$B,0)),"")</f>
        <v/>
      </c>
      <c r="Q143" s="116">
        <f>IFERROR(INDEX('DRAFT 1'!$M:$M,MATCH($B143,'DRAFT 1'!$B:$B,0)),"")</f>
        <v/>
      </c>
      <c r="R143" s="116">
        <f>IFERROR(INDEX('DRAFT 1'!$N:$N,MATCH($B143,'DRAFT 1'!$B:$B,0)),"")</f>
        <v/>
      </c>
      <c r="S143" s="116">
        <f>IFERROR(INDEX('DRAFT 1'!$O:$O,MATCH($B143,'DRAFT 1'!$B:$B,0)),"")</f>
        <v/>
      </c>
      <c r="T143" s="116">
        <f>IFERROR(INDEX('DRAFT 1'!$P:$P,MATCH($B143,'DRAFT 1'!$B:$B,0)),"")</f>
        <v/>
      </c>
      <c r="U143" s="116">
        <f>IFERROR(INDEX('DRAFT 1'!$Q:$Q,MATCH($B143,'DRAFT 1'!$B:$B,0)),"")</f>
        <v/>
      </c>
      <c r="V143" s="116">
        <f>IFERROR(INDEX('DRAFT 1'!$R:$R,MATCH($B143,'DRAFT 1'!$B:$B,0)),"")</f>
        <v/>
      </c>
      <c r="W143" s="116">
        <f>IFERROR(INDEX('DRAFT 1'!$S:$S,MATCH($B143,'DRAFT 1'!$B:$B,0)),"")</f>
        <v/>
      </c>
      <c r="X143" s="116">
        <f>IFERROR(INDEX('DRAFT 1'!$T:$T,MATCH($B143,'DRAFT 1'!$B:$B,0)),"")</f>
        <v/>
      </c>
      <c r="Z143" s="116">
        <f>IFERROR(INDEX('DRAFT 1'!$U:$U,MATCH($B143,'DRAFT 1'!$B:$B,0)),"")</f>
        <v/>
      </c>
      <c r="AA143" s="116">
        <f>IFERROR(INDEX('DRAFT 1'!$V:$V,MATCH($B143,'DRAFT 1'!$B:$B,0)),"")</f>
        <v/>
      </c>
      <c r="AB143" s="116">
        <f>IFERROR(INDEX('DRAFT 1'!$W:$W,MATCH($B143,'DRAFT 1'!$B:$B,0)),"")</f>
        <v/>
      </c>
      <c r="AC143" s="116">
        <f>IFERROR(INDEX('DRAFT 1'!$X:$X,MATCH($B143,'DRAFT 1'!$B:$B,0)),"")</f>
        <v/>
      </c>
      <c r="AD143" s="116">
        <f>IFERROR(INDEX('DRAFT 1'!$Y:$Y,MATCH($B143,'DRAFT 1'!$B:$B,0)),"")</f>
        <v/>
      </c>
      <c r="AE143" s="116">
        <f>IFERROR(INDEX('DRAFT 1'!$Z:$Z,MATCH($B143,'DRAFT 1'!$B:$B,0)),"")</f>
        <v/>
      </c>
      <c r="AF143" s="116">
        <f>IFERROR(INDEX('DRAFT 1'!$AA:$AA,MATCH($B143,'DRAFT 1'!$B:$B,0)),"")</f>
        <v/>
      </c>
      <c r="AG143" s="116">
        <f>IFERROR(INDEX('DRAFT 1'!$AB:$AB,MATCH($B143,'DRAFT 1'!$B:$B,0)),"")</f>
        <v/>
      </c>
      <c r="AH143" s="116">
        <f>IFERROR(INDEX('DRAFT 1'!$AC:$AC,MATCH($B143,'DRAFT 1'!$B:$B,0)),"")</f>
        <v/>
      </c>
      <c r="AI143" s="116">
        <f>IFERROR(INDEX('DRAFT 1'!$AD:$AD,MATCH($B143,'DRAFT 1'!$B:$B,0)),"")</f>
        <v/>
      </c>
      <c r="AJ143" s="116">
        <f>IFERROR(INDEX('DRAFT 1'!$AE:$AE,MATCH($B143,'DRAFT 1'!$B:$B,0)),"")</f>
        <v/>
      </c>
      <c r="AK143" s="116">
        <f>IFERROR(INDEX('DRAFT 1'!$AG:$AG,MATCH($B143,'DRAFT 1'!$B:$B,0)),"")</f>
        <v/>
      </c>
      <c r="AL143" s="116">
        <f>IFERROR(INDEX('DRAFT 1'!$AH:$AH,MATCH($B143,'DRAFT 1'!$B:$B,0)),"")</f>
        <v/>
      </c>
      <c r="AM143" s="116">
        <f>IFERROR(INDEX('DRAFT 1'!$AI:$AI,MATCH($B143,'DRAFT 1'!$B:$B,0)),"")</f>
        <v/>
      </c>
      <c r="AN143" s="116">
        <f>IFERROR(INDEX('DRAFT 1'!$AJ:$AJ,MATCH($B143,'DRAFT 1'!$B:$B,0)),"")</f>
        <v/>
      </c>
      <c r="AO143" s="116">
        <f>IFERROR(Y143/AN143,0)</f>
        <v/>
      </c>
      <c r="AP143" s="116">
        <f>IFERROR(INDEX('DRAFT 1'!$AK:$AK,MATCH($B143,'DRAFT 1'!$B:$B,0)),"")</f>
        <v/>
      </c>
      <c r="AR143" s="116">
        <f>IFERROR(LOOKUP(2,1/('DRAFT 2'!$D:$D=$B143),'DRAFT 2'!$I:$I),"")</f>
        <v/>
      </c>
      <c r="AS143" s="116">
        <f>IFERROR(LOOKUP(2,1/('DRAFT 2'!$D:$D=$B143),'DRAFT 2'!$T:$T),"")</f>
        <v/>
      </c>
      <c r="AT143" s="116">
        <f>IFERROR(LOOKUP(2,1/('DRAFT 2'!$D:$D=$B143),'DRAFT 2'!$A:$A),"")</f>
        <v/>
      </c>
      <c r="AU143" s="116">
        <f>IFERROR(LOOKUP(2,1/('DRAFT 2'!$D:$D=$B143),'DRAFT 2'!$R:$R),"")</f>
        <v/>
      </c>
      <c r="AV143" s="116">
        <f>IFERROR(LOOKUP(2,1/('DRAFT 2'!$D:$D=$B143),'DRAFT 2'!$S:$S),"")</f>
        <v/>
      </c>
      <c r="AX143" s="116">
        <f>IFERROR(LOOKUP(2,1/('DRAFT 2'!$D:$D=$B143),'DRAFT 2'!$M:$M),"")</f>
        <v/>
      </c>
      <c r="AY143" s="116">
        <f>IFERROR(LOOKUP(2,1/('DRAFT 2'!$D:$D=$B143),'DRAFT 2'!$K:$K),"")</f>
        <v/>
      </c>
      <c r="BG143" s="116">
        <f>IFERROR(LOOKUP(2,1/('DRAFT 2'!$D:$D=$B143),'DRAFT 2'!$U:$U),"")</f>
        <v/>
      </c>
      <c r="BH143" s="116">
        <f>IFERROR(LOOKUP(2,1/('DRAFT 2'!$D:$D=$B143),'DRAFT 2'!$V:$V),"")</f>
        <v/>
      </c>
      <c r="CE143" s="116">
        <f>IFERROR(AJ143,0)</f>
        <v/>
      </c>
      <c r="CF143" s="116">
        <f>IFERROR(LOOKUP(2,1/('DRAFT 2'!$D:$D=$B143)*('DRAFT 2'!$A:$A&gt;=DATE(2026,1,1))*('DRAFT 2'!$A:$A&lt;DATE(2026,IF(1=12,1+1,1+1),1)),'DRAFT 2'!$A:$A),"")</f>
        <v/>
      </c>
      <c r="CG143" s="116">
        <f>COUNTIFS('DRAFT 2'!$D:$D,$B143,'DRAFT 2'!$A:$A,"&gt;="&amp;DATE(2026,1,1),'DRAFT 2'!$A:$A,"&lt;="&amp;DATE(2026,1,7))</f>
        <v/>
      </c>
      <c r="CH143" s="116">
        <f>COUNTIFS('DRAFT 2'!$D:$D,$B143,'DRAFT 2'!$A:$A,"&gt;="&amp;DATE(2026,1,8),'DRAFT 2'!$A:$A,"&lt;="&amp;DATE(2026,1,14))</f>
        <v/>
      </c>
      <c r="CI143" s="116">
        <f>COUNTIFS('DRAFT 2'!$D:$D,$B143,'DRAFT 2'!$A:$A,"&gt;="&amp;DATE(2026,1,15),'DRAFT 2'!$A:$A,"&lt;="&amp;DATE(2026,1,21))</f>
        <v/>
      </c>
      <c r="CJ143" s="116">
        <f>COUNTIFS('DRAFT 2'!$D:$D,$B143,'DRAFT 2'!$A:$A,"&gt;="&amp;DATE(2026,1,22),'DRAFT 2'!$A:$A,"&lt;"&amp;DATE(2026,IF(1=12,1+1,1+1),1))</f>
        <v/>
      </c>
      <c r="CK143" s="116">
        <f>SUM(CG143:CJ143)</f>
        <v/>
      </c>
      <c r="CT143" s="116" t="n">
        <v>0</v>
      </c>
      <c r="CU143" s="116">
        <f>IFERROR(LOOKUP(2,1/('DRAFT 2'!$D:$D=$B143)*('DRAFT 2'!$A:$A&gt;=DATE(2026,2,1))*('DRAFT 2'!$A:$A&lt;DATE(2026,IF(2=12,2+1,2+1),1)),'DRAFT 2'!$A:$A),"")</f>
        <v/>
      </c>
      <c r="CV143" s="116">
        <f>COUNTIFS('DRAFT 2'!$D:$D,$B143,'DRAFT 2'!$A:$A,"&gt;="&amp;DATE(2026,2,1),'DRAFT 2'!$A:$A,"&lt;="&amp;DATE(2026,2,7))</f>
        <v/>
      </c>
      <c r="CW143" s="116">
        <f>COUNTIFS('DRAFT 2'!$D:$D,$B143,'DRAFT 2'!$A:$A,"&gt;="&amp;DATE(2026,2,8),'DRAFT 2'!$A:$A,"&lt;="&amp;DATE(2026,2,14))</f>
        <v/>
      </c>
      <c r="CX143" s="116">
        <f>COUNTIFS('DRAFT 2'!$D:$D,$B143,'DRAFT 2'!$A:$A,"&gt;="&amp;DATE(2026,2,15),'DRAFT 2'!$A:$A,"&lt;="&amp;DATE(2026,2,21))</f>
        <v/>
      </c>
      <c r="CY143" s="116">
        <f>COUNTIFS('DRAFT 2'!$D:$D,$B143,'DRAFT 2'!$A:$A,"&gt;="&amp;DATE(2026,2,22),'DRAFT 2'!$A:$A,"&lt;"&amp;DATE(2026,IF(2=12,2+1,2+1),1))</f>
        <v/>
      </c>
      <c r="CZ143" s="116">
        <f>SUM(CV143:CY143)</f>
        <v/>
      </c>
      <c r="DJ143" s="116">
        <f>IFERROR(LOOKUP(2,1/('DRAFT 2'!$D:$D=$B143)*('DRAFT 2'!$A:$A&gt;=DATE(2026,3,1))*('DRAFT 2'!$A:$A&lt;DATE(2026,IF(3=12,3+1,3+1),1)),'DRAFT 2'!$A:$A),"")</f>
        <v/>
      </c>
      <c r="DK143" s="116">
        <f>COUNTIFS('DRAFT 2'!$D:$D,$B143,'DRAFT 2'!$A:$A,"&gt;="&amp;DATE(2026,3,1),'DRAFT 2'!$A:$A,"&lt;="&amp;DATE(2026,3,7))</f>
        <v/>
      </c>
      <c r="DL143" s="116">
        <f>COUNTIFS('DRAFT 2'!$D:$D,$B143,'DRAFT 2'!$A:$A,"&gt;="&amp;DATE(2026,3,8),'DRAFT 2'!$A:$A,"&lt;="&amp;DATE(2026,3,14))</f>
        <v/>
      </c>
      <c r="DM143" s="116">
        <f>COUNTIFS('DRAFT 2'!$D:$D,$B143,'DRAFT 2'!$A:$A,"&gt;="&amp;DATE(2026,3,15),'DRAFT 2'!$A:$A,"&lt;="&amp;DATE(2026,3,21))</f>
        <v/>
      </c>
      <c r="DN143" s="116">
        <f>COUNTIFS('DRAFT 2'!$D:$D,$B143,'DRAFT 2'!$A:$A,"&gt;="&amp;DATE(2026,3,22),'DRAFT 2'!$A:$A,"&lt;"&amp;DATE(2026,IF(3=12,3+1,3+1),1))</f>
        <v/>
      </c>
      <c r="DO143" s="116">
        <f>SUM(DK143:DN143)</f>
        <v/>
      </c>
      <c r="DZ143" s="116">
        <f>IFERROR(LOOKUP(2,1/('DRAFT 2'!$D:$D=$B143)*('DRAFT 2'!$A:$A&gt;=DATE(2026,4,1))*('DRAFT 2'!$A:$A&lt;DATE(2026,IF(4=12,4+1,4+1),1)),'DRAFT 2'!$A:$A),"")</f>
        <v/>
      </c>
      <c r="EA143" s="116">
        <f>COUNTIFS('DRAFT 2'!$D:$D,$B143,'DRAFT 2'!$A:$A,"&gt;="&amp;DATE(2026,4,1),'DRAFT 2'!$A:$A,"&lt;="&amp;DATE(2026,4,7))</f>
        <v/>
      </c>
      <c r="EB143" s="116">
        <f>COUNTIFS('DRAFT 2'!$D:$D,$B143,'DRAFT 2'!$A:$A,"&gt;="&amp;DATE(2026,4,8),'DRAFT 2'!$A:$A,"&lt;="&amp;DATE(2026,4,14))</f>
        <v/>
      </c>
      <c r="EC143" s="116">
        <f>COUNTIFS('DRAFT 2'!$D:$D,$B143,'DRAFT 2'!$A:$A,"&gt;="&amp;DATE(2026,4,15),'DRAFT 2'!$A:$A,"&lt;="&amp;DATE(2026,4,21))</f>
        <v/>
      </c>
      <c r="ED143" s="116">
        <f>COUNTIFS('DRAFT 2'!$D:$D,$B143,'DRAFT 2'!$A:$A,"&gt;="&amp;DATE(2026,4,22),'DRAFT 2'!$A:$A,"&lt;"&amp;DATE(2026,IF(4=12,4+1,4+1),1))</f>
        <v/>
      </c>
      <c r="EE143" s="116">
        <f>SUM(EA143:ED143)</f>
        <v/>
      </c>
      <c r="EO143" s="116">
        <f>IFERROR(LOOKUP(2,1/('DRAFT 2'!$D:$D=$B143)*('DRAFT 2'!$A:$A&gt;=DATE(2026,5,1))*('DRAFT 2'!$A:$A&lt;DATE(2026,IF(5=12,5+1,5+1),1)),'DRAFT 2'!$A:$A),"")</f>
        <v/>
      </c>
      <c r="EP143" s="116">
        <f>COUNTIFS('DRAFT 2'!$D:$D,$B143,'DRAFT 2'!$A:$A,"&gt;="&amp;DATE(2026,5,1),'DRAFT 2'!$A:$A,"&lt;="&amp;DATE(2026,5,7))</f>
        <v/>
      </c>
      <c r="EQ143" s="116">
        <f>COUNTIFS('DRAFT 2'!$D:$D,$B143,'DRAFT 2'!$A:$A,"&gt;="&amp;DATE(2026,5,8),'DRAFT 2'!$A:$A,"&lt;="&amp;DATE(2026,5,14))</f>
        <v/>
      </c>
      <c r="ER143" s="116">
        <f>COUNTIFS('DRAFT 2'!$D:$D,$B143,'DRAFT 2'!$A:$A,"&gt;="&amp;DATE(2026,5,15),'DRAFT 2'!$A:$A,"&lt;="&amp;DATE(2026,5,21))</f>
        <v/>
      </c>
      <c r="ES143" s="116">
        <f>COUNTIFS('DRAFT 2'!$D:$D,$B143,'DRAFT 2'!$A:$A,"&gt;="&amp;DATE(2026,5,22),'DRAFT 2'!$A:$A,"&lt;"&amp;DATE(2026,IF(5=12,5+1,5+1),1))</f>
        <v/>
      </c>
      <c r="ET143" s="116">
        <f>SUM(EP143:ES143)</f>
        <v/>
      </c>
      <c r="FD143" s="116">
        <f>IFERROR(LOOKUP(2,1/('DRAFT 2'!$D:$D=$B143)*('DRAFT 2'!$A:$A&gt;=DATE(2026,6,1))*('DRAFT 2'!$A:$A&lt;DATE(2026,IF(6=12,6+1,6+1),1)),'DRAFT 2'!$A:$A),"")</f>
        <v/>
      </c>
      <c r="FE143" s="116">
        <f>COUNTIFS('DRAFT 2'!$D:$D,$B143,'DRAFT 2'!$A:$A,"&gt;="&amp;DATE(2026,6,1),'DRAFT 2'!$A:$A,"&lt;="&amp;DATE(2026,6,7))</f>
        <v/>
      </c>
      <c r="FF143" s="116">
        <f>COUNTIFS('DRAFT 2'!$D:$D,$B143,'DRAFT 2'!$A:$A,"&gt;="&amp;DATE(2026,6,8),'DRAFT 2'!$A:$A,"&lt;="&amp;DATE(2026,6,14))</f>
        <v/>
      </c>
      <c r="FG143" s="116">
        <f>COUNTIFS('DRAFT 2'!$D:$D,$B143,'DRAFT 2'!$A:$A,"&gt;="&amp;DATE(2026,6,15),'DRAFT 2'!$A:$A,"&lt;="&amp;DATE(2026,6,21))</f>
        <v/>
      </c>
      <c r="FH143" s="116">
        <f>COUNTIFS('DRAFT 2'!$D:$D,$B143,'DRAFT 2'!$A:$A,"&gt;="&amp;DATE(2026,6,22),'DRAFT 2'!$A:$A,"&lt;"&amp;DATE(2026,IF(6=12,6+1,6+1),1))</f>
        <v/>
      </c>
      <c r="FI143" s="116">
        <f>SUM(FE143:FH143)</f>
        <v/>
      </c>
      <c r="FT143" s="116">
        <f>IFERROR(LOOKUP(2,1/('DRAFT 2'!$D:$D=$B143)*('DRAFT 2'!$A:$A&gt;=DATE(2026,7,1))*('DRAFT 2'!$A:$A&lt;DATE(2026,IF(7=12,7+1,7+1),1)),'DRAFT 2'!$A:$A),"")</f>
        <v/>
      </c>
      <c r="FU143" s="116">
        <f>COUNTIFS('DRAFT 2'!$D:$D,$B143,'DRAFT 2'!$A:$A,"&gt;="&amp;DATE(2026,7,1),'DRAFT 2'!$A:$A,"&lt;="&amp;DATE(2026,7,7))</f>
        <v/>
      </c>
      <c r="FV143" s="116">
        <f>COUNTIFS('DRAFT 2'!$D:$D,$B143,'DRAFT 2'!$A:$A,"&gt;="&amp;DATE(2026,7,8),'DRAFT 2'!$A:$A,"&lt;="&amp;DATE(2026,7,14))</f>
        <v/>
      </c>
      <c r="FW143" s="116">
        <f>COUNTIFS('DRAFT 2'!$D:$D,$B143,'DRAFT 2'!$A:$A,"&gt;="&amp;DATE(2026,7,15),'DRAFT 2'!$A:$A,"&lt;="&amp;DATE(2026,7,21))</f>
        <v/>
      </c>
      <c r="FX143" s="116">
        <f>COUNTIFS('DRAFT 2'!$D:$D,$B143,'DRAFT 2'!$A:$A,"&gt;="&amp;DATE(2026,7,22),'DRAFT 2'!$A:$A,"&lt;"&amp;DATE(2026,IF(7=12,7+1,7+1),1))</f>
        <v/>
      </c>
      <c r="FY143" s="116">
        <f>SUM(FU143:FX143)</f>
        <v/>
      </c>
      <c r="GI143" s="116">
        <f>IFERROR(LOOKUP(2,1/('DRAFT 2'!$D:$D=$B143)*('DRAFT 2'!$A:$A&gt;=DATE(2026,8,1))*('DRAFT 2'!$A:$A&lt;DATE(2026,IF(8=12,8+1,8+1),1)),'DRAFT 2'!$A:$A),"")</f>
        <v/>
      </c>
      <c r="GJ143" s="116">
        <f>COUNTIFS('DRAFT 2'!$D:$D,$B143,'DRAFT 2'!$A:$A,"&gt;="&amp;DATE(2026,8,1),'DRAFT 2'!$A:$A,"&lt;="&amp;DATE(2026,8,7))</f>
        <v/>
      </c>
      <c r="GK143" s="116">
        <f>COUNTIFS('DRAFT 2'!$D:$D,$B143,'DRAFT 2'!$A:$A,"&gt;="&amp;DATE(2026,8,8),'DRAFT 2'!$A:$A,"&lt;="&amp;DATE(2026,8,14))</f>
        <v/>
      </c>
      <c r="GL143" s="116">
        <f>COUNTIFS('DRAFT 2'!$D:$D,$B143,'DRAFT 2'!$A:$A,"&gt;="&amp;DATE(2026,8,15),'DRAFT 2'!$A:$A,"&lt;="&amp;DATE(2026,8,21))</f>
        <v/>
      </c>
      <c r="GM143" s="116">
        <f>COUNTIFS('DRAFT 2'!$D:$D,$B143,'DRAFT 2'!$A:$A,"&gt;="&amp;DATE(2026,8,22),'DRAFT 2'!$A:$A,"&lt;"&amp;DATE(2026,IF(8=12,8+1,8+1),1))</f>
        <v/>
      </c>
      <c r="GN143" s="116">
        <f>SUM(GJ143:GM143)</f>
        <v/>
      </c>
      <c r="GX143" s="116">
        <f>IFERROR(LOOKUP(2,1/('DRAFT 2'!$D:$D=$B143)*('DRAFT 2'!$A:$A&gt;=DATE(2026,9,1))*('DRAFT 2'!$A:$A&lt;DATE(2026,IF(9=12,9+1,9+1),1)),'DRAFT 2'!$A:$A),"")</f>
        <v/>
      </c>
      <c r="GY143" s="116">
        <f>COUNTIFS('DRAFT 2'!$D:$D,$B143,'DRAFT 2'!$A:$A,"&gt;="&amp;DATE(2026,9,1),'DRAFT 2'!$A:$A,"&lt;="&amp;DATE(2026,9,7))</f>
        <v/>
      </c>
      <c r="GZ143" s="116">
        <f>COUNTIFS('DRAFT 2'!$D:$D,$B143,'DRAFT 2'!$A:$A,"&gt;="&amp;DATE(2026,9,8),'DRAFT 2'!$A:$A,"&lt;="&amp;DATE(2026,9,14))</f>
        <v/>
      </c>
      <c r="HA143" s="116">
        <f>COUNTIFS('DRAFT 2'!$D:$D,$B143,'DRAFT 2'!$A:$A,"&gt;="&amp;DATE(2026,9,15),'DRAFT 2'!$A:$A,"&lt;="&amp;DATE(2026,9,21))</f>
        <v/>
      </c>
      <c r="HB143" s="116">
        <f>COUNTIFS('DRAFT 2'!$D:$D,$B143,'DRAFT 2'!$A:$A,"&gt;="&amp;DATE(2026,9,22),'DRAFT 2'!$A:$A,"&lt;"&amp;DATE(2026,IF(9=12,9+1,9+1),1))</f>
        <v/>
      </c>
      <c r="HC143" s="116">
        <f>SUM(GY143:HB143)</f>
        <v/>
      </c>
      <c r="HN143" s="116">
        <f>IFERROR(LOOKUP(2,1/('DRAFT 2'!$D:$D=$B143)*('DRAFT 2'!$A:$A&gt;=DATE(2026,10,1))*('DRAFT 2'!$A:$A&lt;DATE(2026,IF(10=12,10+1,10+1),1)),'DRAFT 2'!$A:$A),"")</f>
        <v/>
      </c>
      <c r="HO143" s="116">
        <f>COUNTIFS('DRAFT 2'!$D:$D,$B143,'DRAFT 2'!$A:$A,"&gt;="&amp;DATE(2026,10,1),'DRAFT 2'!$A:$A,"&lt;="&amp;DATE(2026,10,7))</f>
        <v/>
      </c>
      <c r="HP143" s="116">
        <f>COUNTIFS('DRAFT 2'!$D:$D,$B143,'DRAFT 2'!$A:$A,"&gt;="&amp;DATE(2026,10,8),'DRAFT 2'!$A:$A,"&lt;="&amp;DATE(2026,10,14))</f>
        <v/>
      </c>
      <c r="HQ143" s="116">
        <f>COUNTIFS('DRAFT 2'!$D:$D,$B143,'DRAFT 2'!$A:$A,"&gt;="&amp;DATE(2026,10,15),'DRAFT 2'!$A:$A,"&lt;="&amp;DATE(2026,10,21))</f>
        <v/>
      </c>
      <c r="HR143" s="116">
        <f>COUNTIFS('DRAFT 2'!$D:$D,$B143,'DRAFT 2'!$A:$A,"&gt;="&amp;DATE(2026,10,22),'DRAFT 2'!$A:$A,"&lt;"&amp;DATE(2026,IF(10=12,10+1,10+1),1))</f>
        <v/>
      </c>
      <c r="HS143" s="116">
        <f>SUM(HO143:HR143)</f>
        <v/>
      </c>
      <c r="IC143" s="116">
        <f>IFERROR(LOOKUP(2,1/('DRAFT 2'!$D:$D=$B143)*('DRAFT 2'!$A:$A&gt;=DATE(2026,11,1))*('DRAFT 2'!$A:$A&lt;DATE(2026,IF(11=12,11+1,11+1),1)),'DRAFT 2'!$A:$A),"")</f>
        <v/>
      </c>
      <c r="ID143" s="116">
        <f>COUNTIFS('DRAFT 2'!$D:$D,$B143,'DRAFT 2'!$A:$A,"&gt;="&amp;DATE(2026,11,1),'DRAFT 2'!$A:$A,"&lt;="&amp;DATE(2026,11,7))</f>
        <v/>
      </c>
      <c r="IE143" s="116">
        <f>COUNTIFS('DRAFT 2'!$D:$D,$B143,'DRAFT 2'!$A:$A,"&gt;="&amp;DATE(2026,11,8),'DRAFT 2'!$A:$A,"&lt;="&amp;DATE(2026,11,14))</f>
        <v/>
      </c>
      <c r="IF143" s="116">
        <f>COUNTIFS('DRAFT 2'!$D:$D,$B143,'DRAFT 2'!$A:$A,"&gt;="&amp;DATE(2026,11,15),'DRAFT 2'!$A:$A,"&lt;="&amp;DATE(2026,11,21))</f>
        <v/>
      </c>
      <c r="IG143" s="116">
        <f>COUNTIFS('DRAFT 2'!$D:$D,$B143,'DRAFT 2'!$A:$A,"&gt;="&amp;DATE(2026,11,22),'DRAFT 2'!$A:$A,"&lt;"&amp;DATE(2026,IF(11=12,11+1,11+1),1))</f>
        <v/>
      </c>
      <c r="IH143" s="116">
        <f>SUM(ID143:IG143)</f>
        <v/>
      </c>
      <c r="IR143" s="116">
        <f>IFERROR(LOOKUP(2,1/('DRAFT 2'!$D:$D=$B143)*('DRAFT 2'!$A:$A&gt;=DATE(2026,12,1))*('DRAFT 2'!$A:$A&lt;DATE(2026,IF(12=12,12+1,12+1),1)),'DRAFT 2'!$A:$A),"")</f>
        <v/>
      </c>
      <c r="IS143" s="116">
        <f>COUNTIFS('DRAFT 2'!$D:$D,$B143,'DRAFT 2'!$A:$A,"&gt;="&amp;DATE(2026,12,1),'DRAFT 2'!$A:$A,"&lt;="&amp;DATE(2026,12,7))</f>
        <v/>
      </c>
      <c r="IT143" s="116">
        <f>COUNTIFS('DRAFT 2'!$D:$D,$B143,'DRAFT 2'!$A:$A,"&gt;="&amp;DATE(2026,12,8),'DRAFT 2'!$A:$A,"&lt;="&amp;DATE(2026,12,14))</f>
        <v/>
      </c>
      <c r="IU143" s="116">
        <f>COUNTIFS('DRAFT 2'!$D:$D,$B143,'DRAFT 2'!$A:$A,"&gt;="&amp;DATE(2026,12,15),'DRAFT 2'!$A:$A,"&lt;="&amp;DATE(2026,12,21))</f>
        <v/>
      </c>
      <c r="IV143" s="116">
        <f>COUNTIFS('DRAFT 2'!$D:$D,$B143,'DRAFT 2'!$A:$A,"&gt;="&amp;DATE(2026,12,22),'DRAFT 2'!$A:$A,"&lt;"&amp;DATE(2026,IF(12=12,12+1,12+1),1))</f>
        <v/>
      </c>
      <c r="IW143" s="116">
        <f>SUM(IS143:IV143)</f>
        <v/>
      </c>
    </row>
    <row r="144">
      <c r="A144" s="116">
        <f>IFERROR(INDEX('DRAFT 1'!$A:$A,MATCH($B144,'DRAFT 1'!$B:$B,0)),"")</f>
        <v/>
      </c>
      <c r="C144" s="116">
        <f>IFERROR(INDEX('DRAFT 1'!$C:$C,MATCH($B144,'DRAFT 1'!$B:$B,0)),"")</f>
        <v/>
      </c>
      <c r="D144" s="116">
        <f>IFERROR(INDEX('DRAFT 1'!$D:$D,MATCH($B144,'DRAFT 1'!$B:$B,0)),"")</f>
        <v/>
      </c>
      <c r="E144" s="116">
        <f>IFERROR(INDEX('DRAFT 1'!$E:$E,MATCH($B144,'DRAFT 1'!$B:$B,0)),"")</f>
        <v/>
      </c>
      <c r="F144" s="116">
        <f>IFERROR(INDEX('DRAFT 1'!$F:$F,MATCH($B144,'DRAFT 1'!$B:$B,0)),"")</f>
        <v/>
      </c>
      <c r="G144" s="116">
        <f>IFERROR(INDEX('DRAFT 1'!$G:$G,MATCH($B144,'DRAFT 1'!$B:$B,0)),"")</f>
        <v/>
      </c>
      <c r="H144" s="116">
        <f>IFERROR(INDEX('DRAFT 1'!$H:$H,MATCH($B144,'DRAFT 1'!$B:$B,0)),"")</f>
        <v/>
      </c>
      <c r="I144" s="116">
        <f>IFERROR(INDEX('DRAFT 1'!$I:$I,MATCH($B144,'DRAFT 1'!$B:$B,0)),"")</f>
        <v/>
      </c>
      <c r="K144" s="116">
        <f>IFERROR(INDEX('DRAFT 1'!$AL:$AL,MATCH($B144,'DRAFT 1'!$B:$B,0)),"")</f>
        <v/>
      </c>
      <c r="L144" s="116">
        <f>IFERROR(INDEX('DRAFT 1'!$J:$J,MATCH($B144,'DRAFT 1'!$B:$B,0)),"")</f>
        <v/>
      </c>
      <c r="M144" s="116">
        <f>IFERROR(INDEX('DRAFT 1'!$K:$K,MATCH($B144,'DRAFT 1'!$B:$B,0)),"")</f>
        <v/>
      </c>
      <c r="P144" s="116">
        <f>IFERROR(INDEX('DRAFT 1'!$L:$L,MATCH($B144,'DRAFT 1'!$B:$B,0)),"")</f>
        <v/>
      </c>
      <c r="Q144" s="116">
        <f>IFERROR(INDEX('DRAFT 1'!$M:$M,MATCH($B144,'DRAFT 1'!$B:$B,0)),"")</f>
        <v/>
      </c>
      <c r="R144" s="116">
        <f>IFERROR(INDEX('DRAFT 1'!$N:$N,MATCH($B144,'DRAFT 1'!$B:$B,0)),"")</f>
        <v/>
      </c>
      <c r="S144" s="116">
        <f>IFERROR(INDEX('DRAFT 1'!$O:$O,MATCH($B144,'DRAFT 1'!$B:$B,0)),"")</f>
        <v/>
      </c>
      <c r="T144" s="116">
        <f>IFERROR(INDEX('DRAFT 1'!$P:$P,MATCH($B144,'DRAFT 1'!$B:$B,0)),"")</f>
        <v/>
      </c>
      <c r="U144" s="116">
        <f>IFERROR(INDEX('DRAFT 1'!$Q:$Q,MATCH($B144,'DRAFT 1'!$B:$B,0)),"")</f>
        <v/>
      </c>
      <c r="V144" s="116">
        <f>IFERROR(INDEX('DRAFT 1'!$R:$R,MATCH($B144,'DRAFT 1'!$B:$B,0)),"")</f>
        <v/>
      </c>
      <c r="W144" s="116">
        <f>IFERROR(INDEX('DRAFT 1'!$S:$S,MATCH($B144,'DRAFT 1'!$B:$B,0)),"")</f>
        <v/>
      </c>
      <c r="X144" s="116">
        <f>IFERROR(INDEX('DRAFT 1'!$T:$T,MATCH($B144,'DRAFT 1'!$B:$B,0)),"")</f>
        <v/>
      </c>
      <c r="Z144" s="116">
        <f>IFERROR(INDEX('DRAFT 1'!$U:$U,MATCH($B144,'DRAFT 1'!$B:$B,0)),"")</f>
        <v/>
      </c>
      <c r="AA144" s="116">
        <f>IFERROR(INDEX('DRAFT 1'!$V:$V,MATCH($B144,'DRAFT 1'!$B:$B,0)),"")</f>
        <v/>
      </c>
      <c r="AB144" s="116">
        <f>IFERROR(INDEX('DRAFT 1'!$W:$W,MATCH($B144,'DRAFT 1'!$B:$B,0)),"")</f>
        <v/>
      </c>
      <c r="AC144" s="116">
        <f>IFERROR(INDEX('DRAFT 1'!$X:$X,MATCH($B144,'DRAFT 1'!$B:$B,0)),"")</f>
        <v/>
      </c>
      <c r="AD144" s="116">
        <f>IFERROR(INDEX('DRAFT 1'!$Y:$Y,MATCH($B144,'DRAFT 1'!$B:$B,0)),"")</f>
        <v/>
      </c>
      <c r="AE144" s="116">
        <f>IFERROR(INDEX('DRAFT 1'!$Z:$Z,MATCH($B144,'DRAFT 1'!$B:$B,0)),"")</f>
        <v/>
      </c>
      <c r="AF144" s="116">
        <f>IFERROR(INDEX('DRAFT 1'!$AA:$AA,MATCH($B144,'DRAFT 1'!$B:$B,0)),"")</f>
        <v/>
      </c>
      <c r="AG144" s="116">
        <f>IFERROR(INDEX('DRAFT 1'!$AB:$AB,MATCH($B144,'DRAFT 1'!$B:$B,0)),"")</f>
        <v/>
      </c>
      <c r="AH144" s="116">
        <f>IFERROR(INDEX('DRAFT 1'!$AC:$AC,MATCH($B144,'DRAFT 1'!$B:$B,0)),"")</f>
        <v/>
      </c>
      <c r="AI144" s="116">
        <f>IFERROR(INDEX('DRAFT 1'!$AD:$AD,MATCH($B144,'DRAFT 1'!$B:$B,0)),"")</f>
        <v/>
      </c>
      <c r="AJ144" s="116">
        <f>IFERROR(INDEX('DRAFT 1'!$AE:$AE,MATCH($B144,'DRAFT 1'!$B:$B,0)),"")</f>
        <v/>
      </c>
      <c r="AK144" s="116">
        <f>IFERROR(INDEX('DRAFT 1'!$AG:$AG,MATCH($B144,'DRAFT 1'!$B:$B,0)),"")</f>
        <v/>
      </c>
      <c r="AL144" s="116">
        <f>IFERROR(INDEX('DRAFT 1'!$AH:$AH,MATCH($B144,'DRAFT 1'!$B:$B,0)),"")</f>
        <v/>
      </c>
      <c r="AM144" s="116">
        <f>IFERROR(INDEX('DRAFT 1'!$AI:$AI,MATCH($B144,'DRAFT 1'!$B:$B,0)),"")</f>
        <v/>
      </c>
      <c r="AN144" s="116">
        <f>IFERROR(INDEX('DRAFT 1'!$AJ:$AJ,MATCH($B144,'DRAFT 1'!$B:$B,0)),"")</f>
        <v/>
      </c>
      <c r="AO144" s="116">
        <f>IFERROR(Y144/AN144,0)</f>
        <v/>
      </c>
      <c r="AP144" s="116">
        <f>IFERROR(INDEX('DRAFT 1'!$AK:$AK,MATCH($B144,'DRAFT 1'!$B:$B,0)),"")</f>
        <v/>
      </c>
      <c r="AR144" s="116">
        <f>IFERROR(LOOKUP(2,1/('DRAFT 2'!$D:$D=$B144),'DRAFT 2'!$I:$I),"")</f>
        <v/>
      </c>
      <c r="AS144" s="116">
        <f>IFERROR(LOOKUP(2,1/('DRAFT 2'!$D:$D=$B144),'DRAFT 2'!$T:$T),"")</f>
        <v/>
      </c>
      <c r="AT144" s="116">
        <f>IFERROR(LOOKUP(2,1/('DRAFT 2'!$D:$D=$B144),'DRAFT 2'!$A:$A),"")</f>
        <v/>
      </c>
      <c r="AU144" s="116">
        <f>IFERROR(LOOKUP(2,1/('DRAFT 2'!$D:$D=$B144),'DRAFT 2'!$R:$R),"")</f>
        <v/>
      </c>
      <c r="AV144" s="116">
        <f>IFERROR(LOOKUP(2,1/('DRAFT 2'!$D:$D=$B144),'DRAFT 2'!$S:$S),"")</f>
        <v/>
      </c>
      <c r="AX144" s="116">
        <f>IFERROR(LOOKUP(2,1/('DRAFT 2'!$D:$D=$B144),'DRAFT 2'!$M:$M),"")</f>
        <v/>
      </c>
      <c r="AY144" s="116">
        <f>IFERROR(LOOKUP(2,1/('DRAFT 2'!$D:$D=$B144),'DRAFT 2'!$K:$K),"")</f>
        <v/>
      </c>
      <c r="BG144" s="116">
        <f>IFERROR(LOOKUP(2,1/('DRAFT 2'!$D:$D=$B144),'DRAFT 2'!$U:$U),"")</f>
        <v/>
      </c>
      <c r="BH144" s="116">
        <f>IFERROR(LOOKUP(2,1/('DRAFT 2'!$D:$D=$B144),'DRAFT 2'!$V:$V),"")</f>
        <v/>
      </c>
      <c r="CE144" s="116">
        <f>IFERROR(AJ144,0)</f>
        <v/>
      </c>
      <c r="CF144" s="116">
        <f>IFERROR(LOOKUP(2,1/('DRAFT 2'!$D:$D=$B144)*('DRAFT 2'!$A:$A&gt;=DATE(2026,1,1))*('DRAFT 2'!$A:$A&lt;DATE(2026,IF(1=12,1+1,1+1),1)),'DRAFT 2'!$A:$A),"")</f>
        <v/>
      </c>
      <c r="CG144" s="116">
        <f>COUNTIFS('DRAFT 2'!$D:$D,$B144,'DRAFT 2'!$A:$A,"&gt;="&amp;DATE(2026,1,1),'DRAFT 2'!$A:$A,"&lt;="&amp;DATE(2026,1,7))</f>
        <v/>
      </c>
      <c r="CH144" s="116">
        <f>COUNTIFS('DRAFT 2'!$D:$D,$B144,'DRAFT 2'!$A:$A,"&gt;="&amp;DATE(2026,1,8),'DRAFT 2'!$A:$A,"&lt;="&amp;DATE(2026,1,14))</f>
        <v/>
      </c>
      <c r="CI144" s="116">
        <f>COUNTIFS('DRAFT 2'!$D:$D,$B144,'DRAFT 2'!$A:$A,"&gt;="&amp;DATE(2026,1,15),'DRAFT 2'!$A:$A,"&lt;="&amp;DATE(2026,1,21))</f>
        <v/>
      </c>
      <c r="CJ144" s="116">
        <f>COUNTIFS('DRAFT 2'!$D:$D,$B144,'DRAFT 2'!$A:$A,"&gt;="&amp;DATE(2026,1,22),'DRAFT 2'!$A:$A,"&lt;"&amp;DATE(2026,IF(1=12,1+1,1+1),1))</f>
        <v/>
      </c>
      <c r="CK144" s="116">
        <f>SUM(CG144:CJ144)</f>
        <v/>
      </c>
      <c r="CT144" s="116" t="n">
        <v>0</v>
      </c>
      <c r="CU144" s="116">
        <f>IFERROR(LOOKUP(2,1/('DRAFT 2'!$D:$D=$B144)*('DRAFT 2'!$A:$A&gt;=DATE(2026,2,1))*('DRAFT 2'!$A:$A&lt;DATE(2026,IF(2=12,2+1,2+1),1)),'DRAFT 2'!$A:$A),"")</f>
        <v/>
      </c>
      <c r="CV144" s="116">
        <f>COUNTIFS('DRAFT 2'!$D:$D,$B144,'DRAFT 2'!$A:$A,"&gt;="&amp;DATE(2026,2,1),'DRAFT 2'!$A:$A,"&lt;="&amp;DATE(2026,2,7))</f>
        <v/>
      </c>
      <c r="CW144" s="116">
        <f>COUNTIFS('DRAFT 2'!$D:$D,$B144,'DRAFT 2'!$A:$A,"&gt;="&amp;DATE(2026,2,8),'DRAFT 2'!$A:$A,"&lt;="&amp;DATE(2026,2,14))</f>
        <v/>
      </c>
      <c r="CX144" s="116">
        <f>COUNTIFS('DRAFT 2'!$D:$D,$B144,'DRAFT 2'!$A:$A,"&gt;="&amp;DATE(2026,2,15),'DRAFT 2'!$A:$A,"&lt;="&amp;DATE(2026,2,21))</f>
        <v/>
      </c>
      <c r="CY144" s="116">
        <f>COUNTIFS('DRAFT 2'!$D:$D,$B144,'DRAFT 2'!$A:$A,"&gt;="&amp;DATE(2026,2,22),'DRAFT 2'!$A:$A,"&lt;"&amp;DATE(2026,IF(2=12,2+1,2+1),1))</f>
        <v/>
      </c>
      <c r="CZ144" s="116">
        <f>SUM(CV144:CY144)</f>
        <v/>
      </c>
      <c r="DJ144" s="116">
        <f>IFERROR(LOOKUP(2,1/('DRAFT 2'!$D:$D=$B144)*('DRAFT 2'!$A:$A&gt;=DATE(2026,3,1))*('DRAFT 2'!$A:$A&lt;DATE(2026,IF(3=12,3+1,3+1),1)),'DRAFT 2'!$A:$A),"")</f>
        <v/>
      </c>
      <c r="DK144" s="116">
        <f>COUNTIFS('DRAFT 2'!$D:$D,$B144,'DRAFT 2'!$A:$A,"&gt;="&amp;DATE(2026,3,1),'DRAFT 2'!$A:$A,"&lt;="&amp;DATE(2026,3,7))</f>
        <v/>
      </c>
      <c r="DL144" s="116">
        <f>COUNTIFS('DRAFT 2'!$D:$D,$B144,'DRAFT 2'!$A:$A,"&gt;="&amp;DATE(2026,3,8),'DRAFT 2'!$A:$A,"&lt;="&amp;DATE(2026,3,14))</f>
        <v/>
      </c>
      <c r="DM144" s="116">
        <f>COUNTIFS('DRAFT 2'!$D:$D,$B144,'DRAFT 2'!$A:$A,"&gt;="&amp;DATE(2026,3,15),'DRAFT 2'!$A:$A,"&lt;="&amp;DATE(2026,3,21))</f>
        <v/>
      </c>
      <c r="DN144" s="116">
        <f>COUNTIFS('DRAFT 2'!$D:$D,$B144,'DRAFT 2'!$A:$A,"&gt;="&amp;DATE(2026,3,22),'DRAFT 2'!$A:$A,"&lt;"&amp;DATE(2026,IF(3=12,3+1,3+1),1))</f>
        <v/>
      </c>
      <c r="DO144" s="116">
        <f>SUM(DK144:DN144)</f>
        <v/>
      </c>
      <c r="DZ144" s="116">
        <f>IFERROR(LOOKUP(2,1/('DRAFT 2'!$D:$D=$B144)*('DRAFT 2'!$A:$A&gt;=DATE(2026,4,1))*('DRAFT 2'!$A:$A&lt;DATE(2026,IF(4=12,4+1,4+1),1)),'DRAFT 2'!$A:$A),"")</f>
        <v/>
      </c>
      <c r="EA144" s="116">
        <f>COUNTIFS('DRAFT 2'!$D:$D,$B144,'DRAFT 2'!$A:$A,"&gt;="&amp;DATE(2026,4,1),'DRAFT 2'!$A:$A,"&lt;="&amp;DATE(2026,4,7))</f>
        <v/>
      </c>
      <c r="EB144" s="116">
        <f>COUNTIFS('DRAFT 2'!$D:$D,$B144,'DRAFT 2'!$A:$A,"&gt;="&amp;DATE(2026,4,8),'DRAFT 2'!$A:$A,"&lt;="&amp;DATE(2026,4,14))</f>
        <v/>
      </c>
      <c r="EC144" s="116">
        <f>COUNTIFS('DRAFT 2'!$D:$D,$B144,'DRAFT 2'!$A:$A,"&gt;="&amp;DATE(2026,4,15),'DRAFT 2'!$A:$A,"&lt;="&amp;DATE(2026,4,21))</f>
        <v/>
      </c>
      <c r="ED144" s="116">
        <f>COUNTIFS('DRAFT 2'!$D:$D,$B144,'DRAFT 2'!$A:$A,"&gt;="&amp;DATE(2026,4,22),'DRAFT 2'!$A:$A,"&lt;"&amp;DATE(2026,IF(4=12,4+1,4+1),1))</f>
        <v/>
      </c>
      <c r="EE144" s="116">
        <f>SUM(EA144:ED144)</f>
        <v/>
      </c>
      <c r="EO144" s="116">
        <f>IFERROR(LOOKUP(2,1/('DRAFT 2'!$D:$D=$B144)*('DRAFT 2'!$A:$A&gt;=DATE(2026,5,1))*('DRAFT 2'!$A:$A&lt;DATE(2026,IF(5=12,5+1,5+1),1)),'DRAFT 2'!$A:$A),"")</f>
        <v/>
      </c>
      <c r="EP144" s="116">
        <f>COUNTIFS('DRAFT 2'!$D:$D,$B144,'DRAFT 2'!$A:$A,"&gt;="&amp;DATE(2026,5,1),'DRAFT 2'!$A:$A,"&lt;="&amp;DATE(2026,5,7))</f>
        <v/>
      </c>
      <c r="EQ144" s="116">
        <f>COUNTIFS('DRAFT 2'!$D:$D,$B144,'DRAFT 2'!$A:$A,"&gt;="&amp;DATE(2026,5,8),'DRAFT 2'!$A:$A,"&lt;="&amp;DATE(2026,5,14))</f>
        <v/>
      </c>
      <c r="ER144" s="116">
        <f>COUNTIFS('DRAFT 2'!$D:$D,$B144,'DRAFT 2'!$A:$A,"&gt;="&amp;DATE(2026,5,15),'DRAFT 2'!$A:$A,"&lt;="&amp;DATE(2026,5,21))</f>
        <v/>
      </c>
      <c r="ES144" s="116">
        <f>COUNTIFS('DRAFT 2'!$D:$D,$B144,'DRAFT 2'!$A:$A,"&gt;="&amp;DATE(2026,5,22),'DRAFT 2'!$A:$A,"&lt;"&amp;DATE(2026,IF(5=12,5+1,5+1),1))</f>
        <v/>
      </c>
      <c r="ET144" s="116">
        <f>SUM(EP144:ES144)</f>
        <v/>
      </c>
      <c r="FD144" s="116">
        <f>IFERROR(LOOKUP(2,1/('DRAFT 2'!$D:$D=$B144)*('DRAFT 2'!$A:$A&gt;=DATE(2026,6,1))*('DRAFT 2'!$A:$A&lt;DATE(2026,IF(6=12,6+1,6+1),1)),'DRAFT 2'!$A:$A),"")</f>
        <v/>
      </c>
      <c r="FE144" s="116">
        <f>COUNTIFS('DRAFT 2'!$D:$D,$B144,'DRAFT 2'!$A:$A,"&gt;="&amp;DATE(2026,6,1),'DRAFT 2'!$A:$A,"&lt;="&amp;DATE(2026,6,7))</f>
        <v/>
      </c>
      <c r="FF144" s="116">
        <f>COUNTIFS('DRAFT 2'!$D:$D,$B144,'DRAFT 2'!$A:$A,"&gt;="&amp;DATE(2026,6,8),'DRAFT 2'!$A:$A,"&lt;="&amp;DATE(2026,6,14))</f>
        <v/>
      </c>
      <c r="FG144" s="116">
        <f>COUNTIFS('DRAFT 2'!$D:$D,$B144,'DRAFT 2'!$A:$A,"&gt;="&amp;DATE(2026,6,15),'DRAFT 2'!$A:$A,"&lt;="&amp;DATE(2026,6,21))</f>
        <v/>
      </c>
      <c r="FH144" s="116">
        <f>COUNTIFS('DRAFT 2'!$D:$D,$B144,'DRAFT 2'!$A:$A,"&gt;="&amp;DATE(2026,6,22),'DRAFT 2'!$A:$A,"&lt;"&amp;DATE(2026,IF(6=12,6+1,6+1),1))</f>
        <v/>
      </c>
      <c r="FI144" s="116">
        <f>SUM(FE144:FH144)</f>
        <v/>
      </c>
      <c r="FT144" s="116">
        <f>IFERROR(LOOKUP(2,1/('DRAFT 2'!$D:$D=$B144)*('DRAFT 2'!$A:$A&gt;=DATE(2026,7,1))*('DRAFT 2'!$A:$A&lt;DATE(2026,IF(7=12,7+1,7+1),1)),'DRAFT 2'!$A:$A),"")</f>
        <v/>
      </c>
      <c r="FU144" s="116">
        <f>COUNTIFS('DRAFT 2'!$D:$D,$B144,'DRAFT 2'!$A:$A,"&gt;="&amp;DATE(2026,7,1),'DRAFT 2'!$A:$A,"&lt;="&amp;DATE(2026,7,7))</f>
        <v/>
      </c>
      <c r="FV144" s="116">
        <f>COUNTIFS('DRAFT 2'!$D:$D,$B144,'DRAFT 2'!$A:$A,"&gt;="&amp;DATE(2026,7,8),'DRAFT 2'!$A:$A,"&lt;="&amp;DATE(2026,7,14))</f>
        <v/>
      </c>
      <c r="FW144" s="116">
        <f>COUNTIFS('DRAFT 2'!$D:$D,$B144,'DRAFT 2'!$A:$A,"&gt;="&amp;DATE(2026,7,15),'DRAFT 2'!$A:$A,"&lt;="&amp;DATE(2026,7,21))</f>
        <v/>
      </c>
      <c r="FX144" s="116">
        <f>COUNTIFS('DRAFT 2'!$D:$D,$B144,'DRAFT 2'!$A:$A,"&gt;="&amp;DATE(2026,7,22),'DRAFT 2'!$A:$A,"&lt;"&amp;DATE(2026,IF(7=12,7+1,7+1),1))</f>
        <v/>
      </c>
      <c r="FY144" s="116">
        <f>SUM(FU144:FX144)</f>
        <v/>
      </c>
      <c r="GI144" s="116">
        <f>IFERROR(LOOKUP(2,1/('DRAFT 2'!$D:$D=$B144)*('DRAFT 2'!$A:$A&gt;=DATE(2026,8,1))*('DRAFT 2'!$A:$A&lt;DATE(2026,IF(8=12,8+1,8+1),1)),'DRAFT 2'!$A:$A),"")</f>
        <v/>
      </c>
      <c r="GJ144" s="116">
        <f>COUNTIFS('DRAFT 2'!$D:$D,$B144,'DRAFT 2'!$A:$A,"&gt;="&amp;DATE(2026,8,1),'DRAFT 2'!$A:$A,"&lt;="&amp;DATE(2026,8,7))</f>
        <v/>
      </c>
      <c r="GK144" s="116">
        <f>COUNTIFS('DRAFT 2'!$D:$D,$B144,'DRAFT 2'!$A:$A,"&gt;="&amp;DATE(2026,8,8),'DRAFT 2'!$A:$A,"&lt;="&amp;DATE(2026,8,14))</f>
        <v/>
      </c>
      <c r="GL144" s="116">
        <f>COUNTIFS('DRAFT 2'!$D:$D,$B144,'DRAFT 2'!$A:$A,"&gt;="&amp;DATE(2026,8,15),'DRAFT 2'!$A:$A,"&lt;="&amp;DATE(2026,8,21))</f>
        <v/>
      </c>
      <c r="GM144" s="116">
        <f>COUNTIFS('DRAFT 2'!$D:$D,$B144,'DRAFT 2'!$A:$A,"&gt;="&amp;DATE(2026,8,22),'DRAFT 2'!$A:$A,"&lt;"&amp;DATE(2026,IF(8=12,8+1,8+1),1))</f>
        <v/>
      </c>
      <c r="GN144" s="116">
        <f>SUM(GJ144:GM144)</f>
        <v/>
      </c>
      <c r="GX144" s="116">
        <f>IFERROR(LOOKUP(2,1/('DRAFT 2'!$D:$D=$B144)*('DRAFT 2'!$A:$A&gt;=DATE(2026,9,1))*('DRAFT 2'!$A:$A&lt;DATE(2026,IF(9=12,9+1,9+1),1)),'DRAFT 2'!$A:$A),"")</f>
        <v/>
      </c>
      <c r="GY144" s="116">
        <f>COUNTIFS('DRAFT 2'!$D:$D,$B144,'DRAFT 2'!$A:$A,"&gt;="&amp;DATE(2026,9,1),'DRAFT 2'!$A:$A,"&lt;="&amp;DATE(2026,9,7))</f>
        <v/>
      </c>
      <c r="GZ144" s="116">
        <f>COUNTIFS('DRAFT 2'!$D:$D,$B144,'DRAFT 2'!$A:$A,"&gt;="&amp;DATE(2026,9,8),'DRAFT 2'!$A:$A,"&lt;="&amp;DATE(2026,9,14))</f>
        <v/>
      </c>
      <c r="HA144" s="116">
        <f>COUNTIFS('DRAFT 2'!$D:$D,$B144,'DRAFT 2'!$A:$A,"&gt;="&amp;DATE(2026,9,15),'DRAFT 2'!$A:$A,"&lt;="&amp;DATE(2026,9,21))</f>
        <v/>
      </c>
      <c r="HB144" s="116">
        <f>COUNTIFS('DRAFT 2'!$D:$D,$B144,'DRAFT 2'!$A:$A,"&gt;="&amp;DATE(2026,9,22),'DRAFT 2'!$A:$A,"&lt;"&amp;DATE(2026,IF(9=12,9+1,9+1),1))</f>
        <v/>
      </c>
      <c r="HC144" s="116">
        <f>SUM(GY144:HB144)</f>
        <v/>
      </c>
      <c r="HN144" s="116">
        <f>IFERROR(LOOKUP(2,1/('DRAFT 2'!$D:$D=$B144)*('DRAFT 2'!$A:$A&gt;=DATE(2026,10,1))*('DRAFT 2'!$A:$A&lt;DATE(2026,IF(10=12,10+1,10+1),1)),'DRAFT 2'!$A:$A),"")</f>
        <v/>
      </c>
      <c r="HO144" s="116">
        <f>COUNTIFS('DRAFT 2'!$D:$D,$B144,'DRAFT 2'!$A:$A,"&gt;="&amp;DATE(2026,10,1),'DRAFT 2'!$A:$A,"&lt;="&amp;DATE(2026,10,7))</f>
        <v/>
      </c>
      <c r="HP144" s="116">
        <f>COUNTIFS('DRAFT 2'!$D:$D,$B144,'DRAFT 2'!$A:$A,"&gt;="&amp;DATE(2026,10,8),'DRAFT 2'!$A:$A,"&lt;="&amp;DATE(2026,10,14))</f>
        <v/>
      </c>
      <c r="HQ144" s="116">
        <f>COUNTIFS('DRAFT 2'!$D:$D,$B144,'DRAFT 2'!$A:$A,"&gt;="&amp;DATE(2026,10,15),'DRAFT 2'!$A:$A,"&lt;="&amp;DATE(2026,10,21))</f>
        <v/>
      </c>
      <c r="HR144" s="116">
        <f>COUNTIFS('DRAFT 2'!$D:$D,$B144,'DRAFT 2'!$A:$A,"&gt;="&amp;DATE(2026,10,22),'DRAFT 2'!$A:$A,"&lt;"&amp;DATE(2026,IF(10=12,10+1,10+1),1))</f>
        <v/>
      </c>
      <c r="HS144" s="116">
        <f>SUM(HO144:HR144)</f>
        <v/>
      </c>
      <c r="IC144" s="116">
        <f>IFERROR(LOOKUP(2,1/('DRAFT 2'!$D:$D=$B144)*('DRAFT 2'!$A:$A&gt;=DATE(2026,11,1))*('DRAFT 2'!$A:$A&lt;DATE(2026,IF(11=12,11+1,11+1),1)),'DRAFT 2'!$A:$A),"")</f>
        <v/>
      </c>
      <c r="ID144" s="116">
        <f>COUNTIFS('DRAFT 2'!$D:$D,$B144,'DRAFT 2'!$A:$A,"&gt;="&amp;DATE(2026,11,1),'DRAFT 2'!$A:$A,"&lt;="&amp;DATE(2026,11,7))</f>
        <v/>
      </c>
      <c r="IE144" s="116">
        <f>COUNTIFS('DRAFT 2'!$D:$D,$B144,'DRAFT 2'!$A:$A,"&gt;="&amp;DATE(2026,11,8),'DRAFT 2'!$A:$A,"&lt;="&amp;DATE(2026,11,14))</f>
        <v/>
      </c>
      <c r="IF144" s="116">
        <f>COUNTIFS('DRAFT 2'!$D:$D,$B144,'DRAFT 2'!$A:$A,"&gt;="&amp;DATE(2026,11,15),'DRAFT 2'!$A:$A,"&lt;="&amp;DATE(2026,11,21))</f>
        <v/>
      </c>
      <c r="IG144" s="116">
        <f>COUNTIFS('DRAFT 2'!$D:$D,$B144,'DRAFT 2'!$A:$A,"&gt;="&amp;DATE(2026,11,22),'DRAFT 2'!$A:$A,"&lt;"&amp;DATE(2026,IF(11=12,11+1,11+1),1))</f>
        <v/>
      </c>
      <c r="IH144" s="116">
        <f>SUM(ID144:IG144)</f>
        <v/>
      </c>
      <c r="IR144" s="116">
        <f>IFERROR(LOOKUP(2,1/('DRAFT 2'!$D:$D=$B144)*('DRAFT 2'!$A:$A&gt;=DATE(2026,12,1))*('DRAFT 2'!$A:$A&lt;DATE(2026,IF(12=12,12+1,12+1),1)),'DRAFT 2'!$A:$A),"")</f>
        <v/>
      </c>
      <c r="IS144" s="116">
        <f>COUNTIFS('DRAFT 2'!$D:$D,$B144,'DRAFT 2'!$A:$A,"&gt;="&amp;DATE(2026,12,1),'DRAFT 2'!$A:$A,"&lt;="&amp;DATE(2026,12,7))</f>
        <v/>
      </c>
      <c r="IT144" s="116">
        <f>COUNTIFS('DRAFT 2'!$D:$D,$B144,'DRAFT 2'!$A:$A,"&gt;="&amp;DATE(2026,12,8),'DRAFT 2'!$A:$A,"&lt;="&amp;DATE(2026,12,14))</f>
        <v/>
      </c>
      <c r="IU144" s="116">
        <f>COUNTIFS('DRAFT 2'!$D:$D,$B144,'DRAFT 2'!$A:$A,"&gt;="&amp;DATE(2026,12,15),'DRAFT 2'!$A:$A,"&lt;="&amp;DATE(2026,12,21))</f>
        <v/>
      </c>
      <c r="IV144" s="116">
        <f>COUNTIFS('DRAFT 2'!$D:$D,$B144,'DRAFT 2'!$A:$A,"&gt;="&amp;DATE(2026,12,22),'DRAFT 2'!$A:$A,"&lt;"&amp;DATE(2026,IF(12=12,12+1,12+1),1))</f>
        <v/>
      </c>
      <c r="IW144" s="116">
        <f>SUM(IS144:IV144)</f>
        <v/>
      </c>
    </row>
    <row r="145">
      <c r="A145" s="116">
        <f>IFERROR(INDEX('DRAFT 1'!$A:$A,MATCH($B145,'DRAFT 1'!$B:$B,0)),"")</f>
        <v/>
      </c>
      <c r="C145" s="116">
        <f>IFERROR(INDEX('DRAFT 1'!$C:$C,MATCH($B145,'DRAFT 1'!$B:$B,0)),"")</f>
        <v/>
      </c>
      <c r="D145" s="116">
        <f>IFERROR(INDEX('DRAFT 1'!$D:$D,MATCH($B145,'DRAFT 1'!$B:$B,0)),"")</f>
        <v/>
      </c>
      <c r="E145" s="116">
        <f>IFERROR(INDEX('DRAFT 1'!$E:$E,MATCH($B145,'DRAFT 1'!$B:$B,0)),"")</f>
        <v/>
      </c>
      <c r="F145" s="116">
        <f>IFERROR(INDEX('DRAFT 1'!$F:$F,MATCH($B145,'DRAFT 1'!$B:$B,0)),"")</f>
        <v/>
      </c>
      <c r="G145" s="116">
        <f>IFERROR(INDEX('DRAFT 1'!$G:$G,MATCH($B145,'DRAFT 1'!$B:$B,0)),"")</f>
        <v/>
      </c>
      <c r="H145" s="116">
        <f>IFERROR(INDEX('DRAFT 1'!$H:$H,MATCH($B145,'DRAFT 1'!$B:$B,0)),"")</f>
        <v/>
      </c>
      <c r="I145" s="116">
        <f>IFERROR(INDEX('DRAFT 1'!$I:$I,MATCH($B145,'DRAFT 1'!$B:$B,0)),"")</f>
        <v/>
      </c>
      <c r="K145" s="116">
        <f>IFERROR(INDEX('DRAFT 1'!$AL:$AL,MATCH($B145,'DRAFT 1'!$B:$B,0)),"")</f>
        <v/>
      </c>
      <c r="L145" s="116">
        <f>IFERROR(INDEX('DRAFT 1'!$J:$J,MATCH($B145,'DRAFT 1'!$B:$B,0)),"")</f>
        <v/>
      </c>
      <c r="M145" s="116">
        <f>IFERROR(INDEX('DRAFT 1'!$K:$K,MATCH($B145,'DRAFT 1'!$B:$B,0)),"")</f>
        <v/>
      </c>
      <c r="P145" s="116">
        <f>IFERROR(INDEX('DRAFT 1'!$L:$L,MATCH($B145,'DRAFT 1'!$B:$B,0)),"")</f>
        <v/>
      </c>
      <c r="Q145" s="116">
        <f>IFERROR(INDEX('DRAFT 1'!$M:$M,MATCH($B145,'DRAFT 1'!$B:$B,0)),"")</f>
        <v/>
      </c>
      <c r="R145" s="116">
        <f>IFERROR(INDEX('DRAFT 1'!$N:$N,MATCH($B145,'DRAFT 1'!$B:$B,0)),"")</f>
        <v/>
      </c>
      <c r="S145" s="116">
        <f>IFERROR(INDEX('DRAFT 1'!$O:$O,MATCH($B145,'DRAFT 1'!$B:$B,0)),"")</f>
        <v/>
      </c>
      <c r="T145" s="116">
        <f>IFERROR(INDEX('DRAFT 1'!$P:$P,MATCH($B145,'DRAFT 1'!$B:$B,0)),"")</f>
        <v/>
      </c>
      <c r="U145" s="116">
        <f>IFERROR(INDEX('DRAFT 1'!$Q:$Q,MATCH($B145,'DRAFT 1'!$B:$B,0)),"")</f>
        <v/>
      </c>
      <c r="V145" s="116">
        <f>IFERROR(INDEX('DRAFT 1'!$R:$R,MATCH($B145,'DRAFT 1'!$B:$B,0)),"")</f>
        <v/>
      </c>
      <c r="W145" s="116">
        <f>IFERROR(INDEX('DRAFT 1'!$S:$S,MATCH($B145,'DRAFT 1'!$B:$B,0)),"")</f>
        <v/>
      </c>
      <c r="X145" s="116">
        <f>IFERROR(INDEX('DRAFT 1'!$T:$T,MATCH($B145,'DRAFT 1'!$B:$B,0)),"")</f>
        <v/>
      </c>
      <c r="Z145" s="116">
        <f>IFERROR(INDEX('DRAFT 1'!$U:$U,MATCH($B145,'DRAFT 1'!$B:$B,0)),"")</f>
        <v/>
      </c>
      <c r="AA145" s="116">
        <f>IFERROR(INDEX('DRAFT 1'!$V:$V,MATCH($B145,'DRAFT 1'!$B:$B,0)),"")</f>
        <v/>
      </c>
      <c r="AB145" s="116">
        <f>IFERROR(INDEX('DRAFT 1'!$W:$W,MATCH($B145,'DRAFT 1'!$B:$B,0)),"")</f>
        <v/>
      </c>
      <c r="AC145" s="116">
        <f>IFERROR(INDEX('DRAFT 1'!$X:$X,MATCH($B145,'DRAFT 1'!$B:$B,0)),"")</f>
        <v/>
      </c>
      <c r="AD145" s="116">
        <f>IFERROR(INDEX('DRAFT 1'!$Y:$Y,MATCH($B145,'DRAFT 1'!$B:$B,0)),"")</f>
        <v/>
      </c>
      <c r="AE145" s="116">
        <f>IFERROR(INDEX('DRAFT 1'!$Z:$Z,MATCH($B145,'DRAFT 1'!$B:$B,0)),"")</f>
        <v/>
      </c>
      <c r="AF145" s="116">
        <f>IFERROR(INDEX('DRAFT 1'!$AA:$AA,MATCH($B145,'DRAFT 1'!$B:$B,0)),"")</f>
        <v/>
      </c>
      <c r="AG145" s="116">
        <f>IFERROR(INDEX('DRAFT 1'!$AB:$AB,MATCH($B145,'DRAFT 1'!$B:$B,0)),"")</f>
        <v/>
      </c>
      <c r="AH145" s="116">
        <f>IFERROR(INDEX('DRAFT 1'!$AC:$AC,MATCH($B145,'DRAFT 1'!$B:$B,0)),"")</f>
        <v/>
      </c>
      <c r="AI145" s="116">
        <f>IFERROR(INDEX('DRAFT 1'!$AD:$AD,MATCH($B145,'DRAFT 1'!$B:$B,0)),"")</f>
        <v/>
      </c>
      <c r="AJ145" s="116">
        <f>IFERROR(INDEX('DRAFT 1'!$AE:$AE,MATCH($B145,'DRAFT 1'!$B:$B,0)),"")</f>
        <v/>
      </c>
      <c r="AK145" s="116">
        <f>IFERROR(INDEX('DRAFT 1'!$AG:$AG,MATCH($B145,'DRAFT 1'!$B:$B,0)),"")</f>
        <v/>
      </c>
      <c r="AL145" s="116">
        <f>IFERROR(INDEX('DRAFT 1'!$AH:$AH,MATCH($B145,'DRAFT 1'!$B:$B,0)),"")</f>
        <v/>
      </c>
      <c r="AM145" s="116">
        <f>IFERROR(INDEX('DRAFT 1'!$AI:$AI,MATCH($B145,'DRAFT 1'!$B:$B,0)),"")</f>
        <v/>
      </c>
      <c r="AN145" s="116">
        <f>IFERROR(INDEX('DRAFT 1'!$AJ:$AJ,MATCH($B145,'DRAFT 1'!$B:$B,0)),"")</f>
        <v/>
      </c>
      <c r="AO145" s="116">
        <f>IFERROR(Y145/AN145,0)</f>
        <v/>
      </c>
      <c r="AP145" s="116">
        <f>IFERROR(INDEX('DRAFT 1'!$AK:$AK,MATCH($B145,'DRAFT 1'!$B:$B,0)),"")</f>
        <v/>
      </c>
      <c r="AR145" s="116">
        <f>IFERROR(LOOKUP(2,1/('DRAFT 2'!$D:$D=$B145),'DRAFT 2'!$I:$I),"")</f>
        <v/>
      </c>
      <c r="AS145" s="116">
        <f>IFERROR(LOOKUP(2,1/('DRAFT 2'!$D:$D=$B145),'DRAFT 2'!$T:$T),"")</f>
        <v/>
      </c>
      <c r="AT145" s="116">
        <f>IFERROR(LOOKUP(2,1/('DRAFT 2'!$D:$D=$B145),'DRAFT 2'!$A:$A),"")</f>
        <v/>
      </c>
      <c r="AU145" s="116">
        <f>IFERROR(LOOKUP(2,1/('DRAFT 2'!$D:$D=$B145),'DRAFT 2'!$R:$R),"")</f>
        <v/>
      </c>
      <c r="AV145" s="116">
        <f>IFERROR(LOOKUP(2,1/('DRAFT 2'!$D:$D=$B145),'DRAFT 2'!$S:$S),"")</f>
        <v/>
      </c>
      <c r="AX145" s="116">
        <f>IFERROR(LOOKUP(2,1/('DRAFT 2'!$D:$D=$B145),'DRAFT 2'!$M:$M),"")</f>
        <v/>
      </c>
      <c r="AY145" s="116">
        <f>IFERROR(LOOKUP(2,1/('DRAFT 2'!$D:$D=$B145),'DRAFT 2'!$K:$K),"")</f>
        <v/>
      </c>
      <c r="BG145" s="116">
        <f>IFERROR(LOOKUP(2,1/('DRAFT 2'!$D:$D=$B145),'DRAFT 2'!$U:$U),"")</f>
        <v/>
      </c>
      <c r="BH145" s="116">
        <f>IFERROR(LOOKUP(2,1/('DRAFT 2'!$D:$D=$B145),'DRAFT 2'!$V:$V),"")</f>
        <v/>
      </c>
      <c r="CE145" s="116">
        <f>IFERROR(AJ145,0)</f>
        <v/>
      </c>
      <c r="CF145" s="116">
        <f>IFERROR(LOOKUP(2,1/('DRAFT 2'!$D:$D=$B145)*('DRAFT 2'!$A:$A&gt;=DATE(2026,1,1))*('DRAFT 2'!$A:$A&lt;DATE(2026,IF(1=12,1+1,1+1),1)),'DRAFT 2'!$A:$A),"")</f>
        <v/>
      </c>
      <c r="CG145" s="116">
        <f>COUNTIFS('DRAFT 2'!$D:$D,$B145,'DRAFT 2'!$A:$A,"&gt;="&amp;DATE(2026,1,1),'DRAFT 2'!$A:$A,"&lt;="&amp;DATE(2026,1,7))</f>
        <v/>
      </c>
      <c r="CH145" s="116">
        <f>COUNTIFS('DRAFT 2'!$D:$D,$B145,'DRAFT 2'!$A:$A,"&gt;="&amp;DATE(2026,1,8),'DRAFT 2'!$A:$A,"&lt;="&amp;DATE(2026,1,14))</f>
        <v/>
      </c>
      <c r="CI145" s="116">
        <f>COUNTIFS('DRAFT 2'!$D:$D,$B145,'DRAFT 2'!$A:$A,"&gt;="&amp;DATE(2026,1,15),'DRAFT 2'!$A:$A,"&lt;="&amp;DATE(2026,1,21))</f>
        <v/>
      </c>
      <c r="CJ145" s="116">
        <f>COUNTIFS('DRAFT 2'!$D:$D,$B145,'DRAFT 2'!$A:$A,"&gt;="&amp;DATE(2026,1,22),'DRAFT 2'!$A:$A,"&lt;"&amp;DATE(2026,IF(1=12,1+1,1+1),1))</f>
        <v/>
      </c>
      <c r="CK145" s="116">
        <f>SUM(CG145:CJ145)</f>
        <v/>
      </c>
      <c r="CT145" s="116" t="n">
        <v>0</v>
      </c>
      <c r="CU145" s="116">
        <f>IFERROR(LOOKUP(2,1/('DRAFT 2'!$D:$D=$B145)*('DRAFT 2'!$A:$A&gt;=DATE(2026,2,1))*('DRAFT 2'!$A:$A&lt;DATE(2026,IF(2=12,2+1,2+1),1)),'DRAFT 2'!$A:$A),"")</f>
        <v/>
      </c>
      <c r="CV145" s="116">
        <f>COUNTIFS('DRAFT 2'!$D:$D,$B145,'DRAFT 2'!$A:$A,"&gt;="&amp;DATE(2026,2,1),'DRAFT 2'!$A:$A,"&lt;="&amp;DATE(2026,2,7))</f>
        <v/>
      </c>
      <c r="CW145" s="116">
        <f>COUNTIFS('DRAFT 2'!$D:$D,$B145,'DRAFT 2'!$A:$A,"&gt;="&amp;DATE(2026,2,8),'DRAFT 2'!$A:$A,"&lt;="&amp;DATE(2026,2,14))</f>
        <v/>
      </c>
      <c r="CX145" s="116">
        <f>COUNTIFS('DRAFT 2'!$D:$D,$B145,'DRAFT 2'!$A:$A,"&gt;="&amp;DATE(2026,2,15),'DRAFT 2'!$A:$A,"&lt;="&amp;DATE(2026,2,21))</f>
        <v/>
      </c>
      <c r="CY145" s="116">
        <f>COUNTIFS('DRAFT 2'!$D:$D,$B145,'DRAFT 2'!$A:$A,"&gt;="&amp;DATE(2026,2,22),'DRAFT 2'!$A:$A,"&lt;"&amp;DATE(2026,IF(2=12,2+1,2+1),1))</f>
        <v/>
      </c>
      <c r="CZ145" s="116">
        <f>SUM(CV145:CY145)</f>
        <v/>
      </c>
      <c r="DJ145" s="116">
        <f>IFERROR(LOOKUP(2,1/('DRAFT 2'!$D:$D=$B145)*('DRAFT 2'!$A:$A&gt;=DATE(2026,3,1))*('DRAFT 2'!$A:$A&lt;DATE(2026,IF(3=12,3+1,3+1),1)),'DRAFT 2'!$A:$A),"")</f>
        <v/>
      </c>
      <c r="DK145" s="116">
        <f>COUNTIFS('DRAFT 2'!$D:$D,$B145,'DRAFT 2'!$A:$A,"&gt;="&amp;DATE(2026,3,1),'DRAFT 2'!$A:$A,"&lt;="&amp;DATE(2026,3,7))</f>
        <v/>
      </c>
      <c r="DL145" s="116">
        <f>COUNTIFS('DRAFT 2'!$D:$D,$B145,'DRAFT 2'!$A:$A,"&gt;="&amp;DATE(2026,3,8),'DRAFT 2'!$A:$A,"&lt;="&amp;DATE(2026,3,14))</f>
        <v/>
      </c>
      <c r="DM145" s="116">
        <f>COUNTIFS('DRAFT 2'!$D:$D,$B145,'DRAFT 2'!$A:$A,"&gt;="&amp;DATE(2026,3,15),'DRAFT 2'!$A:$A,"&lt;="&amp;DATE(2026,3,21))</f>
        <v/>
      </c>
      <c r="DN145" s="116">
        <f>COUNTIFS('DRAFT 2'!$D:$D,$B145,'DRAFT 2'!$A:$A,"&gt;="&amp;DATE(2026,3,22),'DRAFT 2'!$A:$A,"&lt;"&amp;DATE(2026,IF(3=12,3+1,3+1),1))</f>
        <v/>
      </c>
      <c r="DO145" s="116">
        <f>SUM(DK145:DN145)</f>
        <v/>
      </c>
      <c r="DZ145" s="116">
        <f>IFERROR(LOOKUP(2,1/('DRAFT 2'!$D:$D=$B145)*('DRAFT 2'!$A:$A&gt;=DATE(2026,4,1))*('DRAFT 2'!$A:$A&lt;DATE(2026,IF(4=12,4+1,4+1),1)),'DRAFT 2'!$A:$A),"")</f>
        <v/>
      </c>
      <c r="EA145" s="116">
        <f>COUNTIFS('DRAFT 2'!$D:$D,$B145,'DRAFT 2'!$A:$A,"&gt;="&amp;DATE(2026,4,1),'DRAFT 2'!$A:$A,"&lt;="&amp;DATE(2026,4,7))</f>
        <v/>
      </c>
      <c r="EB145" s="116">
        <f>COUNTIFS('DRAFT 2'!$D:$D,$B145,'DRAFT 2'!$A:$A,"&gt;="&amp;DATE(2026,4,8),'DRAFT 2'!$A:$A,"&lt;="&amp;DATE(2026,4,14))</f>
        <v/>
      </c>
      <c r="EC145" s="116">
        <f>COUNTIFS('DRAFT 2'!$D:$D,$B145,'DRAFT 2'!$A:$A,"&gt;="&amp;DATE(2026,4,15),'DRAFT 2'!$A:$A,"&lt;="&amp;DATE(2026,4,21))</f>
        <v/>
      </c>
      <c r="ED145" s="116">
        <f>COUNTIFS('DRAFT 2'!$D:$D,$B145,'DRAFT 2'!$A:$A,"&gt;="&amp;DATE(2026,4,22),'DRAFT 2'!$A:$A,"&lt;"&amp;DATE(2026,IF(4=12,4+1,4+1),1))</f>
        <v/>
      </c>
      <c r="EE145" s="116">
        <f>SUM(EA145:ED145)</f>
        <v/>
      </c>
      <c r="EO145" s="116">
        <f>IFERROR(LOOKUP(2,1/('DRAFT 2'!$D:$D=$B145)*('DRAFT 2'!$A:$A&gt;=DATE(2026,5,1))*('DRAFT 2'!$A:$A&lt;DATE(2026,IF(5=12,5+1,5+1),1)),'DRAFT 2'!$A:$A),"")</f>
        <v/>
      </c>
      <c r="EP145" s="116">
        <f>COUNTIFS('DRAFT 2'!$D:$D,$B145,'DRAFT 2'!$A:$A,"&gt;="&amp;DATE(2026,5,1),'DRAFT 2'!$A:$A,"&lt;="&amp;DATE(2026,5,7))</f>
        <v/>
      </c>
      <c r="EQ145" s="116">
        <f>COUNTIFS('DRAFT 2'!$D:$D,$B145,'DRAFT 2'!$A:$A,"&gt;="&amp;DATE(2026,5,8),'DRAFT 2'!$A:$A,"&lt;="&amp;DATE(2026,5,14))</f>
        <v/>
      </c>
      <c r="ER145" s="116">
        <f>COUNTIFS('DRAFT 2'!$D:$D,$B145,'DRAFT 2'!$A:$A,"&gt;="&amp;DATE(2026,5,15),'DRAFT 2'!$A:$A,"&lt;="&amp;DATE(2026,5,21))</f>
        <v/>
      </c>
      <c r="ES145" s="116">
        <f>COUNTIFS('DRAFT 2'!$D:$D,$B145,'DRAFT 2'!$A:$A,"&gt;="&amp;DATE(2026,5,22),'DRAFT 2'!$A:$A,"&lt;"&amp;DATE(2026,IF(5=12,5+1,5+1),1))</f>
        <v/>
      </c>
      <c r="ET145" s="116">
        <f>SUM(EP145:ES145)</f>
        <v/>
      </c>
      <c r="FD145" s="116">
        <f>IFERROR(LOOKUP(2,1/('DRAFT 2'!$D:$D=$B145)*('DRAFT 2'!$A:$A&gt;=DATE(2026,6,1))*('DRAFT 2'!$A:$A&lt;DATE(2026,IF(6=12,6+1,6+1),1)),'DRAFT 2'!$A:$A),"")</f>
        <v/>
      </c>
      <c r="FE145" s="116">
        <f>COUNTIFS('DRAFT 2'!$D:$D,$B145,'DRAFT 2'!$A:$A,"&gt;="&amp;DATE(2026,6,1),'DRAFT 2'!$A:$A,"&lt;="&amp;DATE(2026,6,7))</f>
        <v/>
      </c>
      <c r="FF145" s="116">
        <f>COUNTIFS('DRAFT 2'!$D:$D,$B145,'DRAFT 2'!$A:$A,"&gt;="&amp;DATE(2026,6,8),'DRAFT 2'!$A:$A,"&lt;="&amp;DATE(2026,6,14))</f>
        <v/>
      </c>
      <c r="FG145" s="116">
        <f>COUNTIFS('DRAFT 2'!$D:$D,$B145,'DRAFT 2'!$A:$A,"&gt;="&amp;DATE(2026,6,15),'DRAFT 2'!$A:$A,"&lt;="&amp;DATE(2026,6,21))</f>
        <v/>
      </c>
      <c r="FH145" s="116">
        <f>COUNTIFS('DRAFT 2'!$D:$D,$B145,'DRAFT 2'!$A:$A,"&gt;="&amp;DATE(2026,6,22),'DRAFT 2'!$A:$A,"&lt;"&amp;DATE(2026,IF(6=12,6+1,6+1),1))</f>
        <v/>
      </c>
      <c r="FI145" s="116">
        <f>SUM(FE145:FH145)</f>
        <v/>
      </c>
      <c r="FT145" s="116">
        <f>IFERROR(LOOKUP(2,1/('DRAFT 2'!$D:$D=$B145)*('DRAFT 2'!$A:$A&gt;=DATE(2026,7,1))*('DRAFT 2'!$A:$A&lt;DATE(2026,IF(7=12,7+1,7+1),1)),'DRAFT 2'!$A:$A),"")</f>
        <v/>
      </c>
      <c r="FU145" s="116">
        <f>COUNTIFS('DRAFT 2'!$D:$D,$B145,'DRAFT 2'!$A:$A,"&gt;="&amp;DATE(2026,7,1),'DRAFT 2'!$A:$A,"&lt;="&amp;DATE(2026,7,7))</f>
        <v/>
      </c>
      <c r="FV145" s="116">
        <f>COUNTIFS('DRAFT 2'!$D:$D,$B145,'DRAFT 2'!$A:$A,"&gt;="&amp;DATE(2026,7,8),'DRAFT 2'!$A:$A,"&lt;="&amp;DATE(2026,7,14))</f>
        <v/>
      </c>
      <c r="FW145" s="116">
        <f>COUNTIFS('DRAFT 2'!$D:$D,$B145,'DRAFT 2'!$A:$A,"&gt;="&amp;DATE(2026,7,15),'DRAFT 2'!$A:$A,"&lt;="&amp;DATE(2026,7,21))</f>
        <v/>
      </c>
      <c r="FX145" s="116">
        <f>COUNTIFS('DRAFT 2'!$D:$D,$B145,'DRAFT 2'!$A:$A,"&gt;="&amp;DATE(2026,7,22),'DRAFT 2'!$A:$A,"&lt;"&amp;DATE(2026,IF(7=12,7+1,7+1),1))</f>
        <v/>
      </c>
      <c r="FY145" s="116">
        <f>SUM(FU145:FX145)</f>
        <v/>
      </c>
      <c r="GI145" s="116">
        <f>IFERROR(LOOKUP(2,1/('DRAFT 2'!$D:$D=$B145)*('DRAFT 2'!$A:$A&gt;=DATE(2026,8,1))*('DRAFT 2'!$A:$A&lt;DATE(2026,IF(8=12,8+1,8+1),1)),'DRAFT 2'!$A:$A),"")</f>
        <v/>
      </c>
      <c r="GJ145" s="116">
        <f>COUNTIFS('DRAFT 2'!$D:$D,$B145,'DRAFT 2'!$A:$A,"&gt;="&amp;DATE(2026,8,1),'DRAFT 2'!$A:$A,"&lt;="&amp;DATE(2026,8,7))</f>
        <v/>
      </c>
      <c r="GK145" s="116">
        <f>COUNTIFS('DRAFT 2'!$D:$D,$B145,'DRAFT 2'!$A:$A,"&gt;="&amp;DATE(2026,8,8),'DRAFT 2'!$A:$A,"&lt;="&amp;DATE(2026,8,14))</f>
        <v/>
      </c>
      <c r="GL145" s="116">
        <f>COUNTIFS('DRAFT 2'!$D:$D,$B145,'DRAFT 2'!$A:$A,"&gt;="&amp;DATE(2026,8,15),'DRAFT 2'!$A:$A,"&lt;="&amp;DATE(2026,8,21))</f>
        <v/>
      </c>
      <c r="GM145" s="116">
        <f>COUNTIFS('DRAFT 2'!$D:$D,$B145,'DRAFT 2'!$A:$A,"&gt;="&amp;DATE(2026,8,22),'DRAFT 2'!$A:$A,"&lt;"&amp;DATE(2026,IF(8=12,8+1,8+1),1))</f>
        <v/>
      </c>
      <c r="GN145" s="116">
        <f>SUM(GJ145:GM145)</f>
        <v/>
      </c>
      <c r="GX145" s="116">
        <f>IFERROR(LOOKUP(2,1/('DRAFT 2'!$D:$D=$B145)*('DRAFT 2'!$A:$A&gt;=DATE(2026,9,1))*('DRAFT 2'!$A:$A&lt;DATE(2026,IF(9=12,9+1,9+1),1)),'DRAFT 2'!$A:$A),"")</f>
        <v/>
      </c>
      <c r="GY145" s="116">
        <f>COUNTIFS('DRAFT 2'!$D:$D,$B145,'DRAFT 2'!$A:$A,"&gt;="&amp;DATE(2026,9,1),'DRAFT 2'!$A:$A,"&lt;="&amp;DATE(2026,9,7))</f>
        <v/>
      </c>
      <c r="GZ145" s="116">
        <f>COUNTIFS('DRAFT 2'!$D:$D,$B145,'DRAFT 2'!$A:$A,"&gt;="&amp;DATE(2026,9,8),'DRAFT 2'!$A:$A,"&lt;="&amp;DATE(2026,9,14))</f>
        <v/>
      </c>
      <c r="HA145" s="116">
        <f>COUNTIFS('DRAFT 2'!$D:$D,$B145,'DRAFT 2'!$A:$A,"&gt;="&amp;DATE(2026,9,15),'DRAFT 2'!$A:$A,"&lt;="&amp;DATE(2026,9,21))</f>
        <v/>
      </c>
      <c r="HB145" s="116">
        <f>COUNTIFS('DRAFT 2'!$D:$D,$B145,'DRAFT 2'!$A:$A,"&gt;="&amp;DATE(2026,9,22),'DRAFT 2'!$A:$A,"&lt;"&amp;DATE(2026,IF(9=12,9+1,9+1),1))</f>
        <v/>
      </c>
      <c r="HC145" s="116">
        <f>SUM(GY145:HB145)</f>
        <v/>
      </c>
      <c r="HN145" s="116">
        <f>IFERROR(LOOKUP(2,1/('DRAFT 2'!$D:$D=$B145)*('DRAFT 2'!$A:$A&gt;=DATE(2026,10,1))*('DRAFT 2'!$A:$A&lt;DATE(2026,IF(10=12,10+1,10+1),1)),'DRAFT 2'!$A:$A),"")</f>
        <v/>
      </c>
      <c r="HO145" s="116">
        <f>COUNTIFS('DRAFT 2'!$D:$D,$B145,'DRAFT 2'!$A:$A,"&gt;="&amp;DATE(2026,10,1),'DRAFT 2'!$A:$A,"&lt;="&amp;DATE(2026,10,7))</f>
        <v/>
      </c>
      <c r="HP145" s="116">
        <f>COUNTIFS('DRAFT 2'!$D:$D,$B145,'DRAFT 2'!$A:$A,"&gt;="&amp;DATE(2026,10,8),'DRAFT 2'!$A:$A,"&lt;="&amp;DATE(2026,10,14))</f>
        <v/>
      </c>
      <c r="HQ145" s="116">
        <f>COUNTIFS('DRAFT 2'!$D:$D,$B145,'DRAFT 2'!$A:$A,"&gt;="&amp;DATE(2026,10,15),'DRAFT 2'!$A:$A,"&lt;="&amp;DATE(2026,10,21))</f>
        <v/>
      </c>
      <c r="HR145" s="116">
        <f>COUNTIFS('DRAFT 2'!$D:$D,$B145,'DRAFT 2'!$A:$A,"&gt;="&amp;DATE(2026,10,22),'DRAFT 2'!$A:$A,"&lt;"&amp;DATE(2026,IF(10=12,10+1,10+1),1))</f>
        <v/>
      </c>
      <c r="HS145" s="116">
        <f>SUM(HO145:HR145)</f>
        <v/>
      </c>
      <c r="IC145" s="116">
        <f>IFERROR(LOOKUP(2,1/('DRAFT 2'!$D:$D=$B145)*('DRAFT 2'!$A:$A&gt;=DATE(2026,11,1))*('DRAFT 2'!$A:$A&lt;DATE(2026,IF(11=12,11+1,11+1),1)),'DRAFT 2'!$A:$A),"")</f>
        <v/>
      </c>
      <c r="ID145" s="116">
        <f>COUNTIFS('DRAFT 2'!$D:$D,$B145,'DRAFT 2'!$A:$A,"&gt;="&amp;DATE(2026,11,1),'DRAFT 2'!$A:$A,"&lt;="&amp;DATE(2026,11,7))</f>
        <v/>
      </c>
      <c r="IE145" s="116">
        <f>COUNTIFS('DRAFT 2'!$D:$D,$B145,'DRAFT 2'!$A:$A,"&gt;="&amp;DATE(2026,11,8),'DRAFT 2'!$A:$A,"&lt;="&amp;DATE(2026,11,14))</f>
        <v/>
      </c>
      <c r="IF145" s="116">
        <f>COUNTIFS('DRAFT 2'!$D:$D,$B145,'DRAFT 2'!$A:$A,"&gt;="&amp;DATE(2026,11,15),'DRAFT 2'!$A:$A,"&lt;="&amp;DATE(2026,11,21))</f>
        <v/>
      </c>
      <c r="IG145" s="116">
        <f>COUNTIFS('DRAFT 2'!$D:$D,$B145,'DRAFT 2'!$A:$A,"&gt;="&amp;DATE(2026,11,22),'DRAFT 2'!$A:$A,"&lt;"&amp;DATE(2026,IF(11=12,11+1,11+1),1))</f>
        <v/>
      </c>
      <c r="IH145" s="116">
        <f>SUM(ID145:IG145)</f>
        <v/>
      </c>
      <c r="IR145" s="116">
        <f>IFERROR(LOOKUP(2,1/('DRAFT 2'!$D:$D=$B145)*('DRAFT 2'!$A:$A&gt;=DATE(2026,12,1))*('DRAFT 2'!$A:$A&lt;DATE(2026,IF(12=12,12+1,12+1),1)),'DRAFT 2'!$A:$A),"")</f>
        <v/>
      </c>
      <c r="IS145" s="116">
        <f>COUNTIFS('DRAFT 2'!$D:$D,$B145,'DRAFT 2'!$A:$A,"&gt;="&amp;DATE(2026,12,1),'DRAFT 2'!$A:$A,"&lt;="&amp;DATE(2026,12,7))</f>
        <v/>
      </c>
      <c r="IT145" s="116">
        <f>COUNTIFS('DRAFT 2'!$D:$D,$B145,'DRAFT 2'!$A:$A,"&gt;="&amp;DATE(2026,12,8),'DRAFT 2'!$A:$A,"&lt;="&amp;DATE(2026,12,14))</f>
        <v/>
      </c>
      <c r="IU145" s="116">
        <f>COUNTIFS('DRAFT 2'!$D:$D,$B145,'DRAFT 2'!$A:$A,"&gt;="&amp;DATE(2026,12,15),'DRAFT 2'!$A:$A,"&lt;="&amp;DATE(2026,12,21))</f>
        <v/>
      </c>
      <c r="IV145" s="116">
        <f>COUNTIFS('DRAFT 2'!$D:$D,$B145,'DRAFT 2'!$A:$A,"&gt;="&amp;DATE(2026,12,22),'DRAFT 2'!$A:$A,"&lt;"&amp;DATE(2026,IF(12=12,12+1,12+1),1))</f>
        <v/>
      </c>
      <c r="IW145" s="116">
        <f>SUM(IS145:IV145)</f>
        <v/>
      </c>
    </row>
    <row r="146">
      <c r="A146" s="116">
        <f>IFERROR(INDEX('DRAFT 1'!$A:$A,MATCH($B146,'DRAFT 1'!$B:$B,0)),"")</f>
        <v/>
      </c>
      <c r="C146" s="116">
        <f>IFERROR(INDEX('DRAFT 1'!$C:$C,MATCH($B146,'DRAFT 1'!$B:$B,0)),"")</f>
        <v/>
      </c>
      <c r="D146" s="116">
        <f>IFERROR(INDEX('DRAFT 1'!$D:$D,MATCH($B146,'DRAFT 1'!$B:$B,0)),"")</f>
        <v/>
      </c>
      <c r="E146" s="116">
        <f>IFERROR(INDEX('DRAFT 1'!$E:$E,MATCH($B146,'DRAFT 1'!$B:$B,0)),"")</f>
        <v/>
      </c>
      <c r="F146" s="116">
        <f>IFERROR(INDEX('DRAFT 1'!$F:$F,MATCH($B146,'DRAFT 1'!$B:$B,0)),"")</f>
        <v/>
      </c>
      <c r="G146" s="116">
        <f>IFERROR(INDEX('DRAFT 1'!$G:$G,MATCH($B146,'DRAFT 1'!$B:$B,0)),"")</f>
        <v/>
      </c>
      <c r="H146" s="116">
        <f>IFERROR(INDEX('DRAFT 1'!$H:$H,MATCH($B146,'DRAFT 1'!$B:$B,0)),"")</f>
        <v/>
      </c>
      <c r="I146" s="116">
        <f>IFERROR(INDEX('DRAFT 1'!$I:$I,MATCH($B146,'DRAFT 1'!$B:$B,0)),"")</f>
        <v/>
      </c>
      <c r="K146" s="116">
        <f>IFERROR(INDEX('DRAFT 1'!$AL:$AL,MATCH($B146,'DRAFT 1'!$B:$B,0)),"")</f>
        <v/>
      </c>
      <c r="L146" s="116">
        <f>IFERROR(INDEX('DRAFT 1'!$J:$J,MATCH($B146,'DRAFT 1'!$B:$B,0)),"")</f>
        <v/>
      </c>
      <c r="M146" s="116">
        <f>IFERROR(INDEX('DRAFT 1'!$K:$K,MATCH($B146,'DRAFT 1'!$B:$B,0)),"")</f>
        <v/>
      </c>
      <c r="P146" s="116">
        <f>IFERROR(INDEX('DRAFT 1'!$L:$L,MATCH($B146,'DRAFT 1'!$B:$B,0)),"")</f>
        <v/>
      </c>
      <c r="Q146" s="116">
        <f>IFERROR(INDEX('DRAFT 1'!$M:$M,MATCH($B146,'DRAFT 1'!$B:$B,0)),"")</f>
        <v/>
      </c>
      <c r="R146" s="116">
        <f>IFERROR(INDEX('DRAFT 1'!$N:$N,MATCH($B146,'DRAFT 1'!$B:$B,0)),"")</f>
        <v/>
      </c>
      <c r="S146" s="116">
        <f>IFERROR(INDEX('DRAFT 1'!$O:$O,MATCH($B146,'DRAFT 1'!$B:$B,0)),"")</f>
        <v/>
      </c>
      <c r="T146" s="116">
        <f>IFERROR(INDEX('DRAFT 1'!$P:$P,MATCH($B146,'DRAFT 1'!$B:$B,0)),"")</f>
        <v/>
      </c>
      <c r="U146" s="116">
        <f>IFERROR(INDEX('DRAFT 1'!$Q:$Q,MATCH($B146,'DRAFT 1'!$B:$B,0)),"")</f>
        <v/>
      </c>
      <c r="V146" s="116">
        <f>IFERROR(INDEX('DRAFT 1'!$R:$R,MATCH($B146,'DRAFT 1'!$B:$B,0)),"")</f>
        <v/>
      </c>
      <c r="W146" s="116">
        <f>IFERROR(INDEX('DRAFT 1'!$S:$S,MATCH($B146,'DRAFT 1'!$B:$B,0)),"")</f>
        <v/>
      </c>
      <c r="X146" s="116">
        <f>IFERROR(INDEX('DRAFT 1'!$T:$T,MATCH($B146,'DRAFT 1'!$B:$B,0)),"")</f>
        <v/>
      </c>
      <c r="Z146" s="116">
        <f>IFERROR(INDEX('DRAFT 1'!$U:$U,MATCH($B146,'DRAFT 1'!$B:$B,0)),"")</f>
        <v/>
      </c>
      <c r="AA146" s="116">
        <f>IFERROR(INDEX('DRAFT 1'!$V:$V,MATCH($B146,'DRAFT 1'!$B:$B,0)),"")</f>
        <v/>
      </c>
      <c r="AB146" s="116">
        <f>IFERROR(INDEX('DRAFT 1'!$W:$W,MATCH($B146,'DRAFT 1'!$B:$B,0)),"")</f>
        <v/>
      </c>
      <c r="AC146" s="116">
        <f>IFERROR(INDEX('DRAFT 1'!$X:$X,MATCH($B146,'DRAFT 1'!$B:$B,0)),"")</f>
        <v/>
      </c>
      <c r="AD146" s="116">
        <f>IFERROR(INDEX('DRAFT 1'!$Y:$Y,MATCH($B146,'DRAFT 1'!$B:$B,0)),"")</f>
        <v/>
      </c>
      <c r="AE146" s="116">
        <f>IFERROR(INDEX('DRAFT 1'!$Z:$Z,MATCH($B146,'DRAFT 1'!$B:$B,0)),"")</f>
        <v/>
      </c>
      <c r="AF146" s="116">
        <f>IFERROR(INDEX('DRAFT 1'!$AA:$AA,MATCH($B146,'DRAFT 1'!$B:$B,0)),"")</f>
        <v/>
      </c>
      <c r="AG146" s="116">
        <f>IFERROR(INDEX('DRAFT 1'!$AB:$AB,MATCH($B146,'DRAFT 1'!$B:$B,0)),"")</f>
        <v/>
      </c>
      <c r="AH146" s="116">
        <f>IFERROR(INDEX('DRAFT 1'!$AC:$AC,MATCH($B146,'DRAFT 1'!$B:$B,0)),"")</f>
        <v/>
      </c>
      <c r="AI146" s="116">
        <f>IFERROR(INDEX('DRAFT 1'!$AD:$AD,MATCH($B146,'DRAFT 1'!$B:$B,0)),"")</f>
        <v/>
      </c>
      <c r="AJ146" s="116">
        <f>IFERROR(INDEX('DRAFT 1'!$AE:$AE,MATCH($B146,'DRAFT 1'!$B:$B,0)),"")</f>
        <v/>
      </c>
      <c r="AK146" s="116">
        <f>IFERROR(INDEX('DRAFT 1'!$AG:$AG,MATCH($B146,'DRAFT 1'!$B:$B,0)),"")</f>
        <v/>
      </c>
      <c r="AL146" s="116">
        <f>IFERROR(INDEX('DRAFT 1'!$AH:$AH,MATCH($B146,'DRAFT 1'!$B:$B,0)),"")</f>
        <v/>
      </c>
      <c r="AM146" s="116">
        <f>IFERROR(INDEX('DRAFT 1'!$AI:$AI,MATCH($B146,'DRAFT 1'!$B:$B,0)),"")</f>
        <v/>
      </c>
      <c r="AN146" s="116">
        <f>IFERROR(INDEX('DRAFT 1'!$AJ:$AJ,MATCH($B146,'DRAFT 1'!$B:$B,0)),"")</f>
        <v/>
      </c>
      <c r="AO146" s="116">
        <f>IFERROR(Y146/AN146,0)</f>
        <v/>
      </c>
      <c r="AP146" s="116">
        <f>IFERROR(INDEX('DRAFT 1'!$AK:$AK,MATCH($B146,'DRAFT 1'!$B:$B,0)),"")</f>
        <v/>
      </c>
      <c r="AR146" s="116">
        <f>IFERROR(LOOKUP(2,1/('DRAFT 2'!$D:$D=$B146),'DRAFT 2'!$I:$I),"")</f>
        <v/>
      </c>
      <c r="AS146" s="116">
        <f>IFERROR(LOOKUP(2,1/('DRAFT 2'!$D:$D=$B146),'DRAFT 2'!$T:$T),"")</f>
        <v/>
      </c>
      <c r="AT146" s="116">
        <f>IFERROR(LOOKUP(2,1/('DRAFT 2'!$D:$D=$B146),'DRAFT 2'!$A:$A),"")</f>
        <v/>
      </c>
      <c r="AU146" s="116">
        <f>IFERROR(LOOKUP(2,1/('DRAFT 2'!$D:$D=$B146),'DRAFT 2'!$R:$R),"")</f>
        <v/>
      </c>
      <c r="AV146" s="116">
        <f>IFERROR(LOOKUP(2,1/('DRAFT 2'!$D:$D=$B146),'DRAFT 2'!$S:$S),"")</f>
        <v/>
      </c>
      <c r="AX146" s="116">
        <f>IFERROR(LOOKUP(2,1/('DRAFT 2'!$D:$D=$B146),'DRAFT 2'!$M:$M),"")</f>
        <v/>
      </c>
      <c r="AY146" s="116">
        <f>IFERROR(LOOKUP(2,1/('DRAFT 2'!$D:$D=$B146),'DRAFT 2'!$K:$K),"")</f>
        <v/>
      </c>
      <c r="BG146" s="116">
        <f>IFERROR(LOOKUP(2,1/('DRAFT 2'!$D:$D=$B146),'DRAFT 2'!$U:$U),"")</f>
        <v/>
      </c>
      <c r="BH146" s="116">
        <f>IFERROR(LOOKUP(2,1/('DRAFT 2'!$D:$D=$B146),'DRAFT 2'!$V:$V),"")</f>
        <v/>
      </c>
      <c r="CE146" s="116">
        <f>IFERROR(AJ146,0)</f>
        <v/>
      </c>
      <c r="CF146" s="116">
        <f>IFERROR(LOOKUP(2,1/('DRAFT 2'!$D:$D=$B146)*('DRAFT 2'!$A:$A&gt;=DATE(2026,1,1))*('DRAFT 2'!$A:$A&lt;DATE(2026,IF(1=12,1+1,1+1),1)),'DRAFT 2'!$A:$A),"")</f>
        <v/>
      </c>
      <c r="CG146" s="116">
        <f>COUNTIFS('DRAFT 2'!$D:$D,$B146,'DRAFT 2'!$A:$A,"&gt;="&amp;DATE(2026,1,1),'DRAFT 2'!$A:$A,"&lt;="&amp;DATE(2026,1,7))</f>
        <v/>
      </c>
      <c r="CH146" s="116">
        <f>COUNTIFS('DRAFT 2'!$D:$D,$B146,'DRAFT 2'!$A:$A,"&gt;="&amp;DATE(2026,1,8),'DRAFT 2'!$A:$A,"&lt;="&amp;DATE(2026,1,14))</f>
        <v/>
      </c>
      <c r="CI146" s="116">
        <f>COUNTIFS('DRAFT 2'!$D:$D,$B146,'DRAFT 2'!$A:$A,"&gt;="&amp;DATE(2026,1,15),'DRAFT 2'!$A:$A,"&lt;="&amp;DATE(2026,1,21))</f>
        <v/>
      </c>
      <c r="CJ146" s="116">
        <f>COUNTIFS('DRAFT 2'!$D:$D,$B146,'DRAFT 2'!$A:$A,"&gt;="&amp;DATE(2026,1,22),'DRAFT 2'!$A:$A,"&lt;"&amp;DATE(2026,IF(1=12,1+1,1+1),1))</f>
        <v/>
      </c>
      <c r="CK146" s="116">
        <f>SUM(CG146:CJ146)</f>
        <v/>
      </c>
      <c r="CT146" s="116" t="n">
        <v>0</v>
      </c>
      <c r="CU146" s="116">
        <f>IFERROR(LOOKUP(2,1/('DRAFT 2'!$D:$D=$B146)*('DRAFT 2'!$A:$A&gt;=DATE(2026,2,1))*('DRAFT 2'!$A:$A&lt;DATE(2026,IF(2=12,2+1,2+1),1)),'DRAFT 2'!$A:$A),"")</f>
        <v/>
      </c>
      <c r="CV146" s="116">
        <f>COUNTIFS('DRAFT 2'!$D:$D,$B146,'DRAFT 2'!$A:$A,"&gt;="&amp;DATE(2026,2,1),'DRAFT 2'!$A:$A,"&lt;="&amp;DATE(2026,2,7))</f>
        <v/>
      </c>
      <c r="CW146" s="116">
        <f>COUNTIFS('DRAFT 2'!$D:$D,$B146,'DRAFT 2'!$A:$A,"&gt;="&amp;DATE(2026,2,8),'DRAFT 2'!$A:$A,"&lt;="&amp;DATE(2026,2,14))</f>
        <v/>
      </c>
      <c r="CX146" s="116">
        <f>COUNTIFS('DRAFT 2'!$D:$D,$B146,'DRAFT 2'!$A:$A,"&gt;="&amp;DATE(2026,2,15),'DRAFT 2'!$A:$A,"&lt;="&amp;DATE(2026,2,21))</f>
        <v/>
      </c>
      <c r="CY146" s="116">
        <f>COUNTIFS('DRAFT 2'!$D:$D,$B146,'DRAFT 2'!$A:$A,"&gt;="&amp;DATE(2026,2,22),'DRAFT 2'!$A:$A,"&lt;"&amp;DATE(2026,IF(2=12,2+1,2+1),1))</f>
        <v/>
      </c>
      <c r="CZ146" s="116">
        <f>SUM(CV146:CY146)</f>
        <v/>
      </c>
      <c r="DJ146" s="116">
        <f>IFERROR(LOOKUP(2,1/('DRAFT 2'!$D:$D=$B146)*('DRAFT 2'!$A:$A&gt;=DATE(2026,3,1))*('DRAFT 2'!$A:$A&lt;DATE(2026,IF(3=12,3+1,3+1),1)),'DRAFT 2'!$A:$A),"")</f>
        <v/>
      </c>
      <c r="DK146" s="116">
        <f>COUNTIFS('DRAFT 2'!$D:$D,$B146,'DRAFT 2'!$A:$A,"&gt;="&amp;DATE(2026,3,1),'DRAFT 2'!$A:$A,"&lt;="&amp;DATE(2026,3,7))</f>
        <v/>
      </c>
      <c r="DL146" s="116">
        <f>COUNTIFS('DRAFT 2'!$D:$D,$B146,'DRAFT 2'!$A:$A,"&gt;="&amp;DATE(2026,3,8),'DRAFT 2'!$A:$A,"&lt;="&amp;DATE(2026,3,14))</f>
        <v/>
      </c>
      <c r="DM146" s="116">
        <f>COUNTIFS('DRAFT 2'!$D:$D,$B146,'DRAFT 2'!$A:$A,"&gt;="&amp;DATE(2026,3,15),'DRAFT 2'!$A:$A,"&lt;="&amp;DATE(2026,3,21))</f>
        <v/>
      </c>
      <c r="DN146" s="116">
        <f>COUNTIFS('DRAFT 2'!$D:$D,$B146,'DRAFT 2'!$A:$A,"&gt;="&amp;DATE(2026,3,22),'DRAFT 2'!$A:$A,"&lt;"&amp;DATE(2026,IF(3=12,3+1,3+1),1))</f>
        <v/>
      </c>
      <c r="DO146" s="116">
        <f>SUM(DK146:DN146)</f>
        <v/>
      </c>
      <c r="DZ146" s="116">
        <f>IFERROR(LOOKUP(2,1/('DRAFT 2'!$D:$D=$B146)*('DRAFT 2'!$A:$A&gt;=DATE(2026,4,1))*('DRAFT 2'!$A:$A&lt;DATE(2026,IF(4=12,4+1,4+1),1)),'DRAFT 2'!$A:$A),"")</f>
        <v/>
      </c>
      <c r="EA146" s="116">
        <f>COUNTIFS('DRAFT 2'!$D:$D,$B146,'DRAFT 2'!$A:$A,"&gt;="&amp;DATE(2026,4,1),'DRAFT 2'!$A:$A,"&lt;="&amp;DATE(2026,4,7))</f>
        <v/>
      </c>
      <c r="EB146" s="116">
        <f>COUNTIFS('DRAFT 2'!$D:$D,$B146,'DRAFT 2'!$A:$A,"&gt;="&amp;DATE(2026,4,8),'DRAFT 2'!$A:$A,"&lt;="&amp;DATE(2026,4,14))</f>
        <v/>
      </c>
      <c r="EC146" s="116">
        <f>COUNTIFS('DRAFT 2'!$D:$D,$B146,'DRAFT 2'!$A:$A,"&gt;="&amp;DATE(2026,4,15),'DRAFT 2'!$A:$A,"&lt;="&amp;DATE(2026,4,21))</f>
        <v/>
      </c>
      <c r="ED146" s="116">
        <f>COUNTIFS('DRAFT 2'!$D:$D,$B146,'DRAFT 2'!$A:$A,"&gt;="&amp;DATE(2026,4,22),'DRAFT 2'!$A:$A,"&lt;"&amp;DATE(2026,IF(4=12,4+1,4+1),1))</f>
        <v/>
      </c>
      <c r="EE146" s="116">
        <f>SUM(EA146:ED146)</f>
        <v/>
      </c>
      <c r="EO146" s="116">
        <f>IFERROR(LOOKUP(2,1/('DRAFT 2'!$D:$D=$B146)*('DRAFT 2'!$A:$A&gt;=DATE(2026,5,1))*('DRAFT 2'!$A:$A&lt;DATE(2026,IF(5=12,5+1,5+1),1)),'DRAFT 2'!$A:$A),"")</f>
        <v/>
      </c>
      <c r="EP146" s="116">
        <f>COUNTIFS('DRAFT 2'!$D:$D,$B146,'DRAFT 2'!$A:$A,"&gt;="&amp;DATE(2026,5,1),'DRAFT 2'!$A:$A,"&lt;="&amp;DATE(2026,5,7))</f>
        <v/>
      </c>
      <c r="EQ146" s="116">
        <f>COUNTIFS('DRAFT 2'!$D:$D,$B146,'DRAFT 2'!$A:$A,"&gt;="&amp;DATE(2026,5,8),'DRAFT 2'!$A:$A,"&lt;="&amp;DATE(2026,5,14))</f>
        <v/>
      </c>
      <c r="ER146" s="116">
        <f>COUNTIFS('DRAFT 2'!$D:$D,$B146,'DRAFT 2'!$A:$A,"&gt;="&amp;DATE(2026,5,15),'DRAFT 2'!$A:$A,"&lt;="&amp;DATE(2026,5,21))</f>
        <v/>
      </c>
      <c r="ES146" s="116">
        <f>COUNTIFS('DRAFT 2'!$D:$D,$B146,'DRAFT 2'!$A:$A,"&gt;="&amp;DATE(2026,5,22),'DRAFT 2'!$A:$A,"&lt;"&amp;DATE(2026,IF(5=12,5+1,5+1),1))</f>
        <v/>
      </c>
      <c r="ET146" s="116">
        <f>SUM(EP146:ES146)</f>
        <v/>
      </c>
      <c r="FD146" s="116">
        <f>IFERROR(LOOKUP(2,1/('DRAFT 2'!$D:$D=$B146)*('DRAFT 2'!$A:$A&gt;=DATE(2026,6,1))*('DRAFT 2'!$A:$A&lt;DATE(2026,IF(6=12,6+1,6+1),1)),'DRAFT 2'!$A:$A),"")</f>
        <v/>
      </c>
      <c r="FE146" s="116">
        <f>COUNTIFS('DRAFT 2'!$D:$D,$B146,'DRAFT 2'!$A:$A,"&gt;="&amp;DATE(2026,6,1),'DRAFT 2'!$A:$A,"&lt;="&amp;DATE(2026,6,7))</f>
        <v/>
      </c>
      <c r="FF146" s="116">
        <f>COUNTIFS('DRAFT 2'!$D:$D,$B146,'DRAFT 2'!$A:$A,"&gt;="&amp;DATE(2026,6,8),'DRAFT 2'!$A:$A,"&lt;="&amp;DATE(2026,6,14))</f>
        <v/>
      </c>
      <c r="FG146" s="116">
        <f>COUNTIFS('DRAFT 2'!$D:$D,$B146,'DRAFT 2'!$A:$A,"&gt;="&amp;DATE(2026,6,15),'DRAFT 2'!$A:$A,"&lt;="&amp;DATE(2026,6,21))</f>
        <v/>
      </c>
      <c r="FH146" s="116">
        <f>COUNTIFS('DRAFT 2'!$D:$D,$B146,'DRAFT 2'!$A:$A,"&gt;="&amp;DATE(2026,6,22),'DRAFT 2'!$A:$A,"&lt;"&amp;DATE(2026,IF(6=12,6+1,6+1),1))</f>
        <v/>
      </c>
      <c r="FI146" s="116">
        <f>SUM(FE146:FH146)</f>
        <v/>
      </c>
      <c r="FT146" s="116">
        <f>IFERROR(LOOKUP(2,1/('DRAFT 2'!$D:$D=$B146)*('DRAFT 2'!$A:$A&gt;=DATE(2026,7,1))*('DRAFT 2'!$A:$A&lt;DATE(2026,IF(7=12,7+1,7+1),1)),'DRAFT 2'!$A:$A),"")</f>
        <v/>
      </c>
      <c r="FU146" s="116">
        <f>COUNTIFS('DRAFT 2'!$D:$D,$B146,'DRAFT 2'!$A:$A,"&gt;="&amp;DATE(2026,7,1),'DRAFT 2'!$A:$A,"&lt;="&amp;DATE(2026,7,7))</f>
        <v/>
      </c>
      <c r="FV146" s="116">
        <f>COUNTIFS('DRAFT 2'!$D:$D,$B146,'DRAFT 2'!$A:$A,"&gt;="&amp;DATE(2026,7,8),'DRAFT 2'!$A:$A,"&lt;="&amp;DATE(2026,7,14))</f>
        <v/>
      </c>
      <c r="FW146" s="116">
        <f>COUNTIFS('DRAFT 2'!$D:$D,$B146,'DRAFT 2'!$A:$A,"&gt;="&amp;DATE(2026,7,15),'DRAFT 2'!$A:$A,"&lt;="&amp;DATE(2026,7,21))</f>
        <v/>
      </c>
      <c r="FX146" s="116">
        <f>COUNTIFS('DRAFT 2'!$D:$D,$B146,'DRAFT 2'!$A:$A,"&gt;="&amp;DATE(2026,7,22),'DRAFT 2'!$A:$A,"&lt;"&amp;DATE(2026,IF(7=12,7+1,7+1),1))</f>
        <v/>
      </c>
      <c r="FY146" s="116">
        <f>SUM(FU146:FX146)</f>
        <v/>
      </c>
      <c r="GI146" s="116">
        <f>IFERROR(LOOKUP(2,1/('DRAFT 2'!$D:$D=$B146)*('DRAFT 2'!$A:$A&gt;=DATE(2026,8,1))*('DRAFT 2'!$A:$A&lt;DATE(2026,IF(8=12,8+1,8+1),1)),'DRAFT 2'!$A:$A),"")</f>
        <v/>
      </c>
      <c r="GJ146" s="116">
        <f>COUNTIFS('DRAFT 2'!$D:$D,$B146,'DRAFT 2'!$A:$A,"&gt;="&amp;DATE(2026,8,1),'DRAFT 2'!$A:$A,"&lt;="&amp;DATE(2026,8,7))</f>
        <v/>
      </c>
      <c r="GK146" s="116">
        <f>COUNTIFS('DRAFT 2'!$D:$D,$B146,'DRAFT 2'!$A:$A,"&gt;="&amp;DATE(2026,8,8),'DRAFT 2'!$A:$A,"&lt;="&amp;DATE(2026,8,14))</f>
        <v/>
      </c>
      <c r="GL146" s="116">
        <f>COUNTIFS('DRAFT 2'!$D:$D,$B146,'DRAFT 2'!$A:$A,"&gt;="&amp;DATE(2026,8,15),'DRAFT 2'!$A:$A,"&lt;="&amp;DATE(2026,8,21))</f>
        <v/>
      </c>
      <c r="GM146" s="116">
        <f>COUNTIFS('DRAFT 2'!$D:$D,$B146,'DRAFT 2'!$A:$A,"&gt;="&amp;DATE(2026,8,22),'DRAFT 2'!$A:$A,"&lt;"&amp;DATE(2026,IF(8=12,8+1,8+1),1))</f>
        <v/>
      </c>
      <c r="GN146" s="116">
        <f>SUM(GJ146:GM146)</f>
        <v/>
      </c>
      <c r="GX146" s="116">
        <f>IFERROR(LOOKUP(2,1/('DRAFT 2'!$D:$D=$B146)*('DRAFT 2'!$A:$A&gt;=DATE(2026,9,1))*('DRAFT 2'!$A:$A&lt;DATE(2026,IF(9=12,9+1,9+1),1)),'DRAFT 2'!$A:$A),"")</f>
        <v/>
      </c>
      <c r="GY146" s="116">
        <f>COUNTIFS('DRAFT 2'!$D:$D,$B146,'DRAFT 2'!$A:$A,"&gt;="&amp;DATE(2026,9,1),'DRAFT 2'!$A:$A,"&lt;="&amp;DATE(2026,9,7))</f>
        <v/>
      </c>
      <c r="GZ146" s="116">
        <f>COUNTIFS('DRAFT 2'!$D:$D,$B146,'DRAFT 2'!$A:$A,"&gt;="&amp;DATE(2026,9,8),'DRAFT 2'!$A:$A,"&lt;="&amp;DATE(2026,9,14))</f>
        <v/>
      </c>
      <c r="HA146" s="116">
        <f>COUNTIFS('DRAFT 2'!$D:$D,$B146,'DRAFT 2'!$A:$A,"&gt;="&amp;DATE(2026,9,15),'DRAFT 2'!$A:$A,"&lt;="&amp;DATE(2026,9,21))</f>
        <v/>
      </c>
      <c r="HB146" s="116">
        <f>COUNTIFS('DRAFT 2'!$D:$D,$B146,'DRAFT 2'!$A:$A,"&gt;="&amp;DATE(2026,9,22),'DRAFT 2'!$A:$A,"&lt;"&amp;DATE(2026,IF(9=12,9+1,9+1),1))</f>
        <v/>
      </c>
      <c r="HC146" s="116">
        <f>SUM(GY146:HB146)</f>
        <v/>
      </c>
      <c r="HN146" s="116">
        <f>IFERROR(LOOKUP(2,1/('DRAFT 2'!$D:$D=$B146)*('DRAFT 2'!$A:$A&gt;=DATE(2026,10,1))*('DRAFT 2'!$A:$A&lt;DATE(2026,IF(10=12,10+1,10+1),1)),'DRAFT 2'!$A:$A),"")</f>
        <v/>
      </c>
      <c r="HO146" s="116">
        <f>COUNTIFS('DRAFT 2'!$D:$D,$B146,'DRAFT 2'!$A:$A,"&gt;="&amp;DATE(2026,10,1),'DRAFT 2'!$A:$A,"&lt;="&amp;DATE(2026,10,7))</f>
        <v/>
      </c>
      <c r="HP146" s="116">
        <f>COUNTIFS('DRAFT 2'!$D:$D,$B146,'DRAFT 2'!$A:$A,"&gt;="&amp;DATE(2026,10,8),'DRAFT 2'!$A:$A,"&lt;="&amp;DATE(2026,10,14))</f>
        <v/>
      </c>
      <c r="HQ146" s="116">
        <f>COUNTIFS('DRAFT 2'!$D:$D,$B146,'DRAFT 2'!$A:$A,"&gt;="&amp;DATE(2026,10,15),'DRAFT 2'!$A:$A,"&lt;="&amp;DATE(2026,10,21))</f>
        <v/>
      </c>
      <c r="HR146" s="116">
        <f>COUNTIFS('DRAFT 2'!$D:$D,$B146,'DRAFT 2'!$A:$A,"&gt;="&amp;DATE(2026,10,22),'DRAFT 2'!$A:$A,"&lt;"&amp;DATE(2026,IF(10=12,10+1,10+1),1))</f>
        <v/>
      </c>
      <c r="HS146" s="116">
        <f>SUM(HO146:HR146)</f>
        <v/>
      </c>
      <c r="IC146" s="116">
        <f>IFERROR(LOOKUP(2,1/('DRAFT 2'!$D:$D=$B146)*('DRAFT 2'!$A:$A&gt;=DATE(2026,11,1))*('DRAFT 2'!$A:$A&lt;DATE(2026,IF(11=12,11+1,11+1),1)),'DRAFT 2'!$A:$A),"")</f>
        <v/>
      </c>
      <c r="ID146" s="116">
        <f>COUNTIFS('DRAFT 2'!$D:$D,$B146,'DRAFT 2'!$A:$A,"&gt;="&amp;DATE(2026,11,1),'DRAFT 2'!$A:$A,"&lt;="&amp;DATE(2026,11,7))</f>
        <v/>
      </c>
      <c r="IE146" s="116">
        <f>COUNTIFS('DRAFT 2'!$D:$D,$B146,'DRAFT 2'!$A:$A,"&gt;="&amp;DATE(2026,11,8),'DRAFT 2'!$A:$A,"&lt;="&amp;DATE(2026,11,14))</f>
        <v/>
      </c>
      <c r="IF146" s="116">
        <f>COUNTIFS('DRAFT 2'!$D:$D,$B146,'DRAFT 2'!$A:$A,"&gt;="&amp;DATE(2026,11,15),'DRAFT 2'!$A:$A,"&lt;="&amp;DATE(2026,11,21))</f>
        <v/>
      </c>
      <c r="IG146" s="116">
        <f>COUNTIFS('DRAFT 2'!$D:$D,$B146,'DRAFT 2'!$A:$A,"&gt;="&amp;DATE(2026,11,22),'DRAFT 2'!$A:$A,"&lt;"&amp;DATE(2026,IF(11=12,11+1,11+1),1))</f>
        <v/>
      </c>
      <c r="IH146" s="116">
        <f>SUM(ID146:IG146)</f>
        <v/>
      </c>
      <c r="IR146" s="116">
        <f>IFERROR(LOOKUP(2,1/('DRAFT 2'!$D:$D=$B146)*('DRAFT 2'!$A:$A&gt;=DATE(2026,12,1))*('DRAFT 2'!$A:$A&lt;DATE(2026,IF(12=12,12+1,12+1),1)),'DRAFT 2'!$A:$A),"")</f>
        <v/>
      </c>
      <c r="IS146" s="116">
        <f>COUNTIFS('DRAFT 2'!$D:$D,$B146,'DRAFT 2'!$A:$A,"&gt;="&amp;DATE(2026,12,1),'DRAFT 2'!$A:$A,"&lt;="&amp;DATE(2026,12,7))</f>
        <v/>
      </c>
      <c r="IT146" s="116">
        <f>COUNTIFS('DRAFT 2'!$D:$D,$B146,'DRAFT 2'!$A:$A,"&gt;="&amp;DATE(2026,12,8),'DRAFT 2'!$A:$A,"&lt;="&amp;DATE(2026,12,14))</f>
        <v/>
      </c>
      <c r="IU146" s="116">
        <f>COUNTIFS('DRAFT 2'!$D:$D,$B146,'DRAFT 2'!$A:$A,"&gt;="&amp;DATE(2026,12,15),'DRAFT 2'!$A:$A,"&lt;="&amp;DATE(2026,12,21))</f>
        <v/>
      </c>
      <c r="IV146" s="116">
        <f>COUNTIFS('DRAFT 2'!$D:$D,$B146,'DRAFT 2'!$A:$A,"&gt;="&amp;DATE(2026,12,22),'DRAFT 2'!$A:$A,"&lt;"&amp;DATE(2026,IF(12=12,12+1,12+1),1))</f>
        <v/>
      </c>
      <c r="IW146" s="116">
        <f>SUM(IS146:IV146)</f>
        <v/>
      </c>
    </row>
    <row r="147">
      <c r="A147" s="116">
        <f>IFERROR(INDEX('DRAFT 1'!$A:$A,MATCH($B147,'DRAFT 1'!$B:$B,0)),"")</f>
        <v/>
      </c>
      <c r="C147" s="116">
        <f>IFERROR(INDEX('DRAFT 1'!$C:$C,MATCH($B147,'DRAFT 1'!$B:$B,0)),"")</f>
        <v/>
      </c>
      <c r="D147" s="116">
        <f>IFERROR(INDEX('DRAFT 1'!$D:$D,MATCH($B147,'DRAFT 1'!$B:$B,0)),"")</f>
        <v/>
      </c>
      <c r="E147" s="116">
        <f>IFERROR(INDEX('DRAFT 1'!$E:$E,MATCH($B147,'DRAFT 1'!$B:$B,0)),"")</f>
        <v/>
      </c>
      <c r="F147" s="116">
        <f>IFERROR(INDEX('DRAFT 1'!$F:$F,MATCH($B147,'DRAFT 1'!$B:$B,0)),"")</f>
        <v/>
      </c>
      <c r="G147" s="116">
        <f>IFERROR(INDEX('DRAFT 1'!$G:$G,MATCH($B147,'DRAFT 1'!$B:$B,0)),"")</f>
        <v/>
      </c>
      <c r="H147" s="116">
        <f>IFERROR(INDEX('DRAFT 1'!$H:$H,MATCH($B147,'DRAFT 1'!$B:$B,0)),"")</f>
        <v/>
      </c>
      <c r="I147" s="116">
        <f>IFERROR(INDEX('DRAFT 1'!$I:$I,MATCH($B147,'DRAFT 1'!$B:$B,0)),"")</f>
        <v/>
      </c>
      <c r="K147" s="116">
        <f>IFERROR(INDEX('DRAFT 1'!$AL:$AL,MATCH($B147,'DRAFT 1'!$B:$B,0)),"")</f>
        <v/>
      </c>
      <c r="L147" s="116">
        <f>IFERROR(INDEX('DRAFT 1'!$J:$J,MATCH($B147,'DRAFT 1'!$B:$B,0)),"")</f>
        <v/>
      </c>
      <c r="M147" s="116">
        <f>IFERROR(INDEX('DRAFT 1'!$K:$K,MATCH($B147,'DRAFT 1'!$B:$B,0)),"")</f>
        <v/>
      </c>
      <c r="P147" s="116">
        <f>IFERROR(INDEX('DRAFT 1'!$L:$L,MATCH($B147,'DRAFT 1'!$B:$B,0)),"")</f>
        <v/>
      </c>
      <c r="Q147" s="116">
        <f>IFERROR(INDEX('DRAFT 1'!$M:$M,MATCH($B147,'DRAFT 1'!$B:$B,0)),"")</f>
        <v/>
      </c>
      <c r="R147" s="116">
        <f>IFERROR(INDEX('DRAFT 1'!$N:$N,MATCH($B147,'DRAFT 1'!$B:$B,0)),"")</f>
        <v/>
      </c>
      <c r="S147" s="116">
        <f>IFERROR(INDEX('DRAFT 1'!$O:$O,MATCH($B147,'DRAFT 1'!$B:$B,0)),"")</f>
        <v/>
      </c>
      <c r="T147" s="116">
        <f>IFERROR(INDEX('DRAFT 1'!$P:$P,MATCH($B147,'DRAFT 1'!$B:$B,0)),"")</f>
        <v/>
      </c>
      <c r="U147" s="116">
        <f>IFERROR(INDEX('DRAFT 1'!$Q:$Q,MATCH($B147,'DRAFT 1'!$B:$B,0)),"")</f>
        <v/>
      </c>
      <c r="V147" s="116">
        <f>IFERROR(INDEX('DRAFT 1'!$R:$R,MATCH($B147,'DRAFT 1'!$B:$B,0)),"")</f>
        <v/>
      </c>
      <c r="W147" s="116">
        <f>IFERROR(INDEX('DRAFT 1'!$S:$S,MATCH($B147,'DRAFT 1'!$B:$B,0)),"")</f>
        <v/>
      </c>
      <c r="X147" s="116">
        <f>IFERROR(INDEX('DRAFT 1'!$T:$T,MATCH($B147,'DRAFT 1'!$B:$B,0)),"")</f>
        <v/>
      </c>
      <c r="Z147" s="116">
        <f>IFERROR(INDEX('DRAFT 1'!$U:$U,MATCH($B147,'DRAFT 1'!$B:$B,0)),"")</f>
        <v/>
      </c>
      <c r="AA147" s="116">
        <f>IFERROR(INDEX('DRAFT 1'!$V:$V,MATCH($B147,'DRAFT 1'!$B:$B,0)),"")</f>
        <v/>
      </c>
      <c r="AB147" s="116">
        <f>IFERROR(INDEX('DRAFT 1'!$W:$W,MATCH($B147,'DRAFT 1'!$B:$B,0)),"")</f>
        <v/>
      </c>
      <c r="AC147" s="116">
        <f>IFERROR(INDEX('DRAFT 1'!$X:$X,MATCH($B147,'DRAFT 1'!$B:$B,0)),"")</f>
        <v/>
      </c>
      <c r="AD147" s="116">
        <f>IFERROR(INDEX('DRAFT 1'!$Y:$Y,MATCH($B147,'DRAFT 1'!$B:$B,0)),"")</f>
        <v/>
      </c>
      <c r="AE147" s="116">
        <f>IFERROR(INDEX('DRAFT 1'!$Z:$Z,MATCH($B147,'DRAFT 1'!$B:$B,0)),"")</f>
        <v/>
      </c>
      <c r="AF147" s="116">
        <f>IFERROR(INDEX('DRAFT 1'!$AA:$AA,MATCH($B147,'DRAFT 1'!$B:$B,0)),"")</f>
        <v/>
      </c>
      <c r="AG147" s="116">
        <f>IFERROR(INDEX('DRAFT 1'!$AB:$AB,MATCH($B147,'DRAFT 1'!$B:$B,0)),"")</f>
        <v/>
      </c>
      <c r="AH147" s="116">
        <f>IFERROR(INDEX('DRAFT 1'!$AC:$AC,MATCH($B147,'DRAFT 1'!$B:$B,0)),"")</f>
        <v/>
      </c>
      <c r="AI147" s="116">
        <f>IFERROR(INDEX('DRAFT 1'!$AD:$AD,MATCH($B147,'DRAFT 1'!$B:$B,0)),"")</f>
        <v/>
      </c>
      <c r="AJ147" s="116">
        <f>IFERROR(INDEX('DRAFT 1'!$AE:$AE,MATCH($B147,'DRAFT 1'!$B:$B,0)),"")</f>
        <v/>
      </c>
      <c r="AK147" s="116">
        <f>IFERROR(INDEX('DRAFT 1'!$AG:$AG,MATCH($B147,'DRAFT 1'!$B:$B,0)),"")</f>
        <v/>
      </c>
      <c r="AL147" s="116">
        <f>IFERROR(INDEX('DRAFT 1'!$AH:$AH,MATCH($B147,'DRAFT 1'!$B:$B,0)),"")</f>
        <v/>
      </c>
      <c r="AM147" s="116">
        <f>IFERROR(INDEX('DRAFT 1'!$AI:$AI,MATCH($B147,'DRAFT 1'!$B:$B,0)),"")</f>
        <v/>
      </c>
      <c r="AN147" s="116">
        <f>IFERROR(INDEX('DRAFT 1'!$AJ:$AJ,MATCH($B147,'DRAFT 1'!$B:$B,0)),"")</f>
        <v/>
      </c>
      <c r="AO147" s="116">
        <f>IFERROR(Y147/AN147,0)</f>
        <v/>
      </c>
      <c r="AP147" s="116">
        <f>IFERROR(INDEX('DRAFT 1'!$AK:$AK,MATCH($B147,'DRAFT 1'!$B:$B,0)),"")</f>
        <v/>
      </c>
      <c r="AR147" s="116">
        <f>IFERROR(LOOKUP(2,1/('DRAFT 2'!$D:$D=$B147),'DRAFT 2'!$I:$I),"")</f>
        <v/>
      </c>
      <c r="AS147" s="116">
        <f>IFERROR(LOOKUP(2,1/('DRAFT 2'!$D:$D=$B147),'DRAFT 2'!$T:$T),"")</f>
        <v/>
      </c>
      <c r="AT147" s="116">
        <f>IFERROR(LOOKUP(2,1/('DRAFT 2'!$D:$D=$B147),'DRAFT 2'!$A:$A),"")</f>
        <v/>
      </c>
      <c r="AU147" s="116">
        <f>IFERROR(LOOKUP(2,1/('DRAFT 2'!$D:$D=$B147),'DRAFT 2'!$R:$R),"")</f>
        <v/>
      </c>
      <c r="AV147" s="116">
        <f>IFERROR(LOOKUP(2,1/('DRAFT 2'!$D:$D=$B147),'DRAFT 2'!$S:$S),"")</f>
        <v/>
      </c>
      <c r="AX147" s="116">
        <f>IFERROR(LOOKUP(2,1/('DRAFT 2'!$D:$D=$B147),'DRAFT 2'!$M:$M),"")</f>
        <v/>
      </c>
      <c r="AY147" s="116">
        <f>IFERROR(LOOKUP(2,1/('DRAFT 2'!$D:$D=$B147),'DRAFT 2'!$K:$K),"")</f>
        <v/>
      </c>
      <c r="BG147" s="116">
        <f>IFERROR(LOOKUP(2,1/('DRAFT 2'!$D:$D=$B147),'DRAFT 2'!$U:$U),"")</f>
        <v/>
      </c>
      <c r="BH147" s="116">
        <f>IFERROR(LOOKUP(2,1/('DRAFT 2'!$D:$D=$B147),'DRAFT 2'!$V:$V),"")</f>
        <v/>
      </c>
      <c r="CE147" s="116">
        <f>IFERROR(AJ147,0)</f>
        <v/>
      </c>
      <c r="CF147" s="116">
        <f>IFERROR(LOOKUP(2,1/('DRAFT 2'!$D:$D=$B147)*('DRAFT 2'!$A:$A&gt;=DATE(2026,1,1))*('DRAFT 2'!$A:$A&lt;DATE(2026,IF(1=12,1+1,1+1),1)),'DRAFT 2'!$A:$A),"")</f>
        <v/>
      </c>
      <c r="CG147" s="116">
        <f>COUNTIFS('DRAFT 2'!$D:$D,$B147,'DRAFT 2'!$A:$A,"&gt;="&amp;DATE(2026,1,1),'DRAFT 2'!$A:$A,"&lt;="&amp;DATE(2026,1,7))</f>
        <v/>
      </c>
      <c r="CH147" s="116">
        <f>COUNTIFS('DRAFT 2'!$D:$D,$B147,'DRAFT 2'!$A:$A,"&gt;="&amp;DATE(2026,1,8),'DRAFT 2'!$A:$A,"&lt;="&amp;DATE(2026,1,14))</f>
        <v/>
      </c>
      <c r="CI147" s="116">
        <f>COUNTIFS('DRAFT 2'!$D:$D,$B147,'DRAFT 2'!$A:$A,"&gt;="&amp;DATE(2026,1,15),'DRAFT 2'!$A:$A,"&lt;="&amp;DATE(2026,1,21))</f>
        <v/>
      </c>
      <c r="CJ147" s="116">
        <f>COUNTIFS('DRAFT 2'!$D:$D,$B147,'DRAFT 2'!$A:$A,"&gt;="&amp;DATE(2026,1,22),'DRAFT 2'!$A:$A,"&lt;"&amp;DATE(2026,IF(1=12,1+1,1+1),1))</f>
        <v/>
      </c>
      <c r="CK147" s="116">
        <f>SUM(CG147:CJ147)</f>
        <v/>
      </c>
      <c r="CT147" s="116" t="n">
        <v>0</v>
      </c>
      <c r="CU147" s="116">
        <f>IFERROR(LOOKUP(2,1/('DRAFT 2'!$D:$D=$B147)*('DRAFT 2'!$A:$A&gt;=DATE(2026,2,1))*('DRAFT 2'!$A:$A&lt;DATE(2026,IF(2=12,2+1,2+1),1)),'DRAFT 2'!$A:$A),"")</f>
        <v/>
      </c>
      <c r="CV147" s="116">
        <f>COUNTIFS('DRAFT 2'!$D:$D,$B147,'DRAFT 2'!$A:$A,"&gt;="&amp;DATE(2026,2,1),'DRAFT 2'!$A:$A,"&lt;="&amp;DATE(2026,2,7))</f>
        <v/>
      </c>
      <c r="CW147" s="116">
        <f>COUNTIFS('DRAFT 2'!$D:$D,$B147,'DRAFT 2'!$A:$A,"&gt;="&amp;DATE(2026,2,8),'DRAFT 2'!$A:$A,"&lt;="&amp;DATE(2026,2,14))</f>
        <v/>
      </c>
      <c r="CX147" s="116">
        <f>COUNTIFS('DRAFT 2'!$D:$D,$B147,'DRAFT 2'!$A:$A,"&gt;="&amp;DATE(2026,2,15),'DRAFT 2'!$A:$A,"&lt;="&amp;DATE(2026,2,21))</f>
        <v/>
      </c>
      <c r="CY147" s="116">
        <f>COUNTIFS('DRAFT 2'!$D:$D,$B147,'DRAFT 2'!$A:$A,"&gt;="&amp;DATE(2026,2,22),'DRAFT 2'!$A:$A,"&lt;"&amp;DATE(2026,IF(2=12,2+1,2+1),1))</f>
        <v/>
      </c>
      <c r="CZ147" s="116">
        <f>SUM(CV147:CY147)</f>
        <v/>
      </c>
      <c r="DJ147" s="116">
        <f>IFERROR(LOOKUP(2,1/('DRAFT 2'!$D:$D=$B147)*('DRAFT 2'!$A:$A&gt;=DATE(2026,3,1))*('DRAFT 2'!$A:$A&lt;DATE(2026,IF(3=12,3+1,3+1),1)),'DRAFT 2'!$A:$A),"")</f>
        <v/>
      </c>
      <c r="DK147" s="116">
        <f>COUNTIFS('DRAFT 2'!$D:$D,$B147,'DRAFT 2'!$A:$A,"&gt;="&amp;DATE(2026,3,1),'DRAFT 2'!$A:$A,"&lt;="&amp;DATE(2026,3,7))</f>
        <v/>
      </c>
      <c r="DL147" s="116">
        <f>COUNTIFS('DRAFT 2'!$D:$D,$B147,'DRAFT 2'!$A:$A,"&gt;="&amp;DATE(2026,3,8),'DRAFT 2'!$A:$A,"&lt;="&amp;DATE(2026,3,14))</f>
        <v/>
      </c>
      <c r="DM147" s="116">
        <f>COUNTIFS('DRAFT 2'!$D:$D,$B147,'DRAFT 2'!$A:$A,"&gt;="&amp;DATE(2026,3,15),'DRAFT 2'!$A:$A,"&lt;="&amp;DATE(2026,3,21))</f>
        <v/>
      </c>
      <c r="DN147" s="116">
        <f>COUNTIFS('DRAFT 2'!$D:$D,$B147,'DRAFT 2'!$A:$A,"&gt;="&amp;DATE(2026,3,22),'DRAFT 2'!$A:$A,"&lt;"&amp;DATE(2026,IF(3=12,3+1,3+1),1))</f>
        <v/>
      </c>
      <c r="DO147" s="116">
        <f>SUM(DK147:DN147)</f>
        <v/>
      </c>
      <c r="DZ147" s="116">
        <f>IFERROR(LOOKUP(2,1/('DRAFT 2'!$D:$D=$B147)*('DRAFT 2'!$A:$A&gt;=DATE(2026,4,1))*('DRAFT 2'!$A:$A&lt;DATE(2026,IF(4=12,4+1,4+1),1)),'DRAFT 2'!$A:$A),"")</f>
        <v/>
      </c>
      <c r="EA147" s="116">
        <f>COUNTIFS('DRAFT 2'!$D:$D,$B147,'DRAFT 2'!$A:$A,"&gt;="&amp;DATE(2026,4,1),'DRAFT 2'!$A:$A,"&lt;="&amp;DATE(2026,4,7))</f>
        <v/>
      </c>
      <c r="EB147" s="116">
        <f>COUNTIFS('DRAFT 2'!$D:$D,$B147,'DRAFT 2'!$A:$A,"&gt;="&amp;DATE(2026,4,8),'DRAFT 2'!$A:$A,"&lt;="&amp;DATE(2026,4,14))</f>
        <v/>
      </c>
      <c r="EC147" s="116">
        <f>COUNTIFS('DRAFT 2'!$D:$D,$B147,'DRAFT 2'!$A:$A,"&gt;="&amp;DATE(2026,4,15),'DRAFT 2'!$A:$A,"&lt;="&amp;DATE(2026,4,21))</f>
        <v/>
      </c>
      <c r="ED147" s="116">
        <f>COUNTIFS('DRAFT 2'!$D:$D,$B147,'DRAFT 2'!$A:$A,"&gt;="&amp;DATE(2026,4,22),'DRAFT 2'!$A:$A,"&lt;"&amp;DATE(2026,IF(4=12,4+1,4+1),1))</f>
        <v/>
      </c>
      <c r="EE147" s="116">
        <f>SUM(EA147:ED147)</f>
        <v/>
      </c>
      <c r="EO147" s="116">
        <f>IFERROR(LOOKUP(2,1/('DRAFT 2'!$D:$D=$B147)*('DRAFT 2'!$A:$A&gt;=DATE(2026,5,1))*('DRAFT 2'!$A:$A&lt;DATE(2026,IF(5=12,5+1,5+1),1)),'DRAFT 2'!$A:$A),"")</f>
        <v/>
      </c>
      <c r="EP147" s="116">
        <f>COUNTIFS('DRAFT 2'!$D:$D,$B147,'DRAFT 2'!$A:$A,"&gt;="&amp;DATE(2026,5,1),'DRAFT 2'!$A:$A,"&lt;="&amp;DATE(2026,5,7))</f>
        <v/>
      </c>
      <c r="EQ147" s="116">
        <f>COUNTIFS('DRAFT 2'!$D:$D,$B147,'DRAFT 2'!$A:$A,"&gt;="&amp;DATE(2026,5,8),'DRAFT 2'!$A:$A,"&lt;="&amp;DATE(2026,5,14))</f>
        <v/>
      </c>
      <c r="ER147" s="116">
        <f>COUNTIFS('DRAFT 2'!$D:$D,$B147,'DRAFT 2'!$A:$A,"&gt;="&amp;DATE(2026,5,15),'DRAFT 2'!$A:$A,"&lt;="&amp;DATE(2026,5,21))</f>
        <v/>
      </c>
      <c r="ES147" s="116">
        <f>COUNTIFS('DRAFT 2'!$D:$D,$B147,'DRAFT 2'!$A:$A,"&gt;="&amp;DATE(2026,5,22),'DRAFT 2'!$A:$A,"&lt;"&amp;DATE(2026,IF(5=12,5+1,5+1),1))</f>
        <v/>
      </c>
      <c r="ET147" s="116">
        <f>SUM(EP147:ES147)</f>
        <v/>
      </c>
      <c r="FD147" s="116">
        <f>IFERROR(LOOKUP(2,1/('DRAFT 2'!$D:$D=$B147)*('DRAFT 2'!$A:$A&gt;=DATE(2026,6,1))*('DRAFT 2'!$A:$A&lt;DATE(2026,IF(6=12,6+1,6+1),1)),'DRAFT 2'!$A:$A),"")</f>
        <v/>
      </c>
      <c r="FE147" s="116">
        <f>COUNTIFS('DRAFT 2'!$D:$D,$B147,'DRAFT 2'!$A:$A,"&gt;="&amp;DATE(2026,6,1),'DRAFT 2'!$A:$A,"&lt;="&amp;DATE(2026,6,7))</f>
        <v/>
      </c>
      <c r="FF147" s="116">
        <f>COUNTIFS('DRAFT 2'!$D:$D,$B147,'DRAFT 2'!$A:$A,"&gt;="&amp;DATE(2026,6,8),'DRAFT 2'!$A:$A,"&lt;="&amp;DATE(2026,6,14))</f>
        <v/>
      </c>
      <c r="FG147" s="116">
        <f>COUNTIFS('DRAFT 2'!$D:$D,$B147,'DRAFT 2'!$A:$A,"&gt;="&amp;DATE(2026,6,15),'DRAFT 2'!$A:$A,"&lt;="&amp;DATE(2026,6,21))</f>
        <v/>
      </c>
      <c r="FH147" s="116">
        <f>COUNTIFS('DRAFT 2'!$D:$D,$B147,'DRAFT 2'!$A:$A,"&gt;="&amp;DATE(2026,6,22),'DRAFT 2'!$A:$A,"&lt;"&amp;DATE(2026,IF(6=12,6+1,6+1),1))</f>
        <v/>
      </c>
      <c r="FI147" s="116">
        <f>SUM(FE147:FH147)</f>
        <v/>
      </c>
      <c r="FT147" s="116">
        <f>IFERROR(LOOKUP(2,1/('DRAFT 2'!$D:$D=$B147)*('DRAFT 2'!$A:$A&gt;=DATE(2026,7,1))*('DRAFT 2'!$A:$A&lt;DATE(2026,IF(7=12,7+1,7+1),1)),'DRAFT 2'!$A:$A),"")</f>
        <v/>
      </c>
      <c r="FU147" s="116">
        <f>COUNTIFS('DRAFT 2'!$D:$D,$B147,'DRAFT 2'!$A:$A,"&gt;="&amp;DATE(2026,7,1),'DRAFT 2'!$A:$A,"&lt;="&amp;DATE(2026,7,7))</f>
        <v/>
      </c>
      <c r="FV147" s="116">
        <f>COUNTIFS('DRAFT 2'!$D:$D,$B147,'DRAFT 2'!$A:$A,"&gt;="&amp;DATE(2026,7,8),'DRAFT 2'!$A:$A,"&lt;="&amp;DATE(2026,7,14))</f>
        <v/>
      </c>
      <c r="FW147" s="116">
        <f>COUNTIFS('DRAFT 2'!$D:$D,$B147,'DRAFT 2'!$A:$A,"&gt;="&amp;DATE(2026,7,15),'DRAFT 2'!$A:$A,"&lt;="&amp;DATE(2026,7,21))</f>
        <v/>
      </c>
      <c r="FX147" s="116">
        <f>COUNTIFS('DRAFT 2'!$D:$D,$B147,'DRAFT 2'!$A:$A,"&gt;="&amp;DATE(2026,7,22),'DRAFT 2'!$A:$A,"&lt;"&amp;DATE(2026,IF(7=12,7+1,7+1),1))</f>
        <v/>
      </c>
      <c r="FY147" s="116">
        <f>SUM(FU147:FX147)</f>
        <v/>
      </c>
      <c r="GI147" s="116">
        <f>IFERROR(LOOKUP(2,1/('DRAFT 2'!$D:$D=$B147)*('DRAFT 2'!$A:$A&gt;=DATE(2026,8,1))*('DRAFT 2'!$A:$A&lt;DATE(2026,IF(8=12,8+1,8+1),1)),'DRAFT 2'!$A:$A),"")</f>
        <v/>
      </c>
      <c r="GJ147" s="116">
        <f>COUNTIFS('DRAFT 2'!$D:$D,$B147,'DRAFT 2'!$A:$A,"&gt;="&amp;DATE(2026,8,1),'DRAFT 2'!$A:$A,"&lt;="&amp;DATE(2026,8,7))</f>
        <v/>
      </c>
      <c r="GK147" s="116">
        <f>COUNTIFS('DRAFT 2'!$D:$D,$B147,'DRAFT 2'!$A:$A,"&gt;="&amp;DATE(2026,8,8),'DRAFT 2'!$A:$A,"&lt;="&amp;DATE(2026,8,14))</f>
        <v/>
      </c>
      <c r="GL147" s="116">
        <f>COUNTIFS('DRAFT 2'!$D:$D,$B147,'DRAFT 2'!$A:$A,"&gt;="&amp;DATE(2026,8,15),'DRAFT 2'!$A:$A,"&lt;="&amp;DATE(2026,8,21))</f>
        <v/>
      </c>
      <c r="GM147" s="116">
        <f>COUNTIFS('DRAFT 2'!$D:$D,$B147,'DRAFT 2'!$A:$A,"&gt;="&amp;DATE(2026,8,22),'DRAFT 2'!$A:$A,"&lt;"&amp;DATE(2026,IF(8=12,8+1,8+1),1))</f>
        <v/>
      </c>
      <c r="GN147" s="116">
        <f>SUM(GJ147:GM147)</f>
        <v/>
      </c>
      <c r="GX147" s="116">
        <f>IFERROR(LOOKUP(2,1/('DRAFT 2'!$D:$D=$B147)*('DRAFT 2'!$A:$A&gt;=DATE(2026,9,1))*('DRAFT 2'!$A:$A&lt;DATE(2026,IF(9=12,9+1,9+1),1)),'DRAFT 2'!$A:$A),"")</f>
        <v/>
      </c>
      <c r="GY147" s="116">
        <f>COUNTIFS('DRAFT 2'!$D:$D,$B147,'DRAFT 2'!$A:$A,"&gt;="&amp;DATE(2026,9,1),'DRAFT 2'!$A:$A,"&lt;="&amp;DATE(2026,9,7))</f>
        <v/>
      </c>
      <c r="GZ147" s="116">
        <f>COUNTIFS('DRAFT 2'!$D:$D,$B147,'DRAFT 2'!$A:$A,"&gt;="&amp;DATE(2026,9,8),'DRAFT 2'!$A:$A,"&lt;="&amp;DATE(2026,9,14))</f>
        <v/>
      </c>
      <c r="HA147" s="116">
        <f>COUNTIFS('DRAFT 2'!$D:$D,$B147,'DRAFT 2'!$A:$A,"&gt;="&amp;DATE(2026,9,15),'DRAFT 2'!$A:$A,"&lt;="&amp;DATE(2026,9,21))</f>
        <v/>
      </c>
      <c r="HB147" s="116">
        <f>COUNTIFS('DRAFT 2'!$D:$D,$B147,'DRAFT 2'!$A:$A,"&gt;="&amp;DATE(2026,9,22),'DRAFT 2'!$A:$A,"&lt;"&amp;DATE(2026,IF(9=12,9+1,9+1),1))</f>
        <v/>
      </c>
      <c r="HC147" s="116">
        <f>SUM(GY147:HB147)</f>
        <v/>
      </c>
      <c r="HN147" s="116">
        <f>IFERROR(LOOKUP(2,1/('DRAFT 2'!$D:$D=$B147)*('DRAFT 2'!$A:$A&gt;=DATE(2026,10,1))*('DRAFT 2'!$A:$A&lt;DATE(2026,IF(10=12,10+1,10+1),1)),'DRAFT 2'!$A:$A),"")</f>
        <v/>
      </c>
      <c r="HO147" s="116">
        <f>COUNTIFS('DRAFT 2'!$D:$D,$B147,'DRAFT 2'!$A:$A,"&gt;="&amp;DATE(2026,10,1),'DRAFT 2'!$A:$A,"&lt;="&amp;DATE(2026,10,7))</f>
        <v/>
      </c>
      <c r="HP147" s="116">
        <f>COUNTIFS('DRAFT 2'!$D:$D,$B147,'DRAFT 2'!$A:$A,"&gt;="&amp;DATE(2026,10,8),'DRAFT 2'!$A:$A,"&lt;="&amp;DATE(2026,10,14))</f>
        <v/>
      </c>
      <c r="HQ147" s="116">
        <f>COUNTIFS('DRAFT 2'!$D:$D,$B147,'DRAFT 2'!$A:$A,"&gt;="&amp;DATE(2026,10,15),'DRAFT 2'!$A:$A,"&lt;="&amp;DATE(2026,10,21))</f>
        <v/>
      </c>
      <c r="HR147" s="116">
        <f>COUNTIFS('DRAFT 2'!$D:$D,$B147,'DRAFT 2'!$A:$A,"&gt;="&amp;DATE(2026,10,22),'DRAFT 2'!$A:$A,"&lt;"&amp;DATE(2026,IF(10=12,10+1,10+1),1))</f>
        <v/>
      </c>
      <c r="HS147" s="116">
        <f>SUM(HO147:HR147)</f>
        <v/>
      </c>
      <c r="IC147" s="116">
        <f>IFERROR(LOOKUP(2,1/('DRAFT 2'!$D:$D=$B147)*('DRAFT 2'!$A:$A&gt;=DATE(2026,11,1))*('DRAFT 2'!$A:$A&lt;DATE(2026,IF(11=12,11+1,11+1),1)),'DRAFT 2'!$A:$A),"")</f>
        <v/>
      </c>
      <c r="ID147" s="116">
        <f>COUNTIFS('DRAFT 2'!$D:$D,$B147,'DRAFT 2'!$A:$A,"&gt;="&amp;DATE(2026,11,1),'DRAFT 2'!$A:$A,"&lt;="&amp;DATE(2026,11,7))</f>
        <v/>
      </c>
      <c r="IE147" s="116">
        <f>COUNTIFS('DRAFT 2'!$D:$D,$B147,'DRAFT 2'!$A:$A,"&gt;="&amp;DATE(2026,11,8),'DRAFT 2'!$A:$A,"&lt;="&amp;DATE(2026,11,14))</f>
        <v/>
      </c>
      <c r="IF147" s="116">
        <f>COUNTIFS('DRAFT 2'!$D:$D,$B147,'DRAFT 2'!$A:$A,"&gt;="&amp;DATE(2026,11,15),'DRAFT 2'!$A:$A,"&lt;="&amp;DATE(2026,11,21))</f>
        <v/>
      </c>
      <c r="IG147" s="116">
        <f>COUNTIFS('DRAFT 2'!$D:$D,$B147,'DRAFT 2'!$A:$A,"&gt;="&amp;DATE(2026,11,22),'DRAFT 2'!$A:$A,"&lt;"&amp;DATE(2026,IF(11=12,11+1,11+1),1))</f>
        <v/>
      </c>
      <c r="IH147" s="116">
        <f>SUM(ID147:IG147)</f>
        <v/>
      </c>
      <c r="IR147" s="116">
        <f>IFERROR(LOOKUP(2,1/('DRAFT 2'!$D:$D=$B147)*('DRAFT 2'!$A:$A&gt;=DATE(2026,12,1))*('DRAFT 2'!$A:$A&lt;DATE(2026,IF(12=12,12+1,12+1),1)),'DRAFT 2'!$A:$A),"")</f>
        <v/>
      </c>
      <c r="IS147" s="116">
        <f>COUNTIFS('DRAFT 2'!$D:$D,$B147,'DRAFT 2'!$A:$A,"&gt;="&amp;DATE(2026,12,1),'DRAFT 2'!$A:$A,"&lt;="&amp;DATE(2026,12,7))</f>
        <v/>
      </c>
      <c r="IT147" s="116">
        <f>COUNTIFS('DRAFT 2'!$D:$D,$B147,'DRAFT 2'!$A:$A,"&gt;="&amp;DATE(2026,12,8),'DRAFT 2'!$A:$A,"&lt;="&amp;DATE(2026,12,14))</f>
        <v/>
      </c>
      <c r="IU147" s="116">
        <f>COUNTIFS('DRAFT 2'!$D:$D,$B147,'DRAFT 2'!$A:$A,"&gt;="&amp;DATE(2026,12,15),'DRAFT 2'!$A:$A,"&lt;="&amp;DATE(2026,12,21))</f>
        <v/>
      </c>
      <c r="IV147" s="116">
        <f>COUNTIFS('DRAFT 2'!$D:$D,$B147,'DRAFT 2'!$A:$A,"&gt;="&amp;DATE(2026,12,22),'DRAFT 2'!$A:$A,"&lt;"&amp;DATE(2026,IF(12=12,12+1,12+1),1))</f>
        <v/>
      </c>
      <c r="IW147" s="116">
        <f>SUM(IS147:IV147)</f>
        <v/>
      </c>
    </row>
    <row r="148">
      <c r="A148" s="116">
        <f>IFERROR(INDEX('DRAFT 1'!$A:$A,MATCH($B148,'DRAFT 1'!$B:$B,0)),"")</f>
        <v/>
      </c>
      <c r="C148" s="116">
        <f>IFERROR(INDEX('DRAFT 1'!$C:$C,MATCH($B148,'DRAFT 1'!$B:$B,0)),"")</f>
        <v/>
      </c>
      <c r="D148" s="116">
        <f>IFERROR(INDEX('DRAFT 1'!$D:$D,MATCH($B148,'DRAFT 1'!$B:$B,0)),"")</f>
        <v/>
      </c>
      <c r="E148" s="116">
        <f>IFERROR(INDEX('DRAFT 1'!$E:$E,MATCH($B148,'DRAFT 1'!$B:$B,0)),"")</f>
        <v/>
      </c>
      <c r="F148" s="116">
        <f>IFERROR(INDEX('DRAFT 1'!$F:$F,MATCH($B148,'DRAFT 1'!$B:$B,0)),"")</f>
        <v/>
      </c>
      <c r="G148" s="116">
        <f>IFERROR(INDEX('DRAFT 1'!$G:$G,MATCH($B148,'DRAFT 1'!$B:$B,0)),"")</f>
        <v/>
      </c>
      <c r="H148" s="116">
        <f>IFERROR(INDEX('DRAFT 1'!$H:$H,MATCH($B148,'DRAFT 1'!$B:$B,0)),"")</f>
        <v/>
      </c>
      <c r="I148" s="116">
        <f>IFERROR(INDEX('DRAFT 1'!$I:$I,MATCH($B148,'DRAFT 1'!$B:$B,0)),"")</f>
        <v/>
      </c>
      <c r="K148" s="116">
        <f>IFERROR(INDEX('DRAFT 1'!$AL:$AL,MATCH($B148,'DRAFT 1'!$B:$B,0)),"")</f>
        <v/>
      </c>
      <c r="L148" s="116">
        <f>IFERROR(INDEX('DRAFT 1'!$J:$J,MATCH($B148,'DRAFT 1'!$B:$B,0)),"")</f>
        <v/>
      </c>
      <c r="M148" s="116">
        <f>IFERROR(INDEX('DRAFT 1'!$K:$K,MATCH($B148,'DRAFT 1'!$B:$B,0)),"")</f>
        <v/>
      </c>
      <c r="P148" s="116">
        <f>IFERROR(INDEX('DRAFT 1'!$L:$L,MATCH($B148,'DRAFT 1'!$B:$B,0)),"")</f>
        <v/>
      </c>
      <c r="Q148" s="116">
        <f>IFERROR(INDEX('DRAFT 1'!$M:$M,MATCH($B148,'DRAFT 1'!$B:$B,0)),"")</f>
        <v/>
      </c>
      <c r="R148" s="116">
        <f>IFERROR(INDEX('DRAFT 1'!$N:$N,MATCH($B148,'DRAFT 1'!$B:$B,0)),"")</f>
        <v/>
      </c>
      <c r="S148" s="116">
        <f>IFERROR(INDEX('DRAFT 1'!$O:$O,MATCH($B148,'DRAFT 1'!$B:$B,0)),"")</f>
        <v/>
      </c>
      <c r="T148" s="116">
        <f>IFERROR(INDEX('DRAFT 1'!$P:$P,MATCH($B148,'DRAFT 1'!$B:$B,0)),"")</f>
        <v/>
      </c>
      <c r="U148" s="116">
        <f>IFERROR(INDEX('DRAFT 1'!$Q:$Q,MATCH($B148,'DRAFT 1'!$B:$B,0)),"")</f>
        <v/>
      </c>
      <c r="V148" s="116">
        <f>IFERROR(INDEX('DRAFT 1'!$R:$R,MATCH($B148,'DRAFT 1'!$B:$B,0)),"")</f>
        <v/>
      </c>
      <c r="W148" s="116">
        <f>IFERROR(INDEX('DRAFT 1'!$S:$S,MATCH($B148,'DRAFT 1'!$B:$B,0)),"")</f>
        <v/>
      </c>
      <c r="X148" s="116">
        <f>IFERROR(INDEX('DRAFT 1'!$T:$T,MATCH($B148,'DRAFT 1'!$B:$B,0)),"")</f>
        <v/>
      </c>
      <c r="Z148" s="116">
        <f>IFERROR(INDEX('DRAFT 1'!$U:$U,MATCH($B148,'DRAFT 1'!$B:$B,0)),"")</f>
        <v/>
      </c>
      <c r="AA148" s="116">
        <f>IFERROR(INDEX('DRAFT 1'!$V:$V,MATCH($B148,'DRAFT 1'!$B:$B,0)),"")</f>
        <v/>
      </c>
      <c r="AB148" s="116">
        <f>IFERROR(INDEX('DRAFT 1'!$W:$W,MATCH($B148,'DRAFT 1'!$B:$B,0)),"")</f>
        <v/>
      </c>
      <c r="AC148" s="116">
        <f>IFERROR(INDEX('DRAFT 1'!$X:$X,MATCH($B148,'DRAFT 1'!$B:$B,0)),"")</f>
        <v/>
      </c>
      <c r="AD148" s="116">
        <f>IFERROR(INDEX('DRAFT 1'!$Y:$Y,MATCH($B148,'DRAFT 1'!$B:$B,0)),"")</f>
        <v/>
      </c>
      <c r="AE148" s="116">
        <f>IFERROR(INDEX('DRAFT 1'!$Z:$Z,MATCH($B148,'DRAFT 1'!$B:$B,0)),"")</f>
        <v/>
      </c>
      <c r="AF148" s="116">
        <f>IFERROR(INDEX('DRAFT 1'!$AA:$AA,MATCH($B148,'DRAFT 1'!$B:$B,0)),"")</f>
        <v/>
      </c>
      <c r="AG148" s="116">
        <f>IFERROR(INDEX('DRAFT 1'!$AB:$AB,MATCH($B148,'DRAFT 1'!$B:$B,0)),"")</f>
        <v/>
      </c>
      <c r="AH148" s="116">
        <f>IFERROR(INDEX('DRAFT 1'!$AC:$AC,MATCH($B148,'DRAFT 1'!$B:$B,0)),"")</f>
        <v/>
      </c>
      <c r="AI148" s="116">
        <f>IFERROR(INDEX('DRAFT 1'!$AD:$AD,MATCH($B148,'DRAFT 1'!$B:$B,0)),"")</f>
        <v/>
      </c>
      <c r="AJ148" s="116">
        <f>IFERROR(INDEX('DRAFT 1'!$AE:$AE,MATCH($B148,'DRAFT 1'!$B:$B,0)),"")</f>
        <v/>
      </c>
      <c r="AK148" s="116">
        <f>IFERROR(INDEX('DRAFT 1'!$AG:$AG,MATCH($B148,'DRAFT 1'!$B:$B,0)),"")</f>
        <v/>
      </c>
      <c r="AL148" s="116">
        <f>IFERROR(INDEX('DRAFT 1'!$AH:$AH,MATCH($B148,'DRAFT 1'!$B:$B,0)),"")</f>
        <v/>
      </c>
      <c r="AM148" s="116">
        <f>IFERROR(INDEX('DRAFT 1'!$AI:$AI,MATCH($B148,'DRAFT 1'!$B:$B,0)),"")</f>
        <v/>
      </c>
      <c r="AN148" s="116">
        <f>IFERROR(INDEX('DRAFT 1'!$AJ:$AJ,MATCH($B148,'DRAFT 1'!$B:$B,0)),"")</f>
        <v/>
      </c>
      <c r="AO148" s="116">
        <f>IFERROR(Y148/AN148,0)</f>
        <v/>
      </c>
      <c r="AP148" s="116">
        <f>IFERROR(INDEX('DRAFT 1'!$AK:$AK,MATCH($B148,'DRAFT 1'!$B:$B,0)),"")</f>
        <v/>
      </c>
      <c r="AR148" s="116">
        <f>IFERROR(LOOKUP(2,1/('DRAFT 2'!$D:$D=$B148),'DRAFT 2'!$I:$I),"")</f>
        <v/>
      </c>
      <c r="AS148" s="116">
        <f>IFERROR(LOOKUP(2,1/('DRAFT 2'!$D:$D=$B148),'DRAFT 2'!$T:$T),"")</f>
        <v/>
      </c>
      <c r="AT148" s="116">
        <f>IFERROR(LOOKUP(2,1/('DRAFT 2'!$D:$D=$B148),'DRAFT 2'!$A:$A),"")</f>
        <v/>
      </c>
      <c r="AU148" s="116">
        <f>IFERROR(LOOKUP(2,1/('DRAFT 2'!$D:$D=$B148),'DRAFT 2'!$R:$R),"")</f>
        <v/>
      </c>
      <c r="AV148" s="116">
        <f>IFERROR(LOOKUP(2,1/('DRAFT 2'!$D:$D=$B148),'DRAFT 2'!$S:$S),"")</f>
        <v/>
      </c>
      <c r="AX148" s="116">
        <f>IFERROR(LOOKUP(2,1/('DRAFT 2'!$D:$D=$B148),'DRAFT 2'!$M:$M),"")</f>
        <v/>
      </c>
      <c r="AY148" s="116">
        <f>IFERROR(LOOKUP(2,1/('DRAFT 2'!$D:$D=$B148),'DRAFT 2'!$K:$K),"")</f>
        <v/>
      </c>
      <c r="BG148" s="116">
        <f>IFERROR(LOOKUP(2,1/('DRAFT 2'!$D:$D=$B148),'DRAFT 2'!$U:$U),"")</f>
        <v/>
      </c>
      <c r="BH148" s="116">
        <f>IFERROR(LOOKUP(2,1/('DRAFT 2'!$D:$D=$B148),'DRAFT 2'!$V:$V),"")</f>
        <v/>
      </c>
      <c r="CE148" s="116">
        <f>IFERROR(AJ148,0)</f>
        <v/>
      </c>
      <c r="CF148" s="116">
        <f>IFERROR(LOOKUP(2,1/('DRAFT 2'!$D:$D=$B148)*('DRAFT 2'!$A:$A&gt;=DATE(2026,1,1))*('DRAFT 2'!$A:$A&lt;DATE(2026,IF(1=12,1+1,1+1),1)),'DRAFT 2'!$A:$A),"")</f>
        <v/>
      </c>
      <c r="CG148" s="116">
        <f>COUNTIFS('DRAFT 2'!$D:$D,$B148,'DRAFT 2'!$A:$A,"&gt;="&amp;DATE(2026,1,1),'DRAFT 2'!$A:$A,"&lt;="&amp;DATE(2026,1,7))</f>
        <v/>
      </c>
      <c r="CH148" s="116">
        <f>COUNTIFS('DRAFT 2'!$D:$D,$B148,'DRAFT 2'!$A:$A,"&gt;="&amp;DATE(2026,1,8),'DRAFT 2'!$A:$A,"&lt;="&amp;DATE(2026,1,14))</f>
        <v/>
      </c>
      <c r="CI148" s="116">
        <f>COUNTIFS('DRAFT 2'!$D:$D,$B148,'DRAFT 2'!$A:$A,"&gt;="&amp;DATE(2026,1,15),'DRAFT 2'!$A:$A,"&lt;="&amp;DATE(2026,1,21))</f>
        <v/>
      </c>
      <c r="CJ148" s="116">
        <f>COUNTIFS('DRAFT 2'!$D:$D,$B148,'DRAFT 2'!$A:$A,"&gt;="&amp;DATE(2026,1,22),'DRAFT 2'!$A:$A,"&lt;"&amp;DATE(2026,IF(1=12,1+1,1+1),1))</f>
        <v/>
      </c>
      <c r="CK148" s="116">
        <f>SUM(CG148:CJ148)</f>
        <v/>
      </c>
      <c r="CT148" s="116" t="n">
        <v>0</v>
      </c>
      <c r="CU148" s="116">
        <f>IFERROR(LOOKUP(2,1/('DRAFT 2'!$D:$D=$B148)*('DRAFT 2'!$A:$A&gt;=DATE(2026,2,1))*('DRAFT 2'!$A:$A&lt;DATE(2026,IF(2=12,2+1,2+1),1)),'DRAFT 2'!$A:$A),"")</f>
        <v/>
      </c>
      <c r="CV148" s="116">
        <f>COUNTIFS('DRAFT 2'!$D:$D,$B148,'DRAFT 2'!$A:$A,"&gt;="&amp;DATE(2026,2,1),'DRAFT 2'!$A:$A,"&lt;="&amp;DATE(2026,2,7))</f>
        <v/>
      </c>
      <c r="CW148" s="116">
        <f>COUNTIFS('DRAFT 2'!$D:$D,$B148,'DRAFT 2'!$A:$A,"&gt;="&amp;DATE(2026,2,8),'DRAFT 2'!$A:$A,"&lt;="&amp;DATE(2026,2,14))</f>
        <v/>
      </c>
      <c r="CX148" s="116">
        <f>COUNTIFS('DRAFT 2'!$D:$D,$B148,'DRAFT 2'!$A:$A,"&gt;="&amp;DATE(2026,2,15),'DRAFT 2'!$A:$A,"&lt;="&amp;DATE(2026,2,21))</f>
        <v/>
      </c>
      <c r="CY148" s="116">
        <f>COUNTIFS('DRAFT 2'!$D:$D,$B148,'DRAFT 2'!$A:$A,"&gt;="&amp;DATE(2026,2,22),'DRAFT 2'!$A:$A,"&lt;"&amp;DATE(2026,IF(2=12,2+1,2+1),1))</f>
        <v/>
      </c>
      <c r="CZ148" s="116">
        <f>SUM(CV148:CY148)</f>
        <v/>
      </c>
      <c r="DJ148" s="116">
        <f>IFERROR(LOOKUP(2,1/('DRAFT 2'!$D:$D=$B148)*('DRAFT 2'!$A:$A&gt;=DATE(2026,3,1))*('DRAFT 2'!$A:$A&lt;DATE(2026,IF(3=12,3+1,3+1),1)),'DRAFT 2'!$A:$A),"")</f>
        <v/>
      </c>
      <c r="DK148" s="116">
        <f>COUNTIFS('DRAFT 2'!$D:$D,$B148,'DRAFT 2'!$A:$A,"&gt;="&amp;DATE(2026,3,1),'DRAFT 2'!$A:$A,"&lt;="&amp;DATE(2026,3,7))</f>
        <v/>
      </c>
      <c r="DL148" s="116">
        <f>COUNTIFS('DRAFT 2'!$D:$D,$B148,'DRAFT 2'!$A:$A,"&gt;="&amp;DATE(2026,3,8),'DRAFT 2'!$A:$A,"&lt;="&amp;DATE(2026,3,14))</f>
        <v/>
      </c>
      <c r="DM148" s="116">
        <f>COUNTIFS('DRAFT 2'!$D:$D,$B148,'DRAFT 2'!$A:$A,"&gt;="&amp;DATE(2026,3,15),'DRAFT 2'!$A:$A,"&lt;="&amp;DATE(2026,3,21))</f>
        <v/>
      </c>
      <c r="DN148" s="116">
        <f>COUNTIFS('DRAFT 2'!$D:$D,$B148,'DRAFT 2'!$A:$A,"&gt;="&amp;DATE(2026,3,22),'DRAFT 2'!$A:$A,"&lt;"&amp;DATE(2026,IF(3=12,3+1,3+1),1))</f>
        <v/>
      </c>
      <c r="DO148" s="116">
        <f>SUM(DK148:DN148)</f>
        <v/>
      </c>
      <c r="DZ148" s="116">
        <f>IFERROR(LOOKUP(2,1/('DRAFT 2'!$D:$D=$B148)*('DRAFT 2'!$A:$A&gt;=DATE(2026,4,1))*('DRAFT 2'!$A:$A&lt;DATE(2026,IF(4=12,4+1,4+1),1)),'DRAFT 2'!$A:$A),"")</f>
        <v/>
      </c>
      <c r="EA148" s="116">
        <f>COUNTIFS('DRAFT 2'!$D:$D,$B148,'DRAFT 2'!$A:$A,"&gt;="&amp;DATE(2026,4,1),'DRAFT 2'!$A:$A,"&lt;="&amp;DATE(2026,4,7))</f>
        <v/>
      </c>
      <c r="EB148" s="116">
        <f>COUNTIFS('DRAFT 2'!$D:$D,$B148,'DRAFT 2'!$A:$A,"&gt;="&amp;DATE(2026,4,8),'DRAFT 2'!$A:$A,"&lt;="&amp;DATE(2026,4,14))</f>
        <v/>
      </c>
      <c r="EC148" s="116">
        <f>COUNTIFS('DRAFT 2'!$D:$D,$B148,'DRAFT 2'!$A:$A,"&gt;="&amp;DATE(2026,4,15),'DRAFT 2'!$A:$A,"&lt;="&amp;DATE(2026,4,21))</f>
        <v/>
      </c>
      <c r="ED148" s="116">
        <f>COUNTIFS('DRAFT 2'!$D:$D,$B148,'DRAFT 2'!$A:$A,"&gt;="&amp;DATE(2026,4,22),'DRAFT 2'!$A:$A,"&lt;"&amp;DATE(2026,IF(4=12,4+1,4+1),1))</f>
        <v/>
      </c>
      <c r="EE148" s="116">
        <f>SUM(EA148:ED148)</f>
        <v/>
      </c>
      <c r="EO148" s="116">
        <f>IFERROR(LOOKUP(2,1/('DRAFT 2'!$D:$D=$B148)*('DRAFT 2'!$A:$A&gt;=DATE(2026,5,1))*('DRAFT 2'!$A:$A&lt;DATE(2026,IF(5=12,5+1,5+1),1)),'DRAFT 2'!$A:$A),"")</f>
        <v/>
      </c>
      <c r="EP148" s="116">
        <f>COUNTIFS('DRAFT 2'!$D:$D,$B148,'DRAFT 2'!$A:$A,"&gt;="&amp;DATE(2026,5,1),'DRAFT 2'!$A:$A,"&lt;="&amp;DATE(2026,5,7))</f>
        <v/>
      </c>
      <c r="EQ148" s="116">
        <f>COUNTIFS('DRAFT 2'!$D:$D,$B148,'DRAFT 2'!$A:$A,"&gt;="&amp;DATE(2026,5,8),'DRAFT 2'!$A:$A,"&lt;="&amp;DATE(2026,5,14))</f>
        <v/>
      </c>
      <c r="ER148" s="116">
        <f>COUNTIFS('DRAFT 2'!$D:$D,$B148,'DRAFT 2'!$A:$A,"&gt;="&amp;DATE(2026,5,15),'DRAFT 2'!$A:$A,"&lt;="&amp;DATE(2026,5,21))</f>
        <v/>
      </c>
      <c r="ES148" s="116">
        <f>COUNTIFS('DRAFT 2'!$D:$D,$B148,'DRAFT 2'!$A:$A,"&gt;="&amp;DATE(2026,5,22),'DRAFT 2'!$A:$A,"&lt;"&amp;DATE(2026,IF(5=12,5+1,5+1),1))</f>
        <v/>
      </c>
      <c r="ET148" s="116">
        <f>SUM(EP148:ES148)</f>
        <v/>
      </c>
      <c r="FD148" s="116">
        <f>IFERROR(LOOKUP(2,1/('DRAFT 2'!$D:$D=$B148)*('DRAFT 2'!$A:$A&gt;=DATE(2026,6,1))*('DRAFT 2'!$A:$A&lt;DATE(2026,IF(6=12,6+1,6+1),1)),'DRAFT 2'!$A:$A),"")</f>
        <v/>
      </c>
      <c r="FE148" s="116">
        <f>COUNTIFS('DRAFT 2'!$D:$D,$B148,'DRAFT 2'!$A:$A,"&gt;="&amp;DATE(2026,6,1),'DRAFT 2'!$A:$A,"&lt;="&amp;DATE(2026,6,7))</f>
        <v/>
      </c>
      <c r="FF148" s="116">
        <f>COUNTIFS('DRAFT 2'!$D:$D,$B148,'DRAFT 2'!$A:$A,"&gt;="&amp;DATE(2026,6,8),'DRAFT 2'!$A:$A,"&lt;="&amp;DATE(2026,6,14))</f>
        <v/>
      </c>
      <c r="FG148" s="116">
        <f>COUNTIFS('DRAFT 2'!$D:$D,$B148,'DRAFT 2'!$A:$A,"&gt;="&amp;DATE(2026,6,15),'DRAFT 2'!$A:$A,"&lt;="&amp;DATE(2026,6,21))</f>
        <v/>
      </c>
      <c r="FH148" s="116">
        <f>COUNTIFS('DRAFT 2'!$D:$D,$B148,'DRAFT 2'!$A:$A,"&gt;="&amp;DATE(2026,6,22),'DRAFT 2'!$A:$A,"&lt;"&amp;DATE(2026,IF(6=12,6+1,6+1),1))</f>
        <v/>
      </c>
      <c r="FI148" s="116">
        <f>SUM(FE148:FH148)</f>
        <v/>
      </c>
      <c r="FT148" s="116">
        <f>IFERROR(LOOKUP(2,1/('DRAFT 2'!$D:$D=$B148)*('DRAFT 2'!$A:$A&gt;=DATE(2026,7,1))*('DRAFT 2'!$A:$A&lt;DATE(2026,IF(7=12,7+1,7+1),1)),'DRAFT 2'!$A:$A),"")</f>
        <v/>
      </c>
      <c r="FU148" s="116">
        <f>COUNTIFS('DRAFT 2'!$D:$D,$B148,'DRAFT 2'!$A:$A,"&gt;="&amp;DATE(2026,7,1),'DRAFT 2'!$A:$A,"&lt;="&amp;DATE(2026,7,7))</f>
        <v/>
      </c>
      <c r="FV148" s="116">
        <f>COUNTIFS('DRAFT 2'!$D:$D,$B148,'DRAFT 2'!$A:$A,"&gt;="&amp;DATE(2026,7,8),'DRAFT 2'!$A:$A,"&lt;="&amp;DATE(2026,7,14))</f>
        <v/>
      </c>
      <c r="FW148" s="116">
        <f>COUNTIFS('DRAFT 2'!$D:$D,$B148,'DRAFT 2'!$A:$A,"&gt;="&amp;DATE(2026,7,15),'DRAFT 2'!$A:$A,"&lt;="&amp;DATE(2026,7,21))</f>
        <v/>
      </c>
      <c r="FX148" s="116">
        <f>COUNTIFS('DRAFT 2'!$D:$D,$B148,'DRAFT 2'!$A:$A,"&gt;="&amp;DATE(2026,7,22),'DRAFT 2'!$A:$A,"&lt;"&amp;DATE(2026,IF(7=12,7+1,7+1),1))</f>
        <v/>
      </c>
      <c r="FY148" s="116">
        <f>SUM(FU148:FX148)</f>
        <v/>
      </c>
      <c r="GI148" s="116">
        <f>IFERROR(LOOKUP(2,1/('DRAFT 2'!$D:$D=$B148)*('DRAFT 2'!$A:$A&gt;=DATE(2026,8,1))*('DRAFT 2'!$A:$A&lt;DATE(2026,IF(8=12,8+1,8+1),1)),'DRAFT 2'!$A:$A),"")</f>
        <v/>
      </c>
      <c r="GJ148" s="116">
        <f>COUNTIFS('DRAFT 2'!$D:$D,$B148,'DRAFT 2'!$A:$A,"&gt;="&amp;DATE(2026,8,1),'DRAFT 2'!$A:$A,"&lt;="&amp;DATE(2026,8,7))</f>
        <v/>
      </c>
      <c r="GK148" s="116">
        <f>COUNTIFS('DRAFT 2'!$D:$D,$B148,'DRAFT 2'!$A:$A,"&gt;="&amp;DATE(2026,8,8),'DRAFT 2'!$A:$A,"&lt;="&amp;DATE(2026,8,14))</f>
        <v/>
      </c>
      <c r="GL148" s="116">
        <f>COUNTIFS('DRAFT 2'!$D:$D,$B148,'DRAFT 2'!$A:$A,"&gt;="&amp;DATE(2026,8,15),'DRAFT 2'!$A:$A,"&lt;="&amp;DATE(2026,8,21))</f>
        <v/>
      </c>
      <c r="GM148" s="116">
        <f>COUNTIFS('DRAFT 2'!$D:$D,$B148,'DRAFT 2'!$A:$A,"&gt;="&amp;DATE(2026,8,22),'DRAFT 2'!$A:$A,"&lt;"&amp;DATE(2026,IF(8=12,8+1,8+1),1))</f>
        <v/>
      </c>
      <c r="GN148" s="116">
        <f>SUM(GJ148:GM148)</f>
        <v/>
      </c>
      <c r="GX148" s="116">
        <f>IFERROR(LOOKUP(2,1/('DRAFT 2'!$D:$D=$B148)*('DRAFT 2'!$A:$A&gt;=DATE(2026,9,1))*('DRAFT 2'!$A:$A&lt;DATE(2026,IF(9=12,9+1,9+1),1)),'DRAFT 2'!$A:$A),"")</f>
        <v/>
      </c>
      <c r="GY148" s="116">
        <f>COUNTIFS('DRAFT 2'!$D:$D,$B148,'DRAFT 2'!$A:$A,"&gt;="&amp;DATE(2026,9,1),'DRAFT 2'!$A:$A,"&lt;="&amp;DATE(2026,9,7))</f>
        <v/>
      </c>
      <c r="GZ148" s="116">
        <f>COUNTIFS('DRAFT 2'!$D:$D,$B148,'DRAFT 2'!$A:$A,"&gt;="&amp;DATE(2026,9,8),'DRAFT 2'!$A:$A,"&lt;="&amp;DATE(2026,9,14))</f>
        <v/>
      </c>
      <c r="HA148" s="116">
        <f>COUNTIFS('DRAFT 2'!$D:$D,$B148,'DRAFT 2'!$A:$A,"&gt;="&amp;DATE(2026,9,15),'DRAFT 2'!$A:$A,"&lt;="&amp;DATE(2026,9,21))</f>
        <v/>
      </c>
      <c r="HB148" s="116">
        <f>COUNTIFS('DRAFT 2'!$D:$D,$B148,'DRAFT 2'!$A:$A,"&gt;="&amp;DATE(2026,9,22),'DRAFT 2'!$A:$A,"&lt;"&amp;DATE(2026,IF(9=12,9+1,9+1),1))</f>
        <v/>
      </c>
      <c r="HC148" s="116">
        <f>SUM(GY148:HB148)</f>
        <v/>
      </c>
      <c r="HN148" s="116">
        <f>IFERROR(LOOKUP(2,1/('DRAFT 2'!$D:$D=$B148)*('DRAFT 2'!$A:$A&gt;=DATE(2026,10,1))*('DRAFT 2'!$A:$A&lt;DATE(2026,IF(10=12,10+1,10+1),1)),'DRAFT 2'!$A:$A),"")</f>
        <v/>
      </c>
      <c r="HO148" s="116">
        <f>COUNTIFS('DRAFT 2'!$D:$D,$B148,'DRAFT 2'!$A:$A,"&gt;="&amp;DATE(2026,10,1),'DRAFT 2'!$A:$A,"&lt;="&amp;DATE(2026,10,7))</f>
        <v/>
      </c>
      <c r="HP148" s="116">
        <f>COUNTIFS('DRAFT 2'!$D:$D,$B148,'DRAFT 2'!$A:$A,"&gt;="&amp;DATE(2026,10,8),'DRAFT 2'!$A:$A,"&lt;="&amp;DATE(2026,10,14))</f>
        <v/>
      </c>
      <c r="HQ148" s="116">
        <f>COUNTIFS('DRAFT 2'!$D:$D,$B148,'DRAFT 2'!$A:$A,"&gt;="&amp;DATE(2026,10,15),'DRAFT 2'!$A:$A,"&lt;="&amp;DATE(2026,10,21))</f>
        <v/>
      </c>
      <c r="HR148" s="116">
        <f>COUNTIFS('DRAFT 2'!$D:$D,$B148,'DRAFT 2'!$A:$A,"&gt;="&amp;DATE(2026,10,22),'DRAFT 2'!$A:$A,"&lt;"&amp;DATE(2026,IF(10=12,10+1,10+1),1))</f>
        <v/>
      </c>
      <c r="HS148" s="116">
        <f>SUM(HO148:HR148)</f>
        <v/>
      </c>
      <c r="IC148" s="116">
        <f>IFERROR(LOOKUP(2,1/('DRAFT 2'!$D:$D=$B148)*('DRAFT 2'!$A:$A&gt;=DATE(2026,11,1))*('DRAFT 2'!$A:$A&lt;DATE(2026,IF(11=12,11+1,11+1),1)),'DRAFT 2'!$A:$A),"")</f>
        <v/>
      </c>
      <c r="ID148" s="116">
        <f>COUNTIFS('DRAFT 2'!$D:$D,$B148,'DRAFT 2'!$A:$A,"&gt;="&amp;DATE(2026,11,1),'DRAFT 2'!$A:$A,"&lt;="&amp;DATE(2026,11,7))</f>
        <v/>
      </c>
      <c r="IE148" s="116">
        <f>COUNTIFS('DRAFT 2'!$D:$D,$B148,'DRAFT 2'!$A:$A,"&gt;="&amp;DATE(2026,11,8),'DRAFT 2'!$A:$A,"&lt;="&amp;DATE(2026,11,14))</f>
        <v/>
      </c>
      <c r="IF148" s="116">
        <f>COUNTIFS('DRAFT 2'!$D:$D,$B148,'DRAFT 2'!$A:$A,"&gt;="&amp;DATE(2026,11,15),'DRAFT 2'!$A:$A,"&lt;="&amp;DATE(2026,11,21))</f>
        <v/>
      </c>
      <c r="IG148" s="116">
        <f>COUNTIFS('DRAFT 2'!$D:$D,$B148,'DRAFT 2'!$A:$A,"&gt;="&amp;DATE(2026,11,22),'DRAFT 2'!$A:$A,"&lt;"&amp;DATE(2026,IF(11=12,11+1,11+1),1))</f>
        <v/>
      </c>
      <c r="IH148" s="116">
        <f>SUM(ID148:IG148)</f>
        <v/>
      </c>
      <c r="IR148" s="116">
        <f>IFERROR(LOOKUP(2,1/('DRAFT 2'!$D:$D=$B148)*('DRAFT 2'!$A:$A&gt;=DATE(2026,12,1))*('DRAFT 2'!$A:$A&lt;DATE(2026,IF(12=12,12+1,12+1),1)),'DRAFT 2'!$A:$A),"")</f>
        <v/>
      </c>
      <c r="IS148" s="116">
        <f>COUNTIFS('DRAFT 2'!$D:$D,$B148,'DRAFT 2'!$A:$A,"&gt;="&amp;DATE(2026,12,1),'DRAFT 2'!$A:$A,"&lt;="&amp;DATE(2026,12,7))</f>
        <v/>
      </c>
      <c r="IT148" s="116">
        <f>COUNTIFS('DRAFT 2'!$D:$D,$B148,'DRAFT 2'!$A:$A,"&gt;="&amp;DATE(2026,12,8),'DRAFT 2'!$A:$A,"&lt;="&amp;DATE(2026,12,14))</f>
        <v/>
      </c>
      <c r="IU148" s="116">
        <f>COUNTIFS('DRAFT 2'!$D:$D,$B148,'DRAFT 2'!$A:$A,"&gt;="&amp;DATE(2026,12,15),'DRAFT 2'!$A:$A,"&lt;="&amp;DATE(2026,12,21))</f>
        <v/>
      </c>
      <c r="IV148" s="116">
        <f>COUNTIFS('DRAFT 2'!$D:$D,$B148,'DRAFT 2'!$A:$A,"&gt;="&amp;DATE(2026,12,22),'DRAFT 2'!$A:$A,"&lt;"&amp;DATE(2026,IF(12=12,12+1,12+1),1))</f>
        <v/>
      </c>
      <c r="IW148" s="116">
        <f>SUM(IS148:IV148)</f>
        <v/>
      </c>
    </row>
    <row r="149">
      <c r="A149" s="116">
        <f>IFERROR(INDEX('DRAFT 1'!$A:$A,MATCH($B149,'DRAFT 1'!$B:$B,0)),"")</f>
        <v/>
      </c>
      <c r="C149" s="116">
        <f>IFERROR(INDEX('DRAFT 1'!$C:$C,MATCH($B149,'DRAFT 1'!$B:$B,0)),"")</f>
        <v/>
      </c>
      <c r="D149" s="116">
        <f>IFERROR(INDEX('DRAFT 1'!$D:$D,MATCH($B149,'DRAFT 1'!$B:$B,0)),"")</f>
        <v/>
      </c>
      <c r="E149" s="116">
        <f>IFERROR(INDEX('DRAFT 1'!$E:$E,MATCH($B149,'DRAFT 1'!$B:$B,0)),"")</f>
        <v/>
      </c>
      <c r="F149" s="116">
        <f>IFERROR(INDEX('DRAFT 1'!$F:$F,MATCH($B149,'DRAFT 1'!$B:$B,0)),"")</f>
        <v/>
      </c>
      <c r="G149" s="116">
        <f>IFERROR(INDEX('DRAFT 1'!$G:$G,MATCH($B149,'DRAFT 1'!$B:$B,0)),"")</f>
        <v/>
      </c>
      <c r="H149" s="116">
        <f>IFERROR(INDEX('DRAFT 1'!$H:$H,MATCH($B149,'DRAFT 1'!$B:$B,0)),"")</f>
        <v/>
      </c>
      <c r="I149" s="116">
        <f>IFERROR(INDEX('DRAFT 1'!$I:$I,MATCH($B149,'DRAFT 1'!$B:$B,0)),"")</f>
        <v/>
      </c>
      <c r="K149" s="116">
        <f>IFERROR(INDEX('DRAFT 1'!$AL:$AL,MATCH($B149,'DRAFT 1'!$B:$B,0)),"")</f>
        <v/>
      </c>
      <c r="L149" s="116">
        <f>IFERROR(INDEX('DRAFT 1'!$J:$J,MATCH($B149,'DRAFT 1'!$B:$B,0)),"")</f>
        <v/>
      </c>
      <c r="M149" s="116">
        <f>IFERROR(INDEX('DRAFT 1'!$K:$K,MATCH($B149,'DRAFT 1'!$B:$B,0)),"")</f>
        <v/>
      </c>
      <c r="P149" s="116">
        <f>IFERROR(INDEX('DRAFT 1'!$L:$L,MATCH($B149,'DRAFT 1'!$B:$B,0)),"")</f>
        <v/>
      </c>
      <c r="Q149" s="116">
        <f>IFERROR(INDEX('DRAFT 1'!$M:$M,MATCH($B149,'DRAFT 1'!$B:$B,0)),"")</f>
        <v/>
      </c>
      <c r="R149" s="116">
        <f>IFERROR(INDEX('DRAFT 1'!$N:$N,MATCH($B149,'DRAFT 1'!$B:$B,0)),"")</f>
        <v/>
      </c>
      <c r="S149" s="116">
        <f>IFERROR(INDEX('DRAFT 1'!$O:$O,MATCH($B149,'DRAFT 1'!$B:$B,0)),"")</f>
        <v/>
      </c>
      <c r="T149" s="116">
        <f>IFERROR(INDEX('DRAFT 1'!$P:$P,MATCH($B149,'DRAFT 1'!$B:$B,0)),"")</f>
        <v/>
      </c>
      <c r="U149" s="116">
        <f>IFERROR(INDEX('DRAFT 1'!$Q:$Q,MATCH($B149,'DRAFT 1'!$B:$B,0)),"")</f>
        <v/>
      </c>
      <c r="V149" s="116">
        <f>IFERROR(INDEX('DRAFT 1'!$R:$R,MATCH($B149,'DRAFT 1'!$B:$B,0)),"")</f>
        <v/>
      </c>
      <c r="W149" s="116">
        <f>IFERROR(INDEX('DRAFT 1'!$S:$S,MATCH($B149,'DRAFT 1'!$B:$B,0)),"")</f>
        <v/>
      </c>
      <c r="X149" s="116">
        <f>IFERROR(INDEX('DRAFT 1'!$T:$T,MATCH($B149,'DRAFT 1'!$B:$B,0)),"")</f>
        <v/>
      </c>
      <c r="Z149" s="116">
        <f>IFERROR(INDEX('DRAFT 1'!$U:$U,MATCH($B149,'DRAFT 1'!$B:$B,0)),"")</f>
        <v/>
      </c>
      <c r="AA149" s="116">
        <f>IFERROR(INDEX('DRAFT 1'!$V:$V,MATCH($B149,'DRAFT 1'!$B:$B,0)),"")</f>
        <v/>
      </c>
      <c r="AB149" s="116">
        <f>IFERROR(INDEX('DRAFT 1'!$W:$W,MATCH($B149,'DRAFT 1'!$B:$B,0)),"")</f>
        <v/>
      </c>
      <c r="AC149" s="116">
        <f>IFERROR(INDEX('DRAFT 1'!$X:$X,MATCH($B149,'DRAFT 1'!$B:$B,0)),"")</f>
        <v/>
      </c>
      <c r="AD149" s="116">
        <f>IFERROR(INDEX('DRAFT 1'!$Y:$Y,MATCH($B149,'DRAFT 1'!$B:$B,0)),"")</f>
        <v/>
      </c>
      <c r="AE149" s="116">
        <f>IFERROR(INDEX('DRAFT 1'!$Z:$Z,MATCH($B149,'DRAFT 1'!$B:$B,0)),"")</f>
        <v/>
      </c>
      <c r="AF149" s="116">
        <f>IFERROR(INDEX('DRAFT 1'!$AA:$AA,MATCH($B149,'DRAFT 1'!$B:$B,0)),"")</f>
        <v/>
      </c>
      <c r="AG149" s="116">
        <f>IFERROR(INDEX('DRAFT 1'!$AB:$AB,MATCH($B149,'DRAFT 1'!$B:$B,0)),"")</f>
        <v/>
      </c>
      <c r="AH149" s="116">
        <f>IFERROR(INDEX('DRAFT 1'!$AC:$AC,MATCH($B149,'DRAFT 1'!$B:$B,0)),"")</f>
        <v/>
      </c>
      <c r="AI149" s="116">
        <f>IFERROR(INDEX('DRAFT 1'!$AD:$AD,MATCH($B149,'DRAFT 1'!$B:$B,0)),"")</f>
        <v/>
      </c>
      <c r="AJ149" s="116">
        <f>IFERROR(INDEX('DRAFT 1'!$AE:$AE,MATCH($B149,'DRAFT 1'!$B:$B,0)),"")</f>
        <v/>
      </c>
      <c r="AK149" s="116">
        <f>IFERROR(INDEX('DRAFT 1'!$AG:$AG,MATCH($B149,'DRAFT 1'!$B:$B,0)),"")</f>
        <v/>
      </c>
      <c r="AL149" s="116">
        <f>IFERROR(INDEX('DRAFT 1'!$AH:$AH,MATCH($B149,'DRAFT 1'!$B:$B,0)),"")</f>
        <v/>
      </c>
      <c r="AM149" s="116">
        <f>IFERROR(INDEX('DRAFT 1'!$AI:$AI,MATCH($B149,'DRAFT 1'!$B:$B,0)),"")</f>
        <v/>
      </c>
      <c r="AN149" s="116">
        <f>IFERROR(INDEX('DRAFT 1'!$AJ:$AJ,MATCH($B149,'DRAFT 1'!$B:$B,0)),"")</f>
        <v/>
      </c>
      <c r="AO149" s="116">
        <f>IFERROR(Y149/AN149,0)</f>
        <v/>
      </c>
      <c r="AP149" s="116">
        <f>IFERROR(INDEX('DRAFT 1'!$AK:$AK,MATCH($B149,'DRAFT 1'!$B:$B,0)),"")</f>
        <v/>
      </c>
      <c r="AR149" s="116">
        <f>IFERROR(LOOKUP(2,1/('DRAFT 2'!$D:$D=$B149),'DRAFT 2'!$I:$I),"")</f>
        <v/>
      </c>
      <c r="AS149" s="116">
        <f>IFERROR(LOOKUP(2,1/('DRAFT 2'!$D:$D=$B149),'DRAFT 2'!$T:$T),"")</f>
        <v/>
      </c>
      <c r="AT149" s="116">
        <f>IFERROR(LOOKUP(2,1/('DRAFT 2'!$D:$D=$B149),'DRAFT 2'!$A:$A),"")</f>
        <v/>
      </c>
      <c r="AU149" s="116">
        <f>IFERROR(LOOKUP(2,1/('DRAFT 2'!$D:$D=$B149),'DRAFT 2'!$R:$R),"")</f>
        <v/>
      </c>
      <c r="AV149" s="116">
        <f>IFERROR(LOOKUP(2,1/('DRAFT 2'!$D:$D=$B149),'DRAFT 2'!$S:$S),"")</f>
        <v/>
      </c>
      <c r="AX149" s="116">
        <f>IFERROR(LOOKUP(2,1/('DRAFT 2'!$D:$D=$B149),'DRAFT 2'!$M:$M),"")</f>
        <v/>
      </c>
      <c r="AY149" s="116">
        <f>IFERROR(LOOKUP(2,1/('DRAFT 2'!$D:$D=$B149),'DRAFT 2'!$K:$K),"")</f>
        <v/>
      </c>
      <c r="BG149" s="116">
        <f>IFERROR(LOOKUP(2,1/('DRAFT 2'!$D:$D=$B149),'DRAFT 2'!$U:$U),"")</f>
        <v/>
      </c>
      <c r="BH149" s="116">
        <f>IFERROR(LOOKUP(2,1/('DRAFT 2'!$D:$D=$B149),'DRAFT 2'!$V:$V),"")</f>
        <v/>
      </c>
      <c r="CE149" s="116">
        <f>IFERROR(AJ149,0)</f>
        <v/>
      </c>
      <c r="CF149" s="116">
        <f>IFERROR(LOOKUP(2,1/('DRAFT 2'!$D:$D=$B149)*('DRAFT 2'!$A:$A&gt;=DATE(2026,1,1))*('DRAFT 2'!$A:$A&lt;DATE(2026,IF(1=12,1+1,1+1),1)),'DRAFT 2'!$A:$A),"")</f>
        <v/>
      </c>
      <c r="CG149" s="116">
        <f>COUNTIFS('DRAFT 2'!$D:$D,$B149,'DRAFT 2'!$A:$A,"&gt;="&amp;DATE(2026,1,1),'DRAFT 2'!$A:$A,"&lt;="&amp;DATE(2026,1,7))</f>
        <v/>
      </c>
      <c r="CH149" s="116">
        <f>COUNTIFS('DRAFT 2'!$D:$D,$B149,'DRAFT 2'!$A:$A,"&gt;="&amp;DATE(2026,1,8),'DRAFT 2'!$A:$A,"&lt;="&amp;DATE(2026,1,14))</f>
        <v/>
      </c>
      <c r="CI149" s="116">
        <f>COUNTIFS('DRAFT 2'!$D:$D,$B149,'DRAFT 2'!$A:$A,"&gt;="&amp;DATE(2026,1,15),'DRAFT 2'!$A:$A,"&lt;="&amp;DATE(2026,1,21))</f>
        <v/>
      </c>
      <c r="CJ149" s="116">
        <f>COUNTIFS('DRAFT 2'!$D:$D,$B149,'DRAFT 2'!$A:$A,"&gt;="&amp;DATE(2026,1,22),'DRAFT 2'!$A:$A,"&lt;"&amp;DATE(2026,IF(1=12,1+1,1+1),1))</f>
        <v/>
      </c>
      <c r="CK149" s="116">
        <f>SUM(CG149:CJ149)</f>
        <v/>
      </c>
      <c r="CT149" s="116" t="n">
        <v>0</v>
      </c>
      <c r="CU149" s="116">
        <f>IFERROR(LOOKUP(2,1/('DRAFT 2'!$D:$D=$B149)*('DRAFT 2'!$A:$A&gt;=DATE(2026,2,1))*('DRAFT 2'!$A:$A&lt;DATE(2026,IF(2=12,2+1,2+1),1)),'DRAFT 2'!$A:$A),"")</f>
        <v/>
      </c>
      <c r="CV149" s="116">
        <f>COUNTIFS('DRAFT 2'!$D:$D,$B149,'DRAFT 2'!$A:$A,"&gt;="&amp;DATE(2026,2,1),'DRAFT 2'!$A:$A,"&lt;="&amp;DATE(2026,2,7))</f>
        <v/>
      </c>
      <c r="CW149" s="116">
        <f>COUNTIFS('DRAFT 2'!$D:$D,$B149,'DRAFT 2'!$A:$A,"&gt;="&amp;DATE(2026,2,8),'DRAFT 2'!$A:$A,"&lt;="&amp;DATE(2026,2,14))</f>
        <v/>
      </c>
      <c r="CX149" s="116">
        <f>COUNTIFS('DRAFT 2'!$D:$D,$B149,'DRAFT 2'!$A:$A,"&gt;="&amp;DATE(2026,2,15),'DRAFT 2'!$A:$A,"&lt;="&amp;DATE(2026,2,21))</f>
        <v/>
      </c>
      <c r="CY149" s="116">
        <f>COUNTIFS('DRAFT 2'!$D:$D,$B149,'DRAFT 2'!$A:$A,"&gt;="&amp;DATE(2026,2,22),'DRAFT 2'!$A:$A,"&lt;"&amp;DATE(2026,IF(2=12,2+1,2+1),1))</f>
        <v/>
      </c>
      <c r="CZ149" s="116">
        <f>SUM(CV149:CY149)</f>
        <v/>
      </c>
      <c r="DJ149" s="116">
        <f>IFERROR(LOOKUP(2,1/('DRAFT 2'!$D:$D=$B149)*('DRAFT 2'!$A:$A&gt;=DATE(2026,3,1))*('DRAFT 2'!$A:$A&lt;DATE(2026,IF(3=12,3+1,3+1),1)),'DRAFT 2'!$A:$A),"")</f>
        <v/>
      </c>
      <c r="DK149" s="116">
        <f>COUNTIFS('DRAFT 2'!$D:$D,$B149,'DRAFT 2'!$A:$A,"&gt;="&amp;DATE(2026,3,1),'DRAFT 2'!$A:$A,"&lt;="&amp;DATE(2026,3,7))</f>
        <v/>
      </c>
      <c r="DL149" s="116">
        <f>COUNTIFS('DRAFT 2'!$D:$D,$B149,'DRAFT 2'!$A:$A,"&gt;="&amp;DATE(2026,3,8),'DRAFT 2'!$A:$A,"&lt;="&amp;DATE(2026,3,14))</f>
        <v/>
      </c>
      <c r="DM149" s="116">
        <f>COUNTIFS('DRAFT 2'!$D:$D,$B149,'DRAFT 2'!$A:$A,"&gt;="&amp;DATE(2026,3,15),'DRAFT 2'!$A:$A,"&lt;="&amp;DATE(2026,3,21))</f>
        <v/>
      </c>
      <c r="DN149" s="116">
        <f>COUNTIFS('DRAFT 2'!$D:$D,$B149,'DRAFT 2'!$A:$A,"&gt;="&amp;DATE(2026,3,22),'DRAFT 2'!$A:$A,"&lt;"&amp;DATE(2026,IF(3=12,3+1,3+1),1))</f>
        <v/>
      </c>
      <c r="DO149" s="116">
        <f>SUM(DK149:DN149)</f>
        <v/>
      </c>
      <c r="DZ149" s="116">
        <f>IFERROR(LOOKUP(2,1/('DRAFT 2'!$D:$D=$B149)*('DRAFT 2'!$A:$A&gt;=DATE(2026,4,1))*('DRAFT 2'!$A:$A&lt;DATE(2026,IF(4=12,4+1,4+1),1)),'DRAFT 2'!$A:$A),"")</f>
        <v/>
      </c>
      <c r="EA149" s="116">
        <f>COUNTIFS('DRAFT 2'!$D:$D,$B149,'DRAFT 2'!$A:$A,"&gt;="&amp;DATE(2026,4,1),'DRAFT 2'!$A:$A,"&lt;="&amp;DATE(2026,4,7))</f>
        <v/>
      </c>
      <c r="EB149" s="116">
        <f>COUNTIFS('DRAFT 2'!$D:$D,$B149,'DRAFT 2'!$A:$A,"&gt;="&amp;DATE(2026,4,8),'DRAFT 2'!$A:$A,"&lt;="&amp;DATE(2026,4,14))</f>
        <v/>
      </c>
      <c r="EC149" s="116">
        <f>COUNTIFS('DRAFT 2'!$D:$D,$B149,'DRAFT 2'!$A:$A,"&gt;="&amp;DATE(2026,4,15),'DRAFT 2'!$A:$A,"&lt;="&amp;DATE(2026,4,21))</f>
        <v/>
      </c>
      <c r="ED149" s="116">
        <f>COUNTIFS('DRAFT 2'!$D:$D,$B149,'DRAFT 2'!$A:$A,"&gt;="&amp;DATE(2026,4,22),'DRAFT 2'!$A:$A,"&lt;"&amp;DATE(2026,IF(4=12,4+1,4+1),1))</f>
        <v/>
      </c>
      <c r="EE149" s="116">
        <f>SUM(EA149:ED149)</f>
        <v/>
      </c>
      <c r="EO149" s="116">
        <f>IFERROR(LOOKUP(2,1/('DRAFT 2'!$D:$D=$B149)*('DRAFT 2'!$A:$A&gt;=DATE(2026,5,1))*('DRAFT 2'!$A:$A&lt;DATE(2026,IF(5=12,5+1,5+1),1)),'DRAFT 2'!$A:$A),"")</f>
        <v/>
      </c>
      <c r="EP149" s="116">
        <f>COUNTIFS('DRAFT 2'!$D:$D,$B149,'DRAFT 2'!$A:$A,"&gt;="&amp;DATE(2026,5,1),'DRAFT 2'!$A:$A,"&lt;="&amp;DATE(2026,5,7))</f>
        <v/>
      </c>
      <c r="EQ149" s="116">
        <f>COUNTIFS('DRAFT 2'!$D:$D,$B149,'DRAFT 2'!$A:$A,"&gt;="&amp;DATE(2026,5,8),'DRAFT 2'!$A:$A,"&lt;="&amp;DATE(2026,5,14))</f>
        <v/>
      </c>
      <c r="ER149" s="116">
        <f>COUNTIFS('DRAFT 2'!$D:$D,$B149,'DRAFT 2'!$A:$A,"&gt;="&amp;DATE(2026,5,15),'DRAFT 2'!$A:$A,"&lt;="&amp;DATE(2026,5,21))</f>
        <v/>
      </c>
      <c r="ES149" s="116">
        <f>COUNTIFS('DRAFT 2'!$D:$D,$B149,'DRAFT 2'!$A:$A,"&gt;="&amp;DATE(2026,5,22),'DRAFT 2'!$A:$A,"&lt;"&amp;DATE(2026,IF(5=12,5+1,5+1),1))</f>
        <v/>
      </c>
      <c r="ET149" s="116">
        <f>SUM(EP149:ES149)</f>
        <v/>
      </c>
      <c r="FD149" s="116">
        <f>IFERROR(LOOKUP(2,1/('DRAFT 2'!$D:$D=$B149)*('DRAFT 2'!$A:$A&gt;=DATE(2026,6,1))*('DRAFT 2'!$A:$A&lt;DATE(2026,IF(6=12,6+1,6+1),1)),'DRAFT 2'!$A:$A),"")</f>
        <v/>
      </c>
      <c r="FE149" s="116">
        <f>COUNTIFS('DRAFT 2'!$D:$D,$B149,'DRAFT 2'!$A:$A,"&gt;="&amp;DATE(2026,6,1),'DRAFT 2'!$A:$A,"&lt;="&amp;DATE(2026,6,7))</f>
        <v/>
      </c>
      <c r="FF149" s="116">
        <f>COUNTIFS('DRAFT 2'!$D:$D,$B149,'DRAFT 2'!$A:$A,"&gt;="&amp;DATE(2026,6,8),'DRAFT 2'!$A:$A,"&lt;="&amp;DATE(2026,6,14))</f>
        <v/>
      </c>
      <c r="FG149" s="116">
        <f>COUNTIFS('DRAFT 2'!$D:$D,$B149,'DRAFT 2'!$A:$A,"&gt;="&amp;DATE(2026,6,15),'DRAFT 2'!$A:$A,"&lt;="&amp;DATE(2026,6,21))</f>
        <v/>
      </c>
      <c r="FH149" s="116">
        <f>COUNTIFS('DRAFT 2'!$D:$D,$B149,'DRAFT 2'!$A:$A,"&gt;="&amp;DATE(2026,6,22),'DRAFT 2'!$A:$A,"&lt;"&amp;DATE(2026,IF(6=12,6+1,6+1),1))</f>
        <v/>
      </c>
      <c r="FI149" s="116">
        <f>SUM(FE149:FH149)</f>
        <v/>
      </c>
      <c r="FT149" s="116">
        <f>IFERROR(LOOKUP(2,1/('DRAFT 2'!$D:$D=$B149)*('DRAFT 2'!$A:$A&gt;=DATE(2026,7,1))*('DRAFT 2'!$A:$A&lt;DATE(2026,IF(7=12,7+1,7+1),1)),'DRAFT 2'!$A:$A),"")</f>
        <v/>
      </c>
      <c r="FU149" s="116">
        <f>COUNTIFS('DRAFT 2'!$D:$D,$B149,'DRAFT 2'!$A:$A,"&gt;="&amp;DATE(2026,7,1),'DRAFT 2'!$A:$A,"&lt;="&amp;DATE(2026,7,7))</f>
        <v/>
      </c>
      <c r="FV149" s="116">
        <f>COUNTIFS('DRAFT 2'!$D:$D,$B149,'DRAFT 2'!$A:$A,"&gt;="&amp;DATE(2026,7,8),'DRAFT 2'!$A:$A,"&lt;="&amp;DATE(2026,7,14))</f>
        <v/>
      </c>
      <c r="FW149" s="116">
        <f>COUNTIFS('DRAFT 2'!$D:$D,$B149,'DRAFT 2'!$A:$A,"&gt;="&amp;DATE(2026,7,15),'DRAFT 2'!$A:$A,"&lt;="&amp;DATE(2026,7,21))</f>
        <v/>
      </c>
      <c r="FX149" s="116">
        <f>COUNTIFS('DRAFT 2'!$D:$D,$B149,'DRAFT 2'!$A:$A,"&gt;="&amp;DATE(2026,7,22),'DRAFT 2'!$A:$A,"&lt;"&amp;DATE(2026,IF(7=12,7+1,7+1),1))</f>
        <v/>
      </c>
      <c r="FY149" s="116">
        <f>SUM(FU149:FX149)</f>
        <v/>
      </c>
      <c r="GI149" s="116">
        <f>IFERROR(LOOKUP(2,1/('DRAFT 2'!$D:$D=$B149)*('DRAFT 2'!$A:$A&gt;=DATE(2026,8,1))*('DRAFT 2'!$A:$A&lt;DATE(2026,IF(8=12,8+1,8+1),1)),'DRAFT 2'!$A:$A),"")</f>
        <v/>
      </c>
      <c r="GJ149" s="116">
        <f>COUNTIFS('DRAFT 2'!$D:$D,$B149,'DRAFT 2'!$A:$A,"&gt;="&amp;DATE(2026,8,1),'DRAFT 2'!$A:$A,"&lt;="&amp;DATE(2026,8,7))</f>
        <v/>
      </c>
      <c r="GK149" s="116">
        <f>COUNTIFS('DRAFT 2'!$D:$D,$B149,'DRAFT 2'!$A:$A,"&gt;="&amp;DATE(2026,8,8),'DRAFT 2'!$A:$A,"&lt;="&amp;DATE(2026,8,14))</f>
        <v/>
      </c>
      <c r="GL149" s="116">
        <f>COUNTIFS('DRAFT 2'!$D:$D,$B149,'DRAFT 2'!$A:$A,"&gt;="&amp;DATE(2026,8,15),'DRAFT 2'!$A:$A,"&lt;="&amp;DATE(2026,8,21))</f>
        <v/>
      </c>
      <c r="GM149" s="116">
        <f>COUNTIFS('DRAFT 2'!$D:$D,$B149,'DRAFT 2'!$A:$A,"&gt;="&amp;DATE(2026,8,22),'DRAFT 2'!$A:$A,"&lt;"&amp;DATE(2026,IF(8=12,8+1,8+1),1))</f>
        <v/>
      </c>
      <c r="GN149" s="116">
        <f>SUM(GJ149:GM149)</f>
        <v/>
      </c>
      <c r="GX149" s="116">
        <f>IFERROR(LOOKUP(2,1/('DRAFT 2'!$D:$D=$B149)*('DRAFT 2'!$A:$A&gt;=DATE(2026,9,1))*('DRAFT 2'!$A:$A&lt;DATE(2026,IF(9=12,9+1,9+1),1)),'DRAFT 2'!$A:$A),"")</f>
        <v/>
      </c>
      <c r="GY149" s="116">
        <f>COUNTIFS('DRAFT 2'!$D:$D,$B149,'DRAFT 2'!$A:$A,"&gt;="&amp;DATE(2026,9,1),'DRAFT 2'!$A:$A,"&lt;="&amp;DATE(2026,9,7))</f>
        <v/>
      </c>
      <c r="GZ149" s="116">
        <f>COUNTIFS('DRAFT 2'!$D:$D,$B149,'DRAFT 2'!$A:$A,"&gt;="&amp;DATE(2026,9,8),'DRAFT 2'!$A:$A,"&lt;="&amp;DATE(2026,9,14))</f>
        <v/>
      </c>
      <c r="HA149" s="116">
        <f>COUNTIFS('DRAFT 2'!$D:$D,$B149,'DRAFT 2'!$A:$A,"&gt;="&amp;DATE(2026,9,15),'DRAFT 2'!$A:$A,"&lt;="&amp;DATE(2026,9,21))</f>
        <v/>
      </c>
      <c r="HB149" s="116">
        <f>COUNTIFS('DRAFT 2'!$D:$D,$B149,'DRAFT 2'!$A:$A,"&gt;="&amp;DATE(2026,9,22),'DRAFT 2'!$A:$A,"&lt;"&amp;DATE(2026,IF(9=12,9+1,9+1),1))</f>
        <v/>
      </c>
      <c r="HC149" s="116">
        <f>SUM(GY149:HB149)</f>
        <v/>
      </c>
      <c r="HN149" s="116">
        <f>IFERROR(LOOKUP(2,1/('DRAFT 2'!$D:$D=$B149)*('DRAFT 2'!$A:$A&gt;=DATE(2026,10,1))*('DRAFT 2'!$A:$A&lt;DATE(2026,IF(10=12,10+1,10+1),1)),'DRAFT 2'!$A:$A),"")</f>
        <v/>
      </c>
      <c r="HO149" s="116">
        <f>COUNTIFS('DRAFT 2'!$D:$D,$B149,'DRAFT 2'!$A:$A,"&gt;="&amp;DATE(2026,10,1),'DRAFT 2'!$A:$A,"&lt;="&amp;DATE(2026,10,7))</f>
        <v/>
      </c>
      <c r="HP149" s="116">
        <f>COUNTIFS('DRAFT 2'!$D:$D,$B149,'DRAFT 2'!$A:$A,"&gt;="&amp;DATE(2026,10,8),'DRAFT 2'!$A:$A,"&lt;="&amp;DATE(2026,10,14))</f>
        <v/>
      </c>
      <c r="HQ149" s="116">
        <f>COUNTIFS('DRAFT 2'!$D:$D,$B149,'DRAFT 2'!$A:$A,"&gt;="&amp;DATE(2026,10,15),'DRAFT 2'!$A:$A,"&lt;="&amp;DATE(2026,10,21))</f>
        <v/>
      </c>
      <c r="HR149" s="116">
        <f>COUNTIFS('DRAFT 2'!$D:$D,$B149,'DRAFT 2'!$A:$A,"&gt;="&amp;DATE(2026,10,22),'DRAFT 2'!$A:$A,"&lt;"&amp;DATE(2026,IF(10=12,10+1,10+1),1))</f>
        <v/>
      </c>
      <c r="HS149" s="116">
        <f>SUM(HO149:HR149)</f>
        <v/>
      </c>
      <c r="IC149" s="116">
        <f>IFERROR(LOOKUP(2,1/('DRAFT 2'!$D:$D=$B149)*('DRAFT 2'!$A:$A&gt;=DATE(2026,11,1))*('DRAFT 2'!$A:$A&lt;DATE(2026,IF(11=12,11+1,11+1),1)),'DRAFT 2'!$A:$A),"")</f>
        <v/>
      </c>
      <c r="ID149" s="116">
        <f>COUNTIFS('DRAFT 2'!$D:$D,$B149,'DRAFT 2'!$A:$A,"&gt;="&amp;DATE(2026,11,1),'DRAFT 2'!$A:$A,"&lt;="&amp;DATE(2026,11,7))</f>
        <v/>
      </c>
      <c r="IE149" s="116">
        <f>COUNTIFS('DRAFT 2'!$D:$D,$B149,'DRAFT 2'!$A:$A,"&gt;="&amp;DATE(2026,11,8),'DRAFT 2'!$A:$A,"&lt;="&amp;DATE(2026,11,14))</f>
        <v/>
      </c>
      <c r="IF149" s="116">
        <f>COUNTIFS('DRAFT 2'!$D:$D,$B149,'DRAFT 2'!$A:$A,"&gt;="&amp;DATE(2026,11,15),'DRAFT 2'!$A:$A,"&lt;="&amp;DATE(2026,11,21))</f>
        <v/>
      </c>
      <c r="IG149" s="116">
        <f>COUNTIFS('DRAFT 2'!$D:$D,$B149,'DRAFT 2'!$A:$A,"&gt;="&amp;DATE(2026,11,22),'DRAFT 2'!$A:$A,"&lt;"&amp;DATE(2026,IF(11=12,11+1,11+1),1))</f>
        <v/>
      </c>
      <c r="IH149" s="116">
        <f>SUM(ID149:IG149)</f>
        <v/>
      </c>
      <c r="IR149" s="116">
        <f>IFERROR(LOOKUP(2,1/('DRAFT 2'!$D:$D=$B149)*('DRAFT 2'!$A:$A&gt;=DATE(2026,12,1))*('DRAFT 2'!$A:$A&lt;DATE(2026,IF(12=12,12+1,12+1),1)),'DRAFT 2'!$A:$A),"")</f>
        <v/>
      </c>
      <c r="IS149" s="116">
        <f>COUNTIFS('DRAFT 2'!$D:$D,$B149,'DRAFT 2'!$A:$A,"&gt;="&amp;DATE(2026,12,1),'DRAFT 2'!$A:$A,"&lt;="&amp;DATE(2026,12,7))</f>
        <v/>
      </c>
      <c r="IT149" s="116">
        <f>COUNTIFS('DRAFT 2'!$D:$D,$B149,'DRAFT 2'!$A:$A,"&gt;="&amp;DATE(2026,12,8),'DRAFT 2'!$A:$A,"&lt;="&amp;DATE(2026,12,14))</f>
        <v/>
      </c>
      <c r="IU149" s="116">
        <f>COUNTIFS('DRAFT 2'!$D:$D,$B149,'DRAFT 2'!$A:$A,"&gt;="&amp;DATE(2026,12,15),'DRAFT 2'!$A:$A,"&lt;="&amp;DATE(2026,12,21))</f>
        <v/>
      </c>
      <c r="IV149" s="116">
        <f>COUNTIFS('DRAFT 2'!$D:$D,$B149,'DRAFT 2'!$A:$A,"&gt;="&amp;DATE(2026,12,22),'DRAFT 2'!$A:$A,"&lt;"&amp;DATE(2026,IF(12=12,12+1,12+1),1))</f>
        <v/>
      </c>
      <c r="IW149" s="116">
        <f>SUM(IS149:IV149)</f>
        <v/>
      </c>
    </row>
    <row r="150">
      <c r="A150" s="116">
        <f>IFERROR(INDEX('DRAFT 1'!$A:$A,MATCH($B150,'DRAFT 1'!$B:$B,0)),"")</f>
        <v/>
      </c>
      <c r="C150" s="116">
        <f>IFERROR(INDEX('DRAFT 1'!$C:$C,MATCH($B150,'DRAFT 1'!$B:$B,0)),"")</f>
        <v/>
      </c>
      <c r="D150" s="116">
        <f>IFERROR(INDEX('DRAFT 1'!$D:$D,MATCH($B150,'DRAFT 1'!$B:$B,0)),"")</f>
        <v/>
      </c>
      <c r="E150" s="116">
        <f>IFERROR(INDEX('DRAFT 1'!$E:$E,MATCH($B150,'DRAFT 1'!$B:$B,0)),"")</f>
        <v/>
      </c>
      <c r="F150" s="116">
        <f>IFERROR(INDEX('DRAFT 1'!$F:$F,MATCH($B150,'DRAFT 1'!$B:$B,0)),"")</f>
        <v/>
      </c>
      <c r="G150" s="116">
        <f>IFERROR(INDEX('DRAFT 1'!$G:$G,MATCH($B150,'DRAFT 1'!$B:$B,0)),"")</f>
        <v/>
      </c>
      <c r="H150" s="116">
        <f>IFERROR(INDEX('DRAFT 1'!$H:$H,MATCH($B150,'DRAFT 1'!$B:$B,0)),"")</f>
        <v/>
      </c>
      <c r="I150" s="116">
        <f>IFERROR(INDEX('DRAFT 1'!$I:$I,MATCH($B150,'DRAFT 1'!$B:$B,0)),"")</f>
        <v/>
      </c>
      <c r="K150" s="116">
        <f>IFERROR(INDEX('DRAFT 1'!$AL:$AL,MATCH($B150,'DRAFT 1'!$B:$B,0)),"")</f>
        <v/>
      </c>
      <c r="L150" s="116">
        <f>IFERROR(INDEX('DRAFT 1'!$J:$J,MATCH($B150,'DRAFT 1'!$B:$B,0)),"")</f>
        <v/>
      </c>
      <c r="M150" s="116">
        <f>IFERROR(INDEX('DRAFT 1'!$K:$K,MATCH($B150,'DRAFT 1'!$B:$B,0)),"")</f>
        <v/>
      </c>
      <c r="P150" s="116">
        <f>IFERROR(INDEX('DRAFT 1'!$L:$L,MATCH($B150,'DRAFT 1'!$B:$B,0)),"")</f>
        <v/>
      </c>
      <c r="Q150" s="116">
        <f>IFERROR(INDEX('DRAFT 1'!$M:$M,MATCH($B150,'DRAFT 1'!$B:$B,0)),"")</f>
        <v/>
      </c>
      <c r="R150" s="116">
        <f>IFERROR(INDEX('DRAFT 1'!$N:$N,MATCH($B150,'DRAFT 1'!$B:$B,0)),"")</f>
        <v/>
      </c>
      <c r="S150" s="116">
        <f>IFERROR(INDEX('DRAFT 1'!$O:$O,MATCH($B150,'DRAFT 1'!$B:$B,0)),"")</f>
        <v/>
      </c>
      <c r="T150" s="116">
        <f>IFERROR(INDEX('DRAFT 1'!$P:$P,MATCH($B150,'DRAFT 1'!$B:$B,0)),"")</f>
        <v/>
      </c>
      <c r="U150" s="116">
        <f>IFERROR(INDEX('DRAFT 1'!$Q:$Q,MATCH($B150,'DRAFT 1'!$B:$B,0)),"")</f>
        <v/>
      </c>
      <c r="V150" s="116">
        <f>IFERROR(INDEX('DRAFT 1'!$R:$R,MATCH($B150,'DRAFT 1'!$B:$B,0)),"")</f>
        <v/>
      </c>
      <c r="W150" s="116">
        <f>IFERROR(INDEX('DRAFT 1'!$S:$S,MATCH($B150,'DRAFT 1'!$B:$B,0)),"")</f>
        <v/>
      </c>
      <c r="X150" s="116">
        <f>IFERROR(INDEX('DRAFT 1'!$T:$T,MATCH($B150,'DRAFT 1'!$B:$B,0)),"")</f>
        <v/>
      </c>
      <c r="Z150" s="116">
        <f>IFERROR(INDEX('DRAFT 1'!$U:$U,MATCH($B150,'DRAFT 1'!$B:$B,0)),"")</f>
        <v/>
      </c>
      <c r="AA150" s="116">
        <f>IFERROR(INDEX('DRAFT 1'!$V:$V,MATCH($B150,'DRAFT 1'!$B:$B,0)),"")</f>
        <v/>
      </c>
      <c r="AB150" s="116">
        <f>IFERROR(INDEX('DRAFT 1'!$W:$W,MATCH($B150,'DRAFT 1'!$B:$B,0)),"")</f>
        <v/>
      </c>
      <c r="AC150" s="116">
        <f>IFERROR(INDEX('DRAFT 1'!$X:$X,MATCH($B150,'DRAFT 1'!$B:$B,0)),"")</f>
        <v/>
      </c>
      <c r="AD150" s="116">
        <f>IFERROR(INDEX('DRAFT 1'!$Y:$Y,MATCH($B150,'DRAFT 1'!$B:$B,0)),"")</f>
        <v/>
      </c>
      <c r="AE150" s="116">
        <f>IFERROR(INDEX('DRAFT 1'!$Z:$Z,MATCH($B150,'DRAFT 1'!$B:$B,0)),"")</f>
        <v/>
      </c>
      <c r="AF150" s="116">
        <f>IFERROR(INDEX('DRAFT 1'!$AA:$AA,MATCH($B150,'DRAFT 1'!$B:$B,0)),"")</f>
        <v/>
      </c>
      <c r="AG150" s="116">
        <f>IFERROR(INDEX('DRAFT 1'!$AB:$AB,MATCH($B150,'DRAFT 1'!$B:$B,0)),"")</f>
        <v/>
      </c>
      <c r="AH150" s="116">
        <f>IFERROR(INDEX('DRAFT 1'!$AC:$AC,MATCH($B150,'DRAFT 1'!$B:$B,0)),"")</f>
        <v/>
      </c>
      <c r="AI150" s="116">
        <f>IFERROR(INDEX('DRAFT 1'!$AD:$AD,MATCH($B150,'DRAFT 1'!$B:$B,0)),"")</f>
        <v/>
      </c>
      <c r="AJ150" s="116">
        <f>IFERROR(INDEX('DRAFT 1'!$AE:$AE,MATCH($B150,'DRAFT 1'!$B:$B,0)),"")</f>
        <v/>
      </c>
      <c r="AK150" s="116">
        <f>IFERROR(INDEX('DRAFT 1'!$AG:$AG,MATCH($B150,'DRAFT 1'!$B:$B,0)),"")</f>
        <v/>
      </c>
      <c r="AL150" s="116">
        <f>IFERROR(INDEX('DRAFT 1'!$AH:$AH,MATCH($B150,'DRAFT 1'!$B:$B,0)),"")</f>
        <v/>
      </c>
      <c r="AM150" s="116">
        <f>IFERROR(INDEX('DRAFT 1'!$AI:$AI,MATCH($B150,'DRAFT 1'!$B:$B,0)),"")</f>
        <v/>
      </c>
      <c r="AN150" s="116">
        <f>IFERROR(INDEX('DRAFT 1'!$AJ:$AJ,MATCH($B150,'DRAFT 1'!$B:$B,0)),"")</f>
        <v/>
      </c>
      <c r="AO150" s="116">
        <f>IFERROR(Y150/AN150,0)</f>
        <v/>
      </c>
      <c r="AP150" s="116">
        <f>IFERROR(INDEX('DRAFT 1'!$AK:$AK,MATCH($B150,'DRAFT 1'!$B:$B,0)),"")</f>
        <v/>
      </c>
      <c r="AR150" s="116">
        <f>IFERROR(LOOKUP(2,1/('DRAFT 2'!$D:$D=$B150),'DRAFT 2'!$I:$I),"")</f>
        <v/>
      </c>
      <c r="AS150" s="116">
        <f>IFERROR(LOOKUP(2,1/('DRAFT 2'!$D:$D=$B150),'DRAFT 2'!$T:$T),"")</f>
        <v/>
      </c>
      <c r="AT150" s="116">
        <f>IFERROR(LOOKUP(2,1/('DRAFT 2'!$D:$D=$B150),'DRAFT 2'!$A:$A),"")</f>
        <v/>
      </c>
      <c r="AU150" s="116">
        <f>IFERROR(LOOKUP(2,1/('DRAFT 2'!$D:$D=$B150),'DRAFT 2'!$R:$R),"")</f>
        <v/>
      </c>
      <c r="AV150" s="116">
        <f>IFERROR(LOOKUP(2,1/('DRAFT 2'!$D:$D=$B150),'DRAFT 2'!$S:$S),"")</f>
        <v/>
      </c>
      <c r="AX150" s="116">
        <f>IFERROR(LOOKUP(2,1/('DRAFT 2'!$D:$D=$B150),'DRAFT 2'!$M:$M),"")</f>
        <v/>
      </c>
      <c r="AY150" s="116">
        <f>IFERROR(LOOKUP(2,1/('DRAFT 2'!$D:$D=$B150),'DRAFT 2'!$K:$K),"")</f>
        <v/>
      </c>
      <c r="BG150" s="116">
        <f>IFERROR(LOOKUP(2,1/('DRAFT 2'!$D:$D=$B150),'DRAFT 2'!$U:$U),"")</f>
        <v/>
      </c>
      <c r="BH150" s="116">
        <f>IFERROR(LOOKUP(2,1/('DRAFT 2'!$D:$D=$B150),'DRAFT 2'!$V:$V),"")</f>
        <v/>
      </c>
      <c r="CE150" s="116">
        <f>IFERROR(AJ150,0)</f>
        <v/>
      </c>
      <c r="CF150" s="116">
        <f>IFERROR(LOOKUP(2,1/('DRAFT 2'!$D:$D=$B150)*('DRAFT 2'!$A:$A&gt;=DATE(2026,1,1))*('DRAFT 2'!$A:$A&lt;DATE(2026,IF(1=12,1+1,1+1),1)),'DRAFT 2'!$A:$A),"")</f>
        <v/>
      </c>
      <c r="CG150" s="116">
        <f>COUNTIFS('DRAFT 2'!$D:$D,$B150,'DRAFT 2'!$A:$A,"&gt;="&amp;DATE(2026,1,1),'DRAFT 2'!$A:$A,"&lt;="&amp;DATE(2026,1,7))</f>
        <v/>
      </c>
      <c r="CH150" s="116">
        <f>COUNTIFS('DRAFT 2'!$D:$D,$B150,'DRAFT 2'!$A:$A,"&gt;="&amp;DATE(2026,1,8),'DRAFT 2'!$A:$A,"&lt;="&amp;DATE(2026,1,14))</f>
        <v/>
      </c>
      <c r="CI150" s="116">
        <f>COUNTIFS('DRAFT 2'!$D:$D,$B150,'DRAFT 2'!$A:$A,"&gt;="&amp;DATE(2026,1,15),'DRAFT 2'!$A:$A,"&lt;="&amp;DATE(2026,1,21))</f>
        <v/>
      </c>
      <c r="CJ150" s="116">
        <f>COUNTIFS('DRAFT 2'!$D:$D,$B150,'DRAFT 2'!$A:$A,"&gt;="&amp;DATE(2026,1,22),'DRAFT 2'!$A:$A,"&lt;"&amp;DATE(2026,IF(1=12,1+1,1+1),1))</f>
        <v/>
      </c>
      <c r="CK150" s="116">
        <f>SUM(CG150:CJ150)</f>
        <v/>
      </c>
      <c r="CT150" s="116" t="n">
        <v>0</v>
      </c>
      <c r="CU150" s="116">
        <f>IFERROR(LOOKUP(2,1/('DRAFT 2'!$D:$D=$B150)*('DRAFT 2'!$A:$A&gt;=DATE(2026,2,1))*('DRAFT 2'!$A:$A&lt;DATE(2026,IF(2=12,2+1,2+1),1)),'DRAFT 2'!$A:$A),"")</f>
        <v/>
      </c>
      <c r="CV150" s="116">
        <f>COUNTIFS('DRAFT 2'!$D:$D,$B150,'DRAFT 2'!$A:$A,"&gt;="&amp;DATE(2026,2,1),'DRAFT 2'!$A:$A,"&lt;="&amp;DATE(2026,2,7))</f>
        <v/>
      </c>
      <c r="CW150" s="116">
        <f>COUNTIFS('DRAFT 2'!$D:$D,$B150,'DRAFT 2'!$A:$A,"&gt;="&amp;DATE(2026,2,8),'DRAFT 2'!$A:$A,"&lt;="&amp;DATE(2026,2,14))</f>
        <v/>
      </c>
      <c r="CX150" s="116">
        <f>COUNTIFS('DRAFT 2'!$D:$D,$B150,'DRAFT 2'!$A:$A,"&gt;="&amp;DATE(2026,2,15),'DRAFT 2'!$A:$A,"&lt;="&amp;DATE(2026,2,21))</f>
        <v/>
      </c>
      <c r="CY150" s="116">
        <f>COUNTIFS('DRAFT 2'!$D:$D,$B150,'DRAFT 2'!$A:$A,"&gt;="&amp;DATE(2026,2,22),'DRAFT 2'!$A:$A,"&lt;"&amp;DATE(2026,IF(2=12,2+1,2+1),1))</f>
        <v/>
      </c>
      <c r="CZ150" s="116">
        <f>SUM(CV150:CY150)</f>
        <v/>
      </c>
      <c r="DJ150" s="116">
        <f>IFERROR(LOOKUP(2,1/('DRAFT 2'!$D:$D=$B150)*('DRAFT 2'!$A:$A&gt;=DATE(2026,3,1))*('DRAFT 2'!$A:$A&lt;DATE(2026,IF(3=12,3+1,3+1),1)),'DRAFT 2'!$A:$A),"")</f>
        <v/>
      </c>
      <c r="DK150" s="116">
        <f>COUNTIFS('DRAFT 2'!$D:$D,$B150,'DRAFT 2'!$A:$A,"&gt;="&amp;DATE(2026,3,1),'DRAFT 2'!$A:$A,"&lt;="&amp;DATE(2026,3,7))</f>
        <v/>
      </c>
      <c r="DL150" s="116">
        <f>COUNTIFS('DRAFT 2'!$D:$D,$B150,'DRAFT 2'!$A:$A,"&gt;="&amp;DATE(2026,3,8),'DRAFT 2'!$A:$A,"&lt;="&amp;DATE(2026,3,14))</f>
        <v/>
      </c>
      <c r="DM150" s="116">
        <f>COUNTIFS('DRAFT 2'!$D:$D,$B150,'DRAFT 2'!$A:$A,"&gt;="&amp;DATE(2026,3,15),'DRAFT 2'!$A:$A,"&lt;="&amp;DATE(2026,3,21))</f>
        <v/>
      </c>
      <c r="DN150" s="116">
        <f>COUNTIFS('DRAFT 2'!$D:$D,$B150,'DRAFT 2'!$A:$A,"&gt;="&amp;DATE(2026,3,22),'DRAFT 2'!$A:$A,"&lt;"&amp;DATE(2026,IF(3=12,3+1,3+1),1))</f>
        <v/>
      </c>
      <c r="DO150" s="116">
        <f>SUM(DK150:DN150)</f>
        <v/>
      </c>
      <c r="DZ150" s="116">
        <f>IFERROR(LOOKUP(2,1/('DRAFT 2'!$D:$D=$B150)*('DRAFT 2'!$A:$A&gt;=DATE(2026,4,1))*('DRAFT 2'!$A:$A&lt;DATE(2026,IF(4=12,4+1,4+1),1)),'DRAFT 2'!$A:$A),"")</f>
        <v/>
      </c>
      <c r="EA150" s="116">
        <f>COUNTIFS('DRAFT 2'!$D:$D,$B150,'DRAFT 2'!$A:$A,"&gt;="&amp;DATE(2026,4,1),'DRAFT 2'!$A:$A,"&lt;="&amp;DATE(2026,4,7))</f>
        <v/>
      </c>
      <c r="EB150" s="116">
        <f>COUNTIFS('DRAFT 2'!$D:$D,$B150,'DRAFT 2'!$A:$A,"&gt;="&amp;DATE(2026,4,8),'DRAFT 2'!$A:$A,"&lt;="&amp;DATE(2026,4,14))</f>
        <v/>
      </c>
      <c r="EC150" s="116">
        <f>COUNTIFS('DRAFT 2'!$D:$D,$B150,'DRAFT 2'!$A:$A,"&gt;="&amp;DATE(2026,4,15),'DRAFT 2'!$A:$A,"&lt;="&amp;DATE(2026,4,21))</f>
        <v/>
      </c>
      <c r="ED150" s="116">
        <f>COUNTIFS('DRAFT 2'!$D:$D,$B150,'DRAFT 2'!$A:$A,"&gt;="&amp;DATE(2026,4,22),'DRAFT 2'!$A:$A,"&lt;"&amp;DATE(2026,IF(4=12,4+1,4+1),1))</f>
        <v/>
      </c>
      <c r="EE150" s="116">
        <f>SUM(EA150:ED150)</f>
        <v/>
      </c>
      <c r="EO150" s="116">
        <f>IFERROR(LOOKUP(2,1/('DRAFT 2'!$D:$D=$B150)*('DRAFT 2'!$A:$A&gt;=DATE(2026,5,1))*('DRAFT 2'!$A:$A&lt;DATE(2026,IF(5=12,5+1,5+1),1)),'DRAFT 2'!$A:$A),"")</f>
        <v/>
      </c>
      <c r="EP150" s="116">
        <f>COUNTIFS('DRAFT 2'!$D:$D,$B150,'DRAFT 2'!$A:$A,"&gt;="&amp;DATE(2026,5,1),'DRAFT 2'!$A:$A,"&lt;="&amp;DATE(2026,5,7))</f>
        <v/>
      </c>
      <c r="EQ150" s="116">
        <f>COUNTIFS('DRAFT 2'!$D:$D,$B150,'DRAFT 2'!$A:$A,"&gt;="&amp;DATE(2026,5,8),'DRAFT 2'!$A:$A,"&lt;="&amp;DATE(2026,5,14))</f>
        <v/>
      </c>
      <c r="ER150" s="116">
        <f>COUNTIFS('DRAFT 2'!$D:$D,$B150,'DRAFT 2'!$A:$A,"&gt;="&amp;DATE(2026,5,15),'DRAFT 2'!$A:$A,"&lt;="&amp;DATE(2026,5,21))</f>
        <v/>
      </c>
      <c r="ES150" s="116">
        <f>COUNTIFS('DRAFT 2'!$D:$D,$B150,'DRAFT 2'!$A:$A,"&gt;="&amp;DATE(2026,5,22),'DRAFT 2'!$A:$A,"&lt;"&amp;DATE(2026,IF(5=12,5+1,5+1),1))</f>
        <v/>
      </c>
      <c r="ET150" s="116">
        <f>SUM(EP150:ES150)</f>
        <v/>
      </c>
      <c r="FD150" s="116">
        <f>IFERROR(LOOKUP(2,1/('DRAFT 2'!$D:$D=$B150)*('DRAFT 2'!$A:$A&gt;=DATE(2026,6,1))*('DRAFT 2'!$A:$A&lt;DATE(2026,IF(6=12,6+1,6+1),1)),'DRAFT 2'!$A:$A),"")</f>
        <v/>
      </c>
      <c r="FE150" s="116">
        <f>COUNTIFS('DRAFT 2'!$D:$D,$B150,'DRAFT 2'!$A:$A,"&gt;="&amp;DATE(2026,6,1),'DRAFT 2'!$A:$A,"&lt;="&amp;DATE(2026,6,7))</f>
        <v/>
      </c>
      <c r="FF150" s="116">
        <f>COUNTIFS('DRAFT 2'!$D:$D,$B150,'DRAFT 2'!$A:$A,"&gt;="&amp;DATE(2026,6,8),'DRAFT 2'!$A:$A,"&lt;="&amp;DATE(2026,6,14))</f>
        <v/>
      </c>
      <c r="FG150" s="116">
        <f>COUNTIFS('DRAFT 2'!$D:$D,$B150,'DRAFT 2'!$A:$A,"&gt;="&amp;DATE(2026,6,15),'DRAFT 2'!$A:$A,"&lt;="&amp;DATE(2026,6,21))</f>
        <v/>
      </c>
      <c r="FH150" s="116">
        <f>COUNTIFS('DRAFT 2'!$D:$D,$B150,'DRAFT 2'!$A:$A,"&gt;="&amp;DATE(2026,6,22),'DRAFT 2'!$A:$A,"&lt;"&amp;DATE(2026,IF(6=12,6+1,6+1),1))</f>
        <v/>
      </c>
      <c r="FI150" s="116">
        <f>SUM(FE150:FH150)</f>
        <v/>
      </c>
      <c r="FT150" s="116">
        <f>IFERROR(LOOKUP(2,1/('DRAFT 2'!$D:$D=$B150)*('DRAFT 2'!$A:$A&gt;=DATE(2026,7,1))*('DRAFT 2'!$A:$A&lt;DATE(2026,IF(7=12,7+1,7+1),1)),'DRAFT 2'!$A:$A),"")</f>
        <v/>
      </c>
      <c r="FU150" s="116">
        <f>COUNTIFS('DRAFT 2'!$D:$D,$B150,'DRAFT 2'!$A:$A,"&gt;="&amp;DATE(2026,7,1),'DRAFT 2'!$A:$A,"&lt;="&amp;DATE(2026,7,7))</f>
        <v/>
      </c>
      <c r="FV150" s="116">
        <f>COUNTIFS('DRAFT 2'!$D:$D,$B150,'DRAFT 2'!$A:$A,"&gt;="&amp;DATE(2026,7,8),'DRAFT 2'!$A:$A,"&lt;="&amp;DATE(2026,7,14))</f>
        <v/>
      </c>
      <c r="FW150" s="116">
        <f>COUNTIFS('DRAFT 2'!$D:$D,$B150,'DRAFT 2'!$A:$A,"&gt;="&amp;DATE(2026,7,15),'DRAFT 2'!$A:$A,"&lt;="&amp;DATE(2026,7,21))</f>
        <v/>
      </c>
      <c r="FX150" s="116">
        <f>COUNTIFS('DRAFT 2'!$D:$D,$B150,'DRAFT 2'!$A:$A,"&gt;="&amp;DATE(2026,7,22),'DRAFT 2'!$A:$A,"&lt;"&amp;DATE(2026,IF(7=12,7+1,7+1),1))</f>
        <v/>
      </c>
      <c r="FY150" s="116">
        <f>SUM(FU150:FX150)</f>
        <v/>
      </c>
      <c r="GI150" s="116">
        <f>IFERROR(LOOKUP(2,1/('DRAFT 2'!$D:$D=$B150)*('DRAFT 2'!$A:$A&gt;=DATE(2026,8,1))*('DRAFT 2'!$A:$A&lt;DATE(2026,IF(8=12,8+1,8+1),1)),'DRAFT 2'!$A:$A),"")</f>
        <v/>
      </c>
      <c r="GJ150" s="116">
        <f>COUNTIFS('DRAFT 2'!$D:$D,$B150,'DRAFT 2'!$A:$A,"&gt;="&amp;DATE(2026,8,1),'DRAFT 2'!$A:$A,"&lt;="&amp;DATE(2026,8,7))</f>
        <v/>
      </c>
      <c r="GK150" s="116">
        <f>COUNTIFS('DRAFT 2'!$D:$D,$B150,'DRAFT 2'!$A:$A,"&gt;="&amp;DATE(2026,8,8),'DRAFT 2'!$A:$A,"&lt;="&amp;DATE(2026,8,14))</f>
        <v/>
      </c>
      <c r="GL150" s="116">
        <f>COUNTIFS('DRAFT 2'!$D:$D,$B150,'DRAFT 2'!$A:$A,"&gt;="&amp;DATE(2026,8,15),'DRAFT 2'!$A:$A,"&lt;="&amp;DATE(2026,8,21))</f>
        <v/>
      </c>
      <c r="GM150" s="116">
        <f>COUNTIFS('DRAFT 2'!$D:$D,$B150,'DRAFT 2'!$A:$A,"&gt;="&amp;DATE(2026,8,22),'DRAFT 2'!$A:$A,"&lt;"&amp;DATE(2026,IF(8=12,8+1,8+1),1))</f>
        <v/>
      </c>
      <c r="GN150" s="116">
        <f>SUM(GJ150:GM150)</f>
        <v/>
      </c>
      <c r="GX150" s="116">
        <f>IFERROR(LOOKUP(2,1/('DRAFT 2'!$D:$D=$B150)*('DRAFT 2'!$A:$A&gt;=DATE(2026,9,1))*('DRAFT 2'!$A:$A&lt;DATE(2026,IF(9=12,9+1,9+1),1)),'DRAFT 2'!$A:$A),"")</f>
        <v/>
      </c>
      <c r="GY150" s="116">
        <f>COUNTIFS('DRAFT 2'!$D:$D,$B150,'DRAFT 2'!$A:$A,"&gt;="&amp;DATE(2026,9,1),'DRAFT 2'!$A:$A,"&lt;="&amp;DATE(2026,9,7))</f>
        <v/>
      </c>
      <c r="GZ150" s="116">
        <f>COUNTIFS('DRAFT 2'!$D:$D,$B150,'DRAFT 2'!$A:$A,"&gt;="&amp;DATE(2026,9,8),'DRAFT 2'!$A:$A,"&lt;="&amp;DATE(2026,9,14))</f>
        <v/>
      </c>
      <c r="HA150" s="116">
        <f>COUNTIFS('DRAFT 2'!$D:$D,$B150,'DRAFT 2'!$A:$A,"&gt;="&amp;DATE(2026,9,15),'DRAFT 2'!$A:$A,"&lt;="&amp;DATE(2026,9,21))</f>
        <v/>
      </c>
      <c r="HB150" s="116">
        <f>COUNTIFS('DRAFT 2'!$D:$D,$B150,'DRAFT 2'!$A:$A,"&gt;="&amp;DATE(2026,9,22),'DRAFT 2'!$A:$A,"&lt;"&amp;DATE(2026,IF(9=12,9+1,9+1),1))</f>
        <v/>
      </c>
      <c r="HC150" s="116">
        <f>SUM(GY150:HB150)</f>
        <v/>
      </c>
      <c r="HN150" s="116">
        <f>IFERROR(LOOKUP(2,1/('DRAFT 2'!$D:$D=$B150)*('DRAFT 2'!$A:$A&gt;=DATE(2026,10,1))*('DRAFT 2'!$A:$A&lt;DATE(2026,IF(10=12,10+1,10+1),1)),'DRAFT 2'!$A:$A),"")</f>
        <v/>
      </c>
      <c r="HO150" s="116">
        <f>COUNTIFS('DRAFT 2'!$D:$D,$B150,'DRAFT 2'!$A:$A,"&gt;="&amp;DATE(2026,10,1),'DRAFT 2'!$A:$A,"&lt;="&amp;DATE(2026,10,7))</f>
        <v/>
      </c>
      <c r="HP150" s="116">
        <f>COUNTIFS('DRAFT 2'!$D:$D,$B150,'DRAFT 2'!$A:$A,"&gt;="&amp;DATE(2026,10,8),'DRAFT 2'!$A:$A,"&lt;="&amp;DATE(2026,10,14))</f>
        <v/>
      </c>
      <c r="HQ150" s="116">
        <f>COUNTIFS('DRAFT 2'!$D:$D,$B150,'DRAFT 2'!$A:$A,"&gt;="&amp;DATE(2026,10,15),'DRAFT 2'!$A:$A,"&lt;="&amp;DATE(2026,10,21))</f>
        <v/>
      </c>
      <c r="HR150" s="116">
        <f>COUNTIFS('DRAFT 2'!$D:$D,$B150,'DRAFT 2'!$A:$A,"&gt;="&amp;DATE(2026,10,22),'DRAFT 2'!$A:$A,"&lt;"&amp;DATE(2026,IF(10=12,10+1,10+1),1))</f>
        <v/>
      </c>
      <c r="HS150" s="116">
        <f>SUM(HO150:HR150)</f>
        <v/>
      </c>
      <c r="IC150" s="116">
        <f>IFERROR(LOOKUP(2,1/('DRAFT 2'!$D:$D=$B150)*('DRAFT 2'!$A:$A&gt;=DATE(2026,11,1))*('DRAFT 2'!$A:$A&lt;DATE(2026,IF(11=12,11+1,11+1),1)),'DRAFT 2'!$A:$A),"")</f>
        <v/>
      </c>
      <c r="ID150" s="116">
        <f>COUNTIFS('DRAFT 2'!$D:$D,$B150,'DRAFT 2'!$A:$A,"&gt;="&amp;DATE(2026,11,1),'DRAFT 2'!$A:$A,"&lt;="&amp;DATE(2026,11,7))</f>
        <v/>
      </c>
      <c r="IE150" s="116">
        <f>COUNTIFS('DRAFT 2'!$D:$D,$B150,'DRAFT 2'!$A:$A,"&gt;="&amp;DATE(2026,11,8),'DRAFT 2'!$A:$A,"&lt;="&amp;DATE(2026,11,14))</f>
        <v/>
      </c>
      <c r="IF150" s="116">
        <f>COUNTIFS('DRAFT 2'!$D:$D,$B150,'DRAFT 2'!$A:$A,"&gt;="&amp;DATE(2026,11,15),'DRAFT 2'!$A:$A,"&lt;="&amp;DATE(2026,11,21))</f>
        <v/>
      </c>
      <c r="IG150" s="116">
        <f>COUNTIFS('DRAFT 2'!$D:$D,$B150,'DRAFT 2'!$A:$A,"&gt;="&amp;DATE(2026,11,22),'DRAFT 2'!$A:$A,"&lt;"&amp;DATE(2026,IF(11=12,11+1,11+1),1))</f>
        <v/>
      </c>
      <c r="IH150" s="116">
        <f>SUM(ID150:IG150)</f>
        <v/>
      </c>
      <c r="IR150" s="116">
        <f>IFERROR(LOOKUP(2,1/('DRAFT 2'!$D:$D=$B150)*('DRAFT 2'!$A:$A&gt;=DATE(2026,12,1))*('DRAFT 2'!$A:$A&lt;DATE(2026,IF(12=12,12+1,12+1),1)),'DRAFT 2'!$A:$A),"")</f>
        <v/>
      </c>
      <c r="IS150" s="116">
        <f>COUNTIFS('DRAFT 2'!$D:$D,$B150,'DRAFT 2'!$A:$A,"&gt;="&amp;DATE(2026,12,1),'DRAFT 2'!$A:$A,"&lt;="&amp;DATE(2026,12,7))</f>
        <v/>
      </c>
      <c r="IT150" s="116">
        <f>COUNTIFS('DRAFT 2'!$D:$D,$B150,'DRAFT 2'!$A:$A,"&gt;="&amp;DATE(2026,12,8),'DRAFT 2'!$A:$A,"&lt;="&amp;DATE(2026,12,14))</f>
        <v/>
      </c>
      <c r="IU150" s="116">
        <f>COUNTIFS('DRAFT 2'!$D:$D,$B150,'DRAFT 2'!$A:$A,"&gt;="&amp;DATE(2026,12,15),'DRAFT 2'!$A:$A,"&lt;="&amp;DATE(2026,12,21))</f>
        <v/>
      </c>
      <c r="IV150" s="116">
        <f>COUNTIFS('DRAFT 2'!$D:$D,$B150,'DRAFT 2'!$A:$A,"&gt;="&amp;DATE(2026,12,22),'DRAFT 2'!$A:$A,"&lt;"&amp;DATE(2026,IF(12=12,12+1,12+1),1))</f>
        <v/>
      </c>
      <c r="IW150" s="116">
        <f>SUM(IS150:IV150)</f>
        <v/>
      </c>
    </row>
    <row r="151">
      <c r="A151" s="116">
        <f>IFERROR(INDEX('DRAFT 1'!$A:$A,MATCH($B151,'DRAFT 1'!$B:$B,0)),"")</f>
        <v/>
      </c>
      <c r="C151" s="116">
        <f>IFERROR(INDEX('DRAFT 1'!$C:$C,MATCH($B151,'DRAFT 1'!$B:$B,0)),"")</f>
        <v/>
      </c>
      <c r="D151" s="116">
        <f>IFERROR(INDEX('DRAFT 1'!$D:$D,MATCH($B151,'DRAFT 1'!$B:$B,0)),"")</f>
        <v/>
      </c>
      <c r="E151" s="116">
        <f>IFERROR(INDEX('DRAFT 1'!$E:$E,MATCH($B151,'DRAFT 1'!$B:$B,0)),"")</f>
        <v/>
      </c>
      <c r="F151" s="116">
        <f>IFERROR(INDEX('DRAFT 1'!$F:$F,MATCH($B151,'DRAFT 1'!$B:$B,0)),"")</f>
        <v/>
      </c>
      <c r="G151" s="116">
        <f>IFERROR(INDEX('DRAFT 1'!$G:$G,MATCH($B151,'DRAFT 1'!$B:$B,0)),"")</f>
        <v/>
      </c>
      <c r="H151" s="116">
        <f>IFERROR(INDEX('DRAFT 1'!$H:$H,MATCH($B151,'DRAFT 1'!$B:$B,0)),"")</f>
        <v/>
      </c>
      <c r="I151" s="116">
        <f>IFERROR(INDEX('DRAFT 1'!$I:$I,MATCH($B151,'DRAFT 1'!$B:$B,0)),"")</f>
        <v/>
      </c>
      <c r="K151" s="116">
        <f>IFERROR(INDEX('DRAFT 1'!$AL:$AL,MATCH($B151,'DRAFT 1'!$B:$B,0)),"")</f>
        <v/>
      </c>
      <c r="L151" s="116">
        <f>IFERROR(INDEX('DRAFT 1'!$J:$J,MATCH($B151,'DRAFT 1'!$B:$B,0)),"")</f>
        <v/>
      </c>
      <c r="M151" s="116">
        <f>IFERROR(INDEX('DRAFT 1'!$K:$K,MATCH($B151,'DRAFT 1'!$B:$B,0)),"")</f>
        <v/>
      </c>
      <c r="P151" s="116">
        <f>IFERROR(INDEX('DRAFT 1'!$L:$L,MATCH($B151,'DRAFT 1'!$B:$B,0)),"")</f>
        <v/>
      </c>
      <c r="Q151" s="116">
        <f>IFERROR(INDEX('DRAFT 1'!$M:$M,MATCH($B151,'DRAFT 1'!$B:$B,0)),"")</f>
        <v/>
      </c>
      <c r="R151" s="116">
        <f>IFERROR(INDEX('DRAFT 1'!$N:$N,MATCH($B151,'DRAFT 1'!$B:$B,0)),"")</f>
        <v/>
      </c>
      <c r="S151" s="116">
        <f>IFERROR(INDEX('DRAFT 1'!$O:$O,MATCH($B151,'DRAFT 1'!$B:$B,0)),"")</f>
        <v/>
      </c>
      <c r="T151" s="116">
        <f>IFERROR(INDEX('DRAFT 1'!$P:$P,MATCH($B151,'DRAFT 1'!$B:$B,0)),"")</f>
        <v/>
      </c>
      <c r="U151" s="116">
        <f>IFERROR(INDEX('DRAFT 1'!$Q:$Q,MATCH($B151,'DRAFT 1'!$B:$B,0)),"")</f>
        <v/>
      </c>
      <c r="V151" s="116">
        <f>IFERROR(INDEX('DRAFT 1'!$R:$R,MATCH($B151,'DRAFT 1'!$B:$B,0)),"")</f>
        <v/>
      </c>
      <c r="W151" s="116">
        <f>IFERROR(INDEX('DRAFT 1'!$S:$S,MATCH($B151,'DRAFT 1'!$B:$B,0)),"")</f>
        <v/>
      </c>
      <c r="X151" s="116">
        <f>IFERROR(INDEX('DRAFT 1'!$T:$T,MATCH($B151,'DRAFT 1'!$B:$B,0)),"")</f>
        <v/>
      </c>
      <c r="Z151" s="116">
        <f>IFERROR(INDEX('DRAFT 1'!$U:$U,MATCH($B151,'DRAFT 1'!$B:$B,0)),"")</f>
        <v/>
      </c>
      <c r="AA151" s="116">
        <f>IFERROR(INDEX('DRAFT 1'!$V:$V,MATCH($B151,'DRAFT 1'!$B:$B,0)),"")</f>
        <v/>
      </c>
      <c r="AB151" s="116">
        <f>IFERROR(INDEX('DRAFT 1'!$W:$W,MATCH($B151,'DRAFT 1'!$B:$B,0)),"")</f>
        <v/>
      </c>
      <c r="AC151" s="116">
        <f>IFERROR(INDEX('DRAFT 1'!$X:$X,MATCH($B151,'DRAFT 1'!$B:$B,0)),"")</f>
        <v/>
      </c>
      <c r="AD151" s="116">
        <f>IFERROR(INDEX('DRAFT 1'!$Y:$Y,MATCH($B151,'DRAFT 1'!$B:$B,0)),"")</f>
        <v/>
      </c>
      <c r="AE151" s="116">
        <f>IFERROR(INDEX('DRAFT 1'!$Z:$Z,MATCH($B151,'DRAFT 1'!$B:$B,0)),"")</f>
        <v/>
      </c>
      <c r="AF151" s="116">
        <f>IFERROR(INDEX('DRAFT 1'!$AA:$AA,MATCH($B151,'DRAFT 1'!$B:$B,0)),"")</f>
        <v/>
      </c>
      <c r="AG151" s="116">
        <f>IFERROR(INDEX('DRAFT 1'!$AB:$AB,MATCH($B151,'DRAFT 1'!$B:$B,0)),"")</f>
        <v/>
      </c>
      <c r="AH151" s="116">
        <f>IFERROR(INDEX('DRAFT 1'!$AC:$AC,MATCH($B151,'DRAFT 1'!$B:$B,0)),"")</f>
        <v/>
      </c>
      <c r="AI151" s="116">
        <f>IFERROR(INDEX('DRAFT 1'!$AD:$AD,MATCH($B151,'DRAFT 1'!$B:$B,0)),"")</f>
        <v/>
      </c>
      <c r="AJ151" s="116">
        <f>IFERROR(INDEX('DRAFT 1'!$AE:$AE,MATCH($B151,'DRAFT 1'!$B:$B,0)),"")</f>
        <v/>
      </c>
      <c r="AK151" s="116">
        <f>IFERROR(INDEX('DRAFT 1'!$AG:$AG,MATCH($B151,'DRAFT 1'!$B:$B,0)),"")</f>
        <v/>
      </c>
      <c r="AL151" s="116">
        <f>IFERROR(INDEX('DRAFT 1'!$AH:$AH,MATCH($B151,'DRAFT 1'!$B:$B,0)),"")</f>
        <v/>
      </c>
      <c r="AM151" s="116">
        <f>IFERROR(INDEX('DRAFT 1'!$AI:$AI,MATCH($B151,'DRAFT 1'!$B:$B,0)),"")</f>
        <v/>
      </c>
      <c r="AN151" s="116">
        <f>IFERROR(INDEX('DRAFT 1'!$AJ:$AJ,MATCH($B151,'DRAFT 1'!$B:$B,0)),"")</f>
        <v/>
      </c>
      <c r="AO151" s="116">
        <f>IFERROR(Y151/AN151,0)</f>
        <v/>
      </c>
      <c r="AP151" s="116">
        <f>IFERROR(INDEX('DRAFT 1'!$AK:$AK,MATCH($B151,'DRAFT 1'!$B:$B,0)),"")</f>
        <v/>
      </c>
      <c r="AR151" s="116">
        <f>IFERROR(LOOKUP(2,1/('DRAFT 2'!$D:$D=$B151),'DRAFT 2'!$I:$I),"")</f>
        <v/>
      </c>
      <c r="AS151" s="116">
        <f>IFERROR(LOOKUP(2,1/('DRAFT 2'!$D:$D=$B151),'DRAFT 2'!$T:$T),"")</f>
        <v/>
      </c>
      <c r="AT151" s="116">
        <f>IFERROR(LOOKUP(2,1/('DRAFT 2'!$D:$D=$B151),'DRAFT 2'!$A:$A),"")</f>
        <v/>
      </c>
      <c r="AU151" s="116">
        <f>IFERROR(LOOKUP(2,1/('DRAFT 2'!$D:$D=$B151),'DRAFT 2'!$R:$R),"")</f>
        <v/>
      </c>
      <c r="AV151" s="116">
        <f>IFERROR(LOOKUP(2,1/('DRAFT 2'!$D:$D=$B151),'DRAFT 2'!$S:$S),"")</f>
        <v/>
      </c>
      <c r="AX151" s="116">
        <f>IFERROR(LOOKUP(2,1/('DRAFT 2'!$D:$D=$B151),'DRAFT 2'!$M:$M),"")</f>
        <v/>
      </c>
      <c r="AY151" s="116">
        <f>IFERROR(LOOKUP(2,1/('DRAFT 2'!$D:$D=$B151),'DRAFT 2'!$K:$K),"")</f>
        <v/>
      </c>
      <c r="BG151" s="116">
        <f>IFERROR(LOOKUP(2,1/('DRAFT 2'!$D:$D=$B151),'DRAFT 2'!$U:$U),"")</f>
        <v/>
      </c>
      <c r="BH151" s="116">
        <f>IFERROR(LOOKUP(2,1/('DRAFT 2'!$D:$D=$B151),'DRAFT 2'!$V:$V),"")</f>
        <v/>
      </c>
      <c r="CE151" s="116">
        <f>IFERROR(AJ151,0)</f>
        <v/>
      </c>
      <c r="CF151" s="116">
        <f>IFERROR(LOOKUP(2,1/('DRAFT 2'!$D:$D=$B151)*('DRAFT 2'!$A:$A&gt;=DATE(2026,1,1))*('DRAFT 2'!$A:$A&lt;DATE(2026,IF(1=12,1+1,1+1),1)),'DRAFT 2'!$A:$A),"")</f>
        <v/>
      </c>
      <c r="CG151" s="116">
        <f>COUNTIFS('DRAFT 2'!$D:$D,$B151,'DRAFT 2'!$A:$A,"&gt;="&amp;DATE(2026,1,1),'DRAFT 2'!$A:$A,"&lt;="&amp;DATE(2026,1,7))</f>
        <v/>
      </c>
      <c r="CH151" s="116">
        <f>COUNTIFS('DRAFT 2'!$D:$D,$B151,'DRAFT 2'!$A:$A,"&gt;="&amp;DATE(2026,1,8),'DRAFT 2'!$A:$A,"&lt;="&amp;DATE(2026,1,14))</f>
        <v/>
      </c>
      <c r="CI151" s="116">
        <f>COUNTIFS('DRAFT 2'!$D:$D,$B151,'DRAFT 2'!$A:$A,"&gt;="&amp;DATE(2026,1,15),'DRAFT 2'!$A:$A,"&lt;="&amp;DATE(2026,1,21))</f>
        <v/>
      </c>
      <c r="CJ151" s="116">
        <f>COUNTIFS('DRAFT 2'!$D:$D,$B151,'DRAFT 2'!$A:$A,"&gt;="&amp;DATE(2026,1,22),'DRAFT 2'!$A:$A,"&lt;"&amp;DATE(2026,IF(1=12,1+1,1+1),1))</f>
        <v/>
      </c>
      <c r="CK151" s="116">
        <f>SUM(CG151:CJ151)</f>
        <v/>
      </c>
      <c r="CT151" s="116" t="n">
        <v>0</v>
      </c>
      <c r="CU151" s="116">
        <f>IFERROR(LOOKUP(2,1/('DRAFT 2'!$D:$D=$B151)*('DRAFT 2'!$A:$A&gt;=DATE(2026,2,1))*('DRAFT 2'!$A:$A&lt;DATE(2026,IF(2=12,2+1,2+1),1)),'DRAFT 2'!$A:$A),"")</f>
        <v/>
      </c>
      <c r="CV151" s="116">
        <f>COUNTIFS('DRAFT 2'!$D:$D,$B151,'DRAFT 2'!$A:$A,"&gt;="&amp;DATE(2026,2,1),'DRAFT 2'!$A:$A,"&lt;="&amp;DATE(2026,2,7))</f>
        <v/>
      </c>
      <c r="CW151" s="116">
        <f>COUNTIFS('DRAFT 2'!$D:$D,$B151,'DRAFT 2'!$A:$A,"&gt;="&amp;DATE(2026,2,8),'DRAFT 2'!$A:$A,"&lt;="&amp;DATE(2026,2,14))</f>
        <v/>
      </c>
      <c r="CX151" s="116">
        <f>COUNTIFS('DRAFT 2'!$D:$D,$B151,'DRAFT 2'!$A:$A,"&gt;="&amp;DATE(2026,2,15),'DRAFT 2'!$A:$A,"&lt;="&amp;DATE(2026,2,21))</f>
        <v/>
      </c>
      <c r="CY151" s="116">
        <f>COUNTIFS('DRAFT 2'!$D:$D,$B151,'DRAFT 2'!$A:$A,"&gt;="&amp;DATE(2026,2,22),'DRAFT 2'!$A:$A,"&lt;"&amp;DATE(2026,IF(2=12,2+1,2+1),1))</f>
        <v/>
      </c>
      <c r="CZ151" s="116">
        <f>SUM(CV151:CY151)</f>
        <v/>
      </c>
      <c r="DJ151" s="116">
        <f>IFERROR(LOOKUP(2,1/('DRAFT 2'!$D:$D=$B151)*('DRAFT 2'!$A:$A&gt;=DATE(2026,3,1))*('DRAFT 2'!$A:$A&lt;DATE(2026,IF(3=12,3+1,3+1),1)),'DRAFT 2'!$A:$A),"")</f>
        <v/>
      </c>
      <c r="DK151" s="116">
        <f>COUNTIFS('DRAFT 2'!$D:$D,$B151,'DRAFT 2'!$A:$A,"&gt;="&amp;DATE(2026,3,1),'DRAFT 2'!$A:$A,"&lt;="&amp;DATE(2026,3,7))</f>
        <v/>
      </c>
      <c r="DL151" s="116">
        <f>COUNTIFS('DRAFT 2'!$D:$D,$B151,'DRAFT 2'!$A:$A,"&gt;="&amp;DATE(2026,3,8),'DRAFT 2'!$A:$A,"&lt;="&amp;DATE(2026,3,14))</f>
        <v/>
      </c>
      <c r="DM151" s="116">
        <f>COUNTIFS('DRAFT 2'!$D:$D,$B151,'DRAFT 2'!$A:$A,"&gt;="&amp;DATE(2026,3,15),'DRAFT 2'!$A:$A,"&lt;="&amp;DATE(2026,3,21))</f>
        <v/>
      </c>
      <c r="DN151" s="116">
        <f>COUNTIFS('DRAFT 2'!$D:$D,$B151,'DRAFT 2'!$A:$A,"&gt;="&amp;DATE(2026,3,22),'DRAFT 2'!$A:$A,"&lt;"&amp;DATE(2026,IF(3=12,3+1,3+1),1))</f>
        <v/>
      </c>
      <c r="DO151" s="116">
        <f>SUM(DK151:DN151)</f>
        <v/>
      </c>
      <c r="DZ151" s="116">
        <f>IFERROR(LOOKUP(2,1/('DRAFT 2'!$D:$D=$B151)*('DRAFT 2'!$A:$A&gt;=DATE(2026,4,1))*('DRAFT 2'!$A:$A&lt;DATE(2026,IF(4=12,4+1,4+1),1)),'DRAFT 2'!$A:$A),"")</f>
        <v/>
      </c>
      <c r="EA151" s="116">
        <f>COUNTIFS('DRAFT 2'!$D:$D,$B151,'DRAFT 2'!$A:$A,"&gt;="&amp;DATE(2026,4,1),'DRAFT 2'!$A:$A,"&lt;="&amp;DATE(2026,4,7))</f>
        <v/>
      </c>
      <c r="EB151" s="116">
        <f>COUNTIFS('DRAFT 2'!$D:$D,$B151,'DRAFT 2'!$A:$A,"&gt;="&amp;DATE(2026,4,8),'DRAFT 2'!$A:$A,"&lt;="&amp;DATE(2026,4,14))</f>
        <v/>
      </c>
      <c r="EC151" s="116">
        <f>COUNTIFS('DRAFT 2'!$D:$D,$B151,'DRAFT 2'!$A:$A,"&gt;="&amp;DATE(2026,4,15),'DRAFT 2'!$A:$A,"&lt;="&amp;DATE(2026,4,21))</f>
        <v/>
      </c>
      <c r="ED151" s="116">
        <f>COUNTIFS('DRAFT 2'!$D:$D,$B151,'DRAFT 2'!$A:$A,"&gt;="&amp;DATE(2026,4,22),'DRAFT 2'!$A:$A,"&lt;"&amp;DATE(2026,IF(4=12,4+1,4+1),1))</f>
        <v/>
      </c>
      <c r="EE151" s="116">
        <f>SUM(EA151:ED151)</f>
        <v/>
      </c>
      <c r="EO151" s="116">
        <f>IFERROR(LOOKUP(2,1/('DRAFT 2'!$D:$D=$B151)*('DRAFT 2'!$A:$A&gt;=DATE(2026,5,1))*('DRAFT 2'!$A:$A&lt;DATE(2026,IF(5=12,5+1,5+1),1)),'DRAFT 2'!$A:$A),"")</f>
        <v/>
      </c>
      <c r="EP151" s="116">
        <f>COUNTIFS('DRAFT 2'!$D:$D,$B151,'DRAFT 2'!$A:$A,"&gt;="&amp;DATE(2026,5,1),'DRAFT 2'!$A:$A,"&lt;="&amp;DATE(2026,5,7))</f>
        <v/>
      </c>
      <c r="EQ151" s="116">
        <f>COUNTIFS('DRAFT 2'!$D:$D,$B151,'DRAFT 2'!$A:$A,"&gt;="&amp;DATE(2026,5,8),'DRAFT 2'!$A:$A,"&lt;="&amp;DATE(2026,5,14))</f>
        <v/>
      </c>
      <c r="ER151" s="116">
        <f>COUNTIFS('DRAFT 2'!$D:$D,$B151,'DRAFT 2'!$A:$A,"&gt;="&amp;DATE(2026,5,15),'DRAFT 2'!$A:$A,"&lt;="&amp;DATE(2026,5,21))</f>
        <v/>
      </c>
      <c r="ES151" s="116">
        <f>COUNTIFS('DRAFT 2'!$D:$D,$B151,'DRAFT 2'!$A:$A,"&gt;="&amp;DATE(2026,5,22),'DRAFT 2'!$A:$A,"&lt;"&amp;DATE(2026,IF(5=12,5+1,5+1),1))</f>
        <v/>
      </c>
      <c r="ET151" s="116">
        <f>SUM(EP151:ES151)</f>
        <v/>
      </c>
      <c r="FD151" s="116">
        <f>IFERROR(LOOKUP(2,1/('DRAFT 2'!$D:$D=$B151)*('DRAFT 2'!$A:$A&gt;=DATE(2026,6,1))*('DRAFT 2'!$A:$A&lt;DATE(2026,IF(6=12,6+1,6+1),1)),'DRAFT 2'!$A:$A),"")</f>
        <v/>
      </c>
      <c r="FE151" s="116">
        <f>COUNTIFS('DRAFT 2'!$D:$D,$B151,'DRAFT 2'!$A:$A,"&gt;="&amp;DATE(2026,6,1),'DRAFT 2'!$A:$A,"&lt;="&amp;DATE(2026,6,7))</f>
        <v/>
      </c>
      <c r="FF151" s="116">
        <f>COUNTIFS('DRAFT 2'!$D:$D,$B151,'DRAFT 2'!$A:$A,"&gt;="&amp;DATE(2026,6,8),'DRAFT 2'!$A:$A,"&lt;="&amp;DATE(2026,6,14))</f>
        <v/>
      </c>
      <c r="FG151" s="116">
        <f>COUNTIFS('DRAFT 2'!$D:$D,$B151,'DRAFT 2'!$A:$A,"&gt;="&amp;DATE(2026,6,15),'DRAFT 2'!$A:$A,"&lt;="&amp;DATE(2026,6,21))</f>
        <v/>
      </c>
      <c r="FH151" s="116">
        <f>COUNTIFS('DRAFT 2'!$D:$D,$B151,'DRAFT 2'!$A:$A,"&gt;="&amp;DATE(2026,6,22),'DRAFT 2'!$A:$A,"&lt;"&amp;DATE(2026,IF(6=12,6+1,6+1),1))</f>
        <v/>
      </c>
      <c r="FI151" s="116">
        <f>SUM(FE151:FH151)</f>
        <v/>
      </c>
      <c r="FT151" s="116">
        <f>IFERROR(LOOKUP(2,1/('DRAFT 2'!$D:$D=$B151)*('DRAFT 2'!$A:$A&gt;=DATE(2026,7,1))*('DRAFT 2'!$A:$A&lt;DATE(2026,IF(7=12,7+1,7+1),1)),'DRAFT 2'!$A:$A),"")</f>
        <v/>
      </c>
      <c r="FU151" s="116">
        <f>COUNTIFS('DRAFT 2'!$D:$D,$B151,'DRAFT 2'!$A:$A,"&gt;="&amp;DATE(2026,7,1),'DRAFT 2'!$A:$A,"&lt;="&amp;DATE(2026,7,7))</f>
        <v/>
      </c>
      <c r="FV151" s="116">
        <f>COUNTIFS('DRAFT 2'!$D:$D,$B151,'DRAFT 2'!$A:$A,"&gt;="&amp;DATE(2026,7,8),'DRAFT 2'!$A:$A,"&lt;="&amp;DATE(2026,7,14))</f>
        <v/>
      </c>
      <c r="FW151" s="116">
        <f>COUNTIFS('DRAFT 2'!$D:$D,$B151,'DRAFT 2'!$A:$A,"&gt;="&amp;DATE(2026,7,15),'DRAFT 2'!$A:$A,"&lt;="&amp;DATE(2026,7,21))</f>
        <v/>
      </c>
      <c r="FX151" s="116">
        <f>COUNTIFS('DRAFT 2'!$D:$D,$B151,'DRAFT 2'!$A:$A,"&gt;="&amp;DATE(2026,7,22),'DRAFT 2'!$A:$A,"&lt;"&amp;DATE(2026,IF(7=12,7+1,7+1),1))</f>
        <v/>
      </c>
      <c r="FY151" s="116">
        <f>SUM(FU151:FX151)</f>
        <v/>
      </c>
      <c r="GI151" s="116">
        <f>IFERROR(LOOKUP(2,1/('DRAFT 2'!$D:$D=$B151)*('DRAFT 2'!$A:$A&gt;=DATE(2026,8,1))*('DRAFT 2'!$A:$A&lt;DATE(2026,IF(8=12,8+1,8+1),1)),'DRAFT 2'!$A:$A),"")</f>
        <v/>
      </c>
      <c r="GJ151" s="116">
        <f>COUNTIFS('DRAFT 2'!$D:$D,$B151,'DRAFT 2'!$A:$A,"&gt;="&amp;DATE(2026,8,1),'DRAFT 2'!$A:$A,"&lt;="&amp;DATE(2026,8,7))</f>
        <v/>
      </c>
      <c r="GK151" s="116">
        <f>COUNTIFS('DRAFT 2'!$D:$D,$B151,'DRAFT 2'!$A:$A,"&gt;="&amp;DATE(2026,8,8),'DRAFT 2'!$A:$A,"&lt;="&amp;DATE(2026,8,14))</f>
        <v/>
      </c>
      <c r="GL151" s="116">
        <f>COUNTIFS('DRAFT 2'!$D:$D,$B151,'DRAFT 2'!$A:$A,"&gt;="&amp;DATE(2026,8,15),'DRAFT 2'!$A:$A,"&lt;="&amp;DATE(2026,8,21))</f>
        <v/>
      </c>
      <c r="GM151" s="116">
        <f>COUNTIFS('DRAFT 2'!$D:$D,$B151,'DRAFT 2'!$A:$A,"&gt;="&amp;DATE(2026,8,22),'DRAFT 2'!$A:$A,"&lt;"&amp;DATE(2026,IF(8=12,8+1,8+1),1))</f>
        <v/>
      </c>
      <c r="GN151" s="116">
        <f>SUM(GJ151:GM151)</f>
        <v/>
      </c>
      <c r="GX151" s="116">
        <f>IFERROR(LOOKUP(2,1/('DRAFT 2'!$D:$D=$B151)*('DRAFT 2'!$A:$A&gt;=DATE(2026,9,1))*('DRAFT 2'!$A:$A&lt;DATE(2026,IF(9=12,9+1,9+1),1)),'DRAFT 2'!$A:$A),"")</f>
        <v/>
      </c>
      <c r="GY151" s="116">
        <f>COUNTIFS('DRAFT 2'!$D:$D,$B151,'DRAFT 2'!$A:$A,"&gt;="&amp;DATE(2026,9,1),'DRAFT 2'!$A:$A,"&lt;="&amp;DATE(2026,9,7))</f>
        <v/>
      </c>
      <c r="GZ151" s="116">
        <f>COUNTIFS('DRAFT 2'!$D:$D,$B151,'DRAFT 2'!$A:$A,"&gt;="&amp;DATE(2026,9,8),'DRAFT 2'!$A:$A,"&lt;="&amp;DATE(2026,9,14))</f>
        <v/>
      </c>
      <c r="HA151" s="116">
        <f>COUNTIFS('DRAFT 2'!$D:$D,$B151,'DRAFT 2'!$A:$A,"&gt;="&amp;DATE(2026,9,15),'DRAFT 2'!$A:$A,"&lt;="&amp;DATE(2026,9,21))</f>
        <v/>
      </c>
      <c r="HB151" s="116">
        <f>COUNTIFS('DRAFT 2'!$D:$D,$B151,'DRAFT 2'!$A:$A,"&gt;="&amp;DATE(2026,9,22),'DRAFT 2'!$A:$A,"&lt;"&amp;DATE(2026,IF(9=12,9+1,9+1),1))</f>
        <v/>
      </c>
      <c r="HC151" s="116">
        <f>SUM(GY151:HB151)</f>
        <v/>
      </c>
      <c r="HN151" s="116">
        <f>IFERROR(LOOKUP(2,1/('DRAFT 2'!$D:$D=$B151)*('DRAFT 2'!$A:$A&gt;=DATE(2026,10,1))*('DRAFT 2'!$A:$A&lt;DATE(2026,IF(10=12,10+1,10+1),1)),'DRAFT 2'!$A:$A),"")</f>
        <v/>
      </c>
      <c r="HO151" s="116">
        <f>COUNTIFS('DRAFT 2'!$D:$D,$B151,'DRAFT 2'!$A:$A,"&gt;="&amp;DATE(2026,10,1),'DRAFT 2'!$A:$A,"&lt;="&amp;DATE(2026,10,7))</f>
        <v/>
      </c>
      <c r="HP151" s="116">
        <f>COUNTIFS('DRAFT 2'!$D:$D,$B151,'DRAFT 2'!$A:$A,"&gt;="&amp;DATE(2026,10,8),'DRAFT 2'!$A:$A,"&lt;="&amp;DATE(2026,10,14))</f>
        <v/>
      </c>
      <c r="HQ151" s="116">
        <f>COUNTIFS('DRAFT 2'!$D:$D,$B151,'DRAFT 2'!$A:$A,"&gt;="&amp;DATE(2026,10,15),'DRAFT 2'!$A:$A,"&lt;="&amp;DATE(2026,10,21))</f>
        <v/>
      </c>
      <c r="HR151" s="116">
        <f>COUNTIFS('DRAFT 2'!$D:$D,$B151,'DRAFT 2'!$A:$A,"&gt;="&amp;DATE(2026,10,22),'DRAFT 2'!$A:$A,"&lt;"&amp;DATE(2026,IF(10=12,10+1,10+1),1))</f>
        <v/>
      </c>
      <c r="HS151" s="116">
        <f>SUM(HO151:HR151)</f>
        <v/>
      </c>
      <c r="IC151" s="116">
        <f>IFERROR(LOOKUP(2,1/('DRAFT 2'!$D:$D=$B151)*('DRAFT 2'!$A:$A&gt;=DATE(2026,11,1))*('DRAFT 2'!$A:$A&lt;DATE(2026,IF(11=12,11+1,11+1),1)),'DRAFT 2'!$A:$A),"")</f>
        <v/>
      </c>
      <c r="ID151" s="116">
        <f>COUNTIFS('DRAFT 2'!$D:$D,$B151,'DRAFT 2'!$A:$A,"&gt;="&amp;DATE(2026,11,1),'DRAFT 2'!$A:$A,"&lt;="&amp;DATE(2026,11,7))</f>
        <v/>
      </c>
      <c r="IE151" s="116">
        <f>COUNTIFS('DRAFT 2'!$D:$D,$B151,'DRAFT 2'!$A:$A,"&gt;="&amp;DATE(2026,11,8),'DRAFT 2'!$A:$A,"&lt;="&amp;DATE(2026,11,14))</f>
        <v/>
      </c>
      <c r="IF151" s="116">
        <f>COUNTIFS('DRAFT 2'!$D:$D,$B151,'DRAFT 2'!$A:$A,"&gt;="&amp;DATE(2026,11,15),'DRAFT 2'!$A:$A,"&lt;="&amp;DATE(2026,11,21))</f>
        <v/>
      </c>
      <c r="IG151" s="116">
        <f>COUNTIFS('DRAFT 2'!$D:$D,$B151,'DRAFT 2'!$A:$A,"&gt;="&amp;DATE(2026,11,22),'DRAFT 2'!$A:$A,"&lt;"&amp;DATE(2026,IF(11=12,11+1,11+1),1))</f>
        <v/>
      </c>
      <c r="IH151" s="116">
        <f>SUM(ID151:IG151)</f>
        <v/>
      </c>
      <c r="IR151" s="116">
        <f>IFERROR(LOOKUP(2,1/('DRAFT 2'!$D:$D=$B151)*('DRAFT 2'!$A:$A&gt;=DATE(2026,12,1))*('DRAFT 2'!$A:$A&lt;DATE(2026,IF(12=12,12+1,12+1),1)),'DRAFT 2'!$A:$A),"")</f>
        <v/>
      </c>
      <c r="IS151" s="116">
        <f>COUNTIFS('DRAFT 2'!$D:$D,$B151,'DRAFT 2'!$A:$A,"&gt;="&amp;DATE(2026,12,1),'DRAFT 2'!$A:$A,"&lt;="&amp;DATE(2026,12,7))</f>
        <v/>
      </c>
      <c r="IT151" s="116">
        <f>COUNTIFS('DRAFT 2'!$D:$D,$B151,'DRAFT 2'!$A:$A,"&gt;="&amp;DATE(2026,12,8),'DRAFT 2'!$A:$A,"&lt;="&amp;DATE(2026,12,14))</f>
        <v/>
      </c>
      <c r="IU151" s="116">
        <f>COUNTIFS('DRAFT 2'!$D:$D,$B151,'DRAFT 2'!$A:$A,"&gt;="&amp;DATE(2026,12,15),'DRAFT 2'!$A:$A,"&lt;="&amp;DATE(2026,12,21))</f>
        <v/>
      </c>
      <c r="IV151" s="116">
        <f>COUNTIFS('DRAFT 2'!$D:$D,$B151,'DRAFT 2'!$A:$A,"&gt;="&amp;DATE(2026,12,22),'DRAFT 2'!$A:$A,"&lt;"&amp;DATE(2026,IF(12=12,12+1,12+1),1))</f>
        <v/>
      </c>
      <c r="IW151" s="116">
        <f>SUM(IS151:IV151)</f>
        <v/>
      </c>
    </row>
    <row r="152">
      <c r="A152" s="116">
        <f>IFERROR(INDEX('DRAFT 1'!$A:$A,MATCH($B152,'DRAFT 1'!$B:$B,0)),"")</f>
        <v/>
      </c>
      <c r="C152" s="116">
        <f>IFERROR(INDEX('DRAFT 1'!$C:$C,MATCH($B152,'DRAFT 1'!$B:$B,0)),"")</f>
        <v/>
      </c>
      <c r="D152" s="116">
        <f>IFERROR(INDEX('DRAFT 1'!$D:$D,MATCH($B152,'DRAFT 1'!$B:$B,0)),"")</f>
        <v/>
      </c>
      <c r="E152" s="116">
        <f>IFERROR(INDEX('DRAFT 1'!$E:$E,MATCH($B152,'DRAFT 1'!$B:$B,0)),"")</f>
        <v/>
      </c>
      <c r="F152" s="116">
        <f>IFERROR(INDEX('DRAFT 1'!$F:$F,MATCH($B152,'DRAFT 1'!$B:$B,0)),"")</f>
        <v/>
      </c>
      <c r="G152" s="116">
        <f>IFERROR(INDEX('DRAFT 1'!$G:$G,MATCH($B152,'DRAFT 1'!$B:$B,0)),"")</f>
        <v/>
      </c>
      <c r="H152" s="116">
        <f>IFERROR(INDEX('DRAFT 1'!$H:$H,MATCH($B152,'DRAFT 1'!$B:$B,0)),"")</f>
        <v/>
      </c>
      <c r="I152" s="116">
        <f>IFERROR(INDEX('DRAFT 1'!$I:$I,MATCH($B152,'DRAFT 1'!$B:$B,0)),"")</f>
        <v/>
      </c>
      <c r="K152" s="116">
        <f>IFERROR(INDEX('DRAFT 1'!$AL:$AL,MATCH($B152,'DRAFT 1'!$B:$B,0)),"")</f>
        <v/>
      </c>
      <c r="L152" s="116">
        <f>IFERROR(INDEX('DRAFT 1'!$J:$J,MATCH($B152,'DRAFT 1'!$B:$B,0)),"")</f>
        <v/>
      </c>
      <c r="M152" s="116">
        <f>IFERROR(INDEX('DRAFT 1'!$K:$K,MATCH($B152,'DRAFT 1'!$B:$B,0)),"")</f>
        <v/>
      </c>
      <c r="P152" s="116">
        <f>IFERROR(INDEX('DRAFT 1'!$L:$L,MATCH($B152,'DRAFT 1'!$B:$B,0)),"")</f>
        <v/>
      </c>
      <c r="Q152" s="116">
        <f>IFERROR(INDEX('DRAFT 1'!$M:$M,MATCH($B152,'DRAFT 1'!$B:$B,0)),"")</f>
        <v/>
      </c>
      <c r="R152" s="116">
        <f>IFERROR(INDEX('DRAFT 1'!$N:$N,MATCH($B152,'DRAFT 1'!$B:$B,0)),"")</f>
        <v/>
      </c>
      <c r="S152" s="116">
        <f>IFERROR(INDEX('DRAFT 1'!$O:$O,MATCH($B152,'DRAFT 1'!$B:$B,0)),"")</f>
        <v/>
      </c>
      <c r="T152" s="116">
        <f>IFERROR(INDEX('DRAFT 1'!$P:$P,MATCH($B152,'DRAFT 1'!$B:$B,0)),"")</f>
        <v/>
      </c>
      <c r="U152" s="116">
        <f>IFERROR(INDEX('DRAFT 1'!$Q:$Q,MATCH($B152,'DRAFT 1'!$B:$B,0)),"")</f>
        <v/>
      </c>
      <c r="V152" s="116">
        <f>IFERROR(INDEX('DRAFT 1'!$R:$R,MATCH($B152,'DRAFT 1'!$B:$B,0)),"")</f>
        <v/>
      </c>
      <c r="W152" s="116">
        <f>IFERROR(INDEX('DRAFT 1'!$S:$S,MATCH($B152,'DRAFT 1'!$B:$B,0)),"")</f>
        <v/>
      </c>
      <c r="X152" s="116">
        <f>IFERROR(INDEX('DRAFT 1'!$T:$T,MATCH($B152,'DRAFT 1'!$B:$B,0)),"")</f>
        <v/>
      </c>
      <c r="Z152" s="116">
        <f>IFERROR(INDEX('DRAFT 1'!$U:$U,MATCH($B152,'DRAFT 1'!$B:$B,0)),"")</f>
        <v/>
      </c>
      <c r="AA152" s="116">
        <f>IFERROR(INDEX('DRAFT 1'!$V:$V,MATCH($B152,'DRAFT 1'!$B:$B,0)),"")</f>
        <v/>
      </c>
      <c r="AB152" s="116">
        <f>IFERROR(INDEX('DRAFT 1'!$W:$W,MATCH($B152,'DRAFT 1'!$B:$B,0)),"")</f>
        <v/>
      </c>
      <c r="AC152" s="116">
        <f>IFERROR(INDEX('DRAFT 1'!$X:$X,MATCH($B152,'DRAFT 1'!$B:$B,0)),"")</f>
        <v/>
      </c>
      <c r="AD152" s="116">
        <f>IFERROR(INDEX('DRAFT 1'!$Y:$Y,MATCH($B152,'DRAFT 1'!$B:$B,0)),"")</f>
        <v/>
      </c>
      <c r="AE152" s="116">
        <f>IFERROR(INDEX('DRAFT 1'!$Z:$Z,MATCH($B152,'DRAFT 1'!$B:$B,0)),"")</f>
        <v/>
      </c>
      <c r="AF152" s="116">
        <f>IFERROR(INDEX('DRAFT 1'!$AA:$AA,MATCH($B152,'DRAFT 1'!$B:$B,0)),"")</f>
        <v/>
      </c>
      <c r="AG152" s="116">
        <f>IFERROR(INDEX('DRAFT 1'!$AB:$AB,MATCH($B152,'DRAFT 1'!$B:$B,0)),"")</f>
        <v/>
      </c>
      <c r="AH152" s="116">
        <f>IFERROR(INDEX('DRAFT 1'!$AC:$AC,MATCH($B152,'DRAFT 1'!$B:$B,0)),"")</f>
        <v/>
      </c>
      <c r="AI152" s="116">
        <f>IFERROR(INDEX('DRAFT 1'!$AD:$AD,MATCH($B152,'DRAFT 1'!$B:$B,0)),"")</f>
        <v/>
      </c>
      <c r="AJ152" s="116">
        <f>IFERROR(INDEX('DRAFT 1'!$AE:$AE,MATCH($B152,'DRAFT 1'!$B:$B,0)),"")</f>
        <v/>
      </c>
      <c r="AK152" s="116">
        <f>IFERROR(INDEX('DRAFT 1'!$AG:$AG,MATCH($B152,'DRAFT 1'!$B:$B,0)),"")</f>
        <v/>
      </c>
      <c r="AL152" s="116">
        <f>IFERROR(INDEX('DRAFT 1'!$AH:$AH,MATCH($B152,'DRAFT 1'!$B:$B,0)),"")</f>
        <v/>
      </c>
      <c r="AM152" s="116">
        <f>IFERROR(INDEX('DRAFT 1'!$AI:$AI,MATCH($B152,'DRAFT 1'!$B:$B,0)),"")</f>
        <v/>
      </c>
      <c r="AN152" s="116">
        <f>IFERROR(INDEX('DRAFT 1'!$AJ:$AJ,MATCH($B152,'DRAFT 1'!$B:$B,0)),"")</f>
        <v/>
      </c>
      <c r="AO152" s="116">
        <f>IFERROR(Y152/AN152,0)</f>
        <v/>
      </c>
      <c r="AP152" s="116">
        <f>IFERROR(INDEX('DRAFT 1'!$AK:$AK,MATCH($B152,'DRAFT 1'!$B:$B,0)),"")</f>
        <v/>
      </c>
      <c r="AR152" s="116">
        <f>IFERROR(LOOKUP(2,1/('DRAFT 2'!$D:$D=$B152),'DRAFT 2'!$I:$I),"")</f>
        <v/>
      </c>
      <c r="AS152" s="116">
        <f>IFERROR(LOOKUP(2,1/('DRAFT 2'!$D:$D=$B152),'DRAFT 2'!$T:$T),"")</f>
        <v/>
      </c>
      <c r="AT152" s="116">
        <f>IFERROR(LOOKUP(2,1/('DRAFT 2'!$D:$D=$B152),'DRAFT 2'!$A:$A),"")</f>
        <v/>
      </c>
      <c r="AU152" s="116">
        <f>IFERROR(LOOKUP(2,1/('DRAFT 2'!$D:$D=$B152),'DRAFT 2'!$R:$R),"")</f>
        <v/>
      </c>
      <c r="AV152" s="116">
        <f>IFERROR(LOOKUP(2,1/('DRAFT 2'!$D:$D=$B152),'DRAFT 2'!$S:$S),"")</f>
        <v/>
      </c>
      <c r="AX152" s="116">
        <f>IFERROR(LOOKUP(2,1/('DRAFT 2'!$D:$D=$B152),'DRAFT 2'!$M:$M),"")</f>
        <v/>
      </c>
      <c r="AY152" s="116">
        <f>IFERROR(LOOKUP(2,1/('DRAFT 2'!$D:$D=$B152),'DRAFT 2'!$K:$K),"")</f>
        <v/>
      </c>
      <c r="BG152" s="116">
        <f>IFERROR(LOOKUP(2,1/('DRAFT 2'!$D:$D=$B152),'DRAFT 2'!$U:$U),"")</f>
        <v/>
      </c>
      <c r="BH152" s="116">
        <f>IFERROR(LOOKUP(2,1/('DRAFT 2'!$D:$D=$B152),'DRAFT 2'!$V:$V),"")</f>
        <v/>
      </c>
      <c r="CE152" s="116">
        <f>IFERROR(AJ152,0)</f>
        <v/>
      </c>
      <c r="CF152" s="116">
        <f>IFERROR(LOOKUP(2,1/('DRAFT 2'!$D:$D=$B152)*('DRAFT 2'!$A:$A&gt;=DATE(2026,1,1))*('DRAFT 2'!$A:$A&lt;DATE(2026,IF(1=12,1+1,1+1),1)),'DRAFT 2'!$A:$A),"")</f>
        <v/>
      </c>
      <c r="CG152" s="116">
        <f>COUNTIFS('DRAFT 2'!$D:$D,$B152,'DRAFT 2'!$A:$A,"&gt;="&amp;DATE(2026,1,1),'DRAFT 2'!$A:$A,"&lt;="&amp;DATE(2026,1,7))</f>
        <v/>
      </c>
      <c r="CH152" s="116">
        <f>COUNTIFS('DRAFT 2'!$D:$D,$B152,'DRAFT 2'!$A:$A,"&gt;="&amp;DATE(2026,1,8),'DRAFT 2'!$A:$A,"&lt;="&amp;DATE(2026,1,14))</f>
        <v/>
      </c>
      <c r="CI152" s="116">
        <f>COUNTIFS('DRAFT 2'!$D:$D,$B152,'DRAFT 2'!$A:$A,"&gt;="&amp;DATE(2026,1,15),'DRAFT 2'!$A:$A,"&lt;="&amp;DATE(2026,1,21))</f>
        <v/>
      </c>
      <c r="CJ152" s="116">
        <f>COUNTIFS('DRAFT 2'!$D:$D,$B152,'DRAFT 2'!$A:$A,"&gt;="&amp;DATE(2026,1,22),'DRAFT 2'!$A:$A,"&lt;"&amp;DATE(2026,IF(1=12,1+1,1+1),1))</f>
        <v/>
      </c>
      <c r="CK152" s="116">
        <f>SUM(CG152:CJ152)</f>
        <v/>
      </c>
      <c r="CT152" s="116" t="n">
        <v>0</v>
      </c>
      <c r="CU152" s="116">
        <f>IFERROR(LOOKUP(2,1/('DRAFT 2'!$D:$D=$B152)*('DRAFT 2'!$A:$A&gt;=DATE(2026,2,1))*('DRAFT 2'!$A:$A&lt;DATE(2026,IF(2=12,2+1,2+1),1)),'DRAFT 2'!$A:$A),"")</f>
        <v/>
      </c>
      <c r="CV152" s="116">
        <f>COUNTIFS('DRAFT 2'!$D:$D,$B152,'DRAFT 2'!$A:$A,"&gt;="&amp;DATE(2026,2,1),'DRAFT 2'!$A:$A,"&lt;="&amp;DATE(2026,2,7))</f>
        <v/>
      </c>
      <c r="CW152" s="116">
        <f>COUNTIFS('DRAFT 2'!$D:$D,$B152,'DRAFT 2'!$A:$A,"&gt;="&amp;DATE(2026,2,8),'DRAFT 2'!$A:$A,"&lt;="&amp;DATE(2026,2,14))</f>
        <v/>
      </c>
      <c r="CX152" s="116">
        <f>COUNTIFS('DRAFT 2'!$D:$D,$B152,'DRAFT 2'!$A:$A,"&gt;="&amp;DATE(2026,2,15),'DRAFT 2'!$A:$A,"&lt;="&amp;DATE(2026,2,21))</f>
        <v/>
      </c>
      <c r="CY152" s="116">
        <f>COUNTIFS('DRAFT 2'!$D:$D,$B152,'DRAFT 2'!$A:$A,"&gt;="&amp;DATE(2026,2,22),'DRAFT 2'!$A:$A,"&lt;"&amp;DATE(2026,IF(2=12,2+1,2+1),1))</f>
        <v/>
      </c>
      <c r="CZ152" s="116">
        <f>SUM(CV152:CY152)</f>
        <v/>
      </c>
      <c r="DJ152" s="116">
        <f>IFERROR(LOOKUP(2,1/('DRAFT 2'!$D:$D=$B152)*('DRAFT 2'!$A:$A&gt;=DATE(2026,3,1))*('DRAFT 2'!$A:$A&lt;DATE(2026,IF(3=12,3+1,3+1),1)),'DRAFT 2'!$A:$A),"")</f>
        <v/>
      </c>
      <c r="DK152" s="116">
        <f>COUNTIFS('DRAFT 2'!$D:$D,$B152,'DRAFT 2'!$A:$A,"&gt;="&amp;DATE(2026,3,1),'DRAFT 2'!$A:$A,"&lt;="&amp;DATE(2026,3,7))</f>
        <v/>
      </c>
      <c r="DL152" s="116">
        <f>COUNTIFS('DRAFT 2'!$D:$D,$B152,'DRAFT 2'!$A:$A,"&gt;="&amp;DATE(2026,3,8),'DRAFT 2'!$A:$A,"&lt;="&amp;DATE(2026,3,14))</f>
        <v/>
      </c>
      <c r="DM152" s="116">
        <f>COUNTIFS('DRAFT 2'!$D:$D,$B152,'DRAFT 2'!$A:$A,"&gt;="&amp;DATE(2026,3,15),'DRAFT 2'!$A:$A,"&lt;="&amp;DATE(2026,3,21))</f>
        <v/>
      </c>
      <c r="DN152" s="116">
        <f>COUNTIFS('DRAFT 2'!$D:$D,$B152,'DRAFT 2'!$A:$A,"&gt;="&amp;DATE(2026,3,22),'DRAFT 2'!$A:$A,"&lt;"&amp;DATE(2026,IF(3=12,3+1,3+1),1))</f>
        <v/>
      </c>
      <c r="DO152" s="116">
        <f>SUM(DK152:DN152)</f>
        <v/>
      </c>
      <c r="DZ152" s="116">
        <f>IFERROR(LOOKUP(2,1/('DRAFT 2'!$D:$D=$B152)*('DRAFT 2'!$A:$A&gt;=DATE(2026,4,1))*('DRAFT 2'!$A:$A&lt;DATE(2026,IF(4=12,4+1,4+1),1)),'DRAFT 2'!$A:$A),"")</f>
        <v/>
      </c>
      <c r="EA152" s="116">
        <f>COUNTIFS('DRAFT 2'!$D:$D,$B152,'DRAFT 2'!$A:$A,"&gt;="&amp;DATE(2026,4,1),'DRAFT 2'!$A:$A,"&lt;="&amp;DATE(2026,4,7))</f>
        <v/>
      </c>
      <c r="EB152" s="116">
        <f>COUNTIFS('DRAFT 2'!$D:$D,$B152,'DRAFT 2'!$A:$A,"&gt;="&amp;DATE(2026,4,8),'DRAFT 2'!$A:$A,"&lt;="&amp;DATE(2026,4,14))</f>
        <v/>
      </c>
      <c r="EC152" s="116">
        <f>COUNTIFS('DRAFT 2'!$D:$D,$B152,'DRAFT 2'!$A:$A,"&gt;="&amp;DATE(2026,4,15),'DRAFT 2'!$A:$A,"&lt;="&amp;DATE(2026,4,21))</f>
        <v/>
      </c>
      <c r="ED152" s="116">
        <f>COUNTIFS('DRAFT 2'!$D:$D,$B152,'DRAFT 2'!$A:$A,"&gt;="&amp;DATE(2026,4,22),'DRAFT 2'!$A:$A,"&lt;"&amp;DATE(2026,IF(4=12,4+1,4+1),1))</f>
        <v/>
      </c>
      <c r="EE152" s="116">
        <f>SUM(EA152:ED152)</f>
        <v/>
      </c>
      <c r="EO152" s="116">
        <f>IFERROR(LOOKUP(2,1/('DRAFT 2'!$D:$D=$B152)*('DRAFT 2'!$A:$A&gt;=DATE(2026,5,1))*('DRAFT 2'!$A:$A&lt;DATE(2026,IF(5=12,5+1,5+1),1)),'DRAFT 2'!$A:$A),"")</f>
        <v/>
      </c>
      <c r="EP152" s="116">
        <f>COUNTIFS('DRAFT 2'!$D:$D,$B152,'DRAFT 2'!$A:$A,"&gt;="&amp;DATE(2026,5,1),'DRAFT 2'!$A:$A,"&lt;="&amp;DATE(2026,5,7))</f>
        <v/>
      </c>
      <c r="EQ152" s="116">
        <f>COUNTIFS('DRAFT 2'!$D:$D,$B152,'DRAFT 2'!$A:$A,"&gt;="&amp;DATE(2026,5,8),'DRAFT 2'!$A:$A,"&lt;="&amp;DATE(2026,5,14))</f>
        <v/>
      </c>
      <c r="ER152" s="116">
        <f>COUNTIFS('DRAFT 2'!$D:$D,$B152,'DRAFT 2'!$A:$A,"&gt;="&amp;DATE(2026,5,15),'DRAFT 2'!$A:$A,"&lt;="&amp;DATE(2026,5,21))</f>
        <v/>
      </c>
      <c r="ES152" s="116">
        <f>COUNTIFS('DRAFT 2'!$D:$D,$B152,'DRAFT 2'!$A:$A,"&gt;="&amp;DATE(2026,5,22),'DRAFT 2'!$A:$A,"&lt;"&amp;DATE(2026,IF(5=12,5+1,5+1),1))</f>
        <v/>
      </c>
      <c r="ET152" s="116">
        <f>SUM(EP152:ES152)</f>
        <v/>
      </c>
      <c r="FD152" s="116">
        <f>IFERROR(LOOKUP(2,1/('DRAFT 2'!$D:$D=$B152)*('DRAFT 2'!$A:$A&gt;=DATE(2026,6,1))*('DRAFT 2'!$A:$A&lt;DATE(2026,IF(6=12,6+1,6+1),1)),'DRAFT 2'!$A:$A),"")</f>
        <v/>
      </c>
      <c r="FE152" s="116">
        <f>COUNTIFS('DRAFT 2'!$D:$D,$B152,'DRAFT 2'!$A:$A,"&gt;="&amp;DATE(2026,6,1),'DRAFT 2'!$A:$A,"&lt;="&amp;DATE(2026,6,7))</f>
        <v/>
      </c>
      <c r="FF152" s="116">
        <f>COUNTIFS('DRAFT 2'!$D:$D,$B152,'DRAFT 2'!$A:$A,"&gt;="&amp;DATE(2026,6,8),'DRAFT 2'!$A:$A,"&lt;="&amp;DATE(2026,6,14))</f>
        <v/>
      </c>
      <c r="FG152" s="116">
        <f>COUNTIFS('DRAFT 2'!$D:$D,$B152,'DRAFT 2'!$A:$A,"&gt;="&amp;DATE(2026,6,15),'DRAFT 2'!$A:$A,"&lt;="&amp;DATE(2026,6,21))</f>
        <v/>
      </c>
      <c r="FH152" s="116">
        <f>COUNTIFS('DRAFT 2'!$D:$D,$B152,'DRAFT 2'!$A:$A,"&gt;="&amp;DATE(2026,6,22),'DRAFT 2'!$A:$A,"&lt;"&amp;DATE(2026,IF(6=12,6+1,6+1),1))</f>
        <v/>
      </c>
      <c r="FI152" s="116">
        <f>SUM(FE152:FH152)</f>
        <v/>
      </c>
      <c r="FT152" s="116">
        <f>IFERROR(LOOKUP(2,1/('DRAFT 2'!$D:$D=$B152)*('DRAFT 2'!$A:$A&gt;=DATE(2026,7,1))*('DRAFT 2'!$A:$A&lt;DATE(2026,IF(7=12,7+1,7+1),1)),'DRAFT 2'!$A:$A),"")</f>
        <v/>
      </c>
      <c r="FU152" s="116">
        <f>COUNTIFS('DRAFT 2'!$D:$D,$B152,'DRAFT 2'!$A:$A,"&gt;="&amp;DATE(2026,7,1),'DRAFT 2'!$A:$A,"&lt;="&amp;DATE(2026,7,7))</f>
        <v/>
      </c>
      <c r="FV152" s="116">
        <f>COUNTIFS('DRAFT 2'!$D:$D,$B152,'DRAFT 2'!$A:$A,"&gt;="&amp;DATE(2026,7,8),'DRAFT 2'!$A:$A,"&lt;="&amp;DATE(2026,7,14))</f>
        <v/>
      </c>
      <c r="FW152" s="116">
        <f>COUNTIFS('DRAFT 2'!$D:$D,$B152,'DRAFT 2'!$A:$A,"&gt;="&amp;DATE(2026,7,15),'DRAFT 2'!$A:$A,"&lt;="&amp;DATE(2026,7,21))</f>
        <v/>
      </c>
      <c r="FX152" s="116">
        <f>COUNTIFS('DRAFT 2'!$D:$D,$B152,'DRAFT 2'!$A:$A,"&gt;="&amp;DATE(2026,7,22),'DRAFT 2'!$A:$A,"&lt;"&amp;DATE(2026,IF(7=12,7+1,7+1),1))</f>
        <v/>
      </c>
      <c r="FY152" s="116">
        <f>SUM(FU152:FX152)</f>
        <v/>
      </c>
      <c r="GI152" s="116">
        <f>IFERROR(LOOKUP(2,1/('DRAFT 2'!$D:$D=$B152)*('DRAFT 2'!$A:$A&gt;=DATE(2026,8,1))*('DRAFT 2'!$A:$A&lt;DATE(2026,IF(8=12,8+1,8+1),1)),'DRAFT 2'!$A:$A),"")</f>
        <v/>
      </c>
      <c r="GJ152" s="116">
        <f>COUNTIFS('DRAFT 2'!$D:$D,$B152,'DRAFT 2'!$A:$A,"&gt;="&amp;DATE(2026,8,1),'DRAFT 2'!$A:$A,"&lt;="&amp;DATE(2026,8,7))</f>
        <v/>
      </c>
      <c r="GK152" s="116">
        <f>COUNTIFS('DRAFT 2'!$D:$D,$B152,'DRAFT 2'!$A:$A,"&gt;="&amp;DATE(2026,8,8),'DRAFT 2'!$A:$A,"&lt;="&amp;DATE(2026,8,14))</f>
        <v/>
      </c>
      <c r="GL152" s="116">
        <f>COUNTIFS('DRAFT 2'!$D:$D,$B152,'DRAFT 2'!$A:$A,"&gt;="&amp;DATE(2026,8,15),'DRAFT 2'!$A:$A,"&lt;="&amp;DATE(2026,8,21))</f>
        <v/>
      </c>
      <c r="GM152" s="116">
        <f>COUNTIFS('DRAFT 2'!$D:$D,$B152,'DRAFT 2'!$A:$A,"&gt;="&amp;DATE(2026,8,22),'DRAFT 2'!$A:$A,"&lt;"&amp;DATE(2026,IF(8=12,8+1,8+1),1))</f>
        <v/>
      </c>
      <c r="GN152" s="116">
        <f>SUM(GJ152:GM152)</f>
        <v/>
      </c>
      <c r="GX152" s="116">
        <f>IFERROR(LOOKUP(2,1/('DRAFT 2'!$D:$D=$B152)*('DRAFT 2'!$A:$A&gt;=DATE(2026,9,1))*('DRAFT 2'!$A:$A&lt;DATE(2026,IF(9=12,9+1,9+1),1)),'DRAFT 2'!$A:$A),"")</f>
        <v/>
      </c>
      <c r="GY152" s="116">
        <f>COUNTIFS('DRAFT 2'!$D:$D,$B152,'DRAFT 2'!$A:$A,"&gt;="&amp;DATE(2026,9,1),'DRAFT 2'!$A:$A,"&lt;="&amp;DATE(2026,9,7))</f>
        <v/>
      </c>
      <c r="GZ152" s="116">
        <f>COUNTIFS('DRAFT 2'!$D:$D,$B152,'DRAFT 2'!$A:$A,"&gt;="&amp;DATE(2026,9,8),'DRAFT 2'!$A:$A,"&lt;="&amp;DATE(2026,9,14))</f>
        <v/>
      </c>
      <c r="HA152" s="116">
        <f>COUNTIFS('DRAFT 2'!$D:$D,$B152,'DRAFT 2'!$A:$A,"&gt;="&amp;DATE(2026,9,15),'DRAFT 2'!$A:$A,"&lt;="&amp;DATE(2026,9,21))</f>
        <v/>
      </c>
      <c r="HB152" s="116">
        <f>COUNTIFS('DRAFT 2'!$D:$D,$B152,'DRAFT 2'!$A:$A,"&gt;="&amp;DATE(2026,9,22),'DRAFT 2'!$A:$A,"&lt;"&amp;DATE(2026,IF(9=12,9+1,9+1),1))</f>
        <v/>
      </c>
      <c r="HC152" s="116">
        <f>SUM(GY152:HB152)</f>
        <v/>
      </c>
      <c r="HN152" s="116">
        <f>IFERROR(LOOKUP(2,1/('DRAFT 2'!$D:$D=$B152)*('DRAFT 2'!$A:$A&gt;=DATE(2026,10,1))*('DRAFT 2'!$A:$A&lt;DATE(2026,IF(10=12,10+1,10+1),1)),'DRAFT 2'!$A:$A),"")</f>
        <v/>
      </c>
      <c r="HO152" s="116">
        <f>COUNTIFS('DRAFT 2'!$D:$D,$B152,'DRAFT 2'!$A:$A,"&gt;="&amp;DATE(2026,10,1),'DRAFT 2'!$A:$A,"&lt;="&amp;DATE(2026,10,7))</f>
        <v/>
      </c>
      <c r="HP152" s="116">
        <f>COUNTIFS('DRAFT 2'!$D:$D,$B152,'DRAFT 2'!$A:$A,"&gt;="&amp;DATE(2026,10,8),'DRAFT 2'!$A:$A,"&lt;="&amp;DATE(2026,10,14))</f>
        <v/>
      </c>
      <c r="HQ152" s="116">
        <f>COUNTIFS('DRAFT 2'!$D:$D,$B152,'DRAFT 2'!$A:$A,"&gt;="&amp;DATE(2026,10,15),'DRAFT 2'!$A:$A,"&lt;="&amp;DATE(2026,10,21))</f>
        <v/>
      </c>
      <c r="HR152" s="116">
        <f>COUNTIFS('DRAFT 2'!$D:$D,$B152,'DRAFT 2'!$A:$A,"&gt;="&amp;DATE(2026,10,22),'DRAFT 2'!$A:$A,"&lt;"&amp;DATE(2026,IF(10=12,10+1,10+1),1))</f>
        <v/>
      </c>
      <c r="HS152" s="116">
        <f>SUM(HO152:HR152)</f>
        <v/>
      </c>
      <c r="IC152" s="116">
        <f>IFERROR(LOOKUP(2,1/('DRAFT 2'!$D:$D=$B152)*('DRAFT 2'!$A:$A&gt;=DATE(2026,11,1))*('DRAFT 2'!$A:$A&lt;DATE(2026,IF(11=12,11+1,11+1),1)),'DRAFT 2'!$A:$A),"")</f>
        <v/>
      </c>
      <c r="ID152" s="116">
        <f>COUNTIFS('DRAFT 2'!$D:$D,$B152,'DRAFT 2'!$A:$A,"&gt;="&amp;DATE(2026,11,1),'DRAFT 2'!$A:$A,"&lt;="&amp;DATE(2026,11,7))</f>
        <v/>
      </c>
      <c r="IE152" s="116">
        <f>COUNTIFS('DRAFT 2'!$D:$D,$B152,'DRAFT 2'!$A:$A,"&gt;="&amp;DATE(2026,11,8),'DRAFT 2'!$A:$A,"&lt;="&amp;DATE(2026,11,14))</f>
        <v/>
      </c>
      <c r="IF152" s="116">
        <f>COUNTIFS('DRAFT 2'!$D:$D,$B152,'DRAFT 2'!$A:$A,"&gt;="&amp;DATE(2026,11,15),'DRAFT 2'!$A:$A,"&lt;="&amp;DATE(2026,11,21))</f>
        <v/>
      </c>
      <c r="IG152" s="116">
        <f>COUNTIFS('DRAFT 2'!$D:$D,$B152,'DRAFT 2'!$A:$A,"&gt;="&amp;DATE(2026,11,22),'DRAFT 2'!$A:$A,"&lt;"&amp;DATE(2026,IF(11=12,11+1,11+1),1))</f>
        <v/>
      </c>
      <c r="IH152" s="116">
        <f>SUM(ID152:IG152)</f>
        <v/>
      </c>
      <c r="IR152" s="116">
        <f>IFERROR(LOOKUP(2,1/('DRAFT 2'!$D:$D=$B152)*('DRAFT 2'!$A:$A&gt;=DATE(2026,12,1))*('DRAFT 2'!$A:$A&lt;DATE(2026,IF(12=12,12+1,12+1),1)),'DRAFT 2'!$A:$A),"")</f>
        <v/>
      </c>
      <c r="IS152" s="116">
        <f>COUNTIFS('DRAFT 2'!$D:$D,$B152,'DRAFT 2'!$A:$A,"&gt;="&amp;DATE(2026,12,1),'DRAFT 2'!$A:$A,"&lt;="&amp;DATE(2026,12,7))</f>
        <v/>
      </c>
      <c r="IT152" s="116">
        <f>COUNTIFS('DRAFT 2'!$D:$D,$B152,'DRAFT 2'!$A:$A,"&gt;="&amp;DATE(2026,12,8),'DRAFT 2'!$A:$A,"&lt;="&amp;DATE(2026,12,14))</f>
        <v/>
      </c>
      <c r="IU152" s="116">
        <f>COUNTIFS('DRAFT 2'!$D:$D,$B152,'DRAFT 2'!$A:$A,"&gt;="&amp;DATE(2026,12,15),'DRAFT 2'!$A:$A,"&lt;="&amp;DATE(2026,12,21))</f>
        <v/>
      </c>
      <c r="IV152" s="116">
        <f>COUNTIFS('DRAFT 2'!$D:$D,$B152,'DRAFT 2'!$A:$A,"&gt;="&amp;DATE(2026,12,22),'DRAFT 2'!$A:$A,"&lt;"&amp;DATE(2026,IF(12=12,12+1,12+1),1))</f>
        <v/>
      </c>
      <c r="IW152" s="116">
        <f>SUM(IS152:IV152)</f>
        <v/>
      </c>
    </row>
    <row r="153">
      <c r="A153" s="116">
        <f>IFERROR(INDEX('DRAFT 1'!$A:$A,MATCH($B153,'DRAFT 1'!$B:$B,0)),"")</f>
        <v/>
      </c>
      <c r="C153" s="116">
        <f>IFERROR(INDEX('DRAFT 1'!$C:$C,MATCH($B153,'DRAFT 1'!$B:$B,0)),"")</f>
        <v/>
      </c>
      <c r="D153" s="116">
        <f>IFERROR(INDEX('DRAFT 1'!$D:$D,MATCH($B153,'DRAFT 1'!$B:$B,0)),"")</f>
        <v/>
      </c>
      <c r="E153" s="116">
        <f>IFERROR(INDEX('DRAFT 1'!$E:$E,MATCH($B153,'DRAFT 1'!$B:$B,0)),"")</f>
        <v/>
      </c>
      <c r="F153" s="116">
        <f>IFERROR(INDEX('DRAFT 1'!$F:$F,MATCH($B153,'DRAFT 1'!$B:$B,0)),"")</f>
        <v/>
      </c>
      <c r="G153" s="116">
        <f>IFERROR(INDEX('DRAFT 1'!$G:$G,MATCH($B153,'DRAFT 1'!$B:$B,0)),"")</f>
        <v/>
      </c>
      <c r="H153" s="116">
        <f>IFERROR(INDEX('DRAFT 1'!$H:$H,MATCH($B153,'DRAFT 1'!$B:$B,0)),"")</f>
        <v/>
      </c>
      <c r="I153" s="116">
        <f>IFERROR(INDEX('DRAFT 1'!$I:$I,MATCH($B153,'DRAFT 1'!$B:$B,0)),"")</f>
        <v/>
      </c>
      <c r="K153" s="116">
        <f>IFERROR(INDEX('DRAFT 1'!$AL:$AL,MATCH($B153,'DRAFT 1'!$B:$B,0)),"")</f>
        <v/>
      </c>
      <c r="L153" s="116">
        <f>IFERROR(INDEX('DRAFT 1'!$J:$J,MATCH($B153,'DRAFT 1'!$B:$B,0)),"")</f>
        <v/>
      </c>
      <c r="M153" s="116">
        <f>IFERROR(INDEX('DRAFT 1'!$K:$K,MATCH($B153,'DRAFT 1'!$B:$B,0)),"")</f>
        <v/>
      </c>
      <c r="P153" s="116">
        <f>IFERROR(INDEX('DRAFT 1'!$L:$L,MATCH($B153,'DRAFT 1'!$B:$B,0)),"")</f>
        <v/>
      </c>
      <c r="Q153" s="116">
        <f>IFERROR(INDEX('DRAFT 1'!$M:$M,MATCH($B153,'DRAFT 1'!$B:$B,0)),"")</f>
        <v/>
      </c>
      <c r="R153" s="116">
        <f>IFERROR(INDEX('DRAFT 1'!$N:$N,MATCH($B153,'DRAFT 1'!$B:$B,0)),"")</f>
        <v/>
      </c>
      <c r="S153" s="116">
        <f>IFERROR(INDEX('DRAFT 1'!$O:$O,MATCH($B153,'DRAFT 1'!$B:$B,0)),"")</f>
        <v/>
      </c>
      <c r="T153" s="116">
        <f>IFERROR(INDEX('DRAFT 1'!$P:$P,MATCH($B153,'DRAFT 1'!$B:$B,0)),"")</f>
        <v/>
      </c>
      <c r="U153" s="116">
        <f>IFERROR(INDEX('DRAFT 1'!$Q:$Q,MATCH($B153,'DRAFT 1'!$B:$B,0)),"")</f>
        <v/>
      </c>
      <c r="V153" s="116">
        <f>IFERROR(INDEX('DRAFT 1'!$R:$R,MATCH($B153,'DRAFT 1'!$B:$B,0)),"")</f>
        <v/>
      </c>
      <c r="W153" s="116">
        <f>IFERROR(INDEX('DRAFT 1'!$S:$S,MATCH($B153,'DRAFT 1'!$B:$B,0)),"")</f>
        <v/>
      </c>
      <c r="X153" s="116">
        <f>IFERROR(INDEX('DRAFT 1'!$T:$T,MATCH($B153,'DRAFT 1'!$B:$B,0)),"")</f>
        <v/>
      </c>
      <c r="Z153" s="116">
        <f>IFERROR(INDEX('DRAFT 1'!$U:$U,MATCH($B153,'DRAFT 1'!$B:$B,0)),"")</f>
        <v/>
      </c>
      <c r="AA153" s="116">
        <f>IFERROR(INDEX('DRAFT 1'!$V:$V,MATCH($B153,'DRAFT 1'!$B:$B,0)),"")</f>
        <v/>
      </c>
      <c r="AB153" s="116">
        <f>IFERROR(INDEX('DRAFT 1'!$W:$W,MATCH($B153,'DRAFT 1'!$B:$B,0)),"")</f>
        <v/>
      </c>
      <c r="AC153" s="116">
        <f>IFERROR(INDEX('DRAFT 1'!$X:$X,MATCH($B153,'DRAFT 1'!$B:$B,0)),"")</f>
        <v/>
      </c>
      <c r="AD153" s="116">
        <f>IFERROR(INDEX('DRAFT 1'!$Y:$Y,MATCH($B153,'DRAFT 1'!$B:$B,0)),"")</f>
        <v/>
      </c>
      <c r="AE153" s="116">
        <f>IFERROR(INDEX('DRAFT 1'!$Z:$Z,MATCH($B153,'DRAFT 1'!$B:$B,0)),"")</f>
        <v/>
      </c>
      <c r="AF153" s="116">
        <f>IFERROR(INDEX('DRAFT 1'!$AA:$AA,MATCH($B153,'DRAFT 1'!$B:$B,0)),"")</f>
        <v/>
      </c>
      <c r="AG153" s="116">
        <f>IFERROR(INDEX('DRAFT 1'!$AB:$AB,MATCH($B153,'DRAFT 1'!$B:$B,0)),"")</f>
        <v/>
      </c>
      <c r="AH153" s="116">
        <f>IFERROR(INDEX('DRAFT 1'!$AC:$AC,MATCH($B153,'DRAFT 1'!$B:$B,0)),"")</f>
        <v/>
      </c>
      <c r="AI153" s="116">
        <f>IFERROR(INDEX('DRAFT 1'!$AD:$AD,MATCH($B153,'DRAFT 1'!$B:$B,0)),"")</f>
        <v/>
      </c>
      <c r="AJ153" s="116">
        <f>IFERROR(INDEX('DRAFT 1'!$AE:$AE,MATCH($B153,'DRAFT 1'!$B:$B,0)),"")</f>
        <v/>
      </c>
      <c r="AK153" s="116">
        <f>IFERROR(INDEX('DRAFT 1'!$AG:$AG,MATCH($B153,'DRAFT 1'!$B:$B,0)),"")</f>
        <v/>
      </c>
      <c r="AL153" s="116">
        <f>IFERROR(INDEX('DRAFT 1'!$AH:$AH,MATCH($B153,'DRAFT 1'!$B:$B,0)),"")</f>
        <v/>
      </c>
      <c r="AM153" s="116">
        <f>IFERROR(INDEX('DRAFT 1'!$AI:$AI,MATCH($B153,'DRAFT 1'!$B:$B,0)),"")</f>
        <v/>
      </c>
      <c r="AN153" s="116">
        <f>IFERROR(INDEX('DRAFT 1'!$AJ:$AJ,MATCH($B153,'DRAFT 1'!$B:$B,0)),"")</f>
        <v/>
      </c>
      <c r="AO153" s="116">
        <f>IFERROR(Y153/AN153,0)</f>
        <v/>
      </c>
      <c r="AP153" s="116">
        <f>IFERROR(INDEX('DRAFT 1'!$AK:$AK,MATCH($B153,'DRAFT 1'!$B:$B,0)),"")</f>
        <v/>
      </c>
      <c r="AR153" s="116">
        <f>IFERROR(LOOKUP(2,1/('DRAFT 2'!$D:$D=$B153),'DRAFT 2'!$I:$I),"")</f>
        <v/>
      </c>
      <c r="AS153" s="116">
        <f>IFERROR(LOOKUP(2,1/('DRAFT 2'!$D:$D=$B153),'DRAFT 2'!$T:$T),"")</f>
        <v/>
      </c>
      <c r="AT153" s="116">
        <f>IFERROR(LOOKUP(2,1/('DRAFT 2'!$D:$D=$B153),'DRAFT 2'!$A:$A),"")</f>
        <v/>
      </c>
      <c r="AU153" s="116">
        <f>IFERROR(LOOKUP(2,1/('DRAFT 2'!$D:$D=$B153),'DRAFT 2'!$R:$R),"")</f>
        <v/>
      </c>
      <c r="AV153" s="116">
        <f>IFERROR(LOOKUP(2,1/('DRAFT 2'!$D:$D=$B153),'DRAFT 2'!$S:$S),"")</f>
        <v/>
      </c>
      <c r="AX153" s="116">
        <f>IFERROR(LOOKUP(2,1/('DRAFT 2'!$D:$D=$B153),'DRAFT 2'!$M:$M),"")</f>
        <v/>
      </c>
      <c r="AY153" s="116">
        <f>IFERROR(LOOKUP(2,1/('DRAFT 2'!$D:$D=$B153),'DRAFT 2'!$K:$K),"")</f>
        <v/>
      </c>
      <c r="BG153" s="116">
        <f>IFERROR(LOOKUP(2,1/('DRAFT 2'!$D:$D=$B153),'DRAFT 2'!$U:$U),"")</f>
        <v/>
      </c>
      <c r="BH153" s="116">
        <f>IFERROR(LOOKUP(2,1/('DRAFT 2'!$D:$D=$B153),'DRAFT 2'!$V:$V),"")</f>
        <v/>
      </c>
      <c r="CE153" s="116">
        <f>IFERROR(AJ153,0)</f>
        <v/>
      </c>
      <c r="CF153" s="116">
        <f>IFERROR(LOOKUP(2,1/('DRAFT 2'!$D:$D=$B153)*('DRAFT 2'!$A:$A&gt;=DATE(2026,1,1))*('DRAFT 2'!$A:$A&lt;DATE(2026,IF(1=12,1+1,1+1),1)),'DRAFT 2'!$A:$A),"")</f>
        <v/>
      </c>
      <c r="CG153" s="116">
        <f>COUNTIFS('DRAFT 2'!$D:$D,$B153,'DRAFT 2'!$A:$A,"&gt;="&amp;DATE(2026,1,1),'DRAFT 2'!$A:$A,"&lt;="&amp;DATE(2026,1,7))</f>
        <v/>
      </c>
      <c r="CH153" s="116">
        <f>COUNTIFS('DRAFT 2'!$D:$D,$B153,'DRAFT 2'!$A:$A,"&gt;="&amp;DATE(2026,1,8),'DRAFT 2'!$A:$A,"&lt;="&amp;DATE(2026,1,14))</f>
        <v/>
      </c>
      <c r="CI153" s="116">
        <f>COUNTIFS('DRAFT 2'!$D:$D,$B153,'DRAFT 2'!$A:$A,"&gt;="&amp;DATE(2026,1,15),'DRAFT 2'!$A:$A,"&lt;="&amp;DATE(2026,1,21))</f>
        <v/>
      </c>
      <c r="CJ153" s="116">
        <f>COUNTIFS('DRAFT 2'!$D:$D,$B153,'DRAFT 2'!$A:$A,"&gt;="&amp;DATE(2026,1,22),'DRAFT 2'!$A:$A,"&lt;"&amp;DATE(2026,IF(1=12,1+1,1+1),1))</f>
        <v/>
      </c>
      <c r="CK153" s="116">
        <f>SUM(CG153:CJ153)</f>
        <v/>
      </c>
      <c r="CT153" s="116" t="n">
        <v>0</v>
      </c>
      <c r="CU153" s="116">
        <f>IFERROR(LOOKUP(2,1/('DRAFT 2'!$D:$D=$B153)*('DRAFT 2'!$A:$A&gt;=DATE(2026,2,1))*('DRAFT 2'!$A:$A&lt;DATE(2026,IF(2=12,2+1,2+1),1)),'DRAFT 2'!$A:$A),"")</f>
        <v/>
      </c>
      <c r="CV153" s="116">
        <f>COUNTIFS('DRAFT 2'!$D:$D,$B153,'DRAFT 2'!$A:$A,"&gt;="&amp;DATE(2026,2,1),'DRAFT 2'!$A:$A,"&lt;="&amp;DATE(2026,2,7))</f>
        <v/>
      </c>
      <c r="CW153" s="116">
        <f>COUNTIFS('DRAFT 2'!$D:$D,$B153,'DRAFT 2'!$A:$A,"&gt;="&amp;DATE(2026,2,8),'DRAFT 2'!$A:$A,"&lt;="&amp;DATE(2026,2,14))</f>
        <v/>
      </c>
      <c r="CX153" s="116">
        <f>COUNTIFS('DRAFT 2'!$D:$D,$B153,'DRAFT 2'!$A:$A,"&gt;="&amp;DATE(2026,2,15),'DRAFT 2'!$A:$A,"&lt;="&amp;DATE(2026,2,21))</f>
        <v/>
      </c>
      <c r="CY153" s="116">
        <f>COUNTIFS('DRAFT 2'!$D:$D,$B153,'DRAFT 2'!$A:$A,"&gt;="&amp;DATE(2026,2,22),'DRAFT 2'!$A:$A,"&lt;"&amp;DATE(2026,IF(2=12,2+1,2+1),1))</f>
        <v/>
      </c>
      <c r="CZ153" s="116">
        <f>SUM(CV153:CY153)</f>
        <v/>
      </c>
      <c r="DJ153" s="116">
        <f>IFERROR(LOOKUP(2,1/('DRAFT 2'!$D:$D=$B153)*('DRAFT 2'!$A:$A&gt;=DATE(2026,3,1))*('DRAFT 2'!$A:$A&lt;DATE(2026,IF(3=12,3+1,3+1),1)),'DRAFT 2'!$A:$A),"")</f>
        <v/>
      </c>
      <c r="DK153" s="116">
        <f>COUNTIFS('DRAFT 2'!$D:$D,$B153,'DRAFT 2'!$A:$A,"&gt;="&amp;DATE(2026,3,1),'DRAFT 2'!$A:$A,"&lt;="&amp;DATE(2026,3,7))</f>
        <v/>
      </c>
      <c r="DL153" s="116">
        <f>COUNTIFS('DRAFT 2'!$D:$D,$B153,'DRAFT 2'!$A:$A,"&gt;="&amp;DATE(2026,3,8),'DRAFT 2'!$A:$A,"&lt;="&amp;DATE(2026,3,14))</f>
        <v/>
      </c>
      <c r="DM153" s="116">
        <f>COUNTIFS('DRAFT 2'!$D:$D,$B153,'DRAFT 2'!$A:$A,"&gt;="&amp;DATE(2026,3,15),'DRAFT 2'!$A:$A,"&lt;="&amp;DATE(2026,3,21))</f>
        <v/>
      </c>
      <c r="DN153" s="116">
        <f>COUNTIFS('DRAFT 2'!$D:$D,$B153,'DRAFT 2'!$A:$A,"&gt;="&amp;DATE(2026,3,22),'DRAFT 2'!$A:$A,"&lt;"&amp;DATE(2026,IF(3=12,3+1,3+1),1))</f>
        <v/>
      </c>
      <c r="DO153" s="116">
        <f>SUM(DK153:DN153)</f>
        <v/>
      </c>
      <c r="DZ153" s="116">
        <f>IFERROR(LOOKUP(2,1/('DRAFT 2'!$D:$D=$B153)*('DRAFT 2'!$A:$A&gt;=DATE(2026,4,1))*('DRAFT 2'!$A:$A&lt;DATE(2026,IF(4=12,4+1,4+1),1)),'DRAFT 2'!$A:$A),"")</f>
        <v/>
      </c>
      <c r="EA153" s="116">
        <f>COUNTIFS('DRAFT 2'!$D:$D,$B153,'DRAFT 2'!$A:$A,"&gt;="&amp;DATE(2026,4,1),'DRAFT 2'!$A:$A,"&lt;="&amp;DATE(2026,4,7))</f>
        <v/>
      </c>
      <c r="EB153" s="116">
        <f>COUNTIFS('DRAFT 2'!$D:$D,$B153,'DRAFT 2'!$A:$A,"&gt;="&amp;DATE(2026,4,8),'DRAFT 2'!$A:$A,"&lt;="&amp;DATE(2026,4,14))</f>
        <v/>
      </c>
      <c r="EC153" s="116">
        <f>COUNTIFS('DRAFT 2'!$D:$D,$B153,'DRAFT 2'!$A:$A,"&gt;="&amp;DATE(2026,4,15),'DRAFT 2'!$A:$A,"&lt;="&amp;DATE(2026,4,21))</f>
        <v/>
      </c>
      <c r="ED153" s="116">
        <f>COUNTIFS('DRAFT 2'!$D:$D,$B153,'DRAFT 2'!$A:$A,"&gt;="&amp;DATE(2026,4,22),'DRAFT 2'!$A:$A,"&lt;"&amp;DATE(2026,IF(4=12,4+1,4+1),1))</f>
        <v/>
      </c>
      <c r="EE153" s="116">
        <f>SUM(EA153:ED153)</f>
        <v/>
      </c>
      <c r="EO153" s="116">
        <f>IFERROR(LOOKUP(2,1/('DRAFT 2'!$D:$D=$B153)*('DRAFT 2'!$A:$A&gt;=DATE(2026,5,1))*('DRAFT 2'!$A:$A&lt;DATE(2026,IF(5=12,5+1,5+1),1)),'DRAFT 2'!$A:$A),"")</f>
        <v/>
      </c>
      <c r="EP153" s="116">
        <f>COUNTIFS('DRAFT 2'!$D:$D,$B153,'DRAFT 2'!$A:$A,"&gt;="&amp;DATE(2026,5,1),'DRAFT 2'!$A:$A,"&lt;="&amp;DATE(2026,5,7))</f>
        <v/>
      </c>
      <c r="EQ153" s="116">
        <f>COUNTIFS('DRAFT 2'!$D:$D,$B153,'DRAFT 2'!$A:$A,"&gt;="&amp;DATE(2026,5,8),'DRAFT 2'!$A:$A,"&lt;="&amp;DATE(2026,5,14))</f>
        <v/>
      </c>
      <c r="ER153" s="116">
        <f>COUNTIFS('DRAFT 2'!$D:$D,$B153,'DRAFT 2'!$A:$A,"&gt;="&amp;DATE(2026,5,15),'DRAFT 2'!$A:$A,"&lt;="&amp;DATE(2026,5,21))</f>
        <v/>
      </c>
      <c r="ES153" s="116">
        <f>COUNTIFS('DRAFT 2'!$D:$D,$B153,'DRAFT 2'!$A:$A,"&gt;="&amp;DATE(2026,5,22),'DRAFT 2'!$A:$A,"&lt;"&amp;DATE(2026,IF(5=12,5+1,5+1),1))</f>
        <v/>
      </c>
      <c r="ET153" s="116">
        <f>SUM(EP153:ES153)</f>
        <v/>
      </c>
      <c r="FD153" s="116">
        <f>IFERROR(LOOKUP(2,1/('DRAFT 2'!$D:$D=$B153)*('DRAFT 2'!$A:$A&gt;=DATE(2026,6,1))*('DRAFT 2'!$A:$A&lt;DATE(2026,IF(6=12,6+1,6+1),1)),'DRAFT 2'!$A:$A),"")</f>
        <v/>
      </c>
      <c r="FE153" s="116">
        <f>COUNTIFS('DRAFT 2'!$D:$D,$B153,'DRAFT 2'!$A:$A,"&gt;="&amp;DATE(2026,6,1),'DRAFT 2'!$A:$A,"&lt;="&amp;DATE(2026,6,7))</f>
        <v/>
      </c>
      <c r="FF153" s="116">
        <f>COUNTIFS('DRAFT 2'!$D:$D,$B153,'DRAFT 2'!$A:$A,"&gt;="&amp;DATE(2026,6,8),'DRAFT 2'!$A:$A,"&lt;="&amp;DATE(2026,6,14))</f>
        <v/>
      </c>
      <c r="FG153" s="116">
        <f>COUNTIFS('DRAFT 2'!$D:$D,$B153,'DRAFT 2'!$A:$A,"&gt;="&amp;DATE(2026,6,15),'DRAFT 2'!$A:$A,"&lt;="&amp;DATE(2026,6,21))</f>
        <v/>
      </c>
      <c r="FH153" s="116">
        <f>COUNTIFS('DRAFT 2'!$D:$D,$B153,'DRAFT 2'!$A:$A,"&gt;="&amp;DATE(2026,6,22),'DRAFT 2'!$A:$A,"&lt;"&amp;DATE(2026,IF(6=12,6+1,6+1),1))</f>
        <v/>
      </c>
      <c r="FI153" s="116">
        <f>SUM(FE153:FH153)</f>
        <v/>
      </c>
      <c r="FT153" s="116">
        <f>IFERROR(LOOKUP(2,1/('DRAFT 2'!$D:$D=$B153)*('DRAFT 2'!$A:$A&gt;=DATE(2026,7,1))*('DRAFT 2'!$A:$A&lt;DATE(2026,IF(7=12,7+1,7+1),1)),'DRAFT 2'!$A:$A),"")</f>
        <v/>
      </c>
      <c r="FU153" s="116">
        <f>COUNTIFS('DRAFT 2'!$D:$D,$B153,'DRAFT 2'!$A:$A,"&gt;="&amp;DATE(2026,7,1),'DRAFT 2'!$A:$A,"&lt;="&amp;DATE(2026,7,7))</f>
        <v/>
      </c>
      <c r="FV153" s="116">
        <f>COUNTIFS('DRAFT 2'!$D:$D,$B153,'DRAFT 2'!$A:$A,"&gt;="&amp;DATE(2026,7,8),'DRAFT 2'!$A:$A,"&lt;="&amp;DATE(2026,7,14))</f>
        <v/>
      </c>
      <c r="FW153" s="116">
        <f>COUNTIFS('DRAFT 2'!$D:$D,$B153,'DRAFT 2'!$A:$A,"&gt;="&amp;DATE(2026,7,15),'DRAFT 2'!$A:$A,"&lt;="&amp;DATE(2026,7,21))</f>
        <v/>
      </c>
      <c r="FX153" s="116">
        <f>COUNTIFS('DRAFT 2'!$D:$D,$B153,'DRAFT 2'!$A:$A,"&gt;="&amp;DATE(2026,7,22),'DRAFT 2'!$A:$A,"&lt;"&amp;DATE(2026,IF(7=12,7+1,7+1),1))</f>
        <v/>
      </c>
      <c r="FY153" s="116">
        <f>SUM(FU153:FX153)</f>
        <v/>
      </c>
      <c r="GI153" s="116">
        <f>IFERROR(LOOKUP(2,1/('DRAFT 2'!$D:$D=$B153)*('DRAFT 2'!$A:$A&gt;=DATE(2026,8,1))*('DRAFT 2'!$A:$A&lt;DATE(2026,IF(8=12,8+1,8+1),1)),'DRAFT 2'!$A:$A),"")</f>
        <v/>
      </c>
      <c r="GJ153" s="116">
        <f>COUNTIFS('DRAFT 2'!$D:$D,$B153,'DRAFT 2'!$A:$A,"&gt;="&amp;DATE(2026,8,1),'DRAFT 2'!$A:$A,"&lt;="&amp;DATE(2026,8,7))</f>
        <v/>
      </c>
      <c r="GK153" s="116">
        <f>COUNTIFS('DRAFT 2'!$D:$D,$B153,'DRAFT 2'!$A:$A,"&gt;="&amp;DATE(2026,8,8),'DRAFT 2'!$A:$A,"&lt;="&amp;DATE(2026,8,14))</f>
        <v/>
      </c>
      <c r="GL153" s="116">
        <f>COUNTIFS('DRAFT 2'!$D:$D,$B153,'DRAFT 2'!$A:$A,"&gt;="&amp;DATE(2026,8,15),'DRAFT 2'!$A:$A,"&lt;="&amp;DATE(2026,8,21))</f>
        <v/>
      </c>
      <c r="GM153" s="116">
        <f>COUNTIFS('DRAFT 2'!$D:$D,$B153,'DRAFT 2'!$A:$A,"&gt;="&amp;DATE(2026,8,22),'DRAFT 2'!$A:$A,"&lt;"&amp;DATE(2026,IF(8=12,8+1,8+1),1))</f>
        <v/>
      </c>
      <c r="GN153" s="116">
        <f>SUM(GJ153:GM153)</f>
        <v/>
      </c>
      <c r="GX153" s="116">
        <f>IFERROR(LOOKUP(2,1/('DRAFT 2'!$D:$D=$B153)*('DRAFT 2'!$A:$A&gt;=DATE(2026,9,1))*('DRAFT 2'!$A:$A&lt;DATE(2026,IF(9=12,9+1,9+1),1)),'DRAFT 2'!$A:$A),"")</f>
        <v/>
      </c>
      <c r="GY153" s="116">
        <f>COUNTIFS('DRAFT 2'!$D:$D,$B153,'DRAFT 2'!$A:$A,"&gt;="&amp;DATE(2026,9,1),'DRAFT 2'!$A:$A,"&lt;="&amp;DATE(2026,9,7))</f>
        <v/>
      </c>
      <c r="GZ153" s="116">
        <f>COUNTIFS('DRAFT 2'!$D:$D,$B153,'DRAFT 2'!$A:$A,"&gt;="&amp;DATE(2026,9,8),'DRAFT 2'!$A:$A,"&lt;="&amp;DATE(2026,9,14))</f>
        <v/>
      </c>
      <c r="HA153" s="116">
        <f>COUNTIFS('DRAFT 2'!$D:$D,$B153,'DRAFT 2'!$A:$A,"&gt;="&amp;DATE(2026,9,15),'DRAFT 2'!$A:$A,"&lt;="&amp;DATE(2026,9,21))</f>
        <v/>
      </c>
      <c r="HB153" s="116">
        <f>COUNTIFS('DRAFT 2'!$D:$D,$B153,'DRAFT 2'!$A:$A,"&gt;="&amp;DATE(2026,9,22),'DRAFT 2'!$A:$A,"&lt;"&amp;DATE(2026,IF(9=12,9+1,9+1),1))</f>
        <v/>
      </c>
      <c r="HC153" s="116">
        <f>SUM(GY153:HB153)</f>
        <v/>
      </c>
      <c r="HN153" s="116">
        <f>IFERROR(LOOKUP(2,1/('DRAFT 2'!$D:$D=$B153)*('DRAFT 2'!$A:$A&gt;=DATE(2026,10,1))*('DRAFT 2'!$A:$A&lt;DATE(2026,IF(10=12,10+1,10+1),1)),'DRAFT 2'!$A:$A),"")</f>
        <v/>
      </c>
      <c r="HO153" s="116">
        <f>COUNTIFS('DRAFT 2'!$D:$D,$B153,'DRAFT 2'!$A:$A,"&gt;="&amp;DATE(2026,10,1),'DRAFT 2'!$A:$A,"&lt;="&amp;DATE(2026,10,7))</f>
        <v/>
      </c>
      <c r="HP153" s="116">
        <f>COUNTIFS('DRAFT 2'!$D:$D,$B153,'DRAFT 2'!$A:$A,"&gt;="&amp;DATE(2026,10,8),'DRAFT 2'!$A:$A,"&lt;="&amp;DATE(2026,10,14))</f>
        <v/>
      </c>
      <c r="HQ153" s="116">
        <f>COUNTIFS('DRAFT 2'!$D:$D,$B153,'DRAFT 2'!$A:$A,"&gt;="&amp;DATE(2026,10,15),'DRAFT 2'!$A:$A,"&lt;="&amp;DATE(2026,10,21))</f>
        <v/>
      </c>
      <c r="HR153" s="116">
        <f>COUNTIFS('DRAFT 2'!$D:$D,$B153,'DRAFT 2'!$A:$A,"&gt;="&amp;DATE(2026,10,22),'DRAFT 2'!$A:$A,"&lt;"&amp;DATE(2026,IF(10=12,10+1,10+1),1))</f>
        <v/>
      </c>
      <c r="HS153" s="116">
        <f>SUM(HO153:HR153)</f>
        <v/>
      </c>
      <c r="IC153" s="116">
        <f>IFERROR(LOOKUP(2,1/('DRAFT 2'!$D:$D=$B153)*('DRAFT 2'!$A:$A&gt;=DATE(2026,11,1))*('DRAFT 2'!$A:$A&lt;DATE(2026,IF(11=12,11+1,11+1),1)),'DRAFT 2'!$A:$A),"")</f>
        <v/>
      </c>
      <c r="ID153" s="116">
        <f>COUNTIFS('DRAFT 2'!$D:$D,$B153,'DRAFT 2'!$A:$A,"&gt;="&amp;DATE(2026,11,1),'DRAFT 2'!$A:$A,"&lt;="&amp;DATE(2026,11,7))</f>
        <v/>
      </c>
      <c r="IE153" s="116">
        <f>COUNTIFS('DRAFT 2'!$D:$D,$B153,'DRAFT 2'!$A:$A,"&gt;="&amp;DATE(2026,11,8),'DRAFT 2'!$A:$A,"&lt;="&amp;DATE(2026,11,14))</f>
        <v/>
      </c>
      <c r="IF153" s="116">
        <f>COUNTIFS('DRAFT 2'!$D:$D,$B153,'DRAFT 2'!$A:$A,"&gt;="&amp;DATE(2026,11,15),'DRAFT 2'!$A:$A,"&lt;="&amp;DATE(2026,11,21))</f>
        <v/>
      </c>
      <c r="IG153" s="116">
        <f>COUNTIFS('DRAFT 2'!$D:$D,$B153,'DRAFT 2'!$A:$A,"&gt;="&amp;DATE(2026,11,22),'DRAFT 2'!$A:$A,"&lt;"&amp;DATE(2026,IF(11=12,11+1,11+1),1))</f>
        <v/>
      </c>
      <c r="IH153" s="116">
        <f>SUM(ID153:IG153)</f>
        <v/>
      </c>
      <c r="IR153" s="116">
        <f>IFERROR(LOOKUP(2,1/('DRAFT 2'!$D:$D=$B153)*('DRAFT 2'!$A:$A&gt;=DATE(2026,12,1))*('DRAFT 2'!$A:$A&lt;DATE(2026,IF(12=12,12+1,12+1),1)),'DRAFT 2'!$A:$A),"")</f>
        <v/>
      </c>
      <c r="IS153" s="116">
        <f>COUNTIFS('DRAFT 2'!$D:$D,$B153,'DRAFT 2'!$A:$A,"&gt;="&amp;DATE(2026,12,1),'DRAFT 2'!$A:$A,"&lt;="&amp;DATE(2026,12,7))</f>
        <v/>
      </c>
      <c r="IT153" s="116">
        <f>COUNTIFS('DRAFT 2'!$D:$D,$B153,'DRAFT 2'!$A:$A,"&gt;="&amp;DATE(2026,12,8),'DRAFT 2'!$A:$A,"&lt;="&amp;DATE(2026,12,14))</f>
        <v/>
      </c>
      <c r="IU153" s="116">
        <f>COUNTIFS('DRAFT 2'!$D:$D,$B153,'DRAFT 2'!$A:$A,"&gt;="&amp;DATE(2026,12,15),'DRAFT 2'!$A:$A,"&lt;="&amp;DATE(2026,12,21))</f>
        <v/>
      </c>
      <c r="IV153" s="116">
        <f>COUNTIFS('DRAFT 2'!$D:$D,$B153,'DRAFT 2'!$A:$A,"&gt;="&amp;DATE(2026,12,22),'DRAFT 2'!$A:$A,"&lt;"&amp;DATE(2026,IF(12=12,12+1,12+1),1))</f>
        <v/>
      </c>
      <c r="IW153" s="116">
        <f>SUM(IS153:IV153)</f>
        <v/>
      </c>
    </row>
    <row r="154">
      <c r="A154" s="116">
        <f>IFERROR(INDEX('DRAFT 1'!$A:$A,MATCH($B154,'DRAFT 1'!$B:$B,0)),"")</f>
        <v/>
      </c>
      <c r="C154" s="116">
        <f>IFERROR(INDEX('DRAFT 1'!$C:$C,MATCH($B154,'DRAFT 1'!$B:$B,0)),"")</f>
        <v/>
      </c>
      <c r="D154" s="116">
        <f>IFERROR(INDEX('DRAFT 1'!$D:$D,MATCH($B154,'DRAFT 1'!$B:$B,0)),"")</f>
        <v/>
      </c>
      <c r="E154" s="116">
        <f>IFERROR(INDEX('DRAFT 1'!$E:$E,MATCH($B154,'DRAFT 1'!$B:$B,0)),"")</f>
        <v/>
      </c>
      <c r="F154" s="116">
        <f>IFERROR(INDEX('DRAFT 1'!$F:$F,MATCH($B154,'DRAFT 1'!$B:$B,0)),"")</f>
        <v/>
      </c>
      <c r="G154" s="116">
        <f>IFERROR(INDEX('DRAFT 1'!$G:$G,MATCH($B154,'DRAFT 1'!$B:$B,0)),"")</f>
        <v/>
      </c>
      <c r="H154" s="116">
        <f>IFERROR(INDEX('DRAFT 1'!$H:$H,MATCH($B154,'DRAFT 1'!$B:$B,0)),"")</f>
        <v/>
      </c>
      <c r="I154" s="116">
        <f>IFERROR(INDEX('DRAFT 1'!$I:$I,MATCH($B154,'DRAFT 1'!$B:$B,0)),"")</f>
        <v/>
      </c>
      <c r="K154" s="116">
        <f>IFERROR(INDEX('DRAFT 1'!$AL:$AL,MATCH($B154,'DRAFT 1'!$B:$B,0)),"")</f>
        <v/>
      </c>
      <c r="L154" s="116">
        <f>IFERROR(INDEX('DRAFT 1'!$J:$J,MATCH($B154,'DRAFT 1'!$B:$B,0)),"")</f>
        <v/>
      </c>
      <c r="M154" s="116">
        <f>IFERROR(INDEX('DRAFT 1'!$K:$K,MATCH($B154,'DRAFT 1'!$B:$B,0)),"")</f>
        <v/>
      </c>
      <c r="P154" s="116">
        <f>IFERROR(INDEX('DRAFT 1'!$L:$L,MATCH($B154,'DRAFT 1'!$B:$B,0)),"")</f>
        <v/>
      </c>
      <c r="Q154" s="116">
        <f>IFERROR(INDEX('DRAFT 1'!$M:$M,MATCH($B154,'DRAFT 1'!$B:$B,0)),"")</f>
        <v/>
      </c>
      <c r="R154" s="116">
        <f>IFERROR(INDEX('DRAFT 1'!$N:$N,MATCH($B154,'DRAFT 1'!$B:$B,0)),"")</f>
        <v/>
      </c>
      <c r="S154" s="116">
        <f>IFERROR(INDEX('DRAFT 1'!$O:$O,MATCH($B154,'DRAFT 1'!$B:$B,0)),"")</f>
        <v/>
      </c>
      <c r="T154" s="116">
        <f>IFERROR(INDEX('DRAFT 1'!$P:$P,MATCH($B154,'DRAFT 1'!$B:$B,0)),"")</f>
        <v/>
      </c>
      <c r="U154" s="116">
        <f>IFERROR(INDEX('DRAFT 1'!$Q:$Q,MATCH($B154,'DRAFT 1'!$B:$B,0)),"")</f>
        <v/>
      </c>
      <c r="V154" s="116">
        <f>IFERROR(INDEX('DRAFT 1'!$R:$R,MATCH($B154,'DRAFT 1'!$B:$B,0)),"")</f>
        <v/>
      </c>
      <c r="W154" s="116">
        <f>IFERROR(INDEX('DRAFT 1'!$S:$S,MATCH($B154,'DRAFT 1'!$B:$B,0)),"")</f>
        <v/>
      </c>
      <c r="X154" s="116">
        <f>IFERROR(INDEX('DRAFT 1'!$T:$T,MATCH($B154,'DRAFT 1'!$B:$B,0)),"")</f>
        <v/>
      </c>
      <c r="Z154" s="116">
        <f>IFERROR(INDEX('DRAFT 1'!$U:$U,MATCH($B154,'DRAFT 1'!$B:$B,0)),"")</f>
        <v/>
      </c>
      <c r="AA154" s="116">
        <f>IFERROR(INDEX('DRAFT 1'!$V:$V,MATCH($B154,'DRAFT 1'!$B:$B,0)),"")</f>
        <v/>
      </c>
      <c r="AB154" s="116">
        <f>IFERROR(INDEX('DRAFT 1'!$W:$W,MATCH($B154,'DRAFT 1'!$B:$B,0)),"")</f>
        <v/>
      </c>
      <c r="AC154" s="116">
        <f>IFERROR(INDEX('DRAFT 1'!$X:$X,MATCH($B154,'DRAFT 1'!$B:$B,0)),"")</f>
        <v/>
      </c>
      <c r="AD154" s="116">
        <f>IFERROR(INDEX('DRAFT 1'!$Y:$Y,MATCH($B154,'DRAFT 1'!$B:$B,0)),"")</f>
        <v/>
      </c>
      <c r="AE154" s="116">
        <f>IFERROR(INDEX('DRAFT 1'!$Z:$Z,MATCH($B154,'DRAFT 1'!$B:$B,0)),"")</f>
        <v/>
      </c>
      <c r="AF154" s="116">
        <f>IFERROR(INDEX('DRAFT 1'!$AA:$AA,MATCH($B154,'DRAFT 1'!$B:$B,0)),"")</f>
        <v/>
      </c>
      <c r="AG154" s="116">
        <f>IFERROR(INDEX('DRAFT 1'!$AB:$AB,MATCH($B154,'DRAFT 1'!$B:$B,0)),"")</f>
        <v/>
      </c>
      <c r="AH154" s="116">
        <f>IFERROR(INDEX('DRAFT 1'!$AC:$AC,MATCH($B154,'DRAFT 1'!$B:$B,0)),"")</f>
        <v/>
      </c>
      <c r="AI154" s="116">
        <f>IFERROR(INDEX('DRAFT 1'!$AD:$AD,MATCH($B154,'DRAFT 1'!$B:$B,0)),"")</f>
        <v/>
      </c>
      <c r="AJ154" s="116">
        <f>IFERROR(INDEX('DRAFT 1'!$AE:$AE,MATCH($B154,'DRAFT 1'!$B:$B,0)),"")</f>
        <v/>
      </c>
      <c r="AK154" s="116">
        <f>IFERROR(INDEX('DRAFT 1'!$AG:$AG,MATCH($B154,'DRAFT 1'!$B:$B,0)),"")</f>
        <v/>
      </c>
      <c r="AL154" s="116">
        <f>IFERROR(INDEX('DRAFT 1'!$AH:$AH,MATCH($B154,'DRAFT 1'!$B:$B,0)),"")</f>
        <v/>
      </c>
      <c r="AM154" s="116">
        <f>IFERROR(INDEX('DRAFT 1'!$AI:$AI,MATCH($B154,'DRAFT 1'!$B:$B,0)),"")</f>
        <v/>
      </c>
      <c r="AN154" s="116">
        <f>IFERROR(INDEX('DRAFT 1'!$AJ:$AJ,MATCH($B154,'DRAFT 1'!$B:$B,0)),"")</f>
        <v/>
      </c>
      <c r="AO154" s="116">
        <f>IFERROR(Y154/AN154,0)</f>
        <v/>
      </c>
      <c r="AP154" s="116">
        <f>IFERROR(INDEX('DRAFT 1'!$AK:$AK,MATCH($B154,'DRAFT 1'!$B:$B,0)),"")</f>
        <v/>
      </c>
      <c r="AR154" s="116">
        <f>IFERROR(LOOKUP(2,1/('DRAFT 2'!$D:$D=$B154),'DRAFT 2'!$I:$I),"")</f>
        <v/>
      </c>
      <c r="AS154" s="116">
        <f>IFERROR(LOOKUP(2,1/('DRAFT 2'!$D:$D=$B154),'DRAFT 2'!$T:$T),"")</f>
        <v/>
      </c>
      <c r="AT154" s="116">
        <f>IFERROR(LOOKUP(2,1/('DRAFT 2'!$D:$D=$B154),'DRAFT 2'!$A:$A),"")</f>
        <v/>
      </c>
      <c r="AU154" s="116">
        <f>IFERROR(LOOKUP(2,1/('DRAFT 2'!$D:$D=$B154),'DRAFT 2'!$R:$R),"")</f>
        <v/>
      </c>
      <c r="AV154" s="116">
        <f>IFERROR(LOOKUP(2,1/('DRAFT 2'!$D:$D=$B154),'DRAFT 2'!$S:$S),"")</f>
        <v/>
      </c>
      <c r="AX154" s="116">
        <f>IFERROR(LOOKUP(2,1/('DRAFT 2'!$D:$D=$B154),'DRAFT 2'!$M:$M),"")</f>
        <v/>
      </c>
      <c r="AY154" s="116">
        <f>IFERROR(LOOKUP(2,1/('DRAFT 2'!$D:$D=$B154),'DRAFT 2'!$K:$K),"")</f>
        <v/>
      </c>
      <c r="BG154" s="116">
        <f>IFERROR(LOOKUP(2,1/('DRAFT 2'!$D:$D=$B154),'DRAFT 2'!$U:$U),"")</f>
        <v/>
      </c>
      <c r="BH154" s="116">
        <f>IFERROR(LOOKUP(2,1/('DRAFT 2'!$D:$D=$B154),'DRAFT 2'!$V:$V),"")</f>
        <v/>
      </c>
      <c r="CE154" s="116">
        <f>IFERROR(AJ154,0)</f>
        <v/>
      </c>
      <c r="CF154" s="116">
        <f>IFERROR(LOOKUP(2,1/('DRAFT 2'!$D:$D=$B154)*('DRAFT 2'!$A:$A&gt;=DATE(2026,1,1))*('DRAFT 2'!$A:$A&lt;DATE(2026,IF(1=12,1+1,1+1),1)),'DRAFT 2'!$A:$A),"")</f>
        <v/>
      </c>
      <c r="CG154" s="116">
        <f>COUNTIFS('DRAFT 2'!$D:$D,$B154,'DRAFT 2'!$A:$A,"&gt;="&amp;DATE(2026,1,1),'DRAFT 2'!$A:$A,"&lt;="&amp;DATE(2026,1,7))</f>
        <v/>
      </c>
      <c r="CH154" s="116">
        <f>COUNTIFS('DRAFT 2'!$D:$D,$B154,'DRAFT 2'!$A:$A,"&gt;="&amp;DATE(2026,1,8),'DRAFT 2'!$A:$A,"&lt;="&amp;DATE(2026,1,14))</f>
        <v/>
      </c>
      <c r="CI154" s="116">
        <f>COUNTIFS('DRAFT 2'!$D:$D,$B154,'DRAFT 2'!$A:$A,"&gt;="&amp;DATE(2026,1,15),'DRAFT 2'!$A:$A,"&lt;="&amp;DATE(2026,1,21))</f>
        <v/>
      </c>
      <c r="CJ154" s="116">
        <f>COUNTIFS('DRAFT 2'!$D:$D,$B154,'DRAFT 2'!$A:$A,"&gt;="&amp;DATE(2026,1,22),'DRAFT 2'!$A:$A,"&lt;"&amp;DATE(2026,IF(1=12,1+1,1+1),1))</f>
        <v/>
      </c>
      <c r="CK154" s="116">
        <f>SUM(CG154:CJ154)</f>
        <v/>
      </c>
      <c r="CT154" s="116" t="n">
        <v>0</v>
      </c>
      <c r="CU154" s="116">
        <f>IFERROR(LOOKUP(2,1/('DRAFT 2'!$D:$D=$B154)*('DRAFT 2'!$A:$A&gt;=DATE(2026,2,1))*('DRAFT 2'!$A:$A&lt;DATE(2026,IF(2=12,2+1,2+1),1)),'DRAFT 2'!$A:$A),"")</f>
        <v/>
      </c>
      <c r="CV154" s="116">
        <f>COUNTIFS('DRAFT 2'!$D:$D,$B154,'DRAFT 2'!$A:$A,"&gt;="&amp;DATE(2026,2,1),'DRAFT 2'!$A:$A,"&lt;="&amp;DATE(2026,2,7))</f>
        <v/>
      </c>
      <c r="CW154" s="116">
        <f>COUNTIFS('DRAFT 2'!$D:$D,$B154,'DRAFT 2'!$A:$A,"&gt;="&amp;DATE(2026,2,8),'DRAFT 2'!$A:$A,"&lt;="&amp;DATE(2026,2,14))</f>
        <v/>
      </c>
      <c r="CX154" s="116">
        <f>COUNTIFS('DRAFT 2'!$D:$D,$B154,'DRAFT 2'!$A:$A,"&gt;="&amp;DATE(2026,2,15),'DRAFT 2'!$A:$A,"&lt;="&amp;DATE(2026,2,21))</f>
        <v/>
      </c>
      <c r="CY154" s="116">
        <f>COUNTIFS('DRAFT 2'!$D:$D,$B154,'DRAFT 2'!$A:$A,"&gt;="&amp;DATE(2026,2,22),'DRAFT 2'!$A:$A,"&lt;"&amp;DATE(2026,IF(2=12,2+1,2+1),1))</f>
        <v/>
      </c>
      <c r="CZ154" s="116">
        <f>SUM(CV154:CY154)</f>
        <v/>
      </c>
      <c r="DJ154" s="116">
        <f>IFERROR(LOOKUP(2,1/('DRAFT 2'!$D:$D=$B154)*('DRAFT 2'!$A:$A&gt;=DATE(2026,3,1))*('DRAFT 2'!$A:$A&lt;DATE(2026,IF(3=12,3+1,3+1),1)),'DRAFT 2'!$A:$A),"")</f>
        <v/>
      </c>
      <c r="DK154" s="116">
        <f>COUNTIFS('DRAFT 2'!$D:$D,$B154,'DRAFT 2'!$A:$A,"&gt;="&amp;DATE(2026,3,1),'DRAFT 2'!$A:$A,"&lt;="&amp;DATE(2026,3,7))</f>
        <v/>
      </c>
      <c r="DL154" s="116">
        <f>COUNTIFS('DRAFT 2'!$D:$D,$B154,'DRAFT 2'!$A:$A,"&gt;="&amp;DATE(2026,3,8),'DRAFT 2'!$A:$A,"&lt;="&amp;DATE(2026,3,14))</f>
        <v/>
      </c>
      <c r="DM154" s="116">
        <f>COUNTIFS('DRAFT 2'!$D:$D,$B154,'DRAFT 2'!$A:$A,"&gt;="&amp;DATE(2026,3,15),'DRAFT 2'!$A:$A,"&lt;="&amp;DATE(2026,3,21))</f>
        <v/>
      </c>
      <c r="DN154" s="116">
        <f>COUNTIFS('DRAFT 2'!$D:$D,$B154,'DRAFT 2'!$A:$A,"&gt;="&amp;DATE(2026,3,22),'DRAFT 2'!$A:$A,"&lt;"&amp;DATE(2026,IF(3=12,3+1,3+1),1))</f>
        <v/>
      </c>
      <c r="DO154" s="116">
        <f>SUM(DK154:DN154)</f>
        <v/>
      </c>
      <c r="DZ154" s="116">
        <f>IFERROR(LOOKUP(2,1/('DRAFT 2'!$D:$D=$B154)*('DRAFT 2'!$A:$A&gt;=DATE(2026,4,1))*('DRAFT 2'!$A:$A&lt;DATE(2026,IF(4=12,4+1,4+1),1)),'DRAFT 2'!$A:$A),"")</f>
        <v/>
      </c>
      <c r="EA154" s="116">
        <f>COUNTIFS('DRAFT 2'!$D:$D,$B154,'DRAFT 2'!$A:$A,"&gt;="&amp;DATE(2026,4,1),'DRAFT 2'!$A:$A,"&lt;="&amp;DATE(2026,4,7))</f>
        <v/>
      </c>
      <c r="EB154" s="116">
        <f>COUNTIFS('DRAFT 2'!$D:$D,$B154,'DRAFT 2'!$A:$A,"&gt;="&amp;DATE(2026,4,8),'DRAFT 2'!$A:$A,"&lt;="&amp;DATE(2026,4,14))</f>
        <v/>
      </c>
      <c r="EC154" s="116">
        <f>COUNTIFS('DRAFT 2'!$D:$D,$B154,'DRAFT 2'!$A:$A,"&gt;="&amp;DATE(2026,4,15),'DRAFT 2'!$A:$A,"&lt;="&amp;DATE(2026,4,21))</f>
        <v/>
      </c>
      <c r="ED154" s="116">
        <f>COUNTIFS('DRAFT 2'!$D:$D,$B154,'DRAFT 2'!$A:$A,"&gt;="&amp;DATE(2026,4,22),'DRAFT 2'!$A:$A,"&lt;"&amp;DATE(2026,IF(4=12,4+1,4+1),1))</f>
        <v/>
      </c>
      <c r="EE154" s="116">
        <f>SUM(EA154:ED154)</f>
        <v/>
      </c>
      <c r="EO154" s="116">
        <f>IFERROR(LOOKUP(2,1/('DRAFT 2'!$D:$D=$B154)*('DRAFT 2'!$A:$A&gt;=DATE(2026,5,1))*('DRAFT 2'!$A:$A&lt;DATE(2026,IF(5=12,5+1,5+1),1)),'DRAFT 2'!$A:$A),"")</f>
        <v/>
      </c>
      <c r="EP154" s="116">
        <f>COUNTIFS('DRAFT 2'!$D:$D,$B154,'DRAFT 2'!$A:$A,"&gt;="&amp;DATE(2026,5,1),'DRAFT 2'!$A:$A,"&lt;="&amp;DATE(2026,5,7))</f>
        <v/>
      </c>
      <c r="EQ154" s="116">
        <f>COUNTIFS('DRAFT 2'!$D:$D,$B154,'DRAFT 2'!$A:$A,"&gt;="&amp;DATE(2026,5,8),'DRAFT 2'!$A:$A,"&lt;="&amp;DATE(2026,5,14))</f>
        <v/>
      </c>
      <c r="ER154" s="116">
        <f>COUNTIFS('DRAFT 2'!$D:$D,$B154,'DRAFT 2'!$A:$A,"&gt;="&amp;DATE(2026,5,15),'DRAFT 2'!$A:$A,"&lt;="&amp;DATE(2026,5,21))</f>
        <v/>
      </c>
      <c r="ES154" s="116">
        <f>COUNTIFS('DRAFT 2'!$D:$D,$B154,'DRAFT 2'!$A:$A,"&gt;="&amp;DATE(2026,5,22),'DRAFT 2'!$A:$A,"&lt;"&amp;DATE(2026,IF(5=12,5+1,5+1),1))</f>
        <v/>
      </c>
      <c r="ET154" s="116">
        <f>SUM(EP154:ES154)</f>
        <v/>
      </c>
      <c r="FD154" s="116">
        <f>IFERROR(LOOKUP(2,1/('DRAFT 2'!$D:$D=$B154)*('DRAFT 2'!$A:$A&gt;=DATE(2026,6,1))*('DRAFT 2'!$A:$A&lt;DATE(2026,IF(6=12,6+1,6+1),1)),'DRAFT 2'!$A:$A),"")</f>
        <v/>
      </c>
      <c r="FE154" s="116">
        <f>COUNTIFS('DRAFT 2'!$D:$D,$B154,'DRAFT 2'!$A:$A,"&gt;="&amp;DATE(2026,6,1),'DRAFT 2'!$A:$A,"&lt;="&amp;DATE(2026,6,7))</f>
        <v/>
      </c>
      <c r="FF154" s="116">
        <f>COUNTIFS('DRAFT 2'!$D:$D,$B154,'DRAFT 2'!$A:$A,"&gt;="&amp;DATE(2026,6,8),'DRAFT 2'!$A:$A,"&lt;="&amp;DATE(2026,6,14))</f>
        <v/>
      </c>
      <c r="FG154" s="116">
        <f>COUNTIFS('DRAFT 2'!$D:$D,$B154,'DRAFT 2'!$A:$A,"&gt;="&amp;DATE(2026,6,15),'DRAFT 2'!$A:$A,"&lt;="&amp;DATE(2026,6,21))</f>
        <v/>
      </c>
      <c r="FH154" s="116">
        <f>COUNTIFS('DRAFT 2'!$D:$D,$B154,'DRAFT 2'!$A:$A,"&gt;="&amp;DATE(2026,6,22),'DRAFT 2'!$A:$A,"&lt;"&amp;DATE(2026,IF(6=12,6+1,6+1),1))</f>
        <v/>
      </c>
      <c r="FI154" s="116">
        <f>SUM(FE154:FH154)</f>
        <v/>
      </c>
      <c r="FT154" s="116">
        <f>IFERROR(LOOKUP(2,1/('DRAFT 2'!$D:$D=$B154)*('DRAFT 2'!$A:$A&gt;=DATE(2026,7,1))*('DRAFT 2'!$A:$A&lt;DATE(2026,IF(7=12,7+1,7+1),1)),'DRAFT 2'!$A:$A),"")</f>
        <v/>
      </c>
      <c r="FU154" s="116">
        <f>COUNTIFS('DRAFT 2'!$D:$D,$B154,'DRAFT 2'!$A:$A,"&gt;="&amp;DATE(2026,7,1),'DRAFT 2'!$A:$A,"&lt;="&amp;DATE(2026,7,7))</f>
        <v/>
      </c>
      <c r="FV154" s="116">
        <f>COUNTIFS('DRAFT 2'!$D:$D,$B154,'DRAFT 2'!$A:$A,"&gt;="&amp;DATE(2026,7,8),'DRAFT 2'!$A:$A,"&lt;="&amp;DATE(2026,7,14))</f>
        <v/>
      </c>
      <c r="FW154" s="116">
        <f>COUNTIFS('DRAFT 2'!$D:$D,$B154,'DRAFT 2'!$A:$A,"&gt;="&amp;DATE(2026,7,15),'DRAFT 2'!$A:$A,"&lt;="&amp;DATE(2026,7,21))</f>
        <v/>
      </c>
      <c r="FX154" s="116">
        <f>COUNTIFS('DRAFT 2'!$D:$D,$B154,'DRAFT 2'!$A:$A,"&gt;="&amp;DATE(2026,7,22),'DRAFT 2'!$A:$A,"&lt;"&amp;DATE(2026,IF(7=12,7+1,7+1),1))</f>
        <v/>
      </c>
      <c r="FY154" s="116">
        <f>SUM(FU154:FX154)</f>
        <v/>
      </c>
      <c r="GI154" s="116">
        <f>IFERROR(LOOKUP(2,1/('DRAFT 2'!$D:$D=$B154)*('DRAFT 2'!$A:$A&gt;=DATE(2026,8,1))*('DRAFT 2'!$A:$A&lt;DATE(2026,IF(8=12,8+1,8+1),1)),'DRAFT 2'!$A:$A),"")</f>
        <v/>
      </c>
      <c r="GJ154" s="116">
        <f>COUNTIFS('DRAFT 2'!$D:$D,$B154,'DRAFT 2'!$A:$A,"&gt;="&amp;DATE(2026,8,1),'DRAFT 2'!$A:$A,"&lt;="&amp;DATE(2026,8,7))</f>
        <v/>
      </c>
      <c r="GK154" s="116">
        <f>COUNTIFS('DRAFT 2'!$D:$D,$B154,'DRAFT 2'!$A:$A,"&gt;="&amp;DATE(2026,8,8),'DRAFT 2'!$A:$A,"&lt;="&amp;DATE(2026,8,14))</f>
        <v/>
      </c>
      <c r="GL154" s="116">
        <f>COUNTIFS('DRAFT 2'!$D:$D,$B154,'DRAFT 2'!$A:$A,"&gt;="&amp;DATE(2026,8,15),'DRAFT 2'!$A:$A,"&lt;="&amp;DATE(2026,8,21))</f>
        <v/>
      </c>
      <c r="GM154" s="116">
        <f>COUNTIFS('DRAFT 2'!$D:$D,$B154,'DRAFT 2'!$A:$A,"&gt;="&amp;DATE(2026,8,22),'DRAFT 2'!$A:$A,"&lt;"&amp;DATE(2026,IF(8=12,8+1,8+1),1))</f>
        <v/>
      </c>
      <c r="GN154" s="116">
        <f>SUM(GJ154:GM154)</f>
        <v/>
      </c>
      <c r="GX154" s="116">
        <f>IFERROR(LOOKUP(2,1/('DRAFT 2'!$D:$D=$B154)*('DRAFT 2'!$A:$A&gt;=DATE(2026,9,1))*('DRAFT 2'!$A:$A&lt;DATE(2026,IF(9=12,9+1,9+1),1)),'DRAFT 2'!$A:$A),"")</f>
        <v/>
      </c>
      <c r="GY154" s="116">
        <f>COUNTIFS('DRAFT 2'!$D:$D,$B154,'DRAFT 2'!$A:$A,"&gt;="&amp;DATE(2026,9,1),'DRAFT 2'!$A:$A,"&lt;="&amp;DATE(2026,9,7))</f>
        <v/>
      </c>
      <c r="GZ154" s="116">
        <f>COUNTIFS('DRAFT 2'!$D:$D,$B154,'DRAFT 2'!$A:$A,"&gt;="&amp;DATE(2026,9,8),'DRAFT 2'!$A:$A,"&lt;="&amp;DATE(2026,9,14))</f>
        <v/>
      </c>
      <c r="HA154" s="116">
        <f>COUNTIFS('DRAFT 2'!$D:$D,$B154,'DRAFT 2'!$A:$A,"&gt;="&amp;DATE(2026,9,15),'DRAFT 2'!$A:$A,"&lt;="&amp;DATE(2026,9,21))</f>
        <v/>
      </c>
      <c r="HB154" s="116">
        <f>COUNTIFS('DRAFT 2'!$D:$D,$B154,'DRAFT 2'!$A:$A,"&gt;="&amp;DATE(2026,9,22),'DRAFT 2'!$A:$A,"&lt;"&amp;DATE(2026,IF(9=12,9+1,9+1),1))</f>
        <v/>
      </c>
      <c r="HC154" s="116">
        <f>SUM(GY154:HB154)</f>
        <v/>
      </c>
      <c r="HN154" s="116">
        <f>IFERROR(LOOKUP(2,1/('DRAFT 2'!$D:$D=$B154)*('DRAFT 2'!$A:$A&gt;=DATE(2026,10,1))*('DRAFT 2'!$A:$A&lt;DATE(2026,IF(10=12,10+1,10+1),1)),'DRAFT 2'!$A:$A),"")</f>
        <v/>
      </c>
      <c r="HO154" s="116">
        <f>COUNTIFS('DRAFT 2'!$D:$D,$B154,'DRAFT 2'!$A:$A,"&gt;="&amp;DATE(2026,10,1),'DRAFT 2'!$A:$A,"&lt;="&amp;DATE(2026,10,7))</f>
        <v/>
      </c>
      <c r="HP154" s="116">
        <f>COUNTIFS('DRAFT 2'!$D:$D,$B154,'DRAFT 2'!$A:$A,"&gt;="&amp;DATE(2026,10,8),'DRAFT 2'!$A:$A,"&lt;="&amp;DATE(2026,10,14))</f>
        <v/>
      </c>
      <c r="HQ154" s="116">
        <f>COUNTIFS('DRAFT 2'!$D:$D,$B154,'DRAFT 2'!$A:$A,"&gt;="&amp;DATE(2026,10,15),'DRAFT 2'!$A:$A,"&lt;="&amp;DATE(2026,10,21))</f>
        <v/>
      </c>
      <c r="HR154" s="116">
        <f>COUNTIFS('DRAFT 2'!$D:$D,$B154,'DRAFT 2'!$A:$A,"&gt;="&amp;DATE(2026,10,22),'DRAFT 2'!$A:$A,"&lt;"&amp;DATE(2026,IF(10=12,10+1,10+1),1))</f>
        <v/>
      </c>
      <c r="HS154" s="116">
        <f>SUM(HO154:HR154)</f>
        <v/>
      </c>
      <c r="IC154" s="116">
        <f>IFERROR(LOOKUP(2,1/('DRAFT 2'!$D:$D=$B154)*('DRAFT 2'!$A:$A&gt;=DATE(2026,11,1))*('DRAFT 2'!$A:$A&lt;DATE(2026,IF(11=12,11+1,11+1),1)),'DRAFT 2'!$A:$A),"")</f>
        <v/>
      </c>
      <c r="ID154" s="116">
        <f>COUNTIFS('DRAFT 2'!$D:$D,$B154,'DRAFT 2'!$A:$A,"&gt;="&amp;DATE(2026,11,1),'DRAFT 2'!$A:$A,"&lt;="&amp;DATE(2026,11,7))</f>
        <v/>
      </c>
      <c r="IE154" s="116">
        <f>COUNTIFS('DRAFT 2'!$D:$D,$B154,'DRAFT 2'!$A:$A,"&gt;="&amp;DATE(2026,11,8),'DRAFT 2'!$A:$A,"&lt;="&amp;DATE(2026,11,14))</f>
        <v/>
      </c>
      <c r="IF154" s="116">
        <f>COUNTIFS('DRAFT 2'!$D:$D,$B154,'DRAFT 2'!$A:$A,"&gt;="&amp;DATE(2026,11,15),'DRAFT 2'!$A:$A,"&lt;="&amp;DATE(2026,11,21))</f>
        <v/>
      </c>
      <c r="IG154" s="116">
        <f>COUNTIFS('DRAFT 2'!$D:$D,$B154,'DRAFT 2'!$A:$A,"&gt;="&amp;DATE(2026,11,22),'DRAFT 2'!$A:$A,"&lt;"&amp;DATE(2026,IF(11=12,11+1,11+1),1))</f>
        <v/>
      </c>
      <c r="IH154" s="116">
        <f>SUM(ID154:IG154)</f>
        <v/>
      </c>
      <c r="IR154" s="116">
        <f>IFERROR(LOOKUP(2,1/('DRAFT 2'!$D:$D=$B154)*('DRAFT 2'!$A:$A&gt;=DATE(2026,12,1))*('DRAFT 2'!$A:$A&lt;DATE(2026,IF(12=12,12+1,12+1),1)),'DRAFT 2'!$A:$A),"")</f>
        <v/>
      </c>
      <c r="IS154" s="116">
        <f>COUNTIFS('DRAFT 2'!$D:$D,$B154,'DRAFT 2'!$A:$A,"&gt;="&amp;DATE(2026,12,1),'DRAFT 2'!$A:$A,"&lt;="&amp;DATE(2026,12,7))</f>
        <v/>
      </c>
      <c r="IT154" s="116">
        <f>COUNTIFS('DRAFT 2'!$D:$D,$B154,'DRAFT 2'!$A:$A,"&gt;="&amp;DATE(2026,12,8),'DRAFT 2'!$A:$A,"&lt;="&amp;DATE(2026,12,14))</f>
        <v/>
      </c>
      <c r="IU154" s="116">
        <f>COUNTIFS('DRAFT 2'!$D:$D,$B154,'DRAFT 2'!$A:$A,"&gt;="&amp;DATE(2026,12,15),'DRAFT 2'!$A:$A,"&lt;="&amp;DATE(2026,12,21))</f>
        <v/>
      </c>
      <c r="IV154" s="116">
        <f>COUNTIFS('DRAFT 2'!$D:$D,$B154,'DRAFT 2'!$A:$A,"&gt;="&amp;DATE(2026,12,22),'DRAFT 2'!$A:$A,"&lt;"&amp;DATE(2026,IF(12=12,12+1,12+1),1))</f>
        <v/>
      </c>
      <c r="IW154" s="116">
        <f>SUM(IS154:IV154)</f>
        <v/>
      </c>
    </row>
    <row r="155">
      <c r="A155" s="116">
        <f>IFERROR(INDEX('DRAFT 1'!$A:$A,MATCH($B155,'DRAFT 1'!$B:$B,0)),"")</f>
        <v/>
      </c>
      <c r="C155" s="116">
        <f>IFERROR(INDEX('DRAFT 1'!$C:$C,MATCH($B155,'DRAFT 1'!$B:$B,0)),"")</f>
        <v/>
      </c>
      <c r="D155" s="116">
        <f>IFERROR(INDEX('DRAFT 1'!$D:$D,MATCH($B155,'DRAFT 1'!$B:$B,0)),"")</f>
        <v/>
      </c>
      <c r="E155" s="116">
        <f>IFERROR(INDEX('DRAFT 1'!$E:$E,MATCH($B155,'DRAFT 1'!$B:$B,0)),"")</f>
        <v/>
      </c>
      <c r="F155" s="116">
        <f>IFERROR(INDEX('DRAFT 1'!$F:$F,MATCH($B155,'DRAFT 1'!$B:$B,0)),"")</f>
        <v/>
      </c>
      <c r="G155" s="116">
        <f>IFERROR(INDEX('DRAFT 1'!$G:$G,MATCH($B155,'DRAFT 1'!$B:$B,0)),"")</f>
        <v/>
      </c>
      <c r="H155" s="116">
        <f>IFERROR(INDEX('DRAFT 1'!$H:$H,MATCH($B155,'DRAFT 1'!$B:$B,0)),"")</f>
        <v/>
      </c>
      <c r="I155" s="116">
        <f>IFERROR(INDEX('DRAFT 1'!$I:$I,MATCH($B155,'DRAFT 1'!$B:$B,0)),"")</f>
        <v/>
      </c>
      <c r="K155" s="116">
        <f>IFERROR(INDEX('DRAFT 1'!$AL:$AL,MATCH($B155,'DRAFT 1'!$B:$B,0)),"")</f>
        <v/>
      </c>
      <c r="L155" s="116">
        <f>IFERROR(INDEX('DRAFT 1'!$J:$J,MATCH($B155,'DRAFT 1'!$B:$B,0)),"")</f>
        <v/>
      </c>
      <c r="M155" s="116">
        <f>IFERROR(INDEX('DRAFT 1'!$K:$K,MATCH($B155,'DRAFT 1'!$B:$B,0)),"")</f>
        <v/>
      </c>
      <c r="P155" s="116">
        <f>IFERROR(INDEX('DRAFT 1'!$L:$L,MATCH($B155,'DRAFT 1'!$B:$B,0)),"")</f>
        <v/>
      </c>
      <c r="Q155" s="116">
        <f>IFERROR(INDEX('DRAFT 1'!$M:$M,MATCH($B155,'DRAFT 1'!$B:$B,0)),"")</f>
        <v/>
      </c>
      <c r="R155" s="116">
        <f>IFERROR(INDEX('DRAFT 1'!$N:$N,MATCH($B155,'DRAFT 1'!$B:$B,0)),"")</f>
        <v/>
      </c>
      <c r="S155" s="116">
        <f>IFERROR(INDEX('DRAFT 1'!$O:$O,MATCH($B155,'DRAFT 1'!$B:$B,0)),"")</f>
        <v/>
      </c>
      <c r="T155" s="116">
        <f>IFERROR(INDEX('DRAFT 1'!$P:$P,MATCH($B155,'DRAFT 1'!$B:$B,0)),"")</f>
        <v/>
      </c>
      <c r="U155" s="116">
        <f>IFERROR(INDEX('DRAFT 1'!$Q:$Q,MATCH($B155,'DRAFT 1'!$B:$B,0)),"")</f>
        <v/>
      </c>
      <c r="V155" s="116">
        <f>IFERROR(INDEX('DRAFT 1'!$R:$R,MATCH($B155,'DRAFT 1'!$B:$B,0)),"")</f>
        <v/>
      </c>
      <c r="W155" s="116">
        <f>IFERROR(INDEX('DRAFT 1'!$S:$S,MATCH($B155,'DRAFT 1'!$B:$B,0)),"")</f>
        <v/>
      </c>
      <c r="X155" s="116">
        <f>IFERROR(INDEX('DRAFT 1'!$T:$T,MATCH($B155,'DRAFT 1'!$B:$B,0)),"")</f>
        <v/>
      </c>
      <c r="Z155" s="116">
        <f>IFERROR(INDEX('DRAFT 1'!$U:$U,MATCH($B155,'DRAFT 1'!$B:$B,0)),"")</f>
        <v/>
      </c>
      <c r="AA155" s="116">
        <f>IFERROR(INDEX('DRAFT 1'!$V:$V,MATCH($B155,'DRAFT 1'!$B:$B,0)),"")</f>
        <v/>
      </c>
      <c r="AB155" s="116">
        <f>IFERROR(INDEX('DRAFT 1'!$W:$W,MATCH($B155,'DRAFT 1'!$B:$B,0)),"")</f>
        <v/>
      </c>
      <c r="AC155" s="116">
        <f>IFERROR(INDEX('DRAFT 1'!$X:$X,MATCH($B155,'DRAFT 1'!$B:$B,0)),"")</f>
        <v/>
      </c>
      <c r="AD155" s="116">
        <f>IFERROR(INDEX('DRAFT 1'!$Y:$Y,MATCH($B155,'DRAFT 1'!$B:$B,0)),"")</f>
        <v/>
      </c>
      <c r="AE155" s="116">
        <f>IFERROR(INDEX('DRAFT 1'!$Z:$Z,MATCH($B155,'DRAFT 1'!$B:$B,0)),"")</f>
        <v/>
      </c>
      <c r="AF155" s="116">
        <f>IFERROR(INDEX('DRAFT 1'!$AA:$AA,MATCH($B155,'DRAFT 1'!$B:$B,0)),"")</f>
        <v/>
      </c>
      <c r="AG155" s="116">
        <f>IFERROR(INDEX('DRAFT 1'!$AB:$AB,MATCH($B155,'DRAFT 1'!$B:$B,0)),"")</f>
        <v/>
      </c>
      <c r="AH155" s="116">
        <f>IFERROR(INDEX('DRAFT 1'!$AC:$AC,MATCH($B155,'DRAFT 1'!$B:$B,0)),"")</f>
        <v/>
      </c>
      <c r="AI155" s="116">
        <f>IFERROR(INDEX('DRAFT 1'!$AD:$AD,MATCH($B155,'DRAFT 1'!$B:$B,0)),"")</f>
        <v/>
      </c>
      <c r="AJ155" s="116">
        <f>IFERROR(INDEX('DRAFT 1'!$AE:$AE,MATCH($B155,'DRAFT 1'!$B:$B,0)),"")</f>
        <v/>
      </c>
      <c r="AK155" s="116">
        <f>IFERROR(INDEX('DRAFT 1'!$AG:$AG,MATCH($B155,'DRAFT 1'!$B:$B,0)),"")</f>
        <v/>
      </c>
      <c r="AL155" s="116">
        <f>IFERROR(INDEX('DRAFT 1'!$AH:$AH,MATCH($B155,'DRAFT 1'!$B:$B,0)),"")</f>
        <v/>
      </c>
      <c r="AM155" s="116">
        <f>IFERROR(INDEX('DRAFT 1'!$AI:$AI,MATCH($B155,'DRAFT 1'!$B:$B,0)),"")</f>
        <v/>
      </c>
      <c r="AN155" s="116">
        <f>IFERROR(INDEX('DRAFT 1'!$AJ:$AJ,MATCH($B155,'DRAFT 1'!$B:$B,0)),"")</f>
        <v/>
      </c>
      <c r="AO155" s="116">
        <f>IFERROR(Y155/AN155,0)</f>
        <v/>
      </c>
      <c r="AP155" s="116">
        <f>IFERROR(INDEX('DRAFT 1'!$AK:$AK,MATCH($B155,'DRAFT 1'!$B:$B,0)),"")</f>
        <v/>
      </c>
      <c r="AR155" s="116">
        <f>IFERROR(LOOKUP(2,1/('DRAFT 2'!$D:$D=$B155),'DRAFT 2'!$I:$I),"")</f>
        <v/>
      </c>
      <c r="AS155" s="116">
        <f>IFERROR(LOOKUP(2,1/('DRAFT 2'!$D:$D=$B155),'DRAFT 2'!$T:$T),"")</f>
        <v/>
      </c>
      <c r="AT155" s="116">
        <f>IFERROR(LOOKUP(2,1/('DRAFT 2'!$D:$D=$B155),'DRAFT 2'!$A:$A),"")</f>
        <v/>
      </c>
      <c r="AU155" s="116">
        <f>IFERROR(LOOKUP(2,1/('DRAFT 2'!$D:$D=$B155),'DRAFT 2'!$R:$R),"")</f>
        <v/>
      </c>
      <c r="AV155" s="116">
        <f>IFERROR(LOOKUP(2,1/('DRAFT 2'!$D:$D=$B155),'DRAFT 2'!$S:$S),"")</f>
        <v/>
      </c>
      <c r="AX155" s="116">
        <f>IFERROR(LOOKUP(2,1/('DRAFT 2'!$D:$D=$B155),'DRAFT 2'!$M:$M),"")</f>
        <v/>
      </c>
      <c r="AY155" s="116">
        <f>IFERROR(LOOKUP(2,1/('DRAFT 2'!$D:$D=$B155),'DRAFT 2'!$K:$K),"")</f>
        <v/>
      </c>
      <c r="BG155" s="116">
        <f>IFERROR(LOOKUP(2,1/('DRAFT 2'!$D:$D=$B155),'DRAFT 2'!$U:$U),"")</f>
        <v/>
      </c>
      <c r="BH155" s="116">
        <f>IFERROR(LOOKUP(2,1/('DRAFT 2'!$D:$D=$B155),'DRAFT 2'!$V:$V),"")</f>
        <v/>
      </c>
      <c r="CE155" s="116">
        <f>IFERROR(AJ155,0)</f>
        <v/>
      </c>
      <c r="CF155" s="116">
        <f>IFERROR(LOOKUP(2,1/('DRAFT 2'!$D:$D=$B155)*('DRAFT 2'!$A:$A&gt;=DATE(2026,1,1))*('DRAFT 2'!$A:$A&lt;DATE(2026,IF(1=12,1+1,1+1),1)),'DRAFT 2'!$A:$A),"")</f>
        <v/>
      </c>
      <c r="CG155" s="116">
        <f>COUNTIFS('DRAFT 2'!$D:$D,$B155,'DRAFT 2'!$A:$A,"&gt;="&amp;DATE(2026,1,1),'DRAFT 2'!$A:$A,"&lt;="&amp;DATE(2026,1,7))</f>
        <v/>
      </c>
      <c r="CH155" s="116">
        <f>COUNTIFS('DRAFT 2'!$D:$D,$B155,'DRAFT 2'!$A:$A,"&gt;="&amp;DATE(2026,1,8),'DRAFT 2'!$A:$A,"&lt;="&amp;DATE(2026,1,14))</f>
        <v/>
      </c>
      <c r="CI155" s="116">
        <f>COUNTIFS('DRAFT 2'!$D:$D,$B155,'DRAFT 2'!$A:$A,"&gt;="&amp;DATE(2026,1,15),'DRAFT 2'!$A:$A,"&lt;="&amp;DATE(2026,1,21))</f>
        <v/>
      </c>
      <c r="CJ155" s="116">
        <f>COUNTIFS('DRAFT 2'!$D:$D,$B155,'DRAFT 2'!$A:$A,"&gt;="&amp;DATE(2026,1,22),'DRAFT 2'!$A:$A,"&lt;"&amp;DATE(2026,IF(1=12,1+1,1+1),1))</f>
        <v/>
      </c>
      <c r="CK155" s="116">
        <f>SUM(CG155:CJ155)</f>
        <v/>
      </c>
      <c r="CT155" s="116" t="n">
        <v>0</v>
      </c>
      <c r="CU155" s="116">
        <f>IFERROR(LOOKUP(2,1/('DRAFT 2'!$D:$D=$B155)*('DRAFT 2'!$A:$A&gt;=DATE(2026,2,1))*('DRAFT 2'!$A:$A&lt;DATE(2026,IF(2=12,2+1,2+1),1)),'DRAFT 2'!$A:$A),"")</f>
        <v/>
      </c>
      <c r="CV155" s="116">
        <f>COUNTIFS('DRAFT 2'!$D:$D,$B155,'DRAFT 2'!$A:$A,"&gt;="&amp;DATE(2026,2,1),'DRAFT 2'!$A:$A,"&lt;="&amp;DATE(2026,2,7))</f>
        <v/>
      </c>
      <c r="CW155" s="116">
        <f>COUNTIFS('DRAFT 2'!$D:$D,$B155,'DRAFT 2'!$A:$A,"&gt;="&amp;DATE(2026,2,8),'DRAFT 2'!$A:$A,"&lt;="&amp;DATE(2026,2,14))</f>
        <v/>
      </c>
      <c r="CX155" s="116">
        <f>COUNTIFS('DRAFT 2'!$D:$D,$B155,'DRAFT 2'!$A:$A,"&gt;="&amp;DATE(2026,2,15),'DRAFT 2'!$A:$A,"&lt;="&amp;DATE(2026,2,21))</f>
        <v/>
      </c>
      <c r="CY155" s="116">
        <f>COUNTIFS('DRAFT 2'!$D:$D,$B155,'DRAFT 2'!$A:$A,"&gt;="&amp;DATE(2026,2,22),'DRAFT 2'!$A:$A,"&lt;"&amp;DATE(2026,IF(2=12,2+1,2+1),1))</f>
        <v/>
      </c>
      <c r="CZ155" s="116">
        <f>SUM(CV155:CY155)</f>
        <v/>
      </c>
      <c r="DJ155" s="116">
        <f>IFERROR(LOOKUP(2,1/('DRAFT 2'!$D:$D=$B155)*('DRAFT 2'!$A:$A&gt;=DATE(2026,3,1))*('DRAFT 2'!$A:$A&lt;DATE(2026,IF(3=12,3+1,3+1),1)),'DRAFT 2'!$A:$A),"")</f>
        <v/>
      </c>
      <c r="DK155" s="116">
        <f>COUNTIFS('DRAFT 2'!$D:$D,$B155,'DRAFT 2'!$A:$A,"&gt;="&amp;DATE(2026,3,1),'DRAFT 2'!$A:$A,"&lt;="&amp;DATE(2026,3,7))</f>
        <v/>
      </c>
      <c r="DL155" s="116">
        <f>COUNTIFS('DRAFT 2'!$D:$D,$B155,'DRAFT 2'!$A:$A,"&gt;="&amp;DATE(2026,3,8),'DRAFT 2'!$A:$A,"&lt;="&amp;DATE(2026,3,14))</f>
        <v/>
      </c>
      <c r="DM155" s="116">
        <f>COUNTIFS('DRAFT 2'!$D:$D,$B155,'DRAFT 2'!$A:$A,"&gt;="&amp;DATE(2026,3,15),'DRAFT 2'!$A:$A,"&lt;="&amp;DATE(2026,3,21))</f>
        <v/>
      </c>
      <c r="DN155" s="116">
        <f>COUNTIFS('DRAFT 2'!$D:$D,$B155,'DRAFT 2'!$A:$A,"&gt;="&amp;DATE(2026,3,22),'DRAFT 2'!$A:$A,"&lt;"&amp;DATE(2026,IF(3=12,3+1,3+1),1))</f>
        <v/>
      </c>
      <c r="DO155" s="116">
        <f>SUM(DK155:DN155)</f>
        <v/>
      </c>
      <c r="DZ155" s="116">
        <f>IFERROR(LOOKUP(2,1/('DRAFT 2'!$D:$D=$B155)*('DRAFT 2'!$A:$A&gt;=DATE(2026,4,1))*('DRAFT 2'!$A:$A&lt;DATE(2026,IF(4=12,4+1,4+1),1)),'DRAFT 2'!$A:$A),"")</f>
        <v/>
      </c>
      <c r="EA155" s="116">
        <f>COUNTIFS('DRAFT 2'!$D:$D,$B155,'DRAFT 2'!$A:$A,"&gt;="&amp;DATE(2026,4,1),'DRAFT 2'!$A:$A,"&lt;="&amp;DATE(2026,4,7))</f>
        <v/>
      </c>
      <c r="EB155" s="116">
        <f>COUNTIFS('DRAFT 2'!$D:$D,$B155,'DRAFT 2'!$A:$A,"&gt;="&amp;DATE(2026,4,8),'DRAFT 2'!$A:$A,"&lt;="&amp;DATE(2026,4,14))</f>
        <v/>
      </c>
      <c r="EC155" s="116">
        <f>COUNTIFS('DRAFT 2'!$D:$D,$B155,'DRAFT 2'!$A:$A,"&gt;="&amp;DATE(2026,4,15),'DRAFT 2'!$A:$A,"&lt;="&amp;DATE(2026,4,21))</f>
        <v/>
      </c>
      <c r="ED155" s="116">
        <f>COUNTIFS('DRAFT 2'!$D:$D,$B155,'DRAFT 2'!$A:$A,"&gt;="&amp;DATE(2026,4,22),'DRAFT 2'!$A:$A,"&lt;"&amp;DATE(2026,IF(4=12,4+1,4+1),1))</f>
        <v/>
      </c>
      <c r="EE155" s="116">
        <f>SUM(EA155:ED155)</f>
        <v/>
      </c>
      <c r="EO155" s="116">
        <f>IFERROR(LOOKUP(2,1/('DRAFT 2'!$D:$D=$B155)*('DRAFT 2'!$A:$A&gt;=DATE(2026,5,1))*('DRAFT 2'!$A:$A&lt;DATE(2026,IF(5=12,5+1,5+1),1)),'DRAFT 2'!$A:$A),"")</f>
        <v/>
      </c>
      <c r="EP155" s="116">
        <f>COUNTIFS('DRAFT 2'!$D:$D,$B155,'DRAFT 2'!$A:$A,"&gt;="&amp;DATE(2026,5,1),'DRAFT 2'!$A:$A,"&lt;="&amp;DATE(2026,5,7))</f>
        <v/>
      </c>
      <c r="EQ155" s="116">
        <f>COUNTIFS('DRAFT 2'!$D:$D,$B155,'DRAFT 2'!$A:$A,"&gt;="&amp;DATE(2026,5,8),'DRAFT 2'!$A:$A,"&lt;="&amp;DATE(2026,5,14))</f>
        <v/>
      </c>
      <c r="ER155" s="116">
        <f>COUNTIFS('DRAFT 2'!$D:$D,$B155,'DRAFT 2'!$A:$A,"&gt;="&amp;DATE(2026,5,15),'DRAFT 2'!$A:$A,"&lt;="&amp;DATE(2026,5,21))</f>
        <v/>
      </c>
      <c r="ES155" s="116">
        <f>COUNTIFS('DRAFT 2'!$D:$D,$B155,'DRAFT 2'!$A:$A,"&gt;="&amp;DATE(2026,5,22),'DRAFT 2'!$A:$A,"&lt;"&amp;DATE(2026,IF(5=12,5+1,5+1),1))</f>
        <v/>
      </c>
      <c r="ET155" s="116">
        <f>SUM(EP155:ES155)</f>
        <v/>
      </c>
      <c r="FD155" s="116">
        <f>IFERROR(LOOKUP(2,1/('DRAFT 2'!$D:$D=$B155)*('DRAFT 2'!$A:$A&gt;=DATE(2026,6,1))*('DRAFT 2'!$A:$A&lt;DATE(2026,IF(6=12,6+1,6+1),1)),'DRAFT 2'!$A:$A),"")</f>
        <v/>
      </c>
      <c r="FE155" s="116">
        <f>COUNTIFS('DRAFT 2'!$D:$D,$B155,'DRAFT 2'!$A:$A,"&gt;="&amp;DATE(2026,6,1),'DRAFT 2'!$A:$A,"&lt;="&amp;DATE(2026,6,7))</f>
        <v/>
      </c>
      <c r="FF155" s="116">
        <f>COUNTIFS('DRAFT 2'!$D:$D,$B155,'DRAFT 2'!$A:$A,"&gt;="&amp;DATE(2026,6,8),'DRAFT 2'!$A:$A,"&lt;="&amp;DATE(2026,6,14))</f>
        <v/>
      </c>
      <c r="FG155" s="116">
        <f>COUNTIFS('DRAFT 2'!$D:$D,$B155,'DRAFT 2'!$A:$A,"&gt;="&amp;DATE(2026,6,15),'DRAFT 2'!$A:$A,"&lt;="&amp;DATE(2026,6,21))</f>
        <v/>
      </c>
      <c r="FH155" s="116">
        <f>COUNTIFS('DRAFT 2'!$D:$D,$B155,'DRAFT 2'!$A:$A,"&gt;="&amp;DATE(2026,6,22),'DRAFT 2'!$A:$A,"&lt;"&amp;DATE(2026,IF(6=12,6+1,6+1),1))</f>
        <v/>
      </c>
      <c r="FI155" s="116">
        <f>SUM(FE155:FH155)</f>
        <v/>
      </c>
      <c r="FT155" s="116">
        <f>IFERROR(LOOKUP(2,1/('DRAFT 2'!$D:$D=$B155)*('DRAFT 2'!$A:$A&gt;=DATE(2026,7,1))*('DRAFT 2'!$A:$A&lt;DATE(2026,IF(7=12,7+1,7+1),1)),'DRAFT 2'!$A:$A),"")</f>
        <v/>
      </c>
      <c r="FU155" s="116">
        <f>COUNTIFS('DRAFT 2'!$D:$D,$B155,'DRAFT 2'!$A:$A,"&gt;="&amp;DATE(2026,7,1),'DRAFT 2'!$A:$A,"&lt;="&amp;DATE(2026,7,7))</f>
        <v/>
      </c>
      <c r="FV155" s="116">
        <f>COUNTIFS('DRAFT 2'!$D:$D,$B155,'DRAFT 2'!$A:$A,"&gt;="&amp;DATE(2026,7,8),'DRAFT 2'!$A:$A,"&lt;="&amp;DATE(2026,7,14))</f>
        <v/>
      </c>
      <c r="FW155" s="116">
        <f>COUNTIFS('DRAFT 2'!$D:$D,$B155,'DRAFT 2'!$A:$A,"&gt;="&amp;DATE(2026,7,15),'DRAFT 2'!$A:$A,"&lt;="&amp;DATE(2026,7,21))</f>
        <v/>
      </c>
      <c r="FX155" s="116">
        <f>COUNTIFS('DRAFT 2'!$D:$D,$B155,'DRAFT 2'!$A:$A,"&gt;="&amp;DATE(2026,7,22),'DRAFT 2'!$A:$A,"&lt;"&amp;DATE(2026,IF(7=12,7+1,7+1),1))</f>
        <v/>
      </c>
      <c r="FY155" s="116">
        <f>SUM(FU155:FX155)</f>
        <v/>
      </c>
      <c r="GI155" s="116">
        <f>IFERROR(LOOKUP(2,1/('DRAFT 2'!$D:$D=$B155)*('DRAFT 2'!$A:$A&gt;=DATE(2026,8,1))*('DRAFT 2'!$A:$A&lt;DATE(2026,IF(8=12,8+1,8+1),1)),'DRAFT 2'!$A:$A),"")</f>
        <v/>
      </c>
      <c r="GJ155" s="116">
        <f>COUNTIFS('DRAFT 2'!$D:$D,$B155,'DRAFT 2'!$A:$A,"&gt;="&amp;DATE(2026,8,1),'DRAFT 2'!$A:$A,"&lt;="&amp;DATE(2026,8,7))</f>
        <v/>
      </c>
      <c r="GK155" s="116">
        <f>COUNTIFS('DRAFT 2'!$D:$D,$B155,'DRAFT 2'!$A:$A,"&gt;="&amp;DATE(2026,8,8),'DRAFT 2'!$A:$A,"&lt;="&amp;DATE(2026,8,14))</f>
        <v/>
      </c>
      <c r="GL155" s="116">
        <f>COUNTIFS('DRAFT 2'!$D:$D,$B155,'DRAFT 2'!$A:$A,"&gt;="&amp;DATE(2026,8,15),'DRAFT 2'!$A:$A,"&lt;="&amp;DATE(2026,8,21))</f>
        <v/>
      </c>
      <c r="GM155" s="116">
        <f>COUNTIFS('DRAFT 2'!$D:$D,$B155,'DRAFT 2'!$A:$A,"&gt;="&amp;DATE(2026,8,22),'DRAFT 2'!$A:$A,"&lt;"&amp;DATE(2026,IF(8=12,8+1,8+1),1))</f>
        <v/>
      </c>
      <c r="GN155" s="116">
        <f>SUM(GJ155:GM155)</f>
        <v/>
      </c>
      <c r="GX155" s="116">
        <f>IFERROR(LOOKUP(2,1/('DRAFT 2'!$D:$D=$B155)*('DRAFT 2'!$A:$A&gt;=DATE(2026,9,1))*('DRAFT 2'!$A:$A&lt;DATE(2026,IF(9=12,9+1,9+1),1)),'DRAFT 2'!$A:$A),"")</f>
        <v/>
      </c>
      <c r="GY155" s="116">
        <f>COUNTIFS('DRAFT 2'!$D:$D,$B155,'DRAFT 2'!$A:$A,"&gt;="&amp;DATE(2026,9,1),'DRAFT 2'!$A:$A,"&lt;="&amp;DATE(2026,9,7))</f>
        <v/>
      </c>
      <c r="GZ155" s="116">
        <f>COUNTIFS('DRAFT 2'!$D:$D,$B155,'DRAFT 2'!$A:$A,"&gt;="&amp;DATE(2026,9,8),'DRAFT 2'!$A:$A,"&lt;="&amp;DATE(2026,9,14))</f>
        <v/>
      </c>
      <c r="HA155" s="116">
        <f>COUNTIFS('DRAFT 2'!$D:$D,$B155,'DRAFT 2'!$A:$A,"&gt;="&amp;DATE(2026,9,15),'DRAFT 2'!$A:$A,"&lt;="&amp;DATE(2026,9,21))</f>
        <v/>
      </c>
      <c r="HB155" s="116">
        <f>COUNTIFS('DRAFT 2'!$D:$D,$B155,'DRAFT 2'!$A:$A,"&gt;="&amp;DATE(2026,9,22),'DRAFT 2'!$A:$A,"&lt;"&amp;DATE(2026,IF(9=12,9+1,9+1),1))</f>
        <v/>
      </c>
      <c r="HC155" s="116">
        <f>SUM(GY155:HB155)</f>
        <v/>
      </c>
      <c r="HN155" s="116">
        <f>IFERROR(LOOKUP(2,1/('DRAFT 2'!$D:$D=$B155)*('DRAFT 2'!$A:$A&gt;=DATE(2026,10,1))*('DRAFT 2'!$A:$A&lt;DATE(2026,IF(10=12,10+1,10+1),1)),'DRAFT 2'!$A:$A),"")</f>
        <v/>
      </c>
      <c r="HO155" s="116">
        <f>COUNTIFS('DRAFT 2'!$D:$D,$B155,'DRAFT 2'!$A:$A,"&gt;="&amp;DATE(2026,10,1),'DRAFT 2'!$A:$A,"&lt;="&amp;DATE(2026,10,7))</f>
        <v/>
      </c>
      <c r="HP155" s="116">
        <f>COUNTIFS('DRAFT 2'!$D:$D,$B155,'DRAFT 2'!$A:$A,"&gt;="&amp;DATE(2026,10,8),'DRAFT 2'!$A:$A,"&lt;="&amp;DATE(2026,10,14))</f>
        <v/>
      </c>
      <c r="HQ155" s="116">
        <f>COUNTIFS('DRAFT 2'!$D:$D,$B155,'DRAFT 2'!$A:$A,"&gt;="&amp;DATE(2026,10,15),'DRAFT 2'!$A:$A,"&lt;="&amp;DATE(2026,10,21))</f>
        <v/>
      </c>
      <c r="HR155" s="116">
        <f>COUNTIFS('DRAFT 2'!$D:$D,$B155,'DRAFT 2'!$A:$A,"&gt;="&amp;DATE(2026,10,22),'DRAFT 2'!$A:$A,"&lt;"&amp;DATE(2026,IF(10=12,10+1,10+1),1))</f>
        <v/>
      </c>
      <c r="HS155" s="116">
        <f>SUM(HO155:HR155)</f>
        <v/>
      </c>
      <c r="IC155" s="116">
        <f>IFERROR(LOOKUP(2,1/('DRAFT 2'!$D:$D=$B155)*('DRAFT 2'!$A:$A&gt;=DATE(2026,11,1))*('DRAFT 2'!$A:$A&lt;DATE(2026,IF(11=12,11+1,11+1),1)),'DRAFT 2'!$A:$A),"")</f>
        <v/>
      </c>
      <c r="ID155" s="116">
        <f>COUNTIFS('DRAFT 2'!$D:$D,$B155,'DRAFT 2'!$A:$A,"&gt;="&amp;DATE(2026,11,1),'DRAFT 2'!$A:$A,"&lt;="&amp;DATE(2026,11,7))</f>
        <v/>
      </c>
      <c r="IE155" s="116">
        <f>COUNTIFS('DRAFT 2'!$D:$D,$B155,'DRAFT 2'!$A:$A,"&gt;="&amp;DATE(2026,11,8),'DRAFT 2'!$A:$A,"&lt;="&amp;DATE(2026,11,14))</f>
        <v/>
      </c>
      <c r="IF155" s="116">
        <f>COUNTIFS('DRAFT 2'!$D:$D,$B155,'DRAFT 2'!$A:$A,"&gt;="&amp;DATE(2026,11,15),'DRAFT 2'!$A:$A,"&lt;="&amp;DATE(2026,11,21))</f>
        <v/>
      </c>
      <c r="IG155" s="116">
        <f>COUNTIFS('DRAFT 2'!$D:$D,$B155,'DRAFT 2'!$A:$A,"&gt;="&amp;DATE(2026,11,22),'DRAFT 2'!$A:$A,"&lt;"&amp;DATE(2026,IF(11=12,11+1,11+1),1))</f>
        <v/>
      </c>
      <c r="IH155" s="116">
        <f>SUM(ID155:IG155)</f>
        <v/>
      </c>
      <c r="IR155" s="116">
        <f>IFERROR(LOOKUP(2,1/('DRAFT 2'!$D:$D=$B155)*('DRAFT 2'!$A:$A&gt;=DATE(2026,12,1))*('DRAFT 2'!$A:$A&lt;DATE(2026,IF(12=12,12+1,12+1),1)),'DRAFT 2'!$A:$A),"")</f>
        <v/>
      </c>
      <c r="IS155" s="116">
        <f>COUNTIFS('DRAFT 2'!$D:$D,$B155,'DRAFT 2'!$A:$A,"&gt;="&amp;DATE(2026,12,1),'DRAFT 2'!$A:$A,"&lt;="&amp;DATE(2026,12,7))</f>
        <v/>
      </c>
      <c r="IT155" s="116">
        <f>COUNTIFS('DRAFT 2'!$D:$D,$B155,'DRAFT 2'!$A:$A,"&gt;="&amp;DATE(2026,12,8),'DRAFT 2'!$A:$A,"&lt;="&amp;DATE(2026,12,14))</f>
        <v/>
      </c>
      <c r="IU155" s="116">
        <f>COUNTIFS('DRAFT 2'!$D:$D,$B155,'DRAFT 2'!$A:$A,"&gt;="&amp;DATE(2026,12,15),'DRAFT 2'!$A:$A,"&lt;="&amp;DATE(2026,12,21))</f>
        <v/>
      </c>
      <c r="IV155" s="116">
        <f>COUNTIFS('DRAFT 2'!$D:$D,$B155,'DRAFT 2'!$A:$A,"&gt;="&amp;DATE(2026,12,22),'DRAFT 2'!$A:$A,"&lt;"&amp;DATE(2026,IF(12=12,12+1,12+1),1))</f>
        <v/>
      </c>
      <c r="IW155" s="116">
        <f>SUM(IS155:IV155)</f>
        <v/>
      </c>
    </row>
    <row r="156">
      <c r="A156" s="116">
        <f>IFERROR(INDEX('DRAFT 1'!$A:$A,MATCH($B156,'DRAFT 1'!$B:$B,0)),"")</f>
        <v/>
      </c>
      <c r="C156" s="116">
        <f>IFERROR(INDEX('DRAFT 1'!$C:$C,MATCH($B156,'DRAFT 1'!$B:$B,0)),"")</f>
        <v/>
      </c>
      <c r="D156" s="116">
        <f>IFERROR(INDEX('DRAFT 1'!$D:$D,MATCH($B156,'DRAFT 1'!$B:$B,0)),"")</f>
        <v/>
      </c>
      <c r="E156" s="116">
        <f>IFERROR(INDEX('DRAFT 1'!$E:$E,MATCH($B156,'DRAFT 1'!$B:$B,0)),"")</f>
        <v/>
      </c>
      <c r="F156" s="116">
        <f>IFERROR(INDEX('DRAFT 1'!$F:$F,MATCH($B156,'DRAFT 1'!$B:$B,0)),"")</f>
        <v/>
      </c>
      <c r="G156" s="116">
        <f>IFERROR(INDEX('DRAFT 1'!$G:$G,MATCH($B156,'DRAFT 1'!$B:$B,0)),"")</f>
        <v/>
      </c>
      <c r="H156" s="116">
        <f>IFERROR(INDEX('DRAFT 1'!$H:$H,MATCH($B156,'DRAFT 1'!$B:$B,0)),"")</f>
        <v/>
      </c>
      <c r="I156" s="116">
        <f>IFERROR(INDEX('DRAFT 1'!$I:$I,MATCH($B156,'DRAFT 1'!$B:$B,0)),"")</f>
        <v/>
      </c>
      <c r="K156" s="116">
        <f>IFERROR(INDEX('DRAFT 1'!$AL:$AL,MATCH($B156,'DRAFT 1'!$B:$B,0)),"")</f>
        <v/>
      </c>
      <c r="L156" s="116">
        <f>IFERROR(INDEX('DRAFT 1'!$J:$J,MATCH($B156,'DRAFT 1'!$B:$B,0)),"")</f>
        <v/>
      </c>
      <c r="M156" s="116">
        <f>IFERROR(INDEX('DRAFT 1'!$K:$K,MATCH($B156,'DRAFT 1'!$B:$B,0)),"")</f>
        <v/>
      </c>
      <c r="P156" s="116">
        <f>IFERROR(INDEX('DRAFT 1'!$L:$L,MATCH($B156,'DRAFT 1'!$B:$B,0)),"")</f>
        <v/>
      </c>
      <c r="Q156" s="116">
        <f>IFERROR(INDEX('DRAFT 1'!$M:$M,MATCH($B156,'DRAFT 1'!$B:$B,0)),"")</f>
        <v/>
      </c>
      <c r="R156" s="116">
        <f>IFERROR(INDEX('DRAFT 1'!$N:$N,MATCH($B156,'DRAFT 1'!$B:$B,0)),"")</f>
        <v/>
      </c>
      <c r="S156" s="116">
        <f>IFERROR(INDEX('DRAFT 1'!$O:$O,MATCH($B156,'DRAFT 1'!$B:$B,0)),"")</f>
        <v/>
      </c>
      <c r="T156" s="116">
        <f>IFERROR(INDEX('DRAFT 1'!$P:$P,MATCH($B156,'DRAFT 1'!$B:$B,0)),"")</f>
        <v/>
      </c>
      <c r="U156" s="116">
        <f>IFERROR(INDEX('DRAFT 1'!$Q:$Q,MATCH($B156,'DRAFT 1'!$B:$B,0)),"")</f>
        <v/>
      </c>
      <c r="V156" s="116">
        <f>IFERROR(INDEX('DRAFT 1'!$R:$R,MATCH($B156,'DRAFT 1'!$B:$B,0)),"")</f>
        <v/>
      </c>
      <c r="W156" s="116">
        <f>IFERROR(INDEX('DRAFT 1'!$S:$S,MATCH($B156,'DRAFT 1'!$B:$B,0)),"")</f>
        <v/>
      </c>
      <c r="X156" s="116">
        <f>IFERROR(INDEX('DRAFT 1'!$T:$T,MATCH($B156,'DRAFT 1'!$B:$B,0)),"")</f>
        <v/>
      </c>
      <c r="Z156" s="116">
        <f>IFERROR(INDEX('DRAFT 1'!$U:$U,MATCH($B156,'DRAFT 1'!$B:$B,0)),"")</f>
        <v/>
      </c>
      <c r="AA156" s="116">
        <f>IFERROR(INDEX('DRAFT 1'!$V:$V,MATCH($B156,'DRAFT 1'!$B:$B,0)),"")</f>
        <v/>
      </c>
      <c r="AB156" s="116">
        <f>IFERROR(INDEX('DRAFT 1'!$W:$W,MATCH($B156,'DRAFT 1'!$B:$B,0)),"")</f>
        <v/>
      </c>
      <c r="AC156" s="116">
        <f>IFERROR(INDEX('DRAFT 1'!$X:$X,MATCH($B156,'DRAFT 1'!$B:$B,0)),"")</f>
        <v/>
      </c>
      <c r="AD156" s="116">
        <f>IFERROR(INDEX('DRAFT 1'!$Y:$Y,MATCH($B156,'DRAFT 1'!$B:$B,0)),"")</f>
        <v/>
      </c>
      <c r="AE156" s="116">
        <f>IFERROR(INDEX('DRAFT 1'!$Z:$Z,MATCH($B156,'DRAFT 1'!$B:$B,0)),"")</f>
        <v/>
      </c>
      <c r="AF156" s="116">
        <f>IFERROR(INDEX('DRAFT 1'!$AA:$AA,MATCH($B156,'DRAFT 1'!$B:$B,0)),"")</f>
        <v/>
      </c>
      <c r="AG156" s="116">
        <f>IFERROR(INDEX('DRAFT 1'!$AB:$AB,MATCH($B156,'DRAFT 1'!$B:$B,0)),"")</f>
        <v/>
      </c>
      <c r="AH156" s="116">
        <f>IFERROR(INDEX('DRAFT 1'!$AC:$AC,MATCH($B156,'DRAFT 1'!$B:$B,0)),"")</f>
        <v/>
      </c>
      <c r="AI156" s="116">
        <f>IFERROR(INDEX('DRAFT 1'!$AD:$AD,MATCH($B156,'DRAFT 1'!$B:$B,0)),"")</f>
        <v/>
      </c>
      <c r="AJ156" s="116">
        <f>IFERROR(INDEX('DRAFT 1'!$AE:$AE,MATCH($B156,'DRAFT 1'!$B:$B,0)),"")</f>
        <v/>
      </c>
      <c r="AK156" s="116">
        <f>IFERROR(INDEX('DRAFT 1'!$AG:$AG,MATCH($B156,'DRAFT 1'!$B:$B,0)),"")</f>
        <v/>
      </c>
      <c r="AL156" s="116">
        <f>IFERROR(INDEX('DRAFT 1'!$AH:$AH,MATCH($B156,'DRAFT 1'!$B:$B,0)),"")</f>
        <v/>
      </c>
      <c r="AM156" s="116">
        <f>IFERROR(INDEX('DRAFT 1'!$AI:$AI,MATCH($B156,'DRAFT 1'!$B:$B,0)),"")</f>
        <v/>
      </c>
      <c r="AN156" s="116">
        <f>IFERROR(INDEX('DRAFT 1'!$AJ:$AJ,MATCH($B156,'DRAFT 1'!$B:$B,0)),"")</f>
        <v/>
      </c>
      <c r="AO156" s="116">
        <f>IFERROR(Y156/AN156,0)</f>
        <v/>
      </c>
      <c r="AP156" s="116">
        <f>IFERROR(INDEX('DRAFT 1'!$AK:$AK,MATCH($B156,'DRAFT 1'!$B:$B,0)),"")</f>
        <v/>
      </c>
      <c r="AR156" s="116">
        <f>IFERROR(LOOKUP(2,1/('DRAFT 2'!$D:$D=$B156),'DRAFT 2'!$I:$I),"")</f>
        <v/>
      </c>
      <c r="AS156" s="116">
        <f>IFERROR(LOOKUP(2,1/('DRAFT 2'!$D:$D=$B156),'DRAFT 2'!$T:$T),"")</f>
        <v/>
      </c>
      <c r="AT156" s="116">
        <f>IFERROR(LOOKUP(2,1/('DRAFT 2'!$D:$D=$B156),'DRAFT 2'!$A:$A),"")</f>
        <v/>
      </c>
      <c r="AU156" s="116">
        <f>IFERROR(LOOKUP(2,1/('DRAFT 2'!$D:$D=$B156),'DRAFT 2'!$R:$R),"")</f>
        <v/>
      </c>
      <c r="AV156" s="116">
        <f>IFERROR(LOOKUP(2,1/('DRAFT 2'!$D:$D=$B156),'DRAFT 2'!$S:$S),"")</f>
        <v/>
      </c>
      <c r="AX156" s="116">
        <f>IFERROR(LOOKUP(2,1/('DRAFT 2'!$D:$D=$B156),'DRAFT 2'!$M:$M),"")</f>
        <v/>
      </c>
      <c r="AY156" s="116">
        <f>IFERROR(LOOKUP(2,1/('DRAFT 2'!$D:$D=$B156),'DRAFT 2'!$K:$K),"")</f>
        <v/>
      </c>
      <c r="BG156" s="116">
        <f>IFERROR(LOOKUP(2,1/('DRAFT 2'!$D:$D=$B156),'DRAFT 2'!$U:$U),"")</f>
        <v/>
      </c>
      <c r="BH156" s="116">
        <f>IFERROR(LOOKUP(2,1/('DRAFT 2'!$D:$D=$B156),'DRAFT 2'!$V:$V),"")</f>
        <v/>
      </c>
      <c r="CE156" s="116">
        <f>IFERROR(AJ156,0)</f>
        <v/>
      </c>
      <c r="CF156" s="116">
        <f>IFERROR(LOOKUP(2,1/('DRAFT 2'!$D:$D=$B156)*('DRAFT 2'!$A:$A&gt;=DATE(2026,1,1))*('DRAFT 2'!$A:$A&lt;DATE(2026,IF(1=12,1+1,1+1),1)),'DRAFT 2'!$A:$A),"")</f>
        <v/>
      </c>
      <c r="CG156" s="116">
        <f>COUNTIFS('DRAFT 2'!$D:$D,$B156,'DRAFT 2'!$A:$A,"&gt;="&amp;DATE(2026,1,1),'DRAFT 2'!$A:$A,"&lt;="&amp;DATE(2026,1,7))</f>
        <v/>
      </c>
      <c r="CH156" s="116">
        <f>COUNTIFS('DRAFT 2'!$D:$D,$B156,'DRAFT 2'!$A:$A,"&gt;="&amp;DATE(2026,1,8),'DRAFT 2'!$A:$A,"&lt;="&amp;DATE(2026,1,14))</f>
        <v/>
      </c>
      <c r="CI156" s="116">
        <f>COUNTIFS('DRAFT 2'!$D:$D,$B156,'DRAFT 2'!$A:$A,"&gt;="&amp;DATE(2026,1,15),'DRAFT 2'!$A:$A,"&lt;="&amp;DATE(2026,1,21))</f>
        <v/>
      </c>
      <c r="CJ156" s="116">
        <f>COUNTIFS('DRAFT 2'!$D:$D,$B156,'DRAFT 2'!$A:$A,"&gt;="&amp;DATE(2026,1,22),'DRAFT 2'!$A:$A,"&lt;"&amp;DATE(2026,IF(1=12,1+1,1+1),1))</f>
        <v/>
      </c>
      <c r="CK156" s="116">
        <f>SUM(CG156:CJ156)</f>
        <v/>
      </c>
      <c r="CT156" s="116" t="n">
        <v>0</v>
      </c>
      <c r="CU156" s="116">
        <f>IFERROR(LOOKUP(2,1/('DRAFT 2'!$D:$D=$B156)*('DRAFT 2'!$A:$A&gt;=DATE(2026,2,1))*('DRAFT 2'!$A:$A&lt;DATE(2026,IF(2=12,2+1,2+1),1)),'DRAFT 2'!$A:$A),"")</f>
        <v/>
      </c>
      <c r="CV156" s="116">
        <f>COUNTIFS('DRAFT 2'!$D:$D,$B156,'DRAFT 2'!$A:$A,"&gt;="&amp;DATE(2026,2,1),'DRAFT 2'!$A:$A,"&lt;="&amp;DATE(2026,2,7))</f>
        <v/>
      </c>
      <c r="CW156" s="116">
        <f>COUNTIFS('DRAFT 2'!$D:$D,$B156,'DRAFT 2'!$A:$A,"&gt;="&amp;DATE(2026,2,8),'DRAFT 2'!$A:$A,"&lt;="&amp;DATE(2026,2,14))</f>
        <v/>
      </c>
      <c r="CX156" s="116">
        <f>COUNTIFS('DRAFT 2'!$D:$D,$B156,'DRAFT 2'!$A:$A,"&gt;="&amp;DATE(2026,2,15),'DRAFT 2'!$A:$A,"&lt;="&amp;DATE(2026,2,21))</f>
        <v/>
      </c>
      <c r="CY156" s="116">
        <f>COUNTIFS('DRAFT 2'!$D:$D,$B156,'DRAFT 2'!$A:$A,"&gt;="&amp;DATE(2026,2,22),'DRAFT 2'!$A:$A,"&lt;"&amp;DATE(2026,IF(2=12,2+1,2+1),1))</f>
        <v/>
      </c>
      <c r="CZ156" s="116">
        <f>SUM(CV156:CY156)</f>
        <v/>
      </c>
      <c r="DJ156" s="116">
        <f>IFERROR(LOOKUP(2,1/('DRAFT 2'!$D:$D=$B156)*('DRAFT 2'!$A:$A&gt;=DATE(2026,3,1))*('DRAFT 2'!$A:$A&lt;DATE(2026,IF(3=12,3+1,3+1),1)),'DRAFT 2'!$A:$A),"")</f>
        <v/>
      </c>
      <c r="DK156" s="116">
        <f>COUNTIFS('DRAFT 2'!$D:$D,$B156,'DRAFT 2'!$A:$A,"&gt;="&amp;DATE(2026,3,1),'DRAFT 2'!$A:$A,"&lt;="&amp;DATE(2026,3,7))</f>
        <v/>
      </c>
      <c r="DL156" s="116">
        <f>COUNTIFS('DRAFT 2'!$D:$D,$B156,'DRAFT 2'!$A:$A,"&gt;="&amp;DATE(2026,3,8),'DRAFT 2'!$A:$A,"&lt;="&amp;DATE(2026,3,14))</f>
        <v/>
      </c>
      <c r="DM156" s="116">
        <f>COUNTIFS('DRAFT 2'!$D:$D,$B156,'DRAFT 2'!$A:$A,"&gt;="&amp;DATE(2026,3,15),'DRAFT 2'!$A:$A,"&lt;="&amp;DATE(2026,3,21))</f>
        <v/>
      </c>
      <c r="DN156" s="116">
        <f>COUNTIFS('DRAFT 2'!$D:$D,$B156,'DRAFT 2'!$A:$A,"&gt;="&amp;DATE(2026,3,22),'DRAFT 2'!$A:$A,"&lt;"&amp;DATE(2026,IF(3=12,3+1,3+1),1))</f>
        <v/>
      </c>
      <c r="DO156" s="116">
        <f>SUM(DK156:DN156)</f>
        <v/>
      </c>
      <c r="DZ156" s="116">
        <f>IFERROR(LOOKUP(2,1/('DRAFT 2'!$D:$D=$B156)*('DRAFT 2'!$A:$A&gt;=DATE(2026,4,1))*('DRAFT 2'!$A:$A&lt;DATE(2026,IF(4=12,4+1,4+1),1)),'DRAFT 2'!$A:$A),"")</f>
        <v/>
      </c>
      <c r="EA156" s="116">
        <f>COUNTIFS('DRAFT 2'!$D:$D,$B156,'DRAFT 2'!$A:$A,"&gt;="&amp;DATE(2026,4,1),'DRAFT 2'!$A:$A,"&lt;="&amp;DATE(2026,4,7))</f>
        <v/>
      </c>
      <c r="EB156" s="116">
        <f>COUNTIFS('DRAFT 2'!$D:$D,$B156,'DRAFT 2'!$A:$A,"&gt;="&amp;DATE(2026,4,8),'DRAFT 2'!$A:$A,"&lt;="&amp;DATE(2026,4,14))</f>
        <v/>
      </c>
      <c r="EC156" s="116">
        <f>COUNTIFS('DRAFT 2'!$D:$D,$B156,'DRAFT 2'!$A:$A,"&gt;="&amp;DATE(2026,4,15),'DRAFT 2'!$A:$A,"&lt;="&amp;DATE(2026,4,21))</f>
        <v/>
      </c>
      <c r="ED156" s="116">
        <f>COUNTIFS('DRAFT 2'!$D:$D,$B156,'DRAFT 2'!$A:$A,"&gt;="&amp;DATE(2026,4,22),'DRAFT 2'!$A:$A,"&lt;"&amp;DATE(2026,IF(4=12,4+1,4+1),1))</f>
        <v/>
      </c>
      <c r="EE156" s="116">
        <f>SUM(EA156:ED156)</f>
        <v/>
      </c>
      <c r="EO156" s="116">
        <f>IFERROR(LOOKUP(2,1/('DRAFT 2'!$D:$D=$B156)*('DRAFT 2'!$A:$A&gt;=DATE(2026,5,1))*('DRAFT 2'!$A:$A&lt;DATE(2026,IF(5=12,5+1,5+1),1)),'DRAFT 2'!$A:$A),"")</f>
        <v/>
      </c>
      <c r="EP156" s="116">
        <f>COUNTIFS('DRAFT 2'!$D:$D,$B156,'DRAFT 2'!$A:$A,"&gt;="&amp;DATE(2026,5,1),'DRAFT 2'!$A:$A,"&lt;="&amp;DATE(2026,5,7))</f>
        <v/>
      </c>
      <c r="EQ156" s="116">
        <f>COUNTIFS('DRAFT 2'!$D:$D,$B156,'DRAFT 2'!$A:$A,"&gt;="&amp;DATE(2026,5,8),'DRAFT 2'!$A:$A,"&lt;="&amp;DATE(2026,5,14))</f>
        <v/>
      </c>
      <c r="ER156" s="116">
        <f>COUNTIFS('DRAFT 2'!$D:$D,$B156,'DRAFT 2'!$A:$A,"&gt;="&amp;DATE(2026,5,15),'DRAFT 2'!$A:$A,"&lt;="&amp;DATE(2026,5,21))</f>
        <v/>
      </c>
      <c r="ES156" s="116">
        <f>COUNTIFS('DRAFT 2'!$D:$D,$B156,'DRAFT 2'!$A:$A,"&gt;="&amp;DATE(2026,5,22),'DRAFT 2'!$A:$A,"&lt;"&amp;DATE(2026,IF(5=12,5+1,5+1),1))</f>
        <v/>
      </c>
      <c r="ET156" s="116">
        <f>SUM(EP156:ES156)</f>
        <v/>
      </c>
      <c r="FD156" s="116">
        <f>IFERROR(LOOKUP(2,1/('DRAFT 2'!$D:$D=$B156)*('DRAFT 2'!$A:$A&gt;=DATE(2026,6,1))*('DRAFT 2'!$A:$A&lt;DATE(2026,IF(6=12,6+1,6+1),1)),'DRAFT 2'!$A:$A),"")</f>
        <v/>
      </c>
      <c r="FE156" s="116">
        <f>COUNTIFS('DRAFT 2'!$D:$D,$B156,'DRAFT 2'!$A:$A,"&gt;="&amp;DATE(2026,6,1),'DRAFT 2'!$A:$A,"&lt;="&amp;DATE(2026,6,7))</f>
        <v/>
      </c>
      <c r="FF156" s="116">
        <f>COUNTIFS('DRAFT 2'!$D:$D,$B156,'DRAFT 2'!$A:$A,"&gt;="&amp;DATE(2026,6,8),'DRAFT 2'!$A:$A,"&lt;="&amp;DATE(2026,6,14))</f>
        <v/>
      </c>
      <c r="FG156" s="116">
        <f>COUNTIFS('DRAFT 2'!$D:$D,$B156,'DRAFT 2'!$A:$A,"&gt;="&amp;DATE(2026,6,15),'DRAFT 2'!$A:$A,"&lt;="&amp;DATE(2026,6,21))</f>
        <v/>
      </c>
      <c r="FH156" s="116">
        <f>COUNTIFS('DRAFT 2'!$D:$D,$B156,'DRAFT 2'!$A:$A,"&gt;="&amp;DATE(2026,6,22),'DRAFT 2'!$A:$A,"&lt;"&amp;DATE(2026,IF(6=12,6+1,6+1),1))</f>
        <v/>
      </c>
      <c r="FI156" s="116">
        <f>SUM(FE156:FH156)</f>
        <v/>
      </c>
      <c r="FT156" s="116">
        <f>IFERROR(LOOKUP(2,1/('DRAFT 2'!$D:$D=$B156)*('DRAFT 2'!$A:$A&gt;=DATE(2026,7,1))*('DRAFT 2'!$A:$A&lt;DATE(2026,IF(7=12,7+1,7+1),1)),'DRAFT 2'!$A:$A),"")</f>
        <v/>
      </c>
      <c r="FU156" s="116">
        <f>COUNTIFS('DRAFT 2'!$D:$D,$B156,'DRAFT 2'!$A:$A,"&gt;="&amp;DATE(2026,7,1),'DRAFT 2'!$A:$A,"&lt;="&amp;DATE(2026,7,7))</f>
        <v/>
      </c>
      <c r="FV156" s="116">
        <f>COUNTIFS('DRAFT 2'!$D:$D,$B156,'DRAFT 2'!$A:$A,"&gt;="&amp;DATE(2026,7,8),'DRAFT 2'!$A:$A,"&lt;="&amp;DATE(2026,7,14))</f>
        <v/>
      </c>
      <c r="FW156" s="116">
        <f>COUNTIFS('DRAFT 2'!$D:$D,$B156,'DRAFT 2'!$A:$A,"&gt;="&amp;DATE(2026,7,15),'DRAFT 2'!$A:$A,"&lt;="&amp;DATE(2026,7,21))</f>
        <v/>
      </c>
      <c r="FX156" s="116">
        <f>COUNTIFS('DRAFT 2'!$D:$D,$B156,'DRAFT 2'!$A:$A,"&gt;="&amp;DATE(2026,7,22),'DRAFT 2'!$A:$A,"&lt;"&amp;DATE(2026,IF(7=12,7+1,7+1),1))</f>
        <v/>
      </c>
      <c r="FY156" s="116">
        <f>SUM(FU156:FX156)</f>
        <v/>
      </c>
      <c r="GI156" s="116">
        <f>IFERROR(LOOKUP(2,1/('DRAFT 2'!$D:$D=$B156)*('DRAFT 2'!$A:$A&gt;=DATE(2026,8,1))*('DRAFT 2'!$A:$A&lt;DATE(2026,IF(8=12,8+1,8+1),1)),'DRAFT 2'!$A:$A),"")</f>
        <v/>
      </c>
      <c r="GJ156" s="116">
        <f>COUNTIFS('DRAFT 2'!$D:$D,$B156,'DRAFT 2'!$A:$A,"&gt;="&amp;DATE(2026,8,1),'DRAFT 2'!$A:$A,"&lt;="&amp;DATE(2026,8,7))</f>
        <v/>
      </c>
      <c r="GK156" s="116">
        <f>COUNTIFS('DRAFT 2'!$D:$D,$B156,'DRAFT 2'!$A:$A,"&gt;="&amp;DATE(2026,8,8),'DRAFT 2'!$A:$A,"&lt;="&amp;DATE(2026,8,14))</f>
        <v/>
      </c>
      <c r="GL156" s="116">
        <f>COUNTIFS('DRAFT 2'!$D:$D,$B156,'DRAFT 2'!$A:$A,"&gt;="&amp;DATE(2026,8,15),'DRAFT 2'!$A:$A,"&lt;="&amp;DATE(2026,8,21))</f>
        <v/>
      </c>
      <c r="GM156" s="116">
        <f>COUNTIFS('DRAFT 2'!$D:$D,$B156,'DRAFT 2'!$A:$A,"&gt;="&amp;DATE(2026,8,22),'DRAFT 2'!$A:$A,"&lt;"&amp;DATE(2026,IF(8=12,8+1,8+1),1))</f>
        <v/>
      </c>
      <c r="GN156" s="116">
        <f>SUM(GJ156:GM156)</f>
        <v/>
      </c>
      <c r="GX156" s="116">
        <f>IFERROR(LOOKUP(2,1/('DRAFT 2'!$D:$D=$B156)*('DRAFT 2'!$A:$A&gt;=DATE(2026,9,1))*('DRAFT 2'!$A:$A&lt;DATE(2026,IF(9=12,9+1,9+1),1)),'DRAFT 2'!$A:$A),"")</f>
        <v/>
      </c>
      <c r="GY156" s="116">
        <f>COUNTIFS('DRAFT 2'!$D:$D,$B156,'DRAFT 2'!$A:$A,"&gt;="&amp;DATE(2026,9,1),'DRAFT 2'!$A:$A,"&lt;="&amp;DATE(2026,9,7))</f>
        <v/>
      </c>
      <c r="GZ156" s="116">
        <f>COUNTIFS('DRAFT 2'!$D:$D,$B156,'DRAFT 2'!$A:$A,"&gt;="&amp;DATE(2026,9,8),'DRAFT 2'!$A:$A,"&lt;="&amp;DATE(2026,9,14))</f>
        <v/>
      </c>
      <c r="HA156" s="116">
        <f>COUNTIFS('DRAFT 2'!$D:$D,$B156,'DRAFT 2'!$A:$A,"&gt;="&amp;DATE(2026,9,15),'DRAFT 2'!$A:$A,"&lt;="&amp;DATE(2026,9,21))</f>
        <v/>
      </c>
      <c r="HB156" s="116">
        <f>COUNTIFS('DRAFT 2'!$D:$D,$B156,'DRAFT 2'!$A:$A,"&gt;="&amp;DATE(2026,9,22),'DRAFT 2'!$A:$A,"&lt;"&amp;DATE(2026,IF(9=12,9+1,9+1),1))</f>
        <v/>
      </c>
      <c r="HC156" s="116">
        <f>SUM(GY156:HB156)</f>
        <v/>
      </c>
      <c r="HN156" s="116">
        <f>IFERROR(LOOKUP(2,1/('DRAFT 2'!$D:$D=$B156)*('DRAFT 2'!$A:$A&gt;=DATE(2026,10,1))*('DRAFT 2'!$A:$A&lt;DATE(2026,IF(10=12,10+1,10+1),1)),'DRAFT 2'!$A:$A),"")</f>
        <v/>
      </c>
      <c r="HO156" s="116">
        <f>COUNTIFS('DRAFT 2'!$D:$D,$B156,'DRAFT 2'!$A:$A,"&gt;="&amp;DATE(2026,10,1),'DRAFT 2'!$A:$A,"&lt;="&amp;DATE(2026,10,7))</f>
        <v/>
      </c>
      <c r="HP156" s="116">
        <f>COUNTIFS('DRAFT 2'!$D:$D,$B156,'DRAFT 2'!$A:$A,"&gt;="&amp;DATE(2026,10,8),'DRAFT 2'!$A:$A,"&lt;="&amp;DATE(2026,10,14))</f>
        <v/>
      </c>
      <c r="HQ156" s="116">
        <f>COUNTIFS('DRAFT 2'!$D:$D,$B156,'DRAFT 2'!$A:$A,"&gt;="&amp;DATE(2026,10,15),'DRAFT 2'!$A:$A,"&lt;="&amp;DATE(2026,10,21))</f>
        <v/>
      </c>
      <c r="HR156" s="116">
        <f>COUNTIFS('DRAFT 2'!$D:$D,$B156,'DRAFT 2'!$A:$A,"&gt;="&amp;DATE(2026,10,22),'DRAFT 2'!$A:$A,"&lt;"&amp;DATE(2026,IF(10=12,10+1,10+1),1))</f>
        <v/>
      </c>
      <c r="HS156" s="116">
        <f>SUM(HO156:HR156)</f>
        <v/>
      </c>
      <c r="IC156" s="116">
        <f>IFERROR(LOOKUP(2,1/('DRAFT 2'!$D:$D=$B156)*('DRAFT 2'!$A:$A&gt;=DATE(2026,11,1))*('DRAFT 2'!$A:$A&lt;DATE(2026,IF(11=12,11+1,11+1),1)),'DRAFT 2'!$A:$A),"")</f>
        <v/>
      </c>
      <c r="ID156" s="116">
        <f>COUNTIFS('DRAFT 2'!$D:$D,$B156,'DRAFT 2'!$A:$A,"&gt;="&amp;DATE(2026,11,1),'DRAFT 2'!$A:$A,"&lt;="&amp;DATE(2026,11,7))</f>
        <v/>
      </c>
      <c r="IE156" s="116">
        <f>COUNTIFS('DRAFT 2'!$D:$D,$B156,'DRAFT 2'!$A:$A,"&gt;="&amp;DATE(2026,11,8),'DRAFT 2'!$A:$A,"&lt;="&amp;DATE(2026,11,14))</f>
        <v/>
      </c>
      <c r="IF156" s="116">
        <f>COUNTIFS('DRAFT 2'!$D:$D,$B156,'DRAFT 2'!$A:$A,"&gt;="&amp;DATE(2026,11,15),'DRAFT 2'!$A:$A,"&lt;="&amp;DATE(2026,11,21))</f>
        <v/>
      </c>
      <c r="IG156" s="116">
        <f>COUNTIFS('DRAFT 2'!$D:$D,$B156,'DRAFT 2'!$A:$A,"&gt;="&amp;DATE(2026,11,22),'DRAFT 2'!$A:$A,"&lt;"&amp;DATE(2026,IF(11=12,11+1,11+1),1))</f>
        <v/>
      </c>
      <c r="IH156" s="116">
        <f>SUM(ID156:IG156)</f>
        <v/>
      </c>
      <c r="IR156" s="116">
        <f>IFERROR(LOOKUP(2,1/('DRAFT 2'!$D:$D=$B156)*('DRAFT 2'!$A:$A&gt;=DATE(2026,12,1))*('DRAFT 2'!$A:$A&lt;DATE(2026,IF(12=12,12+1,12+1),1)),'DRAFT 2'!$A:$A),"")</f>
        <v/>
      </c>
      <c r="IS156" s="116">
        <f>COUNTIFS('DRAFT 2'!$D:$D,$B156,'DRAFT 2'!$A:$A,"&gt;="&amp;DATE(2026,12,1),'DRAFT 2'!$A:$A,"&lt;="&amp;DATE(2026,12,7))</f>
        <v/>
      </c>
      <c r="IT156" s="116">
        <f>COUNTIFS('DRAFT 2'!$D:$D,$B156,'DRAFT 2'!$A:$A,"&gt;="&amp;DATE(2026,12,8),'DRAFT 2'!$A:$A,"&lt;="&amp;DATE(2026,12,14))</f>
        <v/>
      </c>
      <c r="IU156" s="116">
        <f>COUNTIFS('DRAFT 2'!$D:$D,$B156,'DRAFT 2'!$A:$A,"&gt;="&amp;DATE(2026,12,15),'DRAFT 2'!$A:$A,"&lt;="&amp;DATE(2026,12,21))</f>
        <v/>
      </c>
      <c r="IV156" s="116">
        <f>COUNTIFS('DRAFT 2'!$D:$D,$B156,'DRAFT 2'!$A:$A,"&gt;="&amp;DATE(2026,12,22),'DRAFT 2'!$A:$A,"&lt;"&amp;DATE(2026,IF(12=12,12+1,12+1),1))</f>
        <v/>
      </c>
      <c r="IW156" s="116">
        <f>SUM(IS156:IV156)</f>
        <v/>
      </c>
    </row>
    <row r="157">
      <c r="A157" s="116">
        <f>IFERROR(INDEX('DRAFT 1'!$A:$A,MATCH($B157,'DRAFT 1'!$B:$B,0)),"")</f>
        <v/>
      </c>
      <c r="C157" s="116">
        <f>IFERROR(INDEX('DRAFT 1'!$C:$C,MATCH($B157,'DRAFT 1'!$B:$B,0)),"")</f>
        <v/>
      </c>
      <c r="D157" s="116">
        <f>IFERROR(INDEX('DRAFT 1'!$D:$D,MATCH($B157,'DRAFT 1'!$B:$B,0)),"")</f>
        <v/>
      </c>
      <c r="E157" s="116">
        <f>IFERROR(INDEX('DRAFT 1'!$E:$E,MATCH($B157,'DRAFT 1'!$B:$B,0)),"")</f>
        <v/>
      </c>
      <c r="F157" s="116">
        <f>IFERROR(INDEX('DRAFT 1'!$F:$F,MATCH($B157,'DRAFT 1'!$B:$B,0)),"")</f>
        <v/>
      </c>
      <c r="G157" s="116">
        <f>IFERROR(INDEX('DRAFT 1'!$G:$G,MATCH($B157,'DRAFT 1'!$B:$B,0)),"")</f>
        <v/>
      </c>
      <c r="H157" s="116">
        <f>IFERROR(INDEX('DRAFT 1'!$H:$H,MATCH($B157,'DRAFT 1'!$B:$B,0)),"")</f>
        <v/>
      </c>
      <c r="I157" s="116">
        <f>IFERROR(INDEX('DRAFT 1'!$I:$I,MATCH($B157,'DRAFT 1'!$B:$B,0)),"")</f>
        <v/>
      </c>
      <c r="K157" s="116">
        <f>IFERROR(INDEX('DRAFT 1'!$AL:$AL,MATCH($B157,'DRAFT 1'!$B:$B,0)),"")</f>
        <v/>
      </c>
      <c r="L157" s="116">
        <f>IFERROR(INDEX('DRAFT 1'!$J:$J,MATCH($B157,'DRAFT 1'!$B:$B,0)),"")</f>
        <v/>
      </c>
      <c r="M157" s="116">
        <f>IFERROR(INDEX('DRAFT 1'!$K:$K,MATCH($B157,'DRAFT 1'!$B:$B,0)),"")</f>
        <v/>
      </c>
      <c r="P157" s="116">
        <f>IFERROR(INDEX('DRAFT 1'!$L:$L,MATCH($B157,'DRAFT 1'!$B:$B,0)),"")</f>
        <v/>
      </c>
      <c r="Q157" s="116">
        <f>IFERROR(INDEX('DRAFT 1'!$M:$M,MATCH($B157,'DRAFT 1'!$B:$B,0)),"")</f>
        <v/>
      </c>
      <c r="R157" s="116">
        <f>IFERROR(INDEX('DRAFT 1'!$N:$N,MATCH($B157,'DRAFT 1'!$B:$B,0)),"")</f>
        <v/>
      </c>
      <c r="S157" s="116">
        <f>IFERROR(INDEX('DRAFT 1'!$O:$O,MATCH($B157,'DRAFT 1'!$B:$B,0)),"")</f>
        <v/>
      </c>
      <c r="T157" s="116">
        <f>IFERROR(INDEX('DRAFT 1'!$P:$P,MATCH($B157,'DRAFT 1'!$B:$B,0)),"")</f>
        <v/>
      </c>
      <c r="U157" s="116">
        <f>IFERROR(INDEX('DRAFT 1'!$Q:$Q,MATCH($B157,'DRAFT 1'!$B:$B,0)),"")</f>
        <v/>
      </c>
      <c r="V157" s="116">
        <f>IFERROR(INDEX('DRAFT 1'!$R:$R,MATCH($B157,'DRAFT 1'!$B:$B,0)),"")</f>
        <v/>
      </c>
      <c r="W157" s="116">
        <f>IFERROR(INDEX('DRAFT 1'!$S:$S,MATCH($B157,'DRAFT 1'!$B:$B,0)),"")</f>
        <v/>
      </c>
      <c r="X157" s="116">
        <f>IFERROR(INDEX('DRAFT 1'!$T:$T,MATCH($B157,'DRAFT 1'!$B:$B,0)),"")</f>
        <v/>
      </c>
      <c r="Z157" s="116">
        <f>IFERROR(INDEX('DRAFT 1'!$U:$U,MATCH($B157,'DRAFT 1'!$B:$B,0)),"")</f>
        <v/>
      </c>
      <c r="AA157" s="116">
        <f>IFERROR(INDEX('DRAFT 1'!$V:$V,MATCH($B157,'DRAFT 1'!$B:$B,0)),"")</f>
        <v/>
      </c>
      <c r="AB157" s="116">
        <f>IFERROR(INDEX('DRAFT 1'!$W:$W,MATCH($B157,'DRAFT 1'!$B:$B,0)),"")</f>
        <v/>
      </c>
      <c r="AC157" s="116">
        <f>IFERROR(INDEX('DRAFT 1'!$X:$X,MATCH($B157,'DRAFT 1'!$B:$B,0)),"")</f>
        <v/>
      </c>
      <c r="AD157" s="116">
        <f>IFERROR(INDEX('DRAFT 1'!$Y:$Y,MATCH($B157,'DRAFT 1'!$B:$B,0)),"")</f>
        <v/>
      </c>
      <c r="AE157" s="116">
        <f>IFERROR(INDEX('DRAFT 1'!$Z:$Z,MATCH($B157,'DRAFT 1'!$B:$B,0)),"")</f>
        <v/>
      </c>
      <c r="AF157" s="116">
        <f>IFERROR(INDEX('DRAFT 1'!$AA:$AA,MATCH($B157,'DRAFT 1'!$B:$B,0)),"")</f>
        <v/>
      </c>
      <c r="AG157" s="116">
        <f>IFERROR(INDEX('DRAFT 1'!$AB:$AB,MATCH($B157,'DRAFT 1'!$B:$B,0)),"")</f>
        <v/>
      </c>
      <c r="AH157" s="116">
        <f>IFERROR(INDEX('DRAFT 1'!$AC:$AC,MATCH($B157,'DRAFT 1'!$B:$B,0)),"")</f>
        <v/>
      </c>
      <c r="AI157" s="116">
        <f>IFERROR(INDEX('DRAFT 1'!$AD:$AD,MATCH($B157,'DRAFT 1'!$B:$B,0)),"")</f>
        <v/>
      </c>
      <c r="AJ157" s="116">
        <f>IFERROR(INDEX('DRAFT 1'!$AE:$AE,MATCH($B157,'DRAFT 1'!$B:$B,0)),"")</f>
        <v/>
      </c>
      <c r="AK157" s="116">
        <f>IFERROR(INDEX('DRAFT 1'!$AG:$AG,MATCH($B157,'DRAFT 1'!$B:$B,0)),"")</f>
        <v/>
      </c>
      <c r="AL157" s="116">
        <f>IFERROR(INDEX('DRAFT 1'!$AH:$AH,MATCH($B157,'DRAFT 1'!$B:$B,0)),"")</f>
        <v/>
      </c>
      <c r="AM157" s="116">
        <f>IFERROR(INDEX('DRAFT 1'!$AI:$AI,MATCH($B157,'DRAFT 1'!$B:$B,0)),"")</f>
        <v/>
      </c>
      <c r="AN157" s="116">
        <f>IFERROR(INDEX('DRAFT 1'!$AJ:$AJ,MATCH($B157,'DRAFT 1'!$B:$B,0)),"")</f>
        <v/>
      </c>
      <c r="AO157" s="116">
        <f>IFERROR(Y157/AN157,0)</f>
        <v/>
      </c>
      <c r="AP157" s="116">
        <f>IFERROR(INDEX('DRAFT 1'!$AK:$AK,MATCH($B157,'DRAFT 1'!$B:$B,0)),"")</f>
        <v/>
      </c>
      <c r="AR157" s="116">
        <f>IFERROR(LOOKUP(2,1/('DRAFT 2'!$D:$D=$B157),'DRAFT 2'!$I:$I),"")</f>
        <v/>
      </c>
      <c r="AS157" s="116">
        <f>IFERROR(LOOKUP(2,1/('DRAFT 2'!$D:$D=$B157),'DRAFT 2'!$T:$T),"")</f>
        <v/>
      </c>
      <c r="AT157" s="116">
        <f>IFERROR(LOOKUP(2,1/('DRAFT 2'!$D:$D=$B157),'DRAFT 2'!$A:$A),"")</f>
        <v/>
      </c>
      <c r="AU157" s="116">
        <f>IFERROR(LOOKUP(2,1/('DRAFT 2'!$D:$D=$B157),'DRAFT 2'!$R:$R),"")</f>
        <v/>
      </c>
      <c r="AV157" s="116">
        <f>IFERROR(LOOKUP(2,1/('DRAFT 2'!$D:$D=$B157),'DRAFT 2'!$S:$S),"")</f>
        <v/>
      </c>
      <c r="AX157" s="116">
        <f>IFERROR(LOOKUP(2,1/('DRAFT 2'!$D:$D=$B157),'DRAFT 2'!$M:$M),"")</f>
        <v/>
      </c>
      <c r="AY157" s="116">
        <f>IFERROR(LOOKUP(2,1/('DRAFT 2'!$D:$D=$B157),'DRAFT 2'!$K:$K),"")</f>
        <v/>
      </c>
      <c r="BG157" s="116">
        <f>IFERROR(LOOKUP(2,1/('DRAFT 2'!$D:$D=$B157),'DRAFT 2'!$U:$U),"")</f>
        <v/>
      </c>
      <c r="BH157" s="116">
        <f>IFERROR(LOOKUP(2,1/('DRAFT 2'!$D:$D=$B157),'DRAFT 2'!$V:$V),"")</f>
        <v/>
      </c>
      <c r="CE157" s="116">
        <f>IFERROR(AJ157,0)</f>
        <v/>
      </c>
      <c r="CF157" s="116">
        <f>IFERROR(LOOKUP(2,1/('DRAFT 2'!$D:$D=$B157)*('DRAFT 2'!$A:$A&gt;=DATE(2026,1,1))*('DRAFT 2'!$A:$A&lt;DATE(2026,IF(1=12,1+1,1+1),1)),'DRAFT 2'!$A:$A),"")</f>
        <v/>
      </c>
      <c r="CG157" s="116">
        <f>COUNTIFS('DRAFT 2'!$D:$D,$B157,'DRAFT 2'!$A:$A,"&gt;="&amp;DATE(2026,1,1),'DRAFT 2'!$A:$A,"&lt;="&amp;DATE(2026,1,7))</f>
        <v/>
      </c>
      <c r="CH157" s="116">
        <f>COUNTIFS('DRAFT 2'!$D:$D,$B157,'DRAFT 2'!$A:$A,"&gt;="&amp;DATE(2026,1,8),'DRAFT 2'!$A:$A,"&lt;="&amp;DATE(2026,1,14))</f>
        <v/>
      </c>
      <c r="CI157" s="116">
        <f>COUNTIFS('DRAFT 2'!$D:$D,$B157,'DRAFT 2'!$A:$A,"&gt;="&amp;DATE(2026,1,15),'DRAFT 2'!$A:$A,"&lt;="&amp;DATE(2026,1,21))</f>
        <v/>
      </c>
      <c r="CJ157" s="116">
        <f>COUNTIFS('DRAFT 2'!$D:$D,$B157,'DRAFT 2'!$A:$A,"&gt;="&amp;DATE(2026,1,22),'DRAFT 2'!$A:$A,"&lt;"&amp;DATE(2026,IF(1=12,1+1,1+1),1))</f>
        <v/>
      </c>
      <c r="CK157" s="116">
        <f>SUM(CG157:CJ157)</f>
        <v/>
      </c>
      <c r="CT157" s="116" t="n">
        <v>0</v>
      </c>
      <c r="CU157" s="116">
        <f>IFERROR(LOOKUP(2,1/('DRAFT 2'!$D:$D=$B157)*('DRAFT 2'!$A:$A&gt;=DATE(2026,2,1))*('DRAFT 2'!$A:$A&lt;DATE(2026,IF(2=12,2+1,2+1),1)),'DRAFT 2'!$A:$A),"")</f>
        <v/>
      </c>
      <c r="CV157" s="116">
        <f>COUNTIFS('DRAFT 2'!$D:$D,$B157,'DRAFT 2'!$A:$A,"&gt;="&amp;DATE(2026,2,1),'DRAFT 2'!$A:$A,"&lt;="&amp;DATE(2026,2,7))</f>
        <v/>
      </c>
      <c r="CW157" s="116">
        <f>COUNTIFS('DRAFT 2'!$D:$D,$B157,'DRAFT 2'!$A:$A,"&gt;="&amp;DATE(2026,2,8),'DRAFT 2'!$A:$A,"&lt;="&amp;DATE(2026,2,14))</f>
        <v/>
      </c>
      <c r="CX157" s="116">
        <f>COUNTIFS('DRAFT 2'!$D:$D,$B157,'DRAFT 2'!$A:$A,"&gt;="&amp;DATE(2026,2,15),'DRAFT 2'!$A:$A,"&lt;="&amp;DATE(2026,2,21))</f>
        <v/>
      </c>
      <c r="CY157" s="116">
        <f>COUNTIFS('DRAFT 2'!$D:$D,$B157,'DRAFT 2'!$A:$A,"&gt;="&amp;DATE(2026,2,22),'DRAFT 2'!$A:$A,"&lt;"&amp;DATE(2026,IF(2=12,2+1,2+1),1))</f>
        <v/>
      </c>
      <c r="CZ157" s="116">
        <f>SUM(CV157:CY157)</f>
        <v/>
      </c>
      <c r="DJ157" s="116">
        <f>IFERROR(LOOKUP(2,1/('DRAFT 2'!$D:$D=$B157)*('DRAFT 2'!$A:$A&gt;=DATE(2026,3,1))*('DRAFT 2'!$A:$A&lt;DATE(2026,IF(3=12,3+1,3+1),1)),'DRAFT 2'!$A:$A),"")</f>
        <v/>
      </c>
      <c r="DK157" s="116">
        <f>COUNTIFS('DRAFT 2'!$D:$D,$B157,'DRAFT 2'!$A:$A,"&gt;="&amp;DATE(2026,3,1),'DRAFT 2'!$A:$A,"&lt;="&amp;DATE(2026,3,7))</f>
        <v/>
      </c>
      <c r="DL157" s="116">
        <f>COUNTIFS('DRAFT 2'!$D:$D,$B157,'DRAFT 2'!$A:$A,"&gt;="&amp;DATE(2026,3,8),'DRAFT 2'!$A:$A,"&lt;="&amp;DATE(2026,3,14))</f>
        <v/>
      </c>
      <c r="DM157" s="116">
        <f>COUNTIFS('DRAFT 2'!$D:$D,$B157,'DRAFT 2'!$A:$A,"&gt;="&amp;DATE(2026,3,15),'DRAFT 2'!$A:$A,"&lt;="&amp;DATE(2026,3,21))</f>
        <v/>
      </c>
      <c r="DN157" s="116">
        <f>COUNTIFS('DRAFT 2'!$D:$D,$B157,'DRAFT 2'!$A:$A,"&gt;="&amp;DATE(2026,3,22),'DRAFT 2'!$A:$A,"&lt;"&amp;DATE(2026,IF(3=12,3+1,3+1),1))</f>
        <v/>
      </c>
      <c r="DO157" s="116">
        <f>SUM(DK157:DN157)</f>
        <v/>
      </c>
      <c r="DZ157" s="116">
        <f>IFERROR(LOOKUP(2,1/('DRAFT 2'!$D:$D=$B157)*('DRAFT 2'!$A:$A&gt;=DATE(2026,4,1))*('DRAFT 2'!$A:$A&lt;DATE(2026,IF(4=12,4+1,4+1),1)),'DRAFT 2'!$A:$A),"")</f>
        <v/>
      </c>
      <c r="EA157" s="116">
        <f>COUNTIFS('DRAFT 2'!$D:$D,$B157,'DRAFT 2'!$A:$A,"&gt;="&amp;DATE(2026,4,1),'DRAFT 2'!$A:$A,"&lt;="&amp;DATE(2026,4,7))</f>
        <v/>
      </c>
      <c r="EB157" s="116">
        <f>COUNTIFS('DRAFT 2'!$D:$D,$B157,'DRAFT 2'!$A:$A,"&gt;="&amp;DATE(2026,4,8),'DRAFT 2'!$A:$A,"&lt;="&amp;DATE(2026,4,14))</f>
        <v/>
      </c>
      <c r="EC157" s="116">
        <f>COUNTIFS('DRAFT 2'!$D:$D,$B157,'DRAFT 2'!$A:$A,"&gt;="&amp;DATE(2026,4,15),'DRAFT 2'!$A:$A,"&lt;="&amp;DATE(2026,4,21))</f>
        <v/>
      </c>
      <c r="ED157" s="116">
        <f>COUNTIFS('DRAFT 2'!$D:$D,$B157,'DRAFT 2'!$A:$A,"&gt;="&amp;DATE(2026,4,22),'DRAFT 2'!$A:$A,"&lt;"&amp;DATE(2026,IF(4=12,4+1,4+1),1))</f>
        <v/>
      </c>
      <c r="EE157" s="116">
        <f>SUM(EA157:ED157)</f>
        <v/>
      </c>
      <c r="EO157" s="116">
        <f>IFERROR(LOOKUP(2,1/('DRAFT 2'!$D:$D=$B157)*('DRAFT 2'!$A:$A&gt;=DATE(2026,5,1))*('DRAFT 2'!$A:$A&lt;DATE(2026,IF(5=12,5+1,5+1),1)),'DRAFT 2'!$A:$A),"")</f>
        <v/>
      </c>
      <c r="EP157" s="116">
        <f>COUNTIFS('DRAFT 2'!$D:$D,$B157,'DRAFT 2'!$A:$A,"&gt;="&amp;DATE(2026,5,1),'DRAFT 2'!$A:$A,"&lt;="&amp;DATE(2026,5,7))</f>
        <v/>
      </c>
      <c r="EQ157" s="116">
        <f>COUNTIFS('DRAFT 2'!$D:$D,$B157,'DRAFT 2'!$A:$A,"&gt;="&amp;DATE(2026,5,8),'DRAFT 2'!$A:$A,"&lt;="&amp;DATE(2026,5,14))</f>
        <v/>
      </c>
      <c r="ER157" s="116">
        <f>COUNTIFS('DRAFT 2'!$D:$D,$B157,'DRAFT 2'!$A:$A,"&gt;="&amp;DATE(2026,5,15),'DRAFT 2'!$A:$A,"&lt;="&amp;DATE(2026,5,21))</f>
        <v/>
      </c>
      <c r="ES157" s="116">
        <f>COUNTIFS('DRAFT 2'!$D:$D,$B157,'DRAFT 2'!$A:$A,"&gt;="&amp;DATE(2026,5,22),'DRAFT 2'!$A:$A,"&lt;"&amp;DATE(2026,IF(5=12,5+1,5+1),1))</f>
        <v/>
      </c>
      <c r="ET157" s="116">
        <f>SUM(EP157:ES157)</f>
        <v/>
      </c>
      <c r="FD157" s="116">
        <f>IFERROR(LOOKUP(2,1/('DRAFT 2'!$D:$D=$B157)*('DRAFT 2'!$A:$A&gt;=DATE(2026,6,1))*('DRAFT 2'!$A:$A&lt;DATE(2026,IF(6=12,6+1,6+1),1)),'DRAFT 2'!$A:$A),"")</f>
        <v/>
      </c>
      <c r="FE157" s="116">
        <f>COUNTIFS('DRAFT 2'!$D:$D,$B157,'DRAFT 2'!$A:$A,"&gt;="&amp;DATE(2026,6,1),'DRAFT 2'!$A:$A,"&lt;="&amp;DATE(2026,6,7))</f>
        <v/>
      </c>
      <c r="FF157" s="116">
        <f>COUNTIFS('DRAFT 2'!$D:$D,$B157,'DRAFT 2'!$A:$A,"&gt;="&amp;DATE(2026,6,8),'DRAFT 2'!$A:$A,"&lt;="&amp;DATE(2026,6,14))</f>
        <v/>
      </c>
      <c r="FG157" s="116">
        <f>COUNTIFS('DRAFT 2'!$D:$D,$B157,'DRAFT 2'!$A:$A,"&gt;="&amp;DATE(2026,6,15),'DRAFT 2'!$A:$A,"&lt;="&amp;DATE(2026,6,21))</f>
        <v/>
      </c>
      <c r="FH157" s="116">
        <f>COUNTIFS('DRAFT 2'!$D:$D,$B157,'DRAFT 2'!$A:$A,"&gt;="&amp;DATE(2026,6,22),'DRAFT 2'!$A:$A,"&lt;"&amp;DATE(2026,IF(6=12,6+1,6+1),1))</f>
        <v/>
      </c>
      <c r="FI157" s="116">
        <f>SUM(FE157:FH157)</f>
        <v/>
      </c>
      <c r="FT157" s="116">
        <f>IFERROR(LOOKUP(2,1/('DRAFT 2'!$D:$D=$B157)*('DRAFT 2'!$A:$A&gt;=DATE(2026,7,1))*('DRAFT 2'!$A:$A&lt;DATE(2026,IF(7=12,7+1,7+1),1)),'DRAFT 2'!$A:$A),"")</f>
        <v/>
      </c>
      <c r="FU157" s="116">
        <f>COUNTIFS('DRAFT 2'!$D:$D,$B157,'DRAFT 2'!$A:$A,"&gt;="&amp;DATE(2026,7,1),'DRAFT 2'!$A:$A,"&lt;="&amp;DATE(2026,7,7))</f>
        <v/>
      </c>
      <c r="FV157" s="116">
        <f>COUNTIFS('DRAFT 2'!$D:$D,$B157,'DRAFT 2'!$A:$A,"&gt;="&amp;DATE(2026,7,8),'DRAFT 2'!$A:$A,"&lt;="&amp;DATE(2026,7,14))</f>
        <v/>
      </c>
      <c r="FW157" s="116">
        <f>COUNTIFS('DRAFT 2'!$D:$D,$B157,'DRAFT 2'!$A:$A,"&gt;="&amp;DATE(2026,7,15),'DRAFT 2'!$A:$A,"&lt;="&amp;DATE(2026,7,21))</f>
        <v/>
      </c>
      <c r="FX157" s="116">
        <f>COUNTIFS('DRAFT 2'!$D:$D,$B157,'DRAFT 2'!$A:$A,"&gt;="&amp;DATE(2026,7,22),'DRAFT 2'!$A:$A,"&lt;"&amp;DATE(2026,IF(7=12,7+1,7+1),1))</f>
        <v/>
      </c>
      <c r="FY157" s="116">
        <f>SUM(FU157:FX157)</f>
        <v/>
      </c>
      <c r="GI157" s="116">
        <f>IFERROR(LOOKUP(2,1/('DRAFT 2'!$D:$D=$B157)*('DRAFT 2'!$A:$A&gt;=DATE(2026,8,1))*('DRAFT 2'!$A:$A&lt;DATE(2026,IF(8=12,8+1,8+1),1)),'DRAFT 2'!$A:$A),"")</f>
        <v/>
      </c>
      <c r="GJ157" s="116">
        <f>COUNTIFS('DRAFT 2'!$D:$D,$B157,'DRAFT 2'!$A:$A,"&gt;="&amp;DATE(2026,8,1),'DRAFT 2'!$A:$A,"&lt;="&amp;DATE(2026,8,7))</f>
        <v/>
      </c>
      <c r="GK157" s="116">
        <f>COUNTIFS('DRAFT 2'!$D:$D,$B157,'DRAFT 2'!$A:$A,"&gt;="&amp;DATE(2026,8,8),'DRAFT 2'!$A:$A,"&lt;="&amp;DATE(2026,8,14))</f>
        <v/>
      </c>
      <c r="GL157" s="116">
        <f>COUNTIFS('DRAFT 2'!$D:$D,$B157,'DRAFT 2'!$A:$A,"&gt;="&amp;DATE(2026,8,15),'DRAFT 2'!$A:$A,"&lt;="&amp;DATE(2026,8,21))</f>
        <v/>
      </c>
      <c r="GM157" s="116">
        <f>COUNTIFS('DRAFT 2'!$D:$D,$B157,'DRAFT 2'!$A:$A,"&gt;="&amp;DATE(2026,8,22),'DRAFT 2'!$A:$A,"&lt;"&amp;DATE(2026,IF(8=12,8+1,8+1),1))</f>
        <v/>
      </c>
      <c r="GN157" s="116">
        <f>SUM(GJ157:GM157)</f>
        <v/>
      </c>
      <c r="GX157" s="116">
        <f>IFERROR(LOOKUP(2,1/('DRAFT 2'!$D:$D=$B157)*('DRAFT 2'!$A:$A&gt;=DATE(2026,9,1))*('DRAFT 2'!$A:$A&lt;DATE(2026,IF(9=12,9+1,9+1),1)),'DRAFT 2'!$A:$A),"")</f>
        <v/>
      </c>
      <c r="GY157" s="116">
        <f>COUNTIFS('DRAFT 2'!$D:$D,$B157,'DRAFT 2'!$A:$A,"&gt;="&amp;DATE(2026,9,1),'DRAFT 2'!$A:$A,"&lt;="&amp;DATE(2026,9,7))</f>
        <v/>
      </c>
      <c r="GZ157" s="116">
        <f>COUNTIFS('DRAFT 2'!$D:$D,$B157,'DRAFT 2'!$A:$A,"&gt;="&amp;DATE(2026,9,8),'DRAFT 2'!$A:$A,"&lt;="&amp;DATE(2026,9,14))</f>
        <v/>
      </c>
      <c r="HA157" s="116">
        <f>COUNTIFS('DRAFT 2'!$D:$D,$B157,'DRAFT 2'!$A:$A,"&gt;="&amp;DATE(2026,9,15),'DRAFT 2'!$A:$A,"&lt;="&amp;DATE(2026,9,21))</f>
        <v/>
      </c>
      <c r="HB157" s="116">
        <f>COUNTIFS('DRAFT 2'!$D:$D,$B157,'DRAFT 2'!$A:$A,"&gt;="&amp;DATE(2026,9,22),'DRAFT 2'!$A:$A,"&lt;"&amp;DATE(2026,IF(9=12,9+1,9+1),1))</f>
        <v/>
      </c>
      <c r="HC157" s="116">
        <f>SUM(GY157:HB157)</f>
        <v/>
      </c>
      <c r="HN157" s="116">
        <f>IFERROR(LOOKUP(2,1/('DRAFT 2'!$D:$D=$B157)*('DRAFT 2'!$A:$A&gt;=DATE(2026,10,1))*('DRAFT 2'!$A:$A&lt;DATE(2026,IF(10=12,10+1,10+1),1)),'DRAFT 2'!$A:$A),"")</f>
        <v/>
      </c>
      <c r="HO157" s="116">
        <f>COUNTIFS('DRAFT 2'!$D:$D,$B157,'DRAFT 2'!$A:$A,"&gt;="&amp;DATE(2026,10,1),'DRAFT 2'!$A:$A,"&lt;="&amp;DATE(2026,10,7))</f>
        <v/>
      </c>
      <c r="HP157" s="116">
        <f>COUNTIFS('DRAFT 2'!$D:$D,$B157,'DRAFT 2'!$A:$A,"&gt;="&amp;DATE(2026,10,8),'DRAFT 2'!$A:$A,"&lt;="&amp;DATE(2026,10,14))</f>
        <v/>
      </c>
      <c r="HQ157" s="116">
        <f>COUNTIFS('DRAFT 2'!$D:$D,$B157,'DRAFT 2'!$A:$A,"&gt;="&amp;DATE(2026,10,15),'DRAFT 2'!$A:$A,"&lt;="&amp;DATE(2026,10,21))</f>
        <v/>
      </c>
      <c r="HR157" s="116">
        <f>COUNTIFS('DRAFT 2'!$D:$D,$B157,'DRAFT 2'!$A:$A,"&gt;="&amp;DATE(2026,10,22),'DRAFT 2'!$A:$A,"&lt;"&amp;DATE(2026,IF(10=12,10+1,10+1),1))</f>
        <v/>
      </c>
      <c r="HS157" s="116">
        <f>SUM(HO157:HR157)</f>
        <v/>
      </c>
      <c r="IC157" s="116">
        <f>IFERROR(LOOKUP(2,1/('DRAFT 2'!$D:$D=$B157)*('DRAFT 2'!$A:$A&gt;=DATE(2026,11,1))*('DRAFT 2'!$A:$A&lt;DATE(2026,IF(11=12,11+1,11+1),1)),'DRAFT 2'!$A:$A),"")</f>
        <v/>
      </c>
      <c r="ID157" s="116">
        <f>COUNTIFS('DRAFT 2'!$D:$D,$B157,'DRAFT 2'!$A:$A,"&gt;="&amp;DATE(2026,11,1),'DRAFT 2'!$A:$A,"&lt;="&amp;DATE(2026,11,7))</f>
        <v/>
      </c>
      <c r="IE157" s="116">
        <f>COUNTIFS('DRAFT 2'!$D:$D,$B157,'DRAFT 2'!$A:$A,"&gt;="&amp;DATE(2026,11,8),'DRAFT 2'!$A:$A,"&lt;="&amp;DATE(2026,11,14))</f>
        <v/>
      </c>
      <c r="IF157" s="116">
        <f>COUNTIFS('DRAFT 2'!$D:$D,$B157,'DRAFT 2'!$A:$A,"&gt;="&amp;DATE(2026,11,15),'DRAFT 2'!$A:$A,"&lt;="&amp;DATE(2026,11,21))</f>
        <v/>
      </c>
      <c r="IG157" s="116">
        <f>COUNTIFS('DRAFT 2'!$D:$D,$B157,'DRAFT 2'!$A:$A,"&gt;="&amp;DATE(2026,11,22),'DRAFT 2'!$A:$A,"&lt;"&amp;DATE(2026,IF(11=12,11+1,11+1),1))</f>
        <v/>
      </c>
      <c r="IH157" s="116">
        <f>SUM(ID157:IG157)</f>
        <v/>
      </c>
      <c r="IR157" s="116">
        <f>IFERROR(LOOKUP(2,1/('DRAFT 2'!$D:$D=$B157)*('DRAFT 2'!$A:$A&gt;=DATE(2026,12,1))*('DRAFT 2'!$A:$A&lt;DATE(2026,IF(12=12,12+1,12+1),1)),'DRAFT 2'!$A:$A),"")</f>
        <v/>
      </c>
      <c r="IS157" s="116">
        <f>COUNTIFS('DRAFT 2'!$D:$D,$B157,'DRAFT 2'!$A:$A,"&gt;="&amp;DATE(2026,12,1),'DRAFT 2'!$A:$A,"&lt;="&amp;DATE(2026,12,7))</f>
        <v/>
      </c>
      <c r="IT157" s="116">
        <f>COUNTIFS('DRAFT 2'!$D:$D,$B157,'DRAFT 2'!$A:$A,"&gt;="&amp;DATE(2026,12,8),'DRAFT 2'!$A:$A,"&lt;="&amp;DATE(2026,12,14))</f>
        <v/>
      </c>
      <c r="IU157" s="116">
        <f>COUNTIFS('DRAFT 2'!$D:$D,$B157,'DRAFT 2'!$A:$A,"&gt;="&amp;DATE(2026,12,15),'DRAFT 2'!$A:$A,"&lt;="&amp;DATE(2026,12,21))</f>
        <v/>
      </c>
      <c r="IV157" s="116">
        <f>COUNTIFS('DRAFT 2'!$D:$D,$B157,'DRAFT 2'!$A:$A,"&gt;="&amp;DATE(2026,12,22),'DRAFT 2'!$A:$A,"&lt;"&amp;DATE(2026,IF(12=12,12+1,12+1),1))</f>
        <v/>
      </c>
      <c r="IW157" s="116">
        <f>SUM(IS157:IV157)</f>
        <v/>
      </c>
    </row>
    <row r="158">
      <c r="A158" s="116">
        <f>IFERROR(INDEX('DRAFT 1'!$A:$A,MATCH($B158,'DRAFT 1'!$B:$B,0)),"")</f>
        <v/>
      </c>
      <c r="C158" s="116">
        <f>IFERROR(INDEX('DRAFT 1'!$C:$C,MATCH($B158,'DRAFT 1'!$B:$B,0)),"")</f>
        <v/>
      </c>
      <c r="D158" s="116">
        <f>IFERROR(INDEX('DRAFT 1'!$D:$D,MATCH($B158,'DRAFT 1'!$B:$B,0)),"")</f>
        <v/>
      </c>
      <c r="E158" s="116">
        <f>IFERROR(INDEX('DRAFT 1'!$E:$E,MATCH($B158,'DRAFT 1'!$B:$B,0)),"")</f>
        <v/>
      </c>
      <c r="F158" s="116">
        <f>IFERROR(INDEX('DRAFT 1'!$F:$F,MATCH($B158,'DRAFT 1'!$B:$B,0)),"")</f>
        <v/>
      </c>
      <c r="G158" s="116">
        <f>IFERROR(INDEX('DRAFT 1'!$G:$G,MATCH($B158,'DRAFT 1'!$B:$B,0)),"")</f>
        <v/>
      </c>
      <c r="H158" s="116">
        <f>IFERROR(INDEX('DRAFT 1'!$H:$H,MATCH($B158,'DRAFT 1'!$B:$B,0)),"")</f>
        <v/>
      </c>
      <c r="I158" s="116">
        <f>IFERROR(INDEX('DRAFT 1'!$I:$I,MATCH($B158,'DRAFT 1'!$B:$B,0)),"")</f>
        <v/>
      </c>
      <c r="K158" s="116">
        <f>IFERROR(INDEX('DRAFT 1'!$AL:$AL,MATCH($B158,'DRAFT 1'!$B:$B,0)),"")</f>
        <v/>
      </c>
      <c r="L158" s="116">
        <f>IFERROR(INDEX('DRAFT 1'!$J:$J,MATCH($B158,'DRAFT 1'!$B:$B,0)),"")</f>
        <v/>
      </c>
      <c r="M158" s="116">
        <f>IFERROR(INDEX('DRAFT 1'!$K:$K,MATCH($B158,'DRAFT 1'!$B:$B,0)),"")</f>
        <v/>
      </c>
      <c r="P158" s="116">
        <f>IFERROR(INDEX('DRAFT 1'!$L:$L,MATCH($B158,'DRAFT 1'!$B:$B,0)),"")</f>
        <v/>
      </c>
      <c r="Q158" s="116">
        <f>IFERROR(INDEX('DRAFT 1'!$M:$M,MATCH($B158,'DRAFT 1'!$B:$B,0)),"")</f>
        <v/>
      </c>
      <c r="R158" s="116">
        <f>IFERROR(INDEX('DRAFT 1'!$N:$N,MATCH($B158,'DRAFT 1'!$B:$B,0)),"")</f>
        <v/>
      </c>
      <c r="S158" s="116">
        <f>IFERROR(INDEX('DRAFT 1'!$O:$O,MATCH($B158,'DRAFT 1'!$B:$B,0)),"")</f>
        <v/>
      </c>
      <c r="T158" s="116">
        <f>IFERROR(INDEX('DRAFT 1'!$P:$P,MATCH($B158,'DRAFT 1'!$B:$B,0)),"")</f>
        <v/>
      </c>
      <c r="U158" s="116">
        <f>IFERROR(INDEX('DRAFT 1'!$Q:$Q,MATCH($B158,'DRAFT 1'!$B:$B,0)),"")</f>
        <v/>
      </c>
      <c r="V158" s="116">
        <f>IFERROR(INDEX('DRAFT 1'!$R:$R,MATCH($B158,'DRAFT 1'!$B:$B,0)),"")</f>
        <v/>
      </c>
      <c r="W158" s="116">
        <f>IFERROR(INDEX('DRAFT 1'!$S:$S,MATCH($B158,'DRAFT 1'!$B:$B,0)),"")</f>
        <v/>
      </c>
      <c r="X158" s="116">
        <f>IFERROR(INDEX('DRAFT 1'!$T:$T,MATCH($B158,'DRAFT 1'!$B:$B,0)),"")</f>
        <v/>
      </c>
      <c r="Z158" s="116">
        <f>IFERROR(INDEX('DRAFT 1'!$U:$U,MATCH($B158,'DRAFT 1'!$B:$B,0)),"")</f>
        <v/>
      </c>
      <c r="AA158" s="116">
        <f>IFERROR(INDEX('DRAFT 1'!$V:$V,MATCH($B158,'DRAFT 1'!$B:$B,0)),"")</f>
        <v/>
      </c>
      <c r="AB158" s="116">
        <f>IFERROR(INDEX('DRAFT 1'!$W:$W,MATCH($B158,'DRAFT 1'!$B:$B,0)),"")</f>
        <v/>
      </c>
      <c r="AC158" s="116">
        <f>IFERROR(INDEX('DRAFT 1'!$X:$X,MATCH($B158,'DRAFT 1'!$B:$B,0)),"")</f>
        <v/>
      </c>
      <c r="AD158" s="116">
        <f>IFERROR(INDEX('DRAFT 1'!$Y:$Y,MATCH($B158,'DRAFT 1'!$B:$B,0)),"")</f>
        <v/>
      </c>
      <c r="AE158" s="116">
        <f>IFERROR(INDEX('DRAFT 1'!$Z:$Z,MATCH($B158,'DRAFT 1'!$B:$B,0)),"")</f>
        <v/>
      </c>
      <c r="AF158" s="116">
        <f>IFERROR(INDEX('DRAFT 1'!$AA:$AA,MATCH($B158,'DRAFT 1'!$B:$B,0)),"")</f>
        <v/>
      </c>
      <c r="AG158" s="116">
        <f>IFERROR(INDEX('DRAFT 1'!$AB:$AB,MATCH($B158,'DRAFT 1'!$B:$B,0)),"")</f>
        <v/>
      </c>
      <c r="AH158" s="116">
        <f>IFERROR(INDEX('DRAFT 1'!$AC:$AC,MATCH($B158,'DRAFT 1'!$B:$B,0)),"")</f>
        <v/>
      </c>
      <c r="AI158" s="116">
        <f>IFERROR(INDEX('DRAFT 1'!$AD:$AD,MATCH($B158,'DRAFT 1'!$B:$B,0)),"")</f>
        <v/>
      </c>
      <c r="AJ158" s="116">
        <f>IFERROR(INDEX('DRAFT 1'!$AE:$AE,MATCH($B158,'DRAFT 1'!$B:$B,0)),"")</f>
        <v/>
      </c>
      <c r="AK158" s="116">
        <f>IFERROR(INDEX('DRAFT 1'!$AG:$AG,MATCH($B158,'DRAFT 1'!$B:$B,0)),"")</f>
        <v/>
      </c>
      <c r="AL158" s="116">
        <f>IFERROR(INDEX('DRAFT 1'!$AH:$AH,MATCH($B158,'DRAFT 1'!$B:$B,0)),"")</f>
        <v/>
      </c>
      <c r="AM158" s="116">
        <f>IFERROR(INDEX('DRAFT 1'!$AI:$AI,MATCH($B158,'DRAFT 1'!$B:$B,0)),"")</f>
        <v/>
      </c>
      <c r="AN158" s="116">
        <f>IFERROR(INDEX('DRAFT 1'!$AJ:$AJ,MATCH($B158,'DRAFT 1'!$B:$B,0)),"")</f>
        <v/>
      </c>
      <c r="AO158" s="116">
        <f>IFERROR(Y158/AN158,0)</f>
        <v/>
      </c>
      <c r="AP158" s="116">
        <f>IFERROR(INDEX('DRAFT 1'!$AK:$AK,MATCH($B158,'DRAFT 1'!$B:$B,0)),"")</f>
        <v/>
      </c>
      <c r="AR158" s="116">
        <f>IFERROR(LOOKUP(2,1/('DRAFT 2'!$D:$D=$B158),'DRAFT 2'!$I:$I),"")</f>
        <v/>
      </c>
      <c r="AS158" s="116">
        <f>IFERROR(LOOKUP(2,1/('DRAFT 2'!$D:$D=$B158),'DRAFT 2'!$T:$T),"")</f>
        <v/>
      </c>
      <c r="AT158" s="116">
        <f>IFERROR(LOOKUP(2,1/('DRAFT 2'!$D:$D=$B158),'DRAFT 2'!$A:$A),"")</f>
        <v/>
      </c>
      <c r="AU158" s="116">
        <f>IFERROR(LOOKUP(2,1/('DRAFT 2'!$D:$D=$B158),'DRAFT 2'!$R:$R),"")</f>
        <v/>
      </c>
      <c r="AV158" s="116">
        <f>IFERROR(LOOKUP(2,1/('DRAFT 2'!$D:$D=$B158),'DRAFT 2'!$S:$S),"")</f>
        <v/>
      </c>
      <c r="AX158" s="116">
        <f>IFERROR(LOOKUP(2,1/('DRAFT 2'!$D:$D=$B158),'DRAFT 2'!$M:$M),"")</f>
        <v/>
      </c>
      <c r="AY158" s="116">
        <f>IFERROR(LOOKUP(2,1/('DRAFT 2'!$D:$D=$B158),'DRAFT 2'!$K:$K),"")</f>
        <v/>
      </c>
      <c r="BG158" s="116">
        <f>IFERROR(LOOKUP(2,1/('DRAFT 2'!$D:$D=$B158),'DRAFT 2'!$U:$U),"")</f>
        <v/>
      </c>
      <c r="BH158" s="116">
        <f>IFERROR(LOOKUP(2,1/('DRAFT 2'!$D:$D=$B158),'DRAFT 2'!$V:$V),"")</f>
        <v/>
      </c>
      <c r="CE158" s="116">
        <f>IFERROR(AJ158,0)</f>
        <v/>
      </c>
      <c r="CF158" s="116">
        <f>IFERROR(LOOKUP(2,1/('DRAFT 2'!$D:$D=$B158)*('DRAFT 2'!$A:$A&gt;=DATE(2026,1,1))*('DRAFT 2'!$A:$A&lt;DATE(2026,IF(1=12,1+1,1+1),1)),'DRAFT 2'!$A:$A),"")</f>
        <v/>
      </c>
      <c r="CG158" s="116">
        <f>COUNTIFS('DRAFT 2'!$D:$D,$B158,'DRAFT 2'!$A:$A,"&gt;="&amp;DATE(2026,1,1),'DRAFT 2'!$A:$A,"&lt;="&amp;DATE(2026,1,7))</f>
        <v/>
      </c>
      <c r="CH158" s="116">
        <f>COUNTIFS('DRAFT 2'!$D:$D,$B158,'DRAFT 2'!$A:$A,"&gt;="&amp;DATE(2026,1,8),'DRAFT 2'!$A:$A,"&lt;="&amp;DATE(2026,1,14))</f>
        <v/>
      </c>
      <c r="CI158" s="116">
        <f>COUNTIFS('DRAFT 2'!$D:$D,$B158,'DRAFT 2'!$A:$A,"&gt;="&amp;DATE(2026,1,15),'DRAFT 2'!$A:$A,"&lt;="&amp;DATE(2026,1,21))</f>
        <v/>
      </c>
      <c r="CJ158" s="116">
        <f>COUNTIFS('DRAFT 2'!$D:$D,$B158,'DRAFT 2'!$A:$A,"&gt;="&amp;DATE(2026,1,22),'DRAFT 2'!$A:$A,"&lt;"&amp;DATE(2026,IF(1=12,1+1,1+1),1))</f>
        <v/>
      </c>
      <c r="CK158" s="116">
        <f>SUM(CG158:CJ158)</f>
        <v/>
      </c>
      <c r="CT158" s="116" t="n">
        <v>0</v>
      </c>
      <c r="CU158" s="116">
        <f>IFERROR(LOOKUP(2,1/('DRAFT 2'!$D:$D=$B158)*('DRAFT 2'!$A:$A&gt;=DATE(2026,2,1))*('DRAFT 2'!$A:$A&lt;DATE(2026,IF(2=12,2+1,2+1),1)),'DRAFT 2'!$A:$A),"")</f>
        <v/>
      </c>
      <c r="CV158" s="116">
        <f>COUNTIFS('DRAFT 2'!$D:$D,$B158,'DRAFT 2'!$A:$A,"&gt;="&amp;DATE(2026,2,1),'DRAFT 2'!$A:$A,"&lt;="&amp;DATE(2026,2,7))</f>
        <v/>
      </c>
      <c r="CW158" s="116">
        <f>COUNTIFS('DRAFT 2'!$D:$D,$B158,'DRAFT 2'!$A:$A,"&gt;="&amp;DATE(2026,2,8),'DRAFT 2'!$A:$A,"&lt;="&amp;DATE(2026,2,14))</f>
        <v/>
      </c>
      <c r="CX158" s="116">
        <f>COUNTIFS('DRAFT 2'!$D:$D,$B158,'DRAFT 2'!$A:$A,"&gt;="&amp;DATE(2026,2,15),'DRAFT 2'!$A:$A,"&lt;="&amp;DATE(2026,2,21))</f>
        <v/>
      </c>
      <c r="CY158" s="116">
        <f>COUNTIFS('DRAFT 2'!$D:$D,$B158,'DRAFT 2'!$A:$A,"&gt;="&amp;DATE(2026,2,22),'DRAFT 2'!$A:$A,"&lt;"&amp;DATE(2026,IF(2=12,2+1,2+1),1))</f>
        <v/>
      </c>
      <c r="CZ158" s="116">
        <f>SUM(CV158:CY158)</f>
        <v/>
      </c>
      <c r="DJ158" s="116">
        <f>IFERROR(LOOKUP(2,1/('DRAFT 2'!$D:$D=$B158)*('DRAFT 2'!$A:$A&gt;=DATE(2026,3,1))*('DRAFT 2'!$A:$A&lt;DATE(2026,IF(3=12,3+1,3+1),1)),'DRAFT 2'!$A:$A),"")</f>
        <v/>
      </c>
      <c r="DK158" s="116">
        <f>COUNTIFS('DRAFT 2'!$D:$D,$B158,'DRAFT 2'!$A:$A,"&gt;="&amp;DATE(2026,3,1),'DRAFT 2'!$A:$A,"&lt;="&amp;DATE(2026,3,7))</f>
        <v/>
      </c>
      <c r="DL158" s="116">
        <f>COUNTIFS('DRAFT 2'!$D:$D,$B158,'DRAFT 2'!$A:$A,"&gt;="&amp;DATE(2026,3,8),'DRAFT 2'!$A:$A,"&lt;="&amp;DATE(2026,3,14))</f>
        <v/>
      </c>
      <c r="DM158" s="116">
        <f>COUNTIFS('DRAFT 2'!$D:$D,$B158,'DRAFT 2'!$A:$A,"&gt;="&amp;DATE(2026,3,15),'DRAFT 2'!$A:$A,"&lt;="&amp;DATE(2026,3,21))</f>
        <v/>
      </c>
      <c r="DN158" s="116">
        <f>COUNTIFS('DRAFT 2'!$D:$D,$B158,'DRAFT 2'!$A:$A,"&gt;="&amp;DATE(2026,3,22),'DRAFT 2'!$A:$A,"&lt;"&amp;DATE(2026,IF(3=12,3+1,3+1),1))</f>
        <v/>
      </c>
      <c r="DO158" s="116">
        <f>SUM(DK158:DN158)</f>
        <v/>
      </c>
      <c r="DZ158" s="116">
        <f>IFERROR(LOOKUP(2,1/('DRAFT 2'!$D:$D=$B158)*('DRAFT 2'!$A:$A&gt;=DATE(2026,4,1))*('DRAFT 2'!$A:$A&lt;DATE(2026,IF(4=12,4+1,4+1),1)),'DRAFT 2'!$A:$A),"")</f>
        <v/>
      </c>
      <c r="EA158" s="116">
        <f>COUNTIFS('DRAFT 2'!$D:$D,$B158,'DRAFT 2'!$A:$A,"&gt;="&amp;DATE(2026,4,1),'DRAFT 2'!$A:$A,"&lt;="&amp;DATE(2026,4,7))</f>
        <v/>
      </c>
      <c r="EB158" s="116">
        <f>COUNTIFS('DRAFT 2'!$D:$D,$B158,'DRAFT 2'!$A:$A,"&gt;="&amp;DATE(2026,4,8),'DRAFT 2'!$A:$A,"&lt;="&amp;DATE(2026,4,14))</f>
        <v/>
      </c>
      <c r="EC158" s="116">
        <f>COUNTIFS('DRAFT 2'!$D:$D,$B158,'DRAFT 2'!$A:$A,"&gt;="&amp;DATE(2026,4,15),'DRAFT 2'!$A:$A,"&lt;="&amp;DATE(2026,4,21))</f>
        <v/>
      </c>
      <c r="ED158" s="116">
        <f>COUNTIFS('DRAFT 2'!$D:$D,$B158,'DRAFT 2'!$A:$A,"&gt;="&amp;DATE(2026,4,22),'DRAFT 2'!$A:$A,"&lt;"&amp;DATE(2026,IF(4=12,4+1,4+1),1))</f>
        <v/>
      </c>
      <c r="EE158" s="116">
        <f>SUM(EA158:ED158)</f>
        <v/>
      </c>
      <c r="EO158" s="116">
        <f>IFERROR(LOOKUP(2,1/('DRAFT 2'!$D:$D=$B158)*('DRAFT 2'!$A:$A&gt;=DATE(2026,5,1))*('DRAFT 2'!$A:$A&lt;DATE(2026,IF(5=12,5+1,5+1),1)),'DRAFT 2'!$A:$A),"")</f>
        <v/>
      </c>
      <c r="EP158" s="116">
        <f>COUNTIFS('DRAFT 2'!$D:$D,$B158,'DRAFT 2'!$A:$A,"&gt;="&amp;DATE(2026,5,1),'DRAFT 2'!$A:$A,"&lt;="&amp;DATE(2026,5,7))</f>
        <v/>
      </c>
      <c r="EQ158" s="116">
        <f>COUNTIFS('DRAFT 2'!$D:$D,$B158,'DRAFT 2'!$A:$A,"&gt;="&amp;DATE(2026,5,8),'DRAFT 2'!$A:$A,"&lt;="&amp;DATE(2026,5,14))</f>
        <v/>
      </c>
      <c r="ER158" s="116">
        <f>COUNTIFS('DRAFT 2'!$D:$D,$B158,'DRAFT 2'!$A:$A,"&gt;="&amp;DATE(2026,5,15),'DRAFT 2'!$A:$A,"&lt;="&amp;DATE(2026,5,21))</f>
        <v/>
      </c>
      <c r="ES158" s="116">
        <f>COUNTIFS('DRAFT 2'!$D:$D,$B158,'DRAFT 2'!$A:$A,"&gt;="&amp;DATE(2026,5,22),'DRAFT 2'!$A:$A,"&lt;"&amp;DATE(2026,IF(5=12,5+1,5+1),1))</f>
        <v/>
      </c>
      <c r="ET158" s="116">
        <f>SUM(EP158:ES158)</f>
        <v/>
      </c>
      <c r="FD158" s="116">
        <f>IFERROR(LOOKUP(2,1/('DRAFT 2'!$D:$D=$B158)*('DRAFT 2'!$A:$A&gt;=DATE(2026,6,1))*('DRAFT 2'!$A:$A&lt;DATE(2026,IF(6=12,6+1,6+1),1)),'DRAFT 2'!$A:$A),"")</f>
        <v/>
      </c>
      <c r="FE158" s="116">
        <f>COUNTIFS('DRAFT 2'!$D:$D,$B158,'DRAFT 2'!$A:$A,"&gt;="&amp;DATE(2026,6,1),'DRAFT 2'!$A:$A,"&lt;="&amp;DATE(2026,6,7))</f>
        <v/>
      </c>
      <c r="FF158" s="116">
        <f>COUNTIFS('DRAFT 2'!$D:$D,$B158,'DRAFT 2'!$A:$A,"&gt;="&amp;DATE(2026,6,8),'DRAFT 2'!$A:$A,"&lt;="&amp;DATE(2026,6,14))</f>
        <v/>
      </c>
      <c r="FG158" s="116">
        <f>COUNTIFS('DRAFT 2'!$D:$D,$B158,'DRAFT 2'!$A:$A,"&gt;="&amp;DATE(2026,6,15),'DRAFT 2'!$A:$A,"&lt;="&amp;DATE(2026,6,21))</f>
        <v/>
      </c>
      <c r="FH158" s="116">
        <f>COUNTIFS('DRAFT 2'!$D:$D,$B158,'DRAFT 2'!$A:$A,"&gt;="&amp;DATE(2026,6,22),'DRAFT 2'!$A:$A,"&lt;"&amp;DATE(2026,IF(6=12,6+1,6+1),1))</f>
        <v/>
      </c>
      <c r="FI158" s="116">
        <f>SUM(FE158:FH158)</f>
        <v/>
      </c>
      <c r="FT158" s="116">
        <f>IFERROR(LOOKUP(2,1/('DRAFT 2'!$D:$D=$B158)*('DRAFT 2'!$A:$A&gt;=DATE(2026,7,1))*('DRAFT 2'!$A:$A&lt;DATE(2026,IF(7=12,7+1,7+1),1)),'DRAFT 2'!$A:$A),"")</f>
        <v/>
      </c>
      <c r="FU158" s="116">
        <f>COUNTIFS('DRAFT 2'!$D:$D,$B158,'DRAFT 2'!$A:$A,"&gt;="&amp;DATE(2026,7,1),'DRAFT 2'!$A:$A,"&lt;="&amp;DATE(2026,7,7))</f>
        <v/>
      </c>
      <c r="FV158" s="116">
        <f>COUNTIFS('DRAFT 2'!$D:$D,$B158,'DRAFT 2'!$A:$A,"&gt;="&amp;DATE(2026,7,8),'DRAFT 2'!$A:$A,"&lt;="&amp;DATE(2026,7,14))</f>
        <v/>
      </c>
      <c r="FW158" s="116">
        <f>COUNTIFS('DRAFT 2'!$D:$D,$B158,'DRAFT 2'!$A:$A,"&gt;="&amp;DATE(2026,7,15),'DRAFT 2'!$A:$A,"&lt;="&amp;DATE(2026,7,21))</f>
        <v/>
      </c>
      <c r="FX158" s="116">
        <f>COUNTIFS('DRAFT 2'!$D:$D,$B158,'DRAFT 2'!$A:$A,"&gt;="&amp;DATE(2026,7,22),'DRAFT 2'!$A:$A,"&lt;"&amp;DATE(2026,IF(7=12,7+1,7+1),1))</f>
        <v/>
      </c>
      <c r="FY158" s="116">
        <f>SUM(FU158:FX158)</f>
        <v/>
      </c>
      <c r="GI158" s="116">
        <f>IFERROR(LOOKUP(2,1/('DRAFT 2'!$D:$D=$B158)*('DRAFT 2'!$A:$A&gt;=DATE(2026,8,1))*('DRAFT 2'!$A:$A&lt;DATE(2026,IF(8=12,8+1,8+1),1)),'DRAFT 2'!$A:$A),"")</f>
        <v/>
      </c>
      <c r="GJ158" s="116">
        <f>COUNTIFS('DRAFT 2'!$D:$D,$B158,'DRAFT 2'!$A:$A,"&gt;="&amp;DATE(2026,8,1),'DRAFT 2'!$A:$A,"&lt;="&amp;DATE(2026,8,7))</f>
        <v/>
      </c>
      <c r="GK158" s="116">
        <f>COUNTIFS('DRAFT 2'!$D:$D,$B158,'DRAFT 2'!$A:$A,"&gt;="&amp;DATE(2026,8,8),'DRAFT 2'!$A:$A,"&lt;="&amp;DATE(2026,8,14))</f>
        <v/>
      </c>
      <c r="GL158" s="116">
        <f>COUNTIFS('DRAFT 2'!$D:$D,$B158,'DRAFT 2'!$A:$A,"&gt;="&amp;DATE(2026,8,15),'DRAFT 2'!$A:$A,"&lt;="&amp;DATE(2026,8,21))</f>
        <v/>
      </c>
      <c r="GM158" s="116">
        <f>COUNTIFS('DRAFT 2'!$D:$D,$B158,'DRAFT 2'!$A:$A,"&gt;="&amp;DATE(2026,8,22),'DRAFT 2'!$A:$A,"&lt;"&amp;DATE(2026,IF(8=12,8+1,8+1),1))</f>
        <v/>
      </c>
      <c r="GN158" s="116">
        <f>SUM(GJ158:GM158)</f>
        <v/>
      </c>
      <c r="GX158" s="116">
        <f>IFERROR(LOOKUP(2,1/('DRAFT 2'!$D:$D=$B158)*('DRAFT 2'!$A:$A&gt;=DATE(2026,9,1))*('DRAFT 2'!$A:$A&lt;DATE(2026,IF(9=12,9+1,9+1),1)),'DRAFT 2'!$A:$A),"")</f>
        <v/>
      </c>
      <c r="GY158" s="116">
        <f>COUNTIFS('DRAFT 2'!$D:$D,$B158,'DRAFT 2'!$A:$A,"&gt;="&amp;DATE(2026,9,1),'DRAFT 2'!$A:$A,"&lt;="&amp;DATE(2026,9,7))</f>
        <v/>
      </c>
      <c r="GZ158" s="116">
        <f>COUNTIFS('DRAFT 2'!$D:$D,$B158,'DRAFT 2'!$A:$A,"&gt;="&amp;DATE(2026,9,8),'DRAFT 2'!$A:$A,"&lt;="&amp;DATE(2026,9,14))</f>
        <v/>
      </c>
      <c r="HA158" s="116">
        <f>COUNTIFS('DRAFT 2'!$D:$D,$B158,'DRAFT 2'!$A:$A,"&gt;="&amp;DATE(2026,9,15),'DRAFT 2'!$A:$A,"&lt;="&amp;DATE(2026,9,21))</f>
        <v/>
      </c>
      <c r="HB158" s="116">
        <f>COUNTIFS('DRAFT 2'!$D:$D,$B158,'DRAFT 2'!$A:$A,"&gt;="&amp;DATE(2026,9,22),'DRAFT 2'!$A:$A,"&lt;"&amp;DATE(2026,IF(9=12,9+1,9+1),1))</f>
        <v/>
      </c>
      <c r="HC158" s="116">
        <f>SUM(GY158:HB158)</f>
        <v/>
      </c>
      <c r="HN158" s="116">
        <f>IFERROR(LOOKUP(2,1/('DRAFT 2'!$D:$D=$B158)*('DRAFT 2'!$A:$A&gt;=DATE(2026,10,1))*('DRAFT 2'!$A:$A&lt;DATE(2026,IF(10=12,10+1,10+1),1)),'DRAFT 2'!$A:$A),"")</f>
        <v/>
      </c>
      <c r="HO158" s="116">
        <f>COUNTIFS('DRAFT 2'!$D:$D,$B158,'DRAFT 2'!$A:$A,"&gt;="&amp;DATE(2026,10,1),'DRAFT 2'!$A:$A,"&lt;="&amp;DATE(2026,10,7))</f>
        <v/>
      </c>
      <c r="HP158" s="116">
        <f>COUNTIFS('DRAFT 2'!$D:$D,$B158,'DRAFT 2'!$A:$A,"&gt;="&amp;DATE(2026,10,8),'DRAFT 2'!$A:$A,"&lt;="&amp;DATE(2026,10,14))</f>
        <v/>
      </c>
      <c r="HQ158" s="116">
        <f>COUNTIFS('DRAFT 2'!$D:$D,$B158,'DRAFT 2'!$A:$A,"&gt;="&amp;DATE(2026,10,15),'DRAFT 2'!$A:$A,"&lt;="&amp;DATE(2026,10,21))</f>
        <v/>
      </c>
      <c r="HR158" s="116">
        <f>COUNTIFS('DRAFT 2'!$D:$D,$B158,'DRAFT 2'!$A:$A,"&gt;="&amp;DATE(2026,10,22),'DRAFT 2'!$A:$A,"&lt;"&amp;DATE(2026,IF(10=12,10+1,10+1),1))</f>
        <v/>
      </c>
      <c r="HS158" s="116">
        <f>SUM(HO158:HR158)</f>
        <v/>
      </c>
      <c r="IC158" s="116">
        <f>IFERROR(LOOKUP(2,1/('DRAFT 2'!$D:$D=$B158)*('DRAFT 2'!$A:$A&gt;=DATE(2026,11,1))*('DRAFT 2'!$A:$A&lt;DATE(2026,IF(11=12,11+1,11+1),1)),'DRAFT 2'!$A:$A),"")</f>
        <v/>
      </c>
      <c r="ID158" s="116">
        <f>COUNTIFS('DRAFT 2'!$D:$D,$B158,'DRAFT 2'!$A:$A,"&gt;="&amp;DATE(2026,11,1),'DRAFT 2'!$A:$A,"&lt;="&amp;DATE(2026,11,7))</f>
        <v/>
      </c>
      <c r="IE158" s="116">
        <f>COUNTIFS('DRAFT 2'!$D:$D,$B158,'DRAFT 2'!$A:$A,"&gt;="&amp;DATE(2026,11,8),'DRAFT 2'!$A:$A,"&lt;="&amp;DATE(2026,11,14))</f>
        <v/>
      </c>
      <c r="IF158" s="116">
        <f>COUNTIFS('DRAFT 2'!$D:$D,$B158,'DRAFT 2'!$A:$A,"&gt;="&amp;DATE(2026,11,15),'DRAFT 2'!$A:$A,"&lt;="&amp;DATE(2026,11,21))</f>
        <v/>
      </c>
      <c r="IG158" s="116">
        <f>COUNTIFS('DRAFT 2'!$D:$D,$B158,'DRAFT 2'!$A:$A,"&gt;="&amp;DATE(2026,11,22),'DRAFT 2'!$A:$A,"&lt;"&amp;DATE(2026,IF(11=12,11+1,11+1),1))</f>
        <v/>
      </c>
      <c r="IH158" s="116">
        <f>SUM(ID158:IG158)</f>
        <v/>
      </c>
      <c r="IR158" s="116">
        <f>IFERROR(LOOKUP(2,1/('DRAFT 2'!$D:$D=$B158)*('DRAFT 2'!$A:$A&gt;=DATE(2026,12,1))*('DRAFT 2'!$A:$A&lt;DATE(2026,IF(12=12,12+1,12+1),1)),'DRAFT 2'!$A:$A),"")</f>
        <v/>
      </c>
      <c r="IS158" s="116">
        <f>COUNTIFS('DRAFT 2'!$D:$D,$B158,'DRAFT 2'!$A:$A,"&gt;="&amp;DATE(2026,12,1),'DRAFT 2'!$A:$A,"&lt;="&amp;DATE(2026,12,7))</f>
        <v/>
      </c>
      <c r="IT158" s="116">
        <f>COUNTIFS('DRAFT 2'!$D:$D,$B158,'DRAFT 2'!$A:$A,"&gt;="&amp;DATE(2026,12,8),'DRAFT 2'!$A:$A,"&lt;="&amp;DATE(2026,12,14))</f>
        <v/>
      </c>
      <c r="IU158" s="116">
        <f>COUNTIFS('DRAFT 2'!$D:$D,$B158,'DRAFT 2'!$A:$A,"&gt;="&amp;DATE(2026,12,15),'DRAFT 2'!$A:$A,"&lt;="&amp;DATE(2026,12,21))</f>
        <v/>
      </c>
      <c r="IV158" s="116">
        <f>COUNTIFS('DRAFT 2'!$D:$D,$B158,'DRAFT 2'!$A:$A,"&gt;="&amp;DATE(2026,12,22),'DRAFT 2'!$A:$A,"&lt;"&amp;DATE(2026,IF(12=12,12+1,12+1),1))</f>
        <v/>
      </c>
      <c r="IW158" s="116">
        <f>SUM(IS158:IV158)</f>
        <v/>
      </c>
    </row>
    <row r="159">
      <c r="A159" s="116">
        <f>IFERROR(INDEX('DRAFT 1'!$A:$A,MATCH($B159,'DRAFT 1'!$B:$B,0)),"")</f>
        <v/>
      </c>
      <c r="C159" s="116">
        <f>IFERROR(INDEX('DRAFT 1'!$C:$C,MATCH($B159,'DRAFT 1'!$B:$B,0)),"")</f>
        <v/>
      </c>
      <c r="D159" s="116">
        <f>IFERROR(INDEX('DRAFT 1'!$D:$D,MATCH($B159,'DRAFT 1'!$B:$B,0)),"")</f>
        <v/>
      </c>
      <c r="E159" s="116">
        <f>IFERROR(INDEX('DRAFT 1'!$E:$E,MATCH($B159,'DRAFT 1'!$B:$B,0)),"")</f>
        <v/>
      </c>
      <c r="F159" s="116">
        <f>IFERROR(INDEX('DRAFT 1'!$F:$F,MATCH($B159,'DRAFT 1'!$B:$B,0)),"")</f>
        <v/>
      </c>
      <c r="G159" s="116">
        <f>IFERROR(INDEX('DRAFT 1'!$G:$G,MATCH($B159,'DRAFT 1'!$B:$B,0)),"")</f>
        <v/>
      </c>
      <c r="H159" s="116">
        <f>IFERROR(INDEX('DRAFT 1'!$H:$H,MATCH($B159,'DRAFT 1'!$B:$B,0)),"")</f>
        <v/>
      </c>
      <c r="I159" s="116">
        <f>IFERROR(INDEX('DRAFT 1'!$I:$I,MATCH($B159,'DRAFT 1'!$B:$B,0)),"")</f>
        <v/>
      </c>
      <c r="K159" s="116">
        <f>IFERROR(INDEX('DRAFT 1'!$AL:$AL,MATCH($B159,'DRAFT 1'!$B:$B,0)),"")</f>
        <v/>
      </c>
      <c r="L159" s="116">
        <f>IFERROR(INDEX('DRAFT 1'!$J:$J,MATCH($B159,'DRAFT 1'!$B:$B,0)),"")</f>
        <v/>
      </c>
      <c r="M159" s="116">
        <f>IFERROR(INDEX('DRAFT 1'!$K:$K,MATCH($B159,'DRAFT 1'!$B:$B,0)),"")</f>
        <v/>
      </c>
      <c r="P159" s="116">
        <f>IFERROR(INDEX('DRAFT 1'!$L:$L,MATCH($B159,'DRAFT 1'!$B:$B,0)),"")</f>
        <v/>
      </c>
      <c r="Q159" s="116">
        <f>IFERROR(INDEX('DRAFT 1'!$M:$M,MATCH($B159,'DRAFT 1'!$B:$B,0)),"")</f>
        <v/>
      </c>
      <c r="R159" s="116">
        <f>IFERROR(INDEX('DRAFT 1'!$N:$N,MATCH($B159,'DRAFT 1'!$B:$B,0)),"")</f>
        <v/>
      </c>
      <c r="S159" s="116">
        <f>IFERROR(INDEX('DRAFT 1'!$O:$O,MATCH($B159,'DRAFT 1'!$B:$B,0)),"")</f>
        <v/>
      </c>
      <c r="T159" s="116">
        <f>IFERROR(INDEX('DRAFT 1'!$P:$P,MATCH($B159,'DRAFT 1'!$B:$B,0)),"")</f>
        <v/>
      </c>
      <c r="U159" s="116">
        <f>IFERROR(INDEX('DRAFT 1'!$Q:$Q,MATCH($B159,'DRAFT 1'!$B:$B,0)),"")</f>
        <v/>
      </c>
      <c r="V159" s="116">
        <f>IFERROR(INDEX('DRAFT 1'!$R:$R,MATCH($B159,'DRAFT 1'!$B:$B,0)),"")</f>
        <v/>
      </c>
      <c r="W159" s="116">
        <f>IFERROR(INDEX('DRAFT 1'!$S:$S,MATCH($B159,'DRAFT 1'!$B:$B,0)),"")</f>
        <v/>
      </c>
      <c r="X159" s="116">
        <f>IFERROR(INDEX('DRAFT 1'!$T:$T,MATCH($B159,'DRAFT 1'!$B:$B,0)),"")</f>
        <v/>
      </c>
      <c r="Z159" s="116">
        <f>IFERROR(INDEX('DRAFT 1'!$U:$U,MATCH($B159,'DRAFT 1'!$B:$B,0)),"")</f>
        <v/>
      </c>
      <c r="AA159" s="116">
        <f>IFERROR(INDEX('DRAFT 1'!$V:$V,MATCH($B159,'DRAFT 1'!$B:$B,0)),"")</f>
        <v/>
      </c>
      <c r="AB159" s="116">
        <f>IFERROR(INDEX('DRAFT 1'!$W:$W,MATCH($B159,'DRAFT 1'!$B:$B,0)),"")</f>
        <v/>
      </c>
      <c r="AC159" s="116">
        <f>IFERROR(INDEX('DRAFT 1'!$X:$X,MATCH($B159,'DRAFT 1'!$B:$B,0)),"")</f>
        <v/>
      </c>
      <c r="AD159" s="116">
        <f>IFERROR(INDEX('DRAFT 1'!$Y:$Y,MATCH($B159,'DRAFT 1'!$B:$B,0)),"")</f>
        <v/>
      </c>
      <c r="AE159" s="116">
        <f>IFERROR(INDEX('DRAFT 1'!$Z:$Z,MATCH($B159,'DRAFT 1'!$B:$B,0)),"")</f>
        <v/>
      </c>
      <c r="AF159" s="116">
        <f>IFERROR(INDEX('DRAFT 1'!$AA:$AA,MATCH($B159,'DRAFT 1'!$B:$B,0)),"")</f>
        <v/>
      </c>
      <c r="AG159" s="116">
        <f>IFERROR(INDEX('DRAFT 1'!$AB:$AB,MATCH($B159,'DRAFT 1'!$B:$B,0)),"")</f>
        <v/>
      </c>
      <c r="AH159" s="116">
        <f>IFERROR(INDEX('DRAFT 1'!$AC:$AC,MATCH($B159,'DRAFT 1'!$B:$B,0)),"")</f>
        <v/>
      </c>
      <c r="AI159" s="116">
        <f>IFERROR(INDEX('DRAFT 1'!$AD:$AD,MATCH($B159,'DRAFT 1'!$B:$B,0)),"")</f>
        <v/>
      </c>
      <c r="AJ159" s="116">
        <f>IFERROR(INDEX('DRAFT 1'!$AE:$AE,MATCH($B159,'DRAFT 1'!$B:$B,0)),"")</f>
        <v/>
      </c>
      <c r="AK159" s="116">
        <f>IFERROR(INDEX('DRAFT 1'!$AG:$AG,MATCH($B159,'DRAFT 1'!$B:$B,0)),"")</f>
        <v/>
      </c>
      <c r="AL159" s="116">
        <f>IFERROR(INDEX('DRAFT 1'!$AH:$AH,MATCH($B159,'DRAFT 1'!$B:$B,0)),"")</f>
        <v/>
      </c>
      <c r="AM159" s="116">
        <f>IFERROR(INDEX('DRAFT 1'!$AI:$AI,MATCH($B159,'DRAFT 1'!$B:$B,0)),"")</f>
        <v/>
      </c>
      <c r="AN159" s="116">
        <f>IFERROR(INDEX('DRAFT 1'!$AJ:$AJ,MATCH($B159,'DRAFT 1'!$B:$B,0)),"")</f>
        <v/>
      </c>
      <c r="AO159" s="116">
        <f>IFERROR(Y159/AN159,0)</f>
        <v/>
      </c>
      <c r="AP159" s="116">
        <f>IFERROR(INDEX('DRAFT 1'!$AK:$AK,MATCH($B159,'DRAFT 1'!$B:$B,0)),"")</f>
        <v/>
      </c>
      <c r="AR159" s="116">
        <f>IFERROR(LOOKUP(2,1/('DRAFT 2'!$D:$D=$B159),'DRAFT 2'!$I:$I),"")</f>
        <v/>
      </c>
      <c r="AS159" s="116">
        <f>IFERROR(LOOKUP(2,1/('DRAFT 2'!$D:$D=$B159),'DRAFT 2'!$T:$T),"")</f>
        <v/>
      </c>
      <c r="AT159" s="116">
        <f>IFERROR(LOOKUP(2,1/('DRAFT 2'!$D:$D=$B159),'DRAFT 2'!$A:$A),"")</f>
        <v/>
      </c>
      <c r="AU159" s="116">
        <f>IFERROR(LOOKUP(2,1/('DRAFT 2'!$D:$D=$B159),'DRAFT 2'!$R:$R),"")</f>
        <v/>
      </c>
      <c r="AV159" s="116">
        <f>IFERROR(LOOKUP(2,1/('DRAFT 2'!$D:$D=$B159),'DRAFT 2'!$S:$S),"")</f>
        <v/>
      </c>
      <c r="AX159" s="116">
        <f>IFERROR(LOOKUP(2,1/('DRAFT 2'!$D:$D=$B159),'DRAFT 2'!$M:$M),"")</f>
        <v/>
      </c>
      <c r="AY159" s="116">
        <f>IFERROR(LOOKUP(2,1/('DRAFT 2'!$D:$D=$B159),'DRAFT 2'!$K:$K),"")</f>
        <v/>
      </c>
      <c r="BG159" s="116">
        <f>IFERROR(LOOKUP(2,1/('DRAFT 2'!$D:$D=$B159),'DRAFT 2'!$U:$U),"")</f>
        <v/>
      </c>
      <c r="BH159" s="116">
        <f>IFERROR(LOOKUP(2,1/('DRAFT 2'!$D:$D=$B159),'DRAFT 2'!$V:$V),"")</f>
        <v/>
      </c>
      <c r="CE159" s="116">
        <f>IFERROR(AJ159,0)</f>
        <v/>
      </c>
      <c r="CF159" s="116">
        <f>IFERROR(LOOKUP(2,1/('DRAFT 2'!$D:$D=$B159)*('DRAFT 2'!$A:$A&gt;=DATE(2026,1,1))*('DRAFT 2'!$A:$A&lt;DATE(2026,IF(1=12,1+1,1+1),1)),'DRAFT 2'!$A:$A),"")</f>
        <v/>
      </c>
      <c r="CG159" s="116">
        <f>COUNTIFS('DRAFT 2'!$D:$D,$B159,'DRAFT 2'!$A:$A,"&gt;="&amp;DATE(2026,1,1),'DRAFT 2'!$A:$A,"&lt;="&amp;DATE(2026,1,7))</f>
        <v/>
      </c>
      <c r="CH159" s="116">
        <f>COUNTIFS('DRAFT 2'!$D:$D,$B159,'DRAFT 2'!$A:$A,"&gt;="&amp;DATE(2026,1,8),'DRAFT 2'!$A:$A,"&lt;="&amp;DATE(2026,1,14))</f>
        <v/>
      </c>
      <c r="CI159" s="116">
        <f>COUNTIFS('DRAFT 2'!$D:$D,$B159,'DRAFT 2'!$A:$A,"&gt;="&amp;DATE(2026,1,15),'DRAFT 2'!$A:$A,"&lt;="&amp;DATE(2026,1,21))</f>
        <v/>
      </c>
      <c r="CJ159" s="116">
        <f>COUNTIFS('DRAFT 2'!$D:$D,$B159,'DRAFT 2'!$A:$A,"&gt;="&amp;DATE(2026,1,22),'DRAFT 2'!$A:$A,"&lt;"&amp;DATE(2026,IF(1=12,1+1,1+1),1))</f>
        <v/>
      </c>
      <c r="CK159" s="116">
        <f>SUM(CG159:CJ159)</f>
        <v/>
      </c>
      <c r="CT159" s="116" t="n">
        <v>0</v>
      </c>
      <c r="CU159" s="116">
        <f>IFERROR(LOOKUP(2,1/('DRAFT 2'!$D:$D=$B159)*('DRAFT 2'!$A:$A&gt;=DATE(2026,2,1))*('DRAFT 2'!$A:$A&lt;DATE(2026,IF(2=12,2+1,2+1),1)),'DRAFT 2'!$A:$A),"")</f>
        <v/>
      </c>
      <c r="CV159" s="116">
        <f>COUNTIFS('DRAFT 2'!$D:$D,$B159,'DRAFT 2'!$A:$A,"&gt;="&amp;DATE(2026,2,1),'DRAFT 2'!$A:$A,"&lt;="&amp;DATE(2026,2,7))</f>
        <v/>
      </c>
      <c r="CW159" s="116">
        <f>COUNTIFS('DRAFT 2'!$D:$D,$B159,'DRAFT 2'!$A:$A,"&gt;="&amp;DATE(2026,2,8),'DRAFT 2'!$A:$A,"&lt;="&amp;DATE(2026,2,14))</f>
        <v/>
      </c>
      <c r="CX159" s="116">
        <f>COUNTIFS('DRAFT 2'!$D:$D,$B159,'DRAFT 2'!$A:$A,"&gt;="&amp;DATE(2026,2,15),'DRAFT 2'!$A:$A,"&lt;="&amp;DATE(2026,2,21))</f>
        <v/>
      </c>
      <c r="CY159" s="116">
        <f>COUNTIFS('DRAFT 2'!$D:$D,$B159,'DRAFT 2'!$A:$A,"&gt;="&amp;DATE(2026,2,22),'DRAFT 2'!$A:$A,"&lt;"&amp;DATE(2026,IF(2=12,2+1,2+1),1))</f>
        <v/>
      </c>
      <c r="CZ159" s="116">
        <f>SUM(CV159:CY159)</f>
        <v/>
      </c>
      <c r="DJ159" s="116">
        <f>IFERROR(LOOKUP(2,1/('DRAFT 2'!$D:$D=$B159)*('DRAFT 2'!$A:$A&gt;=DATE(2026,3,1))*('DRAFT 2'!$A:$A&lt;DATE(2026,IF(3=12,3+1,3+1),1)),'DRAFT 2'!$A:$A),"")</f>
        <v/>
      </c>
      <c r="DK159" s="116">
        <f>COUNTIFS('DRAFT 2'!$D:$D,$B159,'DRAFT 2'!$A:$A,"&gt;="&amp;DATE(2026,3,1),'DRAFT 2'!$A:$A,"&lt;="&amp;DATE(2026,3,7))</f>
        <v/>
      </c>
      <c r="DL159" s="116">
        <f>COUNTIFS('DRAFT 2'!$D:$D,$B159,'DRAFT 2'!$A:$A,"&gt;="&amp;DATE(2026,3,8),'DRAFT 2'!$A:$A,"&lt;="&amp;DATE(2026,3,14))</f>
        <v/>
      </c>
      <c r="DM159" s="116">
        <f>COUNTIFS('DRAFT 2'!$D:$D,$B159,'DRAFT 2'!$A:$A,"&gt;="&amp;DATE(2026,3,15),'DRAFT 2'!$A:$A,"&lt;="&amp;DATE(2026,3,21))</f>
        <v/>
      </c>
      <c r="DN159" s="116">
        <f>COUNTIFS('DRAFT 2'!$D:$D,$B159,'DRAFT 2'!$A:$A,"&gt;="&amp;DATE(2026,3,22),'DRAFT 2'!$A:$A,"&lt;"&amp;DATE(2026,IF(3=12,3+1,3+1),1))</f>
        <v/>
      </c>
      <c r="DO159" s="116">
        <f>SUM(DK159:DN159)</f>
        <v/>
      </c>
      <c r="DZ159" s="116">
        <f>IFERROR(LOOKUP(2,1/('DRAFT 2'!$D:$D=$B159)*('DRAFT 2'!$A:$A&gt;=DATE(2026,4,1))*('DRAFT 2'!$A:$A&lt;DATE(2026,IF(4=12,4+1,4+1),1)),'DRAFT 2'!$A:$A),"")</f>
        <v/>
      </c>
      <c r="EA159" s="116">
        <f>COUNTIFS('DRAFT 2'!$D:$D,$B159,'DRAFT 2'!$A:$A,"&gt;="&amp;DATE(2026,4,1),'DRAFT 2'!$A:$A,"&lt;="&amp;DATE(2026,4,7))</f>
        <v/>
      </c>
      <c r="EB159" s="116">
        <f>COUNTIFS('DRAFT 2'!$D:$D,$B159,'DRAFT 2'!$A:$A,"&gt;="&amp;DATE(2026,4,8),'DRAFT 2'!$A:$A,"&lt;="&amp;DATE(2026,4,14))</f>
        <v/>
      </c>
      <c r="EC159" s="116">
        <f>COUNTIFS('DRAFT 2'!$D:$D,$B159,'DRAFT 2'!$A:$A,"&gt;="&amp;DATE(2026,4,15),'DRAFT 2'!$A:$A,"&lt;="&amp;DATE(2026,4,21))</f>
        <v/>
      </c>
      <c r="ED159" s="116">
        <f>COUNTIFS('DRAFT 2'!$D:$D,$B159,'DRAFT 2'!$A:$A,"&gt;="&amp;DATE(2026,4,22),'DRAFT 2'!$A:$A,"&lt;"&amp;DATE(2026,IF(4=12,4+1,4+1),1))</f>
        <v/>
      </c>
      <c r="EE159" s="116">
        <f>SUM(EA159:ED159)</f>
        <v/>
      </c>
      <c r="EO159" s="116">
        <f>IFERROR(LOOKUP(2,1/('DRAFT 2'!$D:$D=$B159)*('DRAFT 2'!$A:$A&gt;=DATE(2026,5,1))*('DRAFT 2'!$A:$A&lt;DATE(2026,IF(5=12,5+1,5+1),1)),'DRAFT 2'!$A:$A),"")</f>
        <v/>
      </c>
      <c r="EP159" s="116">
        <f>COUNTIFS('DRAFT 2'!$D:$D,$B159,'DRAFT 2'!$A:$A,"&gt;="&amp;DATE(2026,5,1),'DRAFT 2'!$A:$A,"&lt;="&amp;DATE(2026,5,7))</f>
        <v/>
      </c>
      <c r="EQ159" s="116">
        <f>COUNTIFS('DRAFT 2'!$D:$D,$B159,'DRAFT 2'!$A:$A,"&gt;="&amp;DATE(2026,5,8),'DRAFT 2'!$A:$A,"&lt;="&amp;DATE(2026,5,14))</f>
        <v/>
      </c>
      <c r="ER159" s="116">
        <f>COUNTIFS('DRAFT 2'!$D:$D,$B159,'DRAFT 2'!$A:$A,"&gt;="&amp;DATE(2026,5,15),'DRAFT 2'!$A:$A,"&lt;="&amp;DATE(2026,5,21))</f>
        <v/>
      </c>
      <c r="ES159" s="116">
        <f>COUNTIFS('DRAFT 2'!$D:$D,$B159,'DRAFT 2'!$A:$A,"&gt;="&amp;DATE(2026,5,22),'DRAFT 2'!$A:$A,"&lt;"&amp;DATE(2026,IF(5=12,5+1,5+1),1))</f>
        <v/>
      </c>
      <c r="ET159" s="116">
        <f>SUM(EP159:ES159)</f>
        <v/>
      </c>
      <c r="FD159" s="116">
        <f>IFERROR(LOOKUP(2,1/('DRAFT 2'!$D:$D=$B159)*('DRAFT 2'!$A:$A&gt;=DATE(2026,6,1))*('DRAFT 2'!$A:$A&lt;DATE(2026,IF(6=12,6+1,6+1),1)),'DRAFT 2'!$A:$A),"")</f>
        <v/>
      </c>
      <c r="FE159" s="116">
        <f>COUNTIFS('DRAFT 2'!$D:$D,$B159,'DRAFT 2'!$A:$A,"&gt;="&amp;DATE(2026,6,1),'DRAFT 2'!$A:$A,"&lt;="&amp;DATE(2026,6,7))</f>
        <v/>
      </c>
      <c r="FF159" s="116">
        <f>COUNTIFS('DRAFT 2'!$D:$D,$B159,'DRAFT 2'!$A:$A,"&gt;="&amp;DATE(2026,6,8),'DRAFT 2'!$A:$A,"&lt;="&amp;DATE(2026,6,14))</f>
        <v/>
      </c>
      <c r="FG159" s="116">
        <f>COUNTIFS('DRAFT 2'!$D:$D,$B159,'DRAFT 2'!$A:$A,"&gt;="&amp;DATE(2026,6,15),'DRAFT 2'!$A:$A,"&lt;="&amp;DATE(2026,6,21))</f>
        <v/>
      </c>
      <c r="FH159" s="116">
        <f>COUNTIFS('DRAFT 2'!$D:$D,$B159,'DRAFT 2'!$A:$A,"&gt;="&amp;DATE(2026,6,22),'DRAFT 2'!$A:$A,"&lt;"&amp;DATE(2026,IF(6=12,6+1,6+1),1))</f>
        <v/>
      </c>
      <c r="FI159" s="116">
        <f>SUM(FE159:FH159)</f>
        <v/>
      </c>
      <c r="FT159" s="116">
        <f>IFERROR(LOOKUP(2,1/('DRAFT 2'!$D:$D=$B159)*('DRAFT 2'!$A:$A&gt;=DATE(2026,7,1))*('DRAFT 2'!$A:$A&lt;DATE(2026,IF(7=12,7+1,7+1),1)),'DRAFT 2'!$A:$A),"")</f>
        <v/>
      </c>
      <c r="FU159" s="116">
        <f>COUNTIFS('DRAFT 2'!$D:$D,$B159,'DRAFT 2'!$A:$A,"&gt;="&amp;DATE(2026,7,1),'DRAFT 2'!$A:$A,"&lt;="&amp;DATE(2026,7,7))</f>
        <v/>
      </c>
      <c r="FV159" s="116">
        <f>COUNTIFS('DRAFT 2'!$D:$D,$B159,'DRAFT 2'!$A:$A,"&gt;="&amp;DATE(2026,7,8),'DRAFT 2'!$A:$A,"&lt;="&amp;DATE(2026,7,14))</f>
        <v/>
      </c>
      <c r="FW159" s="116">
        <f>COUNTIFS('DRAFT 2'!$D:$D,$B159,'DRAFT 2'!$A:$A,"&gt;="&amp;DATE(2026,7,15),'DRAFT 2'!$A:$A,"&lt;="&amp;DATE(2026,7,21))</f>
        <v/>
      </c>
      <c r="FX159" s="116">
        <f>COUNTIFS('DRAFT 2'!$D:$D,$B159,'DRAFT 2'!$A:$A,"&gt;="&amp;DATE(2026,7,22),'DRAFT 2'!$A:$A,"&lt;"&amp;DATE(2026,IF(7=12,7+1,7+1),1))</f>
        <v/>
      </c>
      <c r="FY159" s="116">
        <f>SUM(FU159:FX159)</f>
        <v/>
      </c>
      <c r="GI159" s="116">
        <f>IFERROR(LOOKUP(2,1/('DRAFT 2'!$D:$D=$B159)*('DRAFT 2'!$A:$A&gt;=DATE(2026,8,1))*('DRAFT 2'!$A:$A&lt;DATE(2026,IF(8=12,8+1,8+1),1)),'DRAFT 2'!$A:$A),"")</f>
        <v/>
      </c>
      <c r="GJ159" s="116">
        <f>COUNTIFS('DRAFT 2'!$D:$D,$B159,'DRAFT 2'!$A:$A,"&gt;="&amp;DATE(2026,8,1),'DRAFT 2'!$A:$A,"&lt;="&amp;DATE(2026,8,7))</f>
        <v/>
      </c>
      <c r="GK159" s="116">
        <f>COUNTIFS('DRAFT 2'!$D:$D,$B159,'DRAFT 2'!$A:$A,"&gt;="&amp;DATE(2026,8,8),'DRAFT 2'!$A:$A,"&lt;="&amp;DATE(2026,8,14))</f>
        <v/>
      </c>
      <c r="GL159" s="116">
        <f>COUNTIFS('DRAFT 2'!$D:$D,$B159,'DRAFT 2'!$A:$A,"&gt;="&amp;DATE(2026,8,15),'DRAFT 2'!$A:$A,"&lt;="&amp;DATE(2026,8,21))</f>
        <v/>
      </c>
      <c r="GM159" s="116">
        <f>COUNTIFS('DRAFT 2'!$D:$D,$B159,'DRAFT 2'!$A:$A,"&gt;="&amp;DATE(2026,8,22),'DRAFT 2'!$A:$A,"&lt;"&amp;DATE(2026,IF(8=12,8+1,8+1),1))</f>
        <v/>
      </c>
      <c r="GN159" s="116">
        <f>SUM(GJ159:GM159)</f>
        <v/>
      </c>
      <c r="GX159" s="116">
        <f>IFERROR(LOOKUP(2,1/('DRAFT 2'!$D:$D=$B159)*('DRAFT 2'!$A:$A&gt;=DATE(2026,9,1))*('DRAFT 2'!$A:$A&lt;DATE(2026,IF(9=12,9+1,9+1),1)),'DRAFT 2'!$A:$A),"")</f>
        <v/>
      </c>
      <c r="GY159" s="116">
        <f>COUNTIFS('DRAFT 2'!$D:$D,$B159,'DRAFT 2'!$A:$A,"&gt;="&amp;DATE(2026,9,1),'DRAFT 2'!$A:$A,"&lt;="&amp;DATE(2026,9,7))</f>
        <v/>
      </c>
      <c r="GZ159" s="116">
        <f>COUNTIFS('DRAFT 2'!$D:$D,$B159,'DRAFT 2'!$A:$A,"&gt;="&amp;DATE(2026,9,8),'DRAFT 2'!$A:$A,"&lt;="&amp;DATE(2026,9,14))</f>
        <v/>
      </c>
      <c r="HA159" s="116">
        <f>COUNTIFS('DRAFT 2'!$D:$D,$B159,'DRAFT 2'!$A:$A,"&gt;="&amp;DATE(2026,9,15),'DRAFT 2'!$A:$A,"&lt;="&amp;DATE(2026,9,21))</f>
        <v/>
      </c>
      <c r="HB159" s="116">
        <f>COUNTIFS('DRAFT 2'!$D:$D,$B159,'DRAFT 2'!$A:$A,"&gt;="&amp;DATE(2026,9,22),'DRAFT 2'!$A:$A,"&lt;"&amp;DATE(2026,IF(9=12,9+1,9+1),1))</f>
        <v/>
      </c>
      <c r="HC159" s="116">
        <f>SUM(GY159:HB159)</f>
        <v/>
      </c>
      <c r="HN159" s="116">
        <f>IFERROR(LOOKUP(2,1/('DRAFT 2'!$D:$D=$B159)*('DRAFT 2'!$A:$A&gt;=DATE(2026,10,1))*('DRAFT 2'!$A:$A&lt;DATE(2026,IF(10=12,10+1,10+1),1)),'DRAFT 2'!$A:$A),"")</f>
        <v/>
      </c>
      <c r="HO159" s="116">
        <f>COUNTIFS('DRAFT 2'!$D:$D,$B159,'DRAFT 2'!$A:$A,"&gt;="&amp;DATE(2026,10,1),'DRAFT 2'!$A:$A,"&lt;="&amp;DATE(2026,10,7))</f>
        <v/>
      </c>
      <c r="HP159" s="116">
        <f>COUNTIFS('DRAFT 2'!$D:$D,$B159,'DRAFT 2'!$A:$A,"&gt;="&amp;DATE(2026,10,8),'DRAFT 2'!$A:$A,"&lt;="&amp;DATE(2026,10,14))</f>
        <v/>
      </c>
      <c r="HQ159" s="116">
        <f>COUNTIFS('DRAFT 2'!$D:$D,$B159,'DRAFT 2'!$A:$A,"&gt;="&amp;DATE(2026,10,15),'DRAFT 2'!$A:$A,"&lt;="&amp;DATE(2026,10,21))</f>
        <v/>
      </c>
      <c r="HR159" s="116">
        <f>COUNTIFS('DRAFT 2'!$D:$D,$B159,'DRAFT 2'!$A:$A,"&gt;="&amp;DATE(2026,10,22),'DRAFT 2'!$A:$A,"&lt;"&amp;DATE(2026,IF(10=12,10+1,10+1),1))</f>
        <v/>
      </c>
      <c r="HS159" s="116">
        <f>SUM(HO159:HR159)</f>
        <v/>
      </c>
      <c r="IC159" s="116">
        <f>IFERROR(LOOKUP(2,1/('DRAFT 2'!$D:$D=$B159)*('DRAFT 2'!$A:$A&gt;=DATE(2026,11,1))*('DRAFT 2'!$A:$A&lt;DATE(2026,IF(11=12,11+1,11+1),1)),'DRAFT 2'!$A:$A),"")</f>
        <v/>
      </c>
      <c r="ID159" s="116">
        <f>COUNTIFS('DRAFT 2'!$D:$D,$B159,'DRAFT 2'!$A:$A,"&gt;="&amp;DATE(2026,11,1),'DRAFT 2'!$A:$A,"&lt;="&amp;DATE(2026,11,7))</f>
        <v/>
      </c>
      <c r="IE159" s="116">
        <f>COUNTIFS('DRAFT 2'!$D:$D,$B159,'DRAFT 2'!$A:$A,"&gt;="&amp;DATE(2026,11,8),'DRAFT 2'!$A:$A,"&lt;="&amp;DATE(2026,11,14))</f>
        <v/>
      </c>
      <c r="IF159" s="116">
        <f>COUNTIFS('DRAFT 2'!$D:$D,$B159,'DRAFT 2'!$A:$A,"&gt;="&amp;DATE(2026,11,15),'DRAFT 2'!$A:$A,"&lt;="&amp;DATE(2026,11,21))</f>
        <v/>
      </c>
      <c r="IG159" s="116">
        <f>COUNTIFS('DRAFT 2'!$D:$D,$B159,'DRAFT 2'!$A:$A,"&gt;="&amp;DATE(2026,11,22),'DRAFT 2'!$A:$A,"&lt;"&amp;DATE(2026,IF(11=12,11+1,11+1),1))</f>
        <v/>
      </c>
      <c r="IH159" s="116">
        <f>SUM(ID159:IG159)</f>
        <v/>
      </c>
      <c r="IR159" s="116">
        <f>IFERROR(LOOKUP(2,1/('DRAFT 2'!$D:$D=$B159)*('DRAFT 2'!$A:$A&gt;=DATE(2026,12,1))*('DRAFT 2'!$A:$A&lt;DATE(2026,IF(12=12,12+1,12+1),1)),'DRAFT 2'!$A:$A),"")</f>
        <v/>
      </c>
      <c r="IS159" s="116">
        <f>COUNTIFS('DRAFT 2'!$D:$D,$B159,'DRAFT 2'!$A:$A,"&gt;="&amp;DATE(2026,12,1),'DRAFT 2'!$A:$A,"&lt;="&amp;DATE(2026,12,7))</f>
        <v/>
      </c>
      <c r="IT159" s="116">
        <f>COUNTIFS('DRAFT 2'!$D:$D,$B159,'DRAFT 2'!$A:$A,"&gt;="&amp;DATE(2026,12,8),'DRAFT 2'!$A:$A,"&lt;="&amp;DATE(2026,12,14))</f>
        <v/>
      </c>
      <c r="IU159" s="116">
        <f>COUNTIFS('DRAFT 2'!$D:$D,$B159,'DRAFT 2'!$A:$A,"&gt;="&amp;DATE(2026,12,15),'DRAFT 2'!$A:$A,"&lt;="&amp;DATE(2026,12,21))</f>
        <v/>
      </c>
      <c r="IV159" s="116">
        <f>COUNTIFS('DRAFT 2'!$D:$D,$B159,'DRAFT 2'!$A:$A,"&gt;="&amp;DATE(2026,12,22),'DRAFT 2'!$A:$A,"&lt;"&amp;DATE(2026,IF(12=12,12+1,12+1),1))</f>
        <v/>
      </c>
      <c r="IW159" s="116">
        <f>SUM(IS159:IV159)</f>
        <v/>
      </c>
    </row>
    <row r="160">
      <c r="A160" s="116">
        <f>IFERROR(INDEX('DRAFT 1'!$A:$A,MATCH($B160,'DRAFT 1'!$B:$B,0)),"")</f>
        <v/>
      </c>
      <c r="C160" s="116">
        <f>IFERROR(INDEX('DRAFT 1'!$C:$C,MATCH($B160,'DRAFT 1'!$B:$B,0)),"")</f>
        <v/>
      </c>
      <c r="D160" s="116">
        <f>IFERROR(INDEX('DRAFT 1'!$D:$D,MATCH($B160,'DRAFT 1'!$B:$B,0)),"")</f>
        <v/>
      </c>
      <c r="E160" s="116">
        <f>IFERROR(INDEX('DRAFT 1'!$E:$E,MATCH($B160,'DRAFT 1'!$B:$B,0)),"")</f>
        <v/>
      </c>
      <c r="F160" s="116">
        <f>IFERROR(INDEX('DRAFT 1'!$F:$F,MATCH($B160,'DRAFT 1'!$B:$B,0)),"")</f>
        <v/>
      </c>
      <c r="G160" s="116">
        <f>IFERROR(INDEX('DRAFT 1'!$G:$G,MATCH($B160,'DRAFT 1'!$B:$B,0)),"")</f>
        <v/>
      </c>
      <c r="H160" s="116">
        <f>IFERROR(INDEX('DRAFT 1'!$H:$H,MATCH($B160,'DRAFT 1'!$B:$B,0)),"")</f>
        <v/>
      </c>
      <c r="I160" s="116">
        <f>IFERROR(INDEX('DRAFT 1'!$I:$I,MATCH($B160,'DRAFT 1'!$B:$B,0)),"")</f>
        <v/>
      </c>
      <c r="K160" s="116">
        <f>IFERROR(INDEX('DRAFT 1'!$AL:$AL,MATCH($B160,'DRAFT 1'!$B:$B,0)),"")</f>
        <v/>
      </c>
      <c r="L160" s="116">
        <f>IFERROR(INDEX('DRAFT 1'!$J:$J,MATCH($B160,'DRAFT 1'!$B:$B,0)),"")</f>
        <v/>
      </c>
      <c r="M160" s="116">
        <f>IFERROR(INDEX('DRAFT 1'!$K:$K,MATCH($B160,'DRAFT 1'!$B:$B,0)),"")</f>
        <v/>
      </c>
      <c r="P160" s="116">
        <f>IFERROR(INDEX('DRAFT 1'!$L:$L,MATCH($B160,'DRAFT 1'!$B:$B,0)),"")</f>
        <v/>
      </c>
      <c r="Q160" s="116">
        <f>IFERROR(INDEX('DRAFT 1'!$M:$M,MATCH($B160,'DRAFT 1'!$B:$B,0)),"")</f>
        <v/>
      </c>
      <c r="R160" s="116">
        <f>IFERROR(INDEX('DRAFT 1'!$N:$N,MATCH($B160,'DRAFT 1'!$B:$B,0)),"")</f>
        <v/>
      </c>
      <c r="S160" s="116">
        <f>IFERROR(INDEX('DRAFT 1'!$O:$O,MATCH($B160,'DRAFT 1'!$B:$B,0)),"")</f>
        <v/>
      </c>
      <c r="T160" s="116">
        <f>IFERROR(INDEX('DRAFT 1'!$P:$P,MATCH($B160,'DRAFT 1'!$B:$B,0)),"")</f>
        <v/>
      </c>
      <c r="U160" s="116">
        <f>IFERROR(INDEX('DRAFT 1'!$Q:$Q,MATCH($B160,'DRAFT 1'!$B:$B,0)),"")</f>
        <v/>
      </c>
      <c r="V160" s="116">
        <f>IFERROR(INDEX('DRAFT 1'!$R:$R,MATCH($B160,'DRAFT 1'!$B:$B,0)),"")</f>
        <v/>
      </c>
      <c r="W160" s="116">
        <f>IFERROR(INDEX('DRAFT 1'!$S:$S,MATCH($B160,'DRAFT 1'!$B:$B,0)),"")</f>
        <v/>
      </c>
      <c r="X160" s="116">
        <f>IFERROR(INDEX('DRAFT 1'!$T:$T,MATCH($B160,'DRAFT 1'!$B:$B,0)),"")</f>
        <v/>
      </c>
      <c r="Z160" s="116">
        <f>IFERROR(INDEX('DRAFT 1'!$U:$U,MATCH($B160,'DRAFT 1'!$B:$B,0)),"")</f>
        <v/>
      </c>
      <c r="AA160" s="116">
        <f>IFERROR(INDEX('DRAFT 1'!$V:$V,MATCH($B160,'DRAFT 1'!$B:$B,0)),"")</f>
        <v/>
      </c>
      <c r="AB160" s="116">
        <f>IFERROR(INDEX('DRAFT 1'!$W:$W,MATCH($B160,'DRAFT 1'!$B:$B,0)),"")</f>
        <v/>
      </c>
      <c r="AC160" s="116">
        <f>IFERROR(INDEX('DRAFT 1'!$X:$X,MATCH($B160,'DRAFT 1'!$B:$B,0)),"")</f>
        <v/>
      </c>
      <c r="AD160" s="116">
        <f>IFERROR(INDEX('DRAFT 1'!$Y:$Y,MATCH($B160,'DRAFT 1'!$B:$B,0)),"")</f>
        <v/>
      </c>
      <c r="AE160" s="116">
        <f>IFERROR(INDEX('DRAFT 1'!$Z:$Z,MATCH($B160,'DRAFT 1'!$B:$B,0)),"")</f>
        <v/>
      </c>
      <c r="AF160" s="116">
        <f>IFERROR(INDEX('DRAFT 1'!$AA:$AA,MATCH($B160,'DRAFT 1'!$B:$B,0)),"")</f>
        <v/>
      </c>
      <c r="AG160" s="116">
        <f>IFERROR(INDEX('DRAFT 1'!$AB:$AB,MATCH($B160,'DRAFT 1'!$B:$B,0)),"")</f>
        <v/>
      </c>
      <c r="AH160" s="116">
        <f>IFERROR(INDEX('DRAFT 1'!$AC:$AC,MATCH($B160,'DRAFT 1'!$B:$B,0)),"")</f>
        <v/>
      </c>
      <c r="AI160" s="116">
        <f>IFERROR(INDEX('DRAFT 1'!$AD:$AD,MATCH($B160,'DRAFT 1'!$B:$B,0)),"")</f>
        <v/>
      </c>
      <c r="AJ160" s="116">
        <f>IFERROR(INDEX('DRAFT 1'!$AE:$AE,MATCH($B160,'DRAFT 1'!$B:$B,0)),"")</f>
        <v/>
      </c>
      <c r="AK160" s="116">
        <f>IFERROR(INDEX('DRAFT 1'!$AG:$AG,MATCH($B160,'DRAFT 1'!$B:$B,0)),"")</f>
        <v/>
      </c>
      <c r="AL160" s="116">
        <f>IFERROR(INDEX('DRAFT 1'!$AH:$AH,MATCH($B160,'DRAFT 1'!$B:$B,0)),"")</f>
        <v/>
      </c>
      <c r="AM160" s="116">
        <f>IFERROR(INDEX('DRAFT 1'!$AI:$AI,MATCH($B160,'DRAFT 1'!$B:$B,0)),"")</f>
        <v/>
      </c>
      <c r="AN160" s="116">
        <f>IFERROR(INDEX('DRAFT 1'!$AJ:$AJ,MATCH($B160,'DRAFT 1'!$B:$B,0)),"")</f>
        <v/>
      </c>
      <c r="AO160" s="116">
        <f>IFERROR(Y160/AN160,0)</f>
        <v/>
      </c>
      <c r="AP160" s="116">
        <f>IFERROR(INDEX('DRAFT 1'!$AK:$AK,MATCH($B160,'DRAFT 1'!$B:$B,0)),"")</f>
        <v/>
      </c>
      <c r="AR160" s="116">
        <f>IFERROR(LOOKUP(2,1/('DRAFT 2'!$D:$D=$B160),'DRAFT 2'!$I:$I),"")</f>
        <v/>
      </c>
      <c r="AS160" s="116">
        <f>IFERROR(LOOKUP(2,1/('DRAFT 2'!$D:$D=$B160),'DRAFT 2'!$T:$T),"")</f>
        <v/>
      </c>
      <c r="AT160" s="116">
        <f>IFERROR(LOOKUP(2,1/('DRAFT 2'!$D:$D=$B160),'DRAFT 2'!$A:$A),"")</f>
        <v/>
      </c>
      <c r="AU160" s="116">
        <f>IFERROR(LOOKUP(2,1/('DRAFT 2'!$D:$D=$B160),'DRAFT 2'!$R:$R),"")</f>
        <v/>
      </c>
      <c r="AV160" s="116">
        <f>IFERROR(LOOKUP(2,1/('DRAFT 2'!$D:$D=$B160),'DRAFT 2'!$S:$S),"")</f>
        <v/>
      </c>
      <c r="AX160" s="116">
        <f>IFERROR(LOOKUP(2,1/('DRAFT 2'!$D:$D=$B160),'DRAFT 2'!$M:$M),"")</f>
        <v/>
      </c>
      <c r="AY160" s="116">
        <f>IFERROR(LOOKUP(2,1/('DRAFT 2'!$D:$D=$B160),'DRAFT 2'!$K:$K),"")</f>
        <v/>
      </c>
      <c r="BG160" s="116">
        <f>IFERROR(LOOKUP(2,1/('DRAFT 2'!$D:$D=$B160),'DRAFT 2'!$U:$U),"")</f>
        <v/>
      </c>
      <c r="BH160" s="116">
        <f>IFERROR(LOOKUP(2,1/('DRAFT 2'!$D:$D=$B160),'DRAFT 2'!$V:$V),"")</f>
        <v/>
      </c>
      <c r="CE160" s="116">
        <f>IFERROR(AJ160,0)</f>
        <v/>
      </c>
      <c r="CF160" s="116">
        <f>IFERROR(LOOKUP(2,1/('DRAFT 2'!$D:$D=$B160)*('DRAFT 2'!$A:$A&gt;=DATE(2026,1,1))*('DRAFT 2'!$A:$A&lt;DATE(2026,IF(1=12,1+1,1+1),1)),'DRAFT 2'!$A:$A),"")</f>
        <v/>
      </c>
      <c r="CG160" s="116">
        <f>COUNTIFS('DRAFT 2'!$D:$D,$B160,'DRAFT 2'!$A:$A,"&gt;="&amp;DATE(2026,1,1),'DRAFT 2'!$A:$A,"&lt;="&amp;DATE(2026,1,7))</f>
        <v/>
      </c>
      <c r="CH160" s="116">
        <f>COUNTIFS('DRAFT 2'!$D:$D,$B160,'DRAFT 2'!$A:$A,"&gt;="&amp;DATE(2026,1,8),'DRAFT 2'!$A:$A,"&lt;="&amp;DATE(2026,1,14))</f>
        <v/>
      </c>
      <c r="CI160" s="116">
        <f>COUNTIFS('DRAFT 2'!$D:$D,$B160,'DRAFT 2'!$A:$A,"&gt;="&amp;DATE(2026,1,15),'DRAFT 2'!$A:$A,"&lt;="&amp;DATE(2026,1,21))</f>
        <v/>
      </c>
      <c r="CJ160" s="116">
        <f>COUNTIFS('DRAFT 2'!$D:$D,$B160,'DRAFT 2'!$A:$A,"&gt;="&amp;DATE(2026,1,22),'DRAFT 2'!$A:$A,"&lt;"&amp;DATE(2026,IF(1=12,1+1,1+1),1))</f>
        <v/>
      </c>
      <c r="CK160" s="116">
        <f>SUM(CG160:CJ160)</f>
        <v/>
      </c>
      <c r="CT160" s="116" t="n">
        <v>0</v>
      </c>
      <c r="CU160" s="116">
        <f>IFERROR(LOOKUP(2,1/('DRAFT 2'!$D:$D=$B160)*('DRAFT 2'!$A:$A&gt;=DATE(2026,2,1))*('DRAFT 2'!$A:$A&lt;DATE(2026,IF(2=12,2+1,2+1),1)),'DRAFT 2'!$A:$A),"")</f>
        <v/>
      </c>
      <c r="CV160" s="116">
        <f>COUNTIFS('DRAFT 2'!$D:$D,$B160,'DRAFT 2'!$A:$A,"&gt;="&amp;DATE(2026,2,1),'DRAFT 2'!$A:$A,"&lt;="&amp;DATE(2026,2,7))</f>
        <v/>
      </c>
      <c r="CW160" s="116">
        <f>COUNTIFS('DRAFT 2'!$D:$D,$B160,'DRAFT 2'!$A:$A,"&gt;="&amp;DATE(2026,2,8),'DRAFT 2'!$A:$A,"&lt;="&amp;DATE(2026,2,14))</f>
        <v/>
      </c>
      <c r="CX160" s="116">
        <f>COUNTIFS('DRAFT 2'!$D:$D,$B160,'DRAFT 2'!$A:$A,"&gt;="&amp;DATE(2026,2,15),'DRAFT 2'!$A:$A,"&lt;="&amp;DATE(2026,2,21))</f>
        <v/>
      </c>
      <c r="CY160" s="116">
        <f>COUNTIFS('DRAFT 2'!$D:$D,$B160,'DRAFT 2'!$A:$A,"&gt;="&amp;DATE(2026,2,22),'DRAFT 2'!$A:$A,"&lt;"&amp;DATE(2026,IF(2=12,2+1,2+1),1))</f>
        <v/>
      </c>
      <c r="CZ160" s="116">
        <f>SUM(CV160:CY160)</f>
        <v/>
      </c>
      <c r="DJ160" s="116">
        <f>IFERROR(LOOKUP(2,1/('DRAFT 2'!$D:$D=$B160)*('DRAFT 2'!$A:$A&gt;=DATE(2026,3,1))*('DRAFT 2'!$A:$A&lt;DATE(2026,IF(3=12,3+1,3+1),1)),'DRAFT 2'!$A:$A),"")</f>
        <v/>
      </c>
      <c r="DK160" s="116">
        <f>COUNTIFS('DRAFT 2'!$D:$D,$B160,'DRAFT 2'!$A:$A,"&gt;="&amp;DATE(2026,3,1),'DRAFT 2'!$A:$A,"&lt;="&amp;DATE(2026,3,7))</f>
        <v/>
      </c>
      <c r="DL160" s="116">
        <f>COUNTIFS('DRAFT 2'!$D:$D,$B160,'DRAFT 2'!$A:$A,"&gt;="&amp;DATE(2026,3,8),'DRAFT 2'!$A:$A,"&lt;="&amp;DATE(2026,3,14))</f>
        <v/>
      </c>
      <c r="DM160" s="116">
        <f>COUNTIFS('DRAFT 2'!$D:$D,$B160,'DRAFT 2'!$A:$A,"&gt;="&amp;DATE(2026,3,15),'DRAFT 2'!$A:$A,"&lt;="&amp;DATE(2026,3,21))</f>
        <v/>
      </c>
      <c r="DN160" s="116">
        <f>COUNTIFS('DRAFT 2'!$D:$D,$B160,'DRAFT 2'!$A:$A,"&gt;="&amp;DATE(2026,3,22),'DRAFT 2'!$A:$A,"&lt;"&amp;DATE(2026,IF(3=12,3+1,3+1),1))</f>
        <v/>
      </c>
      <c r="DO160" s="116">
        <f>SUM(DK160:DN160)</f>
        <v/>
      </c>
      <c r="DZ160" s="116">
        <f>IFERROR(LOOKUP(2,1/('DRAFT 2'!$D:$D=$B160)*('DRAFT 2'!$A:$A&gt;=DATE(2026,4,1))*('DRAFT 2'!$A:$A&lt;DATE(2026,IF(4=12,4+1,4+1),1)),'DRAFT 2'!$A:$A),"")</f>
        <v/>
      </c>
      <c r="EA160" s="116">
        <f>COUNTIFS('DRAFT 2'!$D:$D,$B160,'DRAFT 2'!$A:$A,"&gt;="&amp;DATE(2026,4,1),'DRAFT 2'!$A:$A,"&lt;="&amp;DATE(2026,4,7))</f>
        <v/>
      </c>
      <c r="EB160" s="116">
        <f>COUNTIFS('DRAFT 2'!$D:$D,$B160,'DRAFT 2'!$A:$A,"&gt;="&amp;DATE(2026,4,8),'DRAFT 2'!$A:$A,"&lt;="&amp;DATE(2026,4,14))</f>
        <v/>
      </c>
      <c r="EC160" s="116">
        <f>COUNTIFS('DRAFT 2'!$D:$D,$B160,'DRAFT 2'!$A:$A,"&gt;="&amp;DATE(2026,4,15),'DRAFT 2'!$A:$A,"&lt;="&amp;DATE(2026,4,21))</f>
        <v/>
      </c>
      <c r="ED160" s="116">
        <f>COUNTIFS('DRAFT 2'!$D:$D,$B160,'DRAFT 2'!$A:$A,"&gt;="&amp;DATE(2026,4,22),'DRAFT 2'!$A:$A,"&lt;"&amp;DATE(2026,IF(4=12,4+1,4+1),1))</f>
        <v/>
      </c>
      <c r="EE160" s="116">
        <f>SUM(EA160:ED160)</f>
        <v/>
      </c>
      <c r="EO160" s="116">
        <f>IFERROR(LOOKUP(2,1/('DRAFT 2'!$D:$D=$B160)*('DRAFT 2'!$A:$A&gt;=DATE(2026,5,1))*('DRAFT 2'!$A:$A&lt;DATE(2026,IF(5=12,5+1,5+1),1)),'DRAFT 2'!$A:$A),"")</f>
        <v/>
      </c>
      <c r="EP160" s="116">
        <f>COUNTIFS('DRAFT 2'!$D:$D,$B160,'DRAFT 2'!$A:$A,"&gt;="&amp;DATE(2026,5,1),'DRAFT 2'!$A:$A,"&lt;="&amp;DATE(2026,5,7))</f>
        <v/>
      </c>
      <c r="EQ160" s="116">
        <f>COUNTIFS('DRAFT 2'!$D:$D,$B160,'DRAFT 2'!$A:$A,"&gt;="&amp;DATE(2026,5,8),'DRAFT 2'!$A:$A,"&lt;="&amp;DATE(2026,5,14))</f>
        <v/>
      </c>
      <c r="ER160" s="116">
        <f>COUNTIFS('DRAFT 2'!$D:$D,$B160,'DRAFT 2'!$A:$A,"&gt;="&amp;DATE(2026,5,15),'DRAFT 2'!$A:$A,"&lt;="&amp;DATE(2026,5,21))</f>
        <v/>
      </c>
      <c r="ES160" s="116">
        <f>COUNTIFS('DRAFT 2'!$D:$D,$B160,'DRAFT 2'!$A:$A,"&gt;="&amp;DATE(2026,5,22),'DRAFT 2'!$A:$A,"&lt;"&amp;DATE(2026,IF(5=12,5+1,5+1),1))</f>
        <v/>
      </c>
      <c r="ET160" s="116">
        <f>SUM(EP160:ES160)</f>
        <v/>
      </c>
      <c r="FD160" s="116">
        <f>IFERROR(LOOKUP(2,1/('DRAFT 2'!$D:$D=$B160)*('DRAFT 2'!$A:$A&gt;=DATE(2026,6,1))*('DRAFT 2'!$A:$A&lt;DATE(2026,IF(6=12,6+1,6+1),1)),'DRAFT 2'!$A:$A),"")</f>
        <v/>
      </c>
      <c r="FE160" s="116">
        <f>COUNTIFS('DRAFT 2'!$D:$D,$B160,'DRAFT 2'!$A:$A,"&gt;="&amp;DATE(2026,6,1),'DRAFT 2'!$A:$A,"&lt;="&amp;DATE(2026,6,7))</f>
        <v/>
      </c>
      <c r="FF160" s="116">
        <f>COUNTIFS('DRAFT 2'!$D:$D,$B160,'DRAFT 2'!$A:$A,"&gt;="&amp;DATE(2026,6,8),'DRAFT 2'!$A:$A,"&lt;="&amp;DATE(2026,6,14))</f>
        <v/>
      </c>
      <c r="FG160" s="116">
        <f>COUNTIFS('DRAFT 2'!$D:$D,$B160,'DRAFT 2'!$A:$A,"&gt;="&amp;DATE(2026,6,15),'DRAFT 2'!$A:$A,"&lt;="&amp;DATE(2026,6,21))</f>
        <v/>
      </c>
      <c r="FH160" s="116">
        <f>COUNTIFS('DRAFT 2'!$D:$D,$B160,'DRAFT 2'!$A:$A,"&gt;="&amp;DATE(2026,6,22),'DRAFT 2'!$A:$A,"&lt;"&amp;DATE(2026,IF(6=12,6+1,6+1),1))</f>
        <v/>
      </c>
      <c r="FI160" s="116">
        <f>SUM(FE160:FH160)</f>
        <v/>
      </c>
      <c r="FT160" s="116">
        <f>IFERROR(LOOKUP(2,1/('DRAFT 2'!$D:$D=$B160)*('DRAFT 2'!$A:$A&gt;=DATE(2026,7,1))*('DRAFT 2'!$A:$A&lt;DATE(2026,IF(7=12,7+1,7+1),1)),'DRAFT 2'!$A:$A),"")</f>
        <v/>
      </c>
      <c r="FU160" s="116">
        <f>COUNTIFS('DRAFT 2'!$D:$D,$B160,'DRAFT 2'!$A:$A,"&gt;="&amp;DATE(2026,7,1),'DRAFT 2'!$A:$A,"&lt;="&amp;DATE(2026,7,7))</f>
        <v/>
      </c>
      <c r="FV160" s="116">
        <f>COUNTIFS('DRAFT 2'!$D:$D,$B160,'DRAFT 2'!$A:$A,"&gt;="&amp;DATE(2026,7,8),'DRAFT 2'!$A:$A,"&lt;="&amp;DATE(2026,7,14))</f>
        <v/>
      </c>
      <c r="FW160" s="116">
        <f>COUNTIFS('DRAFT 2'!$D:$D,$B160,'DRAFT 2'!$A:$A,"&gt;="&amp;DATE(2026,7,15),'DRAFT 2'!$A:$A,"&lt;="&amp;DATE(2026,7,21))</f>
        <v/>
      </c>
      <c r="FX160" s="116">
        <f>COUNTIFS('DRAFT 2'!$D:$D,$B160,'DRAFT 2'!$A:$A,"&gt;="&amp;DATE(2026,7,22),'DRAFT 2'!$A:$A,"&lt;"&amp;DATE(2026,IF(7=12,7+1,7+1),1))</f>
        <v/>
      </c>
      <c r="FY160" s="116">
        <f>SUM(FU160:FX160)</f>
        <v/>
      </c>
      <c r="GI160" s="116">
        <f>IFERROR(LOOKUP(2,1/('DRAFT 2'!$D:$D=$B160)*('DRAFT 2'!$A:$A&gt;=DATE(2026,8,1))*('DRAFT 2'!$A:$A&lt;DATE(2026,IF(8=12,8+1,8+1),1)),'DRAFT 2'!$A:$A),"")</f>
        <v/>
      </c>
      <c r="GJ160" s="116">
        <f>COUNTIFS('DRAFT 2'!$D:$D,$B160,'DRAFT 2'!$A:$A,"&gt;="&amp;DATE(2026,8,1),'DRAFT 2'!$A:$A,"&lt;="&amp;DATE(2026,8,7))</f>
        <v/>
      </c>
      <c r="GK160" s="116">
        <f>COUNTIFS('DRAFT 2'!$D:$D,$B160,'DRAFT 2'!$A:$A,"&gt;="&amp;DATE(2026,8,8),'DRAFT 2'!$A:$A,"&lt;="&amp;DATE(2026,8,14))</f>
        <v/>
      </c>
      <c r="GL160" s="116">
        <f>COUNTIFS('DRAFT 2'!$D:$D,$B160,'DRAFT 2'!$A:$A,"&gt;="&amp;DATE(2026,8,15),'DRAFT 2'!$A:$A,"&lt;="&amp;DATE(2026,8,21))</f>
        <v/>
      </c>
      <c r="GM160" s="116">
        <f>COUNTIFS('DRAFT 2'!$D:$D,$B160,'DRAFT 2'!$A:$A,"&gt;="&amp;DATE(2026,8,22),'DRAFT 2'!$A:$A,"&lt;"&amp;DATE(2026,IF(8=12,8+1,8+1),1))</f>
        <v/>
      </c>
      <c r="GN160" s="116">
        <f>SUM(GJ160:GM160)</f>
        <v/>
      </c>
      <c r="GX160" s="116">
        <f>IFERROR(LOOKUP(2,1/('DRAFT 2'!$D:$D=$B160)*('DRAFT 2'!$A:$A&gt;=DATE(2026,9,1))*('DRAFT 2'!$A:$A&lt;DATE(2026,IF(9=12,9+1,9+1),1)),'DRAFT 2'!$A:$A),"")</f>
        <v/>
      </c>
      <c r="GY160" s="116">
        <f>COUNTIFS('DRAFT 2'!$D:$D,$B160,'DRAFT 2'!$A:$A,"&gt;="&amp;DATE(2026,9,1),'DRAFT 2'!$A:$A,"&lt;="&amp;DATE(2026,9,7))</f>
        <v/>
      </c>
      <c r="GZ160" s="116">
        <f>COUNTIFS('DRAFT 2'!$D:$D,$B160,'DRAFT 2'!$A:$A,"&gt;="&amp;DATE(2026,9,8),'DRAFT 2'!$A:$A,"&lt;="&amp;DATE(2026,9,14))</f>
        <v/>
      </c>
      <c r="HA160" s="116">
        <f>COUNTIFS('DRAFT 2'!$D:$D,$B160,'DRAFT 2'!$A:$A,"&gt;="&amp;DATE(2026,9,15),'DRAFT 2'!$A:$A,"&lt;="&amp;DATE(2026,9,21))</f>
        <v/>
      </c>
      <c r="HB160" s="116">
        <f>COUNTIFS('DRAFT 2'!$D:$D,$B160,'DRAFT 2'!$A:$A,"&gt;="&amp;DATE(2026,9,22),'DRAFT 2'!$A:$A,"&lt;"&amp;DATE(2026,IF(9=12,9+1,9+1),1))</f>
        <v/>
      </c>
      <c r="HC160" s="116">
        <f>SUM(GY160:HB160)</f>
        <v/>
      </c>
      <c r="HN160" s="116">
        <f>IFERROR(LOOKUP(2,1/('DRAFT 2'!$D:$D=$B160)*('DRAFT 2'!$A:$A&gt;=DATE(2026,10,1))*('DRAFT 2'!$A:$A&lt;DATE(2026,IF(10=12,10+1,10+1),1)),'DRAFT 2'!$A:$A),"")</f>
        <v/>
      </c>
      <c r="HO160" s="116">
        <f>COUNTIFS('DRAFT 2'!$D:$D,$B160,'DRAFT 2'!$A:$A,"&gt;="&amp;DATE(2026,10,1),'DRAFT 2'!$A:$A,"&lt;="&amp;DATE(2026,10,7))</f>
        <v/>
      </c>
      <c r="HP160" s="116">
        <f>COUNTIFS('DRAFT 2'!$D:$D,$B160,'DRAFT 2'!$A:$A,"&gt;="&amp;DATE(2026,10,8),'DRAFT 2'!$A:$A,"&lt;="&amp;DATE(2026,10,14))</f>
        <v/>
      </c>
      <c r="HQ160" s="116">
        <f>COUNTIFS('DRAFT 2'!$D:$D,$B160,'DRAFT 2'!$A:$A,"&gt;="&amp;DATE(2026,10,15),'DRAFT 2'!$A:$A,"&lt;="&amp;DATE(2026,10,21))</f>
        <v/>
      </c>
      <c r="HR160" s="116">
        <f>COUNTIFS('DRAFT 2'!$D:$D,$B160,'DRAFT 2'!$A:$A,"&gt;="&amp;DATE(2026,10,22),'DRAFT 2'!$A:$A,"&lt;"&amp;DATE(2026,IF(10=12,10+1,10+1),1))</f>
        <v/>
      </c>
      <c r="HS160" s="116">
        <f>SUM(HO160:HR160)</f>
        <v/>
      </c>
      <c r="IC160" s="116">
        <f>IFERROR(LOOKUP(2,1/('DRAFT 2'!$D:$D=$B160)*('DRAFT 2'!$A:$A&gt;=DATE(2026,11,1))*('DRAFT 2'!$A:$A&lt;DATE(2026,IF(11=12,11+1,11+1),1)),'DRAFT 2'!$A:$A),"")</f>
        <v/>
      </c>
      <c r="ID160" s="116">
        <f>COUNTIFS('DRAFT 2'!$D:$D,$B160,'DRAFT 2'!$A:$A,"&gt;="&amp;DATE(2026,11,1),'DRAFT 2'!$A:$A,"&lt;="&amp;DATE(2026,11,7))</f>
        <v/>
      </c>
      <c r="IE160" s="116">
        <f>COUNTIFS('DRAFT 2'!$D:$D,$B160,'DRAFT 2'!$A:$A,"&gt;="&amp;DATE(2026,11,8),'DRAFT 2'!$A:$A,"&lt;="&amp;DATE(2026,11,14))</f>
        <v/>
      </c>
      <c r="IF160" s="116">
        <f>COUNTIFS('DRAFT 2'!$D:$D,$B160,'DRAFT 2'!$A:$A,"&gt;="&amp;DATE(2026,11,15),'DRAFT 2'!$A:$A,"&lt;="&amp;DATE(2026,11,21))</f>
        <v/>
      </c>
      <c r="IG160" s="116">
        <f>COUNTIFS('DRAFT 2'!$D:$D,$B160,'DRAFT 2'!$A:$A,"&gt;="&amp;DATE(2026,11,22),'DRAFT 2'!$A:$A,"&lt;"&amp;DATE(2026,IF(11=12,11+1,11+1),1))</f>
        <v/>
      </c>
      <c r="IH160" s="116">
        <f>SUM(ID160:IG160)</f>
        <v/>
      </c>
      <c r="IR160" s="116">
        <f>IFERROR(LOOKUP(2,1/('DRAFT 2'!$D:$D=$B160)*('DRAFT 2'!$A:$A&gt;=DATE(2026,12,1))*('DRAFT 2'!$A:$A&lt;DATE(2026,IF(12=12,12+1,12+1),1)),'DRAFT 2'!$A:$A),"")</f>
        <v/>
      </c>
      <c r="IS160" s="116">
        <f>COUNTIFS('DRAFT 2'!$D:$D,$B160,'DRAFT 2'!$A:$A,"&gt;="&amp;DATE(2026,12,1),'DRAFT 2'!$A:$A,"&lt;="&amp;DATE(2026,12,7))</f>
        <v/>
      </c>
      <c r="IT160" s="116">
        <f>COUNTIFS('DRAFT 2'!$D:$D,$B160,'DRAFT 2'!$A:$A,"&gt;="&amp;DATE(2026,12,8),'DRAFT 2'!$A:$A,"&lt;="&amp;DATE(2026,12,14))</f>
        <v/>
      </c>
      <c r="IU160" s="116">
        <f>COUNTIFS('DRAFT 2'!$D:$D,$B160,'DRAFT 2'!$A:$A,"&gt;="&amp;DATE(2026,12,15),'DRAFT 2'!$A:$A,"&lt;="&amp;DATE(2026,12,21))</f>
        <v/>
      </c>
      <c r="IV160" s="116">
        <f>COUNTIFS('DRAFT 2'!$D:$D,$B160,'DRAFT 2'!$A:$A,"&gt;="&amp;DATE(2026,12,22),'DRAFT 2'!$A:$A,"&lt;"&amp;DATE(2026,IF(12=12,12+1,12+1),1))</f>
        <v/>
      </c>
      <c r="IW160" s="116">
        <f>SUM(IS160:IV160)</f>
        <v/>
      </c>
    </row>
    <row r="161">
      <c r="A161" s="116">
        <f>IFERROR(INDEX('DRAFT 1'!$A:$A,MATCH($B161,'DRAFT 1'!$B:$B,0)),"")</f>
        <v/>
      </c>
      <c r="C161" s="116">
        <f>IFERROR(INDEX('DRAFT 1'!$C:$C,MATCH($B161,'DRAFT 1'!$B:$B,0)),"")</f>
        <v/>
      </c>
      <c r="D161" s="116">
        <f>IFERROR(INDEX('DRAFT 1'!$D:$D,MATCH($B161,'DRAFT 1'!$B:$B,0)),"")</f>
        <v/>
      </c>
      <c r="E161" s="116">
        <f>IFERROR(INDEX('DRAFT 1'!$E:$E,MATCH($B161,'DRAFT 1'!$B:$B,0)),"")</f>
        <v/>
      </c>
      <c r="F161" s="116">
        <f>IFERROR(INDEX('DRAFT 1'!$F:$F,MATCH($B161,'DRAFT 1'!$B:$B,0)),"")</f>
        <v/>
      </c>
      <c r="G161" s="116">
        <f>IFERROR(INDEX('DRAFT 1'!$G:$G,MATCH($B161,'DRAFT 1'!$B:$B,0)),"")</f>
        <v/>
      </c>
      <c r="H161" s="116">
        <f>IFERROR(INDEX('DRAFT 1'!$H:$H,MATCH($B161,'DRAFT 1'!$B:$B,0)),"")</f>
        <v/>
      </c>
      <c r="I161" s="116">
        <f>IFERROR(INDEX('DRAFT 1'!$I:$I,MATCH($B161,'DRAFT 1'!$B:$B,0)),"")</f>
        <v/>
      </c>
      <c r="K161" s="116">
        <f>IFERROR(INDEX('DRAFT 1'!$AL:$AL,MATCH($B161,'DRAFT 1'!$B:$B,0)),"")</f>
        <v/>
      </c>
      <c r="L161" s="116">
        <f>IFERROR(INDEX('DRAFT 1'!$J:$J,MATCH($B161,'DRAFT 1'!$B:$B,0)),"")</f>
        <v/>
      </c>
      <c r="M161" s="116">
        <f>IFERROR(INDEX('DRAFT 1'!$K:$K,MATCH($B161,'DRAFT 1'!$B:$B,0)),"")</f>
        <v/>
      </c>
      <c r="P161" s="116">
        <f>IFERROR(INDEX('DRAFT 1'!$L:$L,MATCH($B161,'DRAFT 1'!$B:$B,0)),"")</f>
        <v/>
      </c>
      <c r="Q161" s="116">
        <f>IFERROR(INDEX('DRAFT 1'!$M:$M,MATCH($B161,'DRAFT 1'!$B:$B,0)),"")</f>
        <v/>
      </c>
      <c r="R161" s="116">
        <f>IFERROR(INDEX('DRAFT 1'!$N:$N,MATCH($B161,'DRAFT 1'!$B:$B,0)),"")</f>
        <v/>
      </c>
      <c r="S161" s="116">
        <f>IFERROR(INDEX('DRAFT 1'!$O:$O,MATCH($B161,'DRAFT 1'!$B:$B,0)),"")</f>
        <v/>
      </c>
      <c r="T161" s="116">
        <f>IFERROR(INDEX('DRAFT 1'!$P:$P,MATCH($B161,'DRAFT 1'!$B:$B,0)),"")</f>
        <v/>
      </c>
      <c r="U161" s="116">
        <f>IFERROR(INDEX('DRAFT 1'!$Q:$Q,MATCH($B161,'DRAFT 1'!$B:$B,0)),"")</f>
        <v/>
      </c>
      <c r="V161" s="116">
        <f>IFERROR(INDEX('DRAFT 1'!$R:$R,MATCH($B161,'DRAFT 1'!$B:$B,0)),"")</f>
        <v/>
      </c>
      <c r="W161" s="116">
        <f>IFERROR(INDEX('DRAFT 1'!$S:$S,MATCH($B161,'DRAFT 1'!$B:$B,0)),"")</f>
        <v/>
      </c>
      <c r="X161" s="116">
        <f>IFERROR(INDEX('DRAFT 1'!$T:$T,MATCH($B161,'DRAFT 1'!$B:$B,0)),"")</f>
        <v/>
      </c>
      <c r="Z161" s="116">
        <f>IFERROR(INDEX('DRAFT 1'!$U:$U,MATCH($B161,'DRAFT 1'!$B:$B,0)),"")</f>
        <v/>
      </c>
      <c r="AA161" s="116">
        <f>IFERROR(INDEX('DRAFT 1'!$V:$V,MATCH($B161,'DRAFT 1'!$B:$B,0)),"")</f>
        <v/>
      </c>
      <c r="AB161" s="116">
        <f>IFERROR(INDEX('DRAFT 1'!$W:$W,MATCH($B161,'DRAFT 1'!$B:$B,0)),"")</f>
        <v/>
      </c>
      <c r="AC161" s="116">
        <f>IFERROR(INDEX('DRAFT 1'!$X:$X,MATCH($B161,'DRAFT 1'!$B:$B,0)),"")</f>
        <v/>
      </c>
      <c r="AD161" s="116">
        <f>IFERROR(INDEX('DRAFT 1'!$Y:$Y,MATCH($B161,'DRAFT 1'!$B:$B,0)),"")</f>
        <v/>
      </c>
      <c r="AE161" s="116">
        <f>IFERROR(INDEX('DRAFT 1'!$Z:$Z,MATCH($B161,'DRAFT 1'!$B:$B,0)),"")</f>
        <v/>
      </c>
      <c r="AF161" s="116">
        <f>IFERROR(INDEX('DRAFT 1'!$AA:$AA,MATCH($B161,'DRAFT 1'!$B:$B,0)),"")</f>
        <v/>
      </c>
      <c r="AG161" s="116">
        <f>IFERROR(INDEX('DRAFT 1'!$AB:$AB,MATCH($B161,'DRAFT 1'!$B:$B,0)),"")</f>
        <v/>
      </c>
      <c r="AH161" s="116">
        <f>IFERROR(INDEX('DRAFT 1'!$AC:$AC,MATCH($B161,'DRAFT 1'!$B:$B,0)),"")</f>
        <v/>
      </c>
      <c r="AI161" s="116">
        <f>IFERROR(INDEX('DRAFT 1'!$AD:$AD,MATCH($B161,'DRAFT 1'!$B:$B,0)),"")</f>
        <v/>
      </c>
      <c r="AJ161" s="116">
        <f>IFERROR(INDEX('DRAFT 1'!$AE:$AE,MATCH($B161,'DRAFT 1'!$B:$B,0)),"")</f>
        <v/>
      </c>
      <c r="AK161" s="116">
        <f>IFERROR(INDEX('DRAFT 1'!$AG:$AG,MATCH($B161,'DRAFT 1'!$B:$B,0)),"")</f>
        <v/>
      </c>
      <c r="AL161" s="116">
        <f>IFERROR(INDEX('DRAFT 1'!$AH:$AH,MATCH($B161,'DRAFT 1'!$B:$B,0)),"")</f>
        <v/>
      </c>
      <c r="AM161" s="116">
        <f>IFERROR(INDEX('DRAFT 1'!$AI:$AI,MATCH($B161,'DRAFT 1'!$B:$B,0)),"")</f>
        <v/>
      </c>
      <c r="AN161" s="116">
        <f>IFERROR(INDEX('DRAFT 1'!$AJ:$AJ,MATCH($B161,'DRAFT 1'!$B:$B,0)),"")</f>
        <v/>
      </c>
      <c r="AO161" s="116">
        <f>IFERROR(Y161/AN161,0)</f>
        <v/>
      </c>
      <c r="AP161" s="116">
        <f>IFERROR(INDEX('DRAFT 1'!$AK:$AK,MATCH($B161,'DRAFT 1'!$B:$B,0)),"")</f>
        <v/>
      </c>
      <c r="AR161" s="116">
        <f>IFERROR(LOOKUP(2,1/('DRAFT 2'!$D:$D=$B161),'DRAFT 2'!$I:$I),"")</f>
        <v/>
      </c>
      <c r="AS161" s="116">
        <f>IFERROR(LOOKUP(2,1/('DRAFT 2'!$D:$D=$B161),'DRAFT 2'!$T:$T),"")</f>
        <v/>
      </c>
      <c r="AT161" s="116">
        <f>IFERROR(LOOKUP(2,1/('DRAFT 2'!$D:$D=$B161),'DRAFT 2'!$A:$A),"")</f>
        <v/>
      </c>
      <c r="AU161" s="116">
        <f>IFERROR(LOOKUP(2,1/('DRAFT 2'!$D:$D=$B161),'DRAFT 2'!$R:$R),"")</f>
        <v/>
      </c>
      <c r="AV161" s="116">
        <f>IFERROR(LOOKUP(2,1/('DRAFT 2'!$D:$D=$B161),'DRAFT 2'!$S:$S),"")</f>
        <v/>
      </c>
      <c r="AX161" s="116">
        <f>IFERROR(LOOKUP(2,1/('DRAFT 2'!$D:$D=$B161),'DRAFT 2'!$M:$M),"")</f>
        <v/>
      </c>
      <c r="AY161" s="116">
        <f>IFERROR(LOOKUP(2,1/('DRAFT 2'!$D:$D=$B161),'DRAFT 2'!$K:$K),"")</f>
        <v/>
      </c>
      <c r="BG161" s="116">
        <f>IFERROR(LOOKUP(2,1/('DRAFT 2'!$D:$D=$B161),'DRAFT 2'!$U:$U),"")</f>
        <v/>
      </c>
      <c r="BH161" s="116">
        <f>IFERROR(LOOKUP(2,1/('DRAFT 2'!$D:$D=$B161),'DRAFT 2'!$V:$V),"")</f>
        <v/>
      </c>
      <c r="CE161" s="116">
        <f>IFERROR(AJ161,0)</f>
        <v/>
      </c>
      <c r="CF161" s="116">
        <f>IFERROR(LOOKUP(2,1/('DRAFT 2'!$D:$D=$B161)*('DRAFT 2'!$A:$A&gt;=DATE(2026,1,1))*('DRAFT 2'!$A:$A&lt;DATE(2026,IF(1=12,1+1,1+1),1)),'DRAFT 2'!$A:$A),"")</f>
        <v/>
      </c>
      <c r="CG161" s="116">
        <f>COUNTIFS('DRAFT 2'!$D:$D,$B161,'DRAFT 2'!$A:$A,"&gt;="&amp;DATE(2026,1,1),'DRAFT 2'!$A:$A,"&lt;="&amp;DATE(2026,1,7))</f>
        <v/>
      </c>
      <c r="CH161" s="116">
        <f>COUNTIFS('DRAFT 2'!$D:$D,$B161,'DRAFT 2'!$A:$A,"&gt;="&amp;DATE(2026,1,8),'DRAFT 2'!$A:$A,"&lt;="&amp;DATE(2026,1,14))</f>
        <v/>
      </c>
      <c r="CI161" s="116">
        <f>COUNTIFS('DRAFT 2'!$D:$D,$B161,'DRAFT 2'!$A:$A,"&gt;="&amp;DATE(2026,1,15),'DRAFT 2'!$A:$A,"&lt;="&amp;DATE(2026,1,21))</f>
        <v/>
      </c>
      <c r="CJ161" s="116">
        <f>COUNTIFS('DRAFT 2'!$D:$D,$B161,'DRAFT 2'!$A:$A,"&gt;="&amp;DATE(2026,1,22),'DRAFT 2'!$A:$A,"&lt;"&amp;DATE(2026,IF(1=12,1+1,1+1),1))</f>
        <v/>
      </c>
      <c r="CK161" s="116">
        <f>SUM(CG161:CJ161)</f>
        <v/>
      </c>
      <c r="CT161" s="116" t="n">
        <v>0</v>
      </c>
      <c r="CU161" s="116">
        <f>IFERROR(LOOKUP(2,1/('DRAFT 2'!$D:$D=$B161)*('DRAFT 2'!$A:$A&gt;=DATE(2026,2,1))*('DRAFT 2'!$A:$A&lt;DATE(2026,IF(2=12,2+1,2+1),1)),'DRAFT 2'!$A:$A),"")</f>
        <v/>
      </c>
      <c r="CV161" s="116">
        <f>COUNTIFS('DRAFT 2'!$D:$D,$B161,'DRAFT 2'!$A:$A,"&gt;="&amp;DATE(2026,2,1),'DRAFT 2'!$A:$A,"&lt;="&amp;DATE(2026,2,7))</f>
        <v/>
      </c>
      <c r="CW161" s="116">
        <f>COUNTIFS('DRAFT 2'!$D:$D,$B161,'DRAFT 2'!$A:$A,"&gt;="&amp;DATE(2026,2,8),'DRAFT 2'!$A:$A,"&lt;="&amp;DATE(2026,2,14))</f>
        <v/>
      </c>
      <c r="CX161" s="116">
        <f>COUNTIFS('DRAFT 2'!$D:$D,$B161,'DRAFT 2'!$A:$A,"&gt;="&amp;DATE(2026,2,15),'DRAFT 2'!$A:$A,"&lt;="&amp;DATE(2026,2,21))</f>
        <v/>
      </c>
      <c r="CY161" s="116">
        <f>COUNTIFS('DRAFT 2'!$D:$D,$B161,'DRAFT 2'!$A:$A,"&gt;="&amp;DATE(2026,2,22),'DRAFT 2'!$A:$A,"&lt;"&amp;DATE(2026,IF(2=12,2+1,2+1),1))</f>
        <v/>
      </c>
      <c r="CZ161" s="116">
        <f>SUM(CV161:CY161)</f>
        <v/>
      </c>
      <c r="DJ161" s="116">
        <f>IFERROR(LOOKUP(2,1/('DRAFT 2'!$D:$D=$B161)*('DRAFT 2'!$A:$A&gt;=DATE(2026,3,1))*('DRAFT 2'!$A:$A&lt;DATE(2026,IF(3=12,3+1,3+1),1)),'DRAFT 2'!$A:$A),"")</f>
        <v/>
      </c>
      <c r="DK161" s="116">
        <f>COUNTIFS('DRAFT 2'!$D:$D,$B161,'DRAFT 2'!$A:$A,"&gt;="&amp;DATE(2026,3,1),'DRAFT 2'!$A:$A,"&lt;="&amp;DATE(2026,3,7))</f>
        <v/>
      </c>
      <c r="DL161" s="116">
        <f>COUNTIFS('DRAFT 2'!$D:$D,$B161,'DRAFT 2'!$A:$A,"&gt;="&amp;DATE(2026,3,8),'DRAFT 2'!$A:$A,"&lt;="&amp;DATE(2026,3,14))</f>
        <v/>
      </c>
      <c r="DM161" s="116">
        <f>COUNTIFS('DRAFT 2'!$D:$D,$B161,'DRAFT 2'!$A:$A,"&gt;="&amp;DATE(2026,3,15),'DRAFT 2'!$A:$A,"&lt;="&amp;DATE(2026,3,21))</f>
        <v/>
      </c>
      <c r="DN161" s="116">
        <f>COUNTIFS('DRAFT 2'!$D:$D,$B161,'DRAFT 2'!$A:$A,"&gt;="&amp;DATE(2026,3,22),'DRAFT 2'!$A:$A,"&lt;"&amp;DATE(2026,IF(3=12,3+1,3+1),1))</f>
        <v/>
      </c>
      <c r="DO161" s="116">
        <f>SUM(DK161:DN161)</f>
        <v/>
      </c>
      <c r="DZ161" s="116">
        <f>IFERROR(LOOKUP(2,1/('DRAFT 2'!$D:$D=$B161)*('DRAFT 2'!$A:$A&gt;=DATE(2026,4,1))*('DRAFT 2'!$A:$A&lt;DATE(2026,IF(4=12,4+1,4+1),1)),'DRAFT 2'!$A:$A),"")</f>
        <v/>
      </c>
      <c r="EA161" s="116">
        <f>COUNTIFS('DRAFT 2'!$D:$D,$B161,'DRAFT 2'!$A:$A,"&gt;="&amp;DATE(2026,4,1),'DRAFT 2'!$A:$A,"&lt;="&amp;DATE(2026,4,7))</f>
        <v/>
      </c>
      <c r="EB161" s="116">
        <f>COUNTIFS('DRAFT 2'!$D:$D,$B161,'DRAFT 2'!$A:$A,"&gt;="&amp;DATE(2026,4,8),'DRAFT 2'!$A:$A,"&lt;="&amp;DATE(2026,4,14))</f>
        <v/>
      </c>
      <c r="EC161" s="116">
        <f>COUNTIFS('DRAFT 2'!$D:$D,$B161,'DRAFT 2'!$A:$A,"&gt;="&amp;DATE(2026,4,15),'DRAFT 2'!$A:$A,"&lt;="&amp;DATE(2026,4,21))</f>
        <v/>
      </c>
      <c r="ED161" s="116">
        <f>COUNTIFS('DRAFT 2'!$D:$D,$B161,'DRAFT 2'!$A:$A,"&gt;="&amp;DATE(2026,4,22),'DRAFT 2'!$A:$A,"&lt;"&amp;DATE(2026,IF(4=12,4+1,4+1),1))</f>
        <v/>
      </c>
      <c r="EE161" s="116">
        <f>SUM(EA161:ED161)</f>
        <v/>
      </c>
      <c r="EO161" s="116">
        <f>IFERROR(LOOKUP(2,1/('DRAFT 2'!$D:$D=$B161)*('DRAFT 2'!$A:$A&gt;=DATE(2026,5,1))*('DRAFT 2'!$A:$A&lt;DATE(2026,IF(5=12,5+1,5+1),1)),'DRAFT 2'!$A:$A),"")</f>
        <v/>
      </c>
      <c r="EP161" s="116">
        <f>COUNTIFS('DRAFT 2'!$D:$D,$B161,'DRAFT 2'!$A:$A,"&gt;="&amp;DATE(2026,5,1),'DRAFT 2'!$A:$A,"&lt;="&amp;DATE(2026,5,7))</f>
        <v/>
      </c>
      <c r="EQ161" s="116">
        <f>COUNTIFS('DRAFT 2'!$D:$D,$B161,'DRAFT 2'!$A:$A,"&gt;="&amp;DATE(2026,5,8),'DRAFT 2'!$A:$A,"&lt;="&amp;DATE(2026,5,14))</f>
        <v/>
      </c>
      <c r="ER161" s="116">
        <f>COUNTIFS('DRAFT 2'!$D:$D,$B161,'DRAFT 2'!$A:$A,"&gt;="&amp;DATE(2026,5,15),'DRAFT 2'!$A:$A,"&lt;="&amp;DATE(2026,5,21))</f>
        <v/>
      </c>
      <c r="ES161" s="116">
        <f>COUNTIFS('DRAFT 2'!$D:$D,$B161,'DRAFT 2'!$A:$A,"&gt;="&amp;DATE(2026,5,22),'DRAFT 2'!$A:$A,"&lt;"&amp;DATE(2026,IF(5=12,5+1,5+1),1))</f>
        <v/>
      </c>
      <c r="ET161" s="116">
        <f>SUM(EP161:ES161)</f>
        <v/>
      </c>
      <c r="FD161" s="116">
        <f>IFERROR(LOOKUP(2,1/('DRAFT 2'!$D:$D=$B161)*('DRAFT 2'!$A:$A&gt;=DATE(2026,6,1))*('DRAFT 2'!$A:$A&lt;DATE(2026,IF(6=12,6+1,6+1),1)),'DRAFT 2'!$A:$A),"")</f>
        <v/>
      </c>
      <c r="FE161" s="116">
        <f>COUNTIFS('DRAFT 2'!$D:$D,$B161,'DRAFT 2'!$A:$A,"&gt;="&amp;DATE(2026,6,1),'DRAFT 2'!$A:$A,"&lt;="&amp;DATE(2026,6,7))</f>
        <v/>
      </c>
      <c r="FF161" s="116">
        <f>COUNTIFS('DRAFT 2'!$D:$D,$B161,'DRAFT 2'!$A:$A,"&gt;="&amp;DATE(2026,6,8),'DRAFT 2'!$A:$A,"&lt;="&amp;DATE(2026,6,14))</f>
        <v/>
      </c>
      <c r="FG161" s="116">
        <f>COUNTIFS('DRAFT 2'!$D:$D,$B161,'DRAFT 2'!$A:$A,"&gt;="&amp;DATE(2026,6,15),'DRAFT 2'!$A:$A,"&lt;="&amp;DATE(2026,6,21))</f>
        <v/>
      </c>
      <c r="FH161" s="116">
        <f>COUNTIFS('DRAFT 2'!$D:$D,$B161,'DRAFT 2'!$A:$A,"&gt;="&amp;DATE(2026,6,22),'DRAFT 2'!$A:$A,"&lt;"&amp;DATE(2026,IF(6=12,6+1,6+1),1))</f>
        <v/>
      </c>
      <c r="FI161" s="116">
        <f>SUM(FE161:FH161)</f>
        <v/>
      </c>
      <c r="FT161" s="116">
        <f>IFERROR(LOOKUP(2,1/('DRAFT 2'!$D:$D=$B161)*('DRAFT 2'!$A:$A&gt;=DATE(2026,7,1))*('DRAFT 2'!$A:$A&lt;DATE(2026,IF(7=12,7+1,7+1),1)),'DRAFT 2'!$A:$A),"")</f>
        <v/>
      </c>
      <c r="FU161" s="116">
        <f>COUNTIFS('DRAFT 2'!$D:$D,$B161,'DRAFT 2'!$A:$A,"&gt;="&amp;DATE(2026,7,1),'DRAFT 2'!$A:$A,"&lt;="&amp;DATE(2026,7,7))</f>
        <v/>
      </c>
      <c r="FV161" s="116">
        <f>COUNTIFS('DRAFT 2'!$D:$D,$B161,'DRAFT 2'!$A:$A,"&gt;="&amp;DATE(2026,7,8),'DRAFT 2'!$A:$A,"&lt;="&amp;DATE(2026,7,14))</f>
        <v/>
      </c>
      <c r="FW161" s="116">
        <f>COUNTIFS('DRAFT 2'!$D:$D,$B161,'DRAFT 2'!$A:$A,"&gt;="&amp;DATE(2026,7,15),'DRAFT 2'!$A:$A,"&lt;="&amp;DATE(2026,7,21))</f>
        <v/>
      </c>
      <c r="FX161" s="116">
        <f>COUNTIFS('DRAFT 2'!$D:$D,$B161,'DRAFT 2'!$A:$A,"&gt;="&amp;DATE(2026,7,22),'DRAFT 2'!$A:$A,"&lt;"&amp;DATE(2026,IF(7=12,7+1,7+1),1))</f>
        <v/>
      </c>
      <c r="FY161" s="116">
        <f>SUM(FU161:FX161)</f>
        <v/>
      </c>
      <c r="GI161" s="116">
        <f>IFERROR(LOOKUP(2,1/('DRAFT 2'!$D:$D=$B161)*('DRAFT 2'!$A:$A&gt;=DATE(2026,8,1))*('DRAFT 2'!$A:$A&lt;DATE(2026,IF(8=12,8+1,8+1),1)),'DRAFT 2'!$A:$A),"")</f>
        <v/>
      </c>
      <c r="GJ161" s="116">
        <f>COUNTIFS('DRAFT 2'!$D:$D,$B161,'DRAFT 2'!$A:$A,"&gt;="&amp;DATE(2026,8,1),'DRAFT 2'!$A:$A,"&lt;="&amp;DATE(2026,8,7))</f>
        <v/>
      </c>
      <c r="GK161" s="116">
        <f>COUNTIFS('DRAFT 2'!$D:$D,$B161,'DRAFT 2'!$A:$A,"&gt;="&amp;DATE(2026,8,8),'DRAFT 2'!$A:$A,"&lt;="&amp;DATE(2026,8,14))</f>
        <v/>
      </c>
      <c r="GL161" s="116">
        <f>COUNTIFS('DRAFT 2'!$D:$D,$B161,'DRAFT 2'!$A:$A,"&gt;="&amp;DATE(2026,8,15),'DRAFT 2'!$A:$A,"&lt;="&amp;DATE(2026,8,21))</f>
        <v/>
      </c>
      <c r="GM161" s="116">
        <f>COUNTIFS('DRAFT 2'!$D:$D,$B161,'DRAFT 2'!$A:$A,"&gt;="&amp;DATE(2026,8,22),'DRAFT 2'!$A:$A,"&lt;"&amp;DATE(2026,IF(8=12,8+1,8+1),1))</f>
        <v/>
      </c>
      <c r="GN161" s="116">
        <f>SUM(GJ161:GM161)</f>
        <v/>
      </c>
      <c r="GX161" s="116">
        <f>IFERROR(LOOKUP(2,1/('DRAFT 2'!$D:$D=$B161)*('DRAFT 2'!$A:$A&gt;=DATE(2026,9,1))*('DRAFT 2'!$A:$A&lt;DATE(2026,IF(9=12,9+1,9+1),1)),'DRAFT 2'!$A:$A),"")</f>
        <v/>
      </c>
      <c r="GY161" s="116">
        <f>COUNTIFS('DRAFT 2'!$D:$D,$B161,'DRAFT 2'!$A:$A,"&gt;="&amp;DATE(2026,9,1),'DRAFT 2'!$A:$A,"&lt;="&amp;DATE(2026,9,7))</f>
        <v/>
      </c>
      <c r="GZ161" s="116">
        <f>COUNTIFS('DRAFT 2'!$D:$D,$B161,'DRAFT 2'!$A:$A,"&gt;="&amp;DATE(2026,9,8),'DRAFT 2'!$A:$A,"&lt;="&amp;DATE(2026,9,14))</f>
        <v/>
      </c>
      <c r="HA161" s="116">
        <f>COUNTIFS('DRAFT 2'!$D:$D,$B161,'DRAFT 2'!$A:$A,"&gt;="&amp;DATE(2026,9,15),'DRAFT 2'!$A:$A,"&lt;="&amp;DATE(2026,9,21))</f>
        <v/>
      </c>
      <c r="HB161" s="116">
        <f>COUNTIFS('DRAFT 2'!$D:$D,$B161,'DRAFT 2'!$A:$A,"&gt;="&amp;DATE(2026,9,22),'DRAFT 2'!$A:$A,"&lt;"&amp;DATE(2026,IF(9=12,9+1,9+1),1))</f>
        <v/>
      </c>
      <c r="HC161" s="116">
        <f>SUM(GY161:HB161)</f>
        <v/>
      </c>
      <c r="HN161" s="116">
        <f>IFERROR(LOOKUP(2,1/('DRAFT 2'!$D:$D=$B161)*('DRAFT 2'!$A:$A&gt;=DATE(2026,10,1))*('DRAFT 2'!$A:$A&lt;DATE(2026,IF(10=12,10+1,10+1),1)),'DRAFT 2'!$A:$A),"")</f>
        <v/>
      </c>
      <c r="HO161" s="116">
        <f>COUNTIFS('DRAFT 2'!$D:$D,$B161,'DRAFT 2'!$A:$A,"&gt;="&amp;DATE(2026,10,1),'DRAFT 2'!$A:$A,"&lt;="&amp;DATE(2026,10,7))</f>
        <v/>
      </c>
      <c r="HP161" s="116">
        <f>COUNTIFS('DRAFT 2'!$D:$D,$B161,'DRAFT 2'!$A:$A,"&gt;="&amp;DATE(2026,10,8),'DRAFT 2'!$A:$A,"&lt;="&amp;DATE(2026,10,14))</f>
        <v/>
      </c>
      <c r="HQ161" s="116">
        <f>COUNTIFS('DRAFT 2'!$D:$D,$B161,'DRAFT 2'!$A:$A,"&gt;="&amp;DATE(2026,10,15),'DRAFT 2'!$A:$A,"&lt;="&amp;DATE(2026,10,21))</f>
        <v/>
      </c>
      <c r="HR161" s="116">
        <f>COUNTIFS('DRAFT 2'!$D:$D,$B161,'DRAFT 2'!$A:$A,"&gt;="&amp;DATE(2026,10,22),'DRAFT 2'!$A:$A,"&lt;"&amp;DATE(2026,IF(10=12,10+1,10+1),1))</f>
        <v/>
      </c>
      <c r="HS161" s="116">
        <f>SUM(HO161:HR161)</f>
        <v/>
      </c>
      <c r="IC161" s="116">
        <f>IFERROR(LOOKUP(2,1/('DRAFT 2'!$D:$D=$B161)*('DRAFT 2'!$A:$A&gt;=DATE(2026,11,1))*('DRAFT 2'!$A:$A&lt;DATE(2026,IF(11=12,11+1,11+1),1)),'DRAFT 2'!$A:$A),"")</f>
        <v/>
      </c>
      <c r="ID161" s="116">
        <f>COUNTIFS('DRAFT 2'!$D:$D,$B161,'DRAFT 2'!$A:$A,"&gt;="&amp;DATE(2026,11,1),'DRAFT 2'!$A:$A,"&lt;="&amp;DATE(2026,11,7))</f>
        <v/>
      </c>
      <c r="IE161" s="116">
        <f>COUNTIFS('DRAFT 2'!$D:$D,$B161,'DRAFT 2'!$A:$A,"&gt;="&amp;DATE(2026,11,8),'DRAFT 2'!$A:$A,"&lt;="&amp;DATE(2026,11,14))</f>
        <v/>
      </c>
      <c r="IF161" s="116">
        <f>COUNTIFS('DRAFT 2'!$D:$D,$B161,'DRAFT 2'!$A:$A,"&gt;="&amp;DATE(2026,11,15),'DRAFT 2'!$A:$A,"&lt;="&amp;DATE(2026,11,21))</f>
        <v/>
      </c>
      <c r="IG161" s="116">
        <f>COUNTIFS('DRAFT 2'!$D:$D,$B161,'DRAFT 2'!$A:$A,"&gt;="&amp;DATE(2026,11,22),'DRAFT 2'!$A:$A,"&lt;"&amp;DATE(2026,IF(11=12,11+1,11+1),1))</f>
        <v/>
      </c>
      <c r="IH161" s="116">
        <f>SUM(ID161:IG161)</f>
        <v/>
      </c>
      <c r="IR161" s="116">
        <f>IFERROR(LOOKUP(2,1/('DRAFT 2'!$D:$D=$B161)*('DRAFT 2'!$A:$A&gt;=DATE(2026,12,1))*('DRAFT 2'!$A:$A&lt;DATE(2026,IF(12=12,12+1,12+1),1)),'DRAFT 2'!$A:$A),"")</f>
        <v/>
      </c>
      <c r="IS161" s="116">
        <f>COUNTIFS('DRAFT 2'!$D:$D,$B161,'DRAFT 2'!$A:$A,"&gt;="&amp;DATE(2026,12,1),'DRAFT 2'!$A:$A,"&lt;="&amp;DATE(2026,12,7))</f>
        <v/>
      </c>
      <c r="IT161" s="116">
        <f>COUNTIFS('DRAFT 2'!$D:$D,$B161,'DRAFT 2'!$A:$A,"&gt;="&amp;DATE(2026,12,8),'DRAFT 2'!$A:$A,"&lt;="&amp;DATE(2026,12,14))</f>
        <v/>
      </c>
      <c r="IU161" s="116">
        <f>COUNTIFS('DRAFT 2'!$D:$D,$B161,'DRAFT 2'!$A:$A,"&gt;="&amp;DATE(2026,12,15),'DRAFT 2'!$A:$A,"&lt;="&amp;DATE(2026,12,21))</f>
        <v/>
      </c>
      <c r="IV161" s="116">
        <f>COUNTIFS('DRAFT 2'!$D:$D,$B161,'DRAFT 2'!$A:$A,"&gt;="&amp;DATE(2026,12,22),'DRAFT 2'!$A:$A,"&lt;"&amp;DATE(2026,IF(12=12,12+1,12+1),1))</f>
        <v/>
      </c>
      <c r="IW161" s="116">
        <f>SUM(IS161:IV161)</f>
        <v/>
      </c>
    </row>
    <row r="162">
      <c r="A162" s="116">
        <f>IFERROR(INDEX('DRAFT 1'!$A:$A,MATCH($B162,'DRAFT 1'!$B:$B,0)),"")</f>
        <v/>
      </c>
      <c r="C162" s="116">
        <f>IFERROR(INDEX('DRAFT 1'!$C:$C,MATCH($B162,'DRAFT 1'!$B:$B,0)),"")</f>
        <v/>
      </c>
      <c r="D162" s="116">
        <f>IFERROR(INDEX('DRAFT 1'!$D:$D,MATCH($B162,'DRAFT 1'!$B:$B,0)),"")</f>
        <v/>
      </c>
      <c r="E162" s="116">
        <f>IFERROR(INDEX('DRAFT 1'!$E:$E,MATCH($B162,'DRAFT 1'!$B:$B,0)),"")</f>
        <v/>
      </c>
      <c r="F162" s="116">
        <f>IFERROR(INDEX('DRAFT 1'!$F:$F,MATCH($B162,'DRAFT 1'!$B:$B,0)),"")</f>
        <v/>
      </c>
      <c r="G162" s="116">
        <f>IFERROR(INDEX('DRAFT 1'!$G:$G,MATCH($B162,'DRAFT 1'!$B:$B,0)),"")</f>
        <v/>
      </c>
      <c r="H162" s="116">
        <f>IFERROR(INDEX('DRAFT 1'!$H:$H,MATCH($B162,'DRAFT 1'!$B:$B,0)),"")</f>
        <v/>
      </c>
      <c r="I162" s="116">
        <f>IFERROR(INDEX('DRAFT 1'!$I:$I,MATCH($B162,'DRAFT 1'!$B:$B,0)),"")</f>
        <v/>
      </c>
      <c r="K162" s="116">
        <f>IFERROR(INDEX('DRAFT 1'!$AL:$AL,MATCH($B162,'DRAFT 1'!$B:$B,0)),"")</f>
        <v/>
      </c>
      <c r="L162" s="116">
        <f>IFERROR(INDEX('DRAFT 1'!$J:$J,MATCH($B162,'DRAFT 1'!$B:$B,0)),"")</f>
        <v/>
      </c>
      <c r="M162" s="116">
        <f>IFERROR(INDEX('DRAFT 1'!$K:$K,MATCH($B162,'DRAFT 1'!$B:$B,0)),"")</f>
        <v/>
      </c>
      <c r="P162" s="116">
        <f>IFERROR(INDEX('DRAFT 1'!$L:$L,MATCH($B162,'DRAFT 1'!$B:$B,0)),"")</f>
        <v/>
      </c>
      <c r="Q162" s="116">
        <f>IFERROR(INDEX('DRAFT 1'!$M:$M,MATCH($B162,'DRAFT 1'!$B:$B,0)),"")</f>
        <v/>
      </c>
      <c r="R162" s="116">
        <f>IFERROR(INDEX('DRAFT 1'!$N:$N,MATCH($B162,'DRAFT 1'!$B:$B,0)),"")</f>
        <v/>
      </c>
      <c r="S162" s="116">
        <f>IFERROR(INDEX('DRAFT 1'!$O:$O,MATCH($B162,'DRAFT 1'!$B:$B,0)),"")</f>
        <v/>
      </c>
      <c r="T162" s="116">
        <f>IFERROR(INDEX('DRAFT 1'!$P:$P,MATCH($B162,'DRAFT 1'!$B:$B,0)),"")</f>
        <v/>
      </c>
      <c r="U162" s="116">
        <f>IFERROR(INDEX('DRAFT 1'!$Q:$Q,MATCH($B162,'DRAFT 1'!$B:$B,0)),"")</f>
        <v/>
      </c>
      <c r="V162" s="116">
        <f>IFERROR(INDEX('DRAFT 1'!$R:$R,MATCH($B162,'DRAFT 1'!$B:$B,0)),"")</f>
        <v/>
      </c>
      <c r="W162" s="116">
        <f>IFERROR(INDEX('DRAFT 1'!$S:$S,MATCH($B162,'DRAFT 1'!$B:$B,0)),"")</f>
        <v/>
      </c>
      <c r="X162" s="116">
        <f>IFERROR(INDEX('DRAFT 1'!$T:$T,MATCH($B162,'DRAFT 1'!$B:$B,0)),"")</f>
        <v/>
      </c>
      <c r="Z162" s="116">
        <f>IFERROR(INDEX('DRAFT 1'!$U:$U,MATCH($B162,'DRAFT 1'!$B:$B,0)),"")</f>
        <v/>
      </c>
      <c r="AA162" s="116">
        <f>IFERROR(INDEX('DRAFT 1'!$V:$V,MATCH($B162,'DRAFT 1'!$B:$B,0)),"")</f>
        <v/>
      </c>
      <c r="AB162" s="116">
        <f>IFERROR(INDEX('DRAFT 1'!$W:$W,MATCH($B162,'DRAFT 1'!$B:$B,0)),"")</f>
        <v/>
      </c>
      <c r="AC162" s="116">
        <f>IFERROR(INDEX('DRAFT 1'!$X:$X,MATCH($B162,'DRAFT 1'!$B:$B,0)),"")</f>
        <v/>
      </c>
      <c r="AD162" s="116">
        <f>IFERROR(INDEX('DRAFT 1'!$Y:$Y,MATCH($B162,'DRAFT 1'!$B:$B,0)),"")</f>
        <v/>
      </c>
      <c r="AE162" s="116">
        <f>IFERROR(INDEX('DRAFT 1'!$Z:$Z,MATCH($B162,'DRAFT 1'!$B:$B,0)),"")</f>
        <v/>
      </c>
      <c r="AF162" s="116">
        <f>IFERROR(INDEX('DRAFT 1'!$AA:$AA,MATCH($B162,'DRAFT 1'!$B:$B,0)),"")</f>
        <v/>
      </c>
      <c r="AG162" s="116">
        <f>IFERROR(INDEX('DRAFT 1'!$AB:$AB,MATCH($B162,'DRAFT 1'!$B:$B,0)),"")</f>
        <v/>
      </c>
      <c r="AH162" s="116">
        <f>IFERROR(INDEX('DRAFT 1'!$AC:$AC,MATCH($B162,'DRAFT 1'!$B:$B,0)),"")</f>
        <v/>
      </c>
      <c r="AI162" s="116">
        <f>IFERROR(INDEX('DRAFT 1'!$AD:$AD,MATCH($B162,'DRAFT 1'!$B:$B,0)),"")</f>
        <v/>
      </c>
      <c r="AJ162" s="116">
        <f>IFERROR(INDEX('DRAFT 1'!$AE:$AE,MATCH($B162,'DRAFT 1'!$B:$B,0)),"")</f>
        <v/>
      </c>
      <c r="AK162" s="116">
        <f>IFERROR(INDEX('DRAFT 1'!$AG:$AG,MATCH($B162,'DRAFT 1'!$B:$B,0)),"")</f>
        <v/>
      </c>
      <c r="AL162" s="116">
        <f>IFERROR(INDEX('DRAFT 1'!$AH:$AH,MATCH($B162,'DRAFT 1'!$B:$B,0)),"")</f>
        <v/>
      </c>
      <c r="AM162" s="116">
        <f>IFERROR(INDEX('DRAFT 1'!$AI:$AI,MATCH($B162,'DRAFT 1'!$B:$B,0)),"")</f>
        <v/>
      </c>
      <c r="AN162" s="116">
        <f>IFERROR(INDEX('DRAFT 1'!$AJ:$AJ,MATCH($B162,'DRAFT 1'!$B:$B,0)),"")</f>
        <v/>
      </c>
      <c r="AO162" s="116">
        <f>IFERROR(Y162/AN162,0)</f>
        <v/>
      </c>
      <c r="AP162" s="116">
        <f>IFERROR(INDEX('DRAFT 1'!$AK:$AK,MATCH($B162,'DRAFT 1'!$B:$B,0)),"")</f>
        <v/>
      </c>
      <c r="AR162" s="116">
        <f>IFERROR(LOOKUP(2,1/('DRAFT 2'!$D:$D=$B162),'DRAFT 2'!$I:$I),"")</f>
        <v/>
      </c>
      <c r="AS162" s="116">
        <f>IFERROR(LOOKUP(2,1/('DRAFT 2'!$D:$D=$B162),'DRAFT 2'!$T:$T),"")</f>
        <v/>
      </c>
      <c r="AT162" s="116">
        <f>IFERROR(LOOKUP(2,1/('DRAFT 2'!$D:$D=$B162),'DRAFT 2'!$A:$A),"")</f>
        <v/>
      </c>
      <c r="AU162" s="116">
        <f>IFERROR(LOOKUP(2,1/('DRAFT 2'!$D:$D=$B162),'DRAFT 2'!$R:$R),"")</f>
        <v/>
      </c>
      <c r="AV162" s="116">
        <f>IFERROR(LOOKUP(2,1/('DRAFT 2'!$D:$D=$B162),'DRAFT 2'!$S:$S),"")</f>
        <v/>
      </c>
      <c r="AX162" s="116">
        <f>IFERROR(LOOKUP(2,1/('DRAFT 2'!$D:$D=$B162),'DRAFT 2'!$M:$M),"")</f>
        <v/>
      </c>
      <c r="AY162" s="116">
        <f>IFERROR(LOOKUP(2,1/('DRAFT 2'!$D:$D=$B162),'DRAFT 2'!$K:$K),"")</f>
        <v/>
      </c>
      <c r="BG162" s="116">
        <f>IFERROR(LOOKUP(2,1/('DRAFT 2'!$D:$D=$B162),'DRAFT 2'!$U:$U),"")</f>
        <v/>
      </c>
      <c r="BH162" s="116">
        <f>IFERROR(LOOKUP(2,1/('DRAFT 2'!$D:$D=$B162),'DRAFT 2'!$V:$V),"")</f>
        <v/>
      </c>
      <c r="CE162" s="116">
        <f>IFERROR(AJ162,0)</f>
        <v/>
      </c>
      <c r="CF162" s="116">
        <f>IFERROR(LOOKUP(2,1/('DRAFT 2'!$D:$D=$B162)*('DRAFT 2'!$A:$A&gt;=DATE(2026,1,1))*('DRAFT 2'!$A:$A&lt;DATE(2026,IF(1=12,1+1,1+1),1)),'DRAFT 2'!$A:$A),"")</f>
        <v/>
      </c>
      <c r="CG162" s="116">
        <f>COUNTIFS('DRAFT 2'!$D:$D,$B162,'DRAFT 2'!$A:$A,"&gt;="&amp;DATE(2026,1,1),'DRAFT 2'!$A:$A,"&lt;="&amp;DATE(2026,1,7))</f>
        <v/>
      </c>
      <c r="CH162" s="116">
        <f>COUNTIFS('DRAFT 2'!$D:$D,$B162,'DRAFT 2'!$A:$A,"&gt;="&amp;DATE(2026,1,8),'DRAFT 2'!$A:$A,"&lt;="&amp;DATE(2026,1,14))</f>
        <v/>
      </c>
      <c r="CI162" s="116">
        <f>COUNTIFS('DRAFT 2'!$D:$D,$B162,'DRAFT 2'!$A:$A,"&gt;="&amp;DATE(2026,1,15),'DRAFT 2'!$A:$A,"&lt;="&amp;DATE(2026,1,21))</f>
        <v/>
      </c>
      <c r="CJ162" s="116">
        <f>COUNTIFS('DRAFT 2'!$D:$D,$B162,'DRAFT 2'!$A:$A,"&gt;="&amp;DATE(2026,1,22),'DRAFT 2'!$A:$A,"&lt;"&amp;DATE(2026,IF(1=12,1+1,1+1),1))</f>
        <v/>
      </c>
      <c r="CK162" s="116">
        <f>SUM(CG162:CJ162)</f>
        <v/>
      </c>
      <c r="CT162" s="116" t="n">
        <v>0</v>
      </c>
      <c r="CU162" s="116">
        <f>IFERROR(LOOKUP(2,1/('DRAFT 2'!$D:$D=$B162)*('DRAFT 2'!$A:$A&gt;=DATE(2026,2,1))*('DRAFT 2'!$A:$A&lt;DATE(2026,IF(2=12,2+1,2+1),1)),'DRAFT 2'!$A:$A),"")</f>
        <v/>
      </c>
      <c r="CV162" s="116">
        <f>COUNTIFS('DRAFT 2'!$D:$D,$B162,'DRAFT 2'!$A:$A,"&gt;="&amp;DATE(2026,2,1),'DRAFT 2'!$A:$A,"&lt;="&amp;DATE(2026,2,7))</f>
        <v/>
      </c>
      <c r="CW162" s="116">
        <f>COUNTIFS('DRAFT 2'!$D:$D,$B162,'DRAFT 2'!$A:$A,"&gt;="&amp;DATE(2026,2,8),'DRAFT 2'!$A:$A,"&lt;="&amp;DATE(2026,2,14))</f>
        <v/>
      </c>
      <c r="CX162" s="116">
        <f>COUNTIFS('DRAFT 2'!$D:$D,$B162,'DRAFT 2'!$A:$A,"&gt;="&amp;DATE(2026,2,15),'DRAFT 2'!$A:$A,"&lt;="&amp;DATE(2026,2,21))</f>
        <v/>
      </c>
      <c r="CY162" s="116">
        <f>COUNTIFS('DRAFT 2'!$D:$D,$B162,'DRAFT 2'!$A:$A,"&gt;="&amp;DATE(2026,2,22),'DRAFT 2'!$A:$A,"&lt;"&amp;DATE(2026,IF(2=12,2+1,2+1),1))</f>
        <v/>
      </c>
      <c r="CZ162" s="116">
        <f>SUM(CV162:CY162)</f>
        <v/>
      </c>
      <c r="DJ162" s="116">
        <f>IFERROR(LOOKUP(2,1/('DRAFT 2'!$D:$D=$B162)*('DRAFT 2'!$A:$A&gt;=DATE(2026,3,1))*('DRAFT 2'!$A:$A&lt;DATE(2026,IF(3=12,3+1,3+1),1)),'DRAFT 2'!$A:$A),"")</f>
        <v/>
      </c>
      <c r="DK162" s="116">
        <f>COUNTIFS('DRAFT 2'!$D:$D,$B162,'DRAFT 2'!$A:$A,"&gt;="&amp;DATE(2026,3,1),'DRAFT 2'!$A:$A,"&lt;="&amp;DATE(2026,3,7))</f>
        <v/>
      </c>
      <c r="DL162" s="116">
        <f>COUNTIFS('DRAFT 2'!$D:$D,$B162,'DRAFT 2'!$A:$A,"&gt;="&amp;DATE(2026,3,8),'DRAFT 2'!$A:$A,"&lt;="&amp;DATE(2026,3,14))</f>
        <v/>
      </c>
      <c r="DM162" s="116">
        <f>COUNTIFS('DRAFT 2'!$D:$D,$B162,'DRAFT 2'!$A:$A,"&gt;="&amp;DATE(2026,3,15),'DRAFT 2'!$A:$A,"&lt;="&amp;DATE(2026,3,21))</f>
        <v/>
      </c>
      <c r="DN162" s="116">
        <f>COUNTIFS('DRAFT 2'!$D:$D,$B162,'DRAFT 2'!$A:$A,"&gt;="&amp;DATE(2026,3,22),'DRAFT 2'!$A:$A,"&lt;"&amp;DATE(2026,IF(3=12,3+1,3+1),1))</f>
        <v/>
      </c>
      <c r="DO162" s="116">
        <f>SUM(DK162:DN162)</f>
        <v/>
      </c>
      <c r="DZ162" s="116">
        <f>IFERROR(LOOKUP(2,1/('DRAFT 2'!$D:$D=$B162)*('DRAFT 2'!$A:$A&gt;=DATE(2026,4,1))*('DRAFT 2'!$A:$A&lt;DATE(2026,IF(4=12,4+1,4+1),1)),'DRAFT 2'!$A:$A),"")</f>
        <v/>
      </c>
      <c r="EA162" s="116">
        <f>COUNTIFS('DRAFT 2'!$D:$D,$B162,'DRAFT 2'!$A:$A,"&gt;="&amp;DATE(2026,4,1),'DRAFT 2'!$A:$A,"&lt;="&amp;DATE(2026,4,7))</f>
        <v/>
      </c>
      <c r="EB162" s="116">
        <f>COUNTIFS('DRAFT 2'!$D:$D,$B162,'DRAFT 2'!$A:$A,"&gt;="&amp;DATE(2026,4,8),'DRAFT 2'!$A:$A,"&lt;="&amp;DATE(2026,4,14))</f>
        <v/>
      </c>
      <c r="EC162" s="116">
        <f>COUNTIFS('DRAFT 2'!$D:$D,$B162,'DRAFT 2'!$A:$A,"&gt;="&amp;DATE(2026,4,15),'DRAFT 2'!$A:$A,"&lt;="&amp;DATE(2026,4,21))</f>
        <v/>
      </c>
      <c r="ED162" s="116">
        <f>COUNTIFS('DRAFT 2'!$D:$D,$B162,'DRAFT 2'!$A:$A,"&gt;="&amp;DATE(2026,4,22),'DRAFT 2'!$A:$A,"&lt;"&amp;DATE(2026,IF(4=12,4+1,4+1),1))</f>
        <v/>
      </c>
      <c r="EE162" s="116">
        <f>SUM(EA162:ED162)</f>
        <v/>
      </c>
      <c r="EO162" s="116">
        <f>IFERROR(LOOKUP(2,1/('DRAFT 2'!$D:$D=$B162)*('DRAFT 2'!$A:$A&gt;=DATE(2026,5,1))*('DRAFT 2'!$A:$A&lt;DATE(2026,IF(5=12,5+1,5+1),1)),'DRAFT 2'!$A:$A),"")</f>
        <v/>
      </c>
      <c r="EP162" s="116">
        <f>COUNTIFS('DRAFT 2'!$D:$D,$B162,'DRAFT 2'!$A:$A,"&gt;="&amp;DATE(2026,5,1),'DRAFT 2'!$A:$A,"&lt;="&amp;DATE(2026,5,7))</f>
        <v/>
      </c>
      <c r="EQ162" s="116">
        <f>COUNTIFS('DRAFT 2'!$D:$D,$B162,'DRAFT 2'!$A:$A,"&gt;="&amp;DATE(2026,5,8),'DRAFT 2'!$A:$A,"&lt;="&amp;DATE(2026,5,14))</f>
        <v/>
      </c>
      <c r="ER162" s="116">
        <f>COUNTIFS('DRAFT 2'!$D:$D,$B162,'DRAFT 2'!$A:$A,"&gt;="&amp;DATE(2026,5,15),'DRAFT 2'!$A:$A,"&lt;="&amp;DATE(2026,5,21))</f>
        <v/>
      </c>
      <c r="ES162" s="116">
        <f>COUNTIFS('DRAFT 2'!$D:$D,$B162,'DRAFT 2'!$A:$A,"&gt;="&amp;DATE(2026,5,22),'DRAFT 2'!$A:$A,"&lt;"&amp;DATE(2026,IF(5=12,5+1,5+1),1))</f>
        <v/>
      </c>
      <c r="ET162" s="116">
        <f>SUM(EP162:ES162)</f>
        <v/>
      </c>
      <c r="FD162" s="116">
        <f>IFERROR(LOOKUP(2,1/('DRAFT 2'!$D:$D=$B162)*('DRAFT 2'!$A:$A&gt;=DATE(2026,6,1))*('DRAFT 2'!$A:$A&lt;DATE(2026,IF(6=12,6+1,6+1),1)),'DRAFT 2'!$A:$A),"")</f>
        <v/>
      </c>
      <c r="FE162" s="116">
        <f>COUNTIFS('DRAFT 2'!$D:$D,$B162,'DRAFT 2'!$A:$A,"&gt;="&amp;DATE(2026,6,1),'DRAFT 2'!$A:$A,"&lt;="&amp;DATE(2026,6,7))</f>
        <v/>
      </c>
      <c r="FF162" s="116">
        <f>COUNTIFS('DRAFT 2'!$D:$D,$B162,'DRAFT 2'!$A:$A,"&gt;="&amp;DATE(2026,6,8),'DRAFT 2'!$A:$A,"&lt;="&amp;DATE(2026,6,14))</f>
        <v/>
      </c>
      <c r="FG162" s="116">
        <f>COUNTIFS('DRAFT 2'!$D:$D,$B162,'DRAFT 2'!$A:$A,"&gt;="&amp;DATE(2026,6,15),'DRAFT 2'!$A:$A,"&lt;="&amp;DATE(2026,6,21))</f>
        <v/>
      </c>
      <c r="FH162" s="116">
        <f>COUNTIFS('DRAFT 2'!$D:$D,$B162,'DRAFT 2'!$A:$A,"&gt;="&amp;DATE(2026,6,22),'DRAFT 2'!$A:$A,"&lt;"&amp;DATE(2026,IF(6=12,6+1,6+1),1))</f>
        <v/>
      </c>
      <c r="FI162" s="116">
        <f>SUM(FE162:FH162)</f>
        <v/>
      </c>
      <c r="FT162" s="116">
        <f>IFERROR(LOOKUP(2,1/('DRAFT 2'!$D:$D=$B162)*('DRAFT 2'!$A:$A&gt;=DATE(2026,7,1))*('DRAFT 2'!$A:$A&lt;DATE(2026,IF(7=12,7+1,7+1),1)),'DRAFT 2'!$A:$A),"")</f>
        <v/>
      </c>
      <c r="FU162" s="116">
        <f>COUNTIFS('DRAFT 2'!$D:$D,$B162,'DRAFT 2'!$A:$A,"&gt;="&amp;DATE(2026,7,1),'DRAFT 2'!$A:$A,"&lt;="&amp;DATE(2026,7,7))</f>
        <v/>
      </c>
      <c r="FV162" s="116">
        <f>COUNTIFS('DRAFT 2'!$D:$D,$B162,'DRAFT 2'!$A:$A,"&gt;="&amp;DATE(2026,7,8),'DRAFT 2'!$A:$A,"&lt;="&amp;DATE(2026,7,14))</f>
        <v/>
      </c>
      <c r="FW162" s="116">
        <f>COUNTIFS('DRAFT 2'!$D:$D,$B162,'DRAFT 2'!$A:$A,"&gt;="&amp;DATE(2026,7,15),'DRAFT 2'!$A:$A,"&lt;="&amp;DATE(2026,7,21))</f>
        <v/>
      </c>
      <c r="FX162" s="116">
        <f>COUNTIFS('DRAFT 2'!$D:$D,$B162,'DRAFT 2'!$A:$A,"&gt;="&amp;DATE(2026,7,22),'DRAFT 2'!$A:$A,"&lt;"&amp;DATE(2026,IF(7=12,7+1,7+1),1))</f>
        <v/>
      </c>
      <c r="FY162" s="116">
        <f>SUM(FU162:FX162)</f>
        <v/>
      </c>
      <c r="GI162" s="116">
        <f>IFERROR(LOOKUP(2,1/('DRAFT 2'!$D:$D=$B162)*('DRAFT 2'!$A:$A&gt;=DATE(2026,8,1))*('DRAFT 2'!$A:$A&lt;DATE(2026,IF(8=12,8+1,8+1),1)),'DRAFT 2'!$A:$A),"")</f>
        <v/>
      </c>
      <c r="GJ162" s="116">
        <f>COUNTIFS('DRAFT 2'!$D:$D,$B162,'DRAFT 2'!$A:$A,"&gt;="&amp;DATE(2026,8,1),'DRAFT 2'!$A:$A,"&lt;="&amp;DATE(2026,8,7))</f>
        <v/>
      </c>
      <c r="GK162" s="116">
        <f>COUNTIFS('DRAFT 2'!$D:$D,$B162,'DRAFT 2'!$A:$A,"&gt;="&amp;DATE(2026,8,8),'DRAFT 2'!$A:$A,"&lt;="&amp;DATE(2026,8,14))</f>
        <v/>
      </c>
      <c r="GL162" s="116">
        <f>COUNTIFS('DRAFT 2'!$D:$D,$B162,'DRAFT 2'!$A:$A,"&gt;="&amp;DATE(2026,8,15),'DRAFT 2'!$A:$A,"&lt;="&amp;DATE(2026,8,21))</f>
        <v/>
      </c>
      <c r="GM162" s="116">
        <f>COUNTIFS('DRAFT 2'!$D:$D,$B162,'DRAFT 2'!$A:$A,"&gt;="&amp;DATE(2026,8,22),'DRAFT 2'!$A:$A,"&lt;"&amp;DATE(2026,IF(8=12,8+1,8+1),1))</f>
        <v/>
      </c>
      <c r="GN162" s="116">
        <f>SUM(GJ162:GM162)</f>
        <v/>
      </c>
      <c r="GX162" s="116">
        <f>IFERROR(LOOKUP(2,1/('DRAFT 2'!$D:$D=$B162)*('DRAFT 2'!$A:$A&gt;=DATE(2026,9,1))*('DRAFT 2'!$A:$A&lt;DATE(2026,IF(9=12,9+1,9+1),1)),'DRAFT 2'!$A:$A),"")</f>
        <v/>
      </c>
      <c r="GY162" s="116">
        <f>COUNTIFS('DRAFT 2'!$D:$D,$B162,'DRAFT 2'!$A:$A,"&gt;="&amp;DATE(2026,9,1),'DRAFT 2'!$A:$A,"&lt;="&amp;DATE(2026,9,7))</f>
        <v/>
      </c>
      <c r="GZ162" s="116">
        <f>COUNTIFS('DRAFT 2'!$D:$D,$B162,'DRAFT 2'!$A:$A,"&gt;="&amp;DATE(2026,9,8),'DRAFT 2'!$A:$A,"&lt;="&amp;DATE(2026,9,14))</f>
        <v/>
      </c>
      <c r="HA162" s="116">
        <f>COUNTIFS('DRAFT 2'!$D:$D,$B162,'DRAFT 2'!$A:$A,"&gt;="&amp;DATE(2026,9,15),'DRAFT 2'!$A:$A,"&lt;="&amp;DATE(2026,9,21))</f>
        <v/>
      </c>
      <c r="HB162" s="116">
        <f>COUNTIFS('DRAFT 2'!$D:$D,$B162,'DRAFT 2'!$A:$A,"&gt;="&amp;DATE(2026,9,22),'DRAFT 2'!$A:$A,"&lt;"&amp;DATE(2026,IF(9=12,9+1,9+1),1))</f>
        <v/>
      </c>
      <c r="HC162" s="116">
        <f>SUM(GY162:HB162)</f>
        <v/>
      </c>
      <c r="HN162" s="116">
        <f>IFERROR(LOOKUP(2,1/('DRAFT 2'!$D:$D=$B162)*('DRAFT 2'!$A:$A&gt;=DATE(2026,10,1))*('DRAFT 2'!$A:$A&lt;DATE(2026,IF(10=12,10+1,10+1),1)),'DRAFT 2'!$A:$A),"")</f>
        <v/>
      </c>
      <c r="HO162" s="116">
        <f>COUNTIFS('DRAFT 2'!$D:$D,$B162,'DRAFT 2'!$A:$A,"&gt;="&amp;DATE(2026,10,1),'DRAFT 2'!$A:$A,"&lt;="&amp;DATE(2026,10,7))</f>
        <v/>
      </c>
      <c r="HP162" s="116">
        <f>COUNTIFS('DRAFT 2'!$D:$D,$B162,'DRAFT 2'!$A:$A,"&gt;="&amp;DATE(2026,10,8),'DRAFT 2'!$A:$A,"&lt;="&amp;DATE(2026,10,14))</f>
        <v/>
      </c>
      <c r="HQ162" s="116">
        <f>COUNTIFS('DRAFT 2'!$D:$D,$B162,'DRAFT 2'!$A:$A,"&gt;="&amp;DATE(2026,10,15),'DRAFT 2'!$A:$A,"&lt;="&amp;DATE(2026,10,21))</f>
        <v/>
      </c>
      <c r="HR162" s="116">
        <f>COUNTIFS('DRAFT 2'!$D:$D,$B162,'DRAFT 2'!$A:$A,"&gt;="&amp;DATE(2026,10,22),'DRAFT 2'!$A:$A,"&lt;"&amp;DATE(2026,IF(10=12,10+1,10+1),1))</f>
        <v/>
      </c>
      <c r="HS162" s="116">
        <f>SUM(HO162:HR162)</f>
        <v/>
      </c>
      <c r="IC162" s="116">
        <f>IFERROR(LOOKUP(2,1/('DRAFT 2'!$D:$D=$B162)*('DRAFT 2'!$A:$A&gt;=DATE(2026,11,1))*('DRAFT 2'!$A:$A&lt;DATE(2026,IF(11=12,11+1,11+1),1)),'DRAFT 2'!$A:$A),"")</f>
        <v/>
      </c>
      <c r="ID162" s="116">
        <f>COUNTIFS('DRAFT 2'!$D:$D,$B162,'DRAFT 2'!$A:$A,"&gt;="&amp;DATE(2026,11,1),'DRAFT 2'!$A:$A,"&lt;="&amp;DATE(2026,11,7))</f>
        <v/>
      </c>
      <c r="IE162" s="116">
        <f>COUNTIFS('DRAFT 2'!$D:$D,$B162,'DRAFT 2'!$A:$A,"&gt;="&amp;DATE(2026,11,8),'DRAFT 2'!$A:$A,"&lt;="&amp;DATE(2026,11,14))</f>
        <v/>
      </c>
      <c r="IF162" s="116">
        <f>COUNTIFS('DRAFT 2'!$D:$D,$B162,'DRAFT 2'!$A:$A,"&gt;="&amp;DATE(2026,11,15),'DRAFT 2'!$A:$A,"&lt;="&amp;DATE(2026,11,21))</f>
        <v/>
      </c>
      <c r="IG162" s="116">
        <f>COUNTIFS('DRAFT 2'!$D:$D,$B162,'DRAFT 2'!$A:$A,"&gt;="&amp;DATE(2026,11,22),'DRAFT 2'!$A:$A,"&lt;"&amp;DATE(2026,IF(11=12,11+1,11+1),1))</f>
        <v/>
      </c>
      <c r="IH162" s="116">
        <f>SUM(ID162:IG162)</f>
        <v/>
      </c>
      <c r="IR162" s="116">
        <f>IFERROR(LOOKUP(2,1/('DRAFT 2'!$D:$D=$B162)*('DRAFT 2'!$A:$A&gt;=DATE(2026,12,1))*('DRAFT 2'!$A:$A&lt;DATE(2026,IF(12=12,12+1,12+1),1)),'DRAFT 2'!$A:$A),"")</f>
        <v/>
      </c>
      <c r="IS162" s="116">
        <f>COUNTIFS('DRAFT 2'!$D:$D,$B162,'DRAFT 2'!$A:$A,"&gt;="&amp;DATE(2026,12,1),'DRAFT 2'!$A:$A,"&lt;="&amp;DATE(2026,12,7))</f>
        <v/>
      </c>
      <c r="IT162" s="116">
        <f>COUNTIFS('DRAFT 2'!$D:$D,$B162,'DRAFT 2'!$A:$A,"&gt;="&amp;DATE(2026,12,8),'DRAFT 2'!$A:$A,"&lt;="&amp;DATE(2026,12,14))</f>
        <v/>
      </c>
      <c r="IU162" s="116">
        <f>COUNTIFS('DRAFT 2'!$D:$D,$B162,'DRAFT 2'!$A:$A,"&gt;="&amp;DATE(2026,12,15),'DRAFT 2'!$A:$A,"&lt;="&amp;DATE(2026,12,21))</f>
        <v/>
      </c>
      <c r="IV162" s="116">
        <f>COUNTIFS('DRAFT 2'!$D:$D,$B162,'DRAFT 2'!$A:$A,"&gt;="&amp;DATE(2026,12,22),'DRAFT 2'!$A:$A,"&lt;"&amp;DATE(2026,IF(12=12,12+1,12+1),1))</f>
        <v/>
      </c>
      <c r="IW162" s="116">
        <f>SUM(IS162:IV162)</f>
        <v/>
      </c>
    </row>
    <row r="163">
      <c r="A163" s="116">
        <f>IFERROR(INDEX('DRAFT 1'!$A:$A,MATCH($B163,'DRAFT 1'!$B:$B,0)),"")</f>
        <v/>
      </c>
      <c r="C163" s="116">
        <f>IFERROR(INDEX('DRAFT 1'!$C:$C,MATCH($B163,'DRAFT 1'!$B:$B,0)),"")</f>
        <v/>
      </c>
      <c r="D163" s="116">
        <f>IFERROR(INDEX('DRAFT 1'!$D:$D,MATCH($B163,'DRAFT 1'!$B:$B,0)),"")</f>
        <v/>
      </c>
      <c r="E163" s="116">
        <f>IFERROR(INDEX('DRAFT 1'!$E:$E,MATCH($B163,'DRAFT 1'!$B:$B,0)),"")</f>
        <v/>
      </c>
      <c r="F163" s="116">
        <f>IFERROR(INDEX('DRAFT 1'!$F:$F,MATCH($B163,'DRAFT 1'!$B:$B,0)),"")</f>
        <v/>
      </c>
      <c r="G163" s="116">
        <f>IFERROR(INDEX('DRAFT 1'!$G:$G,MATCH($B163,'DRAFT 1'!$B:$B,0)),"")</f>
        <v/>
      </c>
      <c r="H163" s="116">
        <f>IFERROR(INDEX('DRAFT 1'!$H:$H,MATCH($B163,'DRAFT 1'!$B:$B,0)),"")</f>
        <v/>
      </c>
      <c r="I163" s="116">
        <f>IFERROR(INDEX('DRAFT 1'!$I:$I,MATCH($B163,'DRAFT 1'!$B:$B,0)),"")</f>
        <v/>
      </c>
      <c r="K163" s="116">
        <f>IFERROR(INDEX('DRAFT 1'!$AL:$AL,MATCH($B163,'DRAFT 1'!$B:$B,0)),"")</f>
        <v/>
      </c>
      <c r="L163" s="116">
        <f>IFERROR(INDEX('DRAFT 1'!$J:$J,MATCH($B163,'DRAFT 1'!$B:$B,0)),"")</f>
        <v/>
      </c>
      <c r="M163" s="116">
        <f>IFERROR(INDEX('DRAFT 1'!$K:$K,MATCH($B163,'DRAFT 1'!$B:$B,0)),"")</f>
        <v/>
      </c>
      <c r="P163" s="116">
        <f>IFERROR(INDEX('DRAFT 1'!$L:$L,MATCH($B163,'DRAFT 1'!$B:$B,0)),"")</f>
        <v/>
      </c>
      <c r="Q163" s="116">
        <f>IFERROR(INDEX('DRAFT 1'!$M:$M,MATCH($B163,'DRAFT 1'!$B:$B,0)),"")</f>
        <v/>
      </c>
      <c r="R163" s="116">
        <f>IFERROR(INDEX('DRAFT 1'!$N:$N,MATCH($B163,'DRAFT 1'!$B:$B,0)),"")</f>
        <v/>
      </c>
      <c r="S163" s="116">
        <f>IFERROR(INDEX('DRAFT 1'!$O:$O,MATCH($B163,'DRAFT 1'!$B:$B,0)),"")</f>
        <v/>
      </c>
      <c r="T163" s="116">
        <f>IFERROR(INDEX('DRAFT 1'!$P:$P,MATCH($B163,'DRAFT 1'!$B:$B,0)),"")</f>
        <v/>
      </c>
      <c r="U163" s="116">
        <f>IFERROR(INDEX('DRAFT 1'!$Q:$Q,MATCH($B163,'DRAFT 1'!$B:$B,0)),"")</f>
        <v/>
      </c>
      <c r="V163" s="116">
        <f>IFERROR(INDEX('DRAFT 1'!$R:$R,MATCH($B163,'DRAFT 1'!$B:$B,0)),"")</f>
        <v/>
      </c>
      <c r="W163" s="116">
        <f>IFERROR(INDEX('DRAFT 1'!$S:$S,MATCH($B163,'DRAFT 1'!$B:$B,0)),"")</f>
        <v/>
      </c>
      <c r="X163" s="116">
        <f>IFERROR(INDEX('DRAFT 1'!$T:$T,MATCH($B163,'DRAFT 1'!$B:$B,0)),"")</f>
        <v/>
      </c>
      <c r="Z163" s="116">
        <f>IFERROR(INDEX('DRAFT 1'!$U:$U,MATCH($B163,'DRAFT 1'!$B:$B,0)),"")</f>
        <v/>
      </c>
      <c r="AA163" s="116">
        <f>IFERROR(INDEX('DRAFT 1'!$V:$V,MATCH($B163,'DRAFT 1'!$B:$B,0)),"")</f>
        <v/>
      </c>
      <c r="AB163" s="116">
        <f>IFERROR(INDEX('DRAFT 1'!$W:$W,MATCH($B163,'DRAFT 1'!$B:$B,0)),"")</f>
        <v/>
      </c>
      <c r="AC163" s="116">
        <f>IFERROR(INDEX('DRAFT 1'!$X:$X,MATCH($B163,'DRAFT 1'!$B:$B,0)),"")</f>
        <v/>
      </c>
      <c r="AD163" s="116">
        <f>IFERROR(INDEX('DRAFT 1'!$Y:$Y,MATCH($B163,'DRAFT 1'!$B:$B,0)),"")</f>
        <v/>
      </c>
      <c r="AE163" s="116">
        <f>IFERROR(INDEX('DRAFT 1'!$Z:$Z,MATCH($B163,'DRAFT 1'!$B:$B,0)),"")</f>
        <v/>
      </c>
      <c r="AF163" s="116">
        <f>IFERROR(INDEX('DRAFT 1'!$AA:$AA,MATCH($B163,'DRAFT 1'!$B:$B,0)),"")</f>
        <v/>
      </c>
      <c r="AG163" s="116">
        <f>IFERROR(INDEX('DRAFT 1'!$AB:$AB,MATCH($B163,'DRAFT 1'!$B:$B,0)),"")</f>
        <v/>
      </c>
      <c r="AH163" s="116">
        <f>IFERROR(INDEX('DRAFT 1'!$AC:$AC,MATCH($B163,'DRAFT 1'!$B:$B,0)),"")</f>
        <v/>
      </c>
      <c r="AI163" s="116">
        <f>IFERROR(INDEX('DRAFT 1'!$AD:$AD,MATCH($B163,'DRAFT 1'!$B:$B,0)),"")</f>
        <v/>
      </c>
      <c r="AJ163" s="116">
        <f>IFERROR(INDEX('DRAFT 1'!$AE:$AE,MATCH($B163,'DRAFT 1'!$B:$B,0)),"")</f>
        <v/>
      </c>
      <c r="AK163" s="116">
        <f>IFERROR(INDEX('DRAFT 1'!$AG:$AG,MATCH($B163,'DRAFT 1'!$B:$B,0)),"")</f>
        <v/>
      </c>
      <c r="AL163" s="116">
        <f>IFERROR(INDEX('DRAFT 1'!$AH:$AH,MATCH($B163,'DRAFT 1'!$B:$B,0)),"")</f>
        <v/>
      </c>
      <c r="AM163" s="116">
        <f>IFERROR(INDEX('DRAFT 1'!$AI:$AI,MATCH($B163,'DRAFT 1'!$B:$B,0)),"")</f>
        <v/>
      </c>
      <c r="AN163" s="116">
        <f>IFERROR(INDEX('DRAFT 1'!$AJ:$AJ,MATCH($B163,'DRAFT 1'!$B:$B,0)),"")</f>
        <v/>
      </c>
      <c r="AO163" s="116">
        <f>IFERROR(Y163/AN163,0)</f>
        <v/>
      </c>
      <c r="AP163" s="116">
        <f>IFERROR(INDEX('DRAFT 1'!$AK:$AK,MATCH($B163,'DRAFT 1'!$B:$B,0)),"")</f>
        <v/>
      </c>
      <c r="AR163" s="116">
        <f>IFERROR(LOOKUP(2,1/('DRAFT 2'!$D:$D=$B163),'DRAFT 2'!$I:$I),"")</f>
        <v/>
      </c>
      <c r="AS163" s="116">
        <f>IFERROR(LOOKUP(2,1/('DRAFT 2'!$D:$D=$B163),'DRAFT 2'!$T:$T),"")</f>
        <v/>
      </c>
      <c r="AT163" s="116">
        <f>IFERROR(LOOKUP(2,1/('DRAFT 2'!$D:$D=$B163),'DRAFT 2'!$A:$A),"")</f>
        <v/>
      </c>
      <c r="AU163" s="116">
        <f>IFERROR(LOOKUP(2,1/('DRAFT 2'!$D:$D=$B163),'DRAFT 2'!$R:$R),"")</f>
        <v/>
      </c>
      <c r="AV163" s="116">
        <f>IFERROR(LOOKUP(2,1/('DRAFT 2'!$D:$D=$B163),'DRAFT 2'!$S:$S),"")</f>
        <v/>
      </c>
      <c r="AX163" s="116">
        <f>IFERROR(LOOKUP(2,1/('DRAFT 2'!$D:$D=$B163),'DRAFT 2'!$M:$M),"")</f>
        <v/>
      </c>
      <c r="AY163" s="116">
        <f>IFERROR(LOOKUP(2,1/('DRAFT 2'!$D:$D=$B163),'DRAFT 2'!$K:$K),"")</f>
        <v/>
      </c>
      <c r="BG163" s="116">
        <f>IFERROR(LOOKUP(2,1/('DRAFT 2'!$D:$D=$B163),'DRAFT 2'!$U:$U),"")</f>
        <v/>
      </c>
      <c r="BH163" s="116">
        <f>IFERROR(LOOKUP(2,1/('DRAFT 2'!$D:$D=$B163),'DRAFT 2'!$V:$V),"")</f>
        <v/>
      </c>
      <c r="CE163" s="116">
        <f>IFERROR(AJ163,0)</f>
        <v/>
      </c>
      <c r="CF163" s="116">
        <f>IFERROR(LOOKUP(2,1/('DRAFT 2'!$D:$D=$B163)*('DRAFT 2'!$A:$A&gt;=DATE(2026,1,1))*('DRAFT 2'!$A:$A&lt;DATE(2026,IF(1=12,1+1,1+1),1)),'DRAFT 2'!$A:$A),"")</f>
        <v/>
      </c>
      <c r="CG163" s="116">
        <f>COUNTIFS('DRAFT 2'!$D:$D,$B163,'DRAFT 2'!$A:$A,"&gt;="&amp;DATE(2026,1,1),'DRAFT 2'!$A:$A,"&lt;="&amp;DATE(2026,1,7))</f>
        <v/>
      </c>
      <c r="CH163" s="116">
        <f>COUNTIFS('DRAFT 2'!$D:$D,$B163,'DRAFT 2'!$A:$A,"&gt;="&amp;DATE(2026,1,8),'DRAFT 2'!$A:$A,"&lt;="&amp;DATE(2026,1,14))</f>
        <v/>
      </c>
      <c r="CI163" s="116">
        <f>COUNTIFS('DRAFT 2'!$D:$D,$B163,'DRAFT 2'!$A:$A,"&gt;="&amp;DATE(2026,1,15),'DRAFT 2'!$A:$A,"&lt;="&amp;DATE(2026,1,21))</f>
        <v/>
      </c>
      <c r="CJ163" s="116">
        <f>COUNTIFS('DRAFT 2'!$D:$D,$B163,'DRAFT 2'!$A:$A,"&gt;="&amp;DATE(2026,1,22),'DRAFT 2'!$A:$A,"&lt;"&amp;DATE(2026,IF(1=12,1+1,1+1),1))</f>
        <v/>
      </c>
      <c r="CK163" s="116">
        <f>SUM(CG163:CJ163)</f>
        <v/>
      </c>
      <c r="CT163" s="116" t="n">
        <v>0</v>
      </c>
      <c r="CU163" s="116">
        <f>IFERROR(LOOKUP(2,1/('DRAFT 2'!$D:$D=$B163)*('DRAFT 2'!$A:$A&gt;=DATE(2026,2,1))*('DRAFT 2'!$A:$A&lt;DATE(2026,IF(2=12,2+1,2+1),1)),'DRAFT 2'!$A:$A),"")</f>
        <v/>
      </c>
      <c r="CV163" s="116">
        <f>COUNTIFS('DRAFT 2'!$D:$D,$B163,'DRAFT 2'!$A:$A,"&gt;="&amp;DATE(2026,2,1),'DRAFT 2'!$A:$A,"&lt;="&amp;DATE(2026,2,7))</f>
        <v/>
      </c>
      <c r="CW163" s="116">
        <f>COUNTIFS('DRAFT 2'!$D:$D,$B163,'DRAFT 2'!$A:$A,"&gt;="&amp;DATE(2026,2,8),'DRAFT 2'!$A:$A,"&lt;="&amp;DATE(2026,2,14))</f>
        <v/>
      </c>
      <c r="CX163" s="116">
        <f>COUNTIFS('DRAFT 2'!$D:$D,$B163,'DRAFT 2'!$A:$A,"&gt;="&amp;DATE(2026,2,15),'DRAFT 2'!$A:$A,"&lt;="&amp;DATE(2026,2,21))</f>
        <v/>
      </c>
      <c r="CY163" s="116">
        <f>COUNTIFS('DRAFT 2'!$D:$D,$B163,'DRAFT 2'!$A:$A,"&gt;="&amp;DATE(2026,2,22),'DRAFT 2'!$A:$A,"&lt;"&amp;DATE(2026,IF(2=12,2+1,2+1),1))</f>
        <v/>
      </c>
      <c r="CZ163" s="116">
        <f>SUM(CV163:CY163)</f>
        <v/>
      </c>
      <c r="DJ163" s="116">
        <f>IFERROR(LOOKUP(2,1/('DRAFT 2'!$D:$D=$B163)*('DRAFT 2'!$A:$A&gt;=DATE(2026,3,1))*('DRAFT 2'!$A:$A&lt;DATE(2026,IF(3=12,3+1,3+1),1)),'DRAFT 2'!$A:$A),"")</f>
        <v/>
      </c>
      <c r="DK163" s="116">
        <f>COUNTIFS('DRAFT 2'!$D:$D,$B163,'DRAFT 2'!$A:$A,"&gt;="&amp;DATE(2026,3,1),'DRAFT 2'!$A:$A,"&lt;="&amp;DATE(2026,3,7))</f>
        <v/>
      </c>
      <c r="DL163" s="116">
        <f>COUNTIFS('DRAFT 2'!$D:$D,$B163,'DRAFT 2'!$A:$A,"&gt;="&amp;DATE(2026,3,8),'DRAFT 2'!$A:$A,"&lt;="&amp;DATE(2026,3,14))</f>
        <v/>
      </c>
      <c r="DM163" s="116">
        <f>COUNTIFS('DRAFT 2'!$D:$D,$B163,'DRAFT 2'!$A:$A,"&gt;="&amp;DATE(2026,3,15),'DRAFT 2'!$A:$A,"&lt;="&amp;DATE(2026,3,21))</f>
        <v/>
      </c>
      <c r="DN163" s="116">
        <f>COUNTIFS('DRAFT 2'!$D:$D,$B163,'DRAFT 2'!$A:$A,"&gt;="&amp;DATE(2026,3,22),'DRAFT 2'!$A:$A,"&lt;"&amp;DATE(2026,IF(3=12,3+1,3+1),1))</f>
        <v/>
      </c>
      <c r="DO163" s="116">
        <f>SUM(DK163:DN163)</f>
        <v/>
      </c>
      <c r="DZ163" s="116">
        <f>IFERROR(LOOKUP(2,1/('DRAFT 2'!$D:$D=$B163)*('DRAFT 2'!$A:$A&gt;=DATE(2026,4,1))*('DRAFT 2'!$A:$A&lt;DATE(2026,IF(4=12,4+1,4+1),1)),'DRAFT 2'!$A:$A),"")</f>
        <v/>
      </c>
      <c r="EA163" s="116">
        <f>COUNTIFS('DRAFT 2'!$D:$D,$B163,'DRAFT 2'!$A:$A,"&gt;="&amp;DATE(2026,4,1),'DRAFT 2'!$A:$A,"&lt;="&amp;DATE(2026,4,7))</f>
        <v/>
      </c>
      <c r="EB163" s="116">
        <f>COUNTIFS('DRAFT 2'!$D:$D,$B163,'DRAFT 2'!$A:$A,"&gt;="&amp;DATE(2026,4,8),'DRAFT 2'!$A:$A,"&lt;="&amp;DATE(2026,4,14))</f>
        <v/>
      </c>
      <c r="EC163" s="116">
        <f>COUNTIFS('DRAFT 2'!$D:$D,$B163,'DRAFT 2'!$A:$A,"&gt;="&amp;DATE(2026,4,15),'DRAFT 2'!$A:$A,"&lt;="&amp;DATE(2026,4,21))</f>
        <v/>
      </c>
      <c r="ED163" s="116">
        <f>COUNTIFS('DRAFT 2'!$D:$D,$B163,'DRAFT 2'!$A:$A,"&gt;="&amp;DATE(2026,4,22),'DRAFT 2'!$A:$A,"&lt;"&amp;DATE(2026,IF(4=12,4+1,4+1),1))</f>
        <v/>
      </c>
      <c r="EE163" s="116">
        <f>SUM(EA163:ED163)</f>
        <v/>
      </c>
      <c r="EO163" s="116">
        <f>IFERROR(LOOKUP(2,1/('DRAFT 2'!$D:$D=$B163)*('DRAFT 2'!$A:$A&gt;=DATE(2026,5,1))*('DRAFT 2'!$A:$A&lt;DATE(2026,IF(5=12,5+1,5+1),1)),'DRAFT 2'!$A:$A),"")</f>
        <v/>
      </c>
      <c r="EP163" s="116">
        <f>COUNTIFS('DRAFT 2'!$D:$D,$B163,'DRAFT 2'!$A:$A,"&gt;="&amp;DATE(2026,5,1),'DRAFT 2'!$A:$A,"&lt;="&amp;DATE(2026,5,7))</f>
        <v/>
      </c>
      <c r="EQ163" s="116">
        <f>COUNTIFS('DRAFT 2'!$D:$D,$B163,'DRAFT 2'!$A:$A,"&gt;="&amp;DATE(2026,5,8),'DRAFT 2'!$A:$A,"&lt;="&amp;DATE(2026,5,14))</f>
        <v/>
      </c>
      <c r="ER163" s="116">
        <f>COUNTIFS('DRAFT 2'!$D:$D,$B163,'DRAFT 2'!$A:$A,"&gt;="&amp;DATE(2026,5,15),'DRAFT 2'!$A:$A,"&lt;="&amp;DATE(2026,5,21))</f>
        <v/>
      </c>
      <c r="ES163" s="116">
        <f>COUNTIFS('DRAFT 2'!$D:$D,$B163,'DRAFT 2'!$A:$A,"&gt;="&amp;DATE(2026,5,22),'DRAFT 2'!$A:$A,"&lt;"&amp;DATE(2026,IF(5=12,5+1,5+1),1))</f>
        <v/>
      </c>
      <c r="ET163" s="116">
        <f>SUM(EP163:ES163)</f>
        <v/>
      </c>
      <c r="FD163" s="116">
        <f>IFERROR(LOOKUP(2,1/('DRAFT 2'!$D:$D=$B163)*('DRAFT 2'!$A:$A&gt;=DATE(2026,6,1))*('DRAFT 2'!$A:$A&lt;DATE(2026,IF(6=12,6+1,6+1),1)),'DRAFT 2'!$A:$A),"")</f>
        <v/>
      </c>
      <c r="FE163" s="116">
        <f>COUNTIFS('DRAFT 2'!$D:$D,$B163,'DRAFT 2'!$A:$A,"&gt;="&amp;DATE(2026,6,1),'DRAFT 2'!$A:$A,"&lt;="&amp;DATE(2026,6,7))</f>
        <v/>
      </c>
      <c r="FF163" s="116">
        <f>COUNTIFS('DRAFT 2'!$D:$D,$B163,'DRAFT 2'!$A:$A,"&gt;="&amp;DATE(2026,6,8),'DRAFT 2'!$A:$A,"&lt;="&amp;DATE(2026,6,14))</f>
        <v/>
      </c>
      <c r="FG163" s="116">
        <f>COUNTIFS('DRAFT 2'!$D:$D,$B163,'DRAFT 2'!$A:$A,"&gt;="&amp;DATE(2026,6,15),'DRAFT 2'!$A:$A,"&lt;="&amp;DATE(2026,6,21))</f>
        <v/>
      </c>
      <c r="FH163" s="116">
        <f>COUNTIFS('DRAFT 2'!$D:$D,$B163,'DRAFT 2'!$A:$A,"&gt;="&amp;DATE(2026,6,22),'DRAFT 2'!$A:$A,"&lt;"&amp;DATE(2026,IF(6=12,6+1,6+1),1))</f>
        <v/>
      </c>
      <c r="FI163" s="116">
        <f>SUM(FE163:FH163)</f>
        <v/>
      </c>
      <c r="FT163" s="116">
        <f>IFERROR(LOOKUP(2,1/('DRAFT 2'!$D:$D=$B163)*('DRAFT 2'!$A:$A&gt;=DATE(2026,7,1))*('DRAFT 2'!$A:$A&lt;DATE(2026,IF(7=12,7+1,7+1),1)),'DRAFT 2'!$A:$A),"")</f>
        <v/>
      </c>
      <c r="FU163" s="116">
        <f>COUNTIFS('DRAFT 2'!$D:$D,$B163,'DRAFT 2'!$A:$A,"&gt;="&amp;DATE(2026,7,1),'DRAFT 2'!$A:$A,"&lt;="&amp;DATE(2026,7,7))</f>
        <v/>
      </c>
      <c r="FV163" s="116">
        <f>COUNTIFS('DRAFT 2'!$D:$D,$B163,'DRAFT 2'!$A:$A,"&gt;="&amp;DATE(2026,7,8),'DRAFT 2'!$A:$A,"&lt;="&amp;DATE(2026,7,14))</f>
        <v/>
      </c>
      <c r="FW163" s="116">
        <f>COUNTIFS('DRAFT 2'!$D:$D,$B163,'DRAFT 2'!$A:$A,"&gt;="&amp;DATE(2026,7,15),'DRAFT 2'!$A:$A,"&lt;="&amp;DATE(2026,7,21))</f>
        <v/>
      </c>
      <c r="FX163" s="116">
        <f>COUNTIFS('DRAFT 2'!$D:$D,$B163,'DRAFT 2'!$A:$A,"&gt;="&amp;DATE(2026,7,22),'DRAFT 2'!$A:$A,"&lt;"&amp;DATE(2026,IF(7=12,7+1,7+1),1))</f>
        <v/>
      </c>
      <c r="FY163" s="116">
        <f>SUM(FU163:FX163)</f>
        <v/>
      </c>
      <c r="GI163" s="116">
        <f>IFERROR(LOOKUP(2,1/('DRAFT 2'!$D:$D=$B163)*('DRAFT 2'!$A:$A&gt;=DATE(2026,8,1))*('DRAFT 2'!$A:$A&lt;DATE(2026,IF(8=12,8+1,8+1),1)),'DRAFT 2'!$A:$A),"")</f>
        <v/>
      </c>
      <c r="GJ163" s="116">
        <f>COUNTIFS('DRAFT 2'!$D:$D,$B163,'DRAFT 2'!$A:$A,"&gt;="&amp;DATE(2026,8,1),'DRAFT 2'!$A:$A,"&lt;="&amp;DATE(2026,8,7))</f>
        <v/>
      </c>
      <c r="GK163" s="116">
        <f>COUNTIFS('DRAFT 2'!$D:$D,$B163,'DRAFT 2'!$A:$A,"&gt;="&amp;DATE(2026,8,8),'DRAFT 2'!$A:$A,"&lt;="&amp;DATE(2026,8,14))</f>
        <v/>
      </c>
      <c r="GL163" s="116">
        <f>COUNTIFS('DRAFT 2'!$D:$D,$B163,'DRAFT 2'!$A:$A,"&gt;="&amp;DATE(2026,8,15),'DRAFT 2'!$A:$A,"&lt;="&amp;DATE(2026,8,21))</f>
        <v/>
      </c>
      <c r="GM163" s="116">
        <f>COUNTIFS('DRAFT 2'!$D:$D,$B163,'DRAFT 2'!$A:$A,"&gt;="&amp;DATE(2026,8,22),'DRAFT 2'!$A:$A,"&lt;"&amp;DATE(2026,IF(8=12,8+1,8+1),1))</f>
        <v/>
      </c>
      <c r="GN163" s="116">
        <f>SUM(GJ163:GM163)</f>
        <v/>
      </c>
      <c r="GX163" s="116">
        <f>IFERROR(LOOKUP(2,1/('DRAFT 2'!$D:$D=$B163)*('DRAFT 2'!$A:$A&gt;=DATE(2026,9,1))*('DRAFT 2'!$A:$A&lt;DATE(2026,IF(9=12,9+1,9+1),1)),'DRAFT 2'!$A:$A),"")</f>
        <v/>
      </c>
      <c r="GY163" s="116">
        <f>COUNTIFS('DRAFT 2'!$D:$D,$B163,'DRAFT 2'!$A:$A,"&gt;="&amp;DATE(2026,9,1),'DRAFT 2'!$A:$A,"&lt;="&amp;DATE(2026,9,7))</f>
        <v/>
      </c>
      <c r="GZ163" s="116">
        <f>COUNTIFS('DRAFT 2'!$D:$D,$B163,'DRAFT 2'!$A:$A,"&gt;="&amp;DATE(2026,9,8),'DRAFT 2'!$A:$A,"&lt;="&amp;DATE(2026,9,14))</f>
        <v/>
      </c>
      <c r="HA163" s="116">
        <f>COUNTIFS('DRAFT 2'!$D:$D,$B163,'DRAFT 2'!$A:$A,"&gt;="&amp;DATE(2026,9,15),'DRAFT 2'!$A:$A,"&lt;="&amp;DATE(2026,9,21))</f>
        <v/>
      </c>
      <c r="HB163" s="116">
        <f>COUNTIFS('DRAFT 2'!$D:$D,$B163,'DRAFT 2'!$A:$A,"&gt;="&amp;DATE(2026,9,22),'DRAFT 2'!$A:$A,"&lt;"&amp;DATE(2026,IF(9=12,9+1,9+1),1))</f>
        <v/>
      </c>
      <c r="HC163" s="116">
        <f>SUM(GY163:HB163)</f>
        <v/>
      </c>
      <c r="HN163" s="116">
        <f>IFERROR(LOOKUP(2,1/('DRAFT 2'!$D:$D=$B163)*('DRAFT 2'!$A:$A&gt;=DATE(2026,10,1))*('DRAFT 2'!$A:$A&lt;DATE(2026,IF(10=12,10+1,10+1),1)),'DRAFT 2'!$A:$A),"")</f>
        <v/>
      </c>
      <c r="HO163" s="116">
        <f>COUNTIFS('DRAFT 2'!$D:$D,$B163,'DRAFT 2'!$A:$A,"&gt;="&amp;DATE(2026,10,1),'DRAFT 2'!$A:$A,"&lt;="&amp;DATE(2026,10,7))</f>
        <v/>
      </c>
      <c r="HP163" s="116">
        <f>COUNTIFS('DRAFT 2'!$D:$D,$B163,'DRAFT 2'!$A:$A,"&gt;="&amp;DATE(2026,10,8),'DRAFT 2'!$A:$A,"&lt;="&amp;DATE(2026,10,14))</f>
        <v/>
      </c>
      <c r="HQ163" s="116">
        <f>COUNTIFS('DRAFT 2'!$D:$D,$B163,'DRAFT 2'!$A:$A,"&gt;="&amp;DATE(2026,10,15),'DRAFT 2'!$A:$A,"&lt;="&amp;DATE(2026,10,21))</f>
        <v/>
      </c>
      <c r="HR163" s="116">
        <f>COUNTIFS('DRAFT 2'!$D:$D,$B163,'DRAFT 2'!$A:$A,"&gt;="&amp;DATE(2026,10,22),'DRAFT 2'!$A:$A,"&lt;"&amp;DATE(2026,IF(10=12,10+1,10+1),1))</f>
        <v/>
      </c>
      <c r="HS163" s="116">
        <f>SUM(HO163:HR163)</f>
        <v/>
      </c>
      <c r="IC163" s="116">
        <f>IFERROR(LOOKUP(2,1/('DRAFT 2'!$D:$D=$B163)*('DRAFT 2'!$A:$A&gt;=DATE(2026,11,1))*('DRAFT 2'!$A:$A&lt;DATE(2026,IF(11=12,11+1,11+1),1)),'DRAFT 2'!$A:$A),"")</f>
        <v/>
      </c>
      <c r="ID163" s="116">
        <f>COUNTIFS('DRAFT 2'!$D:$D,$B163,'DRAFT 2'!$A:$A,"&gt;="&amp;DATE(2026,11,1),'DRAFT 2'!$A:$A,"&lt;="&amp;DATE(2026,11,7))</f>
        <v/>
      </c>
      <c r="IE163" s="116">
        <f>COUNTIFS('DRAFT 2'!$D:$D,$B163,'DRAFT 2'!$A:$A,"&gt;="&amp;DATE(2026,11,8),'DRAFT 2'!$A:$A,"&lt;="&amp;DATE(2026,11,14))</f>
        <v/>
      </c>
      <c r="IF163" s="116">
        <f>COUNTIFS('DRAFT 2'!$D:$D,$B163,'DRAFT 2'!$A:$A,"&gt;="&amp;DATE(2026,11,15),'DRAFT 2'!$A:$A,"&lt;="&amp;DATE(2026,11,21))</f>
        <v/>
      </c>
      <c r="IG163" s="116">
        <f>COUNTIFS('DRAFT 2'!$D:$D,$B163,'DRAFT 2'!$A:$A,"&gt;="&amp;DATE(2026,11,22),'DRAFT 2'!$A:$A,"&lt;"&amp;DATE(2026,IF(11=12,11+1,11+1),1))</f>
        <v/>
      </c>
      <c r="IH163" s="116">
        <f>SUM(ID163:IG163)</f>
        <v/>
      </c>
      <c r="IR163" s="116">
        <f>IFERROR(LOOKUP(2,1/('DRAFT 2'!$D:$D=$B163)*('DRAFT 2'!$A:$A&gt;=DATE(2026,12,1))*('DRAFT 2'!$A:$A&lt;DATE(2026,IF(12=12,12+1,12+1),1)),'DRAFT 2'!$A:$A),"")</f>
        <v/>
      </c>
      <c r="IS163" s="116">
        <f>COUNTIFS('DRAFT 2'!$D:$D,$B163,'DRAFT 2'!$A:$A,"&gt;="&amp;DATE(2026,12,1),'DRAFT 2'!$A:$A,"&lt;="&amp;DATE(2026,12,7))</f>
        <v/>
      </c>
      <c r="IT163" s="116">
        <f>COUNTIFS('DRAFT 2'!$D:$D,$B163,'DRAFT 2'!$A:$A,"&gt;="&amp;DATE(2026,12,8),'DRAFT 2'!$A:$A,"&lt;="&amp;DATE(2026,12,14))</f>
        <v/>
      </c>
      <c r="IU163" s="116">
        <f>COUNTIFS('DRAFT 2'!$D:$D,$B163,'DRAFT 2'!$A:$A,"&gt;="&amp;DATE(2026,12,15),'DRAFT 2'!$A:$A,"&lt;="&amp;DATE(2026,12,21))</f>
        <v/>
      </c>
      <c r="IV163" s="116">
        <f>COUNTIFS('DRAFT 2'!$D:$D,$B163,'DRAFT 2'!$A:$A,"&gt;="&amp;DATE(2026,12,22),'DRAFT 2'!$A:$A,"&lt;"&amp;DATE(2026,IF(12=12,12+1,12+1),1))</f>
        <v/>
      </c>
      <c r="IW163" s="116">
        <f>SUM(IS163:IV163)</f>
        <v/>
      </c>
    </row>
    <row r="164">
      <c r="A164" s="116">
        <f>IFERROR(INDEX('DRAFT 1'!$A:$A,MATCH($B164,'DRAFT 1'!$B:$B,0)),"")</f>
        <v/>
      </c>
      <c r="C164" s="116">
        <f>IFERROR(INDEX('DRAFT 1'!$C:$C,MATCH($B164,'DRAFT 1'!$B:$B,0)),"")</f>
        <v/>
      </c>
      <c r="D164" s="116">
        <f>IFERROR(INDEX('DRAFT 1'!$D:$D,MATCH($B164,'DRAFT 1'!$B:$B,0)),"")</f>
        <v/>
      </c>
      <c r="E164" s="116">
        <f>IFERROR(INDEX('DRAFT 1'!$E:$E,MATCH($B164,'DRAFT 1'!$B:$B,0)),"")</f>
        <v/>
      </c>
      <c r="F164" s="116">
        <f>IFERROR(INDEX('DRAFT 1'!$F:$F,MATCH($B164,'DRAFT 1'!$B:$B,0)),"")</f>
        <v/>
      </c>
      <c r="G164" s="116">
        <f>IFERROR(INDEX('DRAFT 1'!$G:$G,MATCH($B164,'DRAFT 1'!$B:$B,0)),"")</f>
        <v/>
      </c>
      <c r="H164" s="116">
        <f>IFERROR(INDEX('DRAFT 1'!$H:$H,MATCH($B164,'DRAFT 1'!$B:$B,0)),"")</f>
        <v/>
      </c>
      <c r="I164" s="116">
        <f>IFERROR(INDEX('DRAFT 1'!$I:$I,MATCH($B164,'DRAFT 1'!$B:$B,0)),"")</f>
        <v/>
      </c>
      <c r="K164" s="116">
        <f>IFERROR(INDEX('DRAFT 1'!$AL:$AL,MATCH($B164,'DRAFT 1'!$B:$B,0)),"")</f>
        <v/>
      </c>
      <c r="L164" s="116">
        <f>IFERROR(INDEX('DRAFT 1'!$J:$J,MATCH($B164,'DRAFT 1'!$B:$B,0)),"")</f>
        <v/>
      </c>
      <c r="M164" s="116">
        <f>IFERROR(INDEX('DRAFT 1'!$K:$K,MATCH($B164,'DRAFT 1'!$B:$B,0)),"")</f>
        <v/>
      </c>
      <c r="P164" s="116">
        <f>IFERROR(INDEX('DRAFT 1'!$L:$L,MATCH($B164,'DRAFT 1'!$B:$B,0)),"")</f>
        <v/>
      </c>
      <c r="Q164" s="116">
        <f>IFERROR(INDEX('DRAFT 1'!$M:$M,MATCH($B164,'DRAFT 1'!$B:$B,0)),"")</f>
        <v/>
      </c>
      <c r="R164" s="116">
        <f>IFERROR(INDEX('DRAFT 1'!$N:$N,MATCH($B164,'DRAFT 1'!$B:$B,0)),"")</f>
        <v/>
      </c>
      <c r="S164" s="116">
        <f>IFERROR(INDEX('DRAFT 1'!$O:$O,MATCH($B164,'DRAFT 1'!$B:$B,0)),"")</f>
        <v/>
      </c>
      <c r="T164" s="116">
        <f>IFERROR(INDEX('DRAFT 1'!$P:$P,MATCH($B164,'DRAFT 1'!$B:$B,0)),"")</f>
        <v/>
      </c>
      <c r="U164" s="116">
        <f>IFERROR(INDEX('DRAFT 1'!$Q:$Q,MATCH($B164,'DRAFT 1'!$B:$B,0)),"")</f>
        <v/>
      </c>
      <c r="V164" s="116">
        <f>IFERROR(INDEX('DRAFT 1'!$R:$R,MATCH($B164,'DRAFT 1'!$B:$B,0)),"")</f>
        <v/>
      </c>
      <c r="W164" s="116">
        <f>IFERROR(INDEX('DRAFT 1'!$S:$S,MATCH($B164,'DRAFT 1'!$B:$B,0)),"")</f>
        <v/>
      </c>
      <c r="X164" s="116">
        <f>IFERROR(INDEX('DRAFT 1'!$T:$T,MATCH($B164,'DRAFT 1'!$B:$B,0)),"")</f>
        <v/>
      </c>
      <c r="Z164" s="116">
        <f>IFERROR(INDEX('DRAFT 1'!$U:$U,MATCH($B164,'DRAFT 1'!$B:$B,0)),"")</f>
        <v/>
      </c>
      <c r="AA164" s="116">
        <f>IFERROR(INDEX('DRAFT 1'!$V:$V,MATCH($B164,'DRAFT 1'!$B:$B,0)),"")</f>
        <v/>
      </c>
      <c r="AB164" s="116">
        <f>IFERROR(INDEX('DRAFT 1'!$W:$W,MATCH($B164,'DRAFT 1'!$B:$B,0)),"")</f>
        <v/>
      </c>
      <c r="AC164" s="116">
        <f>IFERROR(INDEX('DRAFT 1'!$X:$X,MATCH($B164,'DRAFT 1'!$B:$B,0)),"")</f>
        <v/>
      </c>
      <c r="AD164" s="116">
        <f>IFERROR(INDEX('DRAFT 1'!$Y:$Y,MATCH($B164,'DRAFT 1'!$B:$B,0)),"")</f>
        <v/>
      </c>
      <c r="AE164" s="116">
        <f>IFERROR(INDEX('DRAFT 1'!$Z:$Z,MATCH($B164,'DRAFT 1'!$B:$B,0)),"")</f>
        <v/>
      </c>
      <c r="AF164" s="116">
        <f>IFERROR(INDEX('DRAFT 1'!$AA:$AA,MATCH($B164,'DRAFT 1'!$B:$B,0)),"")</f>
        <v/>
      </c>
      <c r="AG164" s="116">
        <f>IFERROR(INDEX('DRAFT 1'!$AB:$AB,MATCH($B164,'DRAFT 1'!$B:$B,0)),"")</f>
        <v/>
      </c>
      <c r="AH164" s="116">
        <f>IFERROR(INDEX('DRAFT 1'!$AC:$AC,MATCH($B164,'DRAFT 1'!$B:$B,0)),"")</f>
        <v/>
      </c>
      <c r="AI164" s="116">
        <f>IFERROR(INDEX('DRAFT 1'!$AD:$AD,MATCH($B164,'DRAFT 1'!$B:$B,0)),"")</f>
        <v/>
      </c>
      <c r="AJ164" s="116">
        <f>IFERROR(INDEX('DRAFT 1'!$AE:$AE,MATCH($B164,'DRAFT 1'!$B:$B,0)),"")</f>
        <v/>
      </c>
      <c r="AK164" s="116">
        <f>IFERROR(INDEX('DRAFT 1'!$AG:$AG,MATCH($B164,'DRAFT 1'!$B:$B,0)),"")</f>
        <v/>
      </c>
      <c r="AL164" s="116">
        <f>IFERROR(INDEX('DRAFT 1'!$AH:$AH,MATCH($B164,'DRAFT 1'!$B:$B,0)),"")</f>
        <v/>
      </c>
      <c r="AM164" s="116">
        <f>IFERROR(INDEX('DRAFT 1'!$AI:$AI,MATCH($B164,'DRAFT 1'!$B:$B,0)),"")</f>
        <v/>
      </c>
      <c r="AN164" s="116">
        <f>IFERROR(INDEX('DRAFT 1'!$AJ:$AJ,MATCH($B164,'DRAFT 1'!$B:$B,0)),"")</f>
        <v/>
      </c>
      <c r="AO164" s="116">
        <f>IFERROR(Y164/AN164,0)</f>
        <v/>
      </c>
      <c r="AP164" s="116">
        <f>IFERROR(INDEX('DRAFT 1'!$AK:$AK,MATCH($B164,'DRAFT 1'!$B:$B,0)),"")</f>
        <v/>
      </c>
      <c r="AR164" s="116">
        <f>IFERROR(LOOKUP(2,1/('DRAFT 2'!$D:$D=$B164),'DRAFT 2'!$I:$I),"")</f>
        <v/>
      </c>
      <c r="AS164" s="116">
        <f>IFERROR(LOOKUP(2,1/('DRAFT 2'!$D:$D=$B164),'DRAFT 2'!$T:$T),"")</f>
        <v/>
      </c>
      <c r="AT164" s="116">
        <f>IFERROR(LOOKUP(2,1/('DRAFT 2'!$D:$D=$B164),'DRAFT 2'!$A:$A),"")</f>
        <v/>
      </c>
      <c r="AU164" s="116">
        <f>IFERROR(LOOKUP(2,1/('DRAFT 2'!$D:$D=$B164),'DRAFT 2'!$R:$R),"")</f>
        <v/>
      </c>
      <c r="AV164" s="116">
        <f>IFERROR(LOOKUP(2,1/('DRAFT 2'!$D:$D=$B164),'DRAFT 2'!$S:$S),"")</f>
        <v/>
      </c>
      <c r="AX164" s="116">
        <f>IFERROR(LOOKUP(2,1/('DRAFT 2'!$D:$D=$B164),'DRAFT 2'!$M:$M),"")</f>
        <v/>
      </c>
      <c r="AY164" s="116">
        <f>IFERROR(LOOKUP(2,1/('DRAFT 2'!$D:$D=$B164),'DRAFT 2'!$K:$K),"")</f>
        <v/>
      </c>
      <c r="BG164" s="116">
        <f>IFERROR(LOOKUP(2,1/('DRAFT 2'!$D:$D=$B164),'DRAFT 2'!$U:$U),"")</f>
        <v/>
      </c>
      <c r="BH164" s="116">
        <f>IFERROR(LOOKUP(2,1/('DRAFT 2'!$D:$D=$B164),'DRAFT 2'!$V:$V),"")</f>
        <v/>
      </c>
      <c r="CE164" s="116">
        <f>IFERROR(AJ164,0)</f>
        <v/>
      </c>
      <c r="CF164" s="116">
        <f>IFERROR(LOOKUP(2,1/('DRAFT 2'!$D:$D=$B164)*('DRAFT 2'!$A:$A&gt;=DATE(2026,1,1))*('DRAFT 2'!$A:$A&lt;DATE(2026,IF(1=12,1+1,1+1),1)),'DRAFT 2'!$A:$A),"")</f>
        <v/>
      </c>
      <c r="CG164" s="116">
        <f>COUNTIFS('DRAFT 2'!$D:$D,$B164,'DRAFT 2'!$A:$A,"&gt;="&amp;DATE(2026,1,1),'DRAFT 2'!$A:$A,"&lt;="&amp;DATE(2026,1,7))</f>
        <v/>
      </c>
      <c r="CH164" s="116">
        <f>COUNTIFS('DRAFT 2'!$D:$D,$B164,'DRAFT 2'!$A:$A,"&gt;="&amp;DATE(2026,1,8),'DRAFT 2'!$A:$A,"&lt;="&amp;DATE(2026,1,14))</f>
        <v/>
      </c>
      <c r="CI164" s="116">
        <f>COUNTIFS('DRAFT 2'!$D:$D,$B164,'DRAFT 2'!$A:$A,"&gt;="&amp;DATE(2026,1,15),'DRAFT 2'!$A:$A,"&lt;="&amp;DATE(2026,1,21))</f>
        <v/>
      </c>
      <c r="CJ164" s="116">
        <f>COUNTIFS('DRAFT 2'!$D:$D,$B164,'DRAFT 2'!$A:$A,"&gt;="&amp;DATE(2026,1,22),'DRAFT 2'!$A:$A,"&lt;"&amp;DATE(2026,IF(1=12,1+1,1+1),1))</f>
        <v/>
      </c>
      <c r="CK164" s="116">
        <f>SUM(CG164:CJ164)</f>
        <v/>
      </c>
      <c r="CT164" s="116" t="n">
        <v>0</v>
      </c>
      <c r="CU164" s="116">
        <f>IFERROR(LOOKUP(2,1/('DRAFT 2'!$D:$D=$B164)*('DRAFT 2'!$A:$A&gt;=DATE(2026,2,1))*('DRAFT 2'!$A:$A&lt;DATE(2026,IF(2=12,2+1,2+1),1)),'DRAFT 2'!$A:$A),"")</f>
        <v/>
      </c>
      <c r="CV164" s="116">
        <f>COUNTIFS('DRAFT 2'!$D:$D,$B164,'DRAFT 2'!$A:$A,"&gt;="&amp;DATE(2026,2,1),'DRAFT 2'!$A:$A,"&lt;="&amp;DATE(2026,2,7))</f>
        <v/>
      </c>
      <c r="CW164" s="116">
        <f>COUNTIFS('DRAFT 2'!$D:$D,$B164,'DRAFT 2'!$A:$A,"&gt;="&amp;DATE(2026,2,8),'DRAFT 2'!$A:$A,"&lt;="&amp;DATE(2026,2,14))</f>
        <v/>
      </c>
      <c r="CX164" s="116">
        <f>COUNTIFS('DRAFT 2'!$D:$D,$B164,'DRAFT 2'!$A:$A,"&gt;="&amp;DATE(2026,2,15),'DRAFT 2'!$A:$A,"&lt;="&amp;DATE(2026,2,21))</f>
        <v/>
      </c>
      <c r="CY164" s="116">
        <f>COUNTIFS('DRAFT 2'!$D:$D,$B164,'DRAFT 2'!$A:$A,"&gt;="&amp;DATE(2026,2,22),'DRAFT 2'!$A:$A,"&lt;"&amp;DATE(2026,IF(2=12,2+1,2+1),1))</f>
        <v/>
      </c>
      <c r="CZ164" s="116">
        <f>SUM(CV164:CY164)</f>
        <v/>
      </c>
      <c r="DJ164" s="116">
        <f>IFERROR(LOOKUP(2,1/('DRAFT 2'!$D:$D=$B164)*('DRAFT 2'!$A:$A&gt;=DATE(2026,3,1))*('DRAFT 2'!$A:$A&lt;DATE(2026,IF(3=12,3+1,3+1),1)),'DRAFT 2'!$A:$A),"")</f>
        <v/>
      </c>
      <c r="DK164" s="116">
        <f>COUNTIFS('DRAFT 2'!$D:$D,$B164,'DRAFT 2'!$A:$A,"&gt;="&amp;DATE(2026,3,1),'DRAFT 2'!$A:$A,"&lt;="&amp;DATE(2026,3,7))</f>
        <v/>
      </c>
      <c r="DL164" s="116">
        <f>COUNTIFS('DRAFT 2'!$D:$D,$B164,'DRAFT 2'!$A:$A,"&gt;="&amp;DATE(2026,3,8),'DRAFT 2'!$A:$A,"&lt;="&amp;DATE(2026,3,14))</f>
        <v/>
      </c>
      <c r="DM164" s="116">
        <f>COUNTIFS('DRAFT 2'!$D:$D,$B164,'DRAFT 2'!$A:$A,"&gt;="&amp;DATE(2026,3,15),'DRAFT 2'!$A:$A,"&lt;="&amp;DATE(2026,3,21))</f>
        <v/>
      </c>
      <c r="DN164" s="116">
        <f>COUNTIFS('DRAFT 2'!$D:$D,$B164,'DRAFT 2'!$A:$A,"&gt;="&amp;DATE(2026,3,22),'DRAFT 2'!$A:$A,"&lt;"&amp;DATE(2026,IF(3=12,3+1,3+1),1))</f>
        <v/>
      </c>
      <c r="DO164" s="116">
        <f>SUM(DK164:DN164)</f>
        <v/>
      </c>
      <c r="DZ164" s="116">
        <f>IFERROR(LOOKUP(2,1/('DRAFT 2'!$D:$D=$B164)*('DRAFT 2'!$A:$A&gt;=DATE(2026,4,1))*('DRAFT 2'!$A:$A&lt;DATE(2026,IF(4=12,4+1,4+1),1)),'DRAFT 2'!$A:$A),"")</f>
        <v/>
      </c>
      <c r="EA164" s="116">
        <f>COUNTIFS('DRAFT 2'!$D:$D,$B164,'DRAFT 2'!$A:$A,"&gt;="&amp;DATE(2026,4,1),'DRAFT 2'!$A:$A,"&lt;="&amp;DATE(2026,4,7))</f>
        <v/>
      </c>
      <c r="EB164" s="116">
        <f>COUNTIFS('DRAFT 2'!$D:$D,$B164,'DRAFT 2'!$A:$A,"&gt;="&amp;DATE(2026,4,8),'DRAFT 2'!$A:$A,"&lt;="&amp;DATE(2026,4,14))</f>
        <v/>
      </c>
      <c r="EC164" s="116">
        <f>COUNTIFS('DRAFT 2'!$D:$D,$B164,'DRAFT 2'!$A:$A,"&gt;="&amp;DATE(2026,4,15),'DRAFT 2'!$A:$A,"&lt;="&amp;DATE(2026,4,21))</f>
        <v/>
      </c>
      <c r="ED164" s="116">
        <f>COUNTIFS('DRAFT 2'!$D:$D,$B164,'DRAFT 2'!$A:$A,"&gt;="&amp;DATE(2026,4,22),'DRAFT 2'!$A:$A,"&lt;"&amp;DATE(2026,IF(4=12,4+1,4+1),1))</f>
        <v/>
      </c>
      <c r="EE164" s="116">
        <f>SUM(EA164:ED164)</f>
        <v/>
      </c>
      <c r="EO164" s="116">
        <f>IFERROR(LOOKUP(2,1/('DRAFT 2'!$D:$D=$B164)*('DRAFT 2'!$A:$A&gt;=DATE(2026,5,1))*('DRAFT 2'!$A:$A&lt;DATE(2026,IF(5=12,5+1,5+1),1)),'DRAFT 2'!$A:$A),"")</f>
        <v/>
      </c>
      <c r="EP164" s="116">
        <f>COUNTIFS('DRAFT 2'!$D:$D,$B164,'DRAFT 2'!$A:$A,"&gt;="&amp;DATE(2026,5,1),'DRAFT 2'!$A:$A,"&lt;="&amp;DATE(2026,5,7))</f>
        <v/>
      </c>
      <c r="EQ164" s="116">
        <f>COUNTIFS('DRAFT 2'!$D:$D,$B164,'DRAFT 2'!$A:$A,"&gt;="&amp;DATE(2026,5,8),'DRAFT 2'!$A:$A,"&lt;="&amp;DATE(2026,5,14))</f>
        <v/>
      </c>
      <c r="ER164" s="116">
        <f>COUNTIFS('DRAFT 2'!$D:$D,$B164,'DRAFT 2'!$A:$A,"&gt;="&amp;DATE(2026,5,15),'DRAFT 2'!$A:$A,"&lt;="&amp;DATE(2026,5,21))</f>
        <v/>
      </c>
      <c r="ES164" s="116">
        <f>COUNTIFS('DRAFT 2'!$D:$D,$B164,'DRAFT 2'!$A:$A,"&gt;="&amp;DATE(2026,5,22),'DRAFT 2'!$A:$A,"&lt;"&amp;DATE(2026,IF(5=12,5+1,5+1),1))</f>
        <v/>
      </c>
      <c r="ET164" s="116">
        <f>SUM(EP164:ES164)</f>
        <v/>
      </c>
      <c r="FD164" s="116">
        <f>IFERROR(LOOKUP(2,1/('DRAFT 2'!$D:$D=$B164)*('DRAFT 2'!$A:$A&gt;=DATE(2026,6,1))*('DRAFT 2'!$A:$A&lt;DATE(2026,IF(6=12,6+1,6+1),1)),'DRAFT 2'!$A:$A),"")</f>
        <v/>
      </c>
      <c r="FE164" s="116">
        <f>COUNTIFS('DRAFT 2'!$D:$D,$B164,'DRAFT 2'!$A:$A,"&gt;="&amp;DATE(2026,6,1),'DRAFT 2'!$A:$A,"&lt;="&amp;DATE(2026,6,7))</f>
        <v/>
      </c>
      <c r="FF164" s="116">
        <f>COUNTIFS('DRAFT 2'!$D:$D,$B164,'DRAFT 2'!$A:$A,"&gt;="&amp;DATE(2026,6,8),'DRAFT 2'!$A:$A,"&lt;="&amp;DATE(2026,6,14))</f>
        <v/>
      </c>
      <c r="FG164" s="116">
        <f>COUNTIFS('DRAFT 2'!$D:$D,$B164,'DRAFT 2'!$A:$A,"&gt;="&amp;DATE(2026,6,15),'DRAFT 2'!$A:$A,"&lt;="&amp;DATE(2026,6,21))</f>
        <v/>
      </c>
      <c r="FH164" s="116">
        <f>COUNTIFS('DRAFT 2'!$D:$D,$B164,'DRAFT 2'!$A:$A,"&gt;="&amp;DATE(2026,6,22),'DRAFT 2'!$A:$A,"&lt;"&amp;DATE(2026,IF(6=12,6+1,6+1),1))</f>
        <v/>
      </c>
      <c r="FI164" s="116">
        <f>SUM(FE164:FH164)</f>
        <v/>
      </c>
      <c r="FT164" s="116">
        <f>IFERROR(LOOKUP(2,1/('DRAFT 2'!$D:$D=$B164)*('DRAFT 2'!$A:$A&gt;=DATE(2026,7,1))*('DRAFT 2'!$A:$A&lt;DATE(2026,IF(7=12,7+1,7+1),1)),'DRAFT 2'!$A:$A),"")</f>
        <v/>
      </c>
      <c r="FU164" s="116">
        <f>COUNTIFS('DRAFT 2'!$D:$D,$B164,'DRAFT 2'!$A:$A,"&gt;="&amp;DATE(2026,7,1),'DRAFT 2'!$A:$A,"&lt;="&amp;DATE(2026,7,7))</f>
        <v/>
      </c>
      <c r="FV164" s="116">
        <f>COUNTIFS('DRAFT 2'!$D:$D,$B164,'DRAFT 2'!$A:$A,"&gt;="&amp;DATE(2026,7,8),'DRAFT 2'!$A:$A,"&lt;="&amp;DATE(2026,7,14))</f>
        <v/>
      </c>
      <c r="FW164" s="116">
        <f>COUNTIFS('DRAFT 2'!$D:$D,$B164,'DRAFT 2'!$A:$A,"&gt;="&amp;DATE(2026,7,15),'DRAFT 2'!$A:$A,"&lt;="&amp;DATE(2026,7,21))</f>
        <v/>
      </c>
      <c r="FX164" s="116">
        <f>COUNTIFS('DRAFT 2'!$D:$D,$B164,'DRAFT 2'!$A:$A,"&gt;="&amp;DATE(2026,7,22),'DRAFT 2'!$A:$A,"&lt;"&amp;DATE(2026,IF(7=12,7+1,7+1),1))</f>
        <v/>
      </c>
      <c r="FY164" s="116">
        <f>SUM(FU164:FX164)</f>
        <v/>
      </c>
      <c r="GI164" s="116">
        <f>IFERROR(LOOKUP(2,1/('DRAFT 2'!$D:$D=$B164)*('DRAFT 2'!$A:$A&gt;=DATE(2026,8,1))*('DRAFT 2'!$A:$A&lt;DATE(2026,IF(8=12,8+1,8+1),1)),'DRAFT 2'!$A:$A),"")</f>
        <v/>
      </c>
      <c r="GJ164" s="116">
        <f>COUNTIFS('DRAFT 2'!$D:$D,$B164,'DRAFT 2'!$A:$A,"&gt;="&amp;DATE(2026,8,1),'DRAFT 2'!$A:$A,"&lt;="&amp;DATE(2026,8,7))</f>
        <v/>
      </c>
      <c r="GK164" s="116">
        <f>COUNTIFS('DRAFT 2'!$D:$D,$B164,'DRAFT 2'!$A:$A,"&gt;="&amp;DATE(2026,8,8),'DRAFT 2'!$A:$A,"&lt;="&amp;DATE(2026,8,14))</f>
        <v/>
      </c>
      <c r="GL164" s="116">
        <f>COUNTIFS('DRAFT 2'!$D:$D,$B164,'DRAFT 2'!$A:$A,"&gt;="&amp;DATE(2026,8,15),'DRAFT 2'!$A:$A,"&lt;="&amp;DATE(2026,8,21))</f>
        <v/>
      </c>
      <c r="GM164" s="116">
        <f>COUNTIFS('DRAFT 2'!$D:$D,$B164,'DRAFT 2'!$A:$A,"&gt;="&amp;DATE(2026,8,22),'DRAFT 2'!$A:$A,"&lt;"&amp;DATE(2026,IF(8=12,8+1,8+1),1))</f>
        <v/>
      </c>
      <c r="GN164" s="116">
        <f>SUM(GJ164:GM164)</f>
        <v/>
      </c>
      <c r="GX164" s="116">
        <f>IFERROR(LOOKUP(2,1/('DRAFT 2'!$D:$D=$B164)*('DRAFT 2'!$A:$A&gt;=DATE(2026,9,1))*('DRAFT 2'!$A:$A&lt;DATE(2026,IF(9=12,9+1,9+1),1)),'DRAFT 2'!$A:$A),"")</f>
        <v/>
      </c>
      <c r="GY164" s="116">
        <f>COUNTIFS('DRAFT 2'!$D:$D,$B164,'DRAFT 2'!$A:$A,"&gt;="&amp;DATE(2026,9,1),'DRAFT 2'!$A:$A,"&lt;="&amp;DATE(2026,9,7))</f>
        <v/>
      </c>
      <c r="GZ164" s="116">
        <f>COUNTIFS('DRAFT 2'!$D:$D,$B164,'DRAFT 2'!$A:$A,"&gt;="&amp;DATE(2026,9,8),'DRAFT 2'!$A:$A,"&lt;="&amp;DATE(2026,9,14))</f>
        <v/>
      </c>
      <c r="HA164" s="116">
        <f>COUNTIFS('DRAFT 2'!$D:$D,$B164,'DRAFT 2'!$A:$A,"&gt;="&amp;DATE(2026,9,15),'DRAFT 2'!$A:$A,"&lt;="&amp;DATE(2026,9,21))</f>
        <v/>
      </c>
      <c r="HB164" s="116">
        <f>COUNTIFS('DRAFT 2'!$D:$D,$B164,'DRAFT 2'!$A:$A,"&gt;="&amp;DATE(2026,9,22),'DRAFT 2'!$A:$A,"&lt;"&amp;DATE(2026,IF(9=12,9+1,9+1),1))</f>
        <v/>
      </c>
      <c r="HC164" s="116">
        <f>SUM(GY164:HB164)</f>
        <v/>
      </c>
      <c r="HN164" s="116">
        <f>IFERROR(LOOKUP(2,1/('DRAFT 2'!$D:$D=$B164)*('DRAFT 2'!$A:$A&gt;=DATE(2026,10,1))*('DRAFT 2'!$A:$A&lt;DATE(2026,IF(10=12,10+1,10+1),1)),'DRAFT 2'!$A:$A),"")</f>
        <v/>
      </c>
      <c r="HO164" s="116">
        <f>COUNTIFS('DRAFT 2'!$D:$D,$B164,'DRAFT 2'!$A:$A,"&gt;="&amp;DATE(2026,10,1),'DRAFT 2'!$A:$A,"&lt;="&amp;DATE(2026,10,7))</f>
        <v/>
      </c>
      <c r="HP164" s="116">
        <f>COUNTIFS('DRAFT 2'!$D:$D,$B164,'DRAFT 2'!$A:$A,"&gt;="&amp;DATE(2026,10,8),'DRAFT 2'!$A:$A,"&lt;="&amp;DATE(2026,10,14))</f>
        <v/>
      </c>
      <c r="HQ164" s="116">
        <f>COUNTIFS('DRAFT 2'!$D:$D,$B164,'DRAFT 2'!$A:$A,"&gt;="&amp;DATE(2026,10,15),'DRAFT 2'!$A:$A,"&lt;="&amp;DATE(2026,10,21))</f>
        <v/>
      </c>
      <c r="HR164" s="116">
        <f>COUNTIFS('DRAFT 2'!$D:$D,$B164,'DRAFT 2'!$A:$A,"&gt;="&amp;DATE(2026,10,22),'DRAFT 2'!$A:$A,"&lt;"&amp;DATE(2026,IF(10=12,10+1,10+1),1))</f>
        <v/>
      </c>
      <c r="HS164" s="116">
        <f>SUM(HO164:HR164)</f>
        <v/>
      </c>
      <c r="IC164" s="116">
        <f>IFERROR(LOOKUP(2,1/('DRAFT 2'!$D:$D=$B164)*('DRAFT 2'!$A:$A&gt;=DATE(2026,11,1))*('DRAFT 2'!$A:$A&lt;DATE(2026,IF(11=12,11+1,11+1),1)),'DRAFT 2'!$A:$A),"")</f>
        <v/>
      </c>
      <c r="ID164" s="116">
        <f>COUNTIFS('DRAFT 2'!$D:$D,$B164,'DRAFT 2'!$A:$A,"&gt;="&amp;DATE(2026,11,1),'DRAFT 2'!$A:$A,"&lt;="&amp;DATE(2026,11,7))</f>
        <v/>
      </c>
      <c r="IE164" s="116">
        <f>COUNTIFS('DRAFT 2'!$D:$D,$B164,'DRAFT 2'!$A:$A,"&gt;="&amp;DATE(2026,11,8),'DRAFT 2'!$A:$A,"&lt;="&amp;DATE(2026,11,14))</f>
        <v/>
      </c>
      <c r="IF164" s="116">
        <f>COUNTIFS('DRAFT 2'!$D:$D,$B164,'DRAFT 2'!$A:$A,"&gt;="&amp;DATE(2026,11,15),'DRAFT 2'!$A:$A,"&lt;="&amp;DATE(2026,11,21))</f>
        <v/>
      </c>
      <c r="IG164" s="116">
        <f>COUNTIFS('DRAFT 2'!$D:$D,$B164,'DRAFT 2'!$A:$A,"&gt;="&amp;DATE(2026,11,22),'DRAFT 2'!$A:$A,"&lt;"&amp;DATE(2026,IF(11=12,11+1,11+1),1))</f>
        <v/>
      </c>
      <c r="IH164" s="116">
        <f>SUM(ID164:IG164)</f>
        <v/>
      </c>
      <c r="IR164" s="116">
        <f>IFERROR(LOOKUP(2,1/('DRAFT 2'!$D:$D=$B164)*('DRAFT 2'!$A:$A&gt;=DATE(2026,12,1))*('DRAFT 2'!$A:$A&lt;DATE(2026,IF(12=12,12+1,12+1),1)),'DRAFT 2'!$A:$A),"")</f>
        <v/>
      </c>
      <c r="IS164" s="116">
        <f>COUNTIFS('DRAFT 2'!$D:$D,$B164,'DRAFT 2'!$A:$A,"&gt;="&amp;DATE(2026,12,1),'DRAFT 2'!$A:$A,"&lt;="&amp;DATE(2026,12,7))</f>
        <v/>
      </c>
      <c r="IT164" s="116">
        <f>COUNTIFS('DRAFT 2'!$D:$D,$B164,'DRAFT 2'!$A:$A,"&gt;="&amp;DATE(2026,12,8),'DRAFT 2'!$A:$A,"&lt;="&amp;DATE(2026,12,14))</f>
        <v/>
      </c>
      <c r="IU164" s="116">
        <f>COUNTIFS('DRAFT 2'!$D:$D,$B164,'DRAFT 2'!$A:$A,"&gt;="&amp;DATE(2026,12,15),'DRAFT 2'!$A:$A,"&lt;="&amp;DATE(2026,12,21))</f>
        <v/>
      </c>
      <c r="IV164" s="116">
        <f>COUNTIFS('DRAFT 2'!$D:$D,$B164,'DRAFT 2'!$A:$A,"&gt;="&amp;DATE(2026,12,22),'DRAFT 2'!$A:$A,"&lt;"&amp;DATE(2026,IF(12=12,12+1,12+1),1))</f>
        <v/>
      </c>
      <c r="IW164" s="116">
        <f>SUM(IS164:IV164)</f>
        <v/>
      </c>
    </row>
    <row r="165">
      <c r="A165" s="116">
        <f>IFERROR(INDEX('DRAFT 1'!$A:$A,MATCH($B165,'DRAFT 1'!$B:$B,0)),"")</f>
        <v/>
      </c>
      <c r="C165" s="116">
        <f>IFERROR(INDEX('DRAFT 1'!$C:$C,MATCH($B165,'DRAFT 1'!$B:$B,0)),"")</f>
        <v/>
      </c>
      <c r="D165" s="116">
        <f>IFERROR(INDEX('DRAFT 1'!$D:$D,MATCH($B165,'DRAFT 1'!$B:$B,0)),"")</f>
        <v/>
      </c>
      <c r="E165" s="116">
        <f>IFERROR(INDEX('DRAFT 1'!$E:$E,MATCH($B165,'DRAFT 1'!$B:$B,0)),"")</f>
        <v/>
      </c>
      <c r="F165" s="116">
        <f>IFERROR(INDEX('DRAFT 1'!$F:$F,MATCH($B165,'DRAFT 1'!$B:$B,0)),"")</f>
        <v/>
      </c>
      <c r="G165" s="116">
        <f>IFERROR(INDEX('DRAFT 1'!$G:$G,MATCH($B165,'DRAFT 1'!$B:$B,0)),"")</f>
        <v/>
      </c>
      <c r="H165" s="116">
        <f>IFERROR(INDEX('DRAFT 1'!$H:$H,MATCH($B165,'DRAFT 1'!$B:$B,0)),"")</f>
        <v/>
      </c>
      <c r="I165" s="116">
        <f>IFERROR(INDEX('DRAFT 1'!$I:$I,MATCH($B165,'DRAFT 1'!$B:$B,0)),"")</f>
        <v/>
      </c>
      <c r="K165" s="116">
        <f>IFERROR(INDEX('DRAFT 1'!$AL:$AL,MATCH($B165,'DRAFT 1'!$B:$B,0)),"")</f>
        <v/>
      </c>
      <c r="L165" s="116">
        <f>IFERROR(INDEX('DRAFT 1'!$J:$J,MATCH($B165,'DRAFT 1'!$B:$B,0)),"")</f>
        <v/>
      </c>
      <c r="M165" s="116">
        <f>IFERROR(INDEX('DRAFT 1'!$K:$K,MATCH($B165,'DRAFT 1'!$B:$B,0)),"")</f>
        <v/>
      </c>
      <c r="P165" s="116">
        <f>IFERROR(INDEX('DRAFT 1'!$L:$L,MATCH($B165,'DRAFT 1'!$B:$B,0)),"")</f>
        <v/>
      </c>
      <c r="Q165" s="116">
        <f>IFERROR(INDEX('DRAFT 1'!$M:$M,MATCH($B165,'DRAFT 1'!$B:$B,0)),"")</f>
        <v/>
      </c>
      <c r="R165" s="116">
        <f>IFERROR(INDEX('DRAFT 1'!$N:$N,MATCH($B165,'DRAFT 1'!$B:$B,0)),"")</f>
        <v/>
      </c>
      <c r="S165" s="116">
        <f>IFERROR(INDEX('DRAFT 1'!$O:$O,MATCH($B165,'DRAFT 1'!$B:$B,0)),"")</f>
        <v/>
      </c>
      <c r="T165" s="116">
        <f>IFERROR(INDEX('DRAFT 1'!$P:$P,MATCH($B165,'DRAFT 1'!$B:$B,0)),"")</f>
        <v/>
      </c>
      <c r="U165" s="116">
        <f>IFERROR(INDEX('DRAFT 1'!$Q:$Q,MATCH($B165,'DRAFT 1'!$B:$B,0)),"")</f>
        <v/>
      </c>
      <c r="V165" s="116">
        <f>IFERROR(INDEX('DRAFT 1'!$R:$R,MATCH($B165,'DRAFT 1'!$B:$B,0)),"")</f>
        <v/>
      </c>
      <c r="W165" s="116">
        <f>IFERROR(INDEX('DRAFT 1'!$S:$S,MATCH($B165,'DRAFT 1'!$B:$B,0)),"")</f>
        <v/>
      </c>
      <c r="X165" s="116">
        <f>IFERROR(INDEX('DRAFT 1'!$T:$T,MATCH($B165,'DRAFT 1'!$B:$B,0)),"")</f>
        <v/>
      </c>
      <c r="Z165" s="116">
        <f>IFERROR(INDEX('DRAFT 1'!$U:$U,MATCH($B165,'DRAFT 1'!$B:$B,0)),"")</f>
        <v/>
      </c>
      <c r="AA165" s="116">
        <f>IFERROR(INDEX('DRAFT 1'!$V:$V,MATCH($B165,'DRAFT 1'!$B:$B,0)),"")</f>
        <v/>
      </c>
      <c r="AB165" s="116">
        <f>IFERROR(INDEX('DRAFT 1'!$W:$W,MATCH($B165,'DRAFT 1'!$B:$B,0)),"")</f>
        <v/>
      </c>
      <c r="AC165" s="116">
        <f>IFERROR(INDEX('DRAFT 1'!$X:$X,MATCH($B165,'DRAFT 1'!$B:$B,0)),"")</f>
        <v/>
      </c>
      <c r="AD165" s="116">
        <f>IFERROR(INDEX('DRAFT 1'!$Y:$Y,MATCH($B165,'DRAFT 1'!$B:$B,0)),"")</f>
        <v/>
      </c>
      <c r="AE165" s="116">
        <f>IFERROR(INDEX('DRAFT 1'!$Z:$Z,MATCH($B165,'DRAFT 1'!$B:$B,0)),"")</f>
        <v/>
      </c>
      <c r="AF165" s="116">
        <f>IFERROR(INDEX('DRAFT 1'!$AA:$AA,MATCH($B165,'DRAFT 1'!$B:$B,0)),"")</f>
        <v/>
      </c>
      <c r="AG165" s="116">
        <f>IFERROR(INDEX('DRAFT 1'!$AB:$AB,MATCH($B165,'DRAFT 1'!$B:$B,0)),"")</f>
        <v/>
      </c>
      <c r="AH165" s="116">
        <f>IFERROR(INDEX('DRAFT 1'!$AC:$AC,MATCH($B165,'DRAFT 1'!$B:$B,0)),"")</f>
        <v/>
      </c>
      <c r="AI165" s="116">
        <f>IFERROR(INDEX('DRAFT 1'!$AD:$AD,MATCH($B165,'DRAFT 1'!$B:$B,0)),"")</f>
        <v/>
      </c>
      <c r="AJ165" s="116">
        <f>IFERROR(INDEX('DRAFT 1'!$AE:$AE,MATCH($B165,'DRAFT 1'!$B:$B,0)),"")</f>
        <v/>
      </c>
      <c r="AK165" s="116">
        <f>IFERROR(INDEX('DRAFT 1'!$AG:$AG,MATCH($B165,'DRAFT 1'!$B:$B,0)),"")</f>
        <v/>
      </c>
      <c r="AL165" s="116">
        <f>IFERROR(INDEX('DRAFT 1'!$AH:$AH,MATCH($B165,'DRAFT 1'!$B:$B,0)),"")</f>
        <v/>
      </c>
      <c r="AM165" s="116">
        <f>IFERROR(INDEX('DRAFT 1'!$AI:$AI,MATCH($B165,'DRAFT 1'!$B:$B,0)),"")</f>
        <v/>
      </c>
      <c r="AN165" s="116">
        <f>IFERROR(INDEX('DRAFT 1'!$AJ:$AJ,MATCH($B165,'DRAFT 1'!$B:$B,0)),"")</f>
        <v/>
      </c>
      <c r="AO165" s="116">
        <f>IFERROR(Y165/AN165,0)</f>
        <v/>
      </c>
      <c r="AP165" s="116">
        <f>IFERROR(INDEX('DRAFT 1'!$AK:$AK,MATCH($B165,'DRAFT 1'!$B:$B,0)),"")</f>
        <v/>
      </c>
      <c r="AR165" s="116">
        <f>IFERROR(LOOKUP(2,1/('DRAFT 2'!$D:$D=$B165),'DRAFT 2'!$I:$I),"")</f>
        <v/>
      </c>
      <c r="AS165" s="116">
        <f>IFERROR(LOOKUP(2,1/('DRAFT 2'!$D:$D=$B165),'DRAFT 2'!$T:$T),"")</f>
        <v/>
      </c>
      <c r="AT165" s="116">
        <f>IFERROR(LOOKUP(2,1/('DRAFT 2'!$D:$D=$B165),'DRAFT 2'!$A:$A),"")</f>
        <v/>
      </c>
      <c r="AU165" s="116">
        <f>IFERROR(LOOKUP(2,1/('DRAFT 2'!$D:$D=$B165),'DRAFT 2'!$R:$R),"")</f>
        <v/>
      </c>
      <c r="AV165" s="116">
        <f>IFERROR(LOOKUP(2,1/('DRAFT 2'!$D:$D=$B165),'DRAFT 2'!$S:$S),"")</f>
        <v/>
      </c>
      <c r="AX165" s="116">
        <f>IFERROR(LOOKUP(2,1/('DRAFT 2'!$D:$D=$B165),'DRAFT 2'!$M:$M),"")</f>
        <v/>
      </c>
      <c r="AY165" s="116">
        <f>IFERROR(LOOKUP(2,1/('DRAFT 2'!$D:$D=$B165),'DRAFT 2'!$K:$K),"")</f>
        <v/>
      </c>
      <c r="BG165" s="116">
        <f>IFERROR(LOOKUP(2,1/('DRAFT 2'!$D:$D=$B165),'DRAFT 2'!$U:$U),"")</f>
        <v/>
      </c>
      <c r="BH165" s="116">
        <f>IFERROR(LOOKUP(2,1/('DRAFT 2'!$D:$D=$B165),'DRAFT 2'!$V:$V),"")</f>
        <v/>
      </c>
      <c r="CE165" s="116">
        <f>IFERROR(AJ165,0)</f>
        <v/>
      </c>
      <c r="CF165" s="116">
        <f>IFERROR(LOOKUP(2,1/('DRAFT 2'!$D:$D=$B165)*('DRAFT 2'!$A:$A&gt;=DATE(2026,1,1))*('DRAFT 2'!$A:$A&lt;DATE(2026,IF(1=12,1+1,1+1),1)),'DRAFT 2'!$A:$A),"")</f>
        <v/>
      </c>
      <c r="CG165" s="116">
        <f>COUNTIFS('DRAFT 2'!$D:$D,$B165,'DRAFT 2'!$A:$A,"&gt;="&amp;DATE(2026,1,1),'DRAFT 2'!$A:$A,"&lt;="&amp;DATE(2026,1,7))</f>
        <v/>
      </c>
      <c r="CH165" s="116">
        <f>COUNTIFS('DRAFT 2'!$D:$D,$B165,'DRAFT 2'!$A:$A,"&gt;="&amp;DATE(2026,1,8),'DRAFT 2'!$A:$A,"&lt;="&amp;DATE(2026,1,14))</f>
        <v/>
      </c>
      <c r="CI165" s="116">
        <f>COUNTIFS('DRAFT 2'!$D:$D,$B165,'DRAFT 2'!$A:$A,"&gt;="&amp;DATE(2026,1,15),'DRAFT 2'!$A:$A,"&lt;="&amp;DATE(2026,1,21))</f>
        <v/>
      </c>
      <c r="CJ165" s="116">
        <f>COUNTIFS('DRAFT 2'!$D:$D,$B165,'DRAFT 2'!$A:$A,"&gt;="&amp;DATE(2026,1,22),'DRAFT 2'!$A:$A,"&lt;"&amp;DATE(2026,IF(1=12,1+1,1+1),1))</f>
        <v/>
      </c>
      <c r="CK165" s="116">
        <f>SUM(CG165:CJ165)</f>
        <v/>
      </c>
      <c r="CT165" s="116" t="n">
        <v>0</v>
      </c>
      <c r="CU165" s="116">
        <f>IFERROR(LOOKUP(2,1/('DRAFT 2'!$D:$D=$B165)*('DRAFT 2'!$A:$A&gt;=DATE(2026,2,1))*('DRAFT 2'!$A:$A&lt;DATE(2026,IF(2=12,2+1,2+1),1)),'DRAFT 2'!$A:$A),"")</f>
        <v/>
      </c>
      <c r="CV165" s="116">
        <f>COUNTIFS('DRAFT 2'!$D:$D,$B165,'DRAFT 2'!$A:$A,"&gt;="&amp;DATE(2026,2,1),'DRAFT 2'!$A:$A,"&lt;="&amp;DATE(2026,2,7))</f>
        <v/>
      </c>
      <c r="CW165" s="116">
        <f>COUNTIFS('DRAFT 2'!$D:$D,$B165,'DRAFT 2'!$A:$A,"&gt;="&amp;DATE(2026,2,8),'DRAFT 2'!$A:$A,"&lt;="&amp;DATE(2026,2,14))</f>
        <v/>
      </c>
      <c r="CX165" s="116">
        <f>COUNTIFS('DRAFT 2'!$D:$D,$B165,'DRAFT 2'!$A:$A,"&gt;="&amp;DATE(2026,2,15),'DRAFT 2'!$A:$A,"&lt;="&amp;DATE(2026,2,21))</f>
        <v/>
      </c>
      <c r="CY165" s="116">
        <f>COUNTIFS('DRAFT 2'!$D:$D,$B165,'DRAFT 2'!$A:$A,"&gt;="&amp;DATE(2026,2,22),'DRAFT 2'!$A:$A,"&lt;"&amp;DATE(2026,IF(2=12,2+1,2+1),1))</f>
        <v/>
      </c>
      <c r="CZ165" s="116">
        <f>SUM(CV165:CY165)</f>
        <v/>
      </c>
      <c r="DJ165" s="116">
        <f>IFERROR(LOOKUP(2,1/('DRAFT 2'!$D:$D=$B165)*('DRAFT 2'!$A:$A&gt;=DATE(2026,3,1))*('DRAFT 2'!$A:$A&lt;DATE(2026,IF(3=12,3+1,3+1),1)),'DRAFT 2'!$A:$A),"")</f>
        <v/>
      </c>
      <c r="DK165" s="116">
        <f>COUNTIFS('DRAFT 2'!$D:$D,$B165,'DRAFT 2'!$A:$A,"&gt;="&amp;DATE(2026,3,1),'DRAFT 2'!$A:$A,"&lt;="&amp;DATE(2026,3,7))</f>
        <v/>
      </c>
      <c r="DL165" s="116">
        <f>COUNTIFS('DRAFT 2'!$D:$D,$B165,'DRAFT 2'!$A:$A,"&gt;="&amp;DATE(2026,3,8),'DRAFT 2'!$A:$A,"&lt;="&amp;DATE(2026,3,14))</f>
        <v/>
      </c>
      <c r="DM165" s="116">
        <f>COUNTIFS('DRAFT 2'!$D:$D,$B165,'DRAFT 2'!$A:$A,"&gt;="&amp;DATE(2026,3,15),'DRAFT 2'!$A:$A,"&lt;="&amp;DATE(2026,3,21))</f>
        <v/>
      </c>
      <c r="DN165" s="116">
        <f>COUNTIFS('DRAFT 2'!$D:$D,$B165,'DRAFT 2'!$A:$A,"&gt;="&amp;DATE(2026,3,22),'DRAFT 2'!$A:$A,"&lt;"&amp;DATE(2026,IF(3=12,3+1,3+1),1))</f>
        <v/>
      </c>
      <c r="DO165" s="116">
        <f>SUM(DK165:DN165)</f>
        <v/>
      </c>
      <c r="DZ165" s="116">
        <f>IFERROR(LOOKUP(2,1/('DRAFT 2'!$D:$D=$B165)*('DRAFT 2'!$A:$A&gt;=DATE(2026,4,1))*('DRAFT 2'!$A:$A&lt;DATE(2026,IF(4=12,4+1,4+1),1)),'DRAFT 2'!$A:$A),"")</f>
        <v/>
      </c>
      <c r="EA165" s="116">
        <f>COUNTIFS('DRAFT 2'!$D:$D,$B165,'DRAFT 2'!$A:$A,"&gt;="&amp;DATE(2026,4,1),'DRAFT 2'!$A:$A,"&lt;="&amp;DATE(2026,4,7))</f>
        <v/>
      </c>
      <c r="EB165" s="116">
        <f>COUNTIFS('DRAFT 2'!$D:$D,$B165,'DRAFT 2'!$A:$A,"&gt;="&amp;DATE(2026,4,8),'DRAFT 2'!$A:$A,"&lt;="&amp;DATE(2026,4,14))</f>
        <v/>
      </c>
      <c r="EC165" s="116">
        <f>COUNTIFS('DRAFT 2'!$D:$D,$B165,'DRAFT 2'!$A:$A,"&gt;="&amp;DATE(2026,4,15),'DRAFT 2'!$A:$A,"&lt;="&amp;DATE(2026,4,21))</f>
        <v/>
      </c>
      <c r="ED165" s="116">
        <f>COUNTIFS('DRAFT 2'!$D:$D,$B165,'DRAFT 2'!$A:$A,"&gt;="&amp;DATE(2026,4,22),'DRAFT 2'!$A:$A,"&lt;"&amp;DATE(2026,IF(4=12,4+1,4+1),1))</f>
        <v/>
      </c>
      <c r="EE165" s="116">
        <f>SUM(EA165:ED165)</f>
        <v/>
      </c>
      <c r="EO165" s="116">
        <f>IFERROR(LOOKUP(2,1/('DRAFT 2'!$D:$D=$B165)*('DRAFT 2'!$A:$A&gt;=DATE(2026,5,1))*('DRAFT 2'!$A:$A&lt;DATE(2026,IF(5=12,5+1,5+1),1)),'DRAFT 2'!$A:$A),"")</f>
        <v/>
      </c>
      <c r="EP165" s="116">
        <f>COUNTIFS('DRAFT 2'!$D:$D,$B165,'DRAFT 2'!$A:$A,"&gt;="&amp;DATE(2026,5,1),'DRAFT 2'!$A:$A,"&lt;="&amp;DATE(2026,5,7))</f>
        <v/>
      </c>
      <c r="EQ165" s="116">
        <f>COUNTIFS('DRAFT 2'!$D:$D,$B165,'DRAFT 2'!$A:$A,"&gt;="&amp;DATE(2026,5,8),'DRAFT 2'!$A:$A,"&lt;="&amp;DATE(2026,5,14))</f>
        <v/>
      </c>
      <c r="ER165" s="116">
        <f>COUNTIFS('DRAFT 2'!$D:$D,$B165,'DRAFT 2'!$A:$A,"&gt;="&amp;DATE(2026,5,15),'DRAFT 2'!$A:$A,"&lt;="&amp;DATE(2026,5,21))</f>
        <v/>
      </c>
      <c r="ES165" s="116">
        <f>COUNTIFS('DRAFT 2'!$D:$D,$B165,'DRAFT 2'!$A:$A,"&gt;="&amp;DATE(2026,5,22),'DRAFT 2'!$A:$A,"&lt;"&amp;DATE(2026,IF(5=12,5+1,5+1),1))</f>
        <v/>
      </c>
      <c r="ET165" s="116">
        <f>SUM(EP165:ES165)</f>
        <v/>
      </c>
      <c r="FD165" s="116">
        <f>IFERROR(LOOKUP(2,1/('DRAFT 2'!$D:$D=$B165)*('DRAFT 2'!$A:$A&gt;=DATE(2026,6,1))*('DRAFT 2'!$A:$A&lt;DATE(2026,IF(6=12,6+1,6+1),1)),'DRAFT 2'!$A:$A),"")</f>
        <v/>
      </c>
      <c r="FE165" s="116">
        <f>COUNTIFS('DRAFT 2'!$D:$D,$B165,'DRAFT 2'!$A:$A,"&gt;="&amp;DATE(2026,6,1),'DRAFT 2'!$A:$A,"&lt;="&amp;DATE(2026,6,7))</f>
        <v/>
      </c>
      <c r="FF165" s="116">
        <f>COUNTIFS('DRAFT 2'!$D:$D,$B165,'DRAFT 2'!$A:$A,"&gt;="&amp;DATE(2026,6,8),'DRAFT 2'!$A:$A,"&lt;="&amp;DATE(2026,6,14))</f>
        <v/>
      </c>
      <c r="FG165" s="116">
        <f>COUNTIFS('DRAFT 2'!$D:$D,$B165,'DRAFT 2'!$A:$A,"&gt;="&amp;DATE(2026,6,15),'DRAFT 2'!$A:$A,"&lt;="&amp;DATE(2026,6,21))</f>
        <v/>
      </c>
      <c r="FH165" s="116">
        <f>COUNTIFS('DRAFT 2'!$D:$D,$B165,'DRAFT 2'!$A:$A,"&gt;="&amp;DATE(2026,6,22),'DRAFT 2'!$A:$A,"&lt;"&amp;DATE(2026,IF(6=12,6+1,6+1),1))</f>
        <v/>
      </c>
      <c r="FI165" s="116">
        <f>SUM(FE165:FH165)</f>
        <v/>
      </c>
      <c r="FT165" s="116">
        <f>IFERROR(LOOKUP(2,1/('DRAFT 2'!$D:$D=$B165)*('DRAFT 2'!$A:$A&gt;=DATE(2026,7,1))*('DRAFT 2'!$A:$A&lt;DATE(2026,IF(7=12,7+1,7+1),1)),'DRAFT 2'!$A:$A),"")</f>
        <v/>
      </c>
      <c r="FU165" s="116">
        <f>COUNTIFS('DRAFT 2'!$D:$D,$B165,'DRAFT 2'!$A:$A,"&gt;="&amp;DATE(2026,7,1),'DRAFT 2'!$A:$A,"&lt;="&amp;DATE(2026,7,7))</f>
        <v/>
      </c>
      <c r="FV165" s="116">
        <f>COUNTIFS('DRAFT 2'!$D:$D,$B165,'DRAFT 2'!$A:$A,"&gt;="&amp;DATE(2026,7,8),'DRAFT 2'!$A:$A,"&lt;="&amp;DATE(2026,7,14))</f>
        <v/>
      </c>
      <c r="FW165" s="116">
        <f>COUNTIFS('DRAFT 2'!$D:$D,$B165,'DRAFT 2'!$A:$A,"&gt;="&amp;DATE(2026,7,15),'DRAFT 2'!$A:$A,"&lt;="&amp;DATE(2026,7,21))</f>
        <v/>
      </c>
      <c r="FX165" s="116">
        <f>COUNTIFS('DRAFT 2'!$D:$D,$B165,'DRAFT 2'!$A:$A,"&gt;="&amp;DATE(2026,7,22),'DRAFT 2'!$A:$A,"&lt;"&amp;DATE(2026,IF(7=12,7+1,7+1),1))</f>
        <v/>
      </c>
      <c r="FY165" s="116">
        <f>SUM(FU165:FX165)</f>
        <v/>
      </c>
      <c r="GI165" s="116">
        <f>IFERROR(LOOKUP(2,1/('DRAFT 2'!$D:$D=$B165)*('DRAFT 2'!$A:$A&gt;=DATE(2026,8,1))*('DRAFT 2'!$A:$A&lt;DATE(2026,IF(8=12,8+1,8+1),1)),'DRAFT 2'!$A:$A),"")</f>
        <v/>
      </c>
      <c r="GJ165" s="116">
        <f>COUNTIFS('DRAFT 2'!$D:$D,$B165,'DRAFT 2'!$A:$A,"&gt;="&amp;DATE(2026,8,1),'DRAFT 2'!$A:$A,"&lt;="&amp;DATE(2026,8,7))</f>
        <v/>
      </c>
      <c r="GK165" s="116">
        <f>COUNTIFS('DRAFT 2'!$D:$D,$B165,'DRAFT 2'!$A:$A,"&gt;="&amp;DATE(2026,8,8),'DRAFT 2'!$A:$A,"&lt;="&amp;DATE(2026,8,14))</f>
        <v/>
      </c>
      <c r="GL165" s="116">
        <f>COUNTIFS('DRAFT 2'!$D:$D,$B165,'DRAFT 2'!$A:$A,"&gt;="&amp;DATE(2026,8,15),'DRAFT 2'!$A:$A,"&lt;="&amp;DATE(2026,8,21))</f>
        <v/>
      </c>
      <c r="GM165" s="116">
        <f>COUNTIFS('DRAFT 2'!$D:$D,$B165,'DRAFT 2'!$A:$A,"&gt;="&amp;DATE(2026,8,22),'DRAFT 2'!$A:$A,"&lt;"&amp;DATE(2026,IF(8=12,8+1,8+1),1))</f>
        <v/>
      </c>
      <c r="GN165" s="116">
        <f>SUM(GJ165:GM165)</f>
        <v/>
      </c>
      <c r="GX165" s="116">
        <f>IFERROR(LOOKUP(2,1/('DRAFT 2'!$D:$D=$B165)*('DRAFT 2'!$A:$A&gt;=DATE(2026,9,1))*('DRAFT 2'!$A:$A&lt;DATE(2026,IF(9=12,9+1,9+1),1)),'DRAFT 2'!$A:$A),"")</f>
        <v/>
      </c>
      <c r="GY165" s="116">
        <f>COUNTIFS('DRAFT 2'!$D:$D,$B165,'DRAFT 2'!$A:$A,"&gt;="&amp;DATE(2026,9,1),'DRAFT 2'!$A:$A,"&lt;="&amp;DATE(2026,9,7))</f>
        <v/>
      </c>
      <c r="GZ165" s="116">
        <f>COUNTIFS('DRAFT 2'!$D:$D,$B165,'DRAFT 2'!$A:$A,"&gt;="&amp;DATE(2026,9,8),'DRAFT 2'!$A:$A,"&lt;="&amp;DATE(2026,9,14))</f>
        <v/>
      </c>
      <c r="HA165" s="116">
        <f>COUNTIFS('DRAFT 2'!$D:$D,$B165,'DRAFT 2'!$A:$A,"&gt;="&amp;DATE(2026,9,15),'DRAFT 2'!$A:$A,"&lt;="&amp;DATE(2026,9,21))</f>
        <v/>
      </c>
      <c r="HB165" s="116">
        <f>COUNTIFS('DRAFT 2'!$D:$D,$B165,'DRAFT 2'!$A:$A,"&gt;="&amp;DATE(2026,9,22),'DRAFT 2'!$A:$A,"&lt;"&amp;DATE(2026,IF(9=12,9+1,9+1),1))</f>
        <v/>
      </c>
      <c r="HC165" s="116">
        <f>SUM(GY165:HB165)</f>
        <v/>
      </c>
      <c r="HN165" s="116">
        <f>IFERROR(LOOKUP(2,1/('DRAFT 2'!$D:$D=$B165)*('DRAFT 2'!$A:$A&gt;=DATE(2026,10,1))*('DRAFT 2'!$A:$A&lt;DATE(2026,IF(10=12,10+1,10+1),1)),'DRAFT 2'!$A:$A),"")</f>
        <v/>
      </c>
      <c r="HO165" s="116">
        <f>COUNTIFS('DRAFT 2'!$D:$D,$B165,'DRAFT 2'!$A:$A,"&gt;="&amp;DATE(2026,10,1),'DRAFT 2'!$A:$A,"&lt;="&amp;DATE(2026,10,7))</f>
        <v/>
      </c>
      <c r="HP165" s="116">
        <f>COUNTIFS('DRAFT 2'!$D:$D,$B165,'DRAFT 2'!$A:$A,"&gt;="&amp;DATE(2026,10,8),'DRAFT 2'!$A:$A,"&lt;="&amp;DATE(2026,10,14))</f>
        <v/>
      </c>
      <c r="HQ165" s="116">
        <f>COUNTIFS('DRAFT 2'!$D:$D,$B165,'DRAFT 2'!$A:$A,"&gt;="&amp;DATE(2026,10,15),'DRAFT 2'!$A:$A,"&lt;="&amp;DATE(2026,10,21))</f>
        <v/>
      </c>
      <c r="HR165" s="116">
        <f>COUNTIFS('DRAFT 2'!$D:$D,$B165,'DRAFT 2'!$A:$A,"&gt;="&amp;DATE(2026,10,22),'DRAFT 2'!$A:$A,"&lt;"&amp;DATE(2026,IF(10=12,10+1,10+1),1))</f>
        <v/>
      </c>
      <c r="HS165" s="116">
        <f>SUM(HO165:HR165)</f>
        <v/>
      </c>
      <c r="IC165" s="116">
        <f>IFERROR(LOOKUP(2,1/('DRAFT 2'!$D:$D=$B165)*('DRAFT 2'!$A:$A&gt;=DATE(2026,11,1))*('DRAFT 2'!$A:$A&lt;DATE(2026,IF(11=12,11+1,11+1),1)),'DRAFT 2'!$A:$A),"")</f>
        <v/>
      </c>
      <c r="ID165" s="116">
        <f>COUNTIFS('DRAFT 2'!$D:$D,$B165,'DRAFT 2'!$A:$A,"&gt;="&amp;DATE(2026,11,1),'DRAFT 2'!$A:$A,"&lt;="&amp;DATE(2026,11,7))</f>
        <v/>
      </c>
      <c r="IE165" s="116">
        <f>COUNTIFS('DRAFT 2'!$D:$D,$B165,'DRAFT 2'!$A:$A,"&gt;="&amp;DATE(2026,11,8),'DRAFT 2'!$A:$A,"&lt;="&amp;DATE(2026,11,14))</f>
        <v/>
      </c>
      <c r="IF165" s="116">
        <f>COUNTIFS('DRAFT 2'!$D:$D,$B165,'DRAFT 2'!$A:$A,"&gt;="&amp;DATE(2026,11,15),'DRAFT 2'!$A:$A,"&lt;="&amp;DATE(2026,11,21))</f>
        <v/>
      </c>
      <c r="IG165" s="116">
        <f>COUNTIFS('DRAFT 2'!$D:$D,$B165,'DRAFT 2'!$A:$A,"&gt;="&amp;DATE(2026,11,22),'DRAFT 2'!$A:$A,"&lt;"&amp;DATE(2026,IF(11=12,11+1,11+1),1))</f>
        <v/>
      </c>
      <c r="IH165" s="116">
        <f>SUM(ID165:IG165)</f>
        <v/>
      </c>
      <c r="IR165" s="116">
        <f>IFERROR(LOOKUP(2,1/('DRAFT 2'!$D:$D=$B165)*('DRAFT 2'!$A:$A&gt;=DATE(2026,12,1))*('DRAFT 2'!$A:$A&lt;DATE(2026,IF(12=12,12+1,12+1),1)),'DRAFT 2'!$A:$A),"")</f>
        <v/>
      </c>
      <c r="IS165" s="116">
        <f>COUNTIFS('DRAFT 2'!$D:$D,$B165,'DRAFT 2'!$A:$A,"&gt;="&amp;DATE(2026,12,1),'DRAFT 2'!$A:$A,"&lt;="&amp;DATE(2026,12,7))</f>
        <v/>
      </c>
      <c r="IT165" s="116">
        <f>COUNTIFS('DRAFT 2'!$D:$D,$B165,'DRAFT 2'!$A:$A,"&gt;="&amp;DATE(2026,12,8),'DRAFT 2'!$A:$A,"&lt;="&amp;DATE(2026,12,14))</f>
        <v/>
      </c>
      <c r="IU165" s="116">
        <f>COUNTIFS('DRAFT 2'!$D:$D,$B165,'DRAFT 2'!$A:$A,"&gt;="&amp;DATE(2026,12,15),'DRAFT 2'!$A:$A,"&lt;="&amp;DATE(2026,12,21))</f>
        <v/>
      </c>
      <c r="IV165" s="116">
        <f>COUNTIFS('DRAFT 2'!$D:$D,$B165,'DRAFT 2'!$A:$A,"&gt;="&amp;DATE(2026,12,22),'DRAFT 2'!$A:$A,"&lt;"&amp;DATE(2026,IF(12=12,12+1,12+1),1))</f>
        <v/>
      </c>
      <c r="IW165" s="116">
        <f>SUM(IS165:IV165)</f>
        <v/>
      </c>
    </row>
    <row r="166">
      <c r="A166" s="116">
        <f>IFERROR(INDEX('DRAFT 1'!$A:$A,MATCH($B166,'DRAFT 1'!$B:$B,0)),"")</f>
        <v/>
      </c>
      <c r="C166" s="116">
        <f>IFERROR(INDEX('DRAFT 1'!$C:$C,MATCH($B166,'DRAFT 1'!$B:$B,0)),"")</f>
        <v/>
      </c>
      <c r="D166" s="116">
        <f>IFERROR(INDEX('DRAFT 1'!$D:$D,MATCH($B166,'DRAFT 1'!$B:$B,0)),"")</f>
        <v/>
      </c>
      <c r="E166" s="116">
        <f>IFERROR(INDEX('DRAFT 1'!$E:$E,MATCH($B166,'DRAFT 1'!$B:$B,0)),"")</f>
        <v/>
      </c>
      <c r="F166" s="116">
        <f>IFERROR(INDEX('DRAFT 1'!$F:$F,MATCH($B166,'DRAFT 1'!$B:$B,0)),"")</f>
        <v/>
      </c>
      <c r="G166" s="116">
        <f>IFERROR(INDEX('DRAFT 1'!$G:$G,MATCH($B166,'DRAFT 1'!$B:$B,0)),"")</f>
        <v/>
      </c>
      <c r="H166" s="116">
        <f>IFERROR(INDEX('DRAFT 1'!$H:$H,MATCH($B166,'DRAFT 1'!$B:$B,0)),"")</f>
        <v/>
      </c>
      <c r="I166" s="116">
        <f>IFERROR(INDEX('DRAFT 1'!$I:$I,MATCH($B166,'DRAFT 1'!$B:$B,0)),"")</f>
        <v/>
      </c>
      <c r="K166" s="116">
        <f>IFERROR(INDEX('DRAFT 1'!$AL:$AL,MATCH($B166,'DRAFT 1'!$B:$B,0)),"")</f>
        <v/>
      </c>
      <c r="L166" s="116">
        <f>IFERROR(INDEX('DRAFT 1'!$J:$J,MATCH($B166,'DRAFT 1'!$B:$B,0)),"")</f>
        <v/>
      </c>
      <c r="M166" s="116">
        <f>IFERROR(INDEX('DRAFT 1'!$K:$K,MATCH($B166,'DRAFT 1'!$B:$B,0)),"")</f>
        <v/>
      </c>
      <c r="P166" s="116">
        <f>IFERROR(INDEX('DRAFT 1'!$L:$L,MATCH($B166,'DRAFT 1'!$B:$B,0)),"")</f>
        <v/>
      </c>
      <c r="Q166" s="116">
        <f>IFERROR(INDEX('DRAFT 1'!$M:$M,MATCH($B166,'DRAFT 1'!$B:$B,0)),"")</f>
        <v/>
      </c>
      <c r="R166" s="116">
        <f>IFERROR(INDEX('DRAFT 1'!$N:$N,MATCH($B166,'DRAFT 1'!$B:$B,0)),"")</f>
        <v/>
      </c>
      <c r="S166" s="116">
        <f>IFERROR(INDEX('DRAFT 1'!$O:$O,MATCH($B166,'DRAFT 1'!$B:$B,0)),"")</f>
        <v/>
      </c>
      <c r="T166" s="116">
        <f>IFERROR(INDEX('DRAFT 1'!$P:$P,MATCH($B166,'DRAFT 1'!$B:$B,0)),"")</f>
        <v/>
      </c>
      <c r="U166" s="116">
        <f>IFERROR(INDEX('DRAFT 1'!$Q:$Q,MATCH($B166,'DRAFT 1'!$B:$B,0)),"")</f>
        <v/>
      </c>
      <c r="V166" s="116">
        <f>IFERROR(INDEX('DRAFT 1'!$R:$R,MATCH($B166,'DRAFT 1'!$B:$B,0)),"")</f>
        <v/>
      </c>
      <c r="W166" s="116">
        <f>IFERROR(INDEX('DRAFT 1'!$S:$S,MATCH($B166,'DRAFT 1'!$B:$B,0)),"")</f>
        <v/>
      </c>
      <c r="X166" s="116">
        <f>IFERROR(INDEX('DRAFT 1'!$T:$T,MATCH($B166,'DRAFT 1'!$B:$B,0)),"")</f>
        <v/>
      </c>
      <c r="Z166" s="116">
        <f>IFERROR(INDEX('DRAFT 1'!$U:$U,MATCH($B166,'DRAFT 1'!$B:$B,0)),"")</f>
        <v/>
      </c>
      <c r="AA166" s="116">
        <f>IFERROR(INDEX('DRAFT 1'!$V:$V,MATCH($B166,'DRAFT 1'!$B:$B,0)),"")</f>
        <v/>
      </c>
      <c r="AB166" s="116">
        <f>IFERROR(INDEX('DRAFT 1'!$W:$W,MATCH($B166,'DRAFT 1'!$B:$B,0)),"")</f>
        <v/>
      </c>
      <c r="AC166" s="116">
        <f>IFERROR(INDEX('DRAFT 1'!$X:$X,MATCH($B166,'DRAFT 1'!$B:$B,0)),"")</f>
        <v/>
      </c>
      <c r="AD166" s="116">
        <f>IFERROR(INDEX('DRAFT 1'!$Y:$Y,MATCH($B166,'DRAFT 1'!$B:$B,0)),"")</f>
        <v/>
      </c>
      <c r="AE166" s="116">
        <f>IFERROR(INDEX('DRAFT 1'!$Z:$Z,MATCH($B166,'DRAFT 1'!$B:$B,0)),"")</f>
        <v/>
      </c>
      <c r="AF166" s="116">
        <f>IFERROR(INDEX('DRAFT 1'!$AA:$AA,MATCH($B166,'DRAFT 1'!$B:$B,0)),"")</f>
        <v/>
      </c>
      <c r="AG166" s="116">
        <f>IFERROR(INDEX('DRAFT 1'!$AB:$AB,MATCH($B166,'DRAFT 1'!$B:$B,0)),"")</f>
        <v/>
      </c>
      <c r="AH166" s="116">
        <f>IFERROR(INDEX('DRAFT 1'!$AC:$AC,MATCH($B166,'DRAFT 1'!$B:$B,0)),"")</f>
        <v/>
      </c>
      <c r="AI166" s="116">
        <f>IFERROR(INDEX('DRAFT 1'!$AD:$AD,MATCH($B166,'DRAFT 1'!$B:$B,0)),"")</f>
        <v/>
      </c>
      <c r="AJ166" s="116">
        <f>IFERROR(INDEX('DRAFT 1'!$AE:$AE,MATCH($B166,'DRAFT 1'!$B:$B,0)),"")</f>
        <v/>
      </c>
      <c r="AK166" s="116">
        <f>IFERROR(INDEX('DRAFT 1'!$AG:$AG,MATCH($B166,'DRAFT 1'!$B:$B,0)),"")</f>
        <v/>
      </c>
      <c r="AL166" s="116">
        <f>IFERROR(INDEX('DRAFT 1'!$AH:$AH,MATCH($B166,'DRAFT 1'!$B:$B,0)),"")</f>
        <v/>
      </c>
      <c r="AM166" s="116">
        <f>IFERROR(INDEX('DRAFT 1'!$AI:$AI,MATCH($B166,'DRAFT 1'!$B:$B,0)),"")</f>
        <v/>
      </c>
      <c r="AN166" s="116">
        <f>IFERROR(INDEX('DRAFT 1'!$AJ:$AJ,MATCH($B166,'DRAFT 1'!$B:$B,0)),"")</f>
        <v/>
      </c>
      <c r="AO166" s="116">
        <f>IFERROR(Y166/AN166,0)</f>
        <v/>
      </c>
      <c r="AP166" s="116">
        <f>IFERROR(INDEX('DRAFT 1'!$AK:$AK,MATCH($B166,'DRAFT 1'!$B:$B,0)),"")</f>
        <v/>
      </c>
      <c r="AR166" s="116">
        <f>IFERROR(LOOKUP(2,1/('DRAFT 2'!$D:$D=$B166),'DRAFT 2'!$I:$I),"")</f>
        <v/>
      </c>
      <c r="AS166" s="116">
        <f>IFERROR(LOOKUP(2,1/('DRAFT 2'!$D:$D=$B166),'DRAFT 2'!$T:$T),"")</f>
        <v/>
      </c>
      <c r="AT166" s="116">
        <f>IFERROR(LOOKUP(2,1/('DRAFT 2'!$D:$D=$B166),'DRAFT 2'!$A:$A),"")</f>
        <v/>
      </c>
      <c r="AU166" s="116">
        <f>IFERROR(LOOKUP(2,1/('DRAFT 2'!$D:$D=$B166),'DRAFT 2'!$R:$R),"")</f>
        <v/>
      </c>
      <c r="AV166" s="116">
        <f>IFERROR(LOOKUP(2,1/('DRAFT 2'!$D:$D=$B166),'DRAFT 2'!$S:$S),"")</f>
        <v/>
      </c>
      <c r="AX166" s="116">
        <f>IFERROR(LOOKUP(2,1/('DRAFT 2'!$D:$D=$B166),'DRAFT 2'!$M:$M),"")</f>
        <v/>
      </c>
      <c r="AY166" s="116">
        <f>IFERROR(LOOKUP(2,1/('DRAFT 2'!$D:$D=$B166),'DRAFT 2'!$K:$K),"")</f>
        <v/>
      </c>
      <c r="BG166" s="116">
        <f>IFERROR(LOOKUP(2,1/('DRAFT 2'!$D:$D=$B166),'DRAFT 2'!$U:$U),"")</f>
        <v/>
      </c>
      <c r="BH166" s="116">
        <f>IFERROR(LOOKUP(2,1/('DRAFT 2'!$D:$D=$B166),'DRAFT 2'!$V:$V),"")</f>
        <v/>
      </c>
      <c r="CE166" s="116">
        <f>IFERROR(AJ166,0)</f>
        <v/>
      </c>
      <c r="CF166" s="116">
        <f>IFERROR(LOOKUP(2,1/('DRAFT 2'!$D:$D=$B166)*('DRAFT 2'!$A:$A&gt;=DATE(2026,1,1))*('DRAFT 2'!$A:$A&lt;DATE(2026,IF(1=12,1+1,1+1),1)),'DRAFT 2'!$A:$A),"")</f>
        <v/>
      </c>
      <c r="CG166" s="116">
        <f>COUNTIFS('DRAFT 2'!$D:$D,$B166,'DRAFT 2'!$A:$A,"&gt;="&amp;DATE(2026,1,1),'DRAFT 2'!$A:$A,"&lt;="&amp;DATE(2026,1,7))</f>
        <v/>
      </c>
      <c r="CH166" s="116">
        <f>COUNTIFS('DRAFT 2'!$D:$D,$B166,'DRAFT 2'!$A:$A,"&gt;="&amp;DATE(2026,1,8),'DRAFT 2'!$A:$A,"&lt;="&amp;DATE(2026,1,14))</f>
        <v/>
      </c>
      <c r="CI166" s="116">
        <f>COUNTIFS('DRAFT 2'!$D:$D,$B166,'DRAFT 2'!$A:$A,"&gt;="&amp;DATE(2026,1,15),'DRAFT 2'!$A:$A,"&lt;="&amp;DATE(2026,1,21))</f>
        <v/>
      </c>
      <c r="CJ166" s="116">
        <f>COUNTIFS('DRAFT 2'!$D:$D,$B166,'DRAFT 2'!$A:$A,"&gt;="&amp;DATE(2026,1,22),'DRAFT 2'!$A:$A,"&lt;"&amp;DATE(2026,IF(1=12,1+1,1+1),1))</f>
        <v/>
      </c>
      <c r="CK166" s="116">
        <f>SUM(CG166:CJ166)</f>
        <v/>
      </c>
      <c r="CT166" s="116" t="n">
        <v>0</v>
      </c>
      <c r="CU166" s="116">
        <f>IFERROR(LOOKUP(2,1/('DRAFT 2'!$D:$D=$B166)*('DRAFT 2'!$A:$A&gt;=DATE(2026,2,1))*('DRAFT 2'!$A:$A&lt;DATE(2026,IF(2=12,2+1,2+1),1)),'DRAFT 2'!$A:$A),"")</f>
        <v/>
      </c>
      <c r="CV166" s="116">
        <f>COUNTIFS('DRAFT 2'!$D:$D,$B166,'DRAFT 2'!$A:$A,"&gt;="&amp;DATE(2026,2,1),'DRAFT 2'!$A:$A,"&lt;="&amp;DATE(2026,2,7))</f>
        <v/>
      </c>
      <c r="CW166" s="116">
        <f>COUNTIFS('DRAFT 2'!$D:$D,$B166,'DRAFT 2'!$A:$A,"&gt;="&amp;DATE(2026,2,8),'DRAFT 2'!$A:$A,"&lt;="&amp;DATE(2026,2,14))</f>
        <v/>
      </c>
      <c r="CX166" s="116">
        <f>COUNTIFS('DRAFT 2'!$D:$D,$B166,'DRAFT 2'!$A:$A,"&gt;="&amp;DATE(2026,2,15),'DRAFT 2'!$A:$A,"&lt;="&amp;DATE(2026,2,21))</f>
        <v/>
      </c>
      <c r="CY166" s="116">
        <f>COUNTIFS('DRAFT 2'!$D:$D,$B166,'DRAFT 2'!$A:$A,"&gt;="&amp;DATE(2026,2,22),'DRAFT 2'!$A:$A,"&lt;"&amp;DATE(2026,IF(2=12,2+1,2+1),1))</f>
        <v/>
      </c>
      <c r="CZ166" s="116">
        <f>SUM(CV166:CY166)</f>
        <v/>
      </c>
      <c r="DJ166" s="116">
        <f>IFERROR(LOOKUP(2,1/('DRAFT 2'!$D:$D=$B166)*('DRAFT 2'!$A:$A&gt;=DATE(2026,3,1))*('DRAFT 2'!$A:$A&lt;DATE(2026,IF(3=12,3+1,3+1),1)),'DRAFT 2'!$A:$A),"")</f>
        <v/>
      </c>
      <c r="DK166" s="116">
        <f>COUNTIFS('DRAFT 2'!$D:$D,$B166,'DRAFT 2'!$A:$A,"&gt;="&amp;DATE(2026,3,1),'DRAFT 2'!$A:$A,"&lt;="&amp;DATE(2026,3,7))</f>
        <v/>
      </c>
      <c r="DL166" s="116">
        <f>COUNTIFS('DRAFT 2'!$D:$D,$B166,'DRAFT 2'!$A:$A,"&gt;="&amp;DATE(2026,3,8),'DRAFT 2'!$A:$A,"&lt;="&amp;DATE(2026,3,14))</f>
        <v/>
      </c>
      <c r="DM166" s="116">
        <f>COUNTIFS('DRAFT 2'!$D:$D,$B166,'DRAFT 2'!$A:$A,"&gt;="&amp;DATE(2026,3,15),'DRAFT 2'!$A:$A,"&lt;="&amp;DATE(2026,3,21))</f>
        <v/>
      </c>
      <c r="DN166" s="116">
        <f>COUNTIFS('DRAFT 2'!$D:$D,$B166,'DRAFT 2'!$A:$A,"&gt;="&amp;DATE(2026,3,22),'DRAFT 2'!$A:$A,"&lt;"&amp;DATE(2026,IF(3=12,3+1,3+1),1))</f>
        <v/>
      </c>
      <c r="DO166" s="116">
        <f>SUM(DK166:DN166)</f>
        <v/>
      </c>
      <c r="DZ166" s="116">
        <f>IFERROR(LOOKUP(2,1/('DRAFT 2'!$D:$D=$B166)*('DRAFT 2'!$A:$A&gt;=DATE(2026,4,1))*('DRAFT 2'!$A:$A&lt;DATE(2026,IF(4=12,4+1,4+1),1)),'DRAFT 2'!$A:$A),"")</f>
        <v/>
      </c>
      <c r="EA166" s="116">
        <f>COUNTIFS('DRAFT 2'!$D:$D,$B166,'DRAFT 2'!$A:$A,"&gt;="&amp;DATE(2026,4,1),'DRAFT 2'!$A:$A,"&lt;="&amp;DATE(2026,4,7))</f>
        <v/>
      </c>
      <c r="EB166" s="116">
        <f>COUNTIFS('DRAFT 2'!$D:$D,$B166,'DRAFT 2'!$A:$A,"&gt;="&amp;DATE(2026,4,8),'DRAFT 2'!$A:$A,"&lt;="&amp;DATE(2026,4,14))</f>
        <v/>
      </c>
      <c r="EC166" s="116">
        <f>COUNTIFS('DRAFT 2'!$D:$D,$B166,'DRAFT 2'!$A:$A,"&gt;="&amp;DATE(2026,4,15),'DRAFT 2'!$A:$A,"&lt;="&amp;DATE(2026,4,21))</f>
        <v/>
      </c>
      <c r="ED166" s="116">
        <f>COUNTIFS('DRAFT 2'!$D:$D,$B166,'DRAFT 2'!$A:$A,"&gt;="&amp;DATE(2026,4,22),'DRAFT 2'!$A:$A,"&lt;"&amp;DATE(2026,IF(4=12,4+1,4+1),1))</f>
        <v/>
      </c>
      <c r="EE166" s="116">
        <f>SUM(EA166:ED166)</f>
        <v/>
      </c>
      <c r="EO166" s="116">
        <f>IFERROR(LOOKUP(2,1/('DRAFT 2'!$D:$D=$B166)*('DRAFT 2'!$A:$A&gt;=DATE(2026,5,1))*('DRAFT 2'!$A:$A&lt;DATE(2026,IF(5=12,5+1,5+1),1)),'DRAFT 2'!$A:$A),"")</f>
        <v/>
      </c>
      <c r="EP166" s="116">
        <f>COUNTIFS('DRAFT 2'!$D:$D,$B166,'DRAFT 2'!$A:$A,"&gt;="&amp;DATE(2026,5,1),'DRAFT 2'!$A:$A,"&lt;="&amp;DATE(2026,5,7))</f>
        <v/>
      </c>
      <c r="EQ166" s="116">
        <f>COUNTIFS('DRAFT 2'!$D:$D,$B166,'DRAFT 2'!$A:$A,"&gt;="&amp;DATE(2026,5,8),'DRAFT 2'!$A:$A,"&lt;="&amp;DATE(2026,5,14))</f>
        <v/>
      </c>
      <c r="ER166" s="116">
        <f>COUNTIFS('DRAFT 2'!$D:$D,$B166,'DRAFT 2'!$A:$A,"&gt;="&amp;DATE(2026,5,15),'DRAFT 2'!$A:$A,"&lt;="&amp;DATE(2026,5,21))</f>
        <v/>
      </c>
      <c r="ES166" s="116">
        <f>COUNTIFS('DRAFT 2'!$D:$D,$B166,'DRAFT 2'!$A:$A,"&gt;="&amp;DATE(2026,5,22),'DRAFT 2'!$A:$A,"&lt;"&amp;DATE(2026,IF(5=12,5+1,5+1),1))</f>
        <v/>
      </c>
      <c r="ET166" s="116">
        <f>SUM(EP166:ES166)</f>
        <v/>
      </c>
      <c r="FD166" s="116">
        <f>IFERROR(LOOKUP(2,1/('DRAFT 2'!$D:$D=$B166)*('DRAFT 2'!$A:$A&gt;=DATE(2026,6,1))*('DRAFT 2'!$A:$A&lt;DATE(2026,IF(6=12,6+1,6+1),1)),'DRAFT 2'!$A:$A),"")</f>
        <v/>
      </c>
      <c r="FE166" s="116">
        <f>COUNTIFS('DRAFT 2'!$D:$D,$B166,'DRAFT 2'!$A:$A,"&gt;="&amp;DATE(2026,6,1),'DRAFT 2'!$A:$A,"&lt;="&amp;DATE(2026,6,7))</f>
        <v/>
      </c>
      <c r="FF166" s="116">
        <f>COUNTIFS('DRAFT 2'!$D:$D,$B166,'DRAFT 2'!$A:$A,"&gt;="&amp;DATE(2026,6,8),'DRAFT 2'!$A:$A,"&lt;="&amp;DATE(2026,6,14))</f>
        <v/>
      </c>
      <c r="FG166" s="116">
        <f>COUNTIFS('DRAFT 2'!$D:$D,$B166,'DRAFT 2'!$A:$A,"&gt;="&amp;DATE(2026,6,15),'DRAFT 2'!$A:$A,"&lt;="&amp;DATE(2026,6,21))</f>
        <v/>
      </c>
      <c r="FH166" s="116">
        <f>COUNTIFS('DRAFT 2'!$D:$D,$B166,'DRAFT 2'!$A:$A,"&gt;="&amp;DATE(2026,6,22),'DRAFT 2'!$A:$A,"&lt;"&amp;DATE(2026,IF(6=12,6+1,6+1),1))</f>
        <v/>
      </c>
      <c r="FI166" s="116">
        <f>SUM(FE166:FH166)</f>
        <v/>
      </c>
      <c r="FT166" s="116">
        <f>IFERROR(LOOKUP(2,1/('DRAFT 2'!$D:$D=$B166)*('DRAFT 2'!$A:$A&gt;=DATE(2026,7,1))*('DRAFT 2'!$A:$A&lt;DATE(2026,IF(7=12,7+1,7+1),1)),'DRAFT 2'!$A:$A),"")</f>
        <v/>
      </c>
      <c r="FU166" s="116">
        <f>COUNTIFS('DRAFT 2'!$D:$D,$B166,'DRAFT 2'!$A:$A,"&gt;="&amp;DATE(2026,7,1),'DRAFT 2'!$A:$A,"&lt;="&amp;DATE(2026,7,7))</f>
        <v/>
      </c>
      <c r="FV166" s="116">
        <f>COUNTIFS('DRAFT 2'!$D:$D,$B166,'DRAFT 2'!$A:$A,"&gt;="&amp;DATE(2026,7,8),'DRAFT 2'!$A:$A,"&lt;="&amp;DATE(2026,7,14))</f>
        <v/>
      </c>
      <c r="FW166" s="116">
        <f>COUNTIFS('DRAFT 2'!$D:$D,$B166,'DRAFT 2'!$A:$A,"&gt;="&amp;DATE(2026,7,15),'DRAFT 2'!$A:$A,"&lt;="&amp;DATE(2026,7,21))</f>
        <v/>
      </c>
      <c r="FX166" s="116">
        <f>COUNTIFS('DRAFT 2'!$D:$D,$B166,'DRAFT 2'!$A:$A,"&gt;="&amp;DATE(2026,7,22),'DRAFT 2'!$A:$A,"&lt;"&amp;DATE(2026,IF(7=12,7+1,7+1),1))</f>
        <v/>
      </c>
      <c r="FY166" s="116">
        <f>SUM(FU166:FX166)</f>
        <v/>
      </c>
      <c r="GI166" s="116">
        <f>IFERROR(LOOKUP(2,1/('DRAFT 2'!$D:$D=$B166)*('DRAFT 2'!$A:$A&gt;=DATE(2026,8,1))*('DRAFT 2'!$A:$A&lt;DATE(2026,IF(8=12,8+1,8+1),1)),'DRAFT 2'!$A:$A),"")</f>
        <v/>
      </c>
      <c r="GJ166" s="116">
        <f>COUNTIFS('DRAFT 2'!$D:$D,$B166,'DRAFT 2'!$A:$A,"&gt;="&amp;DATE(2026,8,1),'DRAFT 2'!$A:$A,"&lt;="&amp;DATE(2026,8,7))</f>
        <v/>
      </c>
      <c r="GK166" s="116">
        <f>COUNTIFS('DRAFT 2'!$D:$D,$B166,'DRAFT 2'!$A:$A,"&gt;="&amp;DATE(2026,8,8),'DRAFT 2'!$A:$A,"&lt;="&amp;DATE(2026,8,14))</f>
        <v/>
      </c>
      <c r="GL166" s="116">
        <f>COUNTIFS('DRAFT 2'!$D:$D,$B166,'DRAFT 2'!$A:$A,"&gt;="&amp;DATE(2026,8,15),'DRAFT 2'!$A:$A,"&lt;="&amp;DATE(2026,8,21))</f>
        <v/>
      </c>
      <c r="GM166" s="116">
        <f>COUNTIFS('DRAFT 2'!$D:$D,$B166,'DRAFT 2'!$A:$A,"&gt;="&amp;DATE(2026,8,22),'DRAFT 2'!$A:$A,"&lt;"&amp;DATE(2026,IF(8=12,8+1,8+1),1))</f>
        <v/>
      </c>
      <c r="GN166" s="116">
        <f>SUM(GJ166:GM166)</f>
        <v/>
      </c>
      <c r="GX166" s="116">
        <f>IFERROR(LOOKUP(2,1/('DRAFT 2'!$D:$D=$B166)*('DRAFT 2'!$A:$A&gt;=DATE(2026,9,1))*('DRAFT 2'!$A:$A&lt;DATE(2026,IF(9=12,9+1,9+1),1)),'DRAFT 2'!$A:$A),"")</f>
        <v/>
      </c>
      <c r="GY166" s="116">
        <f>COUNTIFS('DRAFT 2'!$D:$D,$B166,'DRAFT 2'!$A:$A,"&gt;="&amp;DATE(2026,9,1),'DRAFT 2'!$A:$A,"&lt;="&amp;DATE(2026,9,7))</f>
        <v/>
      </c>
      <c r="GZ166" s="116">
        <f>COUNTIFS('DRAFT 2'!$D:$D,$B166,'DRAFT 2'!$A:$A,"&gt;="&amp;DATE(2026,9,8),'DRAFT 2'!$A:$A,"&lt;="&amp;DATE(2026,9,14))</f>
        <v/>
      </c>
      <c r="HA166" s="116">
        <f>COUNTIFS('DRAFT 2'!$D:$D,$B166,'DRAFT 2'!$A:$A,"&gt;="&amp;DATE(2026,9,15),'DRAFT 2'!$A:$A,"&lt;="&amp;DATE(2026,9,21))</f>
        <v/>
      </c>
      <c r="HB166" s="116">
        <f>COUNTIFS('DRAFT 2'!$D:$D,$B166,'DRAFT 2'!$A:$A,"&gt;="&amp;DATE(2026,9,22),'DRAFT 2'!$A:$A,"&lt;"&amp;DATE(2026,IF(9=12,9+1,9+1),1))</f>
        <v/>
      </c>
      <c r="HC166" s="116">
        <f>SUM(GY166:HB166)</f>
        <v/>
      </c>
      <c r="HN166" s="116">
        <f>IFERROR(LOOKUP(2,1/('DRAFT 2'!$D:$D=$B166)*('DRAFT 2'!$A:$A&gt;=DATE(2026,10,1))*('DRAFT 2'!$A:$A&lt;DATE(2026,IF(10=12,10+1,10+1),1)),'DRAFT 2'!$A:$A),"")</f>
        <v/>
      </c>
      <c r="HO166" s="116">
        <f>COUNTIFS('DRAFT 2'!$D:$D,$B166,'DRAFT 2'!$A:$A,"&gt;="&amp;DATE(2026,10,1),'DRAFT 2'!$A:$A,"&lt;="&amp;DATE(2026,10,7))</f>
        <v/>
      </c>
      <c r="HP166" s="116">
        <f>COUNTIFS('DRAFT 2'!$D:$D,$B166,'DRAFT 2'!$A:$A,"&gt;="&amp;DATE(2026,10,8),'DRAFT 2'!$A:$A,"&lt;="&amp;DATE(2026,10,14))</f>
        <v/>
      </c>
      <c r="HQ166" s="116">
        <f>COUNTIFS('DRAFT 2'!$D:$D,$B166,'DRAFT 2'!$A:$A,"&gt;="&amp;DATE(2026,10,15),'DRAFT 2'!$A:$A,"&lt;="&amp;DATE(2026,10,21))</f>
        <v/>
      </c>
      <c r="HR166" s="116">
        <f>COUNTIFS('DRAFT 2'!$D:$D,$B166,'DRAFT 2'!$A:$A,"&gt;="&amp;DATE(2026,10,22),'DRAFT 2'!$A:$A,"&lt;"&amp;DATE(2026,IF(10=12,10+1,10+1),1))</f>
        <v/>
      </c>
      <c r="HS166" s="116">
        <f>SUM(HO166:HR166)</f>
        <v/>
      </c>
      <c r="IC166" s="116">
        <f>IFERROR(LOOKUP(2,1/('DRAFT 2'!$D:$D=$B166)*('DRAFT 2'!$A:$A&gt;=DATE(2026,11,1))*('DRAFT 2'!$A:$A&lt;DATE(2026,IF(11=12,11+1,11+1),1)),'DRAFT 2'!$A:$A),"")</f>
        <v/>
      </c>
      <c r="ID166" s="116">
        <f>COUNTIFS('DRAFT 2'!$D:$D,$B166,'DRAFT 2'!$A:$A,"&gt;="&amp;DATE(2026,11,1),'DRAFT 2'!$A:$A,"&lt;="&amp;DATE(2026,11,7))</f>
        <v/>
      </c>
      <c r="IE166" s="116">
        <f>COUNTIFS('DRAFT 2'!$D:$D,$B166,'DRAFT 2'!$A:$A,"&gt;="&amp;DATE(2026,11,8),'DRAFT 2'!$A:$A,"&lt;="&amp;DATE(2026,11,14))</f>
        <v/>
      </c>
      <c r="IF166" s="116">
        <f>COUNTIFS('DRAFT 2'!$D:$D,$B166,'DRAFT 2'!$A:$A,"&gt;="&amp;DATE(2026,11,15),'DRAFT 2'!$A:$A,"&lt;="&amp;DATE(2026,11,21))</f>
        <v/>
      </c>
      <c r="IG166" s="116">
        <f>COUNTIFS('DRAFT 2'!$D:$D,$B166,'DRAFT 2'!$A:$A,"&gt;="&amp;DATE(2026,11,22),'DRAFT 2'!$A:$A,"&lt;"&amp;DATE(2026,IF(11=12,11+1,11+1),1))</f>
        <v/>
      </c>
      <c r="IH166" s="116">
        <f>SUM(ID166:IG166)</f>
        <v/>
      </c>
      <c r="IR166" s="116">
        <f>IFERROR(LOOKUP(2,1/('DRAFT 2'!$D:$D=$B166)*('DRAFT 2'!$A:$A&gt;=DATE(2026,12,1))*('DRAFT 2'!$A:$A&lt;DATE(2026,IF(12=12,12+1,12+1),1)),'DRAFT 2'!$A:$A),"")</f>
        <v/>
      </c>
      <c r="IS166" s="116">
        <f>COUNTIFS('DRAFT 2'!$D:$D,$B166,'DRAFT 2'!$A:$A,"&gt;="&amp;DATE(2026,12,1),'DRAFT 2'!$A:$A,"&lt;="&amp;DATE(2026,12,7))</f>
        <v/>
      </c>
      <c r="IT166" s="116">
        <f>COUNTIFS('DRAFT 2'!$D:$D,$B166,'DRAFT 2'!$A:$A,"&gt;="&amp;DATE(2026,12,8),'DRAFT 2'!$A:$A,"&lt;="&amp;DATE(2026,12,14))</f>
        <v/>
      </c>
      <c r="IU166" s="116">
        <f>COUNTIFS('DRAFT 2'!$D:$D,$B166,'DRAFT 2'!$A:$A,"&gt;="&amp;DATE(2026,12,15),'DRAFT 2'!$A:$A,"&lt;="&amp;DATE(2026,12,21))</f>
        <v/>
      </c>
      <c r="IV166" s="116">
        <f>COUNTIFS('DRAFT 2'!$D:$D,$B166,'DRAFT 2'!$A:$A,"&gt;="&amp;DATE(2026,12,22),'DRAFT 2'!$A:$A,"&lt;"&amp;DATE(2026,IF(12=12,12+1,12+1),1))</f>
        <v/>
      </c>
      <c r="IW166" s="116">
        <f>SUM(IS166:IV166)</f>
        <v/>
      </c>
    </row>
    <row r="167">
      <c r="A167" s="116">
        <f>IFERROR(INDEX('DRAFT 1'!$A:$A,MATCH($B167,'DRAFT 1'!$B:$B,0)),"")</f>
        <v/>
      </c>
      <c r="C167" s="116">
        <f>IFERROR(INDEX('DRAFT 1'!$C:$C,MATCH($B167,'DRAFT 1'!$B:$B,0)),"")</f>
        <v/>
      </c>
      <c r="D167" s="116">
        <f>IFERROR(INDEX('DRAFT 1'!$D:$D,MATCH($B167,'DRAFT 1'!$B:$B,0)),"")</f>
        <v/>
      </c>
      <c r="E167" s="116">
        <f>IFERROR(INDEX('DRAFT 1'!$E:$E,MATCH($B167,'DRAFT 1'!$B:$B,0)),"")</f>
        <v/>
      </c>
      <c r="F167" s="116">
        <f>IFERROR(INDEX('DRAFT 1'!$F:$F,MATCH($B167,'DRAFT 1'!$B:$B,0)),"")</f>
        <v/>
      </c>
      <c r="G167" s="116">
        <f>IFERROR(INDEX('DRAFT 1'!$G:$G,MATCH($B167,'DRAFT 1'!$B:$B,0)),"")</f>
        <v/>
      </c>
      <c r="H167" s="116">
        <f>IFERROR(INDEX('DRAFT 1'!$H:$H,MATCH($B167,'DRAFT 1'!$B:$B,0)),"")</f>
        <v/>
      </c>
      <c r="I167" s="116">
        <f>IFERROR(INDEX('DRAFT 1'!$I:$I,MATCH($B167,'DRAFT 1'!$B:$B,0)),"")</f>
        <v/>
      </c>
      <c r="K167" s="116">
        <f>IFERROR(INDEX('DRAFT 1'!$AL:$AL,MATCH($B167,'DRAFT 1'!$B:$B,0)),"")</f>
        <v/>
      </c>
      <c r="L167" s="116">
        <f>IFERROR(INDEX('DRAFT 1'!$J:$J,MATCH($B167,'DRAFT 1'!$B:$B,0)),"")</f>
        <v/>
      </c>
      <c r="M167" s="116">
        <f>IFERROR(INDEX('DRAFT 1'!$K:$K,MATCH($B167,'DRAFT 1'!$B:$B,0)),"")</f>
        <v/>
      </c>
      <c r="P167" s="116">
        <f>IFERROR(INDEX('DRAFT 1'!$L:$L,MATCH($B167,'DRAFT 1'!$B:$B,0)),"")</f>
        <v/>
      </c>
      <c r="Q167" s="116">
        <f>IFERROR(INDEX('DRAFT 1'!$M:$M,MATCH($B167,'DRAFT 1'!$B:$B,0)),"")</f>
        <v/>
      </c>
      <c r="R167" s="116">
        <f>IFERROR(INDEX('DRAFT 1'!$N:$N,MATCH($B167,'DRAFT 1'!$B:$B,0)),"")</f>
        <v/>
      </c>
      <c r="S167" s="116">
        <f>IFERROR(INDEX('DRAFT 1'!$O:$O,MATCH($B167,'DRAFT 1'!$B:$B,0)),"")</f>
        <v/>
      </c>
      <c r="T167" s="116">
        <f>IFERROR(INDEX('DRAFT 1'!$P:$P,MATCH($B167,'DRAFT 1'!$B:$B,0)),"")</f>
        <v/>
      </c>
      <c r="U167" s="116">
        <f>IFERROR(INDEX('DRAFT 1'!$Q:$Q,MATCH($B167,'DRAFT 1'!$B:$B,0)),"")</f>
        <v/>
      </c>
      <c r="V167" s="116">
        <f>IFERROR(INDEX('DRAFT 1'!$R:$R,MATCH($B167,'DRAFT 1'!$B:$B,0)),"")</f>
        <v/>
      </c>
      <c r="W167" s="116">
        <f>IFERROR(INDEX('DRAFT 1'!$S:$S,MATCH($B167,'DRAFT 1'!$B:$B,0)),"")</f>
        <v/>
      </c>
      <c r="X167" s="116">
        <f>IFERROR(INDEX('DRAFT 1'!$T:$T,MATCH($B167,'DRAFT 1'!$B:$B,0)),"")</f>
        <v/>
      </c>
      <c r="Z167" s="116">
        <f>IFERROR(INDEX('DRAFT 1'!$U:$U,MATCH($B167,'DRAFT 1'!$B:$B,0)),"")</f>
        <v/>
      </c>
      <c r="AA167" s="116">
        <f>IFERROR(INDEX('DRAFT 1'!$V:$V,MATCH($B167,'DRAFT 1'!$B:$B,0)),"")</f>
        <v/>
      </c>
      <c r="AB167" s="116">
        <f>IFERROR(INDEX('DRAFT 1'!$W:$W,MATCH($B167,'DRAFT 1'!$B:$B,0)),"")</f>
        <v/>
      </c>
      <c r="AC167" s="116">
        <f>IFERROR(INDEX('DRAFT 1'!$X:$X,MATCH($B167,'DRAFT 1'!$B:$B,0)),"")</f>
        <v/>
      </c>
      <c r="AD167" s="116">
        <f>IFERROR(INDEX('DRAFT 1'!$Y:$Y,MATCH($B167,'DRAFT 1'!$B:$B,0)),"")</f>
        <v/>
      </c>
      <c r="AE167" s="116">
        <f>IFERROR(INDEX('DRAFT 1'!$Z:$Z,MATCH($B167,'DRAFT 1'!$B:$B,0)),"")</f>
        <v/>
      </c>
      <c r="AF167" s="116">
        <f>IFERROR(INDEX('DRAFT 1'!$AA:$AA,MATCH($B167,'DRAFT 1'!$B:$B,0)),"")</f>
        <v/>
      </c>
      <c r="AG167" s="116">
        <f>IFERROR(INDEX('DRAFT 1'!$AB:$AB,MATCH($B167,'DRAFT 1'!$B:$B,0)),"")</f>
        <v/>
      </c>
      <c r="AH167" s="116">
        <f>IFERROR(INDEX('DRAFT 1'!$AC:$AC,MATCH($B167,'DRAFT 1'!$B:$B,0)),"")</f>
        <v/>
      </c>
      <c r="AI167" s="116">
        <f>IFERROR(INDEX('DRAFT 1'!$AD:$AD,MATCH($B167,'DRAFT 1'!$B:$B,0)),"")</f>
        <v/>
      </c>
      <c r="AJ167" s="116">
        <f>IFERROR(INDEX('DRAFT 1'!$AE:$AE,MATCH($B167,'DRAFT 1'!$B:$B,0)),"")</f>
        <v/>
      </c>
      <c r="AK167" s="116">
        <f>IFERROR(INDEX('DRAFT 1'!$AG:$AG,MATCH($B167,'DRAFT 1'!$B:$B,0)),"")</f>
        <v/>
      </c>
      <c r="AL167" s="116">
        <f>IFERROR(INDEX('DRAFT 1'!$AH:$AH,MATCH($B167,'DRAFT 1'!$B:$B,0)),"")</f>
        <v/>
      </c>
      <c r="AM167" s="116">
        <f>IFERROR(INDEX('DRAFT 1'!$AI:$AI,MATCH($B167,'DRAFT 1'!$B:$B,0)),"")</f>
        <v/>
      </c>
      <c r="AN167" s="116">
        <f>IFERROR(INDEX('DRAFT 1'!$AJ:$AJ,MATCH($B167,'DRAFT 1'!$B:$B,0)),"")</f>
        <v/>
      </c>
      <c r="AO167" s="116">
        <f>IFERROR(Y167/AN167,0)</f>
        <v/>
      </c>
      <c r="AP167" s="116">
        <f>IFERROR(INDEX('DRAFT 1'!$AK:$AK,MATCH($B167,'DRAFT 1'!$B:$B,0)),"")</f>
        <v/>
      </c>
      <c r="AR167" s="116">
        <f>IFERROR(LOOKUP(2,1/('DRAFT 2'!$D:$D=$B167),'DRAFT 2'!$I:$I),"")</f>
        <v/>
      </c>
      <c r="AS167" s="116">
        <f>IFERROR(LOOKUP(2,1/('DRAFT 2'!$D:$D=$B167),'DRAFT 2'!$T:$T),"")</f>
        <v/>
      </c>
      <c r="AT167" s="116">
        <f>IFERROR(LOOKUP(2,1/('DRAFT 2'!$D:$D=$B167),'DRAFT 2'!$A:$A),"")</f>
        <v/>
      </c>
      <c r="AU167" s="116">
        <f>IFERROR(LOOKUP(2,1/('DRAFT 2'!$D:$D=$B167),'DRAFT 2'!$R:$R),"")</f>
        <v/>
      </c>
      <c r="AV167" s="116">
        <f>IFERROR(LOOKUP(2,1/('DRAFT 2'!$D:$D=$B167),'DRAFT 2'!$S:$S),"")</f>
        <v/>
      </c>
      <c r="AX167" s="116">
        <f>IFERROR(LOOKUP(2,1/('DRAFT 2'!$D:$D=$B167),'DRAFT 2'!$M:$M),"")</f>
        <v/>
      </c>
      <c r="AY167" s="116">
        <f>IFERROR(LOOKUP(2,1/('DRAFT 2'!$D:$D=$B167),'DRAFT 2'!$K:$K),"")</f>
        <v/>
      </c>
      <c r="BG167" s="116">
        <f>IFERROR(LOOKUP(2,1/('DRAFT 2'!$D:$D=$B167),'DRAFT 2'!$U:$U),"")</f>
        <v/>
      </c>
      <c r="BH167" s="116">
        <f>IFERROR(LOOKUP(2,1/('DRAFT 2'!$D:$D=$B167),'DRAFT 2'!$V:$V),"")</f>
        <v/>
      </c>
      <c r="CE167" s="116">
        <f>IFERROR(AJ167,0)</f>
        <v/>
      </c>
      <c r="CF167" s="116">
        <f>IFERROR(LOOKUP(2,1/('DRAFT 2'!$D:$D=$B167)*('DRAFT 2'!$A:$A&gt;=DATE(2026,1,1))*('DRAFT 2'!$A:$A&lt;DATE(2026,IF(1=12,1+1,1+1),1)),'DRAFT 2'!$A:$A),"")</f>
        <v/>
      </c>
      <c r="CG167" s="116">
        <f>COUNTIFS('DRAFT 2'!$D:$D,$B167,'DRAFT 2'!$A:$A,"&gt;="&amp;DATE(2026,1,1),'DRAFT 2'!$A:$A,"&lt;="&amp;DATE(2026,1,7))</f>
        <v/>
      </c>
      <c r="CH167" s="116">
        <f>COUNTIFS('DRAFT 2'!$D:$D,$B167,'DRAFT 2'!$A:$A,"&gt;="&amp;DATE(2026,1,8),'DRAFT 2'!$A:$A,"&lt;="&amp;DATE(2026,1,14))</f>
        <v/>
      </c>
      <c r="CI167" s="116">
        <f>COUNTIFS('DRAFT 2'!$D:$D,$B167,'DRAFT 2'!$A:$A,"&gt;="&amp;DATE(2026,1,15),'DRAFT 2'!$A:$A,"&lt;="&amp;DATE(2026,1,21))</f>
        <v/>
      </c>
      <c r="CJ167" s="116">
        <f>COUNTIFS('DRAFT 2'!$D:$D,$B167,'DRAFT 2'!$A:$A,"&gt;="&amp;DATE(2026,1,22),'DRAFT 2'!$A:$A,"&lt;"&amp;DATE(2026,IF(1=12,1+1,1+1),1))</f>
        <v/>
      </c>
      <c r="CK167" s="116">
        <f>SUM(CG167:CJ167)</f>
        <v/>
      </c>
      <c r="CT167" s="116" t="n">
        <v>0</v>
      </c>
      <c r="CU167" s="116">
        <f>IFERROR(LOOKUP(2,1/('DRAFT 2'!$D:$D=$B167)*('DRAFT 2'!$A:$A&gt;=DATE(2026,2,1))*('DRAFT 2'!$A:$A&lt;DATE(2026,IF(2=12,2+1,2+1),1)),'DRAFT 2'!$A:$A),"")</f>
        <v/>
      </c>
      <c r="CV167" s="116">
        <f>COUNTIFS('DRAFT 2'!$D:$D,$B167,'DRAFT 2'!$A:$A,"&gt;="&amp;DATE(2026,2,1),'DRAFT 2'!$A:$A,"&lt;="&amp;DATE(2026,2,7))</f>
        <v/>
      </c>
      <c r="CW167" s="116">
        <f>COUNTIFS('DRAFT 2'!$D:$D,$B167,'DRAFT 2'!$A:$A,"&gt;="&amp;DATE(2026,2,8),'DRAFT 2'!$A:$A,"&lt;="&amp;DATE(2026,2,14))</f>
        <v/>
      </c>
      <c r="CX167" s="116">
        <f>COUNTIFS('DRAFT 2'!$D:$D,$B167,'DRAFT 2'!$A:$A,"&gt;="&amp;DATE(2026,2,15),'DRAFT 2'!$A:$A,"&lt;="&amp;DATE(2026,2,21))</f>
        <v/>
      </c>
      <c r="CY167" s="116">
        <f>COUNTIFS('DRAFT 2'!$D:$D,$B167,'DRAFT 2'!$A:$A,"&gt;="&amp;DATE(2026,2,22),'DRAFT 2'!$A:$A,"&lt;"&amp;DATE(2026,IF(2=12,2+1,2+1),1))</f>
        <v/>
      </c>
      <c r="CZ167" s="116">
        <f>SUM(CV167:CY167)</f>
        <v/>
      </c>
      <c r="DJ167" s="116">
        <f>IFERROR(LOOKUP(2,1/('DRAFT 2'!$D:$D=$B167)*('DRAFT 2'!$A:$A&gt;=DATE(2026,3,1))*('DRAFT 2'!$A:$A&lt;DATE(2026,IF(3=12,3+1,3+1),1)),'DRAFT 2'!$A:$A),"")</f>
        <v/>
      </c>
      <c r="DK167" s="116">
        <f>COUNTIFS('DRAFT 2'!$D:$D,$B167,'DRAFT 2'!$A:$A,"&gt;="&amp;DATE(2026,3,1),'DRAFT 2'!$A:$A,"&lt;="&amp;DATE(2026,3,7))</f>
        <v/>
      </c>
      <c r="DL167" s="116">
        <f>COUNTIFS('DRAFT 2'!$D:$D,$B167,'DRAFT 2'!$A:$A,"&gt;="&amp;DATE(2026,3,8),'DRAFT 2'!$A:$A,"&lt;="&amp;DATE(2026,3,14))</f>
        <v/>
      </c>
      <c r="DM167" s="116">
        <f>COUNTIFS('DRAFT 2'!$D:$D,$B167,'DRAFT 2'!$A:$A,"&gt;="&amp;DATE(2026,3,15),'DRAFT 2'!$A:$A,"&lt;="&amp;DATE(2026,3,21))</f>
        <v/>
      </c>
      <c r="DN167" s="116">
        <f>COUNTIFS('DRAFT 2'!$D:$D,$B167,'DRAFT 2'!$A:$A,"&gt;="&amp;DATE(2026,3,22),'DRAFT 2'!$A:$A,"&lt;"&amp;DATE(2026,IF(3=12,3+1,3+1),1))</f>
        <v/>
      </c>
      <c r="DO167" s="116">
        <f>SUM(DK167:DN167)</f>
        <v/>
      </c>
      <c r="DZ167" s="116">
        <f>IFERROR(LOOKUP(2,1/('DRAFT 2'!$D:$D=$B167)*('DRAFT 2'!$A:$A&gt;=DATE(2026,4,1))*('DRAFT 2'!$A:$A&lt;DATE(2026,IF(4=12,4+1,4+1),1)),'DRAFT 2'!$A:$A),"")</f>
        <v/>
      </c>
      <c r="EA167" s="116">
        <f>COUNTIFS('DRAFT 2'!$D:$D,$B167,'DRAFT 2'!$A:$A,"&gt;="&amp;DATE(2026,4,1),'DRAFT 2'!$A:$A,"&lt;="&amp;DATE(2026,4,7))</f>
        <v/>
      </c>
      <c r="EB167" s="116">
        <f>COUNTIFS('DRAFT 2'!$D:$D,$B167,'DRAFT 2'!$A:$A,"&gt;="&amp;DATE(2026,4,8),'DRAFT 2'!$A:$A,"&lt;="&amp;DATE(2026,4,14))</f>
        <v/>
      </c>
      <c r="EC167" s="116">
        <f>COUNTIFS('DRAFT 2'!$D:$D,$B167,'DRAFT 2'!$A:$A,"&gt;="&amp;DATE(2026,4,15),'DRAFT 2'!$A:$A,"&lt;="&amp;DATE(2026,4,21))</f>
        <v/>
      </c>
      <c r="ED167" s="116">
        <f>COUNTIFS('DRAFT 2'!$D:$D,$B167,'DRAFT 2'!$A:$A,"&gt;="&amp;DATE(2026,4,22),'DRAFT 2'!$A:$A,"&lt;"&amp;DATE(2026,IF(4=12,4+1,4+1),1))</f>
        <v/>
      </c>
      <c r="EE167" s="116">
        <f>SUM(EA167:ED167)</f>
        <v/>
      </c>
      <c r="EO167" s="116">
        <f>IFERROR(LOOKUP(2,1/('DRAFT 2'!$D:$D=$B167)*('DRAFT 2'!$A:$A&gt;=DATE(2026,5,1))*('DRAFT 2'!$A:$A&lt;DATE(2026,IF(5=12,5+1,5+1),1)),'DRAFT 2'!$A:$A),"")</f>
        <v/>
      </c>
      <c r="EP167" s="116">
        <f>COUNTIFS('DRAFT 2'!$D:$D,$B167,'DRAFT 2'!$A:$A,"&gt;="&amp;DATE(2026,5,1),'DRAFT 2'!$A:$A,"&lt;="&amp;DATE(2026,5,7))</f>
        <v/>
      </c>
      <c r="EQ167" s="116">
        <f>COUNTIFS('DRAFT 2'!$D:$D,$B167,'DRAFT 2'!$A:$A,"&gt;="&amp;DATE(2026,5,8),'DRAFT 2'!$A:$A,"&lt;="&amp;DATE(2026,5,14))</f>
        <v/>
      </c>
      <c r="ER167" s="116">
        <f>COUNTIFS('DRAFT 2'!$D:$D,$B167,'DRAFT 2'!$A:$A,"&gt;="&amp;DATE(2026,5,15),'DRAFT 2'!$A:$A,"&lt;="&amp;DATE(2026,5,21))</f>
        <v/>
      </c>
      <c r="ES167" s="116">
        <f>COUNTIFS('DRAFT 2'!$D:$D,$B167,'DRAFT 2'!$A:$A,"&gt;="&amp;DATE(2026,5,22),'DRAFT 2'!$A:$A,"&lt;"&amp;DATE(2026,IF(5=12,5+1,5+1),1))</f>
        <v/>
      </c>
      <c r="ET167" s="116">
        <f>SUM(EP167:ES167)</f>
        <v/>
      </c>
      <c r="FD167" s="116">
        <f>IFERROR(LOOKUP(2,1/('DRAFT 2'!$D:$D=$B167)*('DRAFT 2'!$A:$A&gt;=DATE(2026,6,1))*('DRAFT 2'!$A:$A&lt;DATE(2026,IF(6=12,6+1,6+1),1)),'DRAFT 2'!$A:$A),"")</f>
        <v/>
      </c>
      <c r="FE167" s="116">
        <f>COUNTIFS('DRAFT 2'!$D:$D,$B167,'DRAFT 2'!$A:$A,"&gt;="&amp;DATE(2026,6,1),'DRAFT 2'!$A:$A,"&lt;="&amp;DATE(2026,6,7))</f>
        <v/>
      </c>
      <c r="FF167" s="116">
        <f>COUNTIFS('DRAFT 2'!$D:$D,$B167,'DRAFT 2'!$A:$A,"&gt;="&amp;DATE(2026,6,8),'DRAFT 2'!$A:$A,"&lt;="&amp;DATE(2026,6,14))</f>
        <v/>
      </c>
      <c r="FG167" s="116">
        <f>COUNTIFS('DRAFT 2'!$D:$D,$B167,'DRAFT 2'!$A:$A,"&gt;="&amp;DATE(2026,6,15),'DRAFT 2'!$A:$A,"&lt;="&amp;DATE(2026,6,21))</f>
        <v/>
      </c>
      <c r="FH167" s="116">
        <f>COUNTIFS('DRAFT 2'!$D:$D,$B167,'DRAFT 2'!$A:$A,"&gt;="&amp;DATE(2026,6,22),'DRAFT 2'!$A:$A,"&lt;"&amp;DATE(2026,IF(6=12,6+1,6+1),1))</f>
        <v/>
      </c>
      <c r="FI167" s="116">
        <f>SUM(FE167:FH167)</f>
        <v/>
      </c>
      <c r="FT167" s="116">
        <f>IFERROR(LOOKUP(2,1/('DRAFT 2'!$D:$D=$B167)*('DRAFT 2'!$A:$A&gt;=DATE(2026,7,1))*('DRAFT 2'!$A:$A&lt;DATE(2026,IF(7=12,7+1,7+1),1)),'DRAFT 2'!$A:$A),"")</f>
        <v/>
      </c>
      <c r="FU167" s="116">
        <f>COUNTIFS('DRAFT 2'!$D:$D,$B167,'DRAFT 2'!$A:$A,"&gt;="&amp;DATE(2026,7,1),'DRAFT 2'!$A:$A,"&lt;="&amp;DATE(2026,7,7))</f>
        <v/>
      </c>
      <c r="FV167" s="116">
        <f>COUNTIFS('DRAFT 2'!$D:$D,$B167,'DRAFT 2'!$A:$A,"&gt;="&amp;DATE(2026,7,8),'DRAFT 2'!$A:$A,"&lt;="&amp;DATE(2026,7,14))</f>
        <v/>
      </c>
      <c r="FW167" s="116">
        <f>COUNTIFS('DRAFT 2'!$D:$D,$B167,'DRAFT 2'!$A:$A,"&gt;="&amp;DATE(2026,7,15),'DRAFT 2'!$A:$A,"&lt;="&amp;DATE(2026,7,21))</f>
        <v/>
      </c>
      <c r="FX167" s="116">
        <f>COUNTIFS('DRAFT 2'!$D:$D,$B167,'DRAFT 2'!$A:$A,"&gt;="&amp;DATE(2026,7,22),'DRAFT 2'!$A:$A,"&lt;"&amp;DATE(2026,IF(7=12,7+1,7+1),1))</f>
        <v/>
      </c>
      <c r="FY167" s="116">
        <f>SUM(FU167:FX167)</f>
        <v/>
      </c>
      <c r="GI167" s="116">
        <f>IFERROR(LOOKUP(2,1/('DRAFT 2'!$D:$D=$B167)*('DRAFT 2'!$A:$A&gt;=DATE(2026,8,1))*('DRAFT 2'!$A:$A&lt;DATE(2026,IF(8=12,8+1,8+1),1)),'DRAFT 2'!$A:$A),"")</f>
        <v/>
      </c>
      <c r="GJ167" s="116">
        <f>COUNTIFS('DRAFT 2'!$D:$D,$B167,'DRAFT 2'!$A:$A,"&gt;="&amp;DATE(2026,8,1),'DRAFT 2'!$A:$A,"&lt;="&amp;DATE(2026,8,7))</f>
        <v/>
      </c>
      <c r="GK167" s="116">
        <f>COUNTIFS('DRAFT 2'!$D:$D,$B167,'DRAFT 2'!$A:$A,"&gt;="&amp;DATE(2026,8,8),'DRAFT 2'!$A:$A,"&lt;="&amp;DATE(2026,8,14))</f>
        <v/>
      </c>
      <c r="GL167" s="116">
        <f>COUNTIFS('DRAFT 2'!$D:$D,$B167,'DRAFT 2'!$A:$A,"&gt;="&amp;DATE(2026,8,15),'DRAFT 2'!$A:$A,"&lt;="&amp;DATE(2026,8,21))</f>
        <v/>
      </c>
      <c r="GM167" s="116">
        <f>COUNTIFS('DRAFT 2'!$D:$D,$B167,'DRAFT 2'!$A:$A,"&gt;="&amp;DATE(2026,8,22),'DRAFT 2'!$A:$A,"&lt;"&amp;DATE(2026,IF(8=12,8+1,8+1),1))</f>
        <v/>
      </c>
      <c r="GN167" s="116">
        <f>SUM(GJ167:GM167)</f>
        <v/>
      </c>
      <c r="GX167" s="116">
        <f>IFERROR(LOOKUP(2,1/('DRAFT 2'!$D:$D=$B167)*('DRAFT 2'!$A:$A&gt;=DATE(2026,9,1))*('DRAFT 2'!$A:$A&lt;DATE(2026,IF(9=12,9+1,9+1),1)),'DRAFT 2'!$A:$A),"")</f>
        <v/>
      </c>
      <c r="GY167" s="116">
        <f>COUNTIFS('DRAFT 2'!$D:$D,$B167,'DRAFT 2'!$A:$A,"&gt;="&amp;DATE(2026,9,1),'DRAFT 2'!$A:$A,"&lt;="&amp;DATE(2026,9,7))</f>
        <v/>
      </c>
      <c r="GZ167" s="116">
        <f>COUNTIFS('DRAFT 2'!$D:$D,$B167,'DRAFT 2'!$A:$A,"&gt;="&amp;DATE(2026,9,8),'DRAFT 2'!$A:$A,"&lt;="&amp;DATE(2026,9,14))</f>
        <v/>
      </c>
      <c r="HA167" s="116">
        <f>COUNTIFS('DRAFT 2'!$D:$D,$B167,'DRAFT 2'!$A:$A,"&gt;="&amp;DATE(2026,9,15),'DRAFT 2'!$A:$A,"&lt;="&amp;DATE(2026,9,21))</f>
        <v/>
      </c>
      <c r="HB167" s="116">
        <f>COUNTIFS('DRAFT 2'!$D:$D,$B167,'DRAFT 2'!$A:$A,"&gt;="&amp;DATE(2026,9,22),'DRAFT 2'!$A:$A,"&lt;"&amp;DATE(2026,IF(9=12,9+1,9+1),1))</f>
        <v/>
      </c>
      <c r="HC167" s="116">
        <f>SUM(GY167:HB167)</f>
        <v/>
      </c>
      <c r="HN167" s="116">
        <f>IFERROR(LOOKUP(2,1/('DRAFT 2'!$D:$D=$B167)*('DRAFT 2'!$A:$A&gt;=DATE(2026,10,1))*('DRAFT 2'!$A:$A&lt;DATE(2026,IF(10=12,10+1,10+1),1)),'DRAFT 2'!$A:$A),"")</f>
        <v/>
      </c>
      <c r="HO167" s="116">
        <f>COUNTIFS('DRAFT 2'!$D:$D,$B167,'DRAFT 2'!$A:$A,"&gt;="&amp;DATE(2026,10,1),'DRAFT 2'!$A:$A,"&lt;="&amp;DATE(2026,10,7))</f>
        <v/>
      </c>
      <c r="HP167" s="116">
        <f>COUNTIFS('DRAFT 2'!$D:$D,$B167,'DRAFT 2'!$A:$A,"&gt;="&amp;DATE(2026,10,8),'DRAFT 2'!$A:$A,"&lt;="&amp;DATE(2026,10,14))</f>
        <v/>
      </c>
      <c r="HQ167" s="116">
        <f>COUNTIFS('DRAFT 2'!$D:$D,$B167,'DRAFT 2'!$A:$A,"&gt;="&amp;DATE(2026,10,15),'DRAFT 2'!$A:$A,"&lt;="&amp;DATE(2026,10,21))</f>
        <v/>
      </c>
      <c r="HR167" s="116">
        <f>COUNTIFS('DRAFT 2'!$D:$D,$B167,'DRAFT 2'!$A:$A,"&gt;="&amp;DATE(2026,10,22),'DRAFT 2'!$A:$A,"&lt;"&amp;DATE(2026,IF(10=12,10+1,10+1),1))</f>
        <v/>
      </c>
      <c r="HS167" s="116">
        <f>SUM(HO167:HR167)</f>
        <v/>
      </c>
      <c r="IC167" s="116">
        <f>IFERROR(LOOKUP(2,1/('DRAFT 2'!$D:$D=$B167)*('DRAFT 2'!$A:$A&gt;=DATE(2026,11,1))*('DRAFT 2'!$A:$A&lt;DATE(2026,IF(11=12,11+1,11+1),1)),'DRAFT 2'!$A:$A),"")</f>
        <v/>
      </c>
      <c r="ID167" s="116">
        <f>COUNTIFS('DRAFT 2'!$D:$D,$B167,'DRAFT 2'!$A:$A,"&gt;="&amp;DATE(2026,11,1),'DRAFT 2'!$A:$A,"&lt;="&amp;DATE(2026,11,7))</f>
        <v/>
      </c>
      <c r="IE167" s="116">
        <f>COUNTIFS('DRAFT 2'!$D:$D,$B167,'DRAFT 2'!$A:$A,"&gt;="&amp;DATE(2026,11,8),'DRAFT 2'!$A:$A,"&lt;="&amp;DATE(2026,11,14))</f>
        <v/>
      </c>
      <c r="IF167" s="116">
        <f>COUNTIFS('DRAFT 2'!$D:$D,$B167,'DRAFT 2'!$A:$A,"&gt;="&amp;DATE(2026,11,15),'DRAFT 2'!$A:$A,"&lt;="&amp;DATE(2026,11,21))</f>
        <v/>
      </c>
      <c r="IG167" s="116">
        <f>COUNTIFS('DRAFT 2'!$D:$D,$B167,'DRAFT 2'!$A:$A,"&gt;="&amp;DATE(2026,11,22),'DRAFT 2'!$A:$A,"&lt;"&amp;DATE(2026,IF(11=12,11+1,11+1),1))</f>
        <v/>
      </c>
      <c r="IH167" s="116">
        <f>SUM(ID167:IG167)</f>
        <v/>
      </c>
      <c r="IR167" s="116">
        <f>IFERROR(LOOKUP(2,1/('DRAFT 2'!$D:$D=$B167)*('DRAFT 2'!$A:$A&gt;=DATE(2026,12,1))*('DRAFT 2'!$A:$A&lt;DATE(2026,IF(12=12,12+1,12+1),1)),'DRAFT 2'!$A:$A),"")</f>
        <v/>
      </c>
      <c r="IS167" s="116">
        <f>COUNTIFS('DRAFT 2'!$D:$D,$B167,'DRAFT 2'!$A:$A,"&gt;="&amp;DATE(2026,12,1),'DRAFT 2'!$A:$A,"&lt;="&amp;DATE(2026,12,7))</f>
        <v/>
      </c>
      <c r="IT167" s="116">
        <f>COUNTIFS('DRAFT 2'!$D:$D,$B167,'DRAFT 2'!$A:$A,"&gt;="&amp;DATE(2026,12,8),'DRAFT 2'!$A:$A,"&lt;="&amp;DATE(2026,12,14))</f>
        <v/>
      </c>
      <c r="IU167" s="116">
        <f>COUNTIFS('DRAFT 2'!$D:$D,$B167,'DRAFT 2'!$A:$A,"&gt;="&amp;DATE(2026,12,15),'DRAFT 2'!$A:$A,"&lt;="&amp;DATE(2026,12,21))</f>
        <v/>
      </c>
      <c r="IV167" s="116">
        <f>COUNTIFS('DRAFT 2'!$D:$D,$B167,'DRAFT 2'!$A:$A,"&gt;="&amp;DATE(2026,12,22),'DRAFT 2'!$A:$A,"&lt;"&amp;DATE(2026,IF(12=12,12+1,12+1),1))</f>
        <v/>
      </c>
      <c r="IW167" s="116">
        <f>SUM(IS167:IV167)</f>
        <v/>
      </c>
    </row>
    <row r="168">
      <c r="A168" s="116">
        <f>IFERROR(INDEX('DRAFT 1'!$A:$A,MATCH($B168,'DRAFT 1'!$B:$B,0)),"")</f>
        <v/>
      </c>
      <c r="C168" s="116">
        <f>IFERROR(INDEX('DRAFT 1'!$C:$C,MATCH($B168,'DRAFT 1'!$B:$B,0)),"")</f>
        <v/>
      </c>
      <c r="D168" s="116">
        <f>IFERROR(INDEX('DRAFT 1'!$D:$D,MATCH($B168,'DRAFT 1'!$B:$B,0)),"")</f>
        <v/>
      </c>
      <c r="E168" s="116">
        <f>IFERROR(INDEX('DRAFT 1'!$E:$E,MATCH($B168,'DRAFT 1'!$B:$B,0)),"")</f>
        <v/>
      </c>
      <c r="F168" s="116">
        <f>IFERROR(INDEX('DRAFT 1'!$F:$F,MATCH($B168,'DRAFT 1'!$B:$B,0)),"")</f>
        <v/>
      </c>
      <c r="G168" s="116">
        <f>IFERROR(INDEX('DRAFT 1'!$G:$G,MATCH($B168,'DRAFT 1'!$B:$B,0)),"")</f>
        <v/>
      </c>
      <c r="H168" s="116">
        <f>IFERROR(INDEX('DRAFT 1'!$H:$H,MATCH($B168,'DRAFT 1'!$B:$B,0)),"")</f>
        <v/>
      </c>
      <c r="I168" s="116">
        <f>IFERROR(INDEX('DRAFT 1'!$I:$I,MATCH($B168,'DRAFT 1'!$B:$B,0)),"")</f>
        <v/>
      </c>
      <c r="K168" s="116">
        <f>IFERROR(INDEX('DRAFT 1'!$AL:$AL,MATCH($B168,'DRAFT 1'!$B:$B,0)),"")</f>
        <v/>
      </c>
      <c r="L168" s="116">
        <f>IFERROR(INDEX('DRAFT 1'!$J:$J,MATCH($B168,'DRAFT 1'!$B:$B,0)),"")</f>
        <v/>
      </c>
      <c r="M168" s="116">
        <f>IFERROR(INDEX('DRAFT 1'!$K:$K,MATCH($B168,'DRAFT 1'!$B:$B,0)),"")</f>
        <v/>
      </c>
      <c r="P168" s="116">
        <f>IFERROR(INDEX('DRAFT 1'!$L:$L,MATCH($B168,'DRAFT 1'!$B:$B,0)),"")</f>
        <v/>
      </c>
      <c r="Q168" s="116">
        <f>IFERROR(INDEX('DRAFT 1'!$M:$M,MATCH($B168,'DRAFT 1'!$B:$B,0)),"")</f>
        <v/>
      </c>
      <c r="R168" s="116">
        <f>IFERROR(INDEX('DRAFT 1'!$N:$N,MATCH($B168,'DRAFT 1'!$B:$B,0)),"")</f>
        <v/>
      </c>
      <c r="S168" s="116">
        <f>IFERROR(INDEX('DRAFT 1'!$O:$O,MATCH($B168,'DRAFT 1'!$B:$B,0)),"")</f>
        <v/>
      </c>
      <c r="T168" s="116">
        <f>IFERROR(INDEX('DRAFT 1'!$P:$P,MATCH($B168,'DRAFT 1'!$B:$B,0)),"")</f>
        <v/>
      </c>
      <c r="U168" s="116">
        <f>IFERROR(INDEX('DRAFT 1'!$Q:$Q,MATCH($B168,'DRAFT 1'!$B:$B,0)),"")</f>
        <v/>
      </c>
      <c r="V168" s="116">
        <f>IFERROR(INDEX('DRAFT 1'!$R:$R,MATCH($B168,'DRAFT 1'!$B:$B,0)),"")</f>
        <v/>
      </c>
      <c r="W168" s="116">
        <f>IFERROR(INDEX('DRAFT 1'!$S:$S,MATCH($B168,'DRAFT 1'!$B:$B,0)),"")</f>
        <v/>
      </c>
      <c r="X168" s="116">
        <f>IFERROR(INDEX('DRAFT 1'!$T:$T,MATCH($B168,'DRAFT 1'!$B:$B,0)),"")</f>
        <v/>
      </c>
      <c r="Z168" s="116">
        <f>IFERROR(INDEX('DRAFT 1'!$U:$U,MATCH($B168,'DRAFT 1'!$B:$B,0)),"")</f>
        <v/>
      </c>
      <c r="AA168" s="116">
        <f>IFERROR(INDEX('DRAFT 1'!$V:$V,MATCH($B168,'DRAFT 1'!$B:$B,0)),"")</f>
        <v/>
      </c>
      <c r="AB168" s="116">
        <f>IFERROR(INDEX('DRAFT 1'!$W:$W,MATCH($B168,'DRAFT 1'!$B:$B,0)),"")</f>
        <v/>
      </c>
      <c r="AC168" s="116">
        <f>IFERROR(INDEX('DRAFT 1'!$X:$X,MATCH($B168,'DRAFT 1'!$B:$B,0)),"")</f>
        <v/>
      </c>
      <c r="AD168" s="116">
        <f>IFERROR(INDEX('DRAFT 1'!$Y:$Y,MATCH($B168,'DRAFT 1'!$B:$B,0)),"")</f>
        <v/>
      </c>
      <c r="AE168" s="116">
        <f>IFERROR(INDEX('DRAFT 1'!$Z:$Z,MATCH($B168,'DRAFT 1'!$B:$B,0)),"")</f>
        <v/>
      </c>
      <c r="AF168" s="116">
        <f>IFERROR(INDEX('DRAFT 1'!$AA:$AA,MATCH($B168,'DRAFT 1'!$B:$B,0)),"")</f>
        <v/>
      </c>
      <c r="AG168" s="116">
        <f>IFERROR(INDEX('DRAFT 1'!$AB:$AB,MATCH($B168,'DRAFT 1'!$B:$B,0)),"")</f>
        <v/>
      </c>
      <c r="AH168" s="116">
        <f>IFERROR(INDEX('DRAFT 1'!$AC:$AC,MATCH($B168,'DRAFT 1'!$B:$B,0)),"")</f>
        <v/>
      </c>
      <c r="AI168" s="116">
        <f>IFERROR(INDEX('DRAFT 1'!$AD:$AD,MATCH($B168,'DRAFT 1'!$B:$B,0)),"")</f>
        <v/>
      </c>
      <c r="AJ168" s="116">
        <f>IFERROR(INDEX('DRAFT 1'!$AE:$AE,MATCH($B168,'DRAFT 1'!$B:$B,0)),"")</f>
        <v/>
      </c>
      <c r="AK168" s="116">
        <f>IFERROR(INDEX('DRAFT 1'!$AG:$AG,MATCH($B168,'DRAFT 1'!$B:$B,0)),"")</f>
        <v/>
      </c>
      <c r="AL168" s="116">
        <f>IFERROR(INDEX('DRAFT 1'!$AH:$AH,MATCH($B168,'DRAFT 1'!$B:$B,0)),"")</f>
        <v/>
      </c>
      <c r="AM168" s="116">
        <f>IFERROR(INDEX('DRAFT 1'!$AI:$AI,MATCH($B168,'DRAFT 1'!$B:$B,0)),"")</f>
        <v/>
      </c>
      <c r="AN168" s="116">
        <f>IFERROR(INDEX('DRAFT 1'!$AJ:$AJ,MATCH($B168,'DRAFT 1'!$B:$B,0)),"")</f>
        <v/>
      </c>
      <c r="AO168" s="116">
        <f>IFERROR(Y168/AN168,0)</f>
        <v/>
      </c>
      <c r="AP168" s="116">
        <f>IFERROR(INDEX('DRAFT 1'!$AK:$AK,MATCH($B168,'DRAFT 1'!$B:$B,0)),"")</f>
        <v/>
      </c>
      <c r="AR168" s="116">
        <f>IFERROR(LOOKUP(2,1/('DRAFT 2'!$D:$D=$B168),'DRAFT 2'!$I:$I),"")</f>
        <v/>
      </c>
      <c r="AS168" s="116">
        <f>IFERROR(LOOKUP(2,1/('DRAFT 2'!$D:$D=$B168),'DRAFT 2'!$T:$T),"")</f>
        <v/>
      </c>
      <c r="AT168" s="116">
        <f>IFERROR(LOOKUP(2,1/('DRAFT 2'!$D:$D=$B168),'DRAFT 2'!$A:$A),"")</f>
        <v/>
      </c>
      <c r="AU168" s="116">
        <f>IFERROR(LOOKUP(2,1/('DRAFT 2'!$D:$D=$B168),'DRAFT 2'!$R:$R),"")</f>
        <v/>
      </c>
      <c r="AV168" s="116">
        <f>IFERROR(LOOKUP(2,1/('DRAFT 2'!$D:$D=$B168),'DRAFT 2'!$S:$S),"")</f>
        <v/>
      </c>
      <c r="AX168" s="116">
        <f>IFERROR(LOOKUP(2,1/('DRAFT 2'!$D:$D=$B168),'DRAFT 2'!$M:$M),"")</f>
        <v/>
      </c>
      <c r="AY168" s="116">
        <f>IFERROR(LOOKUP(2,1/('DRAFT 2'!$D:$D=$B168),'DRAFT 2'!$K:$K),"")</f>
        <v/>
      </c>
      <c r="BG168" s="116">
        <f>IFERROR(LOOKUP(2,1/('DRAFT 2'!$D:$D=$B168),'DRAFT 2'!$U:$U),"")</f>
        <v/>
      </c>
      <c r="BH168" s="116">
        <f>IFERROR(LOOKUP(2,1/('DRAFT 2'!$D:$D=$B168),'DRAFT 2'!$V:$V),"")</f>
        <v/>
      </c>
      <c r="CE168" s="116">
        <f>IFERROR(AJ168,0)</f>
        <v/>
      </c>
      <c r="CF168" s="116">
        <f>IFERROR(LOOKUP(2,1/('DRAFT 2'!$D:$D=$B168)*('DRAFT 2'!$A:$A&gt;=DATE(2026,1,1))*('DRAFT 2'!$A:$A&lt;DATE(2026,IF(1=12,1+1,1+1),1)),'DRAFT 2'!$A:$A),"")</f>
        <v/>
      </c>
      <c r="CG168" s="116">
        <f>COUNTIFS('DRAFT 2'!$D:$D,$B168,'DRAFT 2'!$A:$A,"&gt;="&amp;DATE(2026,1,1),'DRAFT 2'!$A:$A,"&lt;="&amp;DATE(2026,1,7))</f>
        <v/>
      </c>
      <c r="CH168" s="116">
        <f>COUNTIFS('DRAFT 2'!$D:$D,$B168,'DRAFT 2'!$A:$A,"&gt;="&amp;DATE(2026,1,8),'DRAFT 2'!$A:$A,"&lt;="&amp;DATE(2026,1,14))</f>
        <v/>
      </c>
      <c r="CI168" s="116">
        <f>COUNTIFS('DRAFT 2'!$D:$D,$B168,'DRAFT 2'!$A:$A,"&gt;="&amp;DATE(2026,1,15),'DRAFT 2'!$A:$A,"&lt;="&amp;DATE(2026,1,21))</f>
        <v/>
      </c>
      <c r="CJ168" s="116">
        <f>COUNTIFS('DRAFT 2'!$D:$D,$B168,'DRAFT 2'!$A:$A,"&gt;="&amp;DATE(2026,1,22),'DRAFT 2'!$A:$A,"&lt;"&amp;DATE(2026,IF(1=12,1+1,1+1),1))</f>
        <v/>
      </c>
      <c r="CK168" s="116">
        <f>SUM(CG168:CJ168)</f>
        <v/>
      </c>
      <c r="CT168" s="116" t="n">
        <v>0</v>
      </c>
      <c r="CU168" s="116">
        <f>IFERROR(LOOKUP(2,1/('DRAFT 2'!$D:$D=$B168)*('DRAFT 2'!$A:$A&gt;=DATE(2026,2,1))*('DRAFT 2'!$A:$A&lt;DATE(2026,IF(2=12,2+1,2+1),1)),'DRAFT 2'!$A:$A),"")</f>
        <v/>
      </c>
      <c r="CV168" s="116">
        <f>COUNTIFS('DRAFT 2'!$D:$D,$B168,'DRAFT 2'!$A:$A,"&gt;="&amp;DATE(2026,2,1),'DRAFT 2'!$A:$A,"&lt;="&amp;DATE(2026,2,7))</f>
        <v/>
      </c>
      <c r="CW168" s="116">
        <f>COUNTIFS('DRAFT 2'!$D:$D,$B168,'DRAFT 2'!$A:$A,"&gt;="&amp;DATE(2026,2,8),'DRAFT 2'!$A:$A,"&lt;="&amp;DATE(2026,2,14))</f>
        <v/>
      </c>
      <c r="CX168" s="116">
        <f>COUNTIFS('DRAFT 2'!$D:$D,$B168,'DRAFT 2'!$A:$A,"&gt;="&amp;DATE(2026,2,15),'DRAFT 2'!$A:$A,"&lt;="&amp;DATE(2026,2,21))</f>
        <v/>
      </c>
      <c r="CY168" s="116">
        <f>COUNTIFS('DRAFT 2'!$D:$D,$B168,'DRAFT 2'!$A:$A,"&gt;="&amp;DATE(2026,2,22),'DRAFT 2'!$A:$A,"&lt;"&amp;DATE(2026,IF(2=12,2+1,2+1),1))</f>
        <v/>
      </c>
      <c r="CZ168" s="116">
        <f>SUM(CV168:CY168)</f>
        <v/>
      </c>
      <c r="DJ168" s="116">
        <f>IFERROR(LOOKUP(2,1/('DRAFT 2'!$D:$D=$B168)*('DRAFT 2'!$A:$A&gt;=DATE(2026,3,1))*('DRAFT 2'!$A:$A&lt;DATE(2026,IF(3=12,3+1,3+1),1)),'DRAFT 2'!$A:$A),"")</f>
        <v/>
      </c>
      <c r="DK168" s="116">
        <f>COUNTIFS('DRAFT 2'!$D:$D,$B168,'DRAFT 2'!$A:$A,"&gt;="&amp;DATE(2026,3,1),'DRAFT 2'!$A:$A,"&lt;="&amp;DATE(2026,3,7))</f>
        <v/>
      </c>
      <c r="DL168" s="116">
        <f>COUNTIFS('DRAFT 2'!$D:$D,$B168,'DRAFT 2'!$A:$A,"&gt;="&amp;DATE(2026,3,8),'DRAFT 2'!$A:$A,"&lt;="&amp;DATE(2026,3,14))</f>
        <v/>
      </c>
      <c r="DM168" s="116">
        <f>COUNTIFS('DRAFT 2'!$D:$D,$B168,'DRAFT 2'!$A:$A,"&gt;="&amp;DATE(2026,3,15),'DRAFT 2'!$A:$A,"&lt;="&amp;DATE(2026,3,21))</f>
        <v/>
      </c>
      <c r="DN168" s="116">
        <f>COUNTIFS('DRAFT 2'!$D:$D,$B168,'DRAFT 2'!$A:$A,"&gt;="&amp;DATE(2026,3,22),'DRAFT 2'!$A:$A,"&lt;"&amp;DATE(2026,IF(3=12,3+1,3+1),1))</f>
        <v/>
      </c>
      <c r="DO168" s="116">
        <f>SUM(DK168:DN168)</f>
        <v/>
      </c>
      <c r="DZ168" s="116">
        <f>IFERROR(LOOKUP(2,1/('DRAFT 2'!$D:$D=$B168)*('DRAFT 2'!$A:$A&gt;=DATE(2026,4,1))*('DRAFT 2'!$A:$A&lt;DATE(2026,IF(4=12,4+1,4+1),1)),'DRAFT 2'!$A:$A),"")</f>
        <v/>
      </c>
      <c r="EA168" s="116">
        <f>COUNTIFS('DRAFT 2'!$D:$D,$B168,'DRAFT 2'!$A:$A,"&gt;="&amp;DATE(2026,4,1),'DRAFT 2'!$A:$A,"&lt;="&amp;DATE(2026,4,7))</f>
        <v/>
      </c>
      <c r="EB168" s="116">
        <f>COUNTIFS('DRAFT 2'!$D:$D,$B168,'DRAFT 2'!$A:$A,"&gt;="&amp;DATE(2026,4,8),'DRAFT 2'!$A:$A,"&lt;="&amp;DATE(2026,4,14))</f>
        <v/>
      </c>
      <c r="EC168" s="116">
        <f>COUNTIFS('DRAFT 2'!$D:$D,$B168,'DRAFT 2'!$A:$A,"&gt;="&amp;DATE(2026,4,15),'DRAFT 2'!$A:$A,"&lt;="&amp;DATE(2026,4,21))</f>
        <v/>
      </c>
      <c r="ED168" s="116">
        <f>COUNTIFS('DRAFT 2'!$D:$D,$B168,'DRAFT 2'!$A:$A,"&gt;="&amp;DATE(2026,4,22),'DRAFT 2'!$A:$A,"&lt;"&amp;DATE(2026,IF(4=12,4+1,4+1),1))</f>
        <v/>
      </c>
      <c r="EE168" s="116">
        <f>SUM(EA168:ED168)</f>
        <v/>
      </c>
      <c r="EO168" s="116">
        <f>IFERROR(LOOKUP(2,1/('DRAFT 2'!$D:$D=$B168)*('DRAFT 2'!$A:$A&gt;=DATE(2026,5,1))*('DRAFT 2'!$A:$A&lt;DATE(2026,IF(5=12,5+1,5+1),1)),'DRAFT 2'!$A:$A),"")</f>
        <v/>
      </c>
      <c r="EP168" s="116">
        <f>COUNTIFS('DRAFT 2'!$D:$D,$B168,'DRAFT 2'!$A:$A,"&gt;="&amp;DATE(2026,5,1),'DRAFT 2'!$A:$A,"&lt;="&amp;DATE(2026,5,7))</f>
        <v/>
      </c>
      <c r="EQ168" s="116">
        <f>COUNTIFS('DRAFT 2'!$D:$D,$B168,'DRAFT 2'!$A:$A,"&gt;="&amp;DATE(2026,5,8),'DRAFT 2'!$A:$A,"&lt;="&amp;DATE(2026,5,14))</f>
        <v/>
      </c>
      <c r="ER168" s="116">
        <f>COUNTIFS('DRAFT 2'!$D:$D,$B168,'DRAFT 2'!$A:$A,"&gt;="&amp;DATE(2026,5,15),'DRAFT 2'!$A:$A,"&lt;="&amp;DATE(2026,5,21))</f>
        <v/>
      </c>
      <c r="ES168" s="116">
        <f>COUNTIFS('DRAFT 2'!$D:$D,$B168,'DRAFT 2'!$A:$A,"&gt;="&amp;DATE(2026,5,22),'DRAFT 2'!$A:$A,"&lt;"&amp;DATE(2026,IF(5=12,5+1,5+1),1))</f>
        <v/>
      </c>
      <c r="ET168" s="116">
        <f>SUM(EP168:ES168)</f>
        <v/>
      </c>
      <c r="FD168" s="116">
        <f>IFERROR(LOOKUP(2,1/('DRAFT 2'!$D:$D=$B168)*('DRAFT 2'!$A:$A&gt;=DATE(2026,6,1))*('DRAFT 2'!$A:$A&lt;DATE(2026,IF(6=12,6+1,6+1),1)),'DRAFT 2'!$A:$A),"")</f>
        <v/>
      </c>
      <c r="FE168" s="116">
        <f>COUNTIFS('DRAFT 2'!$D:$D,$B168,'DRAFT 2'!$A:$A,"&gt;="&amp;DATE(2026,6,1),'DRAFT 2'!$A:$A,"&lt;="&amp;DATE(2026,6,7))</f>
        <v/>
      </c>
      <c r="FF168" s="116">
        <f>COUNTIFS('DRAFT 2'!$D:$D,$B168,'DRAFT 2'!$A:$A,"&gt;="&amp;DATE(2026,6,8),'DRAFT 2'!$A:$A,"&lt;="&amp;DATE(2026,6,14))</f>
        <v/>
      </c>
      <c r="FG168" s="116">
        <f>COUNTIFS('DRAFT 2'!$D:$D,$B168,'DRAFT 2'!$A:$A,"&gt;="&amp;DATE(2026,6,15),'DRAFT 2'!$A:$A,"&lt;="&amp;DATE(2026,6,21))</f>
        <v/>
      </c>
      <c r="FH168" s="116">
        <f>COUNTIFS('DRAFT 2'!$D:$D,$B168,'DRAFT 2'!$A:$A,"&gt;="&amp;DATE(2026,6,22),'DRAFT 2'!$A:$A,"&lt;"&amp;DATE(2026,IF(6=12,6+1,6+1),1))</f>
        <v/>
      </c>
      <c r="FI168" s="116">
        <f>SUM(FE168:FH168)</f>
        <v/>
      </c>
      <c r="FT168" s="116">
        <f>IFERROR(LOOKUP(2,1/('DRAFT 2'!$D:$D=$B168)*('DRAFT 2'!$A:$A&gt;=DATE(2026,7,1))*('DRAFT 2'!$A:$A&lt;DATE(2026,IF(7=12,7+1,7+1),1)),'DRAFT 2'!$A:$A),"")</f>
        <v/>
      </c>
      <c r="FU168" s="116">
        <f>COUNTIFS('DRAFT 2'!$D:$D,$B168,'DRAFT 2'!$A:$A,"&gt;="&amp;DATE(2026,7,1),'DRAFT 2'!$A:$A,"&lt;="&amp;DATE(2026,7,7))</f>
        <v/>
      </c>
      <c r="FV168" s="116">
        <f>COUNTIFS('DRAFT 2'!$D:$D,$B168,'DRAFT 2'!$A:$A,"&gt;="&amp;DATE(2026,7,8),'DRAFT 2'!$A:$A,"&lt;="&amp;DATE(2026,7,14))</f>
        <v/>
      </c>
      <c r="FW168" s="116">
        <f>COUNTIFS('DRAFT 2'!$D:$D,$B168,'DRAFT 2'!$A:$A,"&gt;="&amp;DATE(2026,7,15),'DRAFT 2'!$A:$A,"&lt;="&amp;DATE(2026,7,21))</f>
        <v/>
      </c>
      <c r="FX168" s="116">
        <f>COUNTIFS('DRAFT 2'!$D:$D,$B168,'DRAFT 2'!$A:$A,"&gt;="&amp;DATE(2026,7,22),'DRAFT 2'!$A:$A,"&lt;"&amp;DATE(2026,IF(7=12,7+1,7+1),1))</f>
        <v/>
      </c>
      <c r="FY168" s="116">
        <f>SUM(FU168:FX168)</f>
        <v/>
      </c>
      <c r="GI168" s="116">
        <f>IFERROR(LOOKUP(2,1/('DRAFT 2'!$D:$D=$B168)*('DRAFT 2'!$A:$A&gt;=DATE(2026,8,1))*('DRAFT 2'!$A:$A&lt;DATE(2026,IF(8=12,8+1,8+1),1)),'DRAFT 2'!$A:$A),"")</f>
        <v/>
      </c>
      <c r="GJ168" s="116">
        <f>COUNTIFS('DRAFT 2'!$D:$D,$B168,'DRAFT 2'!$A:$A,"&gt;="&amp;DATE(2026,8,1),'DRAFT 2'!$A:$A,"&lt;="&amp;DATE(2026,8,7))</f>
        <v/>
      </c>
      <c r="GK168" s="116">
        <f>COUNTIFS('DRAFT 2'!$D:$D,$B168,'DRAFT 2'!$A:$A,"&gt;="&amp;DATE(2026,8,8),'DRAFT 2'!$A:$A,"&lt;="&amp;DATE(2026,8,14))</f>
        <v/>
      </c>
      <c r="GL168" s="116">
        <f>COUNTIFS('DRAFT 2'!$D:$D,$B168,'DRAFT 2'!$A:$A,"&gt;="&amp;DATE(2026,8,15),'DRAFT 2'!$A:$A,"&lt;="&amp;DATE(2026,8,21))</f>
        <v/>
      </c>
      <c r="GM168" s="116">
        <f>COUNTIFS('DRAFT 2'!$D:$D,$B168,'DRAFT 2'!$A:$A,"&gt;="&amp;DATE(2026,8,22),'DRAFT 2'!$A:$A,"&lt;"&amp;DATE(2026,IF(8=12,8+1,8+1),1))</f>
        <v/>
      </c>
      <c r="GN168" s="116">
        <f>SUM(GJ168:GM168)</f>
        <v/>
      </c>
      <c r="GX168" s="116">
        <f>IFERROR(LOOKUP(2,1/('DRAFT 2'!$D:$D=$B168)*('DRAFT 2'!$A:$A&gt;=DATE(2026,9,1))*('DRAFT 2'!$A:$A&lt;DATE(2026,IF(9=12,9+1,9+1),1)),'DRAFT 2'!$A:$A),"")</f>
        <v/>
      </c>
      <c r="GY168" s="116">
        <f>COUNTIFS('DRAFT 2'!$D:$D,$B168,'DRAFT 2'!$A:$A,"&gt;="&amp;DATE(2026,9,1),'DRAFT 2'!$A:$A,"&lt;="&amp;DATE(2026,9,7))</f>
        <v/>
      </c>
      <c r="GZ168" s="116">
        <f>COUNTIFS('DRAFT 2'!$D:$D,$B168,'DRAFT 2'!$A:$A,"&gt;="&amp;DATE(2026,9,8),'DRAFT 2'!$A:$A,"&lt;="&amp;DATE(2026,9,14))</f>
        <v/>
      </c>
      <c r="HA168" s="116">
        <f>COUNTIFS('DRAFT 2'!$D:$D,$B168,'DRAFT 2'!$A:$A,"&gt;="&amp;DATE(2026,9,15),'DRAFT 2'!$A:$A,"&lt;="&amp;DATE(2026,9,21))</f>
        <v/>
      </c>
      <c r="HB168" s="116">
        <f>COUNTIFS('DRAFT 2'!$D:$D,$B168,'DRAFT 2'!$A:$A,"&gt;="&amp;DATE(2026,9,22),'DRAFT 2'!$A:$A,"&lt;"&amp;DATE(2026,IF(9=12,9+1,9+1),1))</f>
        <v/>
      </c>
      <c r="HC168" s="116">
        <f>SUM(GY168:HB168)</f>
        <v/>
      </c>
      <c r="HN168" s="116">
        <f>IFERROR(LOOKUP(2,1/('DRAFT 2'!$D:$D=$B168)*('DRAFT 2'!$A:$A&gt;=DATE(2026,10,1))*('DRAFT 2'!$A:$A&lt;DATE(2026,IF(10=12,10+1,10+1),1)),'DRAFT 2'!$A:$A),"")</f>
        <v/>
      </c>
      <c r="HO168" s="116">
        <f>COUNTIFS('DRAFT 2'!$D:$D,$B168,'DRAFT 2'!$A:$A,"&gt;="&amp;DATE(2026,10,1),'DRAFT 2'!$A:$A,"&lt;="&amp;DATE(2026,10,7))</f>
        <v/>
      </c>
      <c r="HP168" s="116">
        <f>COUNTIFS('DRAFT 2'!$D:$D,$B168,'DRAFT 2'!$A:$A,"&gt;="&amp;DATE(2026,10,8),'DRAFT 2'!$A:$A,"&lt;="&amp;DATE(2026,10,14))</f>
        <v/>
      </c>
      <c r="HQ168" s="116">
        <f>COUNTIFS('DRAFT 2'!$D:$D,$B168,'DRAFT 2'!$A:$A,"&gt;="&amp;DATE(2026,10,15),'DRAFT 2'!$A:$A,"&lt;="&amp;DATE(2026,10,21))</f>
        <v/>
      </c>
      <c r="HR168" s="116">
        <f>COUNTIFS('DRAFT 2'!$D:$D,$B168,'DRAFT 2'!$A:$A,"&gt;="&amp;DATE(2026,10,22),'DRAFT 2'!$A:$A,"&lt;"&amp;DATE(2026,IF(10=12,10+1,10+1),1))</f>
        <v/>
      </c>
      <c r="HS168" s="116">
        <f>SUM(HO168:HR168)</f>
        <v/>
      </c>
      <c r="IC168" s="116">
        <f>IFERROR(LOOKUP(2,1/('DRAFT 2'!$D:$D=$B168)*('DRAFT 2'!$A:$A&gt;=DATE(2026,11,1))*('DRAFT 2'!$A:$A&lt;DATE(2026,IF(11=12,11+1,11+1),1)),'DRAFT 2'!$A:$A),"")</f>
        <v/>
      </c>
      <c r="ID168" s="116">
        <f>COUNTIFS('DRAFT 2'!$D:$D,$B168,'DRAFT 2'!$A:$A,"&gt;="&amp;DATE(2026,11,1),'DRAFT 2'!$A:$A,"&lt;="&amp;DATE(2026,11,7))</f>
        <v/>
      </c>
      <c r="IE168" s="116">
        <f>COUNTIFS('DRAFT 2'!$D:$D,$B168,'DRAFT 2'!$A:$A,"&gt;="&amp;DATE(2026,11,8),'DRAFT 2'!$A:$A,"&lt;="&amp;DATE(2026,11,14))</f>
        <v/>
      </c>
      <c r="IF168" s="116">
        <f>COUNTIFS('DRAFT 2'!$D:$D,$B168,'DRAFT 2'!$A:$A,"&gt;="&amp;DATE(2026,11,15),'DRAFT 2'!$A:$A,"&lt;="&amp;DATE(2026,11,21))</f>
        <v/>
      </c>
      <c r="IG168" s="116">
        <f>COUNTIFS('DRAFT 2'!$D:$D,$B168,'DRAFT 2'!$A:$A,"&gt;="&amp;DATE(2026,11,22),'DRAFT 2'!$A:$A,"&lt;"&amp;DATE(2026,IF(11=12,11+1,11+1),1))</f>
        <v/>
      </c>
      <c r="IH168" s="116">
        <f>SUM(ID168:IG168)</f>
        <v/>
      </c>
      <c r="IR168" s="116">
        <f>IFERROR(LOOKUP(2,1/('DRAFT 2'!$D:$D=$B168)*('DRAFT 2'!$A:$A&gt;=DATE(2026,12,1))*('DRAFT 2'!$A:$A&lt;DATE(2026,IF(12=12,12+1,12+1),1)),'DRAFT 2'!$A:$A),"")</f>
        <v/>
      </c>
      <c r="IS168" s="116">
        <f>COUNTIFS('DRAFT 2'!$D:$D,$B168,'DRAFT 2'!$A:$A,"&gt;="&amp;DATE(2026,12,1),'DRAFT 2'!$A:$A,"&lt;="&amp;DATE(2026,12,7))</f>
        <v/>
      </c>
      <c r="IT168" s="116">
        <f>COUNTIFS('DRAFT 2'!$D:$D,$B168,'DRAFT 2'!$A:$A,"&gt;="&amp;DATE(2026,12,8),'DRAFT 2'!$A:$A,"&lt;="&amp;DATE(2026,12,14))</f>
        <v/>
      </c>
      <c r="IU168" s="116">
        <f>COUNTIFS('DRAFT 2'!$D:$D,$B168,'DRAFT 2'!$A:$A,"&gt;="&amp;DATE(2026,12,15),'DRAFT 2'!$A:$A,"&lt;="&amp;DATE(2026,12,21))</f>
        <v/>
      </c>
      <c r="IV168" s="116">
        <f>COUNTIFS('DRAFT 2'!$D:$D,$B168,'DRAFT 2'!$A:$A,"&gt;="&amp;DATE(2026,12,22),'DRAFT 2'!$A:$A,"&lt;"&amp;DATE(2026,IF(12=12,12+1,12+1),1))</f>
        <v/>
      </c>
      <c r="IW168" s="116">
        <f>SUM(IS168:IV168)</f>
        <v/>
      </c>
    </row>
    <row r="169">
      <c r="A169" s="116">
        <f>IFERROR(INDEX('DRAFT 1'!$A:$A,MATCH($B169,'DRAFT 1'!$B:$B,0)),"")</f>
        <v/>
      </c>
      <c r="C169" s="116">
        <f>IFERROR(INDEX('DRAFT 1'!$C:$C,MATCH($B169,'DRAFT 1'!$B:$B,0)),"")</f>
        <v/>
      </c>
      <c r="D169" s="116">
        <f>IFERROR(INDEX('DRAFT 1'!$D:$D,MATCH($B169,'DRAFT 1'!$B:$B,0)),"")</f>
        <v/>
      </c>
      <c r="E169" s="116">
        <f>IFERROR(INDEX('DRAFT 1'!$E:$E,MATCH($B169,'DRAFT 1'!$B:$B,0)),"")</f>
        <v/>
      </c>
      <c r="F169" s="116">
        <f>IFERROR(INDEX('DRAFT 1'!$F:$F,MATCH($B169,'DRAFT 1'!$B:$B,0)),"")</f>
        <v/>
      </c>
      <c r="G169" s="116">
        <f>IFERROR(INDEX('DRAFT 1'!$G:$G,MATCH($B169,'DRAFT 1'!$B:$B,0)),"")</f>
        <v/>
      </c>
      <c r="H169" s="116">
        <f>IFERROR(INDEX('DRAFT 1'!$H:$H,MATCH($B169,'DRAFT 1'!$B:$B,0)),"")</f>
        <v/>
      </c>
      <c r="I169" s="116">
        <f>IFERROR(INDEX('DRAFT 1'!$I:$I,MATCH($B169,'DRAFT 1'!$B:$B,0)),"")</f>
        <v/>
      </c>
      <c r="K169" s="116">
        <f>IFERROR(INDEX('DRAFT 1'!$AL:$AL,MATCH($B169,'DRAFT 1'!$B:$B,0)),"")</f>
        <v/>
      </c>
      <c r="L169" s="116">
        <f>IFERROR(INDEX('DRAFT 1'!$J:$J,MATCH($B169,'DRAFT 1'!$B:$B,0)),"")</f>
        <v/>
      </c>
      <c r="M169" s="116">
        <f>IFERROR(INDEX('DRAFT 1'!$K:$K,MATCH($B169,'DRAFT 1'!$B:$B,0)),"")</f>
        <v/>
      </c>
      <c r="P169" s="116">
        <f>IFERROR(INDEX('DRAFT 1'!$L:$L,MATCH($B169,'DRAFT 1'!$B:$B,0)),"")</f>
        <v/>
      </c>
      <c r="Q169" s="116">
        <f>IFERROR(INDEX('DRAFT 1'!$M:$M,MATCH($B169,'DRAFT 1'!$B:$B,0)),"")</f>
        <v/>
      </c>
      <c r="R169" s="116">
        <f>IFERROR(INDEX('DRAFT 1'!$N:$N,MATCH($B169,'DRAFT 1'!$B:$B,0)),"")</f>
        <v/>
      </c>
      <c r="S169" s="116">
        <f>IFERROR(INDEX('DRAFT 1'!$O:$O,MATCH($B169,'DRAFT 1'!$B:$B,0)),"")</f>
        <v/>
      </c>
      <c r="T169" s="116">
        <f>IFERROR(INDEX('DRAFT 1'!$P:$P,MATCH($B169,'DRAFT 1'!$B:$B,0)),"")</f>
        <v/>
      </c>
      <c r="U169" s="116">
        <f>IFERROR(INDEX('DRAFT 1'!$Q:$Q,MATCH($B169,'DRAFT 1'!$B:$B,0)),"")</f>
        <v/>
      </c>
      <c r="V169" s="116">
        <f>IFERROR(INDEX('DRAFT 1'!$R:$R,MATCH($B169,'DRAFT 1'!$B:$B,0)),"")</f>
        <v/>
      </c>
      <c r="W169" s="116">
        <f>IFERROR(INDEX('DRAFT 1'!$S:$S,MATCH($B169,'DRAFT 1'!$B:$B,0)),"")</f>
        <v/>
      </c>
      <c r="X169" s="116">
        <f>IFERROR(INDEX('DRAFT 1'!$T:$T,MATCH($B169,'DRAFT 1'!$B:$B,0)),"")</f>
        <v/>
      </c>
      <c r="Z169" s="116">
        <f>IFERROR(INDEX('DRAFT 1'!$U:$U,MATCH($B169,'DRAFT 1'!$B:$B,0)),"")</f>
        <v/>
      </c>
      <c r="AA169" s="116">
        <f>IFERROR(INDEX('DRAFT 1'!$V:$V,MATCH($B169,'DRAFT 1'!$B:$B,0)),"")</f>
        <v/>
      </c>
      <c r="AB169" s="116">
        <f>IFERROR(INDEX('DRAFT 1'!$W:$W,MATCH($B169,'DRAFT 1'!$B:$B,0)),"")</f>
        <v/>
      </c>
      <c r="AC169" s="116">
        <f>IFERROR(INDEX('DRAFT 1'!$X:$X,MATCH($B169,'DRAFT 1'!$B:$B,0)),"")</f>
        <v/>
      </c>
      <c r="AD169" s="116">
        <f>IFERROR(INDEX('DRAFT 1'!$Y:$Y,MATCH($B169,'DRAFT 1'!$B:$B,0)),"")</f>
        <v/>
      </c>
      <c r="AE169" s="116">
        <f>IFERROR(INDEX('DRAFT 1'!$Z:$Z,MATCH($B169,'DRAFT 1'!$B:$B,0)),"")</f>
        <v/>
      </c>
      <c r="AF169" s="116">
        <f>IFERROR(INDEX('DRAFT 1'!$AA:$AA,MATCH($B169,'DRAFT 1'!$B:$B,0)),"")</f>
        <v/>
      </c>
      <c r="AG169" s="116">
        <f>IFERROR(INDEX('DRAFT 1'!$AB:$AB,MATCH($B169,'DRAFT 1'!$B:$B,0)),"")</f>
        <v/>
      </c>
      <c r="AH169" s="116">
        <f>IFERROR(INDEX('DRAFT 1'!$AC:$AC,MATCH($B169,'DRAFT 1'!$B:$B,0)),"")</f>
        <v/>
      </c>
      <c r="AI169" s="116">
        <f>IFERROR(INDEX('DRAFT 1'!$AD:$AD,MATCH($B169,'DRAFT 1'!$B:$B,0)),"")</f>
        <v/>
      </c>
      <c r="AJ169" s="116">
        <f>IFERROR(INDEX('DRAFT 1'!$AE:$AE,MATCH($B169,'DRAFT 1'!$B:$B,0)),"")</f>
        <v/>
      </c>
      <c r="AK169" s="116">
        <f>IFERROR(INDEX('DRAFT 1'!$AG:$AG,MATCH($B169,'DRAFT 1'!$B:$B,0)),"")</f>
        <v/>
      </c>
      <c r="AL169" s="116">
        <f>IFERROR(INDEX('DRAFT 1'!$AH:$AH,MATCH($B169,'DRAFT 1'!$B:$B,0)),"")</f>
        <v/>
      </c>
      <c r="AM169" s="116">
        <f>IFERROR(INDEX('DRAFT 1'!$AI:$AI,MATCH($B169,'DRAFT 1'!$B:$B,0)),"")</f>
        <v/>
      </c>
      <c r="AN169" s="116">
        <f>IFERROR(INDEX('DRAFT 1'!$AJ:$AJ,MATCH($B169,'DRAFT 1'!$B:$B,0)),"")</f>
        <v/>
      </c>
      <c r="AO169" s="116">
        <f>IFERROR(Y169/AN169,0)</f>
        <v/>
      </c>
      <c r="AP169" s="116">
        <f>IFERROR(INDEX('DRAFT 1'!$AK:$AK,MATCH($B169,'DRAFT 1'!$B:$B,0)),"")</f>
        <v/>
      </c>
      <c r="AR169" s="116">
        <f>IFERROR(LOOKUP(2,1/('DRAFT 2'!$D:$D=$B169),'DRAFT 2'!$I:$I),"")</f>
        <v/>
      </c>
      <c r="AS169" s="116">
        <f>IFERROR(LOOKUP(2,1/('DRAFT 2'!$D:$D=$B169),'DRAFT 2'!$T:$T),"")</f>
        <v/>
      </c>
      <c r="AT169" s="116">
        <f>IFERROR(LOOKUP(2,1/('DRAFT 2'!$D:$D=$B169),'DRAFT 2'!$A:$A),"")</f>
        <v/>
      </c>
      <c r="AU169" s="116">
        <f>IFERROR(LOOKUP(2,1/('DRAFT 2'!$D:$D=$B169),'DRAFT 2'!$R:$R),"")</f>
        <v/>
      </c>
      <c r="AV169" s="116">
        <f>IFERROR(LOOKUP(2,1/('DRAFT 2'!$D:$D=$B169),'DRAFT 2'!$S:$S),"")</f>
        <v/>
      </c>
      <c r="AX169" s="116">
        <f>IFERROR(LOOKUP(2,1/('DRAFT 2'!$D:$D=$B169),'DRAFT 2'!$M:$M),"")</f>
        <v/>
      </c>
      <c r="AY169" s="116">
        <f>IFERROR(LOOKUP(2,1/('DRAFT 2'!$D:$D=$B169),'DRAFT 2'!$K:$K),"")</f>
        <v/>
      </c>
      <c r="BG169" s="116">
        <f>IFERROR(LOOKUP(2,1/('DRAFT 2'!$D:$D=$B169),'DRAFT 2'!$U:$U),"")</f>
        <v/>
      </c>
      <c r="BH169" s="116">
        <f>IFERROR(LOOKUP(2,1/('DRAFT 2'!$D:$D=$B169),'DRAFT 2'!$V:$V),"")</f>
        <v/>
      </c>
      <c r="CE169" s="116">
        <f>IFERROR(AJ169,0)</f>
        <v/>
      </c>
      <c r="CF169" s="116">
        <f>IFERROR(LOOKUP(2,1/('DRAFT 2'!$D:$D=$B169)*('DRAFT 2'!$A:$A&gt;=DATE(2026,1,1))*('DRAFT 2'!$A:$A&lt;DATE(2026,IF(1=12,1+1,1+1),1)),'DRAFT 2'!$A:$A),"")</f>
        <v/>
      </c>
      <c r="CG169" s="116">
        <f>COUNTIFS('DRAFT 2'!$D:$D,$B169,'DRAFT 2'!$A:$A,"&gt;="&amp;DATE(2026,1,1),'DRAFT 2'!$A:$A,"&lt;="&amp;DATE(2026,1,7))</f>
        <v/>
      </c>
      <c r="CH169" s="116">
        <f>COUNTIFS('DRAFT 2'!$D:$D,$B169,'DRAFT 2'!$A:$A,"&gt;="&amp;DATE(2026,1,8),'DRAFT 2'!$A:$A,"&lt;="&amp;DATE(2026,1,14))</f>
        <v/>
      </c>
      <c r="CI169" s="116">
        <f>COUNTIFS('DRAFT 2'!$D:$D,$B169,'DRAFT 2'!$A:$A,"&gt;="&amp;DATE(2026,1,15),'DRAFT 2'!$A:$A,"&lt;="&amp;DATE(2026,1,21))</f>
        <v/>
      </c>
      <c r="CJ169" s="116">
        <f>COUNTIFS('DRAFT 2'!$D:$D,$B169,'DRAFT 2'!$A:$A,"&gt;="&amp;DATE(2026,1,22),'DRAFT 2'!$A:$A,"&lt;"&amp;DATE(2026,IF(1=12,1+1,1+1),1))</f>
        <v/>
      </c>
      <c r="CK169" s="116">
        <f>SUM(CG169:CJ169)</f>
        <v/>
      </c>
      <c r="CT169" s="116" t="n">
        <v>0</v>
      </c>
      <c r="CU169" s="116">
        <f>IFERROR(LOOKUP(2,1/('DRAFT 2'!$D:$D=$B169)*('DRAFT 2'!$A:$A&gt;=DATE(2026,2,1))*('DRAFT 2'!$A:$A&lt;DATE(2026,IF(2=12,2+1,2+1),1)),'DRAFT 2'!$A:$A),"")</f>
        <v/>
      </c>
      <c r="CV169" s="116">
        <f>COUNTIFS('DRAFT 2'!$D:$D,$B169,'DRAFT 2'!$A:$A,"&gt;="&amp;DATE(2026,2,1),'DRAFT 2'!$A:$A,"&lt;="&amp;DATE(2026,2,7))</f>
        <v/>
      </c>
      <c r="CW169" s="116">
        <f>COUNTIFS('DRAFT 2'!$D:$D,$B169,'DRAFT 2'!$A:$A,"&gt;="&amp;DATE(2026,2,8),'DRAFT 2'!$A:$A,"&lt;="&amp;DATE(2026,2,14))</f>
        <v/>
      </c>
      <c r="CX169" s="116">
        <f>COUNTIFS('DRAFT 2'!$D:$D,$B169,'DRAFT 2'!$A:$A,"&gt;="&amp;DATE(2026,2,15),'DRAFT 2'!$A:$A,"&lt;="&amp;DATE(2026,2,21))</f>
        <v/>
      </c>
      <c r="CY169" s="116">
        <f>COUNTIFS('DRAFT 2'!$D:$D,$B169,'DRAFT 2'!$A:$A,"&gt;="&amp;DATE(2026,2,22),'DRAFT 2'!$A:$A,"&lt;"&amp;DATE(2026,IF(2=12,2+1,2+1),1))</f>
        <v/>
      </c>
      <c r="CZ169" s="116">
        <f>SUM(CV169:CY169)</f>
        <v/>
      </c>
      <c r="DJ169" s="116">
        <f>IFERROR(LOOKUP(2,1/('DRAFT 2'!$D:$D=$B169)*('DRAFT 2'!$A:$A&gt;=DATE(2026,3,1))*('DRAFT 2'!$A:$A&lt;DATE(2026,IF(3=12,3+1,3+1),1)),'DRAFT 2'!$A:$A),"")</f>
        <v/>
      </c>
      <c r="DK169" s="116">
        <f>COUNTIFS('DRAFT 2'!$D:$D,$B169,'DRAFT 2'!$A:$A,"&gt;="&amp;DATE(2026,3,1),'DRAFT 2'!$A:$A,"&lt;="&amp;DATE(2026,3,7))</f>
        <v/>
      </c>
      <c r="DL169" s="116">
        <f>COUNTIFS('DRAFT 2'!$D:$D,$B169,'DRAFT 2'!$A:$A,"&gt;="&amp;DATE(2026,3,8),'DRAFT 2'!$A:$A,"&lt;="&amp;DATE(2026,3,14))</f>
        <v/>
      </c>
      <c r="DM169" s="116">
        <f>COUNTIFS('DRAFT 2'!$D:$D,$B169,'DRAFT 2'!$A:$A,"&gt;="&amp;DATE(2026,3,15),'DRAFT 2'!$A:$A,"&lt;="&amp;DATE(2026,3,21))</f>
        <v/>
      </c>
      <c r="DN169" s="116">
        <f>COUNTIFS('DRAFT 2'!$D:$D,$B169,'DRAFT 2'!$A:$A,"&gt;="&amp;DATE(2026,3,22),'DRAFT 2'!$A:$A,"&lt;"&amp;DATE(2026,IF(3=12,3+1,3+1),1))</f>
        <v/>
      </c>
      <c r="DO169" s="116">
        <f>SUM(DK169:DN169)</f>
        <v/>
      </c>
      <c r="DZ169" s="116">
        <f>IFERROR(LOOKUP(2,1/('DRAFT 2'!$D:$D=$B169)*('DRAFT 2'!$A:$A&gt;=DATE(2026,4,1))*('DRAFT 2'!$A:$A&lt;DATE(2026,IF(4=12,4+1,4+1),1)),'DRAFT 2'!$A:$A),"")</f>
        <v/>
      </c>
      <c r="EA169" s="116">
        <f>COUNTIFS('DRAFT 2'!$D:$D,$B169,'DRAFT 2'!$A:$A,"&gt;="&amp;DATE(2026,4,1),'DRAFT 2'!$A:$A,"&lt;="&amp;DATE(2026,4,7))</f>
        <v/>
      </c>
      <c r="EB169" s="116">
        <f>COUNTIFS('DRAFT 2'!$D:$D,$B169,'DRAFT 2'!$A:$A,"&gt;="&amp;DATE(2026,4,8),'DRAFT 2'!$A:$A,"&lt;="&amp;DATE(2026,4,14))</f>
        <v/>
      </c>
      <c r="EC169" s="116">
        <f>COUNTIFS('DRAFT 2'!$D:$D,$B169,'DRAFT 2'!$A:$A,"&gt;="&amp;DATE(2026,4,15),'DRAFT 2'!$A:$A,"&lt;="&amp;DATE(2026,4,21))</f>
        <v/>
      </c>
      <c r="ED169" s="116">
        <f>COUNTIFS('DRAFT 2'!$D:$D,$B169,'DRAFT 2'!$A:$A,"&gt;="&amp;DATE(2026,4,22),'DRAFT 2'!$A:$A,"&lt;"&amp;DATE(2026,IF(4=12,4+1,4+1),1))</f>
        <v/>
      </c>
      <c r="EE169" s="116">
        <f>SUM(EA169:ED169)</f>
        <v/>
      </c>
      <c r="EO169" s="116">
        <f>IFERROR(LOOKUP(2,1/('DRAFT 2'!$D:$D=$B169)*('DRAFT 2'!$A:$A&gt;=DATE(2026,5,1))*('DRAFT 2'!$A:$A&lt;DATE(2026,IF(5=12,5+1,5+1),1)),'DRAFT 2'!$A:$A),"")</f>
        <v/>
      </c>
      <c r="EP169" s="116">
        <f>COUNTIFS('DRAFT 2'!$D:$D,$B169,'DRAFT 2'!$A:$A,"&gt;="&amp;DATE(2026,5,1),'DRAFT 2'!$A:$A,"&lt;="&amp;DATE(2026,5,7))</f>
        <v/>
      </c>
      <c r="EQ169" s="116">
        <f>COUNTIFS('DRAFT 2'!$D:$D,$B169,'DRAFT 2'!$A:$A,"&gt;="&amp;DATE(2026,5,8),'DRAFT 2'!$A:$A,"&lt;="&amp;DATE(2026,5,14))</f>
        <v/>
      </c>
      <c r="ER169" s="116">
        <f>COUNTIFS('DRAFT 2'!$D:$D,$B169,'DRAFT 2'!$A:$A,"&gt;="&amp;DATE(2026,5,15),'DRAFT 2'!$A:$A,"&lt;="&amp;DATE(2026,5,21))</f>
        <v/>
      </c>
      <c r="ES169" s="116">
        <f>COUNTIFS('DRAFT 2'!$D:$D,$B169,'DRAFT 2'!$A:$A,"&gt;="&amp;DATE(2026,5,22),'DRAFT 2'!$A:$A,"&lt;"&amp;DATE(2026,IF(5=12,5+1,5+1),1))</f>
        <v/>
      </c>
      <c r="ET169" s="116">
        <f>SUM(EP169:ES169)</f>
        <v/>
      </c>
      <c r="FD169" s="116">
        <f>IFERROR(LOOKUP(2,1/('DRAFT 2'!$D:$D=$B169)*('DRAFT 2'!$A:$A&gt;=DATE(2026,6,1))*('DRAFT 2'!$A:$A&lt;DATE(2026,IF(6=12,6+1,6+1),1)),'DRAFT 2'!$A:$A),"")</f>
        <v/>
      </c>
      <c r="FE169" s="116">
        <f>COUNTIFS('DRAFT 2'!$D:$D,$B169,'DRAFT 2'!$A:$A,"&gt;="&amp;DATE(2026,6,1),'DRAFT 2'!$A:$A,"&lt;="&amp;DATE(2026,6,7))</f>
        <v/>
      </c>
      <c r="FF169" s="116">
        <f>COUNTIFS('DRAFT 2'!$D:$D,$B169,'DRAFT 2'!$A:$A,"&gt;="&amp;DATE(2026,6,8),'DRAFT 2'!$A:$A,"&lt;="&amp;DATE(2026,6,14))</f>
        <v/>
      </c>
      <c r="FG169" s="116">
        <f>COUNTIFS('DRAFT 2'!$D:$D,$B169,'DRAFT 2'!$A:$A,"&gt;="&amp;DATE(2026,6,15),'DRAFT 2'!$A:$A,"&lt;="&amp;DATE(2026,6,21))</f>
        <v/>
      </c>
      <c r="FH169" s="116">
        <f>COUNTIFS('DRAFT 2'!$D:$D,$B169,'DRAFT 2'!$A:$A,"&gt;="&amp;DATE(2026,6,22),'DRAFT 2'!$A:$A,"&lt;"&amp;DATE(2026,IF(6=12,6+1,6+1),1))</f>
        <v/>
      </c>
      <c r="FI169" s="116">
        <f>SUM(FE169:FH169)</f>
        <v/>
      </c>
      <c r="FT169" s="116">
        <f>IFERROR(LOOKUP(2,1/('DRAFT 2'!$D:$D=$B169)*('DRAFT 2'!$A:$A&gt;=DATE(2026,7,1))*('DRAFT 2'!$A:$A&lt;DATE(2026,IF(7=12,7+1,7+1),1)),'DRAFT 2'!$A:$A),"")</f>
        <v/>
      </c>
      <c r="FU169" s="116">
        <f>COUNTIFS('DRAFT 2'!$D:$D,$B169,'DRAFT 2'!$A:$A,"&gt;="&amp;DATE(2026,7,1),'DRAFT 2'!$A:$A,"&lt;="&amp;DATE(2026,7,7))</f>
        <v/>
      </c>
      <c r="FV169" s="116">
        <f>COUNTIFS('DRAFT 2'!$D:$D,$B169,'DRAFT 2'!$A:$A,"&gt;="&amp;DATE(2026,7,8),'DRAFT 2'!$A:$A,"&lt;="&amp;DATE(2026,7,14))</f>
        <v/>
      </c>
      <c r="FW169" s="116">
        <f>COUNTIFS('DRAFT 2'!$D:$D,$B169,'DRAFT 2'!$A:$A,"&gt;="&amp;DATE(2026,7,15),'DRAFT 2'!$A:$A,"&lt;="&amp;DATE(2026,7,21))</f>
        <v/>
      </c>
      <c r="FX169" s="116">
        <f>COUNTIFS('DRAFT 2'!$D:$D,$B169,'DRAFT 2'!$A:$A,"&gt;="&amp;DATE(2026,7,22),'DRAFT 2'!$A:$A,"&lt;"&amp;DATE(2026,IF(7=12,7+1,7+1),1))</f>
        <v/>
      </c>
      <c r="FY169" s="116">
        <f>SUM(FU169:FX169)</f>
        <v/>
      </c>
      <c r="GI169" s="116">
        <f>IFERROR(LOOKUP(2,1/('DRAFT 2'!$D:$D=$B169)*('DRAFT 2'!$A:$A&gt;=DATE(2026,8,1))*('DRAFT 2'!$A:$A&lt;DATE(2026,IF(8=12,8+1,8+1),1)),'DRAFT 2'!$A:$A),"")</f>
        <v/>
      </c>
      <c r="GJ169" s="116">
        <f>COUNTIFS('DRAFT 2'!$D:$D,$B169,'DRAFT 2'!$A:$A,"&gt;="&amp;DATE(2026,8,1),'DRAFT 2'!$A:$A,"&lt;="&amp;DATE(2026,8,7))</f>
        <v/>
      </c>
      <c r="GK169" s="116">
        <f>COUNTIFS('DRAFT 2'!$D:$D,$B169,'DRAFT 2'!$A:$A,"&gt;="&amp;DATE(2026,8,8),'DRAFT 2'!$A:$A,"&lt;="&amp;DATE(2026,8,14))</f>
        <v/>
      </c>
      <c r="GL169" s="116">
        <f>COUNTIFS('DRAFT 2'!$D:$D,$B169,'DRAFT 2'!$A:$A,"&gt;="&amp;DATE(2026,8,15),'DRAFT 2'!$A:$A,"&lt;="&amp;DATE(2026,8,21))</f>
        <v/>
      </c>
      <c r="GM169" s="116">
        <f>COUNTIFS('DRAFT 2'!$D:$D,$B169,'DRAFT 2'!$A:$A,"&gt;="&amp;DATE(2026,8,22),'DRAFT 2'!$A:$A,"&lt;"&amp;DATE(2026,IF(8=12,8+1,8+1),1))</f>
        <v/>
      </c>
      <c r="GN169" s="116">
        <f>SUM(GJ169:GM169)</f>
        <v/>
      </c>
      <c r="GX169" s="116">
        <f>IFERROR(LOOKUP(2,1/('DRAFT 2'!$D:$D=$B169)*('DRAFT 2'!$A:$A&gt;=DATE(2026,9,1))*('DRAFT 2'!$A:$A&lt;DATE(2026,IF(9=12,9+1,9+1),1)),'DRAFT 2'!$A:$A),"")</f>
        <v/>
      </c>
      <c r="GY169" s="116">
        <f>COUNTIFS('DRAFT 2'!$D:$D,$B169,'DRAFT 2'!$A:$A,"&gt;="&amp;DATE(2026,9,1),'DRAFT 2'!$A:$A,"&lt;="&amp;DATE(2026,9,7))</f>
        <v/>
      </c>
      <c r="GZ169" s="116">
        <f>COUNTIFS('DRAFT 2'!$D:$D,$B169,'DRAFT 2'!$A:$A,"&gt;="&amp;DATE(2026,9,8),'DRAFT 2'!$A:$A,"&lt;="&amp;DATE(2026,9,14))</f>
        <v/>
      </c>
      <c r="HA169" s="116">
        <f>COUNTIFS('DRAFT 2'!$D:$D,$B169,'DRAFT 2'!$A:$A,"&gt;="&amp;DATE(2026,9,15),'DRAFT 2'!$A:$A,"&lt;="&amp;DATE(2026,9,21))</f>
        <v/>
      </c>
      <c r="HB169" s="116">
        <f>COUNTIFS('DRAFT 2'!$D:$D,$B169,'DRAFT 2'!$A:$A,"&gt;="&amp;DATE(2026,9,22),'DRAFT 2'!$A:$A,"&lt;"&amp;DATE(2026,IF(9=12,9+1,9+1),1))</f>
        <v/>
      </c>
      <c r="HC169" s="116">
        <f>SUM(GY169:HB169)</f>
        <v/>
      </c>
      <c r="HN169" s="116">
        <f>IFERROR(LOOKUP(2,1/('DRAFT 2'!$D:$D=$B169)*('DRAFT 2'!$A:$A&gt;=DATE(2026,10,1))*('DRAFT 2'!$A:$A&lt;DATE(2026,IF(10=12,10+1,10+1),1)),'DRAFT 2'!$A:$A),"")</f>
        <v/>
      </c>
      <c r="HO169" s="116">
        <f>COUNTIFS('DRAFT 2'!$D:$D,$B169,'DRAFT 2'!$A:$A,"&gt;="&amp;DATE(2026,10,1),'DRAFT 2'!$A:$A,"&lt;="&amp;DATE(2026,10,7))</f>
        <v/>
      </c>
      <c r="HP169" s="116">
        <f>COUNTIFS('DRAFT 2'!$D:$D,$B169,'DRAFT 2'!$A:$A,"&gt;="&amp;DATE(2026,10,8),'DRAFT 2'!$A:$A,"&lt;="&amp;DATE(2026,10,14))</f>
        <v/>
      </c>
      <c r="HQ169" s="116">
        <f>COUNTIFS('DRAFT 2'!$D:$D,$B169,'DRAFT 2'!$A:$A,"&gt;="&amp;DATE(2026,10,15),'DRAFT 2'!$A:$A,"&lt;="&amp;DATE(2026,10,21))</f>
        <v/>
      </c>
      <c r="HR169" s="116">
        <f>COUNTIFS('DRAFT 2'!$D:$D,$B169,'DRAFT 2'!$A:$A,"&gt;="&amp;DATE(2026,10,22),'DRAFT 2'!$A:$A,"&lt;"&amp;DATE(2026,IF(10=12,10+1,10+1),1))</f>
        <v/>
      </c>
      <c r="HS169" s="116">
        <f>SUM(HO169:HR169)</f>
        <v/>
      </c>
      <c r="IC169" s="116">
        <f>IFERROR(LOOKUP(2,1/('DRAFT 2'!$D:$D=$B169)*('DRAFT 2'!$A:$A&gt;=DATE(2026,11,1))*('DRAFT 2'!$A:$A&lt;DATE(2026,IF(11=12,11+1,11+1),1)),'DRAFT 2'!$A:$A),"")</f>
        <v/>
      </c>
      <c r="ID169" s="116">
        <f>COUNTIFS('DRAFT 2'!$D:$D,$B169,'DRAFT 2'!$A:$A,"&gt;="&amp;DATE(2026,11,1),'DRAFT 2'!$A:$A,"&lt;="&amp;DATE(2026,11,7))</f>
        <v/>
      </c>
      <c r="IE169" s="116">
        <f>COUNTIFS('DRAFT 2'!$D:$D,$B169,'DRAFT 2'!$A:$A,"&gt;="&amp;DATE(2026,11,8),'DRAFT 2'!$A:$A,"&lt;="&amp;DATE(2026,11,14))</f>
        <v/>
      </c>
      <c r="IF169" s="116">
        <f>COUNTIFS('DRAFT 2'!$D:$D,$B169,'DRAFT 2'!$A:$A,"&gt;="&amp;DATE(2026,11,15),'DRAFT 2'!$A:$A,"&lt;="&amp;DATE(2026,11,21))</f>
        <v/>
      </c>
      <c r="IG169" s="116">
        <f>COUNTIFS('DRAFT 2'!$D:$D,$B169,'DRAFT 2'!$A:$A,"&gt;="&amp;DATE(2026,11,22),'DRAFT 2'!$A:$A,"&lt;"&amp;DATE(2026,IF(11=12,11+1,11+1),1))</f>
        <v/>
      </c>
      <c r="IH169" s="116">
        <f>SUM(ID169:IG169)</f>
        <v/>
      </c>
      <c r="IR169" s="116">
        <f>IFERROR(LOOKUP(2,1/('DRAFT 2'!$D:$D=$B169)*('DRAFT 2'!$A:$A&gt;=DATE(2026,12,1))*('DRAFT 2'!$A:$A&lt;DATE(2026,IF(12=12,12+1,12+1),1)),'DRAFT 2'!$A:$A),"")</f>
        <v/>
      </c>
      <c r="IS169" s="116">
        <f>COUNTIFS('DRAFT 2'!$D:$D,$B169,'DRAFT 2'!$A:$A,"&gt;="&amp;DATE(2026,12,1),'DRAFT 2'!$A:$A,"&lt;="&amp;DATE(2026,12,7))</f>
        <v/>
      </c>
      <c r="IT169" s="116">
        <f>COUNTIFS('DRAFT 2'!$D:$D,$B169,'DRAFT 2'!$A:$A,"&gt;="&amp;DATE(2026,12,8),'DRAFT 2'!$A:$A,"&lt;="&amp;DATE(2026,12,14))</f>
        <v/>
      </c>
      <c r="IU169" s="116">
        <f>COUNTIFS('DRAFT 2'!$D:$D,$B169,'DRAFT 2'!$A:$A,"&gt;="&amp;DATE(2026,12,15),'DRAFT 2'!$A:$A,"&lt;="&amp;DATE(2026,12,21))</f>
        <v/>
      </c>
      <c r="IV169" s="116">
        <f>COUNTIFS('DRAFT 2'!$D:$D,$B169,'DRAFT 2'!$A:$A,"&gt;="&amp;DATE(2026,12,22),'DRAFT 2'!$A:$A,"&lt;"&amp;DATE(2026,IF(12=12,12+1,12+1),1))</f>
        <v/>
      </c>
      <c r="IW169" s="116">
        <f>SUM(IS169:IV169)</f>
        <v/>
      </c>
    </row>
    <row r="170">
      <c r="A170" s="116">
        <f>IFERROR(INDEX('DRAFT 1'!$A:$A,MATCH($B170,'DRAFT 1'!$B:$B,0)),"")</f>
        <v/>
      </c>
      <c r="C170" s="116">
        <f>IFERROR(INDEX('DRAFT 1'!$C:$C,MATCH($B170,'DRAFT 1'!$B:$B,0)),"")</f>
        <v/>
      </c>
      <c r="D170" s="116">
        <f>IFERROR(INDEX('DRAFT 1'!$D:$D,MATCH($B170,'DRAFT 1'!$B:$B,0)),"")</f>
        <v/>
      </c>
      <c r="E170" s="116">
        <f>IFERROR(INDEX('DRAFT 1'!$E:$E,MATCH($B170,'DRAFT 1'!$B:$B,0)),"")</f>
        <v/>
      </c>
      <c r="F170" s="116">
        <f>IFERROR(INDEX('DRAFT 1'!$F:$F,MATCH($B170,'DRAFT 1'!$B:$B,0)),"")</f>
        <v/>
      </c>
      <c r="G170" s="116">
        <f>IFERROR(INDEX('DRAFT 1'!$G:$G,MATCH($B170,'DRAFT 1'!$B:$B,0)),"")</f>
        <v/>
      </c>
      <c r="H170" s="116">
        <f>IFERROR(INDEX('DRAFT 1'!$H:$H,MATCH($B170,'DRAFT 1'!$B:$B,0)),"")</f>
        <v/>
      </c>
      <c r="I170" s="116">
        <f>IFERROR(INDEX('DRAFT 1'!$I:$I,MATCH($B170,'DRAFT 1'!$B:$B,0)),"")</f>
        <v/>
      </c>
      <c r="K170" s="116">
        <f>IFERROR(INDEX('DRAFT 1'!$AL:$AL,MATCH($B170,'DRAFT 1'!$B:$B,0)),"")</f>
        <v/>
      </c>
      <c r="L170" s="116">
        <f>IFERROR(INDEX('DRAFT 1'!$J:$J,MATCH($B170,'DRAFT 1'!$B:$B,0)),"")</f>
        <v/>
      </c>
      <c r="M170" s="116">
        <f>IFERROR(INDEX('DRAFT 1'!$K:$K,MATCH($B170,'DRAFT 1'!$B:$B,0)),"")</f>
        <v/>
      </c>
      <c r="P170" s="116">
        <f>IFERROR(INDEX('DRAFT 1'!$L:$L,MATCH($B170,'DRAFT 1'!$B:$B,0)),"")</f>
        <v/>
      </c>
      <c r="Q170" s="116">
        <f>IFERROR(INDEX('DRAFT 1'!$M:$M,MATCH($B170,'DRAFT 1'!$B:$B,0)),"")</f>
        <v/>
      </c>
      <c r="R170" s="116">
        <f>IFERROR(INDEX('DRAFT 1'!$N:$N,MATCH($B170,'DRAFT 1'!$B:$B,0)),"")</f>
        <v/>
      </c>
      <c r="S170" s="116">
        <f>IFERROR(INDEX('DRAFT 1'!$O:$O,MATCH($B170,'DRAFT 1'!$B:$B,0)),"")</f>
        <v/>
      </c>
      <c r="T170" s="116">
        <f>IFERROR(INDEX('DRAFT 1'!$P:$P,MATCH($B170,'DRAFT 1'!$B:$B,0)),"")</f>
        <v/>
      </c>
      <c r="U170" s="116">
        <f>IFERROR(INDEX('DRAFT 1'!$Q:$Q,MATCH($B170,'DRAFT 1'!$B:$B,0)),"")</f>
        <v/>
      </c>
      <c r="V170" s="116">
        <f>IFERROR(INDEX('DRAFT 1'!$R:$R,MATCH($B170,'DRAFT 1'!$B:$B,0)),"")</f>
        <v/>
      </c>
      <c r="W170" s="116">
        <f>IFERROR(INDEX('DRAFT 1'!$S:$S,MATCH($B170,'DRAFT 1'!$B:$B,0)),"")</f>
        <v/>
      </c>
      <c r="X170" s="116">
        <f>IFERROR(INDEX('DRAFT 1'!$T:$T,MATCH($B170,'DRAFT 1'!$B:$B,0)),"")</f>
        <v/>
      </c>
      <c r="Z170" s="116">
        <f>IFERROR(INDEX('DRAFT 1'!$U:$U,MATCH($B170,'DRAFT 1'!$B:$B,0)),"")</f>
        <v/>
      </c>
      <c r="AA170" s="116">
        <f>IFERROR(INDEX('DRAFT 1'!$V:$V,MATCH($B170,'DRAFT 1'!$B:$B,0)),"")</f>
        <v/>
      </c>
      <c r="AB170" s="116">
        <f>IFERROR(INDEX('DRAFT 1'!$W:$W,MATCH($B170,'DRAFT 1'!$B:$B,0)),"")</f>
        <v/>
      </c>
      <c r="AC170" s="116">
        <f>IFERROR(INDEX('DRAFT 1'!$X:$X,MATCH($B170,'DRAFT 1'!$B:$B,0)),"")</f>
        <v/>
      </c>
      <c r="AD170" s="116">
        <f>IFERROR(INDEX('DRAFT 1'!$Y:$Y,MATCH($B170,'DRAFT 1'!$B:$B,0)),"")</f>
        <v/>
      </c>
      <c r="AE170" s="116">
        <f>IFERROR(INDEX('DRAFT 1'!$Z:$Z,MATCH($B170,'DRAFT 1'!$B:$B,0)),"")</f>
        <v/>
      </c>
      <c r="AF170" s="116">
        <f>IFERROR(INDEX('DRAFT 1'!$AA:$AA,MATCH($B170,'DRAFT 1'!$B:$B,0)),"")</f>
        <v/>
      </c>
      <c r="AG170" s="116">
        <f>IFERROR(INDEX('DRAFT 1'!$AB:$AB,MATCH($B170,'DRAFT 1'!$B:$B,0)),"")</f>
        <v/>
      </c>
      <c r="AH170" s="116">
        <f>IFERROR(INDEX('DRAFT 1'!$AC:$AC,MATCH($B170,'DRAFT 1'!$B:$B,0)),"")</f>
        <v/>
      </c>
      <c r="AI170" s="116">
        <f>IFERROR(INDEX('DRAFT 1'!$AD:$AD,MATCH($B170,'DRAFT 1'!$B:$B,0)),"")</f>
        <v/>
      </c>
      <c r="AJ170" s="116">
        <f>IFERROR(INDEX('DRAFT 1'!$AE:$AE,MATCH($B170,'DRAFT 1'!$B:$B,0)),"")</f>
        <v/>
      </c>
      <c r="AK170" s="116">
        <f>IFERROR(INDEX('DRAFT 1'!$AG:$AG,MATCH($B170,'DRAFT 1'!$B:$B,0)),"")</f>
        <v/>
      </c>
      <c r="AL170" s="116">
        <f>IFERROR(INDEX('DRAFT 1'!$AH:$AH,MATCH($B170,'DRAFT 1'!$B:$B,0)),"")</f>
        <v/>
      </c>
      <c r="AM170" s="116">
        <f>IFERROR(INDEX('DRAFT 1'!$AI:$AI,MATCH($B170,'DRAFT 1'!$B:$B,0)),"")</f>
        <v/>
      </c>
      <c r="AN170" s="116">
        <f>IFERROR(INDEX('DRAFT 1'!$AJ:$AJ,MATCH($B170,'DRAFT 1'!$B:$B,0)),"")</f>
        <v/>
      </c>
      <c r="AO170" s="116">
        <f>IFERROR(Y170/AN170,0)</f>
        <v/>
      </c>
      <c r="AP170" s="116">
        <f>IFERROR(INDEX('DRAFT 1'!$AK:$AK,MATCH($B170,'DRAFT 1'!$B:$B,0)),"")</f>
        <v/>
      </c>
      <c r="AR170" s="116">
        <f>IFERROR(LOOKUP(2,1/('DRAFT 2'!$D:$D=$B170),'DRAFT 2'!$I:$I),"")</f>
        <v/>
      </c>
      <c r="AS170" s="116">
        <f>IFERROR(LOOKUP(2,1/('DRAFT 2'!$D:$D=$B170),'DRAFT 2'!$T:$T),"")</f>
        <v/>
      </c>
      <c r="AT170" s="116">
        <f>IFERROR(LOOKUP(2,1/('DRAFT 2'!$D:$D=$B170),'DRAFT 2'!$A:$A),"")</f>
        <v/>
      </c>
      <c r="AU170" s="116">
        <f>IFERROR(LOOKUP(2,1/('DRAFT 2'!$D:$D=$B170),'DRAFT 2'!$R:$R),"")</f>
        <v/>
      </c>
      <c r="AV170" s="116">
        <f>IFERROR(LOOKUP(2,1/('DRAFT 2'!$D:$D=$B170),'DRAFT 2'!$S:$S),"")</f>
        <v/>
      </c>
      <c r="AX170" s="116">
        <f>IFERROR(LOOKUP(2,1/('DRAFT 2'!$D:$D=$B170),'DRAFT 2'!$M:$M),"")</f>
        <v/>
      </c>
      <c r="AY170" s="116">
        <f>IFERROR(LOOKUP(2,1/('DRAFT 2'!$D:$D=$B170),'DRAFT 2'!$K:$K),"")</f>
        <v/>
      </c>
      <c r="BG170" s="116">
        <f>IFERROR(LOOKUP(2,1/('DRAFT 2'!$D:$D=$B170),'DRAFT 2'!$U:$U),"")</f>
        <v/>
      </c>
      <c r="BH170" s="116">
        <f>IFERROR(LOOKUP(2,1/('DRAFT 2'!$D:$D=$B170),'DRAFT 2'!$V:$V),"")</f>
        <v/>
      </c>
      <c r="CE170" s="116">
        <f>IFERROR(AJ170,0)</f>
        <v/>
      </c>
      <c r="CF170" s="116">
        <f>IFERROR(LOOKUP(2,1/('DRAFT 2'!$D:$D=$B170)*('DRAFT 2'!$A:$A&gt;=DATE(2026,1,1))*('DRAFT 2'!$A:$A&lt;DATE(2026,IF(1=12,1+1,1+1),1)),'DRAFT 2'!$A:$A),"")</f>
        <v/>
      </c>
      <c r="CG170" s="116">
        <f>COUNTIFS('DRAFT 2'!$D:$D,$B170,'DRAFT 2'!$A:$A,"&gt;="&amp;DATE(2026,1,1),'DRAFT 2'!$A:$A,"&lt;="&amp;DATE(2026,1,7))</f>
        <v/>
      </c>
      <c r="CH170" s="116">
        <f>COUNTIFS('DRAFT 2'!$D:$D,$B170,'DRAFT 2'!$A:$A,"&gt;="&amp;DATE(2026,1,8),'DRAFT 2'!$A:$A,"&lt;="&amp;DATE(2026,1,14))</f>
        <v/>
      </c>
      <c r="CI170" s="116">
        <f>COUNTIFS('DRAFT 2'!$D:$D,$B170,'DRAFT 2'!$A:$A,"&gt;="&amp;DATE(2026,1,15),'DRAFT 2'!$A:$A,"&lt;="&amp;DATE(2026,1,21))</f>
        <v/>
      </c>
      <c r="CJ170" s="116">
        <f>COUNTIFS('DRAFT 2'!$D:$D,$B170,'DRAFT 2'!$A:$A,"&gt;="&amp;DATE(2026,1,22),'DRAFT 2'!$A:$A,"&lt;"&amp;DATE(2026,IF(1=12,1+1,1+1),1))</f>
        <v/>
      </c>
      <c r="CK170" s="116">
        <f>SUM(CG170:CJ170)</f>
        <v/>
      </c>
      <c r="CT170" s="116" t="n">
        <v>0</v>
      </c>
      <c r="CU170" s="116">
        <f>IFERROR(LOOKUP(2,1/('DRAFT 2'!$D:$D=$B170)*('DRAFT 2'!$A:$A&gt;=DATE(2026,2,1))*('DRAFT 2'!$A:$A&lt;DATE(2026,IF(2=12,2+1,2+1),1)),'DRAFT 2'!$A:$A),"")</f>
        <v/>
      </c>
      <c r="CV170" s="116">
        <f>COUNTIFS('DRAFT 2'!$D:$D,$B170,'DRAFT 2'!$A:$A,"&gt;="&amp;DATE(2026,2,1),'DRAFT 2'!$A:$A,"&lt;="&amp;DATE(2026,2,7))</f>
        <v/>
      </c>
      <c r="CW170" s="116">
        <f>COUNTIFS('DRAFT 2'!$D:$D,$B170,'DRAFT 2'!$A:$A,"&gt;="&amp;DATE(2026,2,8),'DRAFT 2'!$A:$A,"&lt;="&amp;DATE(2026,2,14))</f>
        <v/>
      </c>
      <c r="CX170" s="116">
        <f>COUNTIFS('DRAFT 2'!$D:$D,$B170,'DRAFT 2'!$A:$A,"&gt;="&amp;DATE(2026,2,15),'DRAFT 2'!$A:$A,"&lt;="&amp;DATE(2026,2,21))</f>
        <v/>
      </c>
      <c r="CY170" s="116">
        <f>COUNTIFS('DRAFT 2'!$D:$D,$B170,'DRAFT 2'!$A:$A,"&gt;="&amp;DATE(2026,2,22),'DRAFT 2'!$A:$A,"&lt;"&amp;DATE(2026,IF(2=12,2+1,2+1),1))</f>
        <v/>
      </c>
      <c r="CZ170" s="116">
        <f>SUM(CV170:CY170)</f>
        <v/>
      </c>
      <c r="DJ170" s="116">
        <f>IFERROR(LOOKUP(2,1/('DRAFT 2'!$D:$D=$B170)*('DRAFT 2'!$A:$A&gt;=DATE(2026,3,1))*('DRAFT 2'!$A:$A&lt;DATE(2026,IF(3=12,3+1,3+1),1)),'DRAFT 2'!$A:$A),"")</f>
        <v/>
      </c>
      <c r="DK170" s="116">
        <f>COUNTIFS('DRAFT 2'!$D:$D,$B170,'DRAFT 2'!$A:$A,"&gt;="&amp;DATE(2026,3,1),'DRAFT 2'!$A:$A,"&lt;="&amp;DATE(2026,3,7))</f>
        <v/>
      </c>
      <c r="DL170" s="116">
        <f>COUNTIFS('DRAFT 2'!$D:$D,$B170,'DRAFT 2'!$A:$A,"&gt;="&amp;DATE(2026,3,8),'DRAFT 2'!$A:$A,"&lt;="&amp;DATE(2026,3,14))</f>
        <v/>
      </c>
      <c r="DM170" s="116">
        <f>COUNTIFS('DRAFT 2'!$D:$D,$B170,'DRAFT 2'!$A:$A,"&gt;="&amp;DATE(2026,3,15),'DRAFT 2'!$A:$A,"&lt;="&amp;DATE(2026,3,21))</f>
        <v/>
      </c>
      <c r="DN170" s="116">
        <f>COUNTIFS('DRAFT 2'!$D:$D,$B170,'DRAFT 2'!$A:$A,"&gt;="&amp;DATE(2026,3,22),'DRAFT 2'!$A:$A,"&lt;"&amp;DATE(2026,IF(3=12,3+1,3+1),1))</f>
        <v/>
      </c>
      <c r="DO170" s="116">
        <f>SUM(DK170:DN170)</f>
        <v/>
      </c>
      <c r="DZ170" s="116">
        <f>IFERROR(LOOKUP(2,1/('DRAFT 2'!$D:$D=$B170)*('DRAFT 2'!$A:$A&gt;=DATE(2026,4,1))*('DRAFT 2'!$A:$A&lt;DATE(2026,IF(4=12,4+1,4+1),1)),'DRAFT 2'!$A:$A),"")</f>
        <v/>
      </c>
      <c r="EA170" s="116">
        <f>COUNTIFS('DRAFT 2'!$D:$D,$B170,'DRAFT 2'!$A:$A,"&gt;="&amp;DATE(2026,4,1),'DRAFT 2'!$A:$A,"&lt;="&amp;DATE(2026,4,7))</f>
        <v/>
      </c>
      <c r="EB170" s="116">
        <f>COUNTIFS('DRAFT 2'!$D:$D,$B170,'DRAFT 2'!$A:$A,"&gt;="&amp;DATE(2026,4,8),'DRAFT 2'!$A:$A,"&lt;="&amp;DATE(2026,4,14))</f>
        <v/>
      </c>
      <c r="EC170" s="116">
        <f>COUNTIFS('DRAFT 2'!$D:$D,$B170,'DRAFT 2'!$A:$A,"&gt;="&amp;DATE(2026,4,15),'DRAFT 2'!$A:$A,"&lt;="&amp;DATE(2026,4,21))</f>
        <v/>
      </c>
      <c r="ED170" s="116">
        <f>COUNTIFS('DRAFT 2'!$D:$D,$B170,'DRAFT 2'!$A:$A,"&gt;="&amp;DATE(2026,4,22),'DRAFT 2'!$A:$A,"&lt;"&amp;DATE(2026,IF(4=12,4+1,4+1),1))</f>
        <v/>
      </c>
      <c r="EE170" s="116">
        <f>SUM(EA170:ED170)</f>
        <v/>
      </c>
      <c r="EO170" s="116">
        <f>IFERROR(LOOKUP(2,1/('DRAFT 2'!$D:$D=$B170)*('DRAFT 2'!$A:$A&gt;=DATE(2026,5,1))*('DRAFT 2'!$A:$A&lt;DATE(2026,IF(5=12,5+1,5+1),1)),'DRAFT 2'!$A:$A),"")</f>
        <v/>
      </c>
      <c r="EP170" s="116">
        <f>COUNTIFS('DRAFT 2'!$D:$D,$B170,'DRAFT 2'!$A:$A,"&gt;="&amp;DATE(2026,5,1),'DRAFT 2'!$A:$A,"&lt;="&amp;DATE(2026,5,7))</f>
        <v/>
      </c>
      <c r="EQ170" s="116">
        <f>COUNTIFS('DRAFT 2'!$D:$D,$B170,'DRAFT 2'!$A:$A,"&gt;="&amp;DATE(2026,5,8),'DRAFT 2'!$A:$A,"&lt;="&amp;DATE(2026,5,14))</f>
        <v/>
      </c>
      <c r="ER170" s="116">
        <f>COUNTIFS('DRAFT 2'!$D:$D,$B170,'DRAFT 2'!$A:$A,"&gt;="&amp;DATE(2026,5,15),'DRAFT 2'!$A:$A,"&lt;="&amp;DATE(2026,5,21))</f>
        <v/>
      </c>
      <c r="ES170" s="116">
        <f>COUNTIFS('DRAFT 2'!$D:$D,$B170,'DRAFT 2'!$A:$A,"&gt;="&amp;DATE(2026,5,22),'DRAFT 2'!$A:$A,"&lt;"&amp;DATE(2026,IF(5=12,5+1,5+1),1))</f>
        <v/>
      </c>
      <c r="ET170" s="116">
        <f>SUM(EP170:ES170)</f>
        <v/>
      </c>
      <c r="FD170" s="116">
        <f>IFERROR(LOOKUP(2,1/('DRAFT 2'!$D:$D=$B170)*('DRAFT 2'!$A:$A&gt;=DATE(2026,6,1))*('DRAFT 2'!$A:$A&lt;DATE(2026,IF(6=12,6+1,6+1),1)),'DRAFT 2'!$A:$A),"")</f>
        <v/>
      </c>
      <c r="FE170" s="116">
        <f>COUNTIFS('DRAFT 2'!$D:$D,$B170,'DRAFT 2'!$A:$A,"&gt;="&amp;DATE(2026,6,1),'DRAFT 2'!$A:$A,"&lt;="&amp;DATE(2026,6,7))</f>
        <v/>
      </c>
      <c r="FF170" s="116">
        <f>COUNTIFS('DRAFT 2'!$D:$D,$B170,'DRAFT 2'!$A:$A,"&gt;="&amp;DATE(2026,6,8),'DRAFT 2'!$A:$A,"&lt;="&amp;DATE(2026,6,14))</f>
        <v/>
      </c>
      <c r="FG170" s="116">
        <f>COUNTIFS('DRAFT 2'!$D:$D,$B170,'DRAFT 2'!$A:$A,"&gt;="&amp;DATE(2026,6,15),'DRAFT 2'!$A:$A,"&lt;="&amp;DATE(2026,6,21))</f>
        <v/>
      </c>
      <c r="FH170" s="116">
        <f>COUNTIFS('DRAFT 2'!$D:$D,$B170,'DRAFT 2'!$A:$A,"&gt;="&amp;DATE(2026,6,22),'DRAFT 2'!$A:$A,"&lt;"&amp;DATE(2026,IF(6=12,6+1,6+1),1))</f>
        <v/>
      </c>
      <c r="FI170" s="116">
        <f>SUM(FE170:FH170)</f>
        <v/>
      </c>
      <c r="FT170" s="116">
        <f>IFERROR(LOOKUP(2,1/('DRAFT 2'!$D:$D=$B170)*('DRAFT 2'!$A:$A&gt;=DATE(2026,7,1))*('DRAFT 2'!$A:$A&lt;DATE(2026,IF(7=12,7+1,7+1),1)),'DRAFT 2'!$A:$A),"")</f>
        <v/>
      </c>
      <c r="FU170" s="116">
        <f>COUNTIFS('DRAFT 2'!$D:$D,$B170,'DRAFT 2'!$A:$A,"&gt;="&amp;DATE(2026,7,1),'DRAFT 2'!$A:$A,"&lt;="&amp;DATE(2026,7,7))</f>
        <v/>
      </c>
      <c r="FV170" s="116">
        <f>COUNTIFS('DRAFT 2'!$D:$D,$B170,'DRAFT 2'!$A:$A,"&gt;="&amp;DATE(2026,7,8),'DRAFT 2'!$A:$A,"&lt;="&amp;DATE(2026,7,14))</f>
        <v/>
      </c>
      <c r="FW170" s="116">
        <f>COUNTIFS('DRAFT 2'!$D:$D,$B170,'DRAFT 2'!$A:$A,"&gt;="&amp;DATE(2026,7,15),'DRAFT 2'!$A:$A,"&lt;="&amp;DATE(2026,7,21))</f>
        <v/>
      </c>
      <c r="FX170" s="116">
        <f>COUNTIFS('DRAFT 2'!$D:$D,$B170,'DRAFT 2'!$A:$A,"&gt;="&amp;DATE(2026,7,22),'DRAFT 2'!$A:$A,"&lt;"&amp;DATE(2026,IF(7=12,7+1,7+1),1))</f>
        <v/>
      </c>
      <c r="FY170" s="116">
        <f>SUM(FU170:FX170)</f>
        <v/>
      </c>
      <c r="GI170" s="116">
        <f>IFERROR(LOOKUP(2,1/('DRAFT 2'!$D:$D=$B170)*('DRAFT 2'!$A:$A&gt;=DATE(2026,8,1))*('DRAFT 2'!$A:$A&lt;DATE(2026,IF(8=12,8+1,8+1),1)),'DRAFT 2'!$A:$A),"")</f>
        <v/>
      </c>
      <c r="GJ170" s="116">
        <f>COUNTIFS('DRAFT 2'!$D:$D,$B170,'DRAFT 2'!$A:$A,"&gt;="&amp;DATE(2026,8,1),'DRAFT 2'!$A:$A,"&lt;="&amp;DATE(2026,8,7))</f>
        <v/>
      </c>
      <c r="GK170" s="116">
        <f>COUNTIFS('DRAFT 2'!$D:$D,$B170,'DRAFT 2'!$A:$A,"&gt;="&amp;DATE(2026,8,8),'DRAFT 2'!$A:$A,"&lt;="&amp;DATE(2026,8,14))</f>
        <v/>
      </c>
      <c r="GL170" s="116">
        <f>COUNTIFS('DRAFT 2'!$D:$D,$B170,'DRAFT 2'!$A:$A,"&gt;="&amp;DATE(2026,8,15),'DRAFT 2'!$A:$A,"&lt;="&amp;DATE(2026,8,21))</f>
        <v/>
      </c>
      <c r="GM170" s="116">
        <f>COUNTIFS('DRAFT 2'!$D:$D,$B170,'DRAFT 2'!$A:$A,"&gt;="&amp;DATE(2026,8,22),'DRAFT 2'!$A:$A,"&lt;"&amp;DATE(2026,IF(8=12,8+1,8+1),1))</f>
        <v/>
      </c>
      <c r="GN170" s="116">
        <f>SUM(GJ170:GM170)</f>
        <v/>
      </c>
      <c r="GX170" s="116">
        <f>IFERROR(LOOKUP(2,1/('DRAFT 2'!$D:$D=$B170)*('DRAFT 2'!$A:$A&gt;=DATE(2026,9,1))*('DRAFT 2'!$A:$A&lt;DATE(2026,IF(9=12,9+1,9+1),1)),'DRAFT 2'!$A:$A),"")</f>
        <v/>
      </c>
      <c r="GY170" s="116">
        <f>COUNTIFS('DRAFT 2'!$D:$D,$B170,'DRAFT 2'!$A:$A,"&gt;="&amp;DATE(2026,9,1),'DRAFT 2'!$A:$A,"&lt;="&amp;DATE(2026,9,7))</f>
        <v/>
      </c>
      <c r="GZ170" s="116">
        <f>COUNTIFS('DRAFT 2'!$D:$D,$B170,'DRAFT 2'!$A:$A,"&gt;="&amp;DATE(2026,9,8),'DRAFT 2'!$A:$A,"&lt;="&amp;DATE(2026,9,14))</f>
        <v/>
      </c>
      <c r="HA170" s="116">
        <f>COUNTIFS('DRAFT 2'!$D:$D,$B170,'DRAFT 2'!$A:$A,"&gt;="&amp;DATE(2026,9,15),'DRAFT 2'!$A:$A,"&lt;="&amp;DATE(2026,9,21))</f>
        <v/>
      </c>
      <c r="HB170" s="116">
        <f>COUNTIFS('DRAFT 2'!$D:$D,$B170,'DRAFT 2'!$A:$A,"&gt;="&amp;DATE(2026,9,22),'DRAFT 2'!$A:$A,"&lt;"&amp;DATE(2026,IF(9=12,9+1,9+1),1))</f>
        <v/>
      </c>
      <c r="HC170" s="116">
        <f>SUM(GY170:HB170)</f>
        <v/>
      </c>
      <c r="HN170" s="116">
        <f>IFERROR(LOOKUP(2,1/('DRAFT 2'!$D:$D=$B170)*('DRAFT 2'!$A:$A&gt;=DATE(2026,10,1))*('DRAFT 2'!$A:$A&lt;DATE(2026,IF(10=12,10+1,10+1),1)),'DRAFT 2'!$A:$A),"")</f>
        <v/>
      </c>
      <c r="HO170" s="116">
        <f>COUNTIFS('DRAFT 2'!$D:$D,$B170,'DRAFT 2'!$A:$A,"&gt;="&amp;DATE(2026,10,1),'DRAFT 2'!$A:$A,"&lt;="&amp;DATE(2026,10,7))</f>
        <v/>
      </c>
      <c r="HP170" s="116">
        <f>COUNTIFS('DRAFT 2'!$D:$D,$B170,'DRAFT 2'!$A:$A,"&gt;="&amp;DATE(2026,10,8),'DRAFT 2'!$A:$A,"&lt;="&amp;DATE(2026,10,14))</f>
        <v/>
      </c>
      <c r="HQ170" s="116">
        <f>COUNTIFS('DRAFT 2'!$D:$D,$B170,'DRAFT 2'!$A:$A,"&gt;="&amp;DATE(2026,10,15),'DRAFT 2'!$A:$A,"&lt;="&amp;DATE(2026,10,21))</f>
        <v/>
      </c>
      <c r="HR170" s="116">
        <f>COUNTIFS('DRAFT 2'!$D:$D,$B170,'DRAFT 2'!$A:$A,"&gt;="&amp;DATE(2026,10,22),'DRAFT 2'!$A:$A,"&lt;"&amp;DATE(2026,IF(10=12,10+1,10+1),1))</f>
        <v/>
      </c>
      <c r="HS170" s="116">
        <f>SUM(HO170:HR170)</f>
        <v/>
      </c>
      <c r="IC170" s="116">
        <f>IFERROR(LOOKUP(2,1/('DRAFT 2'!$D:$D=$B170)*('DRAFT 2'!$A:$A&gt;=DATE(2026,11,1))*('DRAFT 2'!$A:$A&lt;DATE(2026,IF(11=12,11+1,11+1),1)),'DRAFT 2'!$A:$A),"")</f>
        <v/>
      </c>
      <c r="ID170" s="116">
        <f>COUNTIFS('DRAFT 2'!$D:$D,$B170,'DRAFT 2'!$A:$A,"&gt;="&amp;DATE(2026,11,1),'DRAFT 2'!$A:$A,"&lt;="&amp;DATE(2026,11,7))</f>
        <v/>
      </c>
      <c r="IE170" s="116">
        <f>COUNTIFS('DRAFT 2'!$D:$D,$B170,'DRAFT 2'!$A:$A,"&gt;="&amp;DATE(2026,11,8),'DRAFT 2'!$A:$A,"&lt;="&amp;DATE(2026,11,14))</f>
        <v/>
      </c>
      <c r="IF170" s="116">
        <f>COUNTIFS('DRAFT 2'!$D:$D,$B170,'DRAFT 2'!$A:$A,"&gt;="&amp;DATE(2026,11,15),'DRAFT 2'!$A:$A,"&lt;="&amp;DATE(2026,11,21))</f>
        <v/>
      </c>
      <c r="IG170" s="116">
        <f>COUNTIFS('DRAFT 2'!$D:$D,$B170,'DRAFT 2'!$A:$A,"&gt;="&amp;DATE(2026,11,22),'DRAFT 2'!$A:$A,"&lt;"&amp;DATE(2026,IF(11=12,11+1,11+1),1))</f>
        <v/>
      </c>
      <c r="IH170" s="116">
        <f>SUM(ID170:IG170)</f>
        <v/>
      </c>
      <c r="IR170" s="116">
        <f>IFERROR(LOOKUP(2,1/('DRAFT 2'!$D:$D=$B170)*('DRAFT 2'!$A:$A&gt;=DATE(2026,12,1))*('DRAFT 2'!$A:$A&lt;DATE(2026,IF(12=12,12+1,12+1),1)),'DRAFT 2'!$A:$A),"")</f>
        <v/>
      </c>
      <c r="IS170" s="116">
        <f>COUNTIFS('DRAFT 2'!$D:$D,$B170,'DRAFT 2'!$A:$A,"&gt;="&amp;DATE(2026,12,1),'DRAFT 2'!$A:$A,"&lt;="&amp;DATE(2026,12,7))</f>
        <v/>
      </c>
      <c r="IT170" s="116">
        <f>COUNTIFS('DRAFT 2'!$D:$D,$B170,'DRAFT 2'!$A:$A,"&gt;="&amp;DATE(2026,12,8),'DRAFT 2'!$A:$A,"&lt;="&amp;DATE(2026,12,14))</f>
        <v/>
      </c>
      <c r="IU170" s="116">
        <f>COUNTIFS('DRAFT 2'!$D:$D,$B170,'DRAFT 2'!$A:$A,"&gt;="&amp;DATE(2026,12,15),'DRAFT 2'!$A:$A,"&lt;="&amp;DATE(2026,12,21))</f>
        <v/>
      </c>
      <c r="IV170" s="116">
        <f>COUNTIFS('DRAFT 2'!$D:$D,$B170,'DRAFT 2'!$A:$A,"&gt;="&amp;DATE(2026,12,22),'DRAFT 2'!$A:$A,"&lt;"&amp;DATE(2026,IF(12=12,12+1,12+1),1))</f>
        <v/>
      </c>
      <c r="IW170" s="116">
        <f>SUM(IS170:IV170)</f>
        <v/>
      </c>
    </row>
    <row r="171">
      <c r="A171" s="116">
        <f>IFERROR(INDEX('DRAFT 1'!$A:$A,MATCH($B171,'DRAFT 1'!$B:$B,0)),"")</f>
        <v/>
      </c>
      <c r="C171" s="116">
        <f>IFERROR(INDEX('DRAFT 1'!$C:$C,MATCH($B171,'DRAFT 1'!$B:$B,0)),"")</f>
        <v/>
      </c>
      <c r="D171" s="116">
        <f>IFERROR(INDEX('DRAFT 1'!$D:$D,MATCH($B171,'DRAFT 1'!$B:$B,0)),"")</f>
        <v/>
      </c>
      <c r="E171" s="116">
        <f>IFERROR(INDEX('DRAFT 1'!$E:$E,MATCH($B171,'DRAFT 1'!$B:$B,0)),"")</f>
        <v/>
      </c>
      <c r="F171" s="116">
        <f>IFERROR(INDEX('DRAFT 1'!$F:$F,MATCH($B171,'DRAFT 1'!$B:$B,0)),"")</f>
        <v/>
      </c>
      <c r="G171" s="116">
        <f>IFERROR(INDEX('DRAFT 1'!$G:$G,MATCH($B171,'DRAFT 1'!$B:$B,0)),"")</f>
        <v/>
      </c>
      <c r="H171" s="116">
        <f>IFERROR(INDEX('DRAFT 1'!$H:$H,MATCH($B171,'DRAFT 1'!$B:$B,0)),"")</f>
        <v/>
      </c>
      <c r="I171" s="116">
        <f>IFERROR(INDEX('DRAFT 1'!$I:$I,MATCH($B171,'DRAFT 1'!$B:$B,0)),"")</f>
        <v/>
      </c>
      <c r="K171" s="116">
        <f>IFERROR(INDEX('DRAFT 1'!$AL:$AL,MATCH($B171,'DRAFT 1'!$B:$B,0)),"")</f>
        <v/>
      </c>
      <c r="L171" s="116">
        <f>IFERROR(INDEX('DRAFT 1'!$J:$J,MATCH($B171,'DRAFT 1'!$B:$B,0)),"")</f>
        <v/>
      </c>
      <c r="M171" s="116">
        <f>IFERROR(INDEX('DRAFT 1'!$K:$K,MATCH($B171,'DRAFT 1'!$B:$B,0)),"")</f>
        <v/>
      </c>
      <c r="P171" s="116">
        <f>IFERROR(INDEX('DRAFT 1'!$L:$L,MATCH($B171,'DRAFT 1'!$B:$B,0)),"")</f>
        <v/>
      </c>
      <c r="Q171" s="116">
        <f>IFERROR(INDEX('DRAFT 1'!$M:$M,MATCH($B171,'DRAFT 1'!$B:$B,0)),"")</f>
        <v/>
      </c>
      <c r="R171" s="116">
        <f>IFERROR(INDEX('DRAFT 1'!$N:$N,MATCH($B171,'DRAFT 1'!$B:$B,0)),"")</f>
        <v/>
      </c>
      <c r="S171" s="116">
        <f>IFERROR(INDEX('DRAFT 1'!$O:$O,MATCH($B171,'DRAFT 1'!$B:$B,0)),"")</f>
        <v/>
      </c>
      <c r="T171" s="116">
        <f>IFERROR(INDEX('DRAFT 1'!$P:$P,MATCH($B171,'DRAFT 1'!$B:$B,0)),"")</f>
        <v/>
      </c>
      <c r="U171" s="116">
        <f>IFERROR(INDEX('DRAFT 1'!$Q:$Q,MATCH($B171,'DRAFT 1'!$B:$B,0)),"")</f>
        <v/>
      </c>
      <c r="V171" s="116">
        <f>IFERROR(INDEX('DRAFT 1'!$R:$R,MATCH($B171,'DRAFT 1'!$B:$B,0)),"")</f>
        <v/>
      </c>
      <c r="W171" s="116">
        <f>IFERROR(INDEX('DRAFT 1'!$S:$S,MATCH($B171,'DRAFT 1'!$B:$B,0)),"")</f>
        <v/>
      </c>
      <c r="X171" s="116">
        <f>IFERROR(INDEX('DRAFT 1'!$T:$T,MATCH($B171,'DRAFT 1'!$B:$B,0)),"")</f>
        <v/>
      </c>
      <c r="Z171" s="116">
        <f>IFERROR(INDEX('DRAFT 1'!$U:$U,MATCH($B171,'DRAFT 1'!$B:$B,0)),"")</f>
        <v/>
      </c>
      <c r="AA171" s="116">
        <f>IFERROR(INDEX('DRAFT 1'!$V:$V,MATCH($B171,'DRAFT 1'!$B:$B,0)),"")</f>
        <v/>
      </c>
      <c r="AB171" s="116">
        <f>IFERROR(INDEX('DRAFT 1'!$W:$W,MATCH($B171,'DRAFT 1'!$B:$B,0)),"")</f>
        <v/>
      </c>
      <c r="AC171" s="116">
        <f>IFERROR(INDEX('DRAFT 1'!$X:$X,MATCH($B171,'DRAFT 1'!$B:$B,0)),"")</f>
        <v/>
      </c>
      <c r="AD171" s="116">
        <f>IFERROR(INDEX('DRAFT 1'!$Y:$Y,MATCH($B171,'DRAFT 1'!$B:$B,0)),"")</f>
        <v/>
      </c>
      <c r="AE171" s="116">
        <f>IFERROR(INDEX('DRAFT 1'!$Z:$Z,MATCH($B171,'DRAFT 1'!$B:$B,0)),"")</f>
        <v/>
      </c>
      <c r="AF171" s="116">
        <f>IFERROR(INDEX('DRAFT 1'!$AA:$AA,MATCH($B171,'DRAFT 1'!$B:$B,0)),"")</f>
        <v/>
      </c>
      <c r="AG171" s="116">
        <f>IFERROR(INDEX('DRAFT 1'!$AB:$AB,MATCH($B171,'DRAFT 1'!$B:$B,0)),"")</f>
        <v/>
      </c>
      <c r="AH171" s="116">
        <f>IFERROR(INDEX('DRAFT 1'!$AC:$AC,MATCH($B171,'DRAFT 1'!$B:$B,0)),"")</f>
        <v/>
      </c>
      <c r="AI171" s="116">
        <f>IFERROR(INDEX('DRAFT 1'!$AD:$AD,MATCH($B171,'DRAFT 1'!$B:$B,0)),"")</f>
        <v/>
      </c>
      <c r="AJ171" s="116">
        <f>IFERROR(INDEX('DRAFT 1'!$AE:$AE,MATCH($B171,'DRAFT 1'!$B:$B,0)),"")</f>
        <v/>
      </c>
      <c r="AK171" s="116">
        <f>IFERROR(INDEX('DRAFT 1'!$AG:$AG,MATCH($B171,'DRAFT 1'!$B:$B,0)),"")</f>
        <v/>
      </c>
      <c r="AL171" s="116">
        <f>IFERROR(INDEX('DRAFT 1'!$AH:$AH,MATCH($B171,'DRAFT 1'!$B:$B,0)),"")</f>
        <v/>
      </c>
      <c r="AM171" s="116">
        <f>IFERROR(INDEX('DRAFT 1'!$AI:$AI,MATCH($B171,'DRAFT 1'!$B:$B,0)),"")</f>
        <v/>
      </c>
      <c r="AN171" s="116">
        <f>IFERROR(INDEX('DRAFT 1'!$AJ:$AJ,MATCH($B171,'DRAFT 1'!$B:$B,0)),"")</f>
        <v/>
      </c>
      <c r="AO171" s="116">
        <f>IFERROR(Y171/AN171,0)</f>
        <v/>
      </c>
      <c r="AP171" s="116">
        <f>IFERROR(INDEX('DRAFT 1'!$AK:$AK,MATCH($B171,'DRAFT 1'!$B:$B,0)),"")</f>
        <v/>
      </c>
      <c r="AR171" s="116">
        <f>IFERROR(LOOKUP(2,1/('DRAFT 2'!$D:$D=$B171),'DRAFT 2'!$I:$I),"")</f>
        <v/>
      </c>
      <c r="AS171" s="116">
        <f>IFERROR(LOOKUP(2,1/('DRAFT 2'!$D:$D=$B171),'DRAFT 2'!$T:$T),"")</f>
        <v/>
      </c>
      <c r="AT171" s="116">
        <f>IFERROR(LOOKUP(2,1/('DRAFT 2'!$D:$D=$B171),'DRAFT 2'!$A:$A),"")</f>
        <v/>
      </c>
      <c r="AU171" s="116">
        <f>IFERROR(LOOKUP(2,1/('DRAFT 2'!$D:$D=$B171),'DRAFT 2'!$R:$R),"")</f>
        <v/>
      </c>
      <c r="AV171" s="116">
        <f>IFERROR(LOOKUP(2,1/('DRAFT 2'!$D:$D=$B171),'DRAFT 2'!$S:$S),"")</f>
        <v/>
      </c>
      <c r="AX171" s="116">
        <f>IFERROR(LOOKUP(2,1/('DRAFT 2'!$D:$D=$B171),'DRAFT 2'!$M:$M),"")</f>
        <v/>
      </c>
      <c r="AY171" s="116">
        <f>IFERROR(LOOKUP(2,1/('DRAFT 2'!$D:$D=$B171),'DRAFT 2'!$K:$K),"")</f>
        <v/>
      </c>
      <c r="BG171" s="116">
        <f>IFERROR(LOOKUP(2,1/('DRAFT 2'!$D:$D=$B171),'DRAFT 2'!$U:$U),"")</f>
        <v/>
      </c>
      <c r="BH171" s="116">
        <f>IFERROR(LOOKUP(2,1/('DRAFT 2'!$D:$D=$B171),'DRAFT 2'!$V:$V),"")</f>
        <v/>
      </c>
      <c r="CE171" s="116">
        <f>IFERROR(AJ171,0)</f>
        <v/>
      </c>
      <c r="CF171" s="116">
        <f>IFERROR(LOOKUP(2,1/('DRAFT 2'!$D:$D=$B171)*('DRAFT 2'!$A:$A&gt;=DATE(2026,1,1))*('DRAFT 2'!$A:$A&lt;DATE(2026,IF(1=12,1+1,1+1),1)),'DRAFT 2'!$A:$A),"")</f>
        <v/>
      </c>
      <c r="CG171" s="116">
        <f>COUNTIFS('DRAFT 2'!$D:$D,$B171,'DRAFT 2'!$A:$A,"&gt;="&amp;DATE(2026,1,1),'DRAFT 2'!$A:$A,"&lt;="&amp;DATE(2026,1,7))</f>
        <v/>
      </c>
      <c r="CH171" s="116">
        <f>COUNTIFS('DRAFT 2'!$D:$D,$B171,'DRAFT 2'!$A:$A,"&gt;="&amp;DATE(2026,1,8),'DRAFT 2'!$A:$A,"&lt;="&amp;DATE(2026,1,14))</f>
        <v/>
      </c>
      <c r="CI171" s="116">
        <f>COUNTIFS('DRAFT 2'!$D:$D,$B171,'DRAFT 2'!$A:$A,"&gt;="&amp;DATE(2026,1,15),'DRAFT 2'!$A:$A,"&lt;="&amp;DATE(2026,1,21))</f>
        <v/>
      </c>
      <c r="CJ171" s="116">
        <f>COUNTIFS('DRAFT 2'!$D:$D,$B171,'DRAFT 2'!$A:$A,"&gt;="&amp;DATE(2026,1,22),'DRAFT 2'!$A:$A,"&lt;"&amp;DATE(2026,IF(1=12,1+1,1+1),1))</f>
        <v/>
      </c>
      <c r="CK171" s="116">
        <f>SUM(CG171:CJ171)</f>
        <v/>
      </c>
      <c r="CT171" s="116" t="n">
        <v>0</v>
      </c>
      <c r="CU171" s="116">
        <f>IFERROR(LOOKUP(2,1/('DRAFT 2'!$D:$D=$B171)*('DRAFT 2'!$A:$A&gt;=DATE(2026,2,1))*('DRAFT 2'!$A:$A&lt;DATE(2026,IF(2=12,2+1,2+1),1)),'DRAFT 2'!$A:$A),"")</f>
        <v/>
      </c>
      <c r="CV171" s="116">
        <f>COUNTIFS('DRAFT 2'!$D:$D,$B171,'DRAFT 2'!$A:$A,"&gt;="&amp;DATE(2026,2,1),'DRAFT 2'!$A:$A,"&lt;="&amp;DATE(2026,2,7))</f>
        <v/>
      </c>
      <c r="CW171" s="116">
        <f>COUNTIFS('DRAFT 2'!$D:$D,$B171,'DRAFT 2'!$A:$A,"&gt;="&amp;DATE(2026,2,8),'DRAFT 2'!$A:$A,"&lt;="&amp;DATE(2026,2,14))</f>
        <v/>
      </c>
      <c r="CX171" s="116">
        <f>COUNTIFS('DRAFT 2'!$D:$D,$B171,'DRAFT 2'!$A:$A,"&gt;="&amp;DATE(2026,2,15),'DRAFT 2'!$A:$A,"&lt;="&amp;DATE(2026,2,21))</f>
        <v/>
      </c>
      <c r="CY171" s="116">
        <f>COUNTIFS('DRAFT 2'!$D:$D,$B171,'DRAFT 2'!$A:$A,"&gt;="&amp;DATE(2026,2,22),'DRAFT 2'!$A:$A,"&lt;"&amp;DATE(2026,IF(2=12,2+1,2+1),1))</f>
        <v/>
      </c>
      <c r="CZ171" s="116">
        <f>SUM(CV171:CY171)</f>
        <v/>
      </c>
      <c r="DJ171" s="116">
        <f>IFERROR(LOOKUP(2,1/('DRAFT 2'!$D:$D=$B171)*('DRAFT 2'!$A:$A&gt;=DATE(2026,3,1))*('DRAFT 2'!$A:$A&lt;DATE(2026,IF(3=12,3+1,3+1),1)),'DRAFT 2'!$A:$A),"")</f>
        <v/>
      </c>
      <c r="DK171" s="116">
        <f>COUNTIFS('DRAFT 2'!$D:$D,$B171,'DRAFT 2'!$A:$A,"&gt;="&amp;DATE(2026,3,1),'DRAFT 2'!$A:$A,"&lt;="&amp;DATE(2026,3,7))</f>
        <v/>
      </c>
      <c r="DL171" s="116">
        <f>COUNTIFS('DRAFT 2'!$D:$D,$B171,'DRAFT 2'!$A:$A,"&gt;="&amp;DATE(2026,3,8),'DRAFT 2'!$A:$A,"&lt;="&amp;DATE(2026,3,14))</f>
        <v/>
      </c>
      <c r="DM171" s="116">
        <f>COUNTIFS('DRAFT 2'!$D:$D,$B171,'DRAFT 2'!$A:$A,"&gt;="&amp;DATE(2026,3,15),'DRAFT 2'!$A:$A,"&lt;="&amp;DATE(2026,3,21))</f>
        <v/>
      </c>
      <c r="DN171" s="116">
        <f>COUNTIFS('DRAFT 2'!$D:$D,$B171,'DRAFT 2'!$A:$A,"&gt;="&amp;DATE(2026,3,22),'DRAFT 2'!$A:$A,"&lt;"&amp;DATE(2026,IF(3=12,3+1,3+1),1))</f>
        <v/>
      </c>
      <c r="DO171" s="116">
        <f>SUM(DK171:DN171)</f>
        <v/>
      </c>
      <c r="DZ171" s="116">
        <f>IFERROR(LOOKUP(2,1/('DRAFT 2'!$D:$D=$B171)*('DRAFT 2'!$A:$A&gt;=DATE(2026,4,1))*('DRAFT 2'!$A:$A&lt;DATE(2026,IF(4=12,4+1,4+1),1)),'DRAFT 2'!$A:$A),"")</f>
        <v/>
      </c>
      <c r="EA171" s="116">
        <f>COUNTIFS('DRAFT 2'!$D:$D,$B171,'DRAFT 2'!$A:$A,"&gt;="&amp;DATE(2026,4,1),'DRAFT 2'!$A:$A,"&lt;="&amp;DATE(2026,4,7))</f>
        <v/>
      </c>
      <c r="EB171" s="116">
        <f>COUNTIFS('DRAFT 2'!$D:$D,$B171,'DRAFT 2'!$A:$A,"&gt;="&amp;DATE(2026,4,8),'DRAFT 2'!$A:$A,"&lt;="&amp;DATE(2026,4,14))</f>
        <v/>
      </c>
      <c r="EC171" s="116">
        <f>COUNTIFS('DRAFT 2'!$D:$D,$B171,'DRAFT 2'!$A:$A,"&gt;="&amp;DATE(2026,4,15),'DRAFT 2'!$A:$A,"&lt;="&amp;DATE(2026,4,21))</f>
        <v/>
      </c>
      <c r="ED171" s="116">
        <f>COUNTIFS('DRAFT 2'!$D:$D,$B171,'DRAFT 2'!$A:$A,"&gt;="&amp;DATE(2026,4,22),'DRAFT 2'!$A:$A,"&lt;"&amp;DATE(2026,IF(4=12,4+1,4+1),1))</f>
        <v/>
      </c>
      <c r="EE171" s="116">
        <f>SUM(EA171:ED171)</f>
        <v/>
      </c>
      <c r="EO171" s="116">
        <f>IFERROR(LOOKUP(2,1/('DRAFT 2'!$D:$D=$B171)*('DRAFT 2'!$A:$A&gt;=DATE(2026,5,1))*('DRAFT 2'!$A:$A&lt;DATE(2026,IF(5=12,5+1,5+1),1)),'DRAFT 2'!$A:$A),"")</f>
        <v/>
      </c>
      <c r="EP171" s="116">
        <f>COUNTIFS('DRAFT 2'!$D:$D,$B171,'DRAFT 2'!$A:$A,"&gt;="&amp;DATE(2026,5,1),'DRAFT 2'!$A:$A,"&lt;="&amp;DATE(2026,5,7))</f>
        <v/>
      </c>
      <c r="EQ171" s="116">
        <f>COUNTIFS('DRAFT 2'!$D:$D,$B171,'DRAFT 2'!$A:$A,"&gt;="&amp;DATE(2026,5,8),'DRAFT 2'!$A:$A,"&lt;="&amp;DATE(2026,5,14))</f>
        <v/>
      </c>
      <c r="ER171" s="116">
        <f>COUNTIFS('DRAFT 2'!$D:$D,$B171,'DRAFT 2'!$A:$A,"&gt;="&amp;DATE(2026,5,15),'DRAFT 2'!$A:$A,"&lt;="&amp;DATE(2026,5,21))</f>
        <v/>
      </c>
      <c r="ES171" s="116">
        <f>COUNTIFS('DRAFT 2'!$D:$D,$B171,'DRAFT 2'!$A:$A,"&gt;="&amp;DATE(2026,5,22),'DRAFT 2'!$A:$A,"&lt;"&amp;DATE(2026,IF(5=12,5+1,5+1),1))</f>
        <v/>
      </c>
      <c r="ET171" s="116">
        <f>SUM(EP171:ES171)</f>
        <v/>
      </c>
      <c r="FD171" s="116">
        <f>IFERROR(LOOKUP(2,1/('DRAFT 2'!$D:$D=$B171)*('DRAFT 2'!$A:$A&gt;=DATE(2026,6,1))*('DRAFT 2'!$A:$A&lt;DATE(2026,IF(6=12,6+1,6+1),1)),'DRAFT 2'!$A:$A),"")</f>
        <v/>
      </c>
      <c r="FE171" s="116">
        <f>COUNTIFS('DRAFT 2'!$D:$D,$B171,'DRAFT 2'!$A:$A,"&gt;="&amp;DATE(2026,6,1),'DRAFT 2'!$A:$A,"&lt;="&amp;DATE(2026,6,7))</f>
        <v/>
      </c>
      <c r="FF171" s="116">
        <f>COUNTIFS('DRAFT 2'!$D:$D,$B171,'DRAFT 2'!$A:$A,"&gt;="&amp;DATE(2026,6,8),'DRAFT 2'!$A:$A,"&lt;="&amp;DATE(2026,6,14))</f>
        <v/>
      </c>
      <c r="FG171" s="116">
        <f>COUNTIFS('DRAFT 2'!$D:$D,$B171,'DRAFT 2'!$A:$A,"&gt;="&amp;DATE(2026,6,15),'DRAFT 2'!$A:$A,"&lt;="&amp;DATE(2026,6,21))</f>
        <v/>
      </c>
      <c r="FH171" s="116">
        <f>COUNTIFS('DRAFT 2'!$D:$D,$B171,'DRAFT 2'!$A:$A,"&gt;="&amp;DATE(2026,6,22),'DRAFT 2'!$A:$A,"&lt;"&amp;DATE(2026,IF(6=12,6+1,6+1),1))</f>
        <v/>
      </c>
      <c r="FI171" s="116">
        <f>SUM(FE171:FH171)</f>
        <v/>
      </c>
      <c r="FT171" s="116">
        <f>IFERROR(LOOKUP(2,1/('DRAFT 2'!$D:$D=$B171)*('DRAFT 2'!$A:$A&gt;=DATE(2026,7,1))*('DRAFT 2'!$A:$A&lt;DATE(2026,IF(7=12,7+1,7+1),1)),'DRAFT 2'!$A:$A),"")</f>
        <v/>
      </c>
      <c r="FU171" s="116">
        <f>COUNTIFS('DRAFT 2'!$D:$D,$B171,'DRAFT 2'!$A:$A,"&gt;="&amp;DATE(2026,7,1),'DRAFT 2'!$A:$A,"&lt;="&amp;DATE(2026,7,7))</f>
        <v/>
      </c>
      <c r="FV171" s="116">
        <f>COUNTIFS('DRAFT 2'!$D:$D,$B171,'DRAFT 2'!$A:$A,"&gt;="&amp;DATE(2026,7,8),'DRAFT 2'!$A:$A,"&lt;="&amp;DATE(2026,7,14))</f>
        <v/>
      </c>
      <c r="FW171" s="116">
        <f>COUNTIFS('DRAFT 2'!$D:$D,$B171,'DRAFT 2'!$A:$A,"&gt;="&amp;DATE(2026,7,15),'DRAFT 2'!$A:$A,"&lt;="&amp;DATE(2026,7,21))</f>
        <v/>
      </c>
      <c r="FX171" s="116">
        <f>COUNTIFS('DRAFT 2'!$D:$D,$B171,'DRAFT 2'!$A:$A,"&gt;="&amp;DATE(2026,7,22),'DRAFT 2'!$A:$A,"&lt;"&amp;DATE(2026,IF(7=12,7+1,7+1),1))</f>
        <v/>
      </c>
      <c r="FY171" s="116">
        <f>SUM(FU171:FX171)</f>
        <v/>
      </c>
      <c r="GI171" s="116">
        <f>IFERROR(LOOKUP(2,1/('DRAFT 2'!$D:$D=$B171)*('DRAFT 2'!$A:$A&gt;=DATE(2026,8,1))*('DRAFT 2'!$A:$A&lt;DATE(2026,IF(8=12,8+1,8+1),1)),'DRAFT 2'!$A:$A),"")</f>
        <v/>
      </c>
      <c r="GJ171" s="116">
        <f>COUNTIFS('DRAFT 2'!$D:$D,$B171,'DRAFT 2'!$A:$A,"&gt;="&amp;DATE(2026,8,1),'DRAFT 2'!$A:$A,"&lt;="&amp;DATE(2026,8,7))</f>
        <v/>
      </c>
      <c r="GK171" s="116">
        <f>COUNTIFS('DRAFT 2'!$D:$D,$B171,'DRAFT 2'!$A:$A,"&gt;="&amp;DATE(2026,8,8),'DRAFT 2'!$A:$A,"&lt;="&amp;DATE(2026,8,14))</f>
        <v/>
      </c>
      <c r="GL171" s="116">
        <f>COUNTIFS('DRAFT 2'!$D:$D,$B171,'DRAFT 2'!$A:$A,"&gt;="&amp;DATE(2026,8,15),'DRAFT 2'!$A:$A,"&lt;="&amp;DATE(2026,8,21))</f>
        <v/>
      </c>
      <c r="GM171" s="116">
        <f>COUNTIFS('DRAFT 2'!$D:$D,$B171,'DRAFT 2'!$A:$A,"&gt;="&amp;DATE(2026,8,22),'DRAFT 2'!$A:$A,"&lt;"&amp;DATE(2026,IF(8=12,8+1,8+1),1))</f>
        <v/>
      </c>
      <c r="GN171" s="116">
        <f>SUM(GJ171:GM171)</f>
        <v/>
      </c>
      <c r="GX171" s="116">
        <f>IFERROR(LOOKUP(2,1/('DRAFT 2'!$D:$D=$B171)*('DRAFT 2'!$A:$A&gt;=DATE(2026,9,1))*('DRAFT 2'!$A:$A&lt;DATE(2026,IF(9=12,9+1,9+1),1)),'DRAFT 2'!$A:$A),"")</f>
        <v/>
      </c>
      <c r="GY171" s="116">
        <f>COUNTIFS('DRAFT 2'!$D:$D,$B171,'DRAFT 2'!$A:$A,"&gt;="&amp;DATE(2026,9,1),'DRAFT 2'!$A:$A,"&lt;="&amp;DATE(2026,9,7))</f>
        <v/>
      </c>
      <c r="GZ171" s="116">
        <f>COUNTIFS('DRAFT 2'!$D:$D,$B171,'DRAFT 2'!$A:$A,"&gt;="&amp;DATE(2026,9,8),'DRAFT 2'!$A:$A,"&lt;="&amp;DATE(2026,9,14))</f>
        <v/>
      </c>
      <c r="HA171" s="116">
        <f>COUNTIFS('DRAFT 2'!$D:$D,$B171,'DRAFT 2'!$A:$A,"&gt;="&amp;DATE(2026,9,15),'DRAFT 2'!$A:$A,"&lt;="&amp;DATE(2026,9,21))</f>
        <v/>
      </c>
      <c r="HB171" s="116">
        <f>COUNTIFS('DRAFT 2'!$D:$D,$B171,'DRAFT 2'!$A:$A,"&gt;="&amp;DATE(2026,9,22),'DRAFT 2'!$A:$A,"&lt;"&amp;DATE(2026,IF(9=12,9+1,9+1),1))</f>
        <v/>
      </c>
      <c r="HC171" s="116">
        <f>SUM(GY171:HB171)</f>
        <v/>
      </c>
      <c r="HN171" s="116">
        <f>IFERROR(LOOKUP(2,1/('DRAFT 2'!$D:$D=$B171)*('DRAFT 2'!$A:$A&gt;=DATE(2026,10,1))*('DRAFT 2'!$A:$A&lt;DATE(2026,IF(10=12,10+1,10+1),1)),'DRAFT 2'!$A:$A),"")</f>
        <v/>
      </c>
      <c r="HO171" s="116">
        <f>COUNTIFS('DRAFT 2'!$D:$D,$B171,'DRAFT 2'!$A:$A,"&gt;="&amp;DATE(2026,10,1),'DRAFT 2'!$A:$A,"&lt;="&amp;DATE(2026,10,7))</f>
        <v/>
      </c>
      <c r="HP171" s="116">
        <f>COUNTIFS('DRAFT 2'!$D:$D,$B171,'DRAFT 2'!$A:$A,"&gt;="&amp;DATE(2026,10,8),'DRAFT 2'!$A:$A,"&lt;="&amp;DATE(2026,10,14))</f>
        <v/>
      </c>
      <c r="HQ171" s="116">
        <f>COUNTIFS('DRAFT 2'!$D:$D,$B171,'DRAFT 2'!$A:$A,"&gt;="&amp;DATE(2026,10,15),'DRAFT 2'!$A:$A,"&lt;="&amp;DATE(2026,10,21))</f>
        <v/>
      </c>
      <c r="HR171" s="116">
        <f>COUNTIFS('DRAFT 2'!$D:$D,$B171,'DRAFT 2'!$A:$A,"&gt;="&amp;DATE(2026,10,22),'DRAFT 2'!$A:$A,"&lt;"&amp;DATE(2026,IF(10=12,10+1,10+1),1))</f>
        <v/>
      </c>
      <c r="HS171" s="116">
        <f>SUM(HO171:HR171)</f>
        <v/>
      </c>
      <c r="IC171" s="116">
        <f>IFERROR(LOOKUP(2,1/('DRAFT 2'!$D:$D=$B171)*('DRAFT 2'!$A:$A&gt;=DATE(2026,11,1))*('DRAFT 2'!$A:$A&lt;DATE(2026,IF(11=12,11+1,11+1),1)),'DRAFT 2'!$A:$A),"")</f>
        <v/>
      </c>
      <c r="ID171" s="116">
        <f>COUNTIFS('DRAFT 2'!$D:$D,$B171,'DRAFT 2'!$A:$A,"&gt;="&amp;DATE(2026,11,1),'DRAFT 2'!$A:$A,"&lt;="&amp;DATE(2026,11,7))</f>
        <v/>
      </c>
      <c r="IE171" s="116">
        <f>COUNTIFS('DRAFT 2'!$D:$D,$B171,'DRAFT 2'!$A:$A,"&gt;="&amp;DATE(2026,11,8),'DRAFT 2'!$A:$A,"&lt;="&amp;DATE(2026,11,14))</f>
        <v/>
      </c>
      <c r="IF171" s="116">
        <f>COUNTIFS('DRAFT 2'!$D:$D,$B171,'DRAFT 2'!$A:$A,"&gt;="&amp;DATE(2026,11,15),'DRAFT 2'!$A:$A,"&lt;="&amp;DATE(2026,11,21))</f>
        <v/>
      </c>
      <c r="IG171" s="116">
        <f>COUNTIFS('DRAFT 2'!$D:$D,$B171,'DRAFT 2'!$A:$A,"&gt;="&amp;DATE(2026,11,22),'DRAFT 2'!$A:$A,"&lt;"&amp;DATE(2026,IF(11=12,11+1,11+1),1))</f>
        <v/>
      </c>
      <c r="IH171" s="116">
        <f>SUM(ID171:IG171)</f>
        <v/>
      </c>
      <c r="IR171" s="116">
        <f>IFERROR(LOOKUP(2,1/('DRAFT 2'!$D:$D=$B171)*('DRAFT 2'!$A:$A&gt;=DATE(2026,12,1))*('DRAFT 2'!$A:$A&lt;DATE(2026,IF(12=12,12+1,12+1),1)),'DRAFT 2'!$A:$A),"")</f>
        <v/>
      </c>
      <c r="IS171" s="116">
        <f>COUNTIFS('DRAFT 2'!$D:$D,$B171,'DRAFT 2'!$A:$A,"&gt;="&amp;DATE(2026,12,1),'DRAFT 2'!$A:$A,"&lt;="&amp;DATE(2026,12,7))</f>
        <v/>
      </c>
      <c r="IT171" s="116">
        <f>COUNTIFS('DRAFT 2'!$D:$D,$B171,'DRAFT 2'!$A:$A,"&gt;="&amp;DATE(2026,12,8),'DRAFT 2'!$A:$A,"&lt;="&amp;DATE(2026,12,14))</f>
        <v/>
      </c>
      <c r="IU171" s="116">
        <f>COUNTIFS('DRAFT 2'!$D:$D,$B171,'DRAFT 2'!$A:$A,"&gt;="&amp;DATE(2026,12,15),'DRAFT 2'!$A:$A,"&lt;="&amp;DATE(2026,12,21))</f>
        <v/>
      </c>
      <c r="IV171" s="116">
        <f>COUNTIFS('DRAFT 2'!$D:$D,$B171,'DRAFT 2'!$A:$A,"&gt;="&amp;DATE(2026,12,22),'DRAFT 2'!$A:$A,"&lt;"&amp;DATE(2026,IF(12=12,12+1,12+1),1))</f>
        <v/>
      </c>
      <c r="IW171" s="116">
        <f>SUM(IS171:IV171)</f>
        <v/>
      </c>
    </row>
    <row r="172">
      <c r="A172" s="116">
        <f>IFERROR(INDEX('DRAFT 1'!$A:$A,MATCH($B172,'DRAFT 1'!$B:$B,0)),"")</f>
        <v/>
      </c>
      <c r="C172" s="116">
        <f>IFERROR(INDEX('DRAFT 1'!$C:$C,MATCH($B172,'DRAFT 1'!$B:$B,0)),"")</f>
        <v/>
      </c>
      <c r="D172" s="116">
        <f>IFERROR(INDEX('DRAFT 1'!$D:$D,MATCH($B172,'DRAFT 1'!$B:$B,0)),"")</f>
        <v/>
      </c>
      <c r="E172" s="116">
        <f>IFERROR(INDEX('DRAFT 1'!$E:$E,MATCH($B172,'DRAFT 1'!$B:$B,0)),"")</f>
        <v/>
      </c>
      <c r="F172" s="116">
        <f>IFERROR(INDEX('DRAFT 1'!$F:$F,MATCH($B172,'DRAFT 1'!$B:$B,0)),"")</f>
        <v/>
      </c>
      <c r="G172" s="116">
        <f>IFERROR(INDEX('DRAFT 1'!$G:$G,MATCH($B172,'DRAFT 1'!$B:$B,0)),"")</f>
        <v/>
      </c>
      <c r="H172" s="116">
        <f>IFERROR(INDEX('DRAFT 1'!$H:$H,MATCH($B172,'DRAFT 1'!$B:$B,0)),"")</f>
        <v/>
      </c>
      <c r="I172" s="116">
        <f>IFERROR(INDEX('DRAFT 1'!$I:$I,MATCH($B172,'DRAFT 1'!$B:$B,0)),"")</f>
        <v/>
      </c>
      <c r="K172" s="116">
        <f>IFERROR(INDEX('DRAFT 1'!$AL:$AL,MATCH($B172,'DRAFT 1'!$B:$B,0)),"")</f>
        <v/>
      </c>
      <c r="L172" s="116">
        <f>IFERROR(INDEX('DRAFT 1'!$J:$J,MATCH($B172,'DRAFT 1'!$B:$B,0)),"")</f>
        <v/>
      </c>
      <c r="M172" s="116">
        <f>IFERROR(INDEX('DRAFT 1'!$K:$K,MATCH($B172,'DRAFT 1'!$B:$B,0)),"")</f>
        <v/>
      </c>
      <c r="P172" s="116">
        <f>IFERROR(INDEX('DRAFT 1'!$L:$L,MATCH($B172,'DRAFT 1'!$B:$B,0)),"")</f>
        <v/>
      </c>
      <c r="Q172" s="116">
        <f>IFERROR(INDEX('DRAFT 1'!$M:$M,MATCH($B172,'DRAFT 1'!$B:$B,0)),"")</f>
        <v/>
      </c>
      <c r="R172" s="116">
        <f>IFERROR(INDEX('DRAFT 1'!$N:$N,MATCH($B172,'DRAFT 1'!$B:$B,0)),"")</f>
        <v/>
      </c>
      <c r="S172" s="116">
        <f>IFERROR(INDEX('DRAFT 1'!$O:$O,MATCH($B172,'DRAFT 1'!$B:$B,0)),"")</f>
        <v/>
      </c>
      <c r="T172" s="116">
        <f>IFERROR(INDEX('DRAFT 1'!$P:$P,MATCH($B172,'DRAFT 1'!$B:$B,0)),"")</f>
        <v/>
      </c>
      <c r="U172" s="116">
        <f>IFERROR(INDEX('DRAFT 1'!$Q:$Q,MATCH($B172,'DRAFT 1'!$B:$B,0)),"")</f>
        <v/>
      </c>
      <c r="V172" s="116">
        <f>IFERROR(INDEX('DRAFT 1'!$R:$R,MATCH($B172,'DRAFT 1'!$B:$B,0)),"")</f>
        <v/>
      </c>
      <c r="W172" s="116">
        <f>IFERROR(INDEX('DRAFT 1'!$S:$S,MATCH($B172,'DRAFT 1'!$B:$B,0)),"")</f>
        <v/>
      </c>
      <c r="X172" s="116">
        <f>IFERROR(INDEX('DRAFT 1'!$T:$T,MATCH($B172,'DRAFT 1'!$B:$B,0)),"")</f>
        <v/>
      </c>
      <c r="Z172" s="116">
        <f>IFERROR(INDEX('DRAFT 1'!$U:$U,MATCH($B172,'DRAFT 1'!$B:$B,0)),"")</f>
        <v/>
      </c>
      <c r="AA172" s="116">
        <f>IFERROR(INDEX('DRAFT 1'!$V:$V,MATCH($B172,'DRAFT 1'!$B:$B,0)),"")</f>
        <v/>
      </c>
      <c r="AB172" s="116">
        <f>IFERROR(INDEX('DRAFT 1'!$W:$W,MATCH($B172,'DRAFT 1'!$B:$B,0)),"")</f>
        <v/>
      </c>
      <c r="AC172" s="116">
        <f>IFERROR(INDEX('DRAFT 1'!$X:$X,MATCH($B172,'DRAFT 1'!$B:$B,0)),"")</f>
        <v/>
      </c>
      <c r="AD172" s="116">
        <f>IFERROR(INDEX('DRAFT 1'!$Y:$Y,MATCH($B172,'DRAFT 1'!$B:$B,0)),"")</f>
        <v/>
      </c>
      <c r="AE172" s="116">
        <f>IFERROR(INDEX('DRAFT 1'!$Z:$Z,MATCH($B172,'DRAFT 1'!$B:$B,0)),"")</f>
        <v/>
      </c>
      <c r="AF172" s="116">
        <f>IFERROR(INDEX('DRAFT 1'!$AA:$AA,MATCH($B172,'DRAFT 1'!$B:$B,0)),"")</f>
        <v/>
      </c>
      <c r="AG172" s="116">
        <f>IFERROR(INDEX('DRAFT 1'!$AB:$AB,MATCH($B172,'DRAFT 1'!$B:$B,0)),"")</f>
        <v/>
      </c>
      <c r="AH172" s="116">
        <f>IFERROR(INDEX('DRAFT 1'!$AC:$AC,MATCH($B172,'DRAFT 1'!$B:$B,0)),"")</f>
        <v/>
      </c>
      <c r="AI172" s="116">
        <f>IFERROR(INDEX('DRAFT 1'!$AD:$AD,MATCH($B172,'DRAFT 1'!$B:$B,0)),"")</f>
        <v/>
      </c>
      <c r="AJ172" s="116">
        <f>IFERROR(INDEX('DRAFT 1'!$AE:$AE,MATCH($B172,'DRAFT 1'!$B:$B,0)),"")</f>
        <v/>
      </c>
      <c r="AK172" s="116">
        <f>IFERROR(INDEX('DRAFT 1'!$AG:$AG,MATCH($B172,'DRAFT 1'!$B:$B,0)),"")</f>
        <v/>
      </c>
      <c r="AL172" s="116">
        <f>IFERROR(INDEX('DRAFT 1'!$AH:$AH,MATCH($B172,'DRAFT 1'!$B:$B,0)),"")</f>
        <v/>
      </c>
      <c r="AM172" s="116">
        <f>IFERROR(INDEX('DRAFT 1'!$AI:$AI,MATCH($B172,'DRAFT 1'!$B:$B,0)),"")</f>
        <v/>
      </c>
      <c r="AN172" s="116">
        <f>IFERROR(INDEX('DRAFT 1'!$AJ:$AJ,MATCH($B172,'DRAFT 1'!$B:$B,0)),"")</f>
        <v/>
      </c>
      <c r="AO172" s="116">
        <f>IFERROR(Y172/AN172,0)</f>
        <v/>
      </c>
      <c r="AP172" s="116">
        <f>IFERROR(INDEX('DRAFT 1'!$AK:$AK,MATCH($B172,'DRAFT 1'!$B:$B,0)),"")</f>
        <v/>
      </c>
      <c r="AR172" s="116">
        <f>IFERROR(LOOKUP(2,1/('DRAFT 2'!$D:$D=$B172),'DRAFT 2'!$I:$I),"")</f>
        <v/>
      </c>
      <c r="AS172" s="116">
        <f>IFERROR(LOOKUP(2,1/('DRAFT 2'!$D:$D=$B172),'DRAFT 2'!$T:$T),"")</f>
        <v/>
      </c>
      <c r="AT172" s="116">
        <f>IFERROR(LOOKUP(2,1/('DRAFT 2'!$D:$D=$B172),'DRAFT 2'!$A:$A),"")</f>
        <v/>
      </c>
      <c r="AU172" s="116">
        <f>IFERROR(LOOKUP(2,1/('DRAFT 2'!$D:$D=$B172),'DRAFT 2'!$R:$R),"")</f>
        <v/>
      </c>
      <c r="AV172" s="116">
        <f>IFERROR(LOOKUP(2,1/('DRAFT 2'!$D:$D=$B172),'DRAFT 2'!$S:$S),"")</f>
        <v/>
      </c>
      <c r="AX172" s="116">
        <f>IFERROR(LOOKUP(2,1/('DRAFT 2'!$D:$D=$B172),'DRAFT 2'!$M:$M),"")</f>
        <v/>
      </c>
      <c r="AY172" s="116">
        <f>IFERROR(LOOKUP(2,1/('DRAFT 2'!$D:$D=$B172),'DRAFT 2'!$K:$K),"")</f>
        <v/>
      </c>
      <c r="BG172" s="116">
        <f>IFERROR(LOOKUP(2,1/('DRAFT 2'!$D:$D=$B172),'DRAFT 2'!$U:$U),"")</f>
        <v/>
      </c>
      <c r="BH172" s="116">
        <f>IFERROR(LOOKUP(2,1/('DRAFT 2'!$D:$D=$B172),'DRAFT 2'!$V:$V),"")</f>
        <v/>
      </c>
      <c r="CE172" s="116">
        <f>IFERROR(AJ172,0)</f>
        <v/>
      </c>
      <c r="CF172" s="116">
        <f>IFERROR(LOOKUP(2,1/('DRAFT 2'!$D:$D=$B172)*('DRAFT 2'!$A:$A&gt;=DATE(2026,1,1))*('DRAFT 2'!$A:$A&lt;DATE(2026,IF(1=12,1+1,1+1),1)),'DRAFT 2'!$A:$A),"")</f>
        <v/>
      </c>
      <c r="CG172" s="116">
        <f>COUNTIFS('DRAFT 2'!$D:$D,$B172,'DRAFT 2'!$A:$A,"&gt;="&amp;DATE(2026,1,1),'DRAFT 2'!$A:$A,"&lt;="&amp;DATE(2026,1,7))</f>
        <v/>
      </c>
      <c r="CH172" s="116">
        <f>COUNTIFS('DRAFT 2'!$D:$D,$B172,'DRAFT 2'!$A:$A,"&gt;="&amp;DATE(2026,1,8),'DRAFT 2'!$A:$A,"&lt;="&amp;DATE(2026,1,14))</f>
        <v/>
      </c>
      <c r="CI172" s="116">
        <f>COUNTIFS('DRAFT 2'!$D:$D,$B172,'DRAFT 2'!$A:$A,"&gt;="&amp;DATE(2026,1,15),'DRAFT 2'!$A:$A,"&lt;="&amp;DATE(2026,1,21))</f>
        <v/>
      </c>
      <c r="CJ172" s="116">
        <f>COUNTIFS('DRAFT 2'!$D:$D,$B172,'DRAFT 2'!$A:$A,"&gt;="&amp;DATE(2026,1,22),'DRAFT 2'!$A:$A,"&lt;"&amp;DATE(2026,IF(1=12,1+1,1+1),1))</f>
        <v/>
      </c>
      <c r="CK172" s="116">
        <f>SUM(CG172:CJ172)</f>
        <v/>
      </c>
      <c r="CT172" s="116" t="n">
        <v>0</v>
      </c>
      <c r="CU172" s="116">
        <f>IFERROR(LOOKUP(2,1/('DRAFT 2'!$D:$D=$B172)*('DRAFT 2'!$A:$A&gt;=DATE(2026,2,1))*('DRAFT 2'!$A:$A&lt;DATE(2026,IF(2=12,2+1,2+1),1)),'DRAFT 2'!$A:$A),"")</f>
        <v/>
      </c>
      <c r="CV172" s="116">
        <f>COUNTIFS('DRAFT 2'!$D:$D,$B172,'DRAFT 2'!$A:$A,"&gt;="&amp;DATE(2026,2,1),'DRAFT 2'!$A:$A,"&lt;="&amp;DATE(2026,2,7))</f>
        <v/>
      </c>
      <c r="CW172" s="116">
        <f>COUNTIFS('DRAFT 2'!$D:$D,$B172,'DRAFT 2'!$A:$A,"&gt;="&amp;DATE(2026,2,8),'DRAFT 2'!$A:$A,"&lt;="&amp;DATE(2026,2,14))</f>
        <v/>
      </c>
      <c r="CX172" s="116">
        <f>COUNTIFS('DRAFT 2'!$D:$D,$B172,'DRAFT 2'!$A:$A,"&gt;="&amp;DATE(2026,2,15),'DRAFT 2'!$A:$A,"&lt;="&amp;DATE(2026,2,21))</f>
        <v/>
      </c>
      <c r="CY172" s="116">
        <f>COUNTIFS('DRAFT 2'!$D:$D,$B172,'DRAFT 2'!$A:$A,"&gt;="&amp;DATE(2026,2,22),'DRAFT 2'!$A:$A,"&lt;"&amp;DATE(2026,IF(2=12,2+1,2+1),1))</f>
        <v/>
      </c>
      <c r="CZ172" s="116">
        <f>SUM(CV172:CY172)</f>
        <v/>
      </c>
      <c r="DJ172" s="116">
        <f>IFERROR(LOOKUP(2,1/('DRAFT 2'!$D:$D=$B172)*('DRAFT 2'!$A:$A&gt;=DATE(2026,3,1))*('DRAFT 2'!$A:$A&lt;DATE(2026,IF(3=12,3+1,3+1),1)),'DRAFT 2'!$A:$A),"")</f>
        <v/>
      </c>
      <c r="DK172" s="116">
        <f>COUNTIFS('DRAFT 2'!$D:$D,$B172,'DRAFT 2'!$A:$A,"&gt;="&amp;DATE(2026,3,1),'DRAFT 2'!$A:$A,"&lt;="&amp;DATE(2026,3,7))</f>
        <v/>
      </c>
      <c r="DL172" s="116">
        <f>COUNTIFS('DRAFT 2'!$D:$D,$B172,'DRAFT 2'!$A:$A,"&gt;="&amp;DATE(2026,3,8),'DRAFT 2'!$A:$A,"&lt;="&amp;DATE(2026,3,14))</f>
        <v/>
      </c>
      <c r="DM172" s="116">
        <f>COUNTIFS('DRAFT 2'!$D:$D,$B172,'DRAFT 2'!$A:$A,"&gt;="&amp;DATE(2026,3,15),'DRAFT 2'!$A:$A,"&lt;="&amp;DATE(2026,3,21))</f>
        <v/>
      </c>
      <c r="DN172" s="116">
        <f>COUNTIFS('DRAFT 2'!$D:$D,$B172,'DRAFT 2'!$A:$A,"&gt;="&amp;DATE(2026,3,22),'DRAFT 2'!$A:$A,"&lt;"&amp;DATE(2026,IF(3=12,3+1,3+1),1))</f>
        <v/>
      </c>
      <c r="DO172" s="116">
        <f>SUM(DK172:DN172)</f>
        <v/>
      </c>
      <c r="DZ172" s="116">
        <f>IFERROR(LOOKUP(2,1/('DRAFT 2'!$D:$D=$B172)*('DRAFT 2'!$A:$A&gt;=DATE(2026,4,1))*('DRAFT 2'!$A:$A&lt;DATE(2026,IF(4=12,4+1,4+1),1)),'DRAFT 2'!$A:$A),"")</f>
        <v/>
      </c>
      <c r="EA172" s="116">
        <f>COUNTIFS('DRAFT 2'!$D:$D,$B172,'DRAFT 2'!$A:$A,"&gt;="&amp;DATE(2026,4,1),'DRAFT 2'!$A:$A,"&lt;="&amp;DATE(2026,4,7))</f>
        <v/>
      </c>
      <c r="EB172" s="116">
        <f>COUNTIFS('DRAFT 2'!$D:$D,$B172,'DRAFT 2'!$A:$A,"&gt;="&amp;DATE(2026,4,8),'DRAFT 2'!$A:$A,"&lt;="&amp;DATE(2026,4,14))</f>
        <v/>
      </c>
      <c r="EC172" s="116">
        <f>COUNTIFS('DRAFT 2'!$D:$D,$B172,'DRAFT 2'!$A:$A,"&gt;="&amp;DATE(2026,4,15),'DRAFT 2'!$A:$A,"&lt;="&amp;DATE(2026,4,21))</f>
        <v/>
      </c>
      <c r="ED172" s="116">
        <f>COUNTIFS('DRAFT 2'!$D:$D,$B172,'DRAFT 2'!$A:$A,"&gt;="&amp;DATE(2026,4,22),'DRAFT 2'!$A:$A,"&lt;"&amp;DATE(2026,IF(4=12,4+1,4+1),1))</f>
        <v/>
      </c>
      <c r="EE172" s="116">
        <f>SUM(EA172:ED172)</f>
        <v/>
      </c>
      <c r="EO172" s="116">
        <f>IFERROR(LOOKUP(2,1/('DRAFT 2'!$D:$D=$B172)*('DRAFT 2'!$A:$A&gt;=DATE(2026,5,1))*('DRAFT 2'!$A:$A&lt;DATE(2026,IF(5=12,5+1,5+1),1)),'DRAFT 2'!$A:$A),"")</f>
        <v/>
      </c>
      <c r="EP172" s="116">
        <f>COUNTIFS('DRAFT 2'!$D:$D,$B172,'DRAFT 2'!$A:$A,"&gt;="&amp;DATE(2026,5,1),'DRAFT 2'!$A:$A,"&lt;="&amp;DATE(2026,5,7))</f>
        <v/>
      </c>
      <c r="EQ172" s="116">
        <f>COUNTIFS('DRAFT 2'!$D:$D,$B172,'DRAFT 2'!$A:$A,"&gt;="&amp;DATE(2026,5,8),'DRAFT 2'!$A:$A,"&lt;="&amp;DATE(2026,5,14))</f>
        <v/>
      </c>
      <c r="ER172" s="116">
        <f>COUNTIFS('DRAFT 2'!$D:$D,$B172,'DRAFT 2'!$A:$A,"&gt;="&amp;DATE(2026,5,15),'DRAFT 2'!$A:$A,"&lt;="&amp;DATE(2026,5,21))</f>
        <v/>
      </c>
      <c r="ES172" s="116">
        <f>COUNTIFS('DRAFT 2'!$D:$D,$B172,'DRAFT 2'!$A:$A,"&gt;="&amp;DATE(2026,5,22),'DRAFT 2'!$A:$A,"&lt;"&amp;DATE(2026,IF(5=12,5+1,5+1),1))</f>
        <v/>
      </c>
      <c r="ET172" s="116">
        <f>SUM(EP172:ES172)</f>
        <v/>
      </c>
      <c r="FD172" s="116">
        <f>IFERROR(LOOKUP(2,1/('DRAFT 2'!$D:$D=$B172)*('DRAFT 2'!$A:$A&gt;=DATE(2026,6,1))*('DRAFT 2'!$A:$A&lt;DATE(2026,IF(6=12,6+1,6+1),1)),'DRAFT 2'!$A:$A),"")</f>
        <v/>
      </c>
      <c r="FE172" s="116">
        <f>COUNTIFS('DRAFT 2'!$D:$D,$B172,'DRAFT 2'!$A:$A,"&gt;="&amp;DATE(2026,6,1),'DRAFT 2'!$A:$A,"&lt;="&amp;DATE(2026,6,7))</f>
        <v/>
      </c>
      <c r="FF172" s="116">
        <f>COUNTIFS('DRAFT 2'!$D:$D,$B172,'DRAFT 2'!$A:$A,"&gt;="&amp;DATE(2026,6,8),'DRAFT 2'!$A:$A,"&lt;="&amp;DATE(2026,6,14))</f>
        <v/>
      </c>
      <c r="FG172" s="116">
        <f>COUNTIFS('DRAFT 2'!$D:$D,$B172,'DRAFT 2'!$A:$A,"&gt;="&amp;DATE(2026,6,15),'DRAFT 2'!$A:$A,"&lt;="&amp;DATE(2026,6,21))</f>
        <v/>
      </c>
      <c r="FH172" s="116">
        <f>COUNTIFS('DRAFT 2'!$D:$D,$B172,'DRAFT 2'!$A:$A,"&gt;="&amp;DATE(2026,6,22),'DRAFT 2'!$A:$A,"&lt;"&amp;DATE(2026,IF(6=12,6+1,6+1),1))</f>
        <v/>
      </c>
      <c r="FI172" s="116">
        <f>SUM(FE172:FH172)</f>
        <v/>
      </c>
      <c r="FT172" s="116">
        <f>IFERROR(LOOKUP(2,1/('DRAFT 2'!$D:$D=$B172)*('DRAFT 2'!$A:$A&gt;=DATE(2026,7,1))*('DRAFT 2'!$A:$A&lt;DATE(2026,IF(7=12,7+1,7+1),1)),'DRAFT 2'!$A:$A),"")</f>
        <v/>
      </c>
      <c r="FU172" s="116">
        <f>COUNTIFS('DRAFT 2'!$D:$D,$B172,'DRAFT 2'!$A:$A,"&gt;="&amp;DATE(2026,7,1),'DRAFT 2'!$A:$A,"&lt;="&amp;DATE(2026,7,7))</f>
        <v/>
      </c>
      <c r="FV172" s="116">
        <f>COUNTIFS('DRAFT 2'!$D:$D,$B172,'DRAFT 2'!$A:$A,"&gt;="&amp;DATE(2026,7,8),'DRAFT 2'!$A:$A,"&lt;="&amp;DATE(2026,7,14))</f>
        <v/>
      </c>
      <c r="FW172" s="116">
        <f>COUNTIFS('DRAFT 2'!$D:$D,$B172,'DRAFT 2'!$A:$A,"&gt;="&amp;DATE(2026,7,15),'DRAFT 2'!$A:$A,"&lt;="&amp;DATE(2026,7,21))</f>
        <v/>
      </c>
      <c r="FX172" s="116">
        <f>COUNTIFS('DRAFT 2'!$D:$D,$B172,'DRAFT 2'!$A:$A,"&gt;="&amp;DATE(2026,7,22),'DRAFT 2'!$A:$A,"&lt;"&amp;DATE(2026,IF(7=12,7+1,7+1),1))</f>
        <v/>
      </c>
      <c r="FY172" s="116">
        <f>SUM(FU172:FX172)</f>
        <v/>
      </c>
      <c r="GI172" s="116">
        <f>IFERROR(LOOKUP(2,1/('DRAFT 2'!$D:$D=$B172)*('DRAFT 2'!$A:$A&gt;=DATE(2026,8,1))*('DRAFT 2'!$A:$A&lt;DATE(2026,IF(8=12,8+1,8+1),1)),'DRAFT 2'!$A:$A),"")</f>
        <v/>
      </c>
      <c r="GJ172" s="116">
        <f>COUNTIFS('DRAFT 2'!$D:$D,$B172,'DRAFT 2'!$A:$A,"&gt;="&amp;DATE(2026,8,1),'DRAFT 2'!$A:$A,"&lt;="&amp;DATE(2026,8,7))</f>
        <v/>
      </c>
      <c r="GK172" s="116">
        <f>COUNTIFS('DRAFT 2'!$D:$D,$B172,'DRAFT 2'!$A:$A,"&gt;="&amp;DATE(2026,8,8),'DRAFT 2'!$A:$A,"&lt;="&amp;DATE(2026,8,14))</f>
        <v/>
      </c>
      <c r="GL172" s="116">
        <f>COUNTIFS('DRAFT 2'!$D:$D,$B172,'DRAFT 2'!$A:$A,"&gt;="&amp;DATE(2026,8,15),'DRAFT 2'!$A:$A,"&lt;="&amp;DATE(2026,8,21))</f>
        <v/>
      </c>
      <c r="GM172" s="116">
        <f>COUNTIFS('DRAFT 2'!$D:$D,$B172,'DRAFT 2'!$A:$A,"&gt;="&amp;DATE(2026,8,22),'DRAFT 2'!$A:$A,"&lt;"&amp;DATE(2026,IF(8=12,8+1,8+1),1))</f>
        <v/>
      </c>
      <c r="GN172" s="116">
        <f>SUM(GJ172:GM172)</f>
        <v/>
      </c>
      <c r="GX172" s="116">
        <f>IFERROR(LOOKUP(2,1/('DRAFT 2'!$D:$D=$B172)*('DRAFT 2'!$A:$A&gt;=DATE(2026,9,1))*('DRAFT 2'!$A:$A&lt;DATE(2026,IF(9=12,9+1,9+1),1)),'DRAFT 2'!$A:$A),"")</f>
        <v/>
      </c>
      <c r="GY172" s="116">
        <f>COUNTIFS('DRAFT 2'!$D:$D,$B172,'DRAFT 2'!$A:$A,"&gt;="&amp;DATE(2026,9,1),'DRAFT 2'!$A:$A,"&lt;="&amp;DATE(2026,9,7))</f>
        <v/>
      </c>
      <c r="GZ172" s="116">
        <f>COUNTIFS('DRAFT 2'!$D:$D,$B172,'DRAFT 2'!$A:$A,"&gt;="&amp;DATE(2026,9,8),'DRAFT 2'!$A:$A,"&lt;="&amp;DATE(2026,9,14))</f>
        <v/>
      </c>
      <c r="HA172" s="116">
        <f>COUNTIFS('DRAFT 2'!$D:$D,$B172,'DRAFT 2'!$A:$A,"&gt;="&amp;DATE(2026,9,15),'DRAFT 2'!$A:$A,"&lt;="&amp;DATE(2026,9,21))</f>
        <v/>
      </c>
      <c r="HB172" s="116">
        <f>COUNTIFS('DRAFT 2'!$D:$D,$B172,'DRAFT 2'!$A:$A,"&gt;="&amp;DATE(2026,9,22),'DRAFT 2'!$A:$A,"&lt;"&amp;DATE(2026,IF(9=12,9+1,9+1),1))</f>
        <v/>
      </c>
      <c r="HC172" s="116">
        <f>SUM(GY172:HB172)</f>
        <v/>
      </c>
      <c r="HN172" s="116">
        <f>IFERROR(LOOKUP(2,1/('DRAFT 2'!$D:$D=$B172)*('DRAFT 2'!$A:$A&gt;=DATE(2026,10,1))*('DRAFT 2'!$A:$A&lt;DATE(2026,IF(10=12,10+1,10+1),1)),'DRAFT 2'!$A:$A),"")</f>
        <v/>
      </c>
      <c r="HO172" s="116">
        <f>COUNTIFS('DRAFT 2'!$D:$D,$B172,'DRAFT 2'!$A:$A,"&gt;="&amp;DATE(2026,10,1),'DRAFT 2'!$A:$A,"&lt;="&amp;DATE(2026,10,7))</f>
        <v/>
      </c>
      <c r="HP172" s="116">
        <f>COUNTIFS('DRAFT 2'!$D:$D,$B172,'DRAFT 2'!$A:$A,"&gt;="&amp;DATE(2026,10,8),'DRAFT 2'!$A:$A,"&lt;="&amp;DATE(2026,10,14))</f>
        <v/>
      </c>
      <c r="HQ172" s="116">
        <f>COUNTIFS('DRAFT 2'!$D:$D,$B172,'DRAFT 2'!$A:$A,"&gt;="&amp;DATE(2026,10,15),'DRAFT 2'!$A:$A,"&lt;="&amp;DATE(2026,10,21))</f>
        <v/>
      </c>
      <c r="HR172" s="116">
        <f>COUNTIFS('DRAFT 2'!$D:$D,$B172,'DRAFT 2'!$A:$A,"&gt;="&amp;DATE(2026,10,22),'DRAFT 2'!$A:$A,"&lt;"&amp;DATE(2026,IF(10=12,10+1,10+1),1))</f>
        <v/>
      </c>
      <c r="HS172" s="116">
        <f>SUM(HO172:HR172)</f>
        <v/>
      </c>
      <c r="IC172" s="116">
        <f>IFERROR(LOOKUP(2,1/('DRAFT 2'!$D:$D=$B172)*('DRAFT 2'!$A:$A&gt;=DATE(2026,11,1))*('DRAFT 2'!$A:$A&lt;DATE(2026,IF(11=12,11+1,11+1),1)),'DRAFT 2'!$A:$A),"")</f>
        <v/>
      </c>
      <c r="ID172" s="116">
        <f>COUNTIFS('DRAFT 2'!$D:$D,$B172,'DRAFT 2'!$A:$A,"&gt;="&amp;DATE(2026,11,1),'DRAFT 2'!$A:$A,"&lt;="&amp;DATE(2026,11,7))</f>
        <v/>
      </c>
      <c r="IE172" s="116">
        <f>COUNTIFS('DRAFT 2'!$D:$D,$B172,'DRAFT 2'!$A:$A,"&gt;="&amp;DATE(2026,11,8),'DRAFT 2'!$A:$A,"&lt;="&amp;DATE(2026,11,14))</f>
        <v/>
      </c>
      <c r="IF172" s="116">
        <f>COUNTIFS('DRAFT 2'!$D:$D,$B172,'DRAFT 2'!$A:$A,"&gt;="&amp;DATE(2026,11,15),'DRAFT 2'!$A:$A,"&lt;="&amp;DATE(2026,11,21))</f>
        <v/>
      </c>
      <c r="IG172" s="116">
        <f>COUNTIFS('DRAFT 2'!$D:$D,$B172,'DRAFT 2'!$A:$A,"&gt;="&amp;DATE(2026,11,22),'DRAFT 2'!$A:$A,"&lt;"&amp;DATE(2026,IF(11=12,11+1,11+1),1))</f>
        <v/>
      </c>
      <c r="IH172" s="116">
        <f>SUM(ID172:IG172)</f>
        <v/>
      </c>
      <c r="IR172" s="116">
        <f>IFERROR(LOOKUP(2,1/('DRAFT 2'!$D:$D=$B172)*('DRAFT 2'!$A:$A&gt;=DATE(2026,12,1))*('DRAFT 2'!$A:$A&lt;DATE(2026,IF(12=12,12+1,12+1),1)),'DRAFT 2'!$A:$A),"")</f>
        <v/>
      </c>
      <c r="IS172" s="116">
        <f>COUNTIFS('DRAFT 2'!$D:$D,$B172,'DRAFT 2'!$A:$A,"&gt;="&amp;DATE(2026,12,1),'DRAFT 2'!$A:$A,"&lt;="&amp;DATE(2026,12,7))</f>
        <v/>
      </c>
      <c r="IT172" s="116">
        <f>COUNTIFS('DRAFT 2'!$D:$D,$B172,'DRAFT 2'!$A:$A,"&gt;="&amp;DATE(2026,12,8),'DRAFT 2'!$A:$A,"&lt;="&amp;DATE(2026,12,14))</f>
        <v/>
      </c>
      <c r="IU172" s="116">
        <f>COUNTIFS('DRAFT 2'!$D:$D,$B172,'DRAFT 2'!$A:$A,"&gt;="&amp;DATE(2026,12,15),'DRAFT 2'!$A:$A,"&lt;="&amp;DATE(2026,12,21))</f>
        <v/>
      </c>
      <c r="IV172" s="116">
        <f>COUNTIFS('DRAFT 2'!$D:$D,$B172,'DRAFT 2'!$A:$A,"&gt;="&amp;DATE(2026,12,22),'DRAFT 2'!$A:$A,"&lt;"&amp;DATE(2026,IF(12=12,12+1,12+1),1))</f>
        <v/>
      </c>
      <c r="IW172" s="116">
        <f>SUM(IS172:IV172)</f>
        <v/>
      </c>
    </row>
    <row r="173">
      <c r="A173" s="116">
        <f>IFERROR(INDEX('DRAFT 1'!$A:$A,MATCH($B173,'DRAFT 1'!$B:$B,0)),"")</f>
        <v/>
      </c>
      <c r="C173" s="116">
        <f>IFERROR(INDEX('DRAFT 1'!$C:$C,MATCH($B173,'DRAFT 1'!$B:$B,0)),"")</f>
        <v/>
      </c>
      <c r="D173" s="116">
        <f>IFERROR(INDEX('DRAFT 1'!$D:$D,MATCH($B173,'DRAFT 1'!$B:$B,0)),"")</f>
        <v/>
      </c>
      <c r="E173" s="116">
        <f>IFERROR(INDEX('DRAFT 1'!$E:$E,MATCH($B173,'DRAFT 1'!$B:$B,0)),"")</f>
        <v/>
      </c>
      <c r="F173" s="116">
        <f>IFERROR(INDEX('DRAFT 1'!$F:$F,MATCH($B173,'DRAFT 1'!$B:$B,0)),"")</f>
        <v/>
      </c>
      <c r="G173" s="116">
        <f>IFERROR(INDEX('DRAFT 1'!$G:$G,MATCH($B173,'DRAFT 1'!$B:$B,0)),"")</f>
        <v/>
      </c>
      <c r="H173" s="116">
        <f>IFERROR(INDEX('DRAFT 1'!$H:$H,MATCH($B173,'DRAFT 1'!$B:$B,0)),"")</f>
        <v/>
      </c>
      <c r="I173" s="116">
        <f>IFERROR(INDEX('DRAFT 1'!$I:$I,MATCH($B173,'DRAFT 1'!$B:$B,0)),"")</f>
        <v/>
      </c>
      <c r="K173" s="116">
        <f>IFERROR(INDEX('DRAFT 1'!$AL:$AL,MATCH($B173,'DRAFT 1'!$B:$B,0)),"")</f>
        <v/>
      </c>
      <c r="L173" s="116">
        <f>IFERROR(INDEX('DRAFT 1'!$J:$J,MATCH($B173,'DRAFT 1'!$B:$B,0)),"")</f>
        <v/>
      </c>
      <c r="M173" s="116">
        <f>IFERROR(INDEX('DRAFT 1'!$K:$K,MATCH($B173,'DRAFT 1'!$B:$B,0)),"")</f>
        <v/>
      </c>
      <c r="P173" s="116">
        <f>IFERROR(INDEX('DRAFT 1'!$L:$L,MATCH($B173,'DRAFT 1'!$B:$B,0)),"")</f>
        <v/>
      </c>
      <c r="Q173" s="116">
        <f>IFERROR(INDEX('DRAFT 1'!$M:$M,MATCH($B173,'DRAFT 1'!$B:$B,0)),"")</f>
        <v/>
      </c>
      <c r="R173" s="116">
        <f>IFERROR(INDEX('DRAFT 1'!$N:$N,MATCH($B173,'DRAFT 1'!$B:$B,0)),"")</f>
        <v/>
      </c>
      <c r="S173" s="116">
        <f>IFERROR(INDEX('DRAFT 1'!$O:$O,MATCH($B173,'DRAFT 1'!$B:$B,0)),"")</f>
        <v/>
      </c>
      <c r="T173" s="116">
        <f>IFERROR(INDEX('DRAFT 1'!$P:$P,MATCH($B173,'DRAFT 1'!$B:$B,0)),"")</f>
        <v/>
      </c>
      <c r="U173" s="116">
        <f>IFERROR(INDEX('DRAFT 1'!$Q:$Q,MATCH($B173,'DRAFT 1'!$B:$B,0)),"")</f>
        <v/>
      </c>
      <c r="V173" s="116">
        <f>IFERROR(INDEX('DRAFT 1'!$R:$R,MATCH($B173,'DRAFT 1'!$B:$B,0)),"")</f>
        <v/>
      </c>
      <c r="W173" s="116">
        <f>IFERROR(INDEX('DRAFT 1'!$S:$S,MATCH($B173,'DRAFT 1'!$B:$B,0)),"")</f>
        <v/>
      </c>
      <c r="X173" s="116">
        <f>IFERROR(INDEX('DRAFT 1'!$T:$T,MATCH($B173,'DRAFT 1'!$B:$B,0)),"")</f>
        <v/>
      </c>
      <c r="Z173" s="116">
        <f>IFERROR(INDEX('DRAFT 1'!$U:$U,MATCH($B173,'DRAFT 1'!$B:$B,0)),"")</f>
        <v/>
      </c>
      <c r="AA173" s="116">
        <f>IFERROR(INDEX('DRAFT 1'!$V:$V,MATCH($B173,'DRAFT 1'!$B:$B,0)),"")</f>
        <v/>
      </c>
      <c r="AB173" s="116">
        <f>IFERROR(INDEX('DRAFT 1'!$W:$W,MATCH($B173,'DRAFT 1'!$B:$B,0)),"")</f>
        <v/>
      </c>
      <c r="AC173" s="116">
        <f>IFERROR(INDEX('DRAFT 1'!$X:$X,MATCH($B173,'DRAFT 1'!$B:$B,0)),"")</f>
        <v/>
      </c>
      <c r="AD173" s="116">
        <f>IFERROR(INDEX('DRAFT 1'!$Y:$Y,MATCH($B173,'DRAFT 1'!$B:$B,0)),"")</f>
        <v/>
      </c>
      <c r="AE173" s="116">
        <f>IFERROR(INDEX('DRAFT 1'!$Z:$Z,MATCH($B173,'DRAFT 1'!$B:$B,0)),"")</f>
        <v/>
      </c>
      <c r="AF173" s="116">
        <f>IFERROR(INDEX('DRAFT 1'!$AA:$AA,MATCH($B173,'DRAFT 1'!$B:$B,0)),"")</f>
        <v/>
      </c>
      <c r="AG173" s="116">
        <f>IFERROR(INDEX('DRAFT 1'!$AB:$AB,MATCH($B173,'DRAFT 1'!$B:$B,0)),"")</f>
        <v/>
      </c>
      <c r="AH173" s="116">
        <f>IFERROR(INDEX('DRAFT 1'!$AC:$AC,MATCH($B173,'DRAFT 1'!$B:$B,0)),"")</f>
        <v/>
      </c>
      <c r="AI173" s="116">
        <f>IFERROR(INDEX('DRAFT 1'!$AD:$AD,MATCH($B173,'DRAFT 1'!$B:$B,0)),"")</f>
        <v/>
      </c>
      <c r="AJ173" s="116">
        <f>IFERROR(INDEX('DRAFT 1'!$AE:$AE,MATCH($B173,'DRAFT 1'!$B:$B,0)),"")</f>
        <v/>
      </c>
      <c r="AK173" s="116">
        <f>IFERROR(INDEX('DRAFT 1'!$AG:$AG,MATCH($B173,'DRAFT 1'!$B:$B,0)),"")</f>
        <v/>
      </c>
      <c r="AL173" s="116">
        <f>IFERROR(INDEX('DRAFT 1'!$AH:$AH,MATCH($B173,'DRAFT 1'!$B:$B,0)),"")</f>
        <v/>
      </c>
      <c r="AM173" s="116">
        <f>IFERROR(INDEX('DRAFT 1'!$AI:$AI,MATCH($B173,'DRAFT 1'!$B:$B,0)),"")</f>
        <v/>
      </c>
      <c r="AN173" s="116">
        <f>IFERROR(INDEX('DRAFT 1'!$AJ:$AJ,MATCH($B173,'DRAFT 1'!$B:$B,0)),"")</f>
        <v/>
      </c>
      <c r="AO173" s="116">
        <f>IFERROR(Y173/AN173,0)</f>
        <v/>
      </c>
      <c r="AP173" s="116">
        <f>IFERROR(INDEX('DRAFT 1'!$AK:$AK,MATCH($B173,'DRAFT 1'!$B:$B,0)),"")</f>
        <v/>
      </c>
      <c r="AR173" s="116">
        <f>IFERROR(LOOKUP(2,1/('DRAFT 2'!$D:$D=$B173),'DRAFT 2'!$I:$I),"")</f>
        <v/>
      </c>
      <c r="AS173" s="116">
        <f>IFERROR(LOOKUP(2,1/('DRAFT 2'!$D:$D=$B173),'DRAFT 2'!$T:$T),"")</f>
        <v/>
      </c>
      <c r="AT173" s="116">
        <f>IFERROR(LOOKUP(2,1/('DRAFT 2'!$D:$D=$B173),'DRAFT 2'!$A:$A),"")</f>
        <v/>
      </c>
      <c r="AU173" s="116">
        <f>IFERROR(LOOKUP(2,1/('DRAFT 2'!$D:$D=$B173),'DRAFT 2'!$R:$R),"")</f>
        <v/>
      </c>
      <c r="AV173" s="116">
        <f>IFERROR(LOOKUP(2,1/('DRAFT 2'!$D:$D=$B173),'DRAFT 2'!$S:$S),"")</f>
        <v/>
      </c>
      <c r="AX173" s="116">
        <f>IFERROR(LOOKUP(2,1/('DRAFT 2'!$D:$D=$B173),'DRAFT 2'!$M:$M),"")</f>
        <v/>
      </c>
      <c r="AY173" s="116">
        <f>IFERROR(LOOKUP(2,1/('DRAFT 2'!$D:$D=$B173),'DRAFT 2'!$K:$K),"")</f>
        <v/>
      </c>
      <c r="BG173" s="116">
        <f>IFERROR(LOOKUP(2,1/('DRAFT 2'!$D:$D=$B173),'DRAFT 2'!$U:$U),"")</f>
        <v/>
      </c>
      <c r="BH173" s="116">
        <f>IFERROR(LOOKUP(2,1/('DRAFT 2'!$D:$D=$B173),'DRAFT 2'!$V:$V),"")</f>
        <v/>
      </c>
      <c r="CE173" s="116">
        <f>IFERROR(AJ173,0)</f>
        <v/>
      </c>
      <c r="CF173" s="116">
        <f>IFERROR(LOOKUP(2,1/('DRAFT 2'!$D:$D=$B173)*('DRAFT 2'!$A:$A&gt;=DATE(2026,1,1))*('DRAFT 2'!$A:$A&lt;DATE(2026,IF(1=12,1+1,1+1),1)),'DRAFT 2'!$A:$A),"")</f>
        <v/>
      </c>
      <c r="CG173" s="116">
        <f>COUNTIFS('DRAFT 2'!$D:$D,$B173,'DRAFT 2'!$A:$A,"&gt;="&amp;DATE(2026,1,1),'DRAFT 2'!$A:$A,"&lt;="&amp;DATE(2026,1,7))</f>
        <v/>
      </c>
      <c r="CH173" s="116">
        <f>COUNTIFS('DRAFT 2'!$D:$D,$B173,'DRAFT 2'!$A:$A,"&gt;="&amp;DATE(2026,1,8),'DRAFT 2'!$A:$A,"&lt;="&amp;DATE(2026,1,14))</f>
        <v/>
      </c>
      <c r="CI173" s="116">
        <f>COUNTIFS('DRAFT 2'!$D:$D,$B173,'DRAFT 2'!$A:$A,"&gt;="&amp;DATE(2026,1,15),'DRAFT 2'!$A:$A,"&lt;="&amp;DATE(2026,1,21))</f>
        <v/>
      </c>
      <c r="CJ173" s="116">
        <f>COUNTIFS('DRAFT 2'!$D:$D,$B173,'DRAFT 2'!$A:$A,"&gt;="&amp;DATE(2026,1,22),'DRAFT 2'!$A:$A,"&lt;"&amp;DATE(2026,IF(1=12,1+1,1+1),1))</f>
        <v/>
      </c>
      <c r="CK173" s="116">
        <f>SUM(CG173:CJ173)</f>
        <v/>
      </c>
      <c r="CT173" s="116" t="n">
        <v>0</v>
      </c>
      <c r="CU173" s="116">
        <f>IFERROR(LOOKUP(2,1/('DRAFT 2'!$D:$D=$B173)*('DRAFT 2'!$A:$A&gt;=DATE(2026,2,1))*('DRAFT 2'!$A:$A&lt;DATE(2026,IF(2=12,2+1,2+1),1)),'DRAFT 2'!$A:$A),"")</f>
        <v/>
      </c>
      <c r="CV173" s="116">
        <f>COUNTIFS('DRAFT 2'!$D:$D,$B173,'DRAFT 2'!$A:$A,"&gt;="&amp;DATE(2026,2,1),'DRAFT 2'!$A:$A,"&lt;="&amp;DATE(2026,2,7))</f>
        <v/>
      </c>
      <c r="CW173" s="116">
        <f>COUNTIFS('DRAFT 2'!$D:$D,$B173,'DRAFT 2'!$A:$A,"&gt;="&amp;DATE(2026,2,8),'DRAFT 2'!$A:$A,"&lt;="&amp;DATE(2026,2,14))</f>
        <v/>
      </c>
      <c r="CX173" s="116">
        <f>COUNTIFS('DRAFT 2'!$D:$D,$B173,'DRAFT 2'!$A:$A,"&gt;="&amp;DATE(2026,2,15),'DRAFT 2'!$A:$A,"&lt;="&amp;DATE(2026,2,21))</f>
        <v/>
      </c>
      <c r="CY173" s="116">
        <f>COUNTIFS('DRAFT 2'!$D:$D,$B173,'DRAFT 2'!$A:$A,"&gt;="&amp;DATE(2026,2,22),'DRAFT 2'!$A:$A,"&lt;"&amp;DATE(2026,IF(2=12,2+1,2+1),1))</f>
        <v/>
      </c>
      <c r="CZ173" s="116">
        <f>SUM(CV173:CY173)</f>
        <v/>
      </c>
      <c r="DJ173" s="116">
        <f>IFERROR(LOOKUP(2,1/('DRAFT 2'!$D:$D=$B173)*('DRAFT 2'!$A:$A&gt;=DATE(2026,3,1))*('DRAFT 2'!$A:$A&lt;DATE(2026,IF(3=12,3+1,3+1),1)),'DRAFT 2'!$A:$A),"")</f>
        <v/>
      </c>
      <c r="DK173" s="116">
        <f>COUNTIFS('DRAFT 2'!$D:$D,$B173,'DRAFT 2'!$A:$A,"&gt;="&amp;DATE(2026,3,1),'DRAFT 2'!$A:$A,"&lt;="&amp;DATE(2026,3,7))</f>
        <v/>
      </c>
      <c r="DL173" s="116">
        <f>COUNTIFS('DRAFT 2'!$D:$D,$B173,'DRAFT 2'!$A:$A,"&gt;="&amp;DATE(2026,3,8),'DRAFT 2'!$A:$A,"&lt;="&amp;DATE(2026,3,14))</f>
        <v/>
      </c>
      <c r="DM173" s="116">
        <f>COUNTIFS('DRAFT 2'!$D:$D,$B173,'DRAFT 2'!$A:$A,"&gt;="&amp;DATE(2026,3,15),'DRAFT 2'!$A:$A,"&lt;="&amp;DATE(2026,3,21))</f>
        <v/>
      </c>
      <c r="DN173" s="116">
        <f>COUNTIFS('DRAFT 2'!$D:$D,$B173,'DRAFT 2'!$A:$A,"&gt;="&amp;DATE(2026,3,22),'DRAFT 2'!$A:$A,"&lt;"&amp;DATE(2026,IF(3=12,3+1,3+1),1))</f>
        <v/>
      </c>
      <c r="DO173" s="116">
        <f>SUM(DK173:DN173)</f>
        <v/>
      </c>
      <c r="DZ173" s="116">
        <f>IFERROR(LOOKUP(2,1/('DRAFT 2'!$D:$D=$B173)*('DRAFT 2'!$A:$A&gt;=DATE(2026,4,1))*('DRAFT 2'!$A:$A&lt;DATE(2026,IF(4=12,4+1,4+1),1)),'DRAFT 2'!$A:$A),"")</f>
        <v/>
      </c>
      <c r="EA173" s="116">
        <f>COUNTIFS('DRAFT 2'!$D:$D,$B173,'DRAFT 2'!$A:$A,"&gt;="&amp;DATE(2026,4,1),'DRAFT 2'!$A:$A,"&lt;="&amp;DATE(2026,4,7))</f>
        <v/>
      </c>
      <c r="EB173" s="116">
        <f>COUNTIFS('DRAFT 2'!$D:$D,$B173,'DRAFT 2'!$A:$A,"&gt;="&amp;DATE(2026,4,8),'DRAFT 2'!$A:$A,"&lt;="&amp;DATE(2026,4,14))</f>
        <v/>
      </c>
      <c r="EC173" s="116">
        <f>COUNTIFS('DRAFT 2'!$D:$D,$B173,'DRAFT 2'!$A:$A,"&gt;="&amp;DATE(2026,4,15),'DRAFT 2'!$A:$A,"&lt;="&amp;DATE(2026,4,21))</f>
        <v/>
      </c>
      <c r="ED173" s="116">
        <f>COUNTIFS('DRAFT 2'!$D:$D,$B173,'DRAFT 2'!$A:$A,"&gt;="&amp;DATE(2026,4,22),'DRAFT 2'!$A:$A,"&lt;"&amp;DATE(2026,IF(4=12,4+1,4+1),1))</f>
        <v/>
      </c>
      <c r="EE173" s="116">
        <f>SUM(EA173:ED173)</f>
        <v/>
      </c>
      <c r="EO173" s="116">
        <f>IFERROR(LOOKUP(2,1/('DRAFT 2'!$D:$D=$B173)*('DRAFT 2'!$A:$A&gt;=DATE(2026,5,1))*('DRAFT 2'!$A:$A&lt;DATE(2026,IF(5=12,5+1,5+1),1)),'DRAFT 2'!$A:$A),"")</f>
        <v/>
      </c>
      <c r="EP173" s="116">
        <f>COUNTIFS('DRAFT 2'!$D:$D,$B173,'DRAFT 2'!$A:$A,"&gt;="&amp;DATE(2026,5,1),'DRAFT 2'!$A:$A,"&lt;="&amp;DATE(2026,5,7))</f>
        <v/>
      </c>
      <c r="EQ173" s="116">
        <f>COUNTIFS('DRAFT 2'!$D:$D,$B173,'DRAFT 2'!$A:$A,"&gt;="&amp;DATE(2026,5,8),'DRAFT 2'!$A:$A,"&lt;="&amp;DATE(2026,5,14))</f>
        <v/>
      </c>
      <c r="ER173" s="116">
        <f>COUNTIFS('DRAFT 2'!$D:$D,$B173,'DRAFT 2'!$A:$A,"&gt;="&amp;DATE(2026,5,15),'DRAFT 2'!$A:$A,"&lt;="&amp;DATE(2026,5,21))</f>
        <v/>
      </c>
      <c r="ES173" s="116">
        <f>COUNTIFS('DRAFT 2'!$D:$D,$B173,'DRAFT 2'!$A:$A,"&gt;="&amp;DATE(2026,5,22),'DRAFT 2'!$A:$A,"&lt;"&amp;DATE(2026,IF(5=12,5+1,5+1),1))</f>
        <v/>
      </c>
      <c r="ET173" s="116">
        <f>SUM(EP173:ES173)</f>
        <v/>
      </c>
      <c r="FD173" s="116">
        <f>IFERROR(LOOKUP(2,1/('DRAFT 2'!$D:$D=$B173)*('DRAFT 2'!$A:$A&gt;=DATE(2026,6,1))*('DRAFT 2'!$A:$A&lt;DATE(2026,IF(6=12,6+1,6+1),1)),'DRAFT 2'!$A:$A),"")</f>
        <v/>
      </c>
      <c r="FE173" s="116">
        <f>COUNTIFS('DRAFT 2'!$D:$D,$B173,'DRAFT 2'!$A:$A,"&gt;="&amp;DATE(2026,6,1),'DRAFT 2'!$A:$A,"&lt;="&amp;DATE(2026,6,7))</f>
        <v/>
      </c>
      <c r="FF173" s="116">
        <f>COUNTIFS('DRAFT 2'!$D:$D,$B173,'DRAFT 2'!$A:$A,"&gt;="&amp;DATE(2026,6,8),'DRAFT 2'!$A:$A,"&lt;="&amp;DATE(2026,6,14))</f>
        <v/>
      </c>
      <c r="FG173" s="116">
        <f>COUNTIFS('DRAFT 2'!$D:$D,$B173,'DRAFT 2'!$A:$A,"&gt;="&amp;DATE(2026,6,15),'DRAFT 2'!$A:$A,"&lt;="&amp;DATE(2026,6,21))</f>
        <v/>
      </c>
      <c r="FH173" s="116">
        <f>COUNTIFS('DRAFT 2'!$D:$D,$B173,'DRAFT 2'!$A:$A,"&gt;="&amp;DATE(2026,6,22),'DRAFT 2'!$A:$A,"&lt;"&amp;DATE(2026,IF(6=12,6+1,6+1),1))</f>
        <v/>
      </c>
      <c r="FI173" s="116">
        <f>SUM(FE173:FH173)</f>
        <v/>
      </c>
      <c r="FT173" s="116">
        <f>IFERROR(LOOKUP(2,1/('DRAFT 2'!$D:$D=$B173)*('DRAFT 2'!$A:$A&gt;=DATE(2026,7,1))*('DRAFT 2'!$A:$A&lt;DATE(2026,IF(7=12,7+1,7+1),1)),'DRAFT 2'!$A:$A),"")</f>
        <v/>
      </c>
      <c r="FU173" s="116">
        <f>COUNTIFS('DRAFT 2'!$D:$D,$B173,'DRAFT 2'!$A:$A,"&gt;="&amp;DATE(2026,7,1),'DRAFT 2'!$A:$A,"&lt;="&amp;DATE(2026,7,7))</f>
        <v/>
      </c>
      <c r="FV173" s="116">
        <f>COUNTIFS('DRAFT 2'!$D:$D,$B173,'DRAFT 2'!$A:$A,"&gt;="&amp;DATE(2026,7,8),'DRAFT 2'!$A:$A,"&lt;="&amp;DATE(2026,7,14))</f>
        <v/>
      </c>
      <c r="FW173" s="116">
        <f>COUNTIFS('DRAFT 2'!$D:$D,$B173,'DRAFT 2'!$A:$A,"&gt;="&amp;DATE(2026,7,15),'DRAFT 2'!$A:$A,"&lt;="&amp;DATE(2026,7,21))</f>
        <v/>
      </c>
      <c r="FX173" s="116">
        <f>COUNTIFS('DRAFT 2'!$D:$D,$B173,'DRAFT 2'!$A:$A,"&gt;="&amp;DATE(2026,7,22),'DRAFT 2'!$A:$A,"&lt;"&amp;DATE(2026,IF(7=12,7+1,7+1),1))</f>
        <v/>
      </c>
      <c r="FY173" s="116">
        <f>SUM(FU173:FX173)</f>
        <v/>
      </c>
      <c r="GI173" s="116">
        <f>IFERROR(LOOKUP(2,1/('DRAFT 2'!$D:$D=$B173)*('DRAFT 2'!$A:$A&gt;=DATE(2026,8,1))*('DRAFT 2'!$A:$A&lt;DATE(2026,IF(8=12,8+1,8+1),1)),'DRAFT 2'!$A:$A),"")</f>
        <v/>
      </c>
      <c r="GJ173" s="116">
        <f>COUNTIFS('DRAFT 2'!$D:$D,$B173,'DRAFT 2'!$A:$A,"&gt;="&amp;DATE(2026,8,1),'DRAFT 2'!$A:$A,"&lt;="&amp;DATE(2026,8,7))</f>
        <v/>
      </c>
      <c r="GK173" s="116">
        <f>COUNTIFS('DRAFT 2'!$D:$D,$B173,'DRAFT 2'!$A:$A,"&gt;="&amp;DATE(2026,8,8),'DRAFT 2'!$A:$A,"&lt;="&amp;DATE(2026,8,14))</f>
        <v/>
      </c>
      <c r="GL173" s="116">
        <f>COUNTIFS('DRAFT 2'!$D:$D,$B173,'DRAFT 2'!$A:$A,"&gt;="&amp;DATE(2026,8,15),'DRAFT 2'!$A:$A,"&lt;="&amp;DATE(2026,8,21))</f>
        <v/>
      </c>
      <c r="GM173" s="116">
        <f>COUNTIFS('DRAFT 2'!$D:$D,$B173,'DRAFT 2'!$A:$A,"&gt;="&amp;DATE(2026,8,22),'DRAFT 2'!$A:$A,"&lt;"&amp;DATE(2026,IF(8=12,8+1,8+1),1))</f>
        <v/>
      </c>
      <c r="GN173" s="116">
        <f>SUM(GJ173:GM173)</f>
        <v/>
      </c>
      <c r="GX173" s="116">
        <f>IFERROR(LOOKUP(2,1/('DRAFT 2'!$D:$D=$B173)*('DRAFT 2'!$A:$A&gt;=DATE(2026,9,1))*('DRAFT 2'!$A:$A&lt;DATE(2026,IF(9=12,9+1,9+1),1)),'DRAFT 2'!$A:$A),"")</f>
        <v/>
      </c>
      <c r="GY173" s="116">
        <f>COUNTIFS('DRAFT 2'!$D:$D,$B173,'DRAFT 2'!$A:$A,"&gt;="&amp;DATE(2026,9,1),'DRAFT 2'!$A:$A,"&lt;="&amp;DATE(2026,9,7))</f>
        <v/>
      </c>
      <c r="GZ173" s="116">
        <f>COUNTIFS('DRAFT 2'!$D:$D,$B173,'DRAFT 2'!$A:$A,"&gt;="&amp;DATE(2026,9,8),'DRAFT 2'!$A:$A,"&lt;="&amp;DATE(2026,9,14))</f>
        <v/>
      </c>
      <c r="HA173" s="116">
        <f>COUNTIFS('DRAFT 2'!$D:$D,$B173,'DRAFT 2'!$A:$A,"&gt;="&amp;DATE(2026,9,15),'DRAFT 2'!$A:$A,"&lt;="&amp;DATE(2026,9,21))</f>
        <v/>
      </c>
      <c r="HB173" s="116">
        <f>COUNTIFS('DRAFT 2'!$D:$D,$B173,'DRAFT 2'!$A:$A,"&gt;="&amp;DATE(2026,9,22),'DRAFT 2'!$A:$A,"&lt;"&amp;DATE(2026,IF(9=12,9+1,9+1),1))</f>
        <v/>
      </c>
      <c r="HC173" s="116">
        <f>SUM(GY173:HB173)</f>
        <v/>
      </c>
      <c r="HN173" s="116">
        <f>IFERROR(LOOKUP(2,1/('DRAFT 2'!$D:$D=$B173)*('DRAFT 2'!$A:$A&gt;=DATE(2026,10,1))*('DRAFT 2'!$A:$A&lt;DATE(2026,IF(10=12,10+1,10+1),1)),'DRAFT 2'!$A:$A),"")</f>
        <v/>
      </c>
      <c r="HO173" s="116">
        <f>COUNTIFS('DRAFT 2'!$D:$D,$B173,'DRAFT 2'!$A:$A,"&gt;="&amp;DATE(2026,10,1),'DRAFT 2'!$A:$A,"&lt;="&amp;DATE(2026,10,7))</f>
        <v/>
      </c>
      <c r="HP173" s="116">
        <f>COUNTIFS('DRAFT 2'!$D:$D,$B173,'DRAFT 2'!$A:$A,"&gt;="&amp;DATE(2026,10,8),'DRAFT 2'!$A:$A,"&lt;="&amp;DATE(2026,10,14))</f>
        <v/>
      </c>
      <c r="HQ173" s="116">
        <f>COUNTIFS('DRAFT 2'!$D:$D,$B173,'DRAFT 2'!$A:$A,"&gt;="&amp;DATE(2026,10,15),'DRAFT 2'!$A:$A,"&lt;="&amp;DATE(2026,10,21))</f>
        <v/>
      </c>
      <c r="HR173" s="116">
        <f>COUNTIFS('DRAFT 2'!$D:$D,$B173,'DRAFT 2'!$A:$A,"&gt;="&amp;DATE(2026,10,22),'DRAFT 2'!$A:$A,"&lt;"&amp;DATE(2026,IF(10=12,10+1,10+1),1))</f>
        <v/>
      </c>
      <c r="HS173" s="116">
        <f>SUM(HO173:HR173)</f>
        <v/>
      </c>
      <c r="IC173" s="116">
        <f>IFERROR(LOOKUP(2,1/('DRAFT 2'!$D:$D=$B173)*('DRAFT 2'!$A:$A&gt;=DATE(2026,11,1))*('DRAFT 2'!$A:$A&lt;DATE(2026,IF(11=12,11+1,11+1),1)),'DRAFT 2'!$A:$A),"")</f>
        <v/>
      </c>
      <c r="ID173" s="116">
        <f>COUNTIFS('DRAFT 2'!$D:$D,$B173,'DRAFT 2'!$A:$A,"&gt;="&amp;DATE(2026,11,1),'DRAFT 2'!$A:$A,"&lt;="&amp;DATE(2026,11,7))</f>
        <v/>
      </c>
      <c r="IE173" s="116">
        <f>COUNTIFS('DRAFT 2'!$D:$D,$B173,'DRAFT 2'!$A:$A,"&gt;="&amp;DATE(2026,11,8),'DRAFT 2'!$A:$A,"&lt;="&amp;DATE(2026,11,14))</f>
        <v/>
      </c>
      <c r="IF173" s="116">
        <f>COUNTIFS('DRAFT 2'!$D:$D,$B173,'DRAFT 2'!$A:$A,"&gt;="&amp;DATE(2026,11,15),'DRAFT 2'!$A:$A,"&lt;="&amp;DATE(2026,11,21))</f>
        <v/>
      </c>
      <c r="IG173" s="116">
        <f>COUNTIFS('DRAFT 2'!$D:$D,$B173,'DRAFT 2'!$A:$A,"&gt;="&amp;DATE(2026,11,22),'DRAFT 2'!$A:$A,"&lt;"&amp;DATE(2026,IF(11=12,11+1,11+1),1))</f>
        <v/>
      </c>
      <c r="IH173" s="116">
        <f>SUM(ID173:IG173)</f>
        <v/>
      </c>
      <c r="IR173" s="116">
        <f>IFERROR(LOOKUP(2,1/('DRAFT 2'!$D:$D=$B173)*('DRAFT 2'!$A:$A&gt;=DATE(2026,12,1))*('DRAFT 2'!$A:$A&lt;DATE(2026,IF(12=12,12+1,12+1),1)),'DRAFT 2'!$A:$A),"")</f>
        <v/>
      </c>
      <c r="IS173" s="116">
        <f>COUNTIFS('DRAFT 2'!$D:$D,$B173,'DRAFT 2'!$A:$A,"&gt;="&amp;DATE(2026,12,1),'DRAFT 2'!$A:$A,"&lt;="&amp;DATE(2026,12,7))</f>
        <v/>
      </c>
      <c r="IT173" s="116">
        <f>COUNTIFS('DRAFT 2'!$D:$D,$B173,'DRAFT 2'!$A:$A,"&gt;="&amp;DATE(2026,12,8),'DRAFT 2'!$A:$A,"&lt;="&amp;DATE(2026,12,14))</f>
        <v/>
      </c>
      <c r="IU173" s="116">
        <f>COUNTIFS('DRAFT 2'!$D:$D,$B173,'DRAFT 2'!$A:$A,"&gt;="&amp;DATE(2026,12,15),'DRAFT 2'!$A:$A,"&lt;="&amp;DATE(2026,12,21))</f>
        <v/>
      </c>
      <c r="IV173" s="116">
        <f>COUNTIFS('DRAFT 2'!$D:$D,$B173,'DRAFT 2'!$A:$A,"&gt;="&amp;DATE(2026,12,22),'DRAFT 2'!$A:$A,"&lt;"&amp;DATE(2026,IF(12=12,12+1,12+1),1))</f>
        <v/>
      </c>
      <c r="IW173" s="116">
        <f>SUM(IS173:IV173)</f>
        <v/>
      </c>
    </row>
    <row r="174">
      <c r="A174" s="116">
        <f>IFERROR(INDEX('DRAFT 1'!$A:$A,MATCH($B174,'DRAFT 1'!$B:$B,0)),"")</f>
        <v/>
      </c>
      <c r="C174" s="116">
        <f>IFERROR(INDEX('DRAFT 1'!$C:$C,MATCH($B174,'DRAFT 1'!$B:$B,0)),"")</f>
        <v/>
      </c>
      <c r="D174" s="116">
        <f>IFERROR(INDEX('DRAFT 1'!$D:$D,MATCH($B174,'DRAFT 1'!$B:$B,0)),"")</f>
        <v/>
      </c>
      <c r="E174" s="116">
        <f>IFERROR(INDEX('DRAFT 1'!$E:$E,MATCH($B174,'DRAFT 1'!$B:$B,0)),"")</f>
        <v/>
      </c>
      <c r="F174" s="116">
        <f>IFERROR(INDEX('DRAFT 1'!$F:$F,MATCH($B174,'DRAFT 1'!$B:$B,0)),"")</f>
        <v/>
      </c>
      <c r="G174" s="116">
        <f>IFERROR(INDEX('DRAFT 1'!$G:$G,MATCH($B174,'DRAFT 1'!$B:$B,0)),"")</f>
        <v/>
      </c>
      <c r="H174" s="116">
        <f>IFERROR(INDEX('DRAFT 1'!$H:$H,MATCH($B174,'DRAFT 1'!$B:$B,0)),"")</f>
        <v/>
      </c>
      <c r="I174" s="116">
        <f>IFERROR(INDEX('DRAFT 1'!$I:$I,MATCH($B174,'DRAFT 1'!$B:$B,0)),"")</f>
        <v/>
      </c>
      <c r="K174" s="116">
        <f>IFERROR(INDEX('DRAFT 1'!$AL:$AL,MATCH($B174,'DRAFT 1'!$B:$B,0)),"")</f>
        <v/>
      </c>
      <c r="L174" s="116">
        <f>IFERROR(INDEX('DRAFT 1'!$J:$J,MATCH($B174,'DRAFT 1'!$B:$B,0)),"")</f>
        <v/>
      </c>
      <c r="M174" s="116">
        <f>IFERROR(INDEX('DRAFT 1'!$K:$K,MATCH($B174,'DRAFT 1'!$B:$B,0)),"")</f>
        <v/>
      </c>
      <c r="P174" s="116">
        <f>IFERROR(INDEX('DRAFT 1'!$L:$L,MATCH($B174,'DRAFT 1'!$B:$B,0)),"")</f>
        <v/>
      </c>
      <c r="Q174" s="116">
        <f>IFERROR(INDEX('DRAFT 1'!$M:$M,MATCH($B174,'DRAFT 1'!$B:$B,0)),"")</f>
        <v/>
      </c>
      <c r="R174" s="116">
        <f>IFERROR(INDEX('DRAFT 1'!$N:$N,MATCH($B174,'DRAFT 1'!$B:$B,0)),"")</f>
        <v/>
      </c>
      <c r="S174" s="116">
        <f>IFERROR(INDEX('DRAFT 1'!$O:$O,MATCH($B174,'DRAFT 1'!$B:$B,0)),"")</f>
        <v/>
      </c>
      <c r="T174" s="116">
        <f>IFERROR(INDEX('DRAFT 1'!$P:$P,MATCH($B174,'DRAFT 1'!$B:$B,0)),"")</f>
        <v/>
      </c>
      <c r="U174" s="116">
        <f>IFERROR(INDEX('DRAFT 1'!$Q:$Q,MATCH($B174,'DRAFT 1'!$B:$B,0)),"")</f>
        <v/>
      </c>
      <c r="V174" s="116">
        <f>IFERROR(INDEX('DRAFT 1'!$R:$R,MATCH($B174,'DRAFT 1'!$B:$B,0)),"")</f>
        <v/>
      </c>
      <c r="W174" s="116">
        <f>IFERROR(INDEX('DRAFT 1'!$S:$S,MATCH($B174,'DRAFT 1'!$B:$B,0)),"")</f>
        <v/>
      </c>
      <c r="X174" s="116">
        <f>IFERROR(INDEX('DRAFT 1'!$T:$T,MATCH($B174,'DRAFT 1'!$B:$B,0)),"")</f>
        <v/>
      </c>
      <c r="Z174" s="116">
        <f>IFERROR(INDEX('DRAFT 1'!$U:$U,MATCH($B174,'DRAFT 1'!$B:$B,0)),"")</f>
        <v/>
      </c>
      <c r="AA174" s="116">
        <f>IFERROR(INDEX('DRAFT 1'!$V:$V,MATCH($B174,'DRAFT 1'!$B:$B,0)),"")</f>
        <v/>
      </c>
      <c r="AB174" s="116">
        <f>IFERROR(INDEX('DRAFT 1'!$W:$W,MATCH($B174,'DRAFT 1'!$B:$B,0)),"")</f>
        <v/>
      </c>
      <c r="AC174" s="116">
        <f>IFERROR(INDEX('DRAFT 1'!$X:$X,MATCH($B174,'DRAFT 1'!$B:$B,0)),"")</f>
        <v/>
      </c>
      <c r="AD174" s="116">
        <f>IFERROR(INDEX('DRAFT 1'!$Y:$Y,MATCH($B174,'DRAFT 1'!$B:$B,0)),"")</f>
        <v/>
      </c>
      <c r="AE174" s="116">
        <f>IFERROR(INDEX('DRAFT 1'!$Z:$Z,MATCH($B174,'DRAFT 1'!$B:$B,0)),"")</f>
        <v/>
      </c>
      <c r="AF174" s="116">
        <f>IFERROR(INDEX('DRAFT 1'!$AA:$AA,MATCH($B174,'DRAFT 1'!$B:$B,0)),"")</f>
        <v/>
      </c>
      <c r="AG174" s="116">
        <f>IFERROR(INDEX('DRAFT 1'!$AB:$AB,MATCH($B174,'DRAFT 1'!$B:$B,0)),"")</f>
        <v/>
      </c>
      <c r="AH174" s="116">
        <f>IFERROR(INDEX('DRAFT 1'!$AC:$AC,MATCH($B174,'DRAFT 1'!$B:$B,0)),"")</f>
        <v/>
      </c>
      <c r="AI174" s="116">
        <f>IFERROR(INDEX('DRAFT 1'!$AD:$AD,MATCH($B174,'DRAFT 1'!$B:$B,0)),"")</f>
        <v/>
      </c>
      <c r="AJ174" s="116">
        <f>IFERROR(INDEX('DRAFT 1'!$AE:$AE,MATCH($B174,'DRAFT 1'!$B:$B,0)),"")</f>
        <v/>
      </c>
      <c r="AK174" s="116">
        <f>IFERROR(INDEX('DRAFT 1'!$AG:$AG,MATCH($B174,'DRAFT 1'!$B:$B,0)),"")</f>
        <v/>
      </c>
      <c r="AL174" s="116">
        <f>IFERROR(INDEX('DRAFT 1'!$AH:$AH,MATCH($B174,'DRAFT 1'!$B:$B,0)),"")</f>
        <v/>
      </c>
      <c r="AM174" s="116">
        <f>IFERROR(INDEX('DRAFT 1'!$AI:$AI,MATCH($B174,'DRAFT 1'!$B:$B,0)),"")</f>
        <v/>
      </c>
      <c r="AN174" s="116">
        <f>IFERROR(INDEX('DRAFT 1'!$AJ:$AJ,MATCH($B174,'DRAFT 1'!$B:$B,0)),"")</f>
        <v/>
      </c>
      <c r="AO174" s="116">
        <f>IFERROR(Y174/AN174,0)</f>
        <v/>
      </c>
      <c r="AP174" s="116">
        <f>IFERROR(INDEX('DRAFT 1'!$AK:$AK,MATCH($B174,'DRAFT 1'!$B:$B,0)),"")</f>
        <v/>
      </c>
      <c r="AR174" s="116">
        <f>IFERROR(LOOKUP(2,1/('DRAFT 2'!$D:$D=$B174),'DRAFT 2'!$I:$I),"")</f>
        <v/>
      </c>
      <c r="AS174" s="116">
        <f>IFERROR(LOOKUP(2,1/('DRAFT 2'!$D:$D=$B174),'DRAFT 2'!$T:$T),"")</f>
        <v/>
      </c>
      <c r="AT174" s="116">
        <f>IFERROR(LOOKUP(2,1/('DRAFT 2'!$D:$D=$B174),'DRAFT 2'!$A:$A),"")</f>
        <v/>
      </c>
      <c r="AU174" s="116">
        <f>IFERROR(LOOKUP(2,1/('DRAFT 2'!$D:$D=$B174),'DRAFT 2'!$R:$R),"")</f>
        <v/>
      </c>
      <c r="AV174" s="116">
        <f>IFERROR(LOOKUP(2,1/('DRAFT 2'!$D:$D=$B174),'DRAFT 2'!$S:$S),"")</f>
        <v/>
      </c>
      <c r="AX174" s="116">
        <f>IFERROR(LOOKUP(2,1/('DRAFT 2'!$D:$D=$B174),'DRAFT 2'!$M:$M),"")</f>
        <v/>
      </c>
      <c r="AY174" s="116">
        <f>IFERROR(LOOKUP(2,1/('DRAFT 2'!$D:$D=$B174),'DRAFT 2'!$K:$K),"")</f>
        <v/>
      </c>
      <c r="BG174" s="116">
        <f>IFERROR(LOOKUP(2,1/('DRAFT 2'!$D:$D=$B174),'DRAFT 2'!$U:$U),"")</f>
        <v/>
      </c>
      <c r="BH174" s="116">
        <f>IFERROR(LOOKUP(2,1/('DRAFT 2'!$D:$D=$B174),'DRAFT 2'!$V:$V),"")</f>
        <v/>
      </c>
      <c r="CE174" s="116">
        <f>IFERROR(AJ174,0)</f>
        <v/>
      </c>
      <c r="CF174" s="116">
        <f>IFERROR(LOOKUP(2,1/('DRAFT 2'!$D:$D=$B174)*('DRAFT 2'!$A:$A&gt;=DATE(2026,1,1))*('DRAFT 2'!$A:$A&lt;DATE(2026,IF(1=12,1+1,1+1),1)),'DRAFT 2'!$A:$A),"")</f>
        <v/>
      </c>
      <c r="CG174" s="116">
        <f>COUNTIFS('DRAFT 2'!$D:$D,$B174,'DRAFT 2'!$A:$A,"&gt;="&amp;DATE(2026,1,1),'DRAFT 2'!$A:$A,"&lt;="&amp;DATE(2026,1,7))</f>
        <v/>
      </c>
      <c r="CH174" s="116">
        <f>COUNTIFS('DRAFT 2'!$D:$D,$B174,'DRAFT 2'!$A:$A,"&gt;="&amp;DATE(2026,1,8),'DRAFT 2'!$A:$A,"&lt;="&amp;DATE(2026,1,14))</f>
        <v/>
      </c>
      <c r="CI174" s="116">
        <f>COUNTIFS('DRAFT 2'!$D:$D,$B174,'DRAFT 2'!$A:$A,"&gt;="&amp;DATE(2026,1,15),'DRAFT 2'!$A:$A,"&lt;="&amp;DATE(2026,1,21))</f>
        <v/>
      </c>
      <c r="CJ174" s="116">
        <f>COUNTIFS('DRAFT 2'!$D:$D,$B174,'DRAFT 2'!$A:$A,"&gt;="&amp;DATE(2026,1,22),'DRAFT 2'!$A:$A,"&lt;"&amp;DATE(2026,IF(1=12,1+1,1+1),1))</f>
        <v/>
      </c>
      <c r="CK174" s="116">
        <f>SUM(CG174:CJ174)</f>
        <v/>
      </c>
      <c r="CT174" s="116" t="n">
        <v>0</v>
      </c>
      <c r="CU174" s="116">
        <f>IFERROR(LOOKUP(2,1/('DRAFT 2'!$D:$D=$B174)*('DRAFT 2'!$A:$A&gt;=DATE(2026,2,1))*('DRAFT 2'!$A:$A&lt;DATE(2026,IF(2=12,2+1,2+1),1)),'DRAFT 2'!$A:$A),"")</f>
        <v/>
      </c>
      <c r="CV174" s="116">
        <f>COUNTIFS('DRAFT 2'!$D:$D,$B174,'DRAFT 2'!$A:$A,"&gt;="&amp;DATE(2026,2,1),'DRAFT 2'!$A:$A,"&lt;="&amp;DATE(2026,2,7))</f>
        <v/>
      </c>
      <c r="CW174" s="116">
        <f>COUNTIFS('DRAFT 2'!$D:$D,$B174,'DRAFT 2'!$A:$A,"&gt;="&amp;DATE(2026,2,8),'DRAFT 2'!$A:$A,"&lt;="&amp;DATE(2026,2,14))</f>
        <v/>
      </c>
      <c r="CX174" s="116">
        <f>COUNTIFS('DRAFT 2'!$D:$D,$B174,'DRAFT 2'!$A:$A,"&gt;="&amp;DATE(2026,2,15),'DRAFT 2'!$A:$A,"&lt;="&amp;DATE(2026,2,21))</f>
        <v/>
      </c>
      <c r="CY174" s="116">
        <f>COUNTIFS('DRAFT 2'!$D:$D,$B174,'DRAFT 2'!$A:$A,"&gt;="&amp;DATE(2026,2,22),'DRAFT 2'!$A:$A,"&lt;"&amp;DATE(2026,IF(2=12,2+1,2+1),1))</f>
        <v/>
      </c>
      <c r="CZ174" s="116">
        <f>SUM(CV174:CY174)</f>
        <v/>
      </c>
      <c r="DJ174" s="116">
        <f>IFERROR(LOOKUP(2,1/('DRAFT 2'!$D:$D=$B174)*('DRAFT 2'!$A:$A&gt;=DATE(2026,3,1))*('DRAFT 2'!$A:$A&lt;DATE(2026,IF(3=12,3+1,3+1),1)),'DRAFT 2'!$A:$A),"")</f>
        <v/>
      </c>
      <c r="DK174" s="116">
        <f>COUNTIFS('DRAFT 2'!$D:$D,$B174,'DRAFT 2'!$A:$A,"&gt;="&amp;DATE(2026,3,1),'DRAFT 2'!$A:$A,"&lt;="&amp;DATE(2026,3,7))</f>
        <v/>
      </c>
      <c r="DL174" s="116">
        <f>COUNTIFS('DRAFT 2'!$D:$D,$B174,'DRAFT 2'!$A:$A,"&gt;="&amp;DATE(2026,3,8),'DRAFT 2'!$A:$A,"&lt;="&amp;DATE(2026,3,14))</f>
        <v/>
      </c>
      <c r="DM174" s="116">
        <f>COUNTIFS('DRAFT 2'!$D:$D,$B174,'DRAFT 2'!$A:$A,"&gt;="&amp;DATE(2026,3,15),'DRAFT 2'!$A:$A,"&lt;="&amp;DATE(2026,3,21))</f>
        <v/>
      </c>
      <c r="DN174" s="116">
        <f>COUNTIFS('DRAFT 2'!$D:$D,$B174,'DRAFT 2'!$A:$A,"&gt;="&amp;DATE(2026,3,22),'DRAFT 2'!$A:$A,"&lt;"&amp;DATE(2026,IF(3=12,3+1,3+1),1))</f>
        <v/>
      </c>
      <c r="DO174" s="116">
        <f>SUM(DK174:DN174)</f>
        <v/>
      </c>
      <c r="DZ174" s="116">
        <f>IFERROR(LOOKUP(2,1/('DRAFT 2'!$D:$D=$B174)*('DRAFT 2'!$A:$A&gt;=DATE(2026,4,1))*('DRAFT 2'!$A:$A&lt;DATE(2026,IF(4=12,4+1,4+1),1)),'DRAFT 2'!$A:$A),"")</f>
        <v/>
      </c>
      <c r="EA174" s="116">
        <f>COUNTIFS('DRAFT 2'!$D:$D,$B174,'DRAFT 2'!$A:$A,"&gt;="&amp;DATE(2026,4,1),'DRAFT 2'!$A:$A,"&lt;="&amp;DATE(2026,4,7))</f>
        <v/>
      </c>
      <c r="EB174" s="116">
        <f>COUNTIFS('DRAFT 2'!$D:$D,$B174,'DRAFT 2'!$A:$A,"&gt;="&amp;DATE(2026,4,8),'DRAFT 2'!$A:$A,"&lt;="&amp;DATE(2026,4,14))</f>
        <v/>
      </c>
      <c r="EC174" s="116">
        <f>COUNTIFS('DRAFT 2'!$D:$D,$B174,'DRAFT 2'!$A:$A,"&gt;="&amp;DATE(2026,4,15),'DRAFT 2'!$A:$A,"&lt;="&amp;DATE(2026,4,21))</f>
        <v/>
      </c>
      <c r="ED174" s="116">
        <f>COUNTIFS('DRAFT 2'!$D:$D,$B174,'DRAFT 2'!$A:$A,"&gt;="&amp;DATE(2026,4,22),'DRAFT 2'!$A:$A,"&lt;"&amp;DATE(2026,IF(4=12,4+1,4+1),1))</f>
        <v/>
      </c>
      <c r="EE174" s="116">
        <f>SUM(EA174:ED174)</f>
        <v/>
      </c>
      <c r="EO174" s="116">
        <f>IFERROR(LOOKUP(2,1/('DRAFT 2'!$D:$D=$B174)*('DRAFT 2'!$A:$A&gt;=DATE(2026,5,1))*('DRAFT 2'!$A:$A&lt;DATE(2026,IF(5=12,5+1,5+1),1)),'DRAFT 2'!$A:$A),"")</f>
        <v/>
      </c>
      <c r="EP174" s="116">
        <f>COUNTIFS('DRAFT 2'!$D:$D,$B174,'DRAFT 2'!$A:$A,"&gt;="&amp;DATE(2026,5,1),'DRAFT 2'!$A:$A,"&lt;="&amp;DATE(2026,5,7))</f>
        <v/>
      </c>
      <c r="EQ174" s="116">
        <f>COUNTIFS('DRAFT 2'!$D:$D,$B174,'DRAFT 2'!$A:$A,"&gt;="&amp;DATE(2026,5,8),'DRAFT 2'!$A:$A,"&lt;="&amp;DATE(2026,5,14))</f>
        <v/>
      </c>
      <c r="ER174" s="116">
        <f>COUNTIFS('DRAFT 2'!$D:$D,$B174,'DRAFT 2'!$A:$A,"&gt;="&amp;DATE(2026,5,15),'DRAFT 2'!$A:$A,"&lt;="&amp;DATE(2026,5,21))</f>
        <v/>
      </c>
      <c r="ES174" s="116">
        <f>COUNTIFS('DRAFT 2'!$D:$D,$B174,'DRAFT 2'!$A:$A,"&gt;="&amp;DATE(2026,5,22),'DRAFT 2'!$A:$A,"&lt;"&amp;DATE(2026,IF(5=12,5+1,5+1),1))</f>
        <v/>
      </c>
      <c r="ET174" s="116">
        <f>SUM(EP174:ES174)</f>
        <v/>
      </c>
      <c r="FD174" s="116">
        <f>IFERROR(LOOKUP(2,1/('DRAFT 2'!$D:$D=$B174)*('DRAFT 2'!$A:$A&gt;=DATE(2026,6,1))*('DRAFT 2'!$A:$A&lt;DATE(2026,IF(6=12,6+1,6+1),1)),'DRAFT 2'!$A:$A),"")</f>
        <v/>
      </c>
      <c r="FE174" s="116">
        <f>COUNTIFS('DRAFT 2'!$D:$D,$B174,'DRAFT 2'!$A:$A,"&gt;="&amp;DATE(2026,6,1),'DRAFT 2'!$A:$A,"&lt;="&amp;DATE(2026,6,7))</f>
        <v/>
      </c>
      <c r="FF174" s="116">
        <f>COUNTIFS('DRAFT 2'!$D:$D,$B174,'DRAFT 2'!$A:$A,"&gt;="&amp;DATE(2026,6,8),'DRAFT 2'!$A:$A,"&lt;="&amp;DATE(2026,6,14))</f>
        <v/>
      </c>
      <c r="FG174" s="116">
        <f>COUNTIFS('DRAFT 2'!$D:$D,$B174,'DRAFT 2'!$A:$A,"&gt;="&amp;DATE(2026,6,15),'DRAFT 2'!$A:$A,"&lt;="&amp;DATE(2026,6,21))</f>
        <v/>
      </c>
      <c r="FH174" s="116">
        <f>COUNTIFS('DRAFT 2'!$D:$D,$B174,'DRAFT 2'!$A:$A,"&gt;="&amp;DATE(2026,6,22),'DRAFT 2'!$A:$A,"&lt;"&amp;DATE(2026,IF(6=12,6+1,6+1),1))</f>
        <v/>
      </c>
      <c r="FI174" s="116">
        <f>SUM(FE174:FH174)</f>
        <v/>
      </c>
      <c r="FT174" s="116">
        <f>IFERROR(LOOKUP(2,1/('DRAFT 2'!$D:$D=$B174)*('DRAFT 2'!$A:$A&gt;=DATE(2026,7,1))*('DRAFT 2'!$A:$A&lt;DATE(2026,IF(7=12,7+1,7+1),1)),'DRAFT 2'!$A:$A),"")</f>
        <v/>
      </c>
      <c r="FU174" s="116">
        <f>COUNTIFS('DRAFT 2'!$D:$D,$B174,'DRAFT 2'!$A:$A,"&gt;="&amp;DATE(2026,7,1),'DRAFT 2'!$A:$A,"&lt;="&amp;DATE(2026,7,7))</f>
        <v/>
      </c>
      <c r="FV174" s="116">
        <f>COUNTIFS('DRAFT 2'!$D:$D,$B174,'DRAFT 2'!$A:$A,"&gt;="&amp;DATE(2026,7,8),'DRAFT 2'!$A:$A,"&lt;="&amp;DATE(2026,7,14))</f>
        <v/>
      </c>
      <c r="FW174" s="116">
        <f>COUNTIFS('DRAFT 2'!$D:$D,$B174,'DRAFT 2'!$A:$A,"&gt;="&amp;DATE(2026,7,15),'DRAFT 2'!$A:$A,"&lt;="&amp;DATE(2026,7,21))</f>
        <v/>
      </c>
      <c r="FX174" s="116">
        <f>COUNTIFS('DRAFT 2'!$D:$D,$B174,'DRAFT 2'!$A:$A,"&gt;="&amp;DATE(2026,7,22),'DRAFT 2'!$A:$A,"&lt;"&amp;DATE(2026,IF(7=12,7+1,7+1),1))</f>
        <v/>
      </c>
      <c r="FY174" s="116">
        <f>SUM(FU174:FX174)</f>
        <v/>
      </c>
      <c r="GI174" s="116">
        <f>IFERROR(LOOKUP(2,1/('DRAFT 2'!$D:$D=$B174)*('DRAFT 2'!$A:$A&gt;=DATE(2026,8,1))*('DRAFT 2'!$A:$A&lt;DATE(2026,IF(8=12,8+1,8+1),1)),'DRAFT 2'!$A:$A),"")</f>
        <v/>
      </c>
      <c r="GJ174" s="116">
        <f>COUNTIFS('DRAFT 2'!$D:$D,$B174,'DRAFT 2'!$A:$A,"&gt;="&amp;DATE(2026,8,1),'DRAFT 2'!$A:$A,"&lt;="&amp;DATE(2026,8,7))</f>
        <v/>
      </c>
      <c r="GK174" s="116">
        <f>COUNTIFS('DRAFT 2'!$D:$D,$B174,'DRAFT 2'!$A:$A,"&gt;="&amp;DATE(2026,8,8),'DRAFT 2'!$A:$A,"&lt;="&amp;DATE(2026,8,14))</f>
        <v/>
      </c>
      <c r="GL174" s="116">
        <f>COUNTIFS('DRAFT 2'!$D:$D,$B174,'DRAFT 2'!$A:$A,"&gt;="&amp;DATE(2026,8,15),'DRAFT 2'!$A:$A,"&lt;="&amp;DATE(2026,8,21))</f>
        <v/>
      </c>
      <c r="GM174" s="116">
        <f>COUNTIFS('DRAFT 2'!$D:$D,$B174,'DRAFT 2'!$A:$A,"&gt;="&amp;DATE(2026,8,22),'DRAFT 2'!$A:$A,"&lt;"&amp;DATE(2026,IF(8=12,8+1,8+1),1))</f>
        <v/>
      </c>
      <c r="GN174" s="116">
        <f>SUM(GJ174:GM174)</f>
        <v/>
      </c>
      <c r="GX174" s="116">
        <f>IFERROR(LOOKUP(2,1/('DRAFT 2'!$D:$D=$B174)*('DRAFT 2'!$A:$A&gt;=DATE(2026,9,1))*('DRAFT 2'!$A:$A&lt;DATE(2026,IF(9=12,9+1,9+1),1)),'DRAFT 2'!$A:$A),"")</f>
        <v/>
      </c>
      <c r="GY174" s="116">
        <f>COUNTIFS('DRAFT 2'!$D:$D,$B174,'DRAFT 2'!$A:$A,"&gt;="&amp;DATE(2026,9,1),'DRAFT 2'!$A:$A,"&lt;="&amp;DATE(2026,9,7))</f>
        <v/>
      </c>
      <c r="GZ174" s="116">
        <f>COUNTIFS('DRAFT 2'!$D:$D,$B174,'DRAFT 2'!$A:$A,"&gt;="&amp;DATE(2026,9,8),'DRAFT 2'!$A:$A,"&lt;="&amp;DATE(2026,9,14))</f>
        <v/>
      </c>
      <c r="HA174" s="116">
        <f>COUNTIFS('DRAFT 2'!$D:$D,$B174,'DRAFT 2'!$A:$A,"&gt;="&amp;DATE(2026,9,15),'DRAFT 2'!$A:$A,"&lt;="&amp;DATE(2026,9,21))</f>
        <v/>
      </c>
      <c r="HB174" s="116">
        <f>COUNTIFS('DRAFT 2'!$D:$D,$B174,'DRAFT 2'!$A:$A,"&gt;="&amp;DATE(2026,9,22),'DRAFT 2'!$A:$A,"&lt;"&amp;DATE(2026,IF(9=12,9+1,9+1),1))</f>
        <v/>
      </c>
      <c r="HC174" s="116">
        <f>SUM(GY174:HB174)</f>
        <v/>
      </c>
      <c r="HN174" s="116">
        <f>IFERROR(LOOKUP(2,1/('DRAFT 2'!$D:$D=$B174)*('DRAFT 2'!$A:$A&gt;=DATE(2026,10,1))*('DRAFT 2'!$A:$A&lt;DATE(2026,IF(10=12,10+1,10+1),1)),'DRAFT 2'!$A:$A),"")</f>
        <v/>
      </c>
      <c r="HO174" s="116">
        <f>COUNTIFS('DRAFT 2'!$D:$D,$B174,'DRAFT 2'!$A:$A,"&gt;="&amp;DATE(2026,10,1),'DRAFT 2'!$A:$A,"&lt;="&amp;DATE(2026,10,7))</f>
        <v/>
      </c>
      <c r="HP174" s="116">
        <f>COUNTIFS('DRAFT 2'!$D:$D,$B174,'DRAFT 2'!$A:$A,"&gt;="&amp;DATE(2026,10,8),'DRAFT 2'!$A:$A,"&lt;="&amp;DATE(2026,10,14))</f>
        <v/>
      </c>
      <c r="HQ174" s="116">
        <f>COUNTIFS('DRAFT 2'!$D:$D,$B174,'DRAFT 2'!$A:$A,"&gt;="&amp;DATE(2026,10,15),'DRAFT 2'!$A:$A,"&lt;="&amp;DATE(2026,10,21))</f>
        <v/>
      </c>
      <c r="HR174" s="116">
        <f>COUNTIFS('DRAFT 2'!$D:$D,$B174,'DRAFT 2'!$A:$A,"&gt;="&amp;DATE(2026,10,22),'DRAFT 2'!$A:$A,"&lt;"&amp;DATE(2026,IF(10=12,10+1,10+1),1))</f>
        <v/>
      </c>
      <c r="HS174" s="116">
        <f>SUM(HO174:HR174)</f>
        <v/>
      </c>
      <c r="IC174" s="116">
        <f>IFERROR(LOOKUP(2,1/('DRAFT 2'!$D:$D=$B174)*('DRAFT 2'!$A:$A&gt;=DATE(2026,11,1))*('DRAFT 2'!$A:$A&lt;DATE(2026,IF(11=12,11+1,11+1),1)),'DRAFT 2'!$A:$A),"")</f>
        <v/>
      </c>
      <c r="ID174" s="116">
        <f>COUNTIFS('DRAFT 2'!$D:$D,$B174,'DRAFT 2'!$A:$A,"&gt;="&amp;DATE(2026,11,1),'DRAFT 2'!$A:$A,"&lt;="&amp;DATE(2026,11,7))</f>
        <v/>
      </c>
      <c r="IE174" s="116">
        <f>COUNTIFS('DRAFT 2'!$D:$D,$B174,'DRAFT 2'!$A:$A,"&gt;="&amp;DATE(2026,11,8),'DRAFT 2'!$A:$A,"&lt;="&amp;DATE(2026,11,14))</f>
        <v/>
      </c>
      <c r="IF174" s="116">
        <f>COUNTIFS('DRAFT 2'!$D:$D,$B174,'DRAFT 2'!$A:$A,"&gt;="&amp;DATE(2026,11,15),'DRAFT 2'!$A:$A,"&lt;="&amp;DATE(2026,11,21))</f>
        <v/>
      </c>
      <c r="IG174" s="116">
        <f>COUNTIFS('DRAFT 2'!$D:$D,$B174,'DRAFT 2'!$A:$A,"&gt;="&amp;DATE(2026,11,22),'DRAFT 2'!$A:$A,"&lt;"&amp;DATE(2026,IF(11=12,11+1,11+1),1))</f>
        <v/>
      </c>
      <c r="IH174" s="116">
        <f>SUM(ID174:IG174)</f>
        <v/>
      </c>
      <c r="IR174" s="116">
        <f>IFERROR(LOOKUP(2,1/('DRAFT 2'!$D:$D=$B174)*('DRAFT 2'!$A:$A&gt;=DATE(2026,12,1))*('DRAFT 2'!$A:$A&lt;DATE(2026,IF(12=12,12+1,12+1),1)),'DRAFT 2'!$A:$A),"")</f>
        <v/>
      </c>
      <c r="IS174" s="116">
        <f>COUNTIFS('DRAFT 2'!$D:$D,$B174,'DRAFT 2'!$A:$A,"&gt;="&amp;DATE(2026,12,1),'DRAFT 2'!$A:$A,"&lt;="&amp;DATE(2026,12,7))</f>
        <v/>
      </c>
      <c r="IT174" s="116">
        <f>COUNTIFS('DRAFT 2'!$D:$D,$B174,'DRAFT 2'!$A:$A,"&gt;="&amp;DATE(2026,12,8),'DRAFT 2'!$A:$A,"&lt;="&amp;DATE(2026,12,14))</f>
        <v/>
      </c>
      <c r="IU174" s="116">
        <f>COUNTIFS('DRAFT 2'!$D:$D,$B174,'DRAFT 2'!$A:$A,"&gt;="&amp;DATE(2026,12,15),'DRAFT 2'!$A:$A,"&lt;="&amp;DATE(2026,12,21))</f>
        <v/>
      </c>
      <c r="IV174" s="116">
        <f>COUNTIFS('DRAFT 2'!$D:$D,$B174,'DRAFT 2'!$A:$A,"&gt;="&amp;DATE(2026,12,22),'DRAFT 2'!$A:$A,"&lt;"&amp;DATE(2026,IF(12=12,12+1,12+1),1))</f>
        <v/>
      </c>
      <c r="IW174" s="116">
        <f>SUM(IS174:IV174)</f>
        <v/>
      </c>
    </row>
    <row r="175">
      <c r="A175" s="116">
        <f>IFERROR(INDEX('DRAFT 1'!$A:$A,MATCH($B175,'DRAFT 1'!$B:$B,0)),"")</f>
        <v/>
      </c>
      <c r="C175" s="116">
        <f>IFERROR(INDEX('DRAFT 1'!$C:$C,MATCH($B175,'DRAFT 1'!$B:$B,0)),"")</f>
        <v/>
      </c>
      <c r="D175" s="116">
        <f>IFERROR(INDEX('DRAFT 1'!$D:$D,MATCH($B175,'DRAFT 1'!$B:$B,0)),"")</f>
        <v/>
      </c>
      <c r="E175" s="116">
        <f>IFERROR(INDEX('DRAFT 1'!$E:$E,MATCH($B175,'DRAFT 1'!$B:$B,0)),"")</f>
        <v/>
      </c>
      <c r="F175" s="116">
        <f>IFERROR(INDEX('DRAFT 1'!$F:$F,MATCH($B175,'DRAFT 1'!$B:$B,0)),"")</f>
        <v/>
      </c>
      <c r="G175" s="116">
        <f>IFERROR(INDEX('DRAFT 1'!$G:$G,MATCH($B175,'DRAFT 1'!$B:$B,0)),"")</f>
        <v/>
      </c>
      <c r="H175" s="116">
        <f>IFERROR(INDEX('DRAFT 1'!$H:$H,MATCH($B175,'DRAFT 1'!$B:$B,0)),"")</f>
        <v/>
      </c>
      <c r="I175" s="116">
        <f>IFERROR(INDEX('DRAFT 1'!$I:$I,MATCH($B175,'DRAFT 1'!$B:$B,0)),"")</f>
        <v/>
      </c>
      <c r="K175" s="116">
        <f>IFERROR(INDEX('DRAFT 1'!$AL:$AL,MATCH($B175,'DRAFT 1'!$B:$B,0)),"")</f>
        <v/>
      </c>
      <c r="L175" s="116">
        <f>IFERROR(INDEX('DRAFT 1'!$J:$J,MATCH($B175,'DRAFT 1'!$B:$B,0)),"")</f>
        <v/>
      </c>
      <c r="M175" s="116">
        <f>IFERROR(INDEX('DRAFT 1'!$K:$K,MATCH($B175,'DRAFT 1'!$B:$B,0)),"")</f>
        <v/>
      </c>
      <c r="P175" s="116">
        <f>IFERROR(INDEX('DRAFT 1'!$L:$L,MATCH($B175,'DRAFT 1'!$B:$B,0)),"")</f>
        <v/>
      </c>
      <c r="Q175" s="116">
        <f>IFERROR(INDEX('DRAFT 1'!$M:$M,MATCH($B175,'DRAFT 1'!$B:$B,0)),"")</f>
        <v/>
      </c>
      <c r="R175" s="116">
        <f>IFERROR(INDEX('DRAFT 1'!$N:$N,MATCH($B175,'DRAFT 1'!$B:$B,0)),"")</f>
        <v/>
      </c>
      <c r="S175" s="116">
        <f>IFERROR(INDEX('DRAFT 1'!$O:$O,MATCH($B175,'DRAFT 1'!$B:$B,0)),"")</f>
        <v/>
      </c>
      <c r="T175" s="116">
        <f>IFERROR(INDEX('DRAFT 1'!$P:$P,MATCH($B175,'DRAFT 1'!$B:$B,0)),"")</f>
        <v/>
      </c>
      <c r="U175" s="116">
        <f>IFERROR(INDEX('DRAFT 1'!$Q:$Q,MATCH($B175,'DRAFT 1'!$B:$B,0)),"")</f>
        <v/>
      </c>
      <c r="V175" s="116">
        <f>IFERROR(INDEX('DRAFT 1'!$R:$R,MATCH($B175,'DRAFT 1'!$B:$B,0)),"")</f>
        <v/>
      </c>
      <c r="W175" s="116">
        <f>IFERROR(INDEX('DRAFT 1'!$S:$S,MATCH($B175,'DRAFT 1'!$B:$B,0)),"")</f>
        <v/>
      </c>
      <c r="X175" s="116">
        <f>IFERROR(INDEX('DRAFT 1'!$T:$T,MATCH($B175,'DRAFT 1'!$B:$B,0)),"")</f>
        <v/>
      </c>
      <c r="Z175" s="116">
        <f>IFERROR(INDEX('DRAFT 1'!$U:$U,MATCH($B175,'DRAFT 1'!$B:$B,0)),"")</f>
        <v/>
      </c>
      <c r="AA175" s="116">
        <f>IFERROR(INDEX('DRAFT 1'!$V:$V,MATCH($B175,'DRAFT 1'!$B:$B,0)),"")</f>
        <v/>
      </c>
      <c r="AB175" s="116">
        <f>IFERROR(INDEX('DRAFT 1'!$W:$W,MATCH($B175,'DRAFT 1'!$B:$B,0)),"")</f>
        <v/>
      </c>
      <c r="AC175" s="116">
        <f>IFERROR(INDEX('DRAFT 1'!$X:$X,MATCH($B175,'DRAFT 1'!$B:$B,0)),"")</f>
        <v/>
      </c>
      <c r="AD175" s="116">
        <f>IFERROR(INDEX('DRAFT 1'!$Y:$Y,MATCH($B175,'DRAFT 1'!$B:$B,0)),"")</f>
        <v/>
      </c>
      <c r="AE175" s="116">
        <f>IFERROR(INDEX('DRAFT 1'!$Z:$Z,MATCH($B175,'DRAFT 1'!$B:$B,0)),"")</f>
        <v/>
      </c>
      <c r="AF175" s="116">
        <f>IFERROR(INDEX('DRAFT 1'!$AA:$AA,MATCH($B175,'DRAFT 1'!$B:$B,0)),"")</f>
        <v/>
      </c>
      <c r="AG175" s="116">
        <f>IFERROR(INDEX('DRAFT 1'!$AB:$AB,MATCH($B175,'DRAFT 1'!$B:$B,0)),"")</f>
        <v/>
      </c>
      <c r="AH175" s="116">
        <f>IFERROR(INDEX('DRAFT 1'!$AC:$AC,MATCH($B175,'DRAFT 1'!$B:$B,0)),"")</f>
        <v/>
      </c>
      <c r="AI175" s="116">
        <f>IFERROR(INDEX('DRAFT 1'!$AD:$AD,MATCH($B175,'DRAFT 1'!$B:$B,0)),"")</f>
        <v/>
      </c>
      <c r="AJ175" s="116">
        <f>IFERROR(INDEX('DRAFT 1'!$AE:$AE,MATCH($B175,'DRAFT 1'!$B:$B,0)),"")</f>
        <v/>
      </c>
      <c r="AK175" s="116">
        <f>IFERROR(INDEX('DRAFT 1'!$AG:$AG,MATCH($B175,'DRAFT 1'!$B:$B,0)),"")</f>
        <v/>
      </c>
      <c r="AL175" s="116">
        <f>IFERROR(INDEX('DRAFT 1'!$AH:$AH,MATCH($B175,'DRAFT 1'!$B:$B,0)),"")</f>
        <v/>
      </c>
      <c r="AM175" s="116">
        <f>IFERROR(INDEX('DRAFT 1'!$AI:$AI,MATCH($B175,'DRAFT 1'!$B:$B,0)),"")</f>
        <v/>
      </c>
      <c r="AN175" s="116">
        <f>IFERROR(INDEX('DRAFT 1'!$AJ:$AJ,MATCH($B175,'DRAFT 1'!$B:$B,0)),"")</f>
        <v/>
      </c>
      <c r="AO175" s="116">
        <f>IFERROR(Y175/AN175,0)</f>
        <v/>
      </c>
      <c r="AP175" s="116">
        <f>IFERROR(INDEX('DRAFT 1'!$AK:$AK,MATCH($B175,'DRAFT 1'!$B:$B,0)),"")</f>
        <v/>
      </c>
      <c r="AR175" s="116">
        <f>IFERROR(LOOKUP(2,1/('DRAFT 2'!$D:$D=$B175),'DRAFT 2'!$I:$I),"")</f>
        <v/>
      </c>
      <c r="AS175" s="116">
        <f>IFERROR(LOOKUP(2,1/('DRAFT 2'!$D:$D=$B175),'DRAFT 2'!$T:$T),"")</f>
        <v/>
      </c>
      <c r="AT175" s="116">
        <f>IFERROR(LOOKUP(2,1/('DRAFT 2'!$D:$D=$B175),'DRAFT 2'!$A:$A),"")</f>
        <v/>
      </c>
      <c r="AU175" s="116">
        <f>IFERROR(LOOKUP(2,1/('DRAFT 2'!$D:$D=$B175),'DRAFT 2'!$R:$R),"")</f>
        <v/>
      </c>
      <c r="AV175" s="116">
        <f>IFERROR(LOOKUP(2,1/('DRAFT 2'!$D:$D=$B175),'DRAFT 2'!$S:$S),"")</f>
        <v/>
      </c>
      <c r="AX175" s="116">
        <f>IFERROR(LOOKUP(2,1/('DRAFT 2'!$D:$D=$B175),'DRAFT 2'!$M:$M),"")</f>
        <v/>
      </c>
      <c r="AY175" s="116">
        <f>IFERROR(LOOKUP(2,1/('DRAFT 2'!$D:$D=$B175),'DRAFT 2'!$K:$K),"")</f>
        <v/>
      </c>
      <c r="BG175" s="116">
        <f>IFERROR(LOOKUP(2,1/('DRAFT 2'!$D:$D=$B175),'DRAFT 2'!$U:$U),"")</f>
        <v/>
      </c>
      <c r="BH175" s="116">
        <f>IFERROR(LOOKUP(2,1/('DRAFT 2'!$D:$D=$B175),'DRAFT 2'!$V:$V),"")</f>
        <v/>
      </c>
      <c r="CE175" s="116">
        <f>IFERROR(AJ175,0)</f>
        <v/>
      </c>
      <c r="CF175" s="116">
        <f>IFERROR(LOOKUP(2,1/('DRAFT 2'!$D:$D=$B175)*('DRAFT 2'!$A:$A&gt;=DATE(2026,1,1))*('DRAFT 2'!$A:$A&lt;DATE(2026,IF(1=12,1+1,1+1),1)),'DRAFT 2'!$A:$A),"")</f>
        <v/>
      </c>
      <c r="CG175" s="116">
        <f>COUNTIFS('DRAFT 2'!$D:$D,$B175,'DRAFT 2'!$A:$A,"&gt;="&amp;DATE(2026,1,1),'DRAFT 2'!$A:$A,"&lt;="&amp;DATE(2026,1,7))</f>
        <v/>
      </c>
      <c r="CH175" s="116">
        <f>COUNTIFS('DRAFT 2'!$D:$D,$B175,'DRAFT 2'!$A:$A,"&gt;="&amp;DATE(2026,1,8),'DRAFT 2'!$A:$A,"&lt;="&amp;DATE(2026,1,14))</f>
        <v/>
      </c>
      <c r="CI175" s="116">
        <f>COUNTIFS('DRAFT 2'!$D:$D,$B175,'DRAFT 2'!$A:$A,"&gt;="&amp;DATE(2026,1,15),'DRAFT 2'!$A:$A,"&lt;="&amp;DATE(2026,1,21))</f>
        <v/>
      </c>
      <c r="CJ175" s="116">
        <f>COUNTIFS('DRAFT 2'!$D:$D,$B175,'DRAFT 2'!$A:$A,"&gt;="&amp;DATE(2026,1,22),'DRAFT 2'!$A:$A,"&lt;"&amp;DATE(2026,IF(1=12,1+1,1+1),1))</f>
        <v/>
      </c>
      <c r="CK175" s="116">
        <f>SUM(CG175:CJ175)</f>
        <v/>
      </c>
      <c r="CT175" s="116" t="n">
        <v>0</v>
      </c>
      <c r="CU175" s="116">
        <f>IFERROR(LOOKUP(2,1/('DRAFT 2'!$D:$D=$B175)*('DRAFT 2'!$A:$A&gt;=DATE(2026,2,1))*('DRAFT 2'!$A:$A&lt;DATE(2026,IF(2=12,2+1,2+1),1)),'DRAFT 2'!$A:$A),"")</f>
        <v/>
      </c>
      <c r="CV175" s="116">
        <f>COUNTIFS('DRAFT 2'!$D:$D,$B175,'DRAFT 2'!$A:$A,"&gt;="&amp;DATE(2026,2,1),'DRAFT 2'!$A:$A,"&lt;="&amp;DATE(2026,2,7))</f>
        <v/>
      </c>
      <c r="CW175" s="116">
        <f>COUNTIFS('DRAFT 2'!$D:$D,$B175,'DRAFT 2'!$A:$A,"&gt;="&amp;DATE(2026,2,8),'DRAFT 2'!$A:$A,"&lt;="&amp;DATE(2026,2,14))</f>
        <v/>
      </c>
      <c r="CX175" s="116">
        <f>COUNTIFS('DRAFT 2'!$D:$D,$B175,'DRAFT 2'!$A:$A,"&gt;="&amp;DATE(2026,2,15),'DRAFT 2'!$A:$A,"&lt;="&amp;DATE(2026,2,21))</f>
        <v/>
      </c>
      <c r="CY175" s="116">
        <f>COUNTIFS('DRAFT 2'!$D:$D,$B175,'DRAFT 2'!$A:$A,"&gt;="&amp;DATE(2026,2,22),'DRAFT 2'!$A:$A,"&lt;"&amp;DATE(2026,IF(2=12,2+1,2+1),1))</f>
        <v/>
      </c>
      <c r="CZ175" s="116">
        <f>SUM(CV175:CY175)</f>
        <v/>
      </c>
      <c r="DJ175" s="116">
        <f>IFERROR(LOOKUP(2,1/('DRAFT 2'!$D:$D=$B175)*('DRAFT 2'!$A:$A&gt;=DATE(2026,3,1))*('DRAFT 2'!$A:$A&lt;DATE(2026,IF(3=12,3+1,3+1),1)),'DRAFT 2'!$A:$A),"")</f>
        <v/>
      </c>
      <c r="DK175" s="116">
        <f>COUNTIFS('DRAFT 2'!$D:$D,$B175,'DRAFT 2'!$A:$A,"&gt;="&amp;DATE(2026,3,1),'DRAFT 2'!$A:$A,"&lt;="&amp;DATE(2026,3,7))</f>
        <v/>
      </c>
      <c r="DL175" s="116">
        <f>COUNTIFS('DRAFT 2'!$D:$D,$B175,'DRAFT 2'!$A:$A,"&gt;="&amp;DATE(2026,3,8),'DRAFT 2'!$A:$A,"&lt;="&amp;DATE(2026,3,14))</f>
        <v/>
      </c>
      <c r="DM175" s="116">
        <f>COUNTIFS('DRAFT 2'!$D:$D,$B175,'DRAFT 2'!$A:$A,"&gt;="&amp;DATE(2026,3,15),'DRAFT 2'!$A:$A,"&lt;="&amp;DATE(2026,3,21))</f>
        <v/>
      </c>
      <c r="DN175" s="116">
        <f>COUNTIFS('DRAFT 2'!$D:$D,$B175,'DRAFT 2'!$A:$A,"&gt;="&amp;DATE(2026,3,22),'DRAFT 2'!$A:$A,"&lt;"&amp;DATE(2026,IF(3=12,3+1,3+1),1))</f>
        <v/>
      </c>
      <c r="DO175" s="116">
        <f>SUM(DK175:DN175)</f>
        <v/>
      </c>
      <c r="DZ175" s="116">
        <f>IFERROR(LOOKUP(2,1/('DRAFT 2'!$D:$D=$B175)*('DRAFT 2'!$A:$A&gt;=DATE(2026,4,1))*('DRAFT 2'!$A:$A&lt;DATE(2026,IF(4=12,4+1,4+1),1)),'DRAFT 2'!$A:$A),"")</f>
        <v/>
      </c>
      <c r="EA175" s="116">
        <f>COUNTIFS('DRAFT 2'!$D:$D,$B175,'DRAFT 2'!$A:$A,"&gt;="&amp;DATE(2026,4,1),'DRAFT 2'!$A:$A,"&lt;="&amp;DATE(2026,4,7))</f>
        <v/>
      </c>
      <c r="EB175" s="116">
        <f>COUNTIFS('DRAFT 2'!$D:$D,$B175,'DRAFT 2'!$A:$A,"&gt;="&amp;DATE(2026,4,8),'DRAFT 2'!$A:$A,"&lt;="&amp;DATE(2026,4,14))</f>
        <v/>
      </c>
      <c r="EC175" s="116">
        <f>COUNTIFS('DRAFT 2'!$D:$D,$B175,'DRAFT 2'!$A:$A,"&gt;="&amp;DATE(2026,4,15),'DRAFT 2'!$A:$A,"&lt;="&amp;DATE(2026,4,21))</f>
        <v/>
      </c>
      <c r="ED175" s="116">
        <f>COUNTIFS('DRAFT 2'!$D:$D,$B175,'DRAFT 2'!$A:$A,"&gt;="&amp;DATE(2026,4,22),'DRAFT 2'!$A:$A,"&lt;"&amp;DATE(2026,IF(4=12,4+1,4+1),1))</f>
        <v/>
      </c>
      <c r="EE175" s="116">
        <f>SUM(EA175:ED175)</f>
        <v/>
      </c>
      <c r="EO175" s="116">
        <f>IFERROR(LOOKUP(2,1/('DRAFT 2'!$D:$D=$B175)*('DRAFT 2'!$A:$A&gt;=DATE(2026,5,1))*('DRAFT 2'!$A:$A&lt;DATE(2026,IF(5=12,5+1,5+1),1)),'DRAFT 2'!$A:$A),"")</f>
        <v/>
      </c>
      <c r="EP175" s="116">
        <f>COUNTIFS('DRAFT 2'!$D:$D,$B175,'DRAFT 2'!$A:$A,"&gt;="&amp;DATE(2026,5,1),'DRAFT 2'!$A:$A,"&lt;="&amp;DATE(2026,5,7))</f>
        <v/>
      </c>
      <c r="EQ175" s="116">
        <f>COUNTIFS('DRAFT 2'!$D:$D,$B175,'DRAFT 2'!$A:$A,"&gt;="&amp;DATE(2026,5,8),'DRAFT 2'!$A:$A,"&lt;="&amp;DATE(2026,5,14))</f>
        <v/>
      </c>
      <c r="ER175" s="116">
        <f>COUNTIFS('DRAFT 2'!$D:$D,$B175,'DRAFT 2'!$A:$A,"&gt;="&amp;DATE(2026,5,15),'DRAFT 2'!$A:$A,"&lt;="&amp;DATE(2026,5,21))</f>
        <v/>
      </c>
      <c r="ES175" s="116">
        <f>COUNTIFS('DRAFT 2'!$D:$D,$B175,'DRAFT 2'!$A:$A,"&gt;="&amp;DATE(2026,5,22),'DRAFT 2'!$A:$A,"&lt;"&amp;DATE(2026,IF(5=12,5+1,5+1),1))</f>
        <v/>
      </c>
      <c r="ET175" s="116">
        <f>SUM(EP175:ES175)</f>
        <v/>
      </c>
      <c r="FD175" s="116">
        <f>IFERROR(LOOKUP(2,1/('DRAFT 2'!$D:$D=$B175)*('DRAFT 2'!$A:$A&gt;=DATE(2026,6,1))*('DRAFT 2'!$A:$A&lt;DATE(2026,IF(6=12,6+1,6+1),1)),'DRAFT 2'!$A:$A),"")</f>
        <v/>
      </c>
      <c r="FE175" s="116">
        <f>COUNTIFS('DRAFT 2'!$D:$D,$B175,'DRAFT 2'!$A:$A,"&gt;="&amp;DATE(2026,6,1),'DRAFT 2'!$A:$A,"&lt;="&amp;DATE(2026,6,7))</f>
        <v/>
      </c>
      <c r="FF175" s="116">
        <f>COUNTIFS('DRAFT 2'!$D:$D,$B175,'DRAFT 2'!$A:$A,"&gt;="&amp;DATE(2026,6,8),'DRAFT 2'!$A:$A,"&lt;="&amp;DATE(2026,6,14))</f>
        <v/>
      </c>
      <c r="FG175" s="116">
        <f>COUNTIFS('DRAFT 2'!$D:$D,$B175,'DRAFT 2'!$A:$A,"&gt;="&amp;DATE(2026,6,15),'DRAFT 2'!$A:$A,"&lt;="&amp;DATE(2026,6,21))</f>
        <v/>
      </c>
      <c r="FH175" s="116">
        <f>COUNTIFS('DRAFT 2'!$D:$D,$B175,'DRAFT 2'!$A:$A,"&gt;="&amp;DATE(2026,6,22),'DRAFT 2'!$A:$A,"&lt;"&amp;DATE(2026,IF(6=12,6+1,6+1),1))</f>
        <v/>
      </c>
      <c r="FI175" s="116">
        <f>SUM(FE175:FH175)</f>
        <v/>
      </c>
      <c r="FT175" s="116">
        <f>IFERROR(LOOKUP(2,1/('DRAFT 2'!$D:$D=$B175)*('DRAFT 2'!$A:$A&gt;=DATE(2026,7,1))*('DRAFT 2'!$A:$A&lt;DATE(2026,IF(7=12,7+1,7+1),1)),'DRAFT 2'!$A:$A),"")</f>
        <v/>
      </c>
      <c r="FU175" s="116">
        <f>COUNTIFS('DRAFT 2'!$D:$D,$B175,'DRAFT 2'!$A:$A,"&gt;="&amp;DATE(2026,7,1),'DRAFT 2'!$A:$A,"&lt;="&amp;DATE(2026,7,7))</f>
        <v/>
      </c>
      <c r="FV175" s="116">
        <f>COUNTIFS('DRAFT 2'!$D:$D,$B175,'DRAFT 2'!$A:$A,"&gt;="&amp;DATE(2026,7,8),'DRAFT 2'!$A:$A,"&lt;="&amp;DATE(2026,7,14))</f>
        <v/>
      </c>
      <c r="FW175" s="116">
        <f>COUNTIFS('DRAFT 2'!$D:$D,$B175,'DRAFT 2'!$A:$A,"&gt;="&amp;DATE(2026,7,15),'DRAFT 2'!$A:$A,"&lt;="&amp;DATE(2026,7,21))</f>
        <v/>
      </c>
      <c r="FX175" s="116">
        <f>COUNTIFS('DRAFT 2'!$D:$D,$B175,'DRAFT 2'!$A:$A,"&gt;="&amp;DATE(2026,7,22),'DRAFT 2'!$A:$A,"&lt;"&amp;DATE(2026,IF(7=12,7+1,7+1),1))</f>
        <v/>
      </c>
      <c r="FY175" s="116">
        <f>SUM(FU175:FX175)</f>
        <v/>
      </c>
      <c r="GI175" s="116">
        <f>IFERROR(LOOKUP(2,1/('DRAFT 2'!$D:$D=$B175)*('DRAFT 2'!$A:$A&gt;=DATE(2026,8,1))*('DRAFT 2'!$A:$A&lt;DATE(2026,IF(8=12,8+1,8+1),1)),'DRAFT 2'!$A:$A),"")</f>
        <v/>
      </c>
      <c r="GJ175" s="116">
        <f>COUNTIFS('DRAFT 2'!$D:$D,$B175,'DRAFT 2'!$A:$A,"&gt;="&amp;DATE(2026,8,1),'DRAFT 2'!$A:$A,"&lt;="&amp;DATE(2026,8,7))</f>
        <v/>
      </c>
      <c r="GK175" s="116">
        <f>COUNTIFS('DRAFT 2'!$D:$D,$B175,'DRAFT 2'!$A:$A,"&gt;="&amp;DATE(2026,8,8),'DRAFT 2'!$A:$A,"&lt;="&amp;DATE(2026,8,14))</f>
        <v/>
      </c>
      <c r="GL175" s="116">
        <f>COUNTIFS('DRAFT 2'!$D:$D,$B175,'DRAFT 2'!$A:$A,"&gt;="&amp;DATE(2026,8,15),'DRAFT 2'!$A:$A,"&lt;="&amp;DATE(2026,8,21))</f>
        <v/>
      </c>
      <c r="GM175" s="116">
        <f>COUNTIFS('DRAFT 2'!$D:$D,$B175,'DRAFT 2'!$A:$A,"&gt;="&amp;DATE(2026,8,22),'DRAFT 2'!$A:$A,"&lt;"&amp;DATE(2026,IF(8=12,8+1,8+1),1))</f>
        <v/>
      </c>
      <c r="GN175" s="116">
        <f>SUM(GJ175:GM175)</f>
        <v/>
      </c>
      <c r="GX175" s="116">
        <f>IFERROR(LOOKUP(2,1/('DRAFT 2'!$D:$D=$B175)*('DRAFT 2'!$A:$A&gt;=DATE(2026,9,1))*('DRAFT 2'!$A:$A&lt;DATE(2026,IF(9=12,9+1,9+1),1)),'DRAFT 2'!$A:$A),"")</f>
        <v/>
      </c>
      <c r="GY175" s="116">
        <f>COUNTIFS('DRAFT 2'!$D:$D,$B175,'DRAFT 2'!$A:$A,"&gt;="&amp;DATE(2026,9,1),'DRAFT 2'!$A:$A,"&lt;="&amp;DATE(2026,9,7))</f>
        <v/>
      </c>
      <c r="GZ175" s="116">
        <f>COUNTIFS('DRAFT 2'!$D:$D,$B175,'DRAFT 2'!$A:$A,"&gt;="&amp;DATE(2026,9,8),'DRAFT 2'!$A:$A,"&lt;="&amp;DATE(2026,9,14))</f>
        <v/>
      </c>
      <c r="HA175" s="116">
        <f>COUNTIFS('DRAFT 2'!$D:$D,$B175,'DRAFT 2'!$A:$A,"&gt;="&amp;DATE(2026,9,15),'DRAFT 2'!$A:$A,"&lt;="&amp;DATE(2026,9,21))</f>
        <v/>
      </c>
      <c r="HB175" s="116">
        <f>COUNTIFS('DRAFT 2'!$D:$D,$B175,'DRAFT 2'!$A:$A,"&gt;="&amp;DATE(2026,9,22),'DRAFT 2'!$A:$A,"&lt;"&amp;DATE(2026,IF(9=12,9+1,9+1),1))</f>
        <v/>
      </c>
      <c r="HC175" s="116">
        <f>SUM(GY175:HB175)</f>
        <v/>
      </c>
      <c r="HN175" s="116">
        <f>IFERROR(LOOKUP(2,1/('DRAFT 2'!$D:$D=$B175)*('DRAFT 2'!$A:$A&gt;=DATE(2026,10,1))*('DRAFT 2'!$A:$A&lt;DATE(2026,IF(10=12,10+1,10+1),1)),'DRAFT 2'!$A:$A),"")</f>
        <v/>
      </c>
      <c r="HO175" s="116">
        <f>COUNTIFS('DRAFT 2'!$D:$D,$B175,'DRAFT 2'!$A:$A,"&gt;="&amp;DATE(2026,10,1),'DRAFT 2'!$A:$A,"&lt;="&amp;DATE(2026,10,7))</f>
        <v/>
      </c>
      <c r="HP175" s="116">
        <f>COUNTIFS('DRAFT 2'!$D:$D,$B175,'DRAFT 2'!$A:$A,"&gt;="&amp;DATE(2026,10,8),'DRAFT 2'!$A:$A,"&lt;="&amp;DATE(2026,10,14))</f>
        <v/>
      </c>
      <c r="HQ175" s="116">
        <f>COUNTIFS('DRAFT 2'!$D:$D,$B175,'DRAFT 2'!$A:$A,"&gt;="&amp;DATE(2026,10,15),'DRAFT 2'!$A:$A,"&lt;="&amp;DATE(2026,10,21))</f>
        <v/>
      </c>
      <c r="HR175" s="116">
        <f>COUNTIFS('DRAFT 2'!$D:$D,$B175,'DRAFT 2'!$A:$A,"&gt;="&amp;DATE(2026,10,22),'DRAFT 2'!$A:$A,"&lt;"&amp;DATE(2026,IF(10=12,10+1,10+1),1))</f>
        <v/>
      </c>
      <c r="HS175" s="116">
        <f>SUM(HO175:HR175)</f>
        <v/>
      </c>
      <c r="IC175" s="116">
        <f>IFERROR(LOOKUP(2,1/('DRAFT 2'!$D:$D=$B175)*('DRAFT 2'!$A:$A&gt;=DATE(2026,11,1))*('DRAFT 2'!$A:$A&lt;DATE(2026,IF(11=12,11+1,11+1),1)),'DRAFT 2'!$A:$A),"")</f>
        <v/>
      </c>
      <c r="ID175" s="116">
        <f>COUNTIFS('DRAFT 2'!$D:$D,$B175,'DRAFT 2'!$A:$A,"&gt;="&amp;DATE(2026,11,1),'DRAFT 2'!$A:$A,"&lt;="&amp;DATE(2026,11,7))</f>
        <v/>
      </c>
      <c r="IE175" s="116">
        <f>COUNTIFS('DRAFT 2'!$D:$D,$B175,'DRAFT 2'!$A:$A,"&gt;="&amp;DATE(2026,11,8),'DRAFT 2'!$A:$A,"&lt;="&amp;DATE(2026,11,14))</f>
        <v/>
      </c>
      <c r="IF175" s="116">
        <f>COUNTIFS('DRAFT 2'!$D:$D,$B175,'DRAFT 2'!$A:$A,"&gt;="&amp;DATE(2026,11,15),'DRAFT 2'!$A:$A,"&lt;="&amp;DATE(2026,11,21))</f>
        <v/>
      </c>
      <c r="IG175" s="116">
        <f>COUNTIFS('DRAFT 2'!$D:$D,$B175,'DRAFT 2'!$A:$A,"&gt;="&amp;DATE(2026,11,22),'DRAFT 2'!$A:$A,"&lt;"&amp;DATE(2026,IF(11=12,11+1,11+1),1))</f>
        <v/>
      </c>
      <c r="IH175" s="116">
        <f>SUM(ID175:IG175)</f>
        <v/>
      </c>
      <c r="IR175" s="116">
        <f>IFERROR(LOOKUP(2,1/('DRAFT 2'!$D:$D=$B175)*('DRAFT 2'!$A:$A&gt;=DATE(2026,12,1))*('DRAFT 2'!$A:$A&lt;DATE(2026,IF(12=12,12+1,12+1),1)),'DRAFT 2'!$A:$A),"")</f>
        <v/>
      </c>
      <c r="IS175" s="116">
        <f>COUNTIFS('DRAFT 2'!$D:$D,$B175,'DRAFT 2'!$A:$A,"&gt;="&amp;DATE(2026,12,1),'DRAFT 2'!$A:$A,"&lt;="&amp;DATE(2026,12,7))</f>
        <v/>
      </c>
      <c r="IT175" s="116">
        <f>COUNTIFS('DRAFT 2'!$D:$D,$B175,'DRAFT 2'!$A:$A,"&gt;="&amp;DATE(2026,12,8),'DRAFT 2'!$A:$A,"&lt;="&amp;DATE(2026,12,14))</f>
        <v/>
      </c>
      <c r="IU175" s="116">
        <f>COUNTIFS('DRAFT 2'!$D:$D,$B175,'DRAFT 2'!$A:$A,"&gt;="&amp;DATE(2026,12,15),'DRAFT 2'!$A:$A,"&lt;="&amp;DATE(2026,12,21))</f>
        <v/>
      </c>
      <c r="IV175" s="116">
        <f>COUNTIFS('DRAFT 2'!$D:$D,$B175,'DRAFT 2'!$A:$A,"&gt;="&amp;DATE(2026,12,22),'DRAFT 2'!$A:$A,"&lt;"&amp;DATE(2026,IF(12=12,12+1,12+1),1))</f>
        <v/>
      </c>
      <c r="IW175" s="116">
        <f>SUM(IS175:IV175)</f>
        <v/>
      </c>
    </row>
    <row r="176">
      <c r="A176" s="116">
        <f>IFERROR(INDEX('DRAFT 1'!$A:$A,MATCH($B176,'DRAFT 1'!$B:$B,0)),"")</f>
        <v/>
      </c>
      <c r="C176" s="116">
        <f>IFERROR(INDEX('DRAFT 1'!$C:$C,MATCH($B176,'DRAFT 1'!$B:$B,0)),"")</f>
        <v/>
      </c>
      <c r="D176" s="116">
        <f>IFERROR(INDEX('DRAFT 1'!$D:$D,MATCH($B176,'DRAFT 1'!$B:$B,0)),"")</f>
        <v/>
      </c>
      <c r="E176" s="116">
        <f>IFERROR(INDEX('DRAFT 1'!$E:$E,MATCH($B176,'DRAFT 1'!$B:$B,0)),"")</f>
        <v/>
      </c>
      <c r="F176" s="116">
        <f>IFERROR(INDEX('DRAFT 1'!$F:$F,MATCH($B176,'DRAFT 1'!$B:$B,0)),"")</f>
        <v/>
      </c>
      <c r="G176" s="116">
        <f>IFERROR(INDEX('DRAFT 1'!$G:$G,MATCH($B176,'DRAFT 1'!$B:$B,0)),"")</f>
        <v/>
      </c>
      <c r="H176" s="116">
        <f>IFERROR(INDEX('DRAFT 1'!$H:$H,MATCH($B176,'DRAFT 1'!$B:$B,0)),"")</f>
        <v/>
      </c>
      <c r="I176" s="116">
        <f>IFERROR(INDEX('DRAFT 1'!$I:$I,MATCH($B176,'DRAFT 1'!$B:$B,0)),"")</f>
        <v/>
      </c>
      <c r="K176" s="116">
        <f>IFERROR(INDEX('DRAFT 1'!$AL:$AL,MATCH($B176,'DRAFT 1'!$B:$B,0)),"")</f>
        <v/>
      </c>
      <c r="L176" s="116">
        <f>IFERROR(INDEX('DRAFT 1'!$J:$J,MATCH($B176,'DRAFT 1'!$B:$B,0)),"")</f>
        <v/>
      </c>
      <c r="M176" s="116">
        <f>IFERROR(INDEX('DRAFT 1'!$K:$K,MATCH($B176,'DRAFT 1'!$B:$B,0)),"")</f>
        <v/>
      </c>
      <c r="P176" s="116">
        <f>IFERROR(INDEX('DRAFT 1'!$L:$L,MATCH($B176,'DRAFT 1'!$B:$B,0)),"")</f>
        <v/>
      </c>
      <c r="Q176" s="116">
        <f>IFERROR(INDEX('DRAFT 1'!$M:$M,MATCH($B176,'DRAFT 1'!$B:$B,0)),"")</f>
        <v/>
      </c>
      <c r="R176" s="116">
        <f>IFERROR(INDEX('DRAFT 1'!$N:$N,MATCH($B176,'DRAFT 1'!$B:$B,0)),"")</f>
        <v/>
      </c>
      <c r="S176" s="116">
        <f>IFERROR(INDEX('DRAFT 1'!$O:$O,MATCH($B176,'DRAFT 1'!$B:$B,0)),"")</f>
        <v/>
      </c>
      <c r="T176" s="116">
        <f>IFERROR(INDEX('DRAFT 1'!$P:$P,MATCH($B176,'DRAFT 1'!$B:$B,0)),"")</f>
        <v/>
      </c>
      <c r="U176" s="116">
        <f>IFERROR(INDEX('DRAFT 1'!$Q:$Q,MATCH($B176,'DRAFT 1'!$B:$B,0)),"")</f>
        <v/>
      </c>
      <c r="V176" s="116">
        <f>IFERROR(INDEX('DRAFT 1'!$R:$R,MATCH($B176,'DRAFT 1'!$B:$B,0)),"")</f>
        <v/>
      </c>
      <c r="W176" s="116">
        <f>IFERROR(INDEX('DRAFT 1'!$S:$S,MATCH($B176,'DRAFT 1'!$B:$B,0)),"")</f>
        <v/>
      </c>
      <c r="X176" s="116">
        <f>IFERROR(INDEX('DRAFT 1'!$T:$T,MATCH($B176,'DRAFT 1'!$B:$B,0)),"")</f>
        <v/>
      </c>
      <c r="Z176" s="116">
        <f>IFERROR(INDEX('DRAFT 1'!$U:$U,MATCH($B176,'DRAFT 1'!$B:$B,0)),"")</f>
        <v/>
      </c>
      <c r="AA176" s="116">
        <f>IFERROR(INDEX('DRAFT 1'!$V:$V,MATCH($B176,'DRAFT 1'!$B:$B,0)),"")</f>
        <v/>
      </c>
      <c r="AB176" s="116">
        <f>IFERROR(INDEX('DRAFT 1'!$W:$W,MATCH($B176,'DRAFT 1'!$B:$B,0)),"")</f>
        <v/>
      </c>
      <c r="AC176" s="116">
        <f>IFERROR(INDEX('DRAFT 1'!$X:$X,MATCH($B176,'DRAFT 1'!$B:$B,0)),"")</f>
        <v/>
      </c>
      <c r="AD176" s="116">
        <f>IFERROR(INDEX('DRAFT 1'!$Y:$Y,MATCH($B176,'DRAFT 1'!$B:$B,0)),"")</f>
        <v/>
      </c>
      <c r="AE176" s="116">
        <f>IFERROR(INDEX('DRAFT 1'!$Z:$Z,MATCH($B176,'DRAFT 1'!$B:$B,0)),"")</f>
        <v/>
      </c>
      <c r="AF176" s="116">
        <f>IFERROR(INDEX('DRAFT 1'!$AA:$AA,MATCH($B176,'DRAFT 1'!$B:$B,0)),"")</f>
        <v/>
      </c>
      <c r="AG176" s="116">
        <f>IFERROR(INDEX('DRAFT 1'!$AB:$AB,MATCH($B176,'DRAFT 1'!$B:$B,0)),"")</f>
        <v/>
      </c>
      <c r="AH176" s="116">
        <f>IFERROR(INDEX('DRAFT 1'!$AC:$AC,MATCH($B176,'DRAFT 1'!$B:$B,0)),"")</f>
        <v/>
      </c>
      <c r="AI176" s="116">
        <f>IFERROR(INDEX('DRAFT 1'!$AD:$AD,MATCH($B176,'DRAFT 1'!$B:$B,0)),"")</f>
        <v/>
      </c>
      <c r="AJ176" s="116">
        <f>IFERROR(INDEX('DRAFT 1'!$AE:$AE,MATCH($B176,'DRAFT 1'!$B:$B,0)),"")</f>
        <v/>
      </c>
      <c r="AK176" s="116">
        <f>IFERROR(INDEX('DRAFT 1'!$AG:$AG,MATCH($B176,'DRAFT 1'!$B:$B,0)),"")</f>
        <v/>
      </c>
      <c r="AL176" s="116">
        <f>IFERROR(INDEX('DRAFT 1'!$AH:$AH,MATCH($B176,'DRAFT 1'!$B:$B,0)),"")</f>
        <v/>
      </c>
      <c r="AM176" s="116">
        <f>IFERROR(INDEX('DRAFT 1'!$AI:$AI,MATCH($B176,'DRAFT 1'!$B:$B,0)),"")</f>
        <v/>
      </c>
      <c r="AN176" s="116">
        <f>IFERROR(INDEX('DRAFT 1'!$AJ:$AJ,MATCH($B176,'DRAFT 1'!$B:$B,0)),"")</f>
        <v/>
      </c>
      <c r="AO176" s="116">
        <f>IFERROR(Y176/AN176,0)</f>
        <v/>
      </c>
      <c r="AP176" s="116">
        <f>IFERROR(INDEX('DRAFT 1'!$AK:$AK,MATCH($B176,'DRAFT 1'!$B:$B,0)),"")</f>
        <v/>
      </c>
      <c r="AR176" s="116">
        <f>IFERROR(LOOKUP(2,1/('DRAFT 2'!$D:$D=$B176),'DRAFT 2'!$I:$I),"")</f>
        <v/>
      </c>
      <c r="AS176" s="116">
        <f>IFERROR(LOOKUP(2,1/('DRAFT 2'!$D:$D=$B176),'DRAFT 2'!$T:$T),"")</f>
        <v/>
      </c>
      <c r="AT176" s="116">
        <f>IFERROR(LOOKUP(2,1/('DRAFT 2'!$D:$D=$B176),'DRAFT 2'!$A:$A),"")</f>
        <v/>
      </c>
      <c r="AU176" s="116">
        <f>IFERROR(LOOKUP(2,1/('DRAFT 2'!$D:$D=$B176),'DRAFT 2'!$R:$R),"")</f>
        <v/>
      </c>
      <c r="AV176" s="116">
        <f>IFERROR(LOOKUP(2,1/('DRAFT 2'!$D:$D=$B176),'DRAFT 2'!$S:$S),"")</f>
        <v/>
      </c>
      <c r="AX176" s="116">
        <f>IFERROR(LOOKUP(2,1/('DRAFT 2'!$D:$D=$B176),'DRAFT 2'!$M:$M),"")</f>
        <v/>
      </c>
      <c r="AY176" s="116">
        <f>IFERROR(LOOKUP(2,1/('DRAFT 2'!$D:$D=$B176),'DRAFT 2'!$K:$K),"")</f>
        <v/>
      </c>
      <c r="BG176" s="116">
        <f>IFERROR(LOOKUP(2,1/('DRAFT 2'!$D:$D=$B176),'DRAFT 2'!$U:$U),"")</f>
        <v/>
      </c>
      <c r="BH176" s="116">
        <f>IFERROR(LOOKUP(2,1/('DRAFT 2'!$D:$D=$B176),'DRAFT 2'!$V:$V),"")</f>
        <v/>
      </c>
      <c r="CE176" s="116">
        <f>IFERROR(AJ176,0)</f>
        <v/>
      </c>
      <c r="CF176" s="116">
        <f>IFERROR(LOOKUP(2,1/('DRAFT 2'!$D:$D=$B176)*('DRAFT 2'!$A:$A&gt;=DATE(2026,1,1))*('DRAFT 2'!$A:$A&lt;DATE(2026,IF(1=12,1+1,1+1),1)),'DRAFT 2'!$A:$A),"")</f>
        <v/>
      </c>
      <c r="CG176" s="116">
        <f>COUNTIFS('DRAFT 2'!$D:$D,$B176,'DRAFT 2'!$A:$A,"&gt;="&amp;DATE(2026,1,1),'DRAFT 2'!$A:$A,"&lt;="&amp;DATE(2026,1,7))</f>
        <v/>
      </c>
      <c r="CH176" s="116">
        <f>COUNTIFS('DRAFT 2'!$D:$D,$B176,'DRAFT 2'!$A:$A,"&gt;="&amp;DATE(2026,1,8),'DRAFT 2'!$A:$A,"&lt;="&amp;DATE(2026,1,14))</f>
        <v/>
      </c>
      <c r="CI176" s="116">
        <f>COUNTIFS('DRAFT 2'!$D:$D,$B176,'DRAFT 2'!$A:$A,"&gt;="&amp;DATE(2026,1,15),'DRAFT 2'!$A:$A,"&lt;="&amp;DATE(2026,1,21))</f>
        <v/>
      </c>
      <c r="CJ176" s="116">
        <f>COUNTIFS('DRAFT 2'!$D:$D,$B176,'DRAFT 2'!$A:$A,"&gt;="&amp;DATE(2026,1,22),'DRAFT 2'!$A:$A,"&lt;"&amp;DATE(2026,IF(1=12,1+1,1+1),1))</f>
        <v/>
      </c>
      <c r="CK176" s="116">
        <f>SUM(CG176:CJ176)</f>
        <v/>
      </c>
      <c r="CT176" s="116" t="n">
        <v>0</v>
      </c>
      <c r="CU176" s="116">
        <f>IFERROR(LOOKUP(2,1/('DRAFT 2'!$D:$D=$B176)*('DRAFT 2'!$A:$A&gt;=DATE(2026,2,1))*('DRAFT 2'!$A:$A&lt;DATE(2026,IF(2=12,2+1,2+1),1)),'DRAFT 2'!$A:$A),"")</f>
        <v/>
      </c>
      <c r="CV176" s="116">
        <f>COUNTIFS('DRAFT 2'!$D:$D,$B176,'DRAFT 2'!$A:$A,"&gt;="&amp;DATE(2026,2,1),'DRAFT 2'!$A:$A,"&lt;="&amp;DATE(2026,2,7))</f>
        <v/>
      </c>
      <c r="CW176" s="116">
        <f>COUNTIFS('DRAFT 2'!$D:$D,$B176,'DRAFT 2'!$A:$A,"&gt;="&amp;DATE(2026,2,8),'DRAFT 2'!$A:$A,"&lt;="&amp;DATE(2026,2,14))</f>
        <v/>
      </c>
      <c r="CX176" s="116">
        <f>COUNTIFS('DRAFT 2'!$D:$D,$B176,'DRAFT 2'!$A:$A,"&gt;="&amp;DATE(2026,2,15),'DRAFT 2'!$A:$A,"&lt;="&amp;DATE(2026,2,21))</f>
        <v/>
      </c>
      <c r="CY176" s="116">
        <f>COUNTIFS('DRAFT 2'!$D:$D,$B176,'DRAFT 2'!$A:$A,"&gt;="&amp;DATE(2026,2,22),'DRAFT 2'!$A:$A,"&lt;"&amp;DATE(2026,IF(2=12,2+1,2+1),1))</f>
        <v/>
      </c>
      <c r="CZ176" s="116">
        <f>SUM(CV176:CY176)</f>
        <v/>
      </c>
      <c r="DJ176" s="116">
        <f>IFERROR(LOOKUP(2,1/('DRAFT 2'!$D:$D=$B176)*('DRAFT 2'!$A:$A&gt;=DATE(2026,3,1))*('DRAFT 2'!$A:$A&lt;DATE(2026,IF(3=12,3+1,3+1),1)),'DRAFT 2'!$A:$A),"")</f>
        <v/>
      </c>
      <c r="DK176" s="116">
        <f>COUNTIFS('DRAFT 2'!$D:$D,$B176,'DRAFT 2'!$A:$A,"&gt;="&amp;DATE(2026,3,1),'DRAFT 2'!$A:$A,"&lt;="&amp;DATE(2026,3,7))</f>
        <v/>
      </c>
      <c r="DL176" s="116">
        <f>COUNTIFS('DRAFT 2'!$D:$D,$B176,'DRAFT 2'!$A:$A,"&gt;="&amp;DATE(2026,3,8),'DRAFT 2'!$A:$A,"&lt;="&amp;DATE(2026,3,14))</f>
        <v/>
      </c>
      <c r="DM176" s="116">
        <f>COUNTIFS('DRAFT 2'!$D:$D,$B176,'DRAFT 2'!$A:$A,"&gt;="&amp;DATE(2026,3,15),'DRAFT 2'!$A:$A,"&lt;="&amp;DATE(2026,3,21))</f>
        <v/>
      </c>
      <c r="DN176" s="116">
        <f>COUNTIFS('DRAFT 2'!$D:$D,$B176,'DRAFT 2'!$A:$A,"&gt;="&amp;DATE(2026,3,22),'DRAFT 2'!$A:$A,"&lt;"&amp;DATE(2026,IF(3=12,3+1,3+1),1))</f>
        <v/>
      </c>
      <c r="DO176" s="116">
        <f>SUM(DK176:DN176)</f>
        <v/>
      </c>
      <c r="DZ176" s="116">
        <f>IFERROR(LOOKUP(2,1/('DRAFT 2'!$D:$D=$B176)*('DRAFT 2'!$A:$A&gt;=DATE(2026,4,1))*('DRAFT 2'!$A:$A&lt;DATE(2026,IF(4=12,4+1,4+1),1)),'DRAFT 2'!$A:$A),"")</f>
        <v/>
      </c>
      <c r="EA176" s="116">
        <f>COUNTIFS('DRAFT 2'!$D:$D,$B176,'DRAFT 2'!$A:$A,"&gt;="&amp;DATE(2026,4,1),'DRAFT 2'!$A:$A,"&lt;="&amp;DATE(2026,4,7))</f>
        <v/>
      </c>
      <c r="EB176" s="116">
        <f>COUNTIFS('DRAFT 2'!$D:$D,$B176,'DRAFT 2'!$A:$A,"&gt;="&amp;DATE(2026,4,8),'DRAFT 2'!$A:$A,"&lt;="&amp;DATE(2026,4,14))</f>
        <v/>
      </c>
      <c r="EC176" s="116">
        <f>COUNTIFS('DRAFT 2'!$D:$D,$B176,'DRAFT 2'!$A:$A,"&gt;="&amp;DATE(2026,4,15),'DRAFT 2'!$A:$A,"&lt;="&amp;DATE(2026,4,21))</f>
        <v/>
      </c>
      <c r="ED176" s="116">
        <f>COUNTIFS('DRAFT 2'!$D:$D,$B176,'DRAFT 2'!$A:$A,"&gt;="&amp;DATE(2026,4,22),'DRAFT 2'!$A:$A,"&lt;"&amp;DATE(2026,IF(4=12,4+1,4+1),1))</f>
        <v/>
      </c>
      <c r="EE176" s="116">
        <f>SUM(EA176:ED176)</f>
        <v/>
      </c>
      <c r="EO176" s="116">
        <f>IFERROR(LOOKUP(2,1/('DRAFT 2'!$D:$D=$B176)*('DRAFT 2'!$A:$A&gt;=DATE(2026,5,1))*('DRAFT 2'!$A:$A&lt;DATE(2026,IF(5=12,5+1,5+1),1)),'DRAFT 2'!$A:$A),"")</f>
        <v/>
      </c>
      <c r="EP176" s="116">
        <f>COUNTIFS('DRAFT 2'!$D:$D,$B176,'DRAFT 2'!$A:$A,"&gt;="&amp;DATE(2026,5,1),'DRAFT 2'!$A:$A,"&lt;="&amp;DATE(2026,5,7))</f>
        <v/>
      </c>
      <c r="EQ176" s="116">
        <f>COUNTIFS('DRAFT 2'!$D:$D,$B176,'DRAFT 2'!$A:$A,"&gt;="&amp;DATE(2026,5,8),'DRAFT 2'!$A:$A,"&lt;="&amp;DATE(2026,5,14))</f>
        <v/>
      </c>
      <c r="ER176" s="116">
        <f>COUNTIFS('DRAFT 2'!$D:$D,$B176,'DRAFT 2'!$A:$A,"&gt;="&amp;DATE(2026,5,15),'DRAFT 2'!$A:$A,"&lt;="&amp;DATE(2026,5,21))</f>
        <v/>
      </c>
      <c r="ES176" s="116">
        <f>COUNTIFS('DRAFT 2'!$D:$D,$B176,'DRAFT 2'!$A:$A,"&gt;="&amp;DATE(2026,5,22),'DRAFT 2'!$A:$A,"&lt;"&amp;DATE(2026,IF(5=12,5+1,5+1),1))</f>
        <v/>
      </c>
      <c r="ET176" s="116">
        <f>SUM(EP176:ES176)</f>
        <v/>
      </c>
      <c r="FD176" s="116">
        <f>IFERROR(LOOKUP(2,1/('DRAFT 2'!$D:$D=$B176)*('DRAFT 2'!$A:$A&gt;=DATE(2026,6,1))*('DRAFT 2'!$A:$A&lt;DATE(2026,IF(6=12,6+1,6+1),1)),'DRAFT 2'!$A:$A),"")</f>
        <v/>
      </c>
      <c r="FE176" s="116">
        <f>COUNTIFS('DRAFT 2'!$D:$D,$B176,'DRAFT 2'!$A:$A,"&gt;="&amp;DATE(2026,6,1),'DRAFT 2'!$A:$A,"&lt;="&amp;DATE(2026,6,7))</f>
        <v/>
      </c>
      <c r="FF176" s="116">
        <f>COUNTIFS('DRAFT 2'!$D:$D,$B176,'DRAFT 2'!$A:$A,"&gt;="&amp;DATE(2026,6,8),'DRAFT 2'!$A:$A,"&lt;="&amp;DATE(2026,6,14))</f>
        <v/>
      </c>
      <c r="FG176" s="116">
        <f>COUNTIFS('DRAFT 2'!$D:$D,$B176,'DRAFT 2'!$A:$A,"&gt;="&amp;DATE(2026,6,15),'DRAFT 2'!$A:$A,"&lt;="&amp;DATE(2026,6,21))</f>
        <v/>
      </c>
      <c r="FH176" s="116">
        <f>COUNTIFS('DRAFT 2'!$D:$D,$B176,'DRAFT 2'!$A:$A,"&gt;="&amp;DATE(2026,6,22),'DRAFT 2'!$A:$A,"&lt;"&amp;DATE(2026,IF(6=12,6+1,6+1),1))</f>
        <v/>
      </c>
      <c r="FI176" s="116">
        <f>SUM(FE176:FH176)</f>
        <v/>
      </c>
      <c r="FT176" s="116">
        <f>IFERROR(LOOKUP(2,1/('DRAFT 2'!$D:$D=$B176)*('DRAFT 2'!$A:$A&gt;=DATE(2026,7,1))*('DRAFT 2'!$A:$A&lt;DATE(2026,IF(7=12,7+1,7+1),1)),'DRAFT 2'!$A:$A),"")</f>
        <v/>
      </c>
      <c r="FU176" s="116">
        <f>COUNTIFS('DRAFT 2'!$D:$D,$B176,'DRAFT 2'!$A:$A,"&gt;="&amp;DATE(2026,7,1),'DRAFT 2'!$A:$A,"&lt;="&amp;DATE(2026,7,7))</f>
        <v/>
      </c>
      <c r="FV176" s="116">
        <f>COUNTIFS('DRAFT 2'!$D:$D,$B176,'DRAFT 2'!$A:$A,"&gt;="&amp;DATE(2026,7,8),'DRAFT 2'!$A:$A,"&lt;="&amp;DATE(2026,7,14))</f>
        <v/>
      </c>
      <c r="FW176" s="116">
        <f>COUNTIFS('DRAFT 2'!$D:$D,$B176,'DRAFT 2'!$A:$A,"&gt;="&amp;DATE(2026,7,15),'DRAFT 2'!$A:$A,"&lt;="&amp;DATE(2026,7,21))</f>
        <v/>
      </c>
      <c r="FX176" s="116">
        <f>COUNTIFS('DRAFT 2'!$D:$D,$B176,'DRAFT 2'!$A:$A,"&gt;="&amp;DATE(2026,7,22),'DRAFT 2'!$A:$A,"&lt;"&amp;DATE(2026,IF(7=12,7+1,7+1),1))</f>
        <v/>
      </c>
      <c r="FY176" s="116">
        <f>SUM(FU176:FX176)</f>
        <v/>
      </c>
      <c r="GI176" s="116">
        <f>IFERROR(LOOKUP(2,1/('DRAFT 2'!$D:$D=$B176)*('DRAFT 2'!$A:$A&gt;=DATE(2026,8,1))*('DRAFT 2'!$A:$A&lt;DATE(2026,IF(8=12,8+1,8+1),1)),'DRAFT 2'!$A:$A),"")</f>
        <v/>
      </c>
      <c r="GJ176" s="116">
        <f>COUNTIFS('DRAFT 2'!$D:$D,$B176,'DRAFT 2'!$A:$A,"&gt;="&amp;DATE(2026,8,1),'DRAFT 2'!$A:$A,"&lt;="&amp;DATE(2026,8,7))</f>
        <v/>
      </c>
      <c r="GK176" s="116">
        <f>COUNTIFS('DRAFT 2'!$D:$D,$B176,'DRAFT 2'!$A:$A,"&gt;="&amp;DATE(2026,8,8),'DRAFT 2'!$A:$A,"&lt;="&amp;DATE(2026,8,14))</f>
        <v/>
      </c>
      <c r="GL176" s="116">
        <f>COUNTIFS('DRAFT 2'!$D:$D,$B176,'DRAFT 2'!$A:$A,"&gt;="&amp;DATE(2026,8,15),'DRAFT 2'!$A:$A,"&lt;="&amp;DATE(2026,8,21))</f>
        <v/>
      </c>
      <c r="GM176" s="116">
        <f>COUNTIFS('DRAFT 2'!$D:$D,$B176,'DRAFT 2'!$A:$A,"&gt;="&amp;DATE(2026,8,22),'DRAFT 2'!$A:$A,"&lt;"&amp;DATE(2026,IF(8=12,8+1,8+1),1))</f>
        <v/>
      </c>
      <c r="GN176" s="116">
        <f>SUM(GJ176:GM176)</f>
        <v/>
      </c>
      <c r="GX176" s="116">
        <f>IFERROR(LOOKUP(2,1/('DRAFT 2'!$D:$D=$B176)*('DRAFT 2'!$A:$A&gt;=DATE(2026,9,1))*('DRAFT 2'!$A:$A&lt;DATE(2026,IF(9=12,9+1,9+1),1)),'DRAFT 2'!$A:$A),"")</f>
        <v/>
      </c>
      <c r="GY176" s="116">
        <f>COUNTIFS('DRAFT 2'!$D:$D,$B176,'DRAFT 2'!$A:$A,"&gt;="&amp;DATE(2026,9,1),'DRAFT 2'!$A:$A,"&lt;="&amp;DATE(2026,9,7))</f>
        <v/>
      </c>
      <c r="GZ176" s="116">
        <f>COUNTIFS('DRAFT 2'!$D:$D,$B176,'DRAFT 2'!$A:$A,"&gt;="&amp;DATE(2026,9,8),'DRAFT 2'!$A:$A,"&lt;="&amp;DATE(2026,9,14))</f>
        <v/>
      </c>
      <c r="HA176" s="116">
        <f>COUNTIFS('DRAFT 2'!$D:$D,$B176,'DRAFT 2'!$A:$A,"&gt;="&amp;DATE(2026,9,15),'DRAFT 2'!$A:$A,"&lt;="&amp;DATE(2026,9,21))</f>
        <v/>
      </c>
      <c r="HB176" s="116">
        <f>COUNTIFS('DRAFT 2'!$D:$D,$B176,'DRAFT 2'!$A:$A,"&gt;="&amp;DATE(2026,9,22),'DRAFT 2'!$A:$A,"&lt;"&amp;DATE(2026,IF(9=12,9+1,9+1),1))</f>
        <v/>
      </c>
      <c r="HC176" s="116">
        <f>SUM(GY176:HB176)</f>
        <v/>
      </c>
      <c r="HN176" s="116">
        <f>IFERROR(LOOKUP(2,1/('DRAFT 2'!$D:$D=$B176)*('DRAFT 2'!$A:$A&gt;=DATE(2026,10,1))*('DRAFT 2'!$A:$A&lt;DATE(2026,IF(10=12,10+1,10+1),1)),'DRAFT 2'!$A:$A),"")</f>
        <v/>
      </c>
      <c r="HO176" s="116">
        <f>COUNTIFS('DRAFT 2'!$D:$D,$B176,'DRAFT 2'!$A:$A,"&gt;="&amp;DATE(2026,10,1),'DRAFT 2'!$A:$A,"&lt;="&amp;DATE(2026,10,7))</f>
        <v/>
      </c>
      <c r="HP176" s="116">
        <f>COUNTIFS('DRAFT 2'!$D:$D,$B176,'DRAFT 2'!$A:$A,"&gt;="&amp;DATE(2026,10,8),'DRAFT 2'!$A:$A,"&lt;="&amp;DATE(2026,10,14))</f>
        <v/>
      </c>
      <c r="HQ176" s="116">
        <f>COUNTIFS('DRAFT 2'!$D:$D,$B176,'DRAFT 2'!$A:$A,"&gt;="&amp;DATE(2026,10,15),'DRAFT 2'!$A:$A,"&lt;="&amp;DATE(2026,10,21))</f>
        <v/>
      </c>
      <c r="HR176" s="116">
        <f>COUNTIFS('DRAFT 2'!$D:$D,$B176,'DRAFT 2'!$A:$A,"&gt;="&amp;DATE(2026,10,22),'DRAFT 2'!$A:$A,"&lt;"&amp;DATE(2026,IF(10=12,10+1,10+1),1))</f>
        <v/>
      </c>
      <c r="HS176" s="116">
        <f>SUM(HO176:HR176)</f>
        <v/>
      </c>
      <c r="IC176" s="116">
        <f>IFERROR(LOOKUP(2,1/('DRAFT 2'!$D:$D=$B176)*('DRAFT 2'!$A:$A&gt;=DATE(2026,11,1))*('DRAFT 2'!$A:$A&lt;DATE(2026,IF(11=12,11+1,11+1),1)),'DRAFT 2'!$A:$A),"")</f>
        <v/>
      </c>
      <c r="ID176" s="116">
        <f>COUNTIFS('DRAFT 2'!$D:$D,$B176,'DRAFT 2'!$A:$A,"&gt;="&amp;DATE(2026,11,1),'DRAFT 2'!$A:$A,"&lt;="&amp;DATE(2026,11,7))</f>
        <v/>
      </c>
      <c r="IE176" s="116">
        <f>COUNTIFS('DRAFT 2'!$D:$D,$B176,'DRAFT 2'!$A:$A,"&gt;="&amp;DATE(2026,11,8),'DRAFT 2'!$A:$A,"&lt;="&amp;DATE(2026,11,14))</f>
        <v/>
      </c>
      <c r="IF176" s="116">
        <f>COUNTIFS('DRAFT 2'!$D:$D,$B176,'DRAFT 2'!$A:$A,"&gt;="&amp;DATE(2026,11,15),'DRAFT 2'!$A:$A,"&lt;="&amp;DATE(2026,11,21))</f>
        <v/>
      </c>
      <c r="IG176" s="116">
        <f>COUNTIFS('DRAFT 2'!$D:$D,$B176,'DRAFT 2'!$A:$A,"&gt;="&amp;DATE(2026,11,22),'DRAFT 2'!$A:$A,"&lt;"&amp;DATE(2026,IF(11=12,11+1,11+1),1))</f>
        <v/>
      </c>
      <c r="IH176" s="116">
        <f>SUM(ID176:IG176)</f>
        <v/>
      </c>
      <c r="IR176" s="116">
        <f>IFERROR(LOOKUP(2,1/('DRAFT 2'!$D:$D=$B176)*('DRAFT 2'!$A:$A&gt;=DATE(2026,12,1))*('DRAFT 2'!$A:$A&lt;DATE(2026,IF(12=12,12+1,12+1),1)),'DRAFT 2'!$A:$A),"")</f>
        <v/>
      </c>
      <c r="IS176" s="116">
        <f>COUNTIFS('DRAFT 2'!$D:$D,$B176,'DRAFT 2'!$A:$A,"&gt;="&amp;DATE(2026,12,1),'DRAFT 2'!$A:$A,"&lt;="&amp;DATE(2026,12,7))</f>
        <v/>
      </c>
      <c r="IT176" s="116">
        <f>COUNTIFS('DRAFT 2'!$D:$D,$B176,'DRAFT 2'!$A:$A,"&gt;="&amp;DATE(2026,12,8),'DRAFT 2'!$A:$A,"&lt;="&amp;DATE(2026,12,14))</f>
        <v/>
      </c>
      <c r="IU176" s="116">
        <f>COUNTIFS('DRAFT 2'!$D:$D,$B176,'DRAFT 2'!$A:$A,"&gt;="&amp;DATE(2026,12,15),'DRAFT 2'!$A:$A,"&lt;="&amp;DATE(2026,12,21))</f>
        <v/>
      </c>
      <c r="IV176" s="116">
        <f>COUNTIFS('DRAFT 2'!$D:$D,$B176,'DRAFT 2'!$A:$A,"&gt;="&amp;DATE(2026,12,22),'DRAFT 2'!$A:$A,"&lt;"&amp;DATE(2026,IF(12=12,12+1,12+1),1))</f>
        <v/>
      </c>
      <c r="IW176" s="116">
        <f>SUM(IS176:IV176)</f>
        <v/>
      </c>
    </row>
    <row r="177">
      <c r="A177" s="116">
        <f>IFERROR(INDEX('DRAFT 1'!$A:$A,MATCH($B177,'DRAFT 1'!$B:$B,0)),"")</f>
        <v/>
      </c>
      <c r="C177" s="116">
        <f>IFERROR(INDEX('DRAFT 1'!$C:$C,MATCH($B177,'DRAFT 1'!$B:$B,0)),"")</f>
        <v/>
      </c>
      <c r="D177" s="116">
        <f>IFERROR(INDEX('DRAFT 1'!$D:$D,MATCH($B177,'DRAFT 1'!$B:$B,0)),"")</f>
        <v/>
      </c>
      <c r="E177" s="116">
        <f>IFERROR(INDEX('DRAFT 1'!$E:$E,MATCH($B177,'DRAFT 1'!$B:$B,0)),"")</f>
        <v/>
      </c>
      <c r="F177" s="116">
        <f>IFERROR(INDEX('DRAFT 1'!$F:$F,MATCH($B177,'DRAFT 1'!$B:$B,0)),"")</f>
        <v/>
      </c>
      <c r="G177" s="116">
        <f>IFERROR(INDEX('DRAFT 1'!$G:$G,MATCH($B177,'DRAFT 1'!$B:$B,0)),"")</f>
        <v/>
      </c>
      <c r="H177" s="116">
        <f>IFERROR(INDEX('DRAFT 1'!$H:$H,MATCH($B177,'DRAFT 1'!$B:$B,0)),"")</f>
        <v/>
      </c>
      <c r="I177" s="116">
        <f>IFERROR(INDEX('DRAFT 1'!$I:$I,MATCH($B177,'DRAFT 1'!$B:$B,0)),"")</f>
        <v/>
      </c>
      <c r="K177" s="116">
        <f>IFERROR(INDEX('DRAFT 1'!$AL:$AL,MATCH($B177,'DRAFT 1'!$B:$B,0)),"")</f>
        <v/>
      </c>
      <c r="L177" s="116">
        <f>IFERROR(INDEX('DRAFT 1'!$J:$J,MATCH($B177,'DRAFT 1'!$B:$B,0)),"")</f>
        <v/>
      </c>
      <c r="M177" s="116">
        <f>IFERROR(INDEX('DRAFT 1'!$K:$K,MATCH($B177,'DRAFT 1'!$B:$B,0)),"")</f>
        <v/>
      </c>
      <c r="P177" s="116">
        <f>IFERROR(INDEX('DRAFT 1'!$L:$L,MATCH($B177,'DRAFT 1'!$B:$B,0)),"")</f>
        <v/>
      </c>
      <c r="Q177" s="116">
        <f>IFERROR(INDEX('DRAFT 1'!$M:$M,MATCH($B177,'DRAFT 1'!$B:$B,0)),"")</f>
        <v/>
      </c>
      <c r="R177" s="116">
        <f>IFERROR(INDEX('DRAFT 1'!$N:$N,MATCH($B177,'DRAFT 1'!$B:$B,0)),"")</f>
        <v/>
      </c>
      <c r="S177" s="116">
        <f>IFERROR(INDEX('DRAFT 1'!$O:$O,MATCH($B177,'DRAFT 1'!$B:$B,0)),"")</f>
        <v/>
      </c>
      <c r="T177" s="116">
        <f>IFERROR(INDEX('DRAFT 1'!$P:$P,MATCH($B177,'DRAFT 1'!$B:$B,0)),"")</f>
        <v/>
      </c>
      <c r="U177" s="116">
        <f>IFERROR(INDEX('DRAFT 1'!$Q:$Q,MATCH($B177,'DRAFT 1'!$B:$B,0)),"")</f>
        <v/>
      </c>
      <c r="V177" s="116">
        <f>IFERROR(INDEX('DRAFT 1'!$R:$R,MATCH($B177,'DRAFT 1'!$B:$B,0)),"")</f>
        <v/>
      </c>
      <c r="W177" s="116">
        <f>IFERROR(INDEX('DRAFT 1'!$S:$S,MATCH($B177,'DRAFT 1'!$B:$B,0)),"")</f>
        <v/>
      </c>
      <c r="X177" s="116">
        <f>IFERROR(INDEX('DRAFT 1'!$T:$T,MATCH($B177,'DRAFT 1'!$B:$B,0)),"")</f>
        <v/>
      </c>
      <c r="Z177" s="116">
        <f>IFERROR(INDEX('DRAFT 1'!$U:$U,MATCH($B177,'DRAFT 1'!$B:$B,0)),"")</f>
        <v/>
      </c>
      <c r="AA177" s="116">
        <f>IFERROR(INDEX('DRAFT 1'!$V:$V,MATCH($B177,'DRAFT 1'!$B:$B,0)),"")</f>
        <v/>
      </c>
      <c r="AB177" s="116">
        <f>IFERROR(INDEX('DRAFT 1'!$W:$W,MATCH($B177,'DRAFT 1'!$B:$B,0)),"")</f>
        <v/>
      </c>
      <c r="AC177" s="116">
        <f>IFERROR(INDEX('DRAFT 1'!$X:$X,MATCH($B177,'DRAFT 1'!$B:$B,0)),"")</f>
        <v/>
      </c>
      <c r="AD177" s="116">
        <f>IFERROR(INDEX('DRAFT 1'!$Y:$Y,MATCH($B177,'DRAFT 1'!$B:$B,0)),"")</f>
        <v/>
      </c>
      <c r="AE177" s="116">
        <f>IFERROR(INDEX('DRAFT 1'!$Z:$Z,MATCH($B177,'DRAFT 1'!$B:$B,0)),"")</f>
        <v/>
      </c>
      <c r="AF177" s="116">
        <f>IFERROR(INDEX('DRAFT 1'!$AA:$AA,MATCH($B177,'DRAFT 1'!$B:$B,0)),"")</f>
        <v/>
      </c>
      <c r="AG177" s="116">
        <f>IFERROR(INDEX('DRAFT 1'!$AB:$AB,MATCH($B177,'DRAFT 1'!$B:$B,0)),"")</f>
        <v/>
      </c>
      <c r="AH177" s="116">
        <f>IFERROR(INDEX('DRAFT 1'!$AC:$AC,MATCH($B177,'DRAFT 1'!$B:$B,0)),"")</f>
        <v/>
      </c>
      <c r="AI177" s="116">
        <f>IFERROR(INDEX('DRAFT 1'!$AD:$AD,MATCH($B177,'DRAFT 1'!$B:$B,0)),"")</f>
        <v/>
      </c>
      <c r="AJ177" s="116">
        <f>IFERROR(INDEX('DRAFT 1'!$AE:$AE,MATCH($B177,'DRAFT 1'!$B:$B,0)),"")</f>
        <v/>
      </c>
      <c r="AK177" s="116">
        <f>IFERROR(INDEX('DRAFT 1'!$AG:$AG,MATCH($B177,'DRAFT 1'!$B:$B,0)),"")</f>
        <v/>
      </c>
      <c r="AL177" s="116">
        <f>IFERROR(INDEX('DRAFT 1'!$AH:$AH,MATCH($B177,'DRAFT 1'!$B:$B,0)),"")</f>
        <v/>
      </c>
      <c r="AM177" s="116">
        <f>IFERROR(INDEX('DRAFT 1'!$AI:$AI,MATCH($B177,'DRAFT 1'!$B:$B,0)),"")</f>
        <v/>
      </c>
      <c r="AN177" s="116">
        <f>IFERROR(INDEX('DRAFT 1'!$AJ:$AJ,MATCH($B177,'DRAFT 1'!$B:$B,0)),"")</f>
        <v/>
      </c>
      <c r="AO177" s="116">
        <f>IFERROR(Y177/AN177,0)</f>
        <v/>
      </c>
      <c r="AP177" s="116">
        <f>IFERROR(INDEX('DRAFT 1'!$AK:$AK,MATCH($B177,'DRAFT 1'!$B:$B,0)),"")</f>
        <v/>
      </c>
      <c r="AR177" s="116">
        <f>IFERROR(LOOKUP(2,1/('DRAFT 2'!$D:$D=$B177),'DRAFT 2'!$I:$I),"")</f>
        <v/>
      </c>
      <c r="AS177" s="116">
        <f>IFERROR(LOOKUP(2,1/('DRAFT 2'!$D:$D=$B177),'DRAFT 2'!$T:$T),"")</f>
        <v/>
      </c>
      <c r="AT177" s="116">
        <f>IFERROR(LOOKUP(2,1/('DRAFT 2'!$D:$D=$B177),'DRAFT 2'!$A:$A),"")</f>
        <v/>
      </c>
      <c r="AU177" s="116">
        <f>IFERROR(LOOKUP(2,1/('DRAFT 2'!$D:$D=$B177),'DRAFT 2'!$R:$R),"")</f>
        <v/>
      </c>
      <c r="AV177" s="116">
        <f>IFERROR(LOOKUP(2,1/('DRAFT 2'!$D:$D=$B177),'DRAFT 2'!$S:$S),"")</f>
        <v/>
      </c>
      <c r="AX177" s="116">
        <f>IFERROR(LOOKUP(2,1/('DRAFT 2'!$D:$D=$B177),'DRAFT 2'!$M:$M),"")</f>
        <v/>
      </c>
      <c r="AY177" s="116">
        <f>IFERROR(LOOKUP(2,1/('DRAFT 2'!$D:$D=$B177),'DRAFT 2'!$K:$K),"")</f>
        <v/>
      </c>
      <c r="BG177" s="116">
        <f>IFERROR(LOOKUP(2,1/('DRAFT 2'!$D:$D=$B177),'DRAFT 2'!$U:$U),"")</f>
        <v/>
      </c>
      <c r="BH177" s="116">
        <f>IFERROR(LOOKUP(2,1/('DRAFT 2'!$D:$D=$B177),'DRAFT 2'!$V:$V),"")</f>
        <v/>
      </c>
      <c r="CE177" s="116">
        <f>IFERROR(AJ177,0)</f>
        <v/>
      </c>
      <c r="CF177" s="116">
        <f>IFERROR(LOOKUP(2,1/('DRAFT 2'!$D:$D=$B177)*('DRAFT 2'!$A:$A&gt;=DATE(2026,1,1))*('DRAFT 2'!$A:$A&lt;DATE(2026,IF(1=12,1+1,1+1),1)),'DRAFT 2'!$A:$A),"")</f>
        <v/>
      </c>
      <c r="CG177" s="116">
        <f>COUNTIFS('DRAFT 2'!$D:$D,$B177,'DRAFT 2'!$A:$A,"&gt;="&amp;DATE(2026,1,1),'DRAFT 2'!$A:$A,"&lt;="&amp;DATE(2026,1,7))</f>
        <v/>
      </c>
      <c r="CH177" s="116">
        <f>COUNTIFS('DRAFT 2'!$D:$D,$B177,'DRAFT 2'!$A:$A,"&gt;="&amp;DATE(2026,1,8),'DRAFT 2'!$A:$A,"&lt;="&amp;DATE(2026,1,14))</f>
        <v/>
      </c>
      <c r="CI177" s="116">
        <f>COUNTIFS('DRAFT 2'!$D:$D,$B177,'DRAFT 2'!$A:$A,"&gt;="&amp;DATE(2026,1,15),'DRAFT 2'!$A:$A,"&lt;="&amp;DATE(2026,1,21))</f>
        <v/>
      </c>
      <c r="CJ177" s="116">
        <f>COUNTIFS('DRAFT 2'!$D:$D,$B177,'DRAFT 2'!$A:$A,"&gt;="&amp;DATE(2026,1,22),'DRAFT 2'!$A:$A,"&lt;"&amp;DATE(2026,IF(1=12,1+1,1+1),1))</f>
        <v/>
      </c>
      <c r="CK177" s="116">
        <f>SUM(CG177:CJ177)</f>
        <v/>
      </c>
      <c r="CT177" s="116" t="n">
        <v>0</v>
      </c>
      <c r="CU177" s="116">
        <f>IFERROR(LOOKUP(2,1/('DRAFT 2'!$D:$D=$B177)*('DRAFT 2'!$A:$A&gt;=DATE(2026,2,1))*('DRAFT 2'!$A:$A&lt;DATE(2026,IF(2=12,2+1,2+1),1)),'DRAFT 2'!$A:$A),"")</f>
        <v/>
      </c>
      <c r="CV177" s="116">
        <f>COUNTIFS('DRAFT 2'!$D:$D,$B177,'DRAFT 2'!$A:$A,"&gt;="&amp;DATE(2026,2,1),'DRAFT 2'!$A:$A,"&lt;="&amp;DATE(2026,2,7))</f>
        <v/>
      </c>
      <c r="CW177" s="116">
        <f>COUNTIFS('DRAFT 2'!$D:$D,$B177,'DRAFT 2'!$A:$A,"&gt;="&amp;DATE(2026,2,8),'DRAFT 2'!$A:$A,"&lt;="&amp;DATE(2026,2,14))</f>
        <v/>
      </c>
      <c r="CX177" s="116">
        <f>COUNTIFS('DRAFT 2'!$D:$D,$B177,'DRAFT 2'!$A:$A,"&gt;="&amp;DATE(2026,2,15),'DRAFT 2'!$A:$A,"&lt;="&amp;DATE(2026,2,21))</f>
        <v/>
      </c>
      <c r="CY177" s="116">
        <f>COUNTIFS('DRAFT 2'!$D:$D,$B177,'DRAFT 2'!$A:$A,"&gt;="&amp;DATE(2026,2,22),'DRAFT 2'!$A:$A,"&lt;"&amp;DATE(2026,IF(2=12,2+1,2+1),1))</f>
        <v/>
      </c>
      <c r="CZ177" s="116">
        <f>SUM(CV177:CY177)</f>
        <v/>
      </c>
      <c r="DJ177" s="116">
        <f>IFERROR(LOOKUP(2,1/('DRAFT 2'!$D:$D=$B177)*('DRAFT 2'!$A:$A&gt;=DATE(2026,3,1))*('DRAFT 2'!$A:$A&lt;DATE(2026,IF(3=12,3+1,3+1),1)),'DRAFT 2'!$A:$A),"")</f>
        <v/>
      </c>
      <c r="DK177" s="116">
        <f>COUNTIFS('DRAFT 2'!$D:$D,$B177,'DRAFT 2'!$A:$A,"&gt;="&amp;DATE(2026,3,1),'DRAFT 2'!$A:$A,"&lt;="&amp;DATE(2026,3,7))</f>
        <v/>
      </c>
      <c r="DL177" s="116">
        <f>COUNTIFS('DRAFT 2'!$D:$D,$B177,'DRAFT 2'!$A:$A,"&gt;="&amp;DATE(2026,3,8),'DRAFT 2'!$A:$A,"&lt;="&amp;DATE(2026,3,14))</f>
        <v/>
      </c>
      <c r="DM177" s="116">
        <f>COUNTIFS('DRAFT 2'!$D:$D,$B177,'DRAFT 2'!$A:$A,"&gt;="&amp;DATE(2026,3,15),'DRAFT 2'!$A:$A,"&lt;="&amp;DATE(2026,3,21))</f>
        <v/>
      </c>
      <c r="DN177" s="116">
        <f>COUNTIFS('DRAFT 2'!$D:$D,$B177,'DRAFT 2'!$A:$A,"&gt;="&amp;DATE(2026,3,22),'DRAFT 2'!$A:$A,"&lt;"&amp;DATE(2026,IF(3=12,3+1,3+1),1))</f>
        <v/>
      </c>
      <c r="DO177" s="116">
        <f>SUM(DK177:DN177)</f>
        <v/>
      </c>
      <c r="DZ177" s="116">
        <f>IFERROR(LOOKUP(2,1/('DRAFT 2'!$D:$D=$B177)*('DRAFT 2'!$A:$A&gt;=DATE(2026,4,1))*('DRAFT 2'!$A:$A&lt;DATE(2026,IF(4=12,4+1,4+1),1)),'DRAFT 2'!$A:$A),"")</f>
        <v/>
      </c>
      <c r="EA177" s="116">
        <f>COUNTIFS('DRAFT 2'!$D:$D,$B177,'DRAFT 2'!$A:$A,"&gt;="&amp;DATE(2026,4,1),'DRAFT 2'!$A:$A,"&lt;="&amp;DATE(2026,4,7))</f>
        <v/>
      </c>
      <c r="EB177" s="116">
        <f>COUNTIFS('DRAFT 2'!$D:$D,$B177,'DRAFT 2'!$A:$A,"&gt;="&amp;DATE(2026,4,8),'DRAFT 2'!$A:$A,"&lt;="&amp;DATE(2026,4,14))</f>
        <v/>
      </c>
      <c r="EC177" s="116">
        <f>COUNTIFS('DRAFT 2'!$D:$D,$B177,'DRAFT 2'!$A:$A,"&gt;="&amp;DATE(2026,4,15),'DRAFT 2'!$A:$A,"&lt;="&amp;DATE(2026,4,21))</f>
        <v/>
      </c>
      <c r="ED177" s="116">
        <f>COUNTIFS('DRAFT 2'!$D:$D,$B177,'DRAFT 2'!$A:$A,"&gt;="&amp;DATE(2026,4,22),'DRAFT 2'!$A:$A,"&lt;"&amp;DATE(2026,IF(4=12,4+1,4+1),1))</f>
        <v/>
      </c>
      <c r="EE177" s="116">
        <f>SUM(EA177:ED177)</f>
        <v/>
      </c>
      <c r="EO177" s="116">
        <f>IFERROR(LOOKUP(2,1/('DRAFT 2'!$D:$D=$B177)*('DRAFT 2'!$A:$A&gt;=DATE(2026,5,1))*('DRAFT 2'!$A:$A&lt;DATE(2026,IF(5=12,5+1,5+1),1)),'DRAFT 2'!$A:$A),"")</f>
        <v/>
      </c>
      <c r="EP177" s="116">
        <f>COUNTIFS('DRAFT 2'!$D:$D,$B177,'DRAFT 2'!$A:$A,"&gt;="&amp;DATE(2026,5,1),'DRAFT 2'!$A:$A,"&lt;="&amp;DATE(2026,5,7))</f>
        <v/>
      </c>
      <c r="EQ177" s="116">
        <f>COUNTIFS('DRAFT 2'!$D:$D,$B177,'DRAFT 2'!$A:$A,"&gt;="&amp;DATE(2026,5,8),'DRAFT 2'!$A:$A,"&lt;="&amp;DATE(2026,5,14))</f>
        <v/>
      </c>
      <c r="ER177" s="116">
        <f>COUNTIFS('DRAFT 2'!$D:$D,$B177,'DRAFT 2'!$A:$A,"&gt;="&amp;DATE(2026,5,15),'DRAFT 2'!$A:$A,"&lt;="&amp;DATE(2026,5,21))</f>
        <v/>
      </c>
      <c r="ES177" s="116">
        <f>COUNTIFS('DRAFT 2'!$D:$D,$B177,'DRAFT 2'!$A:$A,"&gt;="&amp;DATE(2026,5,22),'DRAFT 2'!$A:$A,"&lt;"&amp;DATE(2026,IF(5=12,5+1,5+1),1))</f>
        <v/>
      </c>
      <c r="ET177" s="116">
        <f>SUM(EP177:ES177)</f>
        <v/>
      </c>
      <c r="FD177" s="116">
        <f>IFERROR(LOOKUP(2,1/('DRAFT 2'!$D:$D=$B177)*('DRAFT 2'!$A:$A&gt;=DATE(2026,6,1))*('DRAFT 2'!$A:$A&lt;DATE(2026,IF(6=12,6+1,6+1),1)),'DRAFT 2'!$A:$A),"")</f>
        <v/>
      </c>
      <c r="FE177" s="116">
        <f>COUNTIFS('DRAFT 2'!$D:$D,$B177,'DRAFT 2'!$A:$A,"&gt;="&amp;DATE(2026,6,1),'DRAFT 2'!$A:$A,"&lt;="&amp;DATE(2026,6,7))</f>
        <v/>
      </c>
      <c r="FF177" s="116">
        <f>COUNTIFS('DRAFT 2'!$D:$D,$B177,'DRAFT 2'!$A:$A,"&gt;="&amp;DATE(2026,6,8),'DRAFT 2'!$A:$A,"&lt;="&amp;DATE(2026,6,14))</f>
        <v/>
      </c>
      <c r="FG177" s="116">
        <f>COUNTIFS('DRAFT 2'!$D:$D,$B177,'DRAFT 2'!$A:$A,"&gt;="&amp;DATE(2026,6,15),'DRAFT 2'!$A:$A,"&lt;="&amp;DATE(2026,6,21))</f>
        <v/>
      </c>
      <c r="FH177" s="116">
        <f>COUNTIFS('DRAFT 2'!$D:$D,$B177,'DRAFT 2'!$A:$A,"&gt;="&amp;DATE(2026,6,22),'DRAFT 2'!$A:$A,"&lt;"&amp;DATE(2026,IF(6=12,6+1,6+1),1))</f>
        <v/>
      </c>
      <c r="FI177" s="116">
        <f>SUM(FE177:FH177)</f>
        <v/>
      </c>
      <c r="FT177" s="116">
        <f>IFERROR(LOOKUP(2,1/('DRAFT 2'!$D:$D=$B177)*('DRAFT 2'!$A:$A&gt;=DATE(2026,7,1))*('DRAFT 2'!$A:$A&lt;DATE(2026,IF(7=12,7+1,7+1),1)),'DRAFT 2'!$A:$A),"")</f>
        <v/>
      </c>
      <c r="FU177" s="116">
        <f>COUNTIFS('DRAFT 2'!$D:$D,$B177,'DRAFT 2'!$A:$A,"&gt;="&amp;DATE(2026,7,1),'DRAFT 2'!$A:$A,"&lt;="&amp;DATE(2026,7,7))</f>
        <v/>
      </c>
      <c r="FV177" s="116">
        <f>COUNTIFS('DRAFT 2'!$D:$D,$B177,'DRAFT 2'!$A:$A,"&gt;="&amp;DATE(2026,7,8),'DRAFT 2'!$A:$A,"&lt;="&amp;DATE(2026,7,14))</f>
        <v/>
      </c>
      <c r="FW177" s="116">
        <f>COUNTIFS('DRAFT 2'!$D:$D,$B177,'DRAFT 2'!$A:$A,"&gt;="&amp;DATE(2026,7,15),'DRAFT 2'!$A:$A,"&lt;="&amp;DATE(2026,7,21))</f>
        <v/>
      </c>
      <c r="FX177" s="116">
        <f>COUNTIFS('DRAFT 2'!$D:$D,$B177,'DRAFT 2'!$A:$A,"&gt;="&amp;DATE(2026,7,22),'DRAFT 2'!$A:$A,"&lt;"&amp;DATE(2026,IF(7=12,7+1,7+1),1))</f>
        <v/>
      </c>
      <c r="FY177" s="116">
        <f>SUM(FU177:FX177)</f>
        <v/>
      </c>
      <c r="GI177" s="116">
        <f>IFERROR(LOOKUP(2,1/('DRAFT 2'!$D:$D=$B177)*('DRAFT 2'!$A:$A&gt;=DATE(2026,8,1))*('DRAFT 2'!$A:$A&lt;DATE(2026,IF(8=12,8+1,8+1),1)),'DRAFT 2'!$A:$A),"")</f>
        <v/>
      </c>
      <c r="GJ177" s="116">
        <f>COUNTIFS('DRAFT 2'!$D:$D,$B177,'DRAFT 2'!$A:$A,"&gt;="&amp;DATE(2026,8,1),'DRAFT 2'!$A:$A,"&lt;="&amp;DATE(2026,8,7))</f>
        <v/>
      </c>
      <c r="GK177" s="116">
        <f>COUNTIFS('DRAFT 2'!$D:$D,$B177,'DRAFT 2'!$A:$A,"&gt;="&amp;DATE(2026,8,8),'DRAFT 2'!$A:$A,"&lt;="&amp;DATE(2026,8,14))</f>
        <v/>
      </c>
      <c r="GL177" s="116">
        <f>COUNTIFS('DRAFT 2'!$D:$D,$B177,'DRAFT 2'!$A:$A,"&gt;="&amp;DATE(2026,8,15),'DRAFT 2'!$A:$A,"&lt;="&amp;DATE(2026,8,21))</f>
        <v/>
      </c>
      <c r="GM177" s="116">
        <f>COUNTIFS('DRAFT 2'!$D:$D,$B177,'DRAFT 2'!$A:$A,"&gt;="&amp;DATE(2026,8,22),'DRAFT 2'!$A:$A,"&lt;"&amp;DATE(2026,IF(8=12,8+1,8+1),1))</f>
        <v/>
      </c>
      <c r="GN177" s="116">
        <f>SUM(GJ177:GM177)</f>
        <v/>
      </c>
      <c r="GX177" s="116">
        <f>IFERROR(LOOKUP(2,1/('DRAFT 2'!$D:$D=$B177)*('DRAFT 2'!$A:$A&gt;=DATE(2026,9,1))*('DRAFT 2'!$A:$A&lt;DATE(2026,IF(9=12,9+1,9+1),1)),'DRAFT 2'!$A:$A),"")</f>
        <v/>
      </c>
      <c r="GY177" s="116">
        <f>COUNTIFS('DRAFT 2'!$D:$D,$B177,'DRAFT 2'!$A:$A,"&gt;="&amp;DATE(2026,9,1),'DRAFT 2'!$A:$A,"&lt;="&amp;DATE(2026,9,7))</f>
        <v/>
      </c>
      <c r="GZ177" s="116">
        <f>COUNTIFS('DRAFT 2'!$D:$D,$B177,'DRAFT 2'!$A:$A,"&gt;="&amp;DATE(2026,9,8),'DRAFT 2'!$A:$A,"&lt;="&amp;DATE(2026,9,14))</f>
        <v/>
      </c>
      <c r="HA177" s="116">
        <f>COUNTIFS('DRAFT 2'!$D:$D,$B177,'DRAFT 2'!$A:$A,"&gt;="&amp;DATE(2026,9,15),'DRAFT 2'!$A:$A,"&lt;="&amp;DATE(2026,9,21))</f>
        <v/>
      </c>
      <c r="HB177" s="116">
        <f>COUNTIFS('DRAFT 2'!$D:$D,$B177,'DRAFT 2'!$A:$A,"&gt;="&amp;DATE(2026,9,22),'DRAFT 2'!$A:$A,"&lt;"&amp;DATE(2026,IF(9=12,9+1,9+1),1))</f>
        <v/>
      </c>
      <c r="HC177" s="116">
        <f>SUM(GY177:HB177)</f>
        <v/>
      </c>
      <c r="HN177" s="116">
        <f>IFERROR(LOOKUP(2,1/('DRAFT 2'!$D:$D=$B177)*('DRAFT 2'!$A:$A&gt;=DATE(2026,10,1))*('DRAFT 2'!$A:$A&lt;DATE(2026,IF(10=12,10+1,10+1),1)),'DRAFT 2'!$A:$A),"")</f>
        <v/>
      </c>
      <c r="HO177" s="116">
        <f>COUNTIFS('DRAFT 2'!$D:$D,$B177,'DRAFT 2'!$A:$A,"&gt;="&amp;DATE(2026,10,1),'DRAFT 2'!$A:$A,"&lt;="&amp;DATE(2026,10,7))</f>
        <v/>
      </c>
      <c r="HP177" s="116">
        <f>COUNTIFS('DRAFT 2'!$D:$D,$B177,'DRAFT 2'!$A:$A,"&gt;="&amp;DATE(2026,10,8),'DRAFT 2'!$A:$A,"&lt;="&amp;DATE(2026,10,14))</f>
        <v/>
      </c>
      <c r="HQ177" s="116">
        <f>COUNTIFS('DRAFT 2'!$D:$D,$B177,'DRAFT 2'!$A:$A,"&gt;="&amp;DATE(2026,10,15),'DRAFT 2'!$A:$A,"&lt;="&amp;DATE(2026,10,21))</f>
        <v/>
      </c>
      <c r="HR177" s="116">
        <f>COUNTIFS('DRAFT 2'!$D:$D,$B177,'DRAFT 2'!$A:$A,"&gt;="&amp;DATE(2026,10,22),'DRAFT 2'!$A:$A,"&lt;"&amp;DATE(2026,IF(10=12,10+1,10+1),1))</f>
        <v/>
      </c>
      <c r="HS177" s="116">
        <f>SUM(HO177:HR177)</f>
        <v/>
      </c>
      <c r="IC177" s="116">
        <f>IFERROR(LOOKUP(2,1/('DRAFT 2'!$D:$D=$B177)*('DRAFT 2'!$A:$A&gt;=DATE(2026,11,1))*('DRAFT 2'!$A:$A&lt;DATE(2026,IF(11=12,11+1,11+1),1)),'DRAFT 2'!$A:$A),"")</f>
        <v/>
      </c>
      <c r="ID177" s="116">
        <f>COUNTIFS('DRAFT 2'!$D:$D,$B177,'DRAFT 2'!$A:$A,"&gt;="&amp;DATE(2026,11,1),'DRAFT 2'!$A:$A,"&lt;="&amp;DATE(2026,11,7))</f>
        <v/>
      </c>
      <c r="IE177" s="116">
        <f>COUNTIFS('DRAFT 2'!$D:$D,$B177,'DRAFT 2'!$A:$A,"&gt;="&amp;DATE(2026,11,8),'DRAFT 2'!$A:$A,"&lt;="&amp;DATE(2026,11,14))</f>
        <v/>
      </c>
      <c r="IF177" s="116">
        <f>COUNTIFS('DRAFT 2'!$D:$D,$B177,'DRAFT 2'!$A:$A,"&gt;="&amp;DATE(2026,11,15),'DRAFT 2'!$A:$A,"&lt;="&amp;DATE(2026,11,21))</f>
        <v/>
      </c>
      <c r="IG177" s="116">
        <f>COUNTIFS('DRAFT 2'!$D:$D,$B177,'DRAFT 2'!$A:$A,"&gt;="&amp;DATE(2026,11,22),'DRAFT 2'!$A:$A,"&lt;"&amp;DATE(2026,IF(11=12,11+1,11+1),1))</f>
        <v/>
      </c>
      <c r="IH177" s="116">
        <f>SUM(ID177:IG177)</f>
        <v/>
      </c>
      <c r="IR177" s="116">
        <f>IFERROR(LOOKUP(2,1/('DRAFT 2'!$D:$D=$B177)*('DRAFT 2'!$A:$A&gt;=DATE(2026,12,1))*('DRAFT 2'!$A:$A&lt;DATE(2026,IF(12=12,12+1,12+1),1)),'DRAFT 2'!$A:$A),"")</f>
        <v/>
      </c>
      <c r="IS177" s="116">
        <f>COUNTIFS('DRAFT 2'!$D:$D,$B177,'DRAFT 2'!$A:$A,"&gt;="&amp;DATE(2026,12,1),'DRAFT 2'!$A:$A,"&lt;="&amp;DATE(2026,12,7))</f>
        <v/>
      </c>
      <c r="IT177" s="116">
        <f>COUNTIFS('DRAFT 2'!$D:$D,$B177,'DRAFT 2'!$A:$A,"&gt;="&amp;DATE(2026,12,8),'DRAFT 2'!$A:$A,"&lt;="&amp;DATE(2026,12,14))</f>
        <v/>
      </c>
      <c r="IU177" s="116">
        <f>COUNTIFS('DRAFT 2'!$D:$D,$B177,'DRAFT 2'!$A:$A,"&gt;="&amp;DATE(2026,12,15),'DRAFT 2'!$A:$A,"&lt;="&amp;DATE(2026,12,21))</f>
        <v/>
      </c>
      <c r="IV177" s="116">
        <f>COUNTIFS('DRAFT 2'!$D:$D,$B177,'DRAFT 2'!$A:$A,"&gt;="&amp;DATE(2026,12,22),'DRAFT 2'!$A:$A,"&lt;"&amp;DATE(2026,IF(12=12,12+1,12+1),1))</f>
        <v/>
      </c>
      <c r="IW177" s="116">
        <f>SUM(IS177:IV177)</f>
        <v/>
      </c>
    </row>
    <row r="178">
      <c r="A178" s="116">
        <f>IFERROR(INDEX('DRAFT 1'!$A:$A,MATCH($B178,'DRAFT 1'!$B:$B,0)),"")</f>
        <v/>
      </c>
      <c r="C178" s="116">
        <f>IFERROR(INDEX('DRAFT 1'!$C:$C,MATCH($B178,'DRAFT 1'!$B:$B,0)),"")</f>
        <v/>
      </c>
      <c r="D178" s="116">
        <f>IFERROR(INDEX('DRAFT 1'!$D:$D,MATCH($B178,'DRAFT 1'!$B:$B,0)),"")</f>
        <v/>
      </c>
      <c r="E178" s="116">
        <f>IFERROR(INDEX('DRAFT 1'!$E:$E,MATCH($B178,'DRAFT 1'!$B:$B,0)),"")</f>
        <v/>
      </c>
      <c r="F178" s="116">
        <f>IFERROR(INDEX('DRAFT 1'!$F:$F,MATCH($B178,'DRAFT 1'!$B:$B,0)),"")</f>
        <v/>
      </c>
      <c r="G178" s="116">
        <f>IFERROR(INDEX('DRAFT 1'!$G:$G,MATCH($B178,'DRAFT 1'!$B:$B,0)),"")</f>
        <v/>
      </c>
      <c r="H178" s="116">
        <f>IFERROR(INDEX('DRAFT 1'!$H:$H,MATCH($B178,'DRAFT 1'!$B:$B,0)),"")</f>
        <v/>
      </c>
      <c r="I178" s="116">
        <f>IFERROR(INDEX('DRAFT 1'!$I:$I,MATCH($B178,'DRAFT 1'!$B:$B,0)),"")</f>
        <v/>
      </c>
      <c r="K178" s="116">
        <f>IFERROR(INDEX('DRAFT 1'!$AL:$AL,MATCH($B178,'DRAFT 1'!$B:$B,0)),"")</f>
        <v/>
      </c>
      <c r="L178" s="116">
        <f>IFERROR(INDEX('DRAFT 1'!$J:$J,MATCH($B178,'DRAFT 1'!$B:$B,0)),"")</f>
        <v/>
      </c>
      <c r="M178" s="116">
        <f>IFERROR(INDEX('DRAFT 1'!$K:$K,MATCH($B178,'DRAFT 1'!$B:$B,0)),"")</f>
        <v/>
      </c>
      <c r="P178" s="116">
        <f>IFERROR(INDEX('DRAFT 1'!$L:$L,MATCH($B178,'DRAFT 1'!$B:$B,0)),"")</f>
        <v/>
      </c>
      <c r="Q178" s="116">
        <f>IFERROR(INDEX('DRAFT 1'!$M:$M,MATCH($B178,'DRAFT 1'!$B:$B,0)),"")</f>
        <v/>
      </c>
      <c r="R178" s="116">
        <f>IFERROR(INDEX('DRAFT 1'!$N:$N,MATCH($B178,'DRAFT 1'!$B:$B,0)),"")</f>
        <v/>
      </c>
      <c r="S178" s="116">
        <f>IFERROR(INDEX('DRAFT 1'!$O:$O,MATCH($B178,'DRAFT 1'!$B:$B,0)),"")</f>
        <v/>
      </c>
      <c r="T178" s="116">
        <f>IFERROR(INDEX('DRAFT 1'!$P:$P,MATCH($B178,'DRAFT 1'!$B:$B,0)),"")</f>
        <v/>
      </c>
      <c r="U178" s="116">
        <f>IFERROR(INDEX('DRAFT 1'!$Q:$Q,MATCH($B178,'DRAFT 1'!$B:$B,0)),"")</f>
        <v/>
      </c>
      <c r="V178" s="116">
        <f>IFERROR(INDEX('DRAFT 1'!$R:$R,MATCH($B178,'DRAFT 1'!$B:$B,0)),"")</f>
        <v/>
      </c>
      <c r="W178" s="116">
        <f>IFERROR(INDEX('DRAFT 1'!$S:$S,MATCH($B178,'DRAFT 1'!$B:$B,0)),"")</f>
        <v/>
      </c>
      <c r="X178" s="116">
        <f>IFERROR(INDEX('DRAFT 1'!$T:$T,MATCH($B178,'DRAFT 1'!$B:$B,0)),"")</f>
        <v/>
      </c>
      <c r="Z178" s="116">
        <f>IFERROR(INDEX('DRAFT 1'!$U:$U,MATCH($B178,'DRAFT 1'!$B:$B,0)),"")</f>
        <v/>
      </c>
      <c r="AA178" s="116">
        <f>IFERROR(INDEX('DRAFT 1'!$V:$V,MATCH($B178,'DRAFT 1'!$B:$B,0)),"")</f>
        <v/>
      </c>
      <c r="AB178" s="116">
        <f>IFERROR(INDEX('DRAFT 1'!$W:$W,MATCH($B178,'DRAFT 1'!$B:$B,0)),"")</f>
        <v/>
      </c>
      <c r="AC178" s="116">
        <f>IFERROR(INDEX('DRAFT 1'!$X:$X,MATCH($B178,'DRAFT 1'!$B:$B,0)),"")</f>
        <v/>
      </c>
      <c r="AD178" s="116">
        <f>IFERROR(INDEX('DRAFT 1'!$Y:$Y,MATCH($B178,'DRAFT 1'!$B:$B,0)),"")</f>
        <v/>
      </c>
      <c r="AE178" s="116">
        <f>IFERROR(INDEX('DRAFT 1'!$Z:$Z,MATCH($B178,'DRAFT 1'!$B:$B,0)),"")</f>
        <v/>
      </c>
      <c r="AF178" s="116">
        <f>IFERROR(INDEX('DRAFT 1'!$AA:$AA,MATCH($B178,'DRAFT 1'!$B:$B,0)),"")</f>
        <v/>
      </c>
      <c r="AG178" s="116">
        <f>IFERROR(INDEX('DRAFT 1'!$AB:$AB,MATCH($B178,'DRAFT 1'!$B:$B,0)),"")</f>
        <v/>
      </c>
      <c r="AH178" s="116">
        <f>IFERROR(INDEX('DRAFT 1'!$AC:$AC,MATCH($B178,'DRAFT 1'!$B:$B,0)),"")</f>
        <v/>
      </c>
      <c r="AI178" s="116">
        <f>IFERROR(INDEX('DRAFT 1'!$AD:$AD,MATCH($B178,'DRAFT 1'!$B:$B,0)),"")</f>
        <v/>
      </c>
      <c r="AJ178" s="116">
        <f>IFERROR(INDEX('DRAFT 1'!$AE:$AE,MATCH($B178,'DRAFT 1'!$B:$B,0)),"")</f>
        <v/>
      </c>
      <c r="AK178" s="116">
        <f>IFERROR(INDEX('DRAFT 1'!$AG:$AG,MATCH($B178,'DRAFT 1'!$B:$B,0)),"")</f>
        <v/>
      </c>
      <c r="AL178" s="116">
        <f>IFERROR(INDEX('DRAFT 1'!$AH:$AH,MATCH($B178,'DRAFT 1'!$B:$B,0)),"")</f>
        <v/>
      </c>
      <c r="AM178" s="116">
        <f>IFERROR(INDEX('DRAFT 1'!$AI:$AI,MATCH($B178,'DRAFT 1'!$B:$B,0)),"")</f>
        <v/>
      </c>
      <c r="AN178" s="116">
        <f>IFERROR(INDEX('DRAFT 1'!$AJ:$AJ,MATCH($B178,'DRAFT 1'!$B:$B,0)),"")</f>
        <v/>
      </c>
      <c r="AO178" s="116">
        <f>IFERROR(Y178/AN178,0)</f>
        <v/>
      </c>
      <c r="AP178" s="116">
        <f>IFERROR(INDEX('DRAFT 1'!$AK:$AK,MATCH($B178,'DRAFT 1'!$B:$B,0)),"")</f>
        <v/>
      </c>
      <c r="AR178" s="116">
        <f>IFERROR(LOOKUP(2,1/('DRAFT 2'!$D:$D=$B178),'DRAFT 2'!$I:$I),"")</f>
        <v/>
      </c>
      <c r="AS178" s="116">
        <f>IFERROR(LOOKUP(2,1/('DRAFT 2'!$D:$D=$B178),'DRAFT 2'!$T:$T),"")</f>
        <v/>
      </c>
      <c r="AT178" s="116">
        <f>IFERROR(LOOKUP(2,1/('DRAFT 2'!$D:$D=$B178),'DRAFT 2'!$A:$A),"")</f>
        <v/>
      </c>
      <c r="AU178" s="116">
        <f>IFERROR(LOOKUP(2,1/('DRAFT 2'!$D:$D=$B178),'DRAFT 2'!$R:$R),"")</f>
        <v/>
      </c>
      <c r="AV178" s="116">
        <f>IFERROR(LOOKUP(2,1/('DRAFT 2'!$D:$D=$B178),'DRAFT 2'!$S:$S),"")</f>
        <v/>
      </c>
      <c r="AX178" s="116">
        <f>IFERROR(LOOKUP(2,1/('DRAFT 2'!$D:$D=$B178),'DRAFT 2'!$M:$M),"")</f>
        <v/>
      </c>
      <c r="AY178" s="116">
        <f>IFERROR(LOOKUP(2,1/('DRAFT 2'!$D:$D=$B178),'DRAFT 2'!$K:$K),"")</f>
        <v/>
      </c>
      <c r="BG178" s="116">
        <f>IFERROR(LOOKUP(2,1/('DRAFT 2'!$D:$D=$B178),'DRAFT 2'!$U:$U),"")</f>
        <v/>
      </c>
      <c r="BH178" s="116">
        <f>IFERROR(LOOKUP(2,1/('DRAFT 2'!$D:$D=$B178),'DRAFT 2'!$V:$V),"")</f>
        <v/>
      </c>
      <c r="CE178" s="116">
        <f>IFERROR(AJ178,0)</f>
        <v/>
      </c>
      <c r="CF178" s="116">
        <f>IFERROR(LOOKUP(2,1/('DRAFT 2'!$D:$D=$B178)*('DRAFT 2'!$A:$A&gt;=DATE(2026,1,1))*('DRAFT 2'!$A:$A&lt;DATE(2026,IF(1=12,1+1,1+1),1)),'DRAFT 2'!$A:$A),"")</f>
        <v/>
      </c>
      <c r="CG178" s="116">
        <f>COUNTIFS('DRAFT 2'!$D:$D,$B178,'DRAFT 2'!$A:$A,"&gt;="&amp;DATE(2026,1,1),'DRAFT 2'!$A:$A,"&lt;="&amp;DATE(2026,1,7))</f>
        <v/>
      </c>
      <c r="CH178" s="116">
        <f>COUNTIFS('DRAFT 2'!$D:$D,$B178,'DRAFT 2'!$A:$A,"&gt;="&amp;DATE(2026,1,8),'DRAFT 2'!$A:$A,"&lt;="&amp;DATE(2026,1,14))</f>
        <v/>
      </c>
      <c r="CI178" s="116">
        <f>COUNTIFS('DRAFT 2'!$D:$D,$B178,'DRAFT 2'!$A:$A,"&gt;="&amp;DATE(2026,1,15),'DRAFT 2'!$A:$A,"&lt;="&amp;DATE(2026,1,21))</f>
        <v/>
      </c>
      <c r="CJ178" s="116">
        <f>COUNTIFS('DRAFT 2'!$D:$D,$B178,'DRAFT 2'!$A:$A,"&gt;="&amp;DATE(2026,1,22),'DRAFT 2'!$A:$A,"&lt;"&amp;DATE(2026,IF(1=12,1+1,1+1),1))</f>
        <v/>
      </c>
      <c r="CK178" s="116">
        <f>SUM(CG178:CJ178)</f>
        <v/>
      </c>
      <c r="CT178" s="116" t="n">
        <v>0</v>
      </c>
      <c r="CU178" s="116">
        <f>IFERROR(LOOKUP(2,1/('DRAFT 2'!$D:$D=$B178)*('DRAFT 2'!$A:$A&gt;=DATE(2026,2,1))*('DRAFT 2'!$A:$A&lt;DATE(2026,IF(2=12,2+1,2+1),1)),'DRAFT 2'!$A:$A),"")</f>
        <v/>
      </c>
      <c r="CV178" s="116">
        <f>COUNTIFS('DRAFT 2'!$D:$D,$B178,'DRAFT 2'!$A:$A,"&gt;="&amp;DATE(2026,2,1),'DRAFT 2'!$A:$A,"&lt;="&amp;DATE(2026,2,7))</f>
        <v/>
      </c>
      <c r="CW178" s="116">
        <f>COUNTIFS('DRAFT 2'!$D:$D,$B178,'DRAFT 2'!$A:$A,"&gt;="&amp;DATE(2026,2,8),'DRAFT 2'!$A:$A,"&lt;="&amp;DATE(2026,2,14))</f>
        <v/>
      </c>
      <c r="CX178" s="116">
        <f>COUNTIFS('DRAFT 2'!$D:$D,$B178,'DRAFT 2'!$A:$A,"&gt;="&amp;DATE(2026,2,15),'DRAFT 2'!$A:$A,"&lt;="&amp;DATE(2026,2,21))</f>
        <v/>
      </c>
      <c r="CY178" s="116">
        <f>COUNTIFS('DRAFT 2'!$D:$D,$B178,'DRAFT 2'!$A:$A,"&gt;="&amp;DATE(2026,2,22),'DRAFT 2'!$A:$A,"&lt;"&amp;DATE(2026,IF(2=12,2+1,2+1),1))</f>
        <v/>
      </c>
      <c r="CZ178" s="116">
        <f>SUM(CV178:CY178)</f>
        <v/>
      </c>
      <c r="DJ178" s="116">
        <f>IFERROR(LOOKUP(2,1/('DRAFT 2'!$D:$D=$B178)*('DRAFT 2'!$A:$A&gt;=DATE(2026,3,1))*('DRAFT 2'!$A:$A&lt;DATE(2026,IF(3=12,3+1,3+1),1)),'DRAFT 2'!$A:$A),"")</f>
        <v/>
      </c>
      <c r="DK178" s="116">
        <f>COUNTIFS('DRAFT 2'!$D:$D,$B178,'DRAFT 2'!$A:$A,"&gt;="&amp;DATE(2026,3,1),'DRAFT 2'!$A:$A,"&lt;="&amp;DATE(2026,3,7))</f>
        <v/>
      </c>
      <c r="DL178" s="116">
        <f>COUNTIFS('DRAFT 2'!$D:$D,$B178,'DRAFT 2'!$A:$A,"&gt;="&amp;DATE(2026,3,8),'DRAFT 2'!$A:$A,"&lt;="&amp;DATE(2026,3,14))</f>
        <v/>
      </c>
      <c r="DM178" s="116">
        <f>COUNTIFS('DRAFT 2'!$D:$D,$B178,'DRAFT 2'!$A:$A,"&gt;="&amp;DATE(2026,3,15),'DRAFT 2'!$A:$A,"&lt;="&amp;DATE(2026,3,21))</f>
        <v/>
      </c>
      <c r="DN178" s="116">
        <f>COUNTIFS('DRAFT 2'!$D:$D,$B178,'DRAFT 2'!$A:$A,"&gt;="&amp;DATE(2026,3,22),'DRAFT 2'!$A:$A,"&lt;"&amp;DATE(2026,IF(3=12,3+1,3+1),1))</f>
        <v/>
      </c>
      <c r="DO178" s="116">
        <f>SUM(DK178:DN178)</f>
        <v/>
      </c>
      <c r="DZ178" s="116">
        <f>IFERROR(LOOKUP(2,1/('DRAFT 2'!$D:$D=$B178)*('DRAFT 2'!$A:$A&gt;=DATE(2026,4,1))*('DRAFT 2'!$A:$A&lt;DATE(2026,IF(4=12,4+1,4+1),1)),'DRAFT 2'!$A:$A),"")</f>
        <v/>
      </c>
      <c r="EA178" s="116">
        <f>COUNTIFS('DRAFT 2'!$D:$D,$B178,'DRAFT 2'!$A:$A,"&gt;="&amp;DATE(2026,4,1),'DRAFT 2'!$A:$A,"&lt;="&amp;DATE(2026,4,7))</f>
        <v/>
      </c>
      <c r="EB178" s="116">
        <f>COUNTIFS('DRAFT 2'!$D:$D,$B178,'DRAFT 2'!$A:$A,"&gt;="&amp;DATE(2026,4,8),'DRAFT 2'!$A:$A,"&lt;="&amp;DATE(2026,4,14))</f>
        <v/>
      </c>
      <c r="EC178" s="116">
        <f>COUNTIFS('DRAFT 2'!$D:$D,$B178,'DRAFT 2'!$A:$A,"&gt;="&amp;DATE(2026,4,15),'DRAFT 2'!$A:$A,"&lt;="&amp;DATE(2026,4,21))</f>
        <v/>
      </c>
      <c r="ED178" s="116">
        <f>COUNTIFS('DRAFT 2'!$D:$D,$B178,'DRAFT 2'!$A:$A,"&gt;="&amp;DATE(2026,4,22),'DRAFT 2'!$A:$A,"&lt;"&amp;DATE(2026,IF(4=12,4+1,4+1),1))</f>
        <v/>
      </c>
      <c r="EE178" s="116">
        <f>SUM(EA178:ED178)</f>
        <v/>
      </c>
      <c r="EO178" s="116">
        <f>IFERROR(LOOKUP(2,1/('DRAFT 2'!$D:$D=$B178)*('DRAFT 2'!$A:$A&gt;=DATE(2026,5,1))*('DRAFT 2'!$A:$A&lt;DATE(2026,IF(5=12,5+1,5+1),1)),'DRAFT 2'!$A:$A),"")</f>
        <v/>
      </c>
      <c r="EP178" s="116">
        <f>COUNTIFS('DRAFT 2'!$D:$D,$B178,'DRAFT 2'!$A:$A,"&gt;="&amp;DATE(2026,5,1),'DRAFT 2'!$A:$A,"&lt;="&amp;DATE(2026,5,7))</f>
        <v/>
      </c>
      <c r="EQ178" s="116">
        <f>COUNTIFS('DRAFT 2'!$D:$D,$B178,'DRAFT 2'!$A:$A,"&gt;="&amp;DATE(2026,5,8),'DRAFT 2'!$A:$A,"&lt;="&amp;DATE(2026,5,14))</f>
        <v/>
      </c>
      <c r="ER178" s="116">
        <f>COUNTIFS('DRAFT 2'!$D:$D,$B178,'DRAFT 2'!$A:$A,"&gt;="&amp;DATE(2026,5,15),'DRAFT 2'!$A:$A,"&lt;="&amp;DATE(2026,5,21))</f>
        <v/>
      </c>
      <c r="ES178" s="116">
        <f>COUNTIFS('DRAFT 2'!$D:$D,$B178,'DRAFT 2'!$A:$A,"&gt;="&amp;DATE(2026,5,22),'DRAFT 2'!$A:$A,"&lt;"&amp;DATE(2026,IF(5=12,5+1,5+1),1))</f>
        <v/>
      </c>
      <c r="ET178" s="116">
        <f>SUM(EP178:ES178)</f>
        <v/>
      </c>
      <c r="FD178" s="116">
        <f>IFERROR(LOOKUP(2,1/('DRAFT 2'!$D:$D=$B178)*('DRAFT 2'!$A:$A&gt;=DATE(2026,6,1))*('DRAFT 2'!$A:$A&lt;DATE(2026,IF(6=12,6+1,6+1),1)),'DRAFT 2'!$A:$A),"")</f>
        <v/>
      </c>
      <c r="FE178" s="116">
        <f>COUNTIFS('DRAFT 2'!$D:$D,$B178,'DRAFT 2'!$A:$A,"&gt;="&amp;DATE(2026,6,1),'DRAFT 2'!$A:$A,"&lt;="&amp;DATE(2026,6,7))</f>
        <v/>
      </c>
      <c r="FF178" s="116">
        <f>COUNTIFS('DRAFT 2'!$D:$D,$B178,'DRAFT 2'!$A:$A,"&gt;="&amp;DATE(2026,6,8),'DRAFT 2'!$A:$A,"&lt;="&amp;DATE(2026,6,14))</f>
        <v/>
      </c>
      <c r="FG178" s="116">
        <f>COUNTIFS('DRAFT 2'!$D:$D,$B178,'DRAFT 2'!$A:$A,"&gt;="&amp;DATE(2026,6,15),'DRAFT 2'!$A:$A,"&lt;="&amp;DATE(2026,6,21))</f>
        <v/>
      </c>
      <c r="FH178" s="116">
        <f>COUNTIFS('DRAFT 2'!$D:$D,$B178,'DRAFT 2'!$A:$A,"&gt;="&amp;DATE(2026,6,22),'DRAFT 2'!$A:$A,"&lt;"&amp;DATE(2026,IF(6=12,6+1,6+1),1))</f>
        <v/>
      </c>
      <c r="FI178" s="116">
        <f>SUM(FE178:FH178)</f>
        <v/>
      </c>
      <c r="FT178" s="116">
        <f>IFERROR(LOOKUP(2,1/('DRAFT 2'!$D:$D=$B178)*('DRAFT 2'!$A:$A&gt;=DATE(2026,7,1))*('DRAFT 2'!$A:$A&lt;DATE(2026,IF(7=12,7+1,7+1),1)),'DRAFT 2'!$A:$A),"")</f>
        <v/>
      </c>
      <c r="FU178" s="116">
        <f>COUNTIFS('DRAFT 2'!$D:$D,$B178,'DRAFT 2'!$A:$A,"&gt;="&amp;DATE(2026,7,1),'DRAFT 2'!$A:$A,"&lt;="&amp;DATE(2026,7,7))</f>
        <v/>
      </c>
      <c r="FV178" s="116">
        <f>COUNTIFS('DRAFT 2'!$D:$D,$B178,'DRAFT 2'!$A:$A,"&gt;="&amp;DATE(2026,7,8),'DRAFT 2'!$A:$A,"&lt;="&amp;DATE(2026,7,14))</f>
        <v/>
      </c>
      <c r="FW178" s="116">
        <f>COUNTIFS('DRAFT 2'!$D:$D,$B178,'DRAFT 2'!$A:$A,"&gt;="&amp;DATE(2026,7,15),'DRAFT 2'!$A:$A,"&lt;="&amp;DATE(2026,7,21))</f>
        <v/>
      </c>
      <c r="FX178" s="116">
        <f>COUNTIFS('DRAFT 2'!$D:$D,$B178,'DRAFT 2'!$A:$A,"&gt;="&amp;DATE(2026,7,22),'DRAFT 2'!$A:$A,"&lt;"&amp;DATE(2026,IF(7=12,7+1,7+1),1))</f>
        <v/>
      </c>
      <c r="FY178" s="116">
        <f>SUM(FU178:FX178)</f>
        <v/>
      </c>
      <c r="GI178" s="116">
        <f>IFERROR(LOOKUP(2,1/('DRAFT 2'!$D:$D=$B178)*('DRAFT 2'!$A:$A&gt;=DATE(2026,8,1))*('DRAFT 2'!$A:$A&lt;DATE(2026,IF(8=12,8+1,8+1),1)),'DRAFT 2'!$A:$A),"")</f>
        <v/>
      </c>
      <c r="GJ178" s="116">
        <f>COUNTIFS('DRAFT 2'!$D:$D,$B178,'DRAFT 2'!$A:$A,"&gt;="&amp;DATE(2026,8,1),'DRAFT 2'!$A:$A,"&lt;="&amp;DATE(2026,8,7))</f>
        <v/>
      </c>
      <c r="GK178" s="116">
        <f>COUNTIFS('DRAFT 2'!$D:$D,$B178,'DRAFT 2'!$A:$A,"&gt;="&amp;DATE(2026,8,8),'DRAFT 2'!$A:$A,"&lt;="&amp;DATE(2026,8,14))</f>
        <v/>
      </c>
      <c r="GL178" s="116">
        <f>COUNTIFS('DRAFT 2'!$D:$D,$B178,'DRAFT 2'!$A:$A,"&gt;="&amp;DATE(2026,8,15),'DRAFT 2'!$A:$A,"&lt;="&amp;DATE(2026,8,21))</f>
        <v/>
      </c>
      <c r="GM178" s="116">
        <f>COUNTIFS('DRAFT 2'!$D:$D,$B178,'DRAFT 2'!$A:$A,"&gt;="&amp;DATE(2026,8,22),'DRAFT 2'!$A:$A,"&lt;"&amp;DATE(2026,IF(8=12,8+1,8+1),1))</f>
        <v/>
      </c>
      <c r="GN178" s="116">
        <f>SUM(GJ178:GM178)</f>
        <v/>
      </c>
      <c r="GX178" s="116">
        <f>IFERROR(LOOKUP(2,1/('DRAFT 2'!$D:$D=$B178)*('DRAFT 2'!$A:$A&gt;=DATE(2026,9,1))*('DRAFT 2'!$A:$A&lt;DATE(2026,IF(9=12,9+1,9+1),1)),'DRAFT 2'!$A:$A),"")</f>
        <v/>
      </c>
      <c r="GY178" s="116">
        <f>COUNTIFS('DRAFT 2'!$D:$D,$B178,'DRAFT 2'!$A:$A,"&gt;="&amp;DATE(2026,9,1),'DRAFT 2'!$A:$A,"&lt;="&amp;DATE(2026,9,7))</f>
        <v/>
      </c>
      <c r="GZ178" s="116">
        <f>COUNTIFS('DRAFT 2'!$D:$D,$B178,'DRAFT 2'!$A:$A,"&gt;="&amp;DATE(2026,9,8),'DRAFT 2'!$A:$A,"&lt;="&amp;DATE(2026,9,14))</f>
        <v/>
      </c>
      <c r="HA178" s="116">
        <f>COUNTIFS('DRAFT 2'!$D:$D,$B178,'DRAFT 2'!$A:$A,"&gt;="&amp;DATE(2026,9,15),'DRAFT 2'!$A:$A,"&lt;="&amp;DATE(2026,9,21))</f>
        <v/>
      </c>
      <c r="HB178" s="116">
        <f>COUNTIFS('DRAFT 2'!$D:$D,$B178,'DRAFT 2'!$A:$A,"&gt;="&amp;DATE(2026,9,22),'DRAFT 2'!$A:$A,"&lt;"&amp;DATE(2026,IF(9=12,9+1,9+1),1))</f>
        <v/>
      </c>
      <c r="HC178" s="116">
        <f>SUM(GY178:HB178)</f>
        <v/>
      </c>
      <c r="HN178" s="116">
        <f>IFERROR(LOOKUP(2,1/('DRAFT 2'!$D:$D=$B178)*('DRAFT 2'!$A:$A&gt;=DATE(2026,10,1))*('DRAFT 2'!$A:$A&lt;DATE(2026,IF(10=12,10+1,10+1),1)),'DRAFT 2'!$A:$A),"")</f>
        <v/>
      </c>
      <c r="HO178" s="116">
        <f>COUNTIFS('DRAFT 2'!$D:$D,$B178,'DRAFT 2'!$A:$A,"&gt;="&amp;DATE(2026,10,1),'DRAFT 2'!$A:$A,"&lt;="&amp;DATE(2026,10,7))</f>
        <v/>
      </c>
      <c r="HP178" s="116">
        <f>COUNTIFS('DRAFT 2'!$D:$D,$B178,'DRAFT 2'!$A:$A,"&gt;="&amp;DATE(2026,10,8),'DRAFT 2'!$A:$A,"&lt;="&amp;DATE(2026,10,14))</f>
        <v/>
      </c>
      <c r="HQ178" s="116">
        <f>COUNTIFS('DRAFT 2'!$D:$D,$B178,'DRAFT 2'!$A:$A,"&gt;="&amp;DATE(2026,10,15),'DRAFT 2'!$A:$A,"&lt;="&amp;DATE(2026,10,21))</f>
        <v/>
      </c>
      <c r="HR178" s="116">
        <f>COUNTIFS('DRAFT 2'!$D:$D,$B178,'DRAFT 2'!$A:$A,"&gt;="&amp;DATE(2026,10,22),'DRAFT 2'!$A:$A,"&lt;"&amp;DATE(2026,IF(10=12,10+1,10+1),1))</f>
        <v/>
      </c>
      <c r="HS178" s="116">
        <f>SUM(HO178:HR178)</f>
        <v/>
      </c>
      <c r="IC178" s="116">
        <f>IFERROR(LOOKUP(2,1/('DRAFT 2'!$D:$D=$B178)*('DRAFT 2'!$A:$A&gt;=DATE(2026,11,1))*('DRAFT 2'!$A:$A&lt;DATE(2026,IF(11=12,11+1,11+1),1)),'DRAFT 2'!$A:$A),"")</f>
        <v/>
      </c>
      <c r="ID178" s="116">
        <f>COUNTIFS('DRAFT 2'!$D:$D,$B178,'DRAFT 2'!$A:$A,"&gt;="&amp;DATE(2026,11,1),'DRAFT 2'!$A:$A,"&lt;="&amp;DATE(2026,11,7))</f>
        <v/>
      </c>
      <c r="IE178" s="116">
        <f>COUNTIFS('DRAFT 2'!$D:$D,$B178,'DRAFT 2'!$A:$A,"&gt;="&amp;DATE(2026,11,8),'DRAFT 2'!$A:$A,"&lt;="&amp;DATE(2026,11,14))</f>
        <v/>
      </c>
      <c r="IF178" s="116">
        <f>COUNTIFS('DRAFT 2'!$D:$D,$B178,'DRAFT 2'!$A:$A,"&gt;="&amp;DATE(2026,11,15),'DRAFT 2'!$A:$A,"&lt;="&amp;DATE(2026,11,21))</f>
        <v/>
      </c>
      <c r="IG178" s="116">
        <f>COUNTIFS('DRAFT 2'!$D:$D,$B178,'DRAFT 2'!$A:$A,"&gt;="&amp;DATE(2026,11,22),'DRAFT 2'!$A:$A,"&lt;"&amp;DATE(2026,IF(11=12,11+1,11+1),1))</f>
        <v/>
      </c>
      <c r="IH178" s="116">
        <f>SUM(ID178:IG178)</f>
        <v/>
      </c>
      <c r="IR178" s="116">
        <f>IFERROR(LOOKUP(2,1/('DRAFT 2'!$D:$D=$B178)*('DRAFT 2'!$A:$A&gt;=DATE(2026,12,1))*('DRAFT 2'!$A:$A&lt;DATE(2026,IF(12=12,12+1,12+1),1)),'DRAFT 2'!$A:$A),"")</f>
        <v/>
      </c>
      <c r="IS178" s="116">
        <f>COUNTIFS('DRAFT 2'!$D:$D,$B178,'DRAFT 2'!$A:$A,"&gt;="&amp;DATE(2026,12,1),'DRAFT 2'!$A:$A,"&lt;="&amp;DATE(2026,12,7))</f>
        <v/>
      </c>
      <c r="IT178" s="116">
        <f>COUNTIFS('DRAFT 2'!$D:$D,$B178,'DRAFT 2'!$A:$A,"&gt;="&amp;DATE(2026,12,8),'DRAFT 2'!$A:$A,"&lt;="&amp;DATE(2026,12,14))</f>
        <v/>
      </c>
      <c r="IU178" s="116">
        <f>COUNTIFS('DRAFT 2'!$D:$D,$B178,'DRAFT 2'!$A:$A,"&gt;="&amp;DATE(2026,12,15),'DRAFT 2'!$A:$A,"&lt;="&amp;DATE(2026,12,21))</f>
        <v/>
      </c>
      <c r="IV178" s="116">
        <f>COUNTIFS('DRAFT 2'!$D:$D,$B178,'DRAFT 2'!$A:$A,"&gt;="&amp;DATE(2026,12,22),'DRAFT 2'!$A:$A,"&lt;"&amp;DATE(2026,IF(12=12,12+1,12+1),1))</f>
        <v/>
      </c>
      <c r="IW178" s="116">
        <f>SUM(IS178:IV178)</f>
        <v/>
      </c>
    </row>
    <row r="179">
      <c r="A179" s="116">
        <f>IFERROR(INDEX('DRAFT 1'!$A:$A,MATCH($B179,'DRAFT 1'!$B:$B,0)),"")</f>
        <v/>
      </c>
      <c r="C179" s="116">
        <f>IFERROR(INDEX('DRAFT 1'!$C:$C,MATCH($B179,'DRAFT 1'!$B:$B,0)),"")</f>
        <v/>
      </c>
      <c r="D179" s="116">
        <f>IFERROR(INDEX('DRAFT 1'!$D:$D,MATCH($B179,'DRAFT 1'!$B:$B,0)),"")</f>
        <v/>
      </c>
      <c r="E179" s="116">
        <f>IFERROR(INDEX('DRAFT 1'!$E:$E,MATCH($B179,'DRAFT 1'!$B:$B,0)),"")</f>
        <v/>
      </c>
      <c r="F179" s="116">
        <f>IFERROR(INDEX('DRAFT 1'!$F:$F,MATCH($B179,'DRAFT 1'!$B:$B,0)),"")</f>
        <v/>
      </c>
      <c r="G179" s="116">
        <f>IFERROR(INDEX('DRAFT 1'!$G:$G,MATCH($B179,'DRAFT 1'!$B:$B,0)),"")</f>
        <v/>
      </c>
      <c r="H179" s="116">
        <f>IFERROR(INDEX('DRAFT 1'!$H:$H,MATCH($B179,'DRAFT 1'!$B:$B,0)),"")</f>
        <v/>
      </c>
      <c r="I179" s="116">
        <f>IFERROR(INDEX('DRAFT 1'!$I:$I,MATCH($B179,'DRAFT 1'!$B:$B,0)),"")</f>
        <v/>
      </c>
      <c r="K179" s="116">
        <f>IFERROR(INDEX('DRAFT 1'!$AL:$AL,MATCH($B179,'DRAFT 1'!$B:$B,0)),"")</f>
        <v/>
      </c>
      <c r="L179" s="116">
        <f>IFERROR(INDEX('DRAFT 1'!$J:$J,MATCH($B179,'DRAFT 1'!$B:$B,0)),"")</f>
        <v/>
      </c>
      <c r="M179" s="116">
        <f>IFERROR(INDEX('DRAFT 1'!$K:$K,MATCH($B179,'DRAFT 1'!$B:$B,0)),"")</f>
        <v/>
      </c>
      <c r="P179" s="116">
        <f>IFERROR(INDEX('DRAFT 1'!$L:$L,MATCH($B179,'DRAFT 1'!$B:$B,0)),"")</f>
        <v/>
      </c>
      <c r="Q179" s="116">
        <f>IFERROR(INDEX('DRAFT 1'!$M:$M,MATCH($B179,'DRAFT 1'!$B:$B,0)),"")</f>
        <v/>
      </c>
      <c r="R179" s="116">
        <f>IFERROR(INDEX('DRAFT 1'!$N:$N,MATCH($B179,'DRAFT 1'!$B:$B,0)),"")</f>
        <v/>
      </c>
      <c r="S179" s="116">
        <f>IFERROR(INDEX('DRAFT 1'!$O:$O,MATCH($B179,'DRAFT 1'!$B:$B,0)),"")</f>
        <v/>
      </c>
      <c r="T179" s="116">
        <f>IFERROR(INDEX('DRAFT 1'!$P:$P,MATCH($B179,'DRAFT 1'!$B:$B,0)),"")</f>
        <v/>
      </c>
      <c r="U179" s="116">
        <f>IFERROR(INDEX('DRAFT 1'!$Q:$Q,MATCH($B179,'DRAFT 1'!$B:$B,0)),"")</f>
        <v/>
      </c>
      <c r="V179" s="116">
        <f>IFERROR(INDEX('DRAFT 1'!$R:$R,MATCH($B179,'DRAFT 1'!$B:$B,0)),"")</f>
        <v/>
      </c>
      <c r="W179" s="116">
        <f>IFERROR(INDEX('DRAFT 1'!$S:$S,MATCH($B179,'DRAFT 1'!$B:$B,0)),"")</f>
        <v/>
      </c>
      <c r="X179" s="116">
        <f>IFERROR(INDEX('DRAFT 1'!$T:$T,MATCH($B179,'DRAFT 1'!$B:$B,0)),"")</f>
        <v/>
      </c>
      <c r="Z179" s="116">
        <f>IFERROR(INDEX('DRAFT 1'!$U:$U,MATCH($B179,'DRAFT 1'!$B:$B,0)),"")</f>
        <v/>
      </c>
      <c r="AA179" s="116">
        <f>IFERROR(INDEX('DRAFT 1'!$V:$V,MATCH($B179,'DRAFT 1'!$B:$B,0)),"")</f>
        <v/>
      </c>
      <c r="AB179" s="116">
        <f>IFERROR(INDEX('DRAFT 1'!$W:$W,MATCH($B179,'DRAFT 1'!$B:$B,0)),"")</f>
        <v/>
      </c>
      <c r="AC179" s="116">
        <f>IFERROR(INDEX('DRAFT 1'!$X:$X,MATCH($B179,'DRAFT 1'!$B:$B,0)),"")</f>
        <v/>
      </c>
      <c r="AD179" s="116">
        <f>IFERROR(INDEX('DRAFT 1'!$Y:$Y,MATCH($B179,'DRAFT 1'!$B:$B,0)),"")</f>
        <v/>
      </c>
      <c r="AE179" s="116">
        <f>IFERROR(INDEX('DRAFT 1'!$Z:$Z,MATCH($B179,'DRAFT 1'!$B:$B,0)),"")</f>
        <v/>
      </c>
      <c r="AF179" s="116">
        <f>IFERROR(INDEX('DRAFT 1'!$AA:$AA,MATCH($B179,'DRAFT 1'!$B:$B,0)),"")</f>
        <v/>
      </c>
      <c r="AG179" s="116">
        <f>IFERROR(INDEX('DRAFT 1'!$AB:$AB,MATCH($B179,'DRAFT 1'!$B:$B,0)),"")</f>
        <v/>
      </c>
      <c r="AH179" s="116">
        <f>IFERROR(INDEX('DRAFT 1'!$AC:$AC,MATCH($B179,'DRAFT 1'!$B:$B,0)),"")</f>
        <v/>
      </c>
      <c r="AI179" s="116">
        <f>IFERROR(INDEX('DRAFT 1'!$AD:$AD,MATCH($B179,'DRAFT 1'!$B:$B,0)),"")</f>
        <v/>
      </c>
      <c r="AJ179" s="116">
        <f>IFERROR(INDEX('DRAFT 1'!$AE:$AE,MATCH($B179,'DRAFT 1'!$B:$B,0)),"")</f>
        <v/>
      </c>
      <c r="AK179" s="116">
        <f>IFERROR(INDEX('DRAFT 1'!$AG:$AG,MATCH($B179,'DRAFT 1'!$B:$B,0)),"")</f>
        <v/>
      </c>
      <c r="AL179" s="116">
        <f>IFERROR(INDEX('DRAFT 1'!$AH:$AH,MATCH($B179,'DRAFT 1'!$B:$B,0)),"")</f>
        <v/>
      </c>
      <c r="AM179" s="116">
        <f>IFERROR(INDEX('DRAFT 1'!$AI:$AI,MATCH($B179,'DRAFT 1'!$B:$B,0)),"")</f>
        <v/>
      </c>
      <c r="AN179" s="116">
        <f>IFERROR(INDEX('DRAFT 1'!$AJ:$AJ,MATCH($B179,'DRAFT 1'!$B:$B,0)),"")</f>
        <v/>
      </c>
      <c r="AO179" s="116">
        <f>IFERROR(Y179/AN179,0)</f>
        <v/>
      </c>
      <c r="AP179" s="116">
        <f>IFERROR(INDEX('DRAFT 1'!$AK:$AK,MATCH($B179,'DRAFT 1'!$B:$B,0)),"")</f>
        <v/>
      </c>
      <c r="AR179" s="116">
        <f>IFERROR(LOOKUP(2,1/('DRAFT 2'!$D:$D=$B179),'DRAFT 2'!$I:$I),"")</f>
        <v/>
      </c>
      <c r="AS179" s="116">
        <f>IFERROR(LOOKUP(2,1/('DRAFT 2'!$D:$D=$B179),'DRAFT 2'!$T:$T),"")</f>
        <v/>
      </c>
      <c r="AT179" s="116">
        <f>IFERROR(LOOKUP(2,1/('DRAFT 2'!$D:$D=$B179),'DRAFT 2'!$A:$A),"")</f>
        <v/>
      </c>
      <c r="AU179" s="116">
        <f>IFERROR(LOOKUP(2,1/('DRAFT 2'!$D:$D=$B179),'DRAFT 2'!$R:$R),"")</f>
        <v/>
      </c>
      <c r="AV179" s="116">
        <f>IFERROR(LOOKUP(2,1/('DRAFT 2'!$D:$D=$B179),'DRAFT 2'!$S:$S),"")</f>
        <v/>
      </c>
      <c r="AX179" s="116">
        <f>IFERROR(LOOKUP(2,1/('DRAFT 2'!$D:$D=$B179),'DRAFT 2'!$M:$M),"")</f>
        <v/>
      </c>
      <c r="AY179" s="116">
        <f>IFERROR(LOOKUP(2,1/('DRAFT 2'!$D:$D=$B179),'DRAFT 2'!$K:$K),"")</f>
        <v/>
      </c>
      <c r="BG179" s="116">
        <f>IFERROR(LOOKUP(2,1/('DRAFT 2'!$D:$D=$B179),'DRAFT 2'!$U:$U),"")</f>
        <v/>
      </c>
      <c r="BH179" s="116">
        <f>IFERROR(LOOKUP(2,1/('DRAFT 2'!$D:$D=$B179),'DRAFT 2'!$V:$V),"")</f>
        <v/>
      </c>
      <c r="CE179" s="116">
        <f>IFERROR(AJ179,0)</f>
        <v/>
      </c>
      <c r="CF179" s="116">
        <f>IFERROR(LOOKUP(2,1/('DRAFT 2'!$D:$D=$B179)*('DRAFT 2'!$A:$A&gt;=DATE(2026,1,1))*('DRAFT 2'!$A:$A&lt;DATE(2026,IF(1=12,1+1,1+1),1)),'DRAFT 2'!$A:$A),"")</f>
        <v/>
      </c>
      <c r="CG179" s="116">
        <f>COUNTIFS('DRAFT 2'!$D:$D,$B179,'DRAFT 2'!$A:$A,"&gt;="&amp;DATE(2026,1,1),'DRAFT 2'!$A:$A,"&lt;="&amp;DATE(2026,1,7))</f>
        <v/>
      </c>
      <c r="CH179" s="116">
        <f>COUNTIFS('DRAFT 2'!$D:$D,$B179,'DRAFT 2'!$A:$A,"&gt;="&amp;DATE(2026,1,8),'DRAFT 2'!$A:$A,"&lt;="&amp;DATE(2026,1,14))</f>
        <v/>
      </c>
      <c r="CI179" s="116">
        <f>COUNTIFS('DRAFT 2'!$D:$D,$B179,'DRAFT 2'!$A:$A,"&gt;="&amp;DATE(2026,1,15),'DRAFT 2'!$A:$A,"&lt;="&amp;DATE(2026,1,21))</f>
        <v/>
      </c>
      <c r="CJ179" s="116">
        <f>COUNTIFS('DRAFT 2'!$D:$D,$B179,'DRAFT 2'!$A:$A,"&gt;="&amp;DATE(2026,1,22),'DRAFT 2'!$A:$A,"&lt;"&amp;DATE(2026,IF(1=12,1+1,1+1),1))</f>
        <v/>
      </c>
      <c r="CK179" s="116">
        <f>SUM(CG179:CJ179)</f>
        <v/>
      </c>
      <c r="CT179" s="116" t="n">
        <v>0</v>
      </c>
      <c r="CU179" s="116">
        <f>IFERROR(LOOKUP(2,1/('DRAFT 2'!$D:$D=$B179)*('DRAFT 2'!$A:$A&gt;=DATE(2026,2,1))*('DRAFT 2'!$A:$A&lt;DATE(2026,IF(2=12,2+1,2+1),1)),'DRAFT 2'!$A:$A),"")</f>
        <v/>
      </c>
      <c r="CV179" s="116">
        <f>COUNTIFS('DRAFT 2'!$D:$D,$B179,'DRAFT 2'!$A:$A,"&gt;="&amp;DATE(2026,2,1),'DRAFT 2'!$A:$A,"&lt;="&amp;DATE(2026,2,7))</f>
        <v/>
      </c>
      <c r="CW179" s="116">
        <f>COUNTIFS('DRAFT 2'!$D:$D,$B179,'DRAFT 2'!$A:$A,"&gt;="&amp;DATE(2026,2,8),'DRAFT 2'!$A:$A,"&lt;="&amp;DATE(2026,2,14))</f>
        <v/>
      </c>
      <c r="CX179" s="116">
        <f>COUNTIFS('DRAFT 2'!$D:$D,$B179,'DRAFT 2'!$A:$A,"&gt;="&amp;DATE(2026,2,15),'DRAFT 2'!$A:$A,"&lt;="&amp;DATE(2026,2,21))</f>
        <v/>
      </c>
      <c r="CY179" s="116">
        <f>COUNTIFS('DRAFT 2'!$D:$D,$B179,'DRAFT 2'!$A:$A,"&gt;="&amp;DATE(2026,2,22),'DRAFT 2'!$A:$A,"&lt;"&amp;DATE(2026,IF(2=12,2+1,2+1),1))</f>
        <v/>
      </c>
      <c r="CZ179" s="116">
        <f>SUM(CV179:CY179)</f>
        <v/>
      </c>
      <c r="DJ179" s="116">
        <f>IFERROR(LOOKUP(2,1/('DRAFT 2'!$D:$D=$B179)*('DRAFT 2'!$A:$A&gt;=DATE(2026,3,1))*('DRAFT 2'!$A:$A&lt;DATE(2026,IF(3=12,3+1,3+1),1)),'DRAFT 2'!$A:$A),"")</f>
        <v/>
      </c>
      <c r="DK179" s="116">
        <f>COUNTIFS('DRAFT 2'!$D:$D,$B179,'DRAFT 2'!$A:$A,"&gt;="&amp;DATE(2026,3,1),'DRAFT 2'!$A:$A,"&lt;="&amp;DATE(2026,3,7))</f>
        <v/>
      </c>
      <c r="DL179" s="116">
        <f>COUNTIFS('DRAFT 2'!$D:$D,$B179,'DRAFT 2'!$A:$A,"&gt;="&amp;DATE(2026,3,8),'DRAFT 2'!$A:$A,"&lt;="&amp;DATE(2026,3,14))</f>
        <v/>
      </c>
      <c r="DM179" s="116">
        <f>COUNTIFS('DRAFT 2'!$D:$D,$B179,'DRAFT 2'!$A:$A,"&gt;="&amp;DATE(2026,3,15),'DRAFT 2'!$A:$A,"&lt;="&amp;DATE(2026,3,21))</f>
        <v/>
      </c>
      <c r="DN179" s="116">
        <f>COUNTIFS('DRAFT 2'!$D:$D,$B179,'DRAFT 2'!$A:$A,"&gt;="&amp;DATE(2026,3,22),'DRAFT 2'!$A:$A,"&lt;"&amp;DATE(2026,IF(3=12,3+1,3+1),1))</f>
        <v/>
      </c>
      <c r="DO179" s="116">
        <f>SUM(DK179:DN179)</f>
        <v/>
      </c>
      <c r="DZ179" s="116">
        <f>IFERROR(LOOKUP(2,1/('DRAFT 2'!$D:$D=$B179)*('DRAFT 2'!$A:$A&gt;=DATE(2026,4,1))*('DRAFT 2'!$A:$A&lt;DATE(2026,IF(4=12,4+1,4+1),1)),'DRAFT 2'!$A:$A),"")</f>
        <v/>
      </c>
      <c r="EA179" s="116">
        <f>COUNTIFS('DRAFT 2'!$D:$D,$B179,'DRAFT 2'!$A:$A,"&gt;="&amp;DATE(2026,4,1),'DRAFT 2'!$A:$A,"&lt;="&amp;DATE(2026,4,7))</f>
        <v/>
      </c>
      <c r="EB179" s="116">
        <f>COUNTIFS('DRAFT 2'!$D:$D,$B179,'DRAFT 2'!$A:$A,"&gt;="&amp;DATE(2026,4,8),'DRAFT 2'!$A:$A,"&lt;="&amp;DATE(2026,4,14))</f>
        <v/>
      </c>
      <c r="EC179" s="116">
        <f>COUNTIFS('DRAFT 2'!$D:$D,$B179,'DRAFT 2'!$A:$A,"&gt;="&amp;DATE(2026,4,15),'DRAFT 2'!$A:$A,"&lt;="&amp;DATE(2026,4,21))</f>
        <v/>
      </c>
      <c r="ED179" s="116">
        <f>COUNTIFS('DRAFT 2'!$D:$D,$B179,'DRAFT 2'!$A:$A,"&gt;="&amp;DATE(2026,4,22),'DRAFT 2'!$A:$A,"&lt;"&amp;DATE(2026,IF(4=12,4+1,4+1),1))</f>
        <v/>
      </c>
      <c r="EE179" s="116">
        <f>SUM(EA179:ED179)</f>
        <v/>
      </c>
      <c r="EO179" s="116">
        <f>IFERROR(LOOKUP(2,1/('DRAFT 2'!$D:$D=$B179)*('DRAFT 2'!$A:$A&gt;=DATE(2026,5,1))*('DRAFT 2'!$A:$A&lt;DATE(2026,IF(5=12,5+1,5+1),1)),'DRAFT 2'!$A:$A),"")</f>
        <v/>
      </c>
      <c r="EP179" s="116">
        <f>COUNTIFS('DRAFT 2'!$D:$D,$B179,'DRAFT 2'!$A:$A,"&gt;="&amp;DATE(2026,5,1),'DRAFT 2'!$A:$A,"&lt;="&amp;DATE(2026,5,7))</f>
        <v/>
      </c>
      <c r="EQ179" s="116">
        <f>COUNTIFS('DRAFT 2'!$D:$D,$B179,'DRAFT 2'!$A:$A,"&gt;="&amp;DATE(2026,5,8),'DRAFT 2'!$A:$A,"&lt;="&amp;DATE(2026,5,14))</f>
        <v/>
      </c>
      <c r="ER179" s="116">
        <f>COUNTIFS('DRAFT 2'!$D:$D,$B179,'DRAFT 2'!$A:$A,"&gt;="&amp;DATE(2026,5,15),'DRAFT 2'!$A:$A,"&lt;="&amp;DATE(2026,5,21))</f>
        <v/>
      </c>
      <c r="ES179" s="116">
        <f>COUNTIFS('DRAFT 2'!$D:$D,$B179,'DRAFT 2'!$A:$A,"&gt;="&amp;DATE(2026,5,22),'DRAFT 2'!$A:$A,"&lt;"&amp;DATE(2026,IF(5=12,5+1,5+1),1))</f>
        <v/>
      </c>
      <c r="ET179" s="116">
        <f>SUM(EP179:ES179)</f>
        <v/>
      </c>
      <c r="FD179" s="116">
        <f>IFERROR(LOOKUP(2,1/('DRAFT 2'!$D:$D=$B179)*('DRAFT 2'!$A:$A&gt;=DATE(2026,6,1))*('DRAFT 2'!$A:$A&lt;DATE(2026,IF(6=12,6+1,6+1),1)),'DRAFT 2'!$A:$A),"")</f>
        <v/>
      </c>
      <c r="FE179" s="116">
        <f>COUNTIFS('DRAFT 2'!$D:$D,$B179,'DRAFT 2'!$A:$A,"&gt;="&amp;DATE(2026,6,1),'DRAFT 2'!$A:$A,"&lt;="&amp;DATE(2026,6,7))</f>
        <v/>
      </c>
      <c r="FF179" s="116">
        <f>COUNTIFS('DRAFT 2'!$D:$D,$B179,'DRAFT 2'!$A:$A,"&gt;="&amp;DATE(2026,6,8),'DRAFT 2'!$A:$A,"&lt;="&amp;DATE(2026,6,14))</f>
        <v/>
      </c>
      <c r="FG179" s="116">
        <f>COUNTIFS('DRAFT 2'!$D:$D,$B179,'DRAFT 2'!$A:$A,"&gt;="&amp;DATE(2026,6,15),'DRAFT 2'!$A:$A,"&lt;="&amp;DATE(2026,6,21))</f>
        <v/>
      </c>
      <c r="FH179" s="116">
        <f>COUNTIFS('DRAFT 2'!$D:$D,$B179,'DRAFT 2'!$A:$A,"&gt;="&amp;DATE(2026,6,22),'DRAFT 2'!$A:$A,"&lt;"&amp;DATE(2026,IF(6=12,6+1,6+1),1))</f>
        <v/>
      </c>
      <c r="FI179" s="116">
        <f>SUM(FE179:FH179)</f>
        <v/>
      </c>
      <c r="FT179" s="116">
        <f>IFERROR(LOOKUP(2,1/('DRAFT 2'!$D:$D=$B179)*('DRAFT 2'!$A:$A&gt;=DATE(2026,7,1))*('DRAFT 2'!$A:$A&lt;DATE(2026,IF(7=12,7+1,7+1),1)),'DRAFT 2'!$A:$A),"")</f>
        <v/>
      </c>
      <c r="FU179" s="116">
        <f>COUNTIFS('DRAFT 2'!$D:$D,$B179,'DRAFT 2'!$A:$A,"&gt;="&amp;DATE(2026,7,1),'DRAFT 2'!$A:$A,"&lt;="&amp;DATE(2026,7,7))</f>
        <v/>
      </c>
      <c r="FV179" s="116">
        <f>COUNTIFS('DRAFT 2'!$D:$D,$B179,'DRAFT 2'!$A:$A,"&gt;="&amp;DATE(2026,7,8),'DRAFT 2'!$A:$A,"&lt;="&amp;DATE(2026,7,14))</f>
        <v/>
      </c>
      <c r="FW179" s="116">
        <f>COUNTIFS('DRAFT 2'!$D:$D,$B179,'DRAFT 2'!$A:$A,"&gt;="&amp;DATE(2026,7,15),'DRAFT 2'!$A:$A,"&lt;="&amp;DATE(2026,7,21))</f>
        <v/>
      </c>
      <c r="FX179" s="116">
        <f>COUNTIFS('DRAFT 2'!$D:$D,$B179,'DRAFT 2'!$A:$A,"&gt;="&amp;DATE(2026,7,22),'DRAFT 2'!$A:$A,"&lt;"&amp;DATE(2026,IF(7=12,7+1,7+1),1))</f>
        <v/>
      </c>
      <c r="FY179" s="116">
        <f>SUM(FU179:FX179)</f>
        <v/>
      </c>
      <c r="GI179" s="116">
        <f>IFERROR(LOOKUP(2,1/('DRAFT 2'!$D:$D=$B179)*('DRAFT 2'!$A:$A&gt;=DATE(2026,8,1))*('DRAFT 2'!$A:$A&lt;DATE(2026,IF(8=12,8+1,8+1),1)),'DRAFT 2'!$A:$A),"")</f>
        <v/>
      </c>
      <c r="GJ179" s="116">
        <f>COUNTIFS('DRAFT 2'!$D:$D,$B179,'DRAFT 2'!$A:$A,"&gt;="&amp;DATE(2026,8,1),'DRAFT 2'!$A:$A,"&lt;="&amp;DATE(2026,8,7))</f>
        <v/>
      </c>
      <c r="GK179" s="116">
        <f>COUNTIFS('DRAFT 2'!$D:$D,$B179,'DRAFT 2'!$A:$A,"&gt;="&amp;DATE(2026,8,8),'DRAFT 2'!$A:$A,"&lt;="&amp;DATE(2026,8,14))</f>
        <v/>
      </c>
      <c r="GL179" s="116">
        <f>COUNTIFS('DRAFT 2'!$D:$D,$B179,'DRAFT 2'!$A:$A,"&gt;="&amp;DATE(2026,8,15),'DRAFT 2'!$A:$A,"&lt;="&amp;DATE(2026,8,21))</f>
        <v/>
      </c>
      <c r="GM179" s="116">
        <f>COUNTIFS('DRAFT 2'!$D:$D,$B179,'DRAFT 2'!$A:$A,"&gt;="&amp;DATE(2026,8,22),'DRAFT 2'!$A:$A,"&lt;"&amp;DATE(2026,IF(8=12,8+1,8+1),1))</f>
        <v/>
      </c>
      <c r="GN179" s="116">
        <f>SUM(GJ179:GM179)</f>
        <v/>
      </c>
      <c r="GX179" s="116">
        <f>IFERROR(LOOKUP(2,1/('DRAFT 2'!$D:$D=$B179)*('DRAFT 2'!$A:$A&gt;=DATE(2026,9,1))*('DRAFT 2'!$A:$A&lt;DATE(2026,IF(9=12,9+1,9+1),1)),'DRAFT 2'!$A:$A),"")</f>
        <v/>
      </c>
      <c r="GY179" s="116">
        <f>COUNTIFS('DRAFT 2'!$D:$D,$B179,'DRAFT 2'!$A:$A,"&gt;="&amp;DATE(2026,9,1),'DRAFT 2'!$A:$A,"&lt;="&amp;DATE(2026,9,7))</f>
        <v/>
      </c>
      <c r="GZ179" s="116">
        <f>COUNTIFS('DRAFT 2'!$D:$D,$B179,'DRAFT 2'!$A:$A,"&gt;="&amp;DATE(2026,9,8),'DRAFT 2'!$A:$A,"&lt;="&amp;DATE(2026,9,14))</f>
        <v/>
      </c>
      <c r="HA179" s="116">
        <f>COUNTIFS('DRAFT 2'!$D:$D,$B179,'DRAFT 2'!$A:$A,"&gt;="&amp;DATE(2026,9,15),'DRAFT 2'!$A:$A,"&lt;="&amp;DATE(2026,9,21))</f>
        <v/>
      </c>
      <c r="HB179" s="116">
        <f>COUNTIFS('DRAFT 2'!$D:$D,$B179,'DRAFT 2'!$A:$A,"&gt;="&amp;DATE(2026,9,22),'DRAFT 2'!$A:$A,"&lt;"&amp;DATE(2026,IF(9=12,9+1,9+1),1))</f>
        <v/>
      </c>
      <c r="HC179" s="116">
        <f>SUM(GY179:HB179)</f>
        <v/>
      </c>
      <c r="HN179" s="116">
        <f>IFERROR(LOOKUP(2,1/('DRAFT 2'!$D:$D=$B179)*('DRAFT 2'!$A:$A&gt;=DATE(2026,10,1))*('DRAFT 2'!$A:$A&lt;DATE(2026,IF(10=12,10+1,10+1),1)),'DRAFT 2'!$A:$A),"")</f>
        <v/>
      </c>
      <c r="HO179" s="116">
        <f>COUNTIFS('DRAFT 2'!$D:$D,$B179,'DRAFT 2'!$A:$A,"&gt;="&amp;DATE(2026,10,1),'DRAFT 2'!$A:$A,"&lt;="&amp;DATE(2026,10,7))</f>
        <v/>
      </c>
      <c r="HP179" s="116">
        <f>COUNTIFS('DRAFT 2'!$D:$D,$B179,'DRAFT 2'!$A:$A,"&gt;="&amp;DATE(2026,10,8),'DRAFT 2'!$A:$A,"&lt;="&amp;DATE(2026,10,14))</f>
        <v/>
      </c>
      <c r="HQ179" s="116">
        <f>COUNTIFS('DRAFT 2'!$D:$D,$B179,'DRAFT 2'!$A:$A,"&gt;="&amp;DATE(2026,10,15),'DRAFT 2'!$A:$A,"&lt;="&amp;DATE(2026,10,21))</f>
        <v/>
      </c>
      <c r="HR179" s="116">
        <f>COUNTIFS('DRAFT 2'!$D:$D,$B179,'DRAFT 2'!$A:$A,"&gt;="&amp;DATE(2026,10,22),'DRAFT 2'!$A:$A,"&lt;"&amp;DATE(2026,IF(10=12,10+1,10+1),1))</f>
        <v/>
      </c>
      <c r="HS179" s="116">
        <f>SUM(HO179:HR179)</f>
        <v/>
      </c>
      <c r="IC179" s="116">
        <f>IFERROR(LOOKUP(2,1/('DRAFT 2'!$D:$D=$B179)*('DRAFT 2'!$A:$A&gt;=DATE(2026,11,1))*('DRAFT 2'!$A:$A&lt;DATE(2026,IF(11=12,11+1,11+1),1)),'DRAFT 2'!$A:$A),"")</f>
        <v/>
      </c>
      <c r="ID179" s="116">
        <f>COUNTIFS('DRAFT 2'!$D:$D,$B179,'DRAFT 2'!$A:$A,"&gt;="&amp;DATE(2026,11,1),'DRAFT 2'!$A:$A,"&lt;="&amp;DATE(2026,11,7))</f>
        <v/>
      </c>
      <c r="IE179" s="116">
        <f>COUNTIFS('DRAFT 2'!$D:$D,$B179,'DRAFT 2'!$A:$A,"&gt;="&amp;DATE(2026,11,8),'DRAFT 2'!$A:$A,"&lt;="&amp;DATE(2026,11,14))</f>
        <v/>
      </c>
      <c r="IF179" s="116">
        <f>COUNTIFS('DRAFT 2'!$D:$D,$B179,'DRAFT 2'!$A:$A,"&gt;="&amp;DATE(2026,11,15),'DRAFT 2'!$A:$A,"&lt;="&amp;DATE(2026,11,21))</f>
        <v/>
      </c>
      <c r="IG179" s="116">
        <f>COUNTIFS('DRAFT 2'!$D:$D,$B179,'DRAFT 2'!$A:$A,"&gt;="&amp;DATE(2026,11,22),'DRAFT 2'!$A:$A,"&lt;"&amp;DATE(2026,IF(11=12,11+1,11+1),1))</f>
        <v/>
      </c>
      <c r="IH179" s="116">
        <f>SUM(ID179:IG179)</f>
        <v/>
      </c>
      <c r="IR179" s="116">
        <f>IFERROR(LOOKUP(2,1/('DRAFT 2'!$D:$D=$B179)*('DRAFT 2'!$A:$A&gt;=DATE(2026,12,1))*('DRAFT 2'!$A:$A&lt;DATE(2026,IF(12=12,12+1,12+1),1)),'DRAFT 2'!$A:$A),"")</f>
        <v/>
      </c>
      <c r="IS179" s="116">
        <f>COUNTIFS('DRAFT 2'!$D:$D,$B179,'DRAFT 2'!$A:$A,"&gt;="&amp;DATE(2026,12,1),'DRAFT 2'!$A:$A,"&lt;="&amp;DATE(2026,12,7))</f>
        <v/>
      </c>
      <c r="IT179" s="116">
        <f>COUNTIFS('DRAFT 2'!$D:$D,$B179,'DRAFT 2'!$A:$A,"&gt;="&amp;DATE(2026,12,8),'DRAFT 2'!$A:$A,"&lt;="&amp;DATE(2026,12,14))</f>
        <v/>
      </c>
      <c r="IU179" s="116">
        <f>COUNTIFS('DRAFT 2'!$D:$D,$B179,'DRAFT 2'!$A:$A,"&gt;="&amp;DATE(2026,12,15),'DRAFT 2'!$A:$A,"&lt;="&amp;DATE(2026,12,21))</f>
        <v/>
      </c>
      <c r="IV179" s="116">
        <f>COUNTIFS('DRAFT 2'!$D:$D,$B179,'DRAFT 2'!$A:$A,"&gt;="&amp;DATE(2026,12,22),'DRAFT 2'!$A:$A,"&lt;"&amp;DATE(2026,IF(12=12,12+1,12+1),1))</f>
        <v/>
      </c>
      <c r="IW179" s="116">
        <f>SUM(IS179:IV179)</f>
        <v/>
      </c>
    </row>
    <row r="180">
      <c r="A180" s="116">
        <f>IFERROR(INDEX('DRAFT 1'!$A:$A,MATCH($B180,'DRAFT 1'!$B:$B,0)),"")</f>
        <v/>
      </c>
      <c r="C180" s="116">
        <f>IFERROR(INDEX('DRAFT 1'!$C:$C,MATCH($B180,'DRAFT 1'!$B:$B,0)),"")</f>
        <v/>
      </c>
      <c r="D180" s="116">
        <f>IFERROR(INDEX('DRAFT 1'!$D:$D,MATCH($B180,'DRAFT 1'!$B:$B,0)),"")</f>
        <v/>
      </c>
      <c r="E180" s="116">
        <f>IFERROR(INDEX('DRAFT 1'!$E:$E,MATCH($B180,'DRAFT 1'!$B:$B,0)),"")</f>
        <v/>
      </c>
      <c r="F180" s="116">
        <f>IFERROR(INDEX('DRAFT 1'!$F:$F,MATCH($B180,'DRAFT 1'!$B:$B,0)),"")</f>
        <v/>
      </c>
      <c r="G180" s="116">
        <f>IFERROR(INDEX('DRAFT 1'!$G:$G,MATCH($B180,'DRAFT 1'!$B:$B,0)),"")</f>
        <v/>
      </c>
      <c r="H180" s="116">
        <f>IFERROR(INDEX('DRAFT 1'!$H:$H,MATCH($B180,'DRAFT 1'!$B:$B,0)),"")</f>
        <v/>
      </c>
      <c r="I180" s="116">
        <f>IFERROR(INDEX('DRAFT 1'!$I:$I,MATCH($B180,'DRAFT 1'!$B:$B,0)),"")</f>
        <v/>
      </c>
      <c r="K180" s="116">
        <f>IFERROR(INDEX('DRAFT 1'!$AL:$AL,MATCH($B180,'DRAFT 1'!$B:$B,0)),"")</f>
        <v/>
      </c>
      <c r="L180" s="116">
        <f>IFERROR(INDEX('DRAFT 1'!$J:$J,MATCH($B180,'DRAFT 1'!$B:$B,0)),"")</f>
        <v/>
      </c>
      <c r="M180" s="116">
        <f>IFERROR(INDEX('DRAFT 1'!$K:$K,MATCH($B180,'DRAFT 1'!$B:$B,0)),"")</f>
        <v/>
      </c>
      <c r="P180" s="116">
        <f>IFERROR(INDEX('DRAFT 1'!$L:$L,MATCH($B180,'DRAFT 1'!$B:$B,0)),"")</f>
        <v/>
      </c>
      <c r="Q180" s="116">
        <f>IFERROR(INDEX('DRAFT 1'!$M:$M,MATCH($B180,'DRAFT 1'!$B:$B,0)),"")</f>
        <v/>
      </c>
      <c r="R180" s="116">
        <f>IFERROR(INDEX('DRAFT 1'!$N:$N,MATCH($B180,'DRAFT 1'!$B:$B,0)),"")</f>
        <v/>
      </c>
      <c r="S180" s="116">
        <f>IFERROR(INDEX('DRAFT 1'!$O:$O,MATCH($B180,'DRAFT 1'!$B:$B,0)),"")</f>
        <v/>
      </c>
      <c r="T180" s="116">
        <f>IFERROR(INDEX('DRAFT 1'!$P:$P,MATCH($B180,'DRAFT 1'!$B:$B,0)),"")</f>
        <v/>
      </c>
      <c r="U180" s="116">
        <f>IFERROR(INDEX('DRAFT 1'!$Q:$Q,MATCH($B180,'DRAFT 1'!$B:$B,0)),"")</f>
        <v/>
      </c>
      <c r="V180" s="116">
        <f>IFERROR(INDEX('DRAFT 1'!$R:$R,MATCH($B180,'DRAFT 1'!$B:$B,0)),"")</f>
        <v/>
      </c>
      <c r="W180" s="116">
        <f>IFERROR(INDEX('DRAFT 1'!$S:$S,MATCH($B180,'DRAFT 1'!$B:$B,0)),"")</f>
        <v/>
      </c>
      <c r="X180" s="116">
        <f>IFERROR(INDEX('DRAFT 1'!$T:$T,MATCH($B180,'DRAFT 1'!$B:$B,0)),"")</f>
        <v/>
      </c>
      <c r="Z180" s="116">
        <f>IFERROR(INDEX('DRAFT 1'!$U:$U,MATCH($B180,'DRAFT 1'!$B:$B,0)),"")</f>
        <v/>
      </c>
      <c r="AA180" s="116">
        <f>IFERROR(INDEX('DRAFT 1'!$V:$V,MATCH($B180,'DRAFT 1'!$B:$B,0)),"")</f>
        <v/>
      </c>
      <c r="AB180" s="116">
        <f>IFERROR(INDEX('DRAFT 1'!$W:$W,MATCH($B180,'DRAFT 1'!$B:$B,0)),"")</f>
        <v/>
      </c>
      <c r="AC180" s="116">
        <f>IFERROR(INDEX('DRAFT 1'!$X:$X,MATCH($B180,'DRAFT 1'!$B:$B,0)),"")</f>
        <v/>
      </c>
      <c r="AD180" s="116">
        <f>IFERROR(INDEX('DRAFT 1'!$Y:$Y,MATCH($B180,'DRAFT 1'!$B:$B,0)),"")</f>
        <v/>
      </c>
      <c r="AE180" s="116">
        <f>IFERROR(INDEX('DRAFT 1'!$Z:$Z,MATCH($B180,'DRAFT 1'!$B:$B,0)),"")</f>
        <v/>
      </c>
      <c r="AF180" s="116">
        <f>IFERROR(INDEX('DRAFT 1'!$AA:$AA,MATCH($B180,'DRAFT 1'!$B:$B,0)),"")</f>
        <v/>
      </c>
      <c r="AG180" s="116">
        <f>IFERROR(INDEX('DRAFT 1'!$AB:$AB,MATCH($B180,'DRAFT 1'!$B:$B,0)),"")</f>
        <v/>
      </c>
      <c r="AH180" s="116">
        <f>IFERROR(INDEX('DRAFT 1'!$AC:$AC,MATCH($B180,'DRAFT 1'!$B:$B,0)),"")</f>
        <v/>
      </c>
      <c r="AI180" s="116">
        <f>IFERROR(INDEX('DRAFT 1'!$AD:$AD,MATCH($B180,'DRAFT 1'!$B:$B,0)),"")</f>
        <v/>
      </c>
      <c r="AJ180" s="116">
        <f>IFERROR(INDEX('DRAFT 1'!$AE:$AE,MATCH($B180,'DRAFT 1'!$B:$B,0)),"")</f>
        <v/>
      </c>
      <c r="AK180" s="116">
        <f>IFERROR(INDEX('DRAFT 1'!$AG:$AG,MATCH($B180,'DRAFT 1'!$B:$B,0)),"")</f>
        <v/>
      </c>
      <c r="AL180" s="116">
        <f>IFERROR(INDEX('DRAFT 1'!$AH:$AH,MATCH($B180,'DRAFT 1'!$B:$B,0)),"")</f>
        <v/>
      </c>
      <c r="AM180" s="116">
        <f>IFERROR(INDEX('DRAFT 1'!$AI:$AI,MATCH($B180,'DRAFT 1'!$B:$B,0)),"")</f>
        <v/>
      </c>
      <c r="AN180" s="116">
        <f>IFERROR(INDEX('DRAFT 1'!$AJ:$AJ,MATCH($B180,'DRAFT 1'!$B:$B,0)),"")</f>
        <v/>
      </c>
      <c r="AO180" s="116">
        <f>IFERROR(Y180/AN180,0)</f>
        <v/>
      </c>
      <c r="AP180" s="116">
        <f>IFERROR(INDEX('DRAFT 1'!$AK:$AK,MATCH($B180,'DRAFT 1'!$B:$B,0)),"")</f>
        <v/>
      </c>
      <c r="AR180" s="116">
        <f>IFERROR(LOOKUP(2,1/('DRAFT 2'!$D:$D=$B180),'DRAFT 2'!$I:$I),"")</f>
        <v/>
      </c>
      <c r="AS180" s="116">
        <f>IFERROR(LOOKUP(2,1/('DRAFT 2'!$D:$D=$B180),'DRAFT 2'!$T:$T),"")</f>
        <v/>
      </c>
      <c r="AT180" s="116">
        <f>IFERROR(LOOKUP(2,1/('DRAFT 2'!$D:$D=$B180),'DRAFT 2'!$A:$A),"")</f>
        <v/>
      </c>
      <c r="AU180" s="116">
        <f>IFERROR(LOOKUP(2,1/('DRAFT 2'!$D:$D=$B180),'DRAFT 2'!$R:$R),"")</f>
        <v/>
      </c>
      <c r="AV180" s="116">
        <f>IFERROR(LOOKUP(2,1/('DRAFT 2'!$D:$D=$B180),'DRAFT 2'!$S:$S),"")</f>
        <v/>
      </c>
      <c r="AX180" s="116">
        <f>IFERROR(LOOKUP(2,1/('DRAFT 2'!$D:$D=$B180),'DRAFT 2'!$M:$M),"")</f>
        <v/>
      </c>
      <c r="AY180" s="116">
        <f>IFERROR(LOOKUP(2,1/('DRAFT 2'!$D:$D=$B180),'DRAFT 2'!$K:$K),"")</f>
        <v/>
      </c>
      <c r="BG180" s="116">
        <f>IFERROR(LOOKUP(2,1/('DRAFT 2'!$D:$D=$B180),'DRAFT 2'!$U:$U),"")</f>
        <v/>
      </c>
      <c r="BH180" s="116">
        <f>IFERROR(LOOKUP(2,1/('DRAFT 2'!$D:$D=$B180),'DRAFT 2'!$V:$V),"")</f>
        <v/>
      </c>
      <c r="CE180" s="116">
        <f>IFERROR(AJ180,0)</f>
        <v/>
      </c>
      <c r="CF180" s="116">
        <f>IFERROR(LOOKUP(2,1/('DRAFT 2'!$D:$D=$B180)*('DRAFT 2'!$A:$A&gt;=DATE(2026,1,1))*('DRAFT 2'!$A:$A&lt;DATE(2026,IF(1=12,1+1,1+1),1)),'DRAFT 2'!$A:$A),"")</f>
        <v/>
      </c>
      <c r="CG180" s="116">
        <f>COUNTIFS('DRAFT 2'!$D:$D,$B180,'DRAFT 2'!$A:$A,"&gt;="&amp;DATE(2026,1,1),'DRAFT 2'!$A:$A,"&lt;="&amp;DATE(2026,1,7))</f>
        <v/>
      </c>
      <c r="CH180" s="116">
        <f>COUNTIFS('DRAFT 2'!$D:$D,$B180,'DRAFT 2'!$A:$A,"&gt;="&amp;DATE(2026,1,8),'DRAFT 2'!$A:$A,"&lt;="&amp;DATE(2026,1,14))</f>
        <v/>
      </c>
      <c r="CI180" s="116">
        <f>COUNTIFS('DRAFT 2'!$D:$D,$B180,'DRAFT 2'!$A:$A,"&gt;="&amp;DATE(2026,1,15),'DRAFT 2'!$A:$A,"&lt;="&amp;DATE(2026,1,21))</f>
        <v/>
      </c>
      <c r="CJ180" s="116">
        <f>COUNTIFS('DRAFT 2'!$D:$D,$B180,'DRAFT 2'!$A:$A,"&gt;="&amp;DATE(2026,1,22),'DRAFT 2'!$A:$A,"&lt;"&amp;DATE(2026,IF(1=12,1+1,1+1),1))</f>
        <v/>
      </c>
      <c r="CK180" s="116">
        <f>SUM(CG180:CJ180)</f>
        <v/>
      </c>
      <c r="CT180" s="116" t="n">
        <v>0</v>
      </c>
      <c r="CU180" s="116">
        <f>IFERROR(LOOKUP(2,1/('DRAFT 2'!$D:$D=$B180)*('DRAFT 2'!$A:$A&gt;=DATE(2026,2,1))*('DRAFT 2'!$A:$A&lt;DATE(2026,IF(2=12,2+1,2+1),1)),'DRAFT 2'!$A:$A),"")</f>
        <v/>
      </c>
      <c r="CV180" s="116">
        <f>COUNTIFS('DRAFT 2'!$D:$D,$B180,'DRAFT 2'!$A:$A,"&gt;="&amp;DATE(2026,2,1),'DRAFT 2'!$A:$A,"&lt;="&amp;DATE(2026,2,7))</f>
        <v/>
      </c>
      <c r="CW180" s="116">
        <f>COUNTIFS('DRAFT 2'!$D:$D,$B180,'DRAFT 2'!$A:$A,"&gt;="&amp;DATE(2026,2,8),'DRAFT 2'!$A:$A,"&lt;="&amp;DATE(2026,2,14))</f>
        <v/>
      </c>
      <c r="CX180" s="116">
        <f>COUNTIFS('DRAFT 2'!$D:$D,$B180,'DRAFT 2'!$A:$A,"&gt;="&amp;DATE(2026,2,15),'DRAFT 2'!$A:$A,"&lt;="&amp;DATE(2026,2,21))</f>
        <v/>
      </c>
      <c r="CY180" s="116">
        <f>COUNTIFS('DRAFT 2'!$D:$D,$B180,'DRAFT 2'!$A:$A,"&gt;="&amp;DATE(2026,2,22),'DRAFT 2'!$A:$A,"&lt;"&amp;DATE(2026,IF(2=12,2+1,2+1),1))</f>
        <v/>
      </c>
      <c r="CZ180" s="116">
        <f>SUM(CV180:CY180)</f>
        <v/>
      </c>
      <c r="DJ180" s="116">
        <f>IFERROR(LOOKUP(2,1/('DRAFT 2'!$D:$D=$B180)*('DRAFT 2'!$A:$A&gt;=DATE(2026,3,1))*('DRAFT 2'!$A:$A&lt;DATE(2026,IF(3=12,3+1,3+1),1)),'DRAFT 2'!$A:$A),"")</f>
        <v/>
      </c>
      <c r="DK180" s="116">
        <f>COUNTIFS('DRAFT 2'!$D:$D,$B180,'DRAFT 2'!$A:$A,"&gt;="&amp;DATE(2026,3,1),'DRAFT 2'!$A:$A,"&lt;="&amp;DATE(2026,3,7))</f>
        <v/>
      </c>
      <c r="DL180" s="116">
        <f>COUNTIFS('DRAFT 2'!$D:$D,$B180,'DRAFT 2'!$A:$A,"&gt;="&amp;DATE(2026,3,8),'DRAFT 2'!$A:$A,"&lt;="&amp;DATE(2026,3,14))</f>
        <v/>
      </c>
      <c r="DM180" s="116">
        <f>COUNTIFS('DRAFT 2'!$D:$D,$B180,'DRAFT 2'!$A:$A,"&gt;="&amp;DATE(2026,3,15),'DRAFT 2'!$A:$A,"&lt;="&amp;DATE(2026,3,21))</f>
        <v/>
      </c>
      <c r="DN180" s="116">
        <f>COUNTIFS('DRAFT 2'!$D:$D,$B180,'DRAFT 2'!$A:$A,"&gt;="&amp;DATE(2026,3,22),'DRAFT 2'!$A:$A,"&lt;"&amp;DATE(2026,IF(3=12,3+1,3+1),1))</f>
        <v/>
      </c>
      <c r="DO180" s="116">
        <f>SUM(DK180:DN180)</f>
        <v/>
      </c>
      <c r="DZ180" s="116">
        <f>IFERROR(LOOKUP(2,1/('DRAFT 2'!$D:$D=$B180)*('DRAFT 2'!$A:$A&gt;=DATE(2026,4,1))*('DRAFT 2'!$A:$A&lt;DATE(2026,IF(4=12,4+1,4+1),1)),'DRAFT 2'!$A:$A),"")</f>
        <v/>
      </c>
      <c r="EA180" s="116">
        <f>COUNTIFS('DRAFT 2'!$D:$D,$B180,'DRAFT 2'!$A:$A,"&gt;="&amp;DATE(2026,4,1),'DRAFT 2'!$A:$A,"&lt;="&amp;DATE(2026,4,7))</f>
        <v/>
      </c>
      <c r="EB180" s="116">
        <f>COUNTIFS('DRAFT 2'!$D:$D,$B180,'DRAFT 2'!$A:$A,"&gt;="&amp;DATE(2026,4,8),'DRAFT 2'!$A:$A,"&lt;="&amp;DATE(2026,4,14))</f>
        <v/>
      </c>
      <c r="EC180" s="116">
        <f>COUNTIFS('DRAFT 2'!$D:$D,$B180,'DRAFT 2'!$A:$A,"&gt;="&amp;DATE(2026,4,15),'DRAFT 2'!$A:$A,"&lt;="&amp;DATE(2026,4,21))</f>
        <v/>
      </c>
      <c r="ED180" s="116">
        <f>COUNTIFS('DRAFT 2'!$D:$D,$B180,'DRAFT 2'!$A:$A,"&gt;="&amp;DATE(2026,4,22),'DRAFT 2'!$A:$A,"&lt;"&amp;DATE(2026,IF(4=12,4+1,4+1),1))</f>
        <v/>
      </c>
      <c r="EE180" s="116">
        <f>SUM(EA180:ED180)</f>
        <v/>
      </c>
      <c r="EO180" s="116">
        <f>IFERROR(LOOKUP(2,1/('DRAFT 2'!$D:$D=$B180)*('DRAFT 2'!$A:$A&gt;=DATE(2026,5,1))*('DRAFT 2'!$A:$A&lt;DATE(2026,IF(5=12,5+1,5+1),1)),'DRAFT 2'!$A:$A),"")</f>
        <v/>
      </c>
      <c r="EP180" s="116">
        <f>COUNTIFS('DRAFT 2'!$D:$D,$B180,'DRAFT 2'!$A:$A,"&gt;="&amp;DATE(2026,5,1),'DRAFT 2'!$A:$A,"&lt;="&amp;DATE(2026,5,7))</f>
        <v/>
      </c>
      <c r="EQ180" s="116">
        <f>COUNTIFS('DRAFT 2'!$D:$D,$B180,'DRAFT 2'!$A:$A,"&gt;="&amp;DATE(2026,5,8),'DRAFT 2'!$A:$A,"&lt;="&amp;DATE(2026,5,14))</f>
        <v/>
      </c>
      <c r="ER180" s="116">
        <f>COUNTIFS('DRAFT 2'!$D:$D,$B180,'DRAFT 2'!$A:$A,"&gt;="&amp;DATE(2026,5,15),'DRAFT 2'!$A:$A,"&lt;="&amp;DATE(2026,5,21))</f>
        <v/>
      </c>
      <c r="ES180" s="116">
        <f>COUNTIFS('DRAFT 2'!$D:$D,$B180,'DRAFT 2'!$A:$A,"&gt;="&amp;DATE(2026,5,22),'DRAFT 2'!$A:$A,"&lt;"&amp;DATE(2026,IF(5=12,5+1,5+1),1))</f>
        <v/>
      </c>
      <c r="ET180" s="116">
        <f>SUM(EP180:ES180)</f>
        <v/>
      </c>
      <c r="FD180" s="116">
        <f>IFERROR(LOOKUP(2,1/('DRAFT 2'!$D:$D=$B180)*('DRAFT 2'!$A:$A&gt;=DATE(2026,6,1))*('DRAFT 2'!$A:$A&lt;DATE(2026,IF(6=12,6+1,6+1),1)),'DRAFT 2'!$A:$A),"")</f>
        <v/>
      </c>
      <c r="FE180" s="116">
        <f>COUNTIFS('DRAFT 2'!$D:$D,$B180,'DRAFT 2'!$A:$A,"&gt;="&amp;DATE(2026,6,1),'DRAFT 2'!$A:$A,"&lt;="&amp;DATE(2026,6,7))</f>
        <v/>
      </c>
      <c r="FF180" s="116">
        <f>COUNTIFS('DRAFT 2'!$D:$D,$B180,'DRAFT 2'!$A:$A,"&gt;="&amp;DATE(2026,6,8),'DRAFT 2'!$A:$A,"&lt;="&amp;DATE(2026,6,14))</f>
        <v/>
      </c>
      <c r="FG180" s="116">
        <f>COUNTIFS('DRAFT 2'!$D:$D,$B180,'DRAFT 2'!$A:$A,"&gt;="&amp;DATE(2026,6,15),'DRAFT 2'!$A:$A,"&lt;="&amp;DATE(2026,6,21))</f>
        <v/>
      </c>
      <c r="FH180" s="116">
        <f>COUNTIFS('DRAFT 2'!$D:$D,$B180,'DRAFT 2'!$A:$A,"&gt;="&amp;DATE(2026,6,22),'DRAFT 2'!$A:$A,"&lt;"&amp;DATE(2026,IF(6=12,6+1,6+1),1))</f>
        <v/>
      </c>
      <c r="FI180" s="116">
        <f>SUM(FE180:FH180)</f>
        <v/>
      </c>
      <c r="FT180" s="116">
        <f>IFERROR(LOOKUP(2,1/('DRAFT 2'!$D:$D=$B180)*('DRAFT 2'!$A:$A&gt;=DATE(2026,7,1))*('DRAFT 2'!$A:$A&lt;DATE(2026,IF(7=12,7+1,7+1),1)),'DRAFT 2'!$A:$A),"")</f>
        <v/>
      </c>
      <c r="FU180" s="116">
        <f>COUNTIFS('DRAFT 2'!$D:$D,$B180,'DRAFT 2'!$A:$A,"&gt;="&amp;DATE(2026,7,1),'DRAFT 2'!$A:$A,"&lt;="&amp;DATE(2026,7,7))</f>
        <v/>
      </c>
      <c r="FV180" s="116">
        <f>COUNTIFS('DRAFT 2'!$D:$D,$B180,'DRAFT 2'!$A:$A,"&gt;="&amp;DATE(2026,7,8),'DRAFT 2'!$A:$A,"&lt;="&amp;DATE(2026,7,14))</f>
        <v/>
      </c>
      <c r="FW180" s="116">
        <f>COUNTIFS('DRAFT 2'!$D:$D,$B180,'DRAFT 2'!$A:$A,"&gt;="&amp;DATE(2026,7,15),'DRAFT 2'!$A:$A,"&lt;="&amp;DATE(2026,7,21))</f>
        <v/>
      </c>
      <c r="FX180" s="116">
        <f>COUNTIFS('DRAFT 2'!$D:$D,$B180,'DRAFT 2'!$A:$A,"&gt;="&amp;DATE(2026,7,22),'DRAFT 2'!$A:$A,"&lt;"&amp;DATE(2026,IF(7=12,7+1,7+1),1))</f>
        <v/>
      </c>
      <c r="FY180" s="116">
        <f>SUM(FU180:FX180)</f>
        <v/>
      </c>
      <c r="GI180" s="116">
        <f>IFERROR(LOOKUP(2,1/('DRAFT 2'!$D:$D=$B180)*('DRAFT 2'!$A:$A&gt;=DATE(2026,8,1))*('DRAFT 2'!$A:$A&lt;DATE(2026,IF(8=12,8+1,8+1),1)),'DRAFT 2'!$A:$A),"")</f>
        <v/>
      </c>
      <c r="GJ180" s="116">
        <f>COUNTIFS('DRAFT 2'!$D:$D,$B180,'DRAFT 2'!$A:$A,"&gt;="&amp;DATE(2026,8,1),'DRAFT 2'!$A:$A,"&lt;="&amp;DATE(2026,8,7))</f>
        <v/>
      </c>
      <c r="GK180" s="116">
        <f>COUNTIFS('DRAFT 2'!$D:$D,$B180,'DRAFT 2'!$A:$A,"&gt;="&amp;DATE(2026,8,8),'DRAFT 2'!$A:$A,"&lt;="&amp;DATE(2026,8,14))</f>
        <v/>
      </c>
      <c r="GL180" s="116">
        <f>COUNTIFS('DRAFT 2'!$D:$D,$B180,'DRAFT 2'!$A:$A,"&gt;="&amp;DATE(2026,8,15),'DRAFT 2'!$A:$A,"&lt;="&amp;DATE(2026,8,21))</f>
        <v/>
      </c>
      <c r="GM180" s="116">
        <f>COUNTIFS('DRAFT 2'!$D:$D,$B180,'DRAFT 2'!$A:$A,"&gt;="&amp;DATE(2026,8,22),'DRAFT 2'!$A:$A,"&lt;"&amp;DATE(2026,IF(8=12,8+1,8+1),1))</f>
        <v/>
      </c>
      <c r="GN180" s="116">
        <f>SUM(GJ180:GM180)</f>
        <v/>
      </c>
      <c r="GX180" s="116">
        <f>IFERROR(LOOKUP(2,1/('DRAFT 2'!$D:$D=$B180)*('DRAFT 2'!$A:$A&gt;=DATE(2026,9,1))*('DRAFT 2'!$A:$A&lt;DATE(2026,IF(9=12,9+1,9+1),1)),'DRAFT 2'!$A:$A),"")</f>
        <v/>
      </c>
      <c r="GY180" s="116">
        <f>COUNTIFS('DRAFT 2'!$D:$D,$B180,'DRAFT 2'!$A:$A,"&gt;="&amp;DATE(2026,9,1),'DRAFT 2'!$A:$A,"&lt;="&amp;DATE(2026,9,7))</f>
        <v/>
      </c>
      <c r="GZ180" s="116">
        <f>COUNTIFS('DRAFT 2'!$D:$D,$B180,'DRAFT 2'!$A:$A,"&gt;="&amp;DATE(2026,9,8),'DRAFT 2'!$A:$A,"&lt;="&amp;DATE(2026,9,14))</f>
        <v/>
      </c>
      <c r="HA180" s="116">
        <f>COUNTIFS('DRAFT 2'!$D:$D,$B180,'DRAFT 2'!$A:$A,"&gt;="&amp;DATE(2026,9,15),'DRAFT 2'!$A:$A,"&lt;="&amp;DATE(2026,9,21))</f>
        <v/>
      </c>
      <c r="HB180" s="116">
        <f>COUNTIFS('DRAFT 2'!$D:$D,$B180,'DRAFT 2'!$A:$A,"&gt;="&amp;DATE(2026,9,22),'DRAFT 2'!$A:$A,"&lt;"&amp;DATE(2026,IF(9=12,9+1,9+1),1))</f>
        <v/>
      </c>
      <c r="HC180" s="116">
        <f>SUM(GY180:HB180)</f>
        <v/>
      </c>
      <c r="HN180" s="116">
        <f>IFERROR(LOOKUP(2,1/('DRAFT 2'!$D:$D=$B180)*('DRAFT 2'!$A:$A&gt;=DATE(2026,10,1))*('DRAFT 2'!$A:$A&lt;DATE(2026,IF(10=12,10+1,10+1),1)),'DRAFT 2'!$A:$A),"")</f>
        <v/>
      </c>
      <c r="HO180" s="116">
        <f>COUNTIFS('DRAFT 2'!$D:$D,$B180,'DRAFT 2'!$A:$A,"&gt;="&amp;DATE(2026,10,1),'DRAFT 2'!$A:$A,"&lt;="&amp;DATE(2026,10,7))</f>
        <v/>
      </c>
      <c r="HP180" s="116">
        <f>COUNTIFS('DRAFT 2'!$D:$D,$B180,'DRAFT 2'!$A:$A,"&gt;="&amp;DATE(2026,10,8),'DRAFT 2'!$A:$A,"&lt;="&amp;DATE(2026,10,14))</f>
        <v/>
      </c>
      <c r="HQ180" s="116">
        <f>COUNTIFS('DRAFT 2'!$D:$D,$B180,'DRAFT 2'!$A:$A,"&gt;="&amp;DATE(2026,10,15),'DRAFT 2'!$A:$A,"&lt;="&amp;DATE(2026,10,21))</f>
        <v/>
      </c>
      <c r="HR180" s="116">
        <f>COUNTIFS('DRAFT 2'!$D:$D,$B180,'DRAFT 2'!$A:$A,"&gt;="&amp;DATE(2026,10,22),'DRAFT 2'!$A:$A,"&lt;"&amp;DATE(2026,IF(10=12,10+1,10+1),1))</f>
        <v/>
      </c>
      <c r="HS180" s="116">
        <f>SUM(HO180:HR180)</f>
        <v/>
      </c>
      <c r="IC180" s="116">
        <f>IFERROR(LOOKUP(2,1/('DRAFT 2'!$D:$D=$B180)*('DRAFT 2'!$A:$A&gt;=DATE(2026,11,1))*('DRAFT 2'!$A:$A&lt;DATE(2026,IF(11=12,11+1,11+1),1)),'DRAFT 2'!$A:$A),"")</f>
        <v/>
      </c>
      <c r="ID180" s="116">
        <f>COUNTIFS('DRAFT 2'!$D:$D,$B180,'DRAFT 2'!$A:$A,"&gt;="&amp;DATE(2026,11,1),'DRAFT 2'!$A:$A,"&lt;="&amp;DATE(2026,11,7))</f>
        <v/>
      </c>
      <c r="IE180" s="116">
        <f>COUNTIFS('DRAFT 2'!$D:$D,$B180,'DRAFT 2'!$A:$A,"&gt;="&amp;DATE(2026,11,8),'DRAFT 2'!$A:$A,"&lt;="&amp;DATE(2026,11,14))</f>
        <v/>
      </c>
      <c r="IF180" s="116">
        <f>COUNTIFS('DRAFT 2'!$D:$D,$B180,'DRAFT 2'!$A:$A,"&gt;="&amp;DATE(2026,11,15),'DRAFT 2'!$A:$A,"&lt;="&amp;DATE(2026,11,21))</f>
        <v/>
      </c>
      <c r="IG180" s="116">
        <f>COUNTIFS('DRAFT 2'!$D:$D,$B180,'DRAFT 2'!$A:$A,"&gt;="&amp;DATE(2026,11,22),'DRAFT 2'!$A:$A,"&lt;"&amp;DATE(2026,IF(11=12,11+1,11+1),1))</f>
        <v/>
      </c>
      <c r="IH180" s="116">
        <f>SUM(ID180:IG180)</f>
        <v/>
      </c>
      <c r="IR180" s="116">
        <f>IFERROR(LOOKUP(2,1/('DRAFT 2'!$D:$D=$B180)*('DRAFT 2'!$A:$A&gt;=DATE(2026,12,1))*('DRAFT 2'!$A:$A&lt;DATE(2026,IF(12=12,12+1,12+1),1)),'DRAFT 2'!$A:$A),"")</f>
        <v/>
      </c>
      <c r="IS180" s="116">
        <f>COUNTIFS('DRAFT 2'!$D:$D,$B180,'DRAFT 2'!$A:$A,"&gt;="&amp;DATE(2026,12,1),'DRAFT 2'!$A:$A,"&lt;="&amp;DATE(2026,12,7))</f>
        <v/>
      </c>
      <c r="IT180" s="116">
        <f>COUNTIFS('DRAFT 2'!$D:$D,$B180,'DRAFT 2'!$A:$A,"&gt;="&amp;DATE(2026,12,8),'DRAFT 2'!$A:$A,"&lt;="&amp;DATE(2026,12,14))</f>
        <v/>
      </c>
      <c r="IU180" s="116">
        <f>COUNTIFS('DRAFT 2'!$D:$D,$B180,'DRAFT 2'!$A:$A,"&gt;="&amp;DATE(2026,12,15),'DRAFT 2'!$A:$A,"&lt;="&amp;DATE(2026,12,21))</f>
        <v/>
      </c>
      <c r="IV180" s="116">
        <f>COUNTIFS('DRAFT 2'!$D:$D,$B180,'DRAFT 2'!$A:$A,"&gt;="&amp;DATE(2026,12,22),'DRAFT 2'!$A:$A,"&lt;"&amp;DATE(2026,IF(12=12,12+1,12+1),1))</f>
        <v/>
      </c>
      <c r="IW180" s="116">
        <f>SUM(IS180:IV180)</f>
        <v/>
      </c>
    </row>
    <row r="181">
      <c r="A181" s="116">
        <f>IFERROR(INDEX('DRAFT 1'!$A:$A,MATCH($B181,'DRAFT 1'!$B:$B,0)),"")</f>
        <v/>
      </c>
      <c r="C181" s="116">
        <f>IFERROR(INDEX('DRAFT 1'!$C:$C,MATCH($B181,'DRAFT 1'!$B:$B,0)),"")</f>
        <v/>
      </c>
      <c r="D181" s="116">
        <f>IFERROR(INDEX('DRAFT 1'!$D:$D,MATCH($B181,'DRAFT 1'!$B:$B,0)),"")</f>
        <v/>
      </c>
      <c r="E181" s="116">
        <f>IFERROR(INDEX('DRAFT 1'!$E:$E,MATCH($B181,'DRAFT 1'!$B:$B,0)),"")</f>
        <v/>
      </c>
      <c r="F181" s="116">
        <f>IFERROR(INDEX('DRAFT 1'!$F:$F,MATCH($B181,'DRAFT 1'!$B:$B,0)),"")</f>
        <v/>
      </c>
      <c r="G181" s="116">
        <f>IFERROR(INDEX('DRAFT 1'!$G:$G,MATCH($B181,'DRAFT 1'!$B:$B,0)),"")</f>
        <v/>
      </c>
      <c r="H181" s="116">
        <f>IFERROR(INDEX('DRAFT 1'!$H:$H,MATCH($B181,'DRAFT 1'!$B:$B,0)),"")</f>
        <v/>
      </c>
      <c r="I181" s="116">
        <f>IFERROR(INDEX('DRAFT 1'!$I:$I,MATCH($B181,'DRAFT 1'!$B:$B,0)),"")</f>
        <v/>
      </c>
      <c r="K181" s="116">
        <f>IFERROR(INDEX('DRAFT 1'!$AL:$AL,MATCH($B181,'DRAFT 1'!$B:$B,0)),"")</f>
        <v/>
      </c>
      <c r="L181" s="116">
        <f>IFERROR(INDEX('DRAFT 1'!$J:$J,MATCH($B181,'DRAFT 1'!$B:$B,0)),"")</f>
        <v/>
      </c>
      <c r="M181" s="116">
        <f>IFERROR(INDEX('DRAFT 1'!$K:$K,MATCH($B181,'DRAFT 1'!$B:$B,0)),"")</f>
        <v/>
      </c>
      <c r="P181" s="116">
        <f>IFERROR(INDEX('DRAFT 1'!$L:$L,MATCH($B181,'DRAFT 1'!$B:$B,0)),"")</f>
        <v/>
      </c>
      <c r="Q181" s="116">
        <f>IFERROR(INDEX('DRAFT 1'!$M:$M,MATCH($B181,'DRAFT 1'!$B:$B,0)),"")</f>
        <v/>
      </c>
      <c r="R181" s="116">
        <f>IFERROR(INDEX('DRAFT 1'!$N:$N,MATCH($B181,'DRAFT 1'!$B:$B,0)),"")</f>
        <v/>
      </c>
      <c r="S181" s="116">
        <f>IFERROR(INDEX('DRAFT 1'!$O:$O,MATCH($B181,'DRAFT 1'!$B:$B,0)),"")</f>
        <v/>
      </c>
      <c r="T181" s="116">
        <f>IFERROR(INDEX('DRAFT 1'!$P:$P,MATCH($B181,'DRAFT 1'!$B:$B,0)),"")</f>
        <v/>
      </c>
      <c r="U181" s="116">
        <f>IFERROR(INDEX('DRAFT 1'!$Q:$Q,MATCH($B181,'DRAFT 1'!$B:$B,0)),"")</f>
        <v/>
      </c>
      <c r="V181" s="116">
        <f>IFERROR(INDEX('DRAFT 1'!$R:$R,MATCH($B181,'DRAFT 1'!$B:$B,0)),"")</f>
        <v/>
      </c>
      <c r="W181" s="116">
        <f>IFERROR(INDEX('DRAFT 1'!$S:$S,MATCH($B181,'DRAFT 1'!$B:$B,0)),"")</f>
        <v/>
      </c>
      <c r="X181" s="116">
        <f>IFERROR(INDEX('DRAFT 1'!$T:$T,MATCH($B181,'DRAFT 1'!$B:$B,0)),"")</f>
        <v/>
      </c>
      <c r="Z181" s="116">
        <f>IFERROR(INDEX('DRAFT 1'!$U:$U,MATCH($B181,'DRAFT 1'!$B:$B,0)),"")</f>
        <v/>
      </c>
      <c r="AA181" s="116">
        <f>IFERROR(INDEX('DRAFT 1'!$V:$V,MATCH($B181,'DRAFT 1'!$B:$B,0)),"")</f>
        <v/>
      </c>
      <c r="AB181" s="116">
        <f>IFERROR(INDEX('DRAFT 1'!$W:$W,MATCH($B181,'DRAFT 1'!$B:$B,0)),"")</f>
        <v/>
      </c>
      <c r="AC181" s="116">
        <f>IFERROR(INDEX('DRAFT 1'!$X:$X,MATCH($B181,'DRAFT 1'!$B:$B,0)),"")</f>
        <v/>
      </c>
      <c r="AD181" s="116">
        <f>IFERROR(INDEX('DRAFT 1'!$Y:$Y,MATCH($B181,'DRAFT 1'!$B:$B,0)),"")</f>
        <v/>
      </c>
      <c r="AE181" s="116">
        <f>IFERROR(INDEX('DRAFT 1'!$Z:$Z,MATCH($B181,'DRAFT 1'!$B:$B,0)),"")</f>
        <v/>
      </c>
      <c r="AF181" s="116">
        <f>IFERROR(INDEX('DRAFT 1'!$AA:$AA,MATCH($B181,'DRAFT 1'!$B:$B,0)),"")</f>
        <v/>
      </c>
      <c r="AG181" s="116">
        <f>IFERROR(INDEX('DRAFT 1'!$AB:$AB,MATCH($B181,'DRAFT 1'!$B:$B,0)),"")</f>
        <v/>
      </c>
      <c r="AH181" s="116">
        <f>IFERROR(INDEX('DRAFT 1'!$AC:$AC,MATCH($B181,'DRAFT 1'!$B:$B,0)),"")</f>
        <v/>
      </c>
      <c r="AI181" s="116">
        <f>IFERROR(INDEX('DRAFT 1'!$AD:$AD,MATCH($B181,'DRAFT 1'!$B:$B,0)),"")</f>
        <v/>
      </c>
      <c r="AJ181" s="116">
        <f>IFERROR(INDEX('DRAFT 1'!$AE:$AE,MATCH($B181,'DRAFT 1'!$B:$B,0)),"")</f>
        <v/>
      </c>
      <c r="AK181" s="116">
        <f>IFERROR(INDEX('DRAFT 1'!$AG:$AG,MATCH($B181,'DRAFT 1'!$B:$B,0)),"")</f>
        <v/>
      </c>
      <c r="AL181" s="116">
        <f>IFERROR(INDEX('DRAFT 1'!$AH:$AH,MATCH($B181,'DRAFT 1'!$B:$B,0)),"")</f>
        <v/>
      </c>
      <c r="AM181" s="116">
        <f>IFERROR(INDEX('DRAFT 1'!$AI:$AI,MATCH($B181,'DRAFT 1'!$B:$B,0)),"")</f>
        <v/>
      </c>
      <c r="AN181" s="116">
        <f>IFERROR(INDEX('DRAFT 1'!$AJ:$AJ,MATCH($B181,'DRAFT 1'!$B:$B,0)),"")</f>
        <v/>
      </c>
      <c r="AO181" s="116">
        <f>IFERROR(Y181/AN181,0)</f>
        <v/>
      </c>
      <c r="AP181" s="116">
        <f>IFERROR(INDEX('DRAFT 1'!$AK:$AK,MATCH($B181,'DRAFT 1'!$B:$B,0)),"")</f>
        <v/>
      </c>
      <c r="AR181" s="116">
        <f>IFERROR(LOOKUP(2,1/('DRAFT 2'!$D:$D=$B181),'DRAFT 2'!$I:$I),"")</f>
        <v/>
      </c>
      <c r="AS181" s="116">
        <f>IFERROR(LOOKUP(2,1/('DRAFT 2'!$D:$D=$B181),'DRAFT 2'!$T:$T),"")</f>
        <v/>
      </c>
      <c r="AT181" s="116">
        <f>IFERROR(LOOKUP(2,1/('DRAFT 2'!$D:$D=$B181),'DRAFT 2'!$A:$A),"")</f>
        <v/>
      </c>
      <c r="AU181" s="116">
        <f>IFERROR(LOOKUP(2,1/('DRAFT 2'!$D:$D=$B181),'DRAFT 2'!$R:$R),"")</f>
        <v/>
      </c>
      <c r="AV181" s="116">
        <f>IFERROR(LOOKUP(2,1/('DRAFT 2'!$D:$D=$B181),'DRAFT 2'!$S:$S),"")</f>
        <v/>
      </c>
      <c r="AX181" s="116">
        <f>IFERROR(LOOKUP(2,1/('DRAFT 2'!$D:$D=$B181),'DRAFT 2'!$M:$M),"")</f>
        <v/>
      </c>
      <c r="AY181" s="116">
        <f>IFERROR(LOOKUP(2,1/('DRAFT 2'!$D:$D=$B181),'DRAFT 2'!$K:$K),"")</f>
        <v/>
      </c>
      <c r="BG181" s="116">
        <f>IFERROR(LOOKUP(2,1/('DRAFT 2'!$D:$D=$B181),'DRAFT 2'!$U:$U),"")</f>
        <v/>
      </c>
      <c r="BH181" s="116">
        <f>IFERROR(LOOKUP(2,1/('DRAFT 2'!$D:$D=$B181),'DRAFT 2'!$V:$V),"")</f>
        <v/>
      </c>
      <c r="CE181" s="116">
        <f>IFERROR(AJ181,0)</f>
        <v/>
      </c>
      <c r="CF181" s="116">
        <f>IFERROR(LOOKUP(2,1/('DRAFT 2'!$D:$D=$B181)*('DRAFT 2'!$A:$A&gt;=DATE(2026,1,1))*('DRAFT 2'!$A:$A&lt;DATE(2026,IF(1=12,1+1,1+1),1)),'DRAFT 2'!$A:$A),"")</f>
        <v/>
      </c>
      <c r="CG181" s="116">
        <f>COUNTIFS('DRAFT 2'!$D:$D,$B181,'DRAFT 2'!$A:$A,"&gt;="&amp;DATE(2026,1,1),'DRAFT 2'!$A:$A,"&lt;="&amp;DATE(2026,1,7))</f>
        <v/>
      </c>
      <c r="CH181" s="116">
        <f>COUNTIFS('DRAFT 2'!$D:$D,$B181,'DRAFT 2'!$A:$A,"&gt;="&amp;DATE(2026,1,8),'DRAFT 2'!$A:$A,"&lt;="&amp;DATE(2026,1,14))</f>
        <v/>
      </c>
      <c r="CI181" s="116">
        <f>COUNTIFS('DRAFT 2'!$D:$D,$B181,'DRAFT 2'!$A:$A,"&gt;="&amp;DATE(2026,1,15),'DRAFT 2'!$A:$A,"&lt;="&amp;DATE(2026,1,21))</f>
        <v/>
      </c>
      <c r="CJ181" s="116">
        <f>COUNTIFS('DRAFT 2'!$D:$D,$B181,'DRAFT 2'!$A:$A,"&gt;="&amp;DATE(2026,1,22),'DRAFT 2'!$A:$A,"&lt;"&amp;DATE(2026,IF(1=12,1+1,1+1),1))</f>
        <v/>
      </c>
      <c r="CK181" s="116">
        <f>SUM(CG181:CJ181)</f>
        <v/>
      </c>
      <c r="CT181" s="116" t="n">
        <v>0</v>
      </c>
      <c r="CU181" s="116">
        <f>IFERROR(LOOKUP(2,1/('DRAFT 2'!$D:$D=$B181)*('DRAFT 2'!$A:$A&gt;=DATE(2026,2,1))*('DRAFT 2'!$A:$A&lt;DATE(2026,IF(2=12,2+1,2+1),1)),'DRAFT 2'!$A:$A),"")</f>
        <v/>
      </c>
      <c r="CV181" s="116">
        <f>COUNTIFS('DRAFT 2'!$D:$D,$B181,'DRAFT 2'!$A:$A,"&gt;="&amp;DATE(2026,2,1),'DRAFT 2'!$A:$A,"&lt;="&amp;DATE(2026,2,7))</f>
        <v/>
      </c>
      <c r="CW181" s="116">
        <f>COUNTIFS('DRAFT 2'!$D:$D,$B181,'DRAFT 2'!$A:$A,"&gt;="&amp;DATE(2026,2,8),'DRAFT 2'!$A:$A,"&lt;="&amp;DATE(2026,2,14))</f>
        <v/>
      </c>
      <c r="CX181" s="116">
        <f>COUNTIFS('DRAFT 2'!$D:$D,$B181,'DRAFT 2'!$A:$A,"&gt;="&amp;DATE(2026,2,15),'DRAFT 2'!$A:$A,"&lt;="&amp;DATE(2026,2,21))</f>
        <v/>
      </c>
      <c r="CY181" s="116">
        <f>COUNTIFS('DRAFT 2'!$D:$D,$B181,'DRAFT 2'!$A:$A,"&gt;="&amp;DATE(2026,2,22),'DRAFT 2'!$A:$A,"&lt;"&amp;DATE(2026,IF(2=12,2+1,2+1),1))</f>
        <v/>
      </c>
      <c r="CZ181" s="116">
        <f>SUM(CV181:CY181)</f>
        <v/>
      </c>
      <c r="DJ181" s="116">
        <f>IFERROR(LOOKUP(2,1/('DRAFT 2'!$D:$D=$B181)*('DRAFT 2'!$A:$A&gt;=DATE(2026,3,1))*('DRAFT 2'!$A:$A&lt;DATE(2026,IF(3=12,3+1,3+1),1)),'DRAFT 2'!$A:$A),"")</f>
        <v/>
      </c>
      <c r="DK181" s="116">
        <f>COUNTIFS('DRAFT 2'!$D:$D,$B181,'DRAFT 2'!$A:$A,"&gt;="&amp;DATE(2026,3,1),'DRAFT 2'!$A:$A,"&lt;="&amp;DATE(2026,3,7))</f>
        <v/>
      </c>
      <c r="DL181" s="116">
        <f>COUNTIFS('DRAFT 2'!$D:$D,$B181,'DRAFT 2'!$A:$A,"&gt;="&amp;DATE(2026,3,8),'DRAFT 2'!$A:$A,"&lt;="&amp;DATE(2026,3,14))</f>
        <v/>
      </c>
      <c r="DM181" s="116">
        <f>COUNTIFS('DRAFT 2'!$D:$D,$B181,'DRAFT 2'!$A:$A,"&gt;="&amp;DATE(2026,3,15),'DRAFT 2'!$A:$A,"&lt;="&amp;DATE(2026,3,21))</f>
        <v/>
      </c>
      <c r="DN181" s="116">
        <f>COUNTIFS('DRAFT 2'!$D:$D,$B181,'DRAFT 2'!$A:$A,"&gt;="&amp;DATE(2026,3,22),'DRAFT 2'!$A:$A,"&lt;"&amp;DATE(2026,IF(3=12,3+1,3+1),1))</f>
        <v/>
      </c>
      <c r="DO181" s="116">
        <f>SUM(DK181:DN181)</f>
        <v/>
      </c>
      <c r="DZ181" s="116">
        <f>IFERROR(LOOKUP(2,1/('DRAFT 2'!$D:$D=$B181)*('DRAFT 2'!$A:$A&gt;=DATE(2026,4,1))*('DRAFT 2'!$A:$A&lt;DATE(2026,IF(4=12,4+1,4+1),1)),'DRAFT 2'!$A:$A),"")</f>
        <v/>
      </c>
      <c r="EA181" s="116">
        <f>COUNTIFS('DRAFT 2'!$D:$D,$B181,'DRAFT 2'!$A:$A,"&gt;="&amp;DATE(2026,4,1),'DRAFT 2'!$A:$A,"&lt;="&amp;DATE(2026,4,7))</f>
        <v/>
      </c>
      <c r="EB181" s="116">
        <f>COUNTIFS('DRAFT 2'!$D:$D,$B181,'DRAFT 2'!$A:$A,"&gt;="&amp;DATE(2026,4,8),'DRAFT 2'!$A:$A,"&lt;="&amp;DATE(2026,4,14))</f>
        <v/>
      </c>
      <c r="EC181" s="116">
        <f>COUNTIFS('DRAFT 2'!$D:$D,$B181,'DRAFT 2'!$A:$A,"&gt;="&amp;DATE(2026,4,15),'DRAFT 2'!$A:$A,"&lt;="&amp;DATE(2026,4,21))</f>
        <v/>
      </c>
      <c r="ED181" s="116">
        <f>COUNTIFS('DRAFT 2'!$D:$D,$B181,'DRAFT 2'!$A:$A,"&gt;="&amp;DATE(2026,4,22),'DRAFT 2'!$A:$A,"&lt;"&amp;DATE(2026,IF(4=12,4+1,4+1),1))</f>
        <v/>
      </c>
      <c r="EE181" s="116">
        <f>SUM(EA181:ED181)</f>
        <v/>
      </c>
      <c r="EO181" s="116">
        <f>IFERROR(LOOKUP(2,1/('DRAFT 2'!$D:$D=$B181)*('DRAFT 2'!$A:$A&gt;=DATE(2026,5,1))*('DRAFT 2'!$A:$A&lt;DATE(2026,IF(5=12,5+1,5+1),1)),'DRAFT 2'!$A:$A),"")</f>
        <v/>
      </c>
      <c r="EP181" s="116">
        <f>COUNTIFS('DRAFT 2'!$D:$D,$B181,'DRAFT 2'!$A:$A,"&gt;="&amp;DATE(2026,5,1),'DRAFT 2'!$A:$A,"&lt;="&amp;DATE(2026,5,7))</f>
        <v/>
      </c>
      <c r="EQ181" s="116">
        <f>COUNTIFS('DRAFT 2'!$D:$D,$B181,'DRAFT 2'!$A:$A,"&gt;="&amp;DATE(2026,5,8),'DRAFT 2'!$A:$A,"&lt;="&amp;DATE(2026,5,14))</f>
        <v/>
      </c>
      <c r="ER181" s="116">
        <f>COUNTIFS('DRAFT 2'!$D:$D,$B181,'DRAFT 2'!$A:$A,"&gt;="&amp;DATE(2026,5,15),'DRAFT 2'!$A:$A,"&lt;="&amp;DATE(2026,5,21))</f>
        <v/>
      </c>
      <c r="ES181" s="116">
        <f>COUNTIFS('DRAFT 2'!$D:$D,$B181,'DRAFT 2'!$A:$A,"&gt;="&amp;DATE(2026,5,22),'DRAFT 2'!$A:$A,"&lt;"&amp;DATE(2026,IF(5=12,5+1,5+1),1))</f>
        <v/>
      </c>
      <c r="ET181" s="116">
        <f>SUM(EP181:ES181)</f>
        <v/>
      </c>
      <c r="FD181" s="116">
        <f>IFERROR(LOOKUP(2,1/('DRAFT 2'!$D:$D=$B181)*('DRAFT 2'!$A:$A&gt;=DATE(2026,6,1))*('DRAFT 2'!$A:$A&lt;DATE(2026,IF(6=12,6+1,6+1),1)),'DRAFT 2'!$A:$A),"")</f>
        <v/>
      </c>
      <c r="FE181" s="116">
        <f>COUNTIFS('DRAFT 2'!$D:$D,$B181,'DRAFT 2'!$A:$A,"&gt;="&amp;DATE(2026,6,1),'DRAFT 2'!$A:$A,"&lt;="&amp;DATE(2026,6,7))</f>
        <v/>
      </c>
      <c r="FF181" s="116">
        <f>COUNTIFS('DRAFT 2'!$D:$D,$B181,'DRAFT 2'!$A:$A,"&gt;="&amp;DATE(2026,6,8),'DRAFT 2'!$A:$A,"&lt;="&amp;DATE(2026,6,14))</f>
        <v/>
      </c>
      <c r="FG181" s="116">
        <f>COUNTIFS('DRAFT 2'!$D:$D,$B181,'DRAFT 2'!$A:$A,"&gt;="&amp;DATE(2026,6,15),'DRAFT 2'!$A:$A,"&lt;="&amp;DATE(2026,6,21))</f>
        <v/>
      </c>
      <c r="FH181" s="116">
        <f>COUNTIFS('DRAFT 2'!$D:$D,$B181,'DRAFT 2'!$A:$A,"&gt;="&amp;DATE(2026,6,22),'DRAFT 2'!$A:$A,"&lt;"&amp;DATE(2026,IF(6=12,6+1,6+1),1))</f>
        <v/>
      </c>
      <c r="FI181" s="116">
        <f>SUM(FE181:FH181)</f>
        <v/>
      </c>
      <c r="FT181" s="116">
        <f>IFERROR(LOOKUP(2,1/('DRAFT 2'!$D:$D=$B181)*('DRAFT 2'!$A:$A&gt;=DATE(2026,7,1))*('DRAFT 2'!$A:$A&lt;DATE(2026,IF(7=12,7+1,7+1),1)),'DRAFT 2'!$A:$A),"")</f>
        <v/>
      </c>
      <c r="FU181" s="116">
        <f>COUNTIFS('DRAFT 2'!$D:$D,$B181,'DRAFT 2'!$A:$A,"&gt;="&amp;DATE(2026,7,1),'DRAFT 2'!$A:$A,"&lt;="&amp;DATE(2026,7,7))</f>
        <v/>
      </c>
      <c r="FV181" s="116">
        <f>COUNTIFS('DRAFT 2'!$D:$D,$B181,'DRAFT 2'!$A:$A,"&gt;="&amp;DATE(2026,7,8),'DRAFT 2'!$A:$A,"&lt;="&amp;DATE(2026,7,14))</f>
        <v/>
      </c>
      <c r="FW181" s="116">
        <f>COUNTIFS('DRAFT 2'!$D:$D,$B181,'DRAFT 2'!$A:$A,"&gt;="&amp;DATE(2026,7,15),'DRAFT 2'!$A:$A,"&lt;="&amp;DATE(2026,7,21))</f>
        <v/>
      </c>
      <c r="FX181" s="116">
        <f>COUNTIFS('DRAFT 2'!$D:$D,$B181,'DRAFT 2'!$A:$A,"&gt;="&amp;DATE(2026,7,22),'DRAFT 2'!$A:$A,"&lt;"&amp;DATE(2026,IF(7=12,7+1,7+1),1))</f>
        <v/>
      </c>
      <c r="FY181" s="116">
        <f>SUM(FU181:FX181)</f>
        <v/>
      </c>
      <c r="GI181" s="116">
        <f>IFERROR(LOOKUP(2,1/('DRAFT 2'!$D:$D=$B181)*('DRAFT 2'!$A:$A&gt;=DATE(2026,8,1))*('DRAFT 2'!$A:$A&lt;DATE(2026,IF(8=12,8+1,8+1),1)),'DRAFT 2'!$A:$A),"")</f>
        <v/>
      </c>
      <c r="GJ181" s="116">
        <f>COUNTIFS('DRAFT 2'!$D:$D,$B181,'DRAFT 2'!$A:$A,"&gt;="&amp;DATE(2026,8,1),'DRAFT 2'!$A:$A,"&lt;="&amp;DATE(2026,8,7))</f>
        <v/>
      </c>
      <c r="GK181" s="116">
        <f>COUNTIFS('DRAFT 2'!$D:$D,$B181,'DRAFT 2'!$A:$A,"&gt;="&amp;DATE(2026,8,8),'DRAFT 2'!$A:$A,"&lt;="&amp;DATE(2026,8,14))</f>
        <v/>
      </c>
      <c r="GL181" s="116">
        <f>COUNTIFS('DRAFT 2'!$D:$D,$B181,'DRAFT 2'!$A:$A,"&gt;="&amp;DATE(2026,8,15),'DRAFT 2'!$A:$A,"&lt;="&amp;DATE(2026,8,21))</f>
        <v/>
      </c>
      <c r="GM181" s="116">
        <f>COUNTIFS('DRAFT 2'!$D:$D,$B181,'DRAFT 2'!$A:$A,"&gt;="&amp;DATE(2026,8,22),'DRAFT 2'!$A:$A,"&lt;"&amp;DATE(2026,IF(8=12,8+1,8+1),1))</f>
        <v/>
      </c>
      <c r="GN181" s="116">
        <f>SUM(GJ181:GM181)</f>
        <v/>
      </c>
      <c r="GX181" s="116">
        <f>IFERROR(LOOKUP(2,1/('DRAFT 2'!$D:$D=$B181)*('DRAFT 2'!$A:$A&gt;=DATE(2026,9,1))*('DRAFT 2'!$A:$A&lt;DATE(2026,IF(9=12,9+1,9+1),1)),'DRAFT 2'!$A:$A),"")</f>
        <v/>
      </c>
      <c r="GY181" s="116">
        <f>COUNTIFS('DRAFT 2'!$D:$D,$B181,'DRAFT 2'!$A:$A,"&gt;="&amp;DATE(2026,9,1),'DRAFT 2'!$A:$A,"&lt;="&amp;DATE(2026,9,7))</f>
        <v/>
      </c>
      <c r="GZ181" s="116">
        <f>COUNTIFS('DRAFT 2'!$D:$D,$B181,'DRAFT 2'!$A:$A,"&gt;="&amp;DATE(2026,9,8),'DRAFT 2'!$A:$A,"&lt;="&amp;DATE(2026,9,14))</f>
        <v/>
      </c>
      <c r="HA181" s="116">
        <f>COUNTIFS('DRAFT 2'!$D:$D,$B181,'DRAFT 2'!$A:$A,"&gt;="&amp;DATE(2026,9,15),'DRAFT 2'!$A:$A,"&lt;="&amp;DATE(2026,9,21))</f>
        <v/>
      </c>
      <c r="HB181" s="116">
        <f>COUNTIFS('DRAFT 2'!$D:$D,$B181,'DRAFT 2'!$A:$A,"&gt;="&amp;DATE(2026,9,22),'DRAFT 2'!$A:$A,"&lt;"&amp;DATE(2026,IF(9=12,9+1,9+1),1))</f>
        <v/>
      </c>
      <c r="HC181" s="116">
        <f>SUM(GY181:HB181)</f>
        <v/>
      </c>
      <c r="HN181" s="116">
        <f>IFERROR(LOOKUP(2,1/('DRAFT 2'!$D:$D=$B181)*('DRAFT 2'!$A:$A&gt;=DATE(2026,10,1))*('DRAFT 2'!$A:$A&lt;DATE(2026,IF(10=12,10+1,10+1),1)),'DRAFT 2'!$A:$A),"")</f>
        <v/>
      </c>
      <c r="HO181" s="116">
        <f>COUNTIFS('DRAFT 2'!$D:$D,$B181,'DRAFT 2'!$A:$A,"&gt;="&amp;DATE(2026,10,1),'DRAFT 2'!$A:$A,"&lt;="&amp;DATE(2026,10,7))</f>
        <v/>
      </c>
      <c r="HP181" s="116">
        <f>COUNTIFS('DRAFT 2'!$D:$D,$B181,'DRAFT 2'!$A:$A,"&gt;="&amp;DATE(2026,10,8),'DRAFT 2'!$A:$A,"&lt;="&amp;DATE(2026,10,14))</f>
        <v/>
      </c>
      <c r="HQ181" s="116">
        <f>COUNTIFS('DRAFT 2'!$D:$D,$B181,'DRAFT 2'!$A:$A,"&gt;="&amp;DATE(2026,10,15),'DRAFT 2'!$A:$A,"&lt;="&amp;DATE(2026,10,21))</f>
        <v/>
      </c>
      <c r="HR181" s="116">
        <f>COUNTIFS('DRAFT 2'!$D:$D,$B181,'DRAFT 2'!$A:$A,"&gt;="&amp;DATE(2026,10,22),'DRAFT 2'!$A:$A,"&lt;"&amp;DATE(2026,IF(10=12,10+1,10+1),1))</f>
        <v/>
      </c>
      <c r="HS181" s="116">
        <f>SUM(HO181:HR181)</f>
        <v/>
      </c>
      <c r="IC181" s="116">
        <f>IFERROR(LOOKUP(2,1/('DRAFT 2'!$D:$D=$B181)*('DRAFT 2'!$A:$A&gt;=DATE(2026,11,1))*('DRAFT 2'!$A:$A&lt;DATE(2026,IF(11=12,11+1,11+1),1)),'DRAFT 2'!$A:$A),"")</f>
        <v/>
      </c>
      <c r="ID181" s="116">
        <f>COUNTIFS('DRAFT 2'!$D:$D,$B181,'DRAFT 2'!$A:$A,"&gt;="&amp;DATE(2026,11,1),'DRAFT 2'!$A:$A,"&lt;="&amp;DATE(2026,11,7))</f>
        <v/>
      </c>
      <c r="IE181" s="116">
        <f>COUNTIFS('DRAFT 2'!$D:$D,$B181,'DRAFT 2'!$A:$A,"&gt;="&amp;DATE(2026,11,8),'DRAFT 2'!$A:$A,"&lt;="&amp;DATE(2026,11,14))</f>
        <v/>
      </c>
      <c r="IF181" s="116">
        <f>COUNTIFS('DRAFT 2'!$D:$D,$B181,'DRAFT 2'!$A:$A,"&gt;="&amp;DATE(2026,11,15),'DRAFT 2'!$A:$A,"&lt;="&amp;DATE(2026,11,21))</f>
        <v/>
      </c>
      <c r="IG181" s="116">
        <f>COUNTIFS('DRAFT 2'!$D:$D,$B181,'DRAFT 2'!$A:$A,"&gt;="&amp;DATE(2026,11,22),'DRAFT 2'!$A:$A,"&lt;"&amp;DATE(2026,IF(11=12,11+1,11+1),1))</f>
        <v/>
      </c>
      <c r="IH181" s="116">
        <f>SUM(ID181:IG181)</f>
        <v/>
      </c>
      <c r="IR181" s="116">
        <f>IFERROR(LOOKUP(2,1/('DRAFT 2'!$D:$D=$B181)*('DRAFT 2'!$A:$A&gt;=DATE(2026,12,1))*('DRAFT 2'!$A:$A&lt;DATE(2026,IF(12=12,12+1,12+1),1)),'DRAFT 2'!$A:$A),"")</f>
        <v/>
      </c>
      <c r="IS181" s="116">
        <f>COUNTIFS('DRAFT 2'!$D:$D,$B181,'DRAFT 2'!$A:$A,"&gt;="&amp;DATE(2026,12,1),'DRAFT 2'!$A:$A,"&lt;="&amp;DATE(2026,12,7))</f>
        <v/>
      </c>
      <c r="IT181" s="116">
        <f>COUNTIFS('DRAFT 2'!$D:$D,$B181,'DRAFT 2'!$A:$A,"&gt;="&amp;DATE(2026,12,8),'DRAFT 2'!$A:$A,"&lt;="&amp;DATE(2026,12,14))</f>
        <v/>
      </c>
      <c r="IU181" s="116">
        <f>COUNTIFS('DRAFT 2'!$D:$D,$B181,'DRAFT 2'!$A:$A,"&gt;="&amp;DATE(2026,12,15),'DRAFT 2'!$A:$A,"&lt;="&amp;DATE(2026,12,21))</f>
        <v/>
      </c>
      <c r="IV181" s="116">
        <f>COUNTIFS('DRAFT 2'!$D:$D,$B181,'DRAFT 2'!$A:$A,"&gt;="&amp;DATE(2026,12,22),'DRAFT 2'!$A:$A,"&lt;"&amp;DATE(2026,IF(12=12,12+1,12+1),1))</f>
        <v/>
      </c>
      <c r="IW181" s="116">
        <f>SUM(IS181:IV181)</f>
        <v/>
      </c>
    </row>
    <row r="182">
      <c r="A182" s="116">
        <f>IFERROR(INDEX('DRAFT 1'!$A:$A,MATCH($B182,'DRAFT 1'!$B:$B,0)),"")</f>
        <v/>
      </c>
      <c r="C182" s="116">
        <f>IFERROR(INDEX('DRAFT 1'!$C:$C,MATCH($B182,'DRAFT 1'!$B:$B,0)),"")</f>
        <v/>
      </c>
      <c r="D182" s="116">
        <f>IFERROR(INDEX('DRAFT 1'!$D:$D,MATCH($B182,'DRAFT 1'!$B:$B,0)),"")</f>
        <v/>
      </c>
      <c r="E182" s="116">
        <f>IFERROR(INDEX('DRAFT 1'!$E:$E,MATCH($B182,'DRAFT 1'!$B:$B,0)),"")</f>
        <v/>
      </c>
      <c r="F182" s="116">
        <f>IFERROR(INDEX('DRAFT 1'!$F:$F,MATCH($B182,'DRAFT 1'!$B:$B,0)),"")</f>
        <v/>
      </c>
      <c r="G182" s="116">
        <f>IFERROR(INDEX('DRAFT 1'!$G:$G,MATCH($B182,'DRAFT 1'!$B:$B,0)),"")</f>
        <v/>
      </c>
      <c r="H182" s="116">
        <f>IFERROR(INDEX('DRAFT 1'!$H:$H,MATCH($B182,'DRAFT 1'!$B:$B,0)),"")</f>
        <v/>
      </c>
      <c r="I182" s="116">
        <f>IFERROR(INDEX('DRAFT 1'!$I:$I,MATCH($B182,'DRAFT 1'!$B:$B,0)),"")</f>
        <v/>
      </c>
      <c r="K182" s="116">
        <f>IFERROR(INDEX('DRAFT 1'!$AL:$AL,MATCH($B182,'DRAFT 1'!$B:$B,0)),"")</f>
        <v/>
      </c>
      <c r="L182" s="116">
        <f>IFERROR(INDEX('DRAFT 1'!$J:$J,MATCH($B182,'DRAFT 1'!$B:$B,0)),"")</f>
        <v/>
      </c>
      <c r="M182" s="116">
        <f>IFERROR(INDEX('DRAFT 1'!$K:$K,MATCH($B182,'DRAFT 1'!$B:$B,0)),"")</f>
        <v/>
      </c>
      <c r="P182" s="116">
        <f>IFERROR(INDEX('DRAFT 1'!$L:$L,MATCH($B182,'DRAFT 1'!$B:$B,0)),"")</f>
        <v/>
      </c>
      <c r="Q182" s="116">
        <f>IFERROR(INDEX('DRAFT 1'!$M:$M,MATCH($B182,'DRAFT 1'!$B:$B,0)),"")</f>
        <v/>
      </c>
      <c r="R182" s="116">
        <f>IFERROR(INDEX('DRAFT 1'!$N:$N,MATCH($B182,'DRAFT 1'!$B:$B,0)),"")</f>
        <v/>
      </c>
      <c r="S182" s="116">
        <f>IFERROR(INDEX('DRAFT 1'!$O:$O,MATCH($B182,'DRAFT 1'!$B:$B,0)),"")</f>
        <v/>
      </c>
      <c r="T182" s="116">
        <f>IFERROR(INDEX('DRAFT 1'!$P:$P,MATCH($B182,'DRAFT 1'!$B:$B,0)),"")</f>
        <v/>
      </c>
      <c r="U182" s="116">
        <f>IFERROR(INDEX('DRAFT 1'!$Q:$Q,MATCH($B182,'DRAFT 1'!$B:$B,0)),"")</f>
        <v/>
      </c>
      <c r="V182" s="116">
        <f>IFERROR(INDEX('DRAFT 1'!$R:$R,MATCH($B182,'DRAFT 1'!$B:$B,0)),"")</f>
        <v/>
      </c>
      <c r="W182" s="116">
        <f>IFERROR(INDEX('DRAFT 1'!$S:$S,MATCH($B182,'DRAFT 1'!$B:$B,0)),"")</f>
        <v/>
      </c>
      <c r="X182" s="116">
        <f>IFERROR(INDEX('DRAFT 1'!$T:$T,MATCH($B182,'DRAFT 1'!$B:$B,0)),"")</f>
        <v/>
      </c>
      <c r="Z182" s="116">
        <f>IFERROR(INDEX('DRAFT 1'!$U:$U,MATCH($B182,'DRAFT 1'!$B:$B,0)),"")</f>
        <v/>
      </c>
      <c r="AA182" s="116">
        <f>IFERROR(INDEX('DRAFT 1'!$V:$V,MATCH($B182,'DRAFT 1'!$B:$B,0)),"")</f>
        <v/>
      </c>
      <c r="AB182" s="116">
        <f>IFERROR(INDEX('DRAFT 1'!$W:$W,MATCH($B182,'DRAFT 1'!$B:$B,0)),"")</f>
        <v/>
      </c>
      <c r="AC182" s="116">
        <f>IFERROR(INDEX('DRAFT 1'!$X:$X,MATCH($B182,'DRAFT 1'!$B:$B,0)),"")</f>
        <v/>
      </c>
      <c r="AD182" s="116">
        <f>IFERROR(INDEX('DRAFT 1'!$Y:$Y,MATCH($B182,'DRAFT 1'!$B:$B,0)),"")</f>
        <v/>
      </c>
      <c r="AE182" s="116">
        <f>IFERROR(INDEX('DRAFT 1'!$Z:$Z,MATCH($B182,'DRAFT 1'!$B:$B,0)),"")</f>
        <v/>
      </c>
      <c r="AF182" s="116">
        <f>IFERROR(INDEX('DRAFT 1'!$AA:$AA,MATCH($B182,'DRAFT 1'!$B:$B,0)),"")</f>
        <v/>
      </c>
      <c r="AG182" s="116">
        <f>IFERROR(INDEX('DRAFT 1'!$AB:$AB,MATCH($B182,'DRAFT 1'!$B:$B,0)),"")</f>
        <v/>
      </c>
      <c r="AH182" s="116">
        <f>IFERROR(INDEX('DRAFT 1'!$AC:$AC,MATCH($B182,'DRAFT 1'!$B:$B,0)),"")</f>
        <v/>
      </c>
      <c r="AI182" s="116">
        <f>IFERROR(INDEX('DRAFT 1'!$AD:$AD,MATCH($B182,'DRAFT 1'!$B:$B,0)),"")</f>
        <v/>
      </c>
      <c r="AJ182" s="116">
        <f>IFERROR(INDEX('DRAFT 1'!$AE:$AE,MATCH($B182,'DRAFT 1'!$B:$B,0)),"")</f>
        <v/>
      </c>
      <c r="AK182" s="116">
        <f>IFERROR(INDEX('DRAFT 1'!$AG:$AG,MATCH($B182,'DRAFT 1'!$B:$B,0)),"")</f>
        <v/>
      </c>
      <c r="AL182" s="116">
        <f>IFERROR(INDEX('DRAFT 1'!$AH:$AH,MATCH($B182,'DRAFT 1'!$B:$B,0)),"")</f>
        <v/>
      </c>
      <c r="AM182" s="116">
        <f>IFERROR(INDEX('DRAFT 1'!$AI:$AI,MATCH($B182,'DRAFT 1'!$B:$B,0)),"")</f>
        <v/>
      </c>
      <c r="AN182" s="116">
        <f>IFERROR(INDEX('DRAFT 1'!$AJ:$AJ,MATCH($B182,'DRAFT 1'!$B:$B,0)),"")</f>
        <v/>
      </c>
      <c r="AO182" s="116">
        <f>IFERROR(Y182/AN182,0)</f>
        <v/>
      </c>
      <c r="AP182" s="116">
        <f>IFERROR(INDEX('DRAFT 1'!$AK:$AK,MATCH($B182,'DRAFT 1'!$B:$B,0)),"")</f>
        <v/>
      </c>
      <c r="AR182" s="116">
        <f>IFERROR(LOOKUP(2,1/('DRAFT 2'!$D:$D=$B182),'DRAFT 2'!$I:$I),"")</f>
        <v/>
      </c>
      <c r="AS182" s="116">
        <f>IFERROR(LOOKUP(2,1/('DRAFT 2'!$D:$D=$B182),'DRAFT 2'!$T:$T),"")</f>
        <v/>
      </c>
      <c r="AT182" s="116">
        <f>IFERROR(LOOKUP(2,1/('DRAFT 2'!$D:$D=$B182),'DRAFT 2'!$A:$A),"")</f>
        <v/>
      </c>
      <c r="AU182" s="116">
        <f>IFERROR(LOOKUP(2,1/('DRAFT 2'!$D:$D=$B182),'DRAFT 2'!$R:$R),"")</f>
        <v/>
      </c>
      <c r="AV182" s="116">
        <f>IFERROR(LOOKUP(2,1/('DRAFT 2'!$D:$D=$B182),'DRAFT 2'!$S:$S),"")</f>
        <v/>
      </c>
      <c r="AX182" s="116">
        <f>IFERROR(LOOKUP(2,1/('DRAFT 2'!$D:$D=$B182),'DRAFT 2'!$M:$M),"")</f>
        <v/>
      </c>
      <c r="AY182" s="116">
        <f>IFERROR(LOOKUP(2,1/('DRAFT 2'!$D:$D=$B182),'DRAFT 2'!$K:$K),"")</f>
        <v/>
      </c>
      <c r="BG182" s="116">
        <f>IFERROR(LOOKUP(2,1/('DRAFT 2'!$D:$D=$B182),'DRAFT 2'!$U:$U),"")</f>
        <v/>
      </c>
      <c r="BH182" s="116">
        <f>IFERROR(LOOKUP(2,1/('DRAFT 2'!$D:$D=$B182),'DRAFT 2'!$V:$V),"")</f>
        <v/>
      </c>
      <c r="CE182" s="116">
        <f>IFERROR(AJ182,0)</f>
        <v/>
      </c>
      <c r="CF182" s="116">
        <f>IFERROR(LOOKUP(2,1/('DRAFT 2'!$D:$D=$B182)*('DRAFT 2'!$A:$A&gt;=DATE(2026,1,1))*('DRAFT 2'!$A:$A&lt;DATE(2026,IF(1=12,1+1,1+1),1)),'DRAFT 2'!$A:$A),"")</f>
        <v/>
      </c>
      <c r="CG182" s="116">
        <f>COUNTIFS('DRAFT 2'!$D:$D,$B182,'DRAFT 2'!$A:$A,"&gt;="&amp;DATE(2026,1,1),'DRAFT 2'!$A:$A,"&lt;="&amp;DATE(2026,1,7))</f>
        <v/>
      </c>
      <c r="CH182" s="116">
        <f>COUNTIFS('DRAFT 2'!$D:$D,$B182,'DRAFT 2'!$A:$A,"&gt;="&amp;DATE(2026,1,8),'DRAFT 2'!$A:$A,"&lt;="&amp;DATE(2026,1,14))</f>
        <v/>
      </c>
      <c r="CI182" s="116">
        <f>COUNTIFS('DRAFT 2'!$D:$D,$B182,'DRAFT 2'!$A:$A,"&gt;="&amp;DATE(2026,1,15),'DRAFT 2'!$A:$A,"&lt;="&amp;DATE(2026,1,21))</f>
        <v/>
      </c>
      <c r="CJ182" s="116">
        <f>COUNTIFS('DRAFT 2'!$D:$D,$B182,'DRAFT 2'!$A:$A,"&gt;="&amp;DATE(2026,1,22),'DRAFT 2'!$A:$A,"&lt;"&amp;DATE(2026,IF(1=12,1+1,1+1),1))</f>
        <v/>
      </c>
      <c r="CK182" s="116">
        <f>SUM(CG182:CJ182)</f>
        <v/>
      </c>
      <c r="CT182" s="116" t="n">
        <v>0</v>
      </c>
      <c r="CU182" s="116">
        <f>IFERROR(LOOKUP(2,1/('DRAFT 2'!$D:$D=$B182)*('DRAFT 2'!$A:$A&gt;=DATE(2026,2,1))*('DRAFT 2'!$A:$A&lt;DATE(2026,IF(2=12,2+1,2+1),1)),'DRAFT 2'!$A:$A),"")</f>
        <v/>
      </c>
      <c r="CV182" s="116">
        <f>COUNTIFS('DRAFT 2'!$D:$D,$B182,'DRAFT 2'!$A:$A,"&gt;="&amp;DATE(2026,2,1),'DRAFT 2'!$A:$A,"&lt;="&amp;DATE(2026,2,7))</f>
        <v/>
      </c>
      <c r="CW182" s="116">
        <f>COUNTIFS('DRAFT 2'!$D:$D,$B182,'DRAFT 2'!$A:$A,"&gt;="&amp;DATE(2026,2,8),'DRAFT 2'!$A:$A,"&lt;="&amp;DATE(2026,2,14))</f>
        <v/>
      </c>
      <c r="CX182" s="116">
        <f>COUNTIFS('DRAFT 2'!$D:$D,$B182,'DRAFT 2'!$A:$A,"&gt;="&amp;DATE(2026,2,15),'DRAFT 2'!$A:$A,"&lt;="&amp;DATE(2026,2,21))</f>
        <v/>
      </c>
      <c r="CY182" s="116">
        <f>COUNTIFS('DRAFT 2'!$D:$D,$B182,'DRAFT 2'!$A:$A,"&gt;="&amp;DATE(2026,2,22),'DRAFT 2'!$A:$A,"&lt;"&amp;DATE(2026,IF(2=12,2+1,2+1),1))</f>
        <v/>
      </c>
      <c r="CZ182" s="116">
        <f>SUM(CV182:CY182)</f>
        <v/>
      </c>
      <c r="DJ182" s="116">
        <f>IFERROR(LOOKUP(2,1/('DRAFT 2'!$D:$D=$B182)*('DRAFT 2'!$A:$A&gt;=DATE(2026,3,1))*('DRAFT 2'!$A:$A&lt;DATE(2026,IF(3=12,3+1,3+1),1)),'DRAFT 2'!$A:$A),"")</f>
        <v/>
      </c>
      <c r="DK182" s="116">
        <f>COUNTIFS('DRAFT 2'!$D:$D,$B182,'DRAFT 2'!$A:$A,"&gt;="&amp;DATE(2026,3,1),'DRAFT 2'!$A:$A,"&lt;="&amp;DATE(2026,3,7))</f>
        <v/>
      </c>
      <c r="DL182" s="116">
        <f>COUNTIFS('DRAFT 2'!$D:$D,$B182,'DRAFT 2'!$A:$A,"&gt;="&amp;DATE(2026,3,8),'DRAFT 2'!$A:$A,"&lt;="&amp;DATE(2026,3,14))</f>
        <v/>
      </c>
      <c r="DM182" s="116">
        <f>COUNTIFS('DRAFT 2'!$D:$D,$B182,'DRAFT 2'!$A:$A,"&gt;="&amp;DATE(2026,3,15),'DRAFT 2'!$A:$A,"&lt;="&amp;DATE(2026,3,21))</f>
        <v/>
      </c>
      <c r="DN182" s="116">
        <f>COUNTIFS('DRAFT 2'!$D:$D,$B182,'DRAFT 2'!$A:$A,"&gt;="&amp;DATE(2026,3,22),'DRAFT 2'!$A:$A,"&lt;"&amp;DATE(2026,IF(3=12,3+1,3+1),1))</f>
        <v/>
      </c>
      <c r="DO182" s="116">
        <f>SUM(DK182:DN182)</f>
        <v/>
      </c>
      <c r="DZ182" s="116">
        <f>IFERROR(LOOKUP(2,1/('DRAFT 2'!$D:$D=$B182)*('DRAFT 2'!$A:$A&gt;=DATE(2026,4,1))*('DRAFT 2'!$A:$A&lt;DATE(2026,IF(4=12,4+1,4+1),1)),'DRAFT 2'!$A:$A),"")</f>
        <v/>
      </c>
      <c r="EA182" s="116">
        <f>COUNTIFS('DRAFT 2'!$D:$D,$B182,'DRAFT 2'!$A:$A,"&gt;="&amp;DATE(2026,4,1),'DRAFT 2'!$A:$A,"&lt;="&amp;DATE(2026,4,7))</f>
        <v/>
      </c>
      <c r="EB182" s="116">
        <f>COUNTIFS('DRAFT 2'!$D:$D,$B182,'DRAFT 2'!$A:$A,"&gt;="&amp;DATE(2026,4,8),'DRAFT 2'!$A:$A,"&lt;="&amp;DATE(2026,4,14))</f>
        <v/>
      </c>
      <c r="EC182" s="116">
        <f>COUNTIFS('DRAFT 2'!$D:$D,$B182,'DRAFT 2'!$A:$A,"&gt;="&amp;DATE(2026,4,15),'DRAFT 2'!$A:$A,"&lt;="&amp;DATE(2026,4,21))</f>
        <v/>
      </c>
      <c r="ED182" s="116">
        <f>COUNTIFS('DRAFT 2'!$D:$D,$B182,'DRAFT 2'!$A:$A,"&gt;="&amp;DATE(2026,4,22),'DRAFT 2'!$A:$A,"&lt;"&amp;DATE(2026,IF(4=12,4+1,4+1),1))</f>
        <v/>
      </c>
      <c r="EE182" s="116">
        <f>SUM(EA182:ED182)</f>
        <v/>
      </c>
      <c r="EO182" s="116">
        <f>IFERROR(LOOKUP(2,1/('DRAFT 2'!$D:$D=$B182)*('DRAFT 2'!$A:$A&gt;=DATE(2026,5,1))*('DRAFT 2'!$A:$A&lt;DATE(2026,IF(5=12,5+1,5+1),1)),'DRAFT 2'!$A:$A),"")</f>
        <v/>
      </c>
      <c r="EP182" s="116">
        <f>COUNTIFS('DRAFT 2'!$D:$D,$B182,'DRAFT 2'!$A:$A,"&gt;="&amp;DATE(2026,5,1),'DRAFT 2'!$A:$A,"&lt;="&amp;DATE(2026,5,7))</f>
        <v/>
      </c>
      <c r="EQ182" s="116">
        <f>COUNTIFS('DRAFT 2'!$D:$D,$B182,'DRAFT 2'!$A:$A,"&gt;="&amp;DATE(2026,5,8),'DRAFT 2'!$A:$A,"&lt;="&amp;DATE(2026,5,14))</f>
        <v/>
      </c>
      <c r="ER182" s="116">
        <f>COUNTIFS('DRAFT 2'!$D:$D,$B182,'DRAFT 2'!$A:$A,"&gt;="&amp;DATE(2026,5,15),'DRAFT 2'!$A:$A,"&lt;="&amp;DATE(2026,5,21))</f>
        <v/>
      </c>
      <c r="ES182" s="116">
        <f>COUNTIFS('DRAFT 2'!$D:$D,$B182,'DRAFT 2'!$A:$A,"&gt;="&amp;DATE(2026,5,22),'DRAFT 2'!$A:$A,"&lt;"&amp;DATE(2026,IF(5=12,5+1,5+1),1))</f>
        <v/>
      </c>
      <c r="ET182" s="116">
        <f>SUM(EP182:ES182)</f>
        <v/>
      </c>
      <c r="FD182" s="116">
        <f>IFERROR(LOOKUP(2,1/('DRAFT 2'!$D:$D=$B182)*('DRAFT 2'!$A:$A&gt;=DATE(2026,6,1))*('DRAFT 2'!$A:$A&lt;DATE(2026,IF(6=12,6+1,6+1),1)),'DRAFT 2'!$A:$A),"")</f>
        <v/>
      </c>
      <c r="FE182" s="116">
        <f>COUNTIFS('DRAFT 2'!$D:$D,$B182,'DRAFT 2'!$A:$A,"&gt;="&amp;DATE(2026,6,1),'DRAFT 2'!$A:$A,"&lt;="&amp;DATE(2026,6,7))</f>
        <v/>
      </c>
      <c r="FF182" s="116">
        <f>COUNTIFS('DRAFT 2'!$D:$D,$B182,'DRAFT 2'!$A:$A,"&gt;="&amp;DATE(2026,6,8),'DRAFT 2'!$A:$A,"&lt;="&amp;DATE(2026,6,14))</f>
        <v/>
      </c>
      <c r="FG182" s="116">
        <f>COUNTIFS('DRAFT 2'!$D:$D,$B182,'DRAFT 2'!$A:$A,"&gt;="&amp;DATE(2026,6,15),'DRAFT 2'!$A:$A,"&lt;="&amp;DATE(2026,6,21))</f>
        <v/>
      </c>
      <c r="FH182" s="116">
        <f>COUNTIFS('DRAFT 2'!$D:$D,$B182,'DRAFT 2'!$A:$A,"&gt;="&amp;DATE(2026,6,22),'DRAFT 2'!$A:$A,"&lt;"&amp;DATE(2026,IF(6=12,6+1,6+1),1))</f>
        <v/>
      </c>
      <c r="FI182" s="116">
        <f>SUM(FE182:FH182)</f>
        <v/>
      </c>
      <c r="FT182" s="116">
        <f>IFERROR(LOOKUP(2,1/('DRAFT 2'!$D:$D=$B182)*('DRAFT 2'!$A:$A&gt;=DATE(2026,7,1))*('DRAFT 2'!$A:$A&lt;DATE(2026,IF(7=12,7+1,7+1),1)),'DRAFT 2'!$A:$A),"")</f>
        <v/>
      </c>
      <c r="FU182" s="116">
        <f>COUNTIFS('DRAFT 2'!$D:$D,$B182,'DRAFT 2'!$A:$A,"&gt;="&amp;DATE(2026,7,1),'DRAFT 2'!$A:$A,"&lt;="&amp;DATE(2026,7,7))</f>
        <v/>
      </c>
      <c r="FV182" s="116">
        <f>COUNTIFS('DRAFT 2'!$D:$D,$B182,'DRAFT 2'!$A:$A,"&gt;="&amp;DATE(2026,7,8),'DRAFT 2'!$A:$A,"&lt;="&amp;DATE(2026,7,14))</f>
        <v/>
      </c>
      <c r="FW182" s="116">
        <f>COUNTIFS('DRAFT 2'!$D:$D,$B182,'DRAFT 2'!$A:$A,"&gt;="&amp;DATE(2026,7,15),'DRAFT 2'!$A:$A,"&lt;="&amp;DATE(2026,7,21))</f>
        <v/>
      </c>
      <c r="FX182" s="116">
        <f>COUNTIFS('DRAFT 2'!$D:$D,$B182,'DRAFT 2'!$A:$A,"&gt;="&amp;DATE(2026,7,22),'DRAFT 2'!$A:$A,"&lt;"&amp;DATE(2026,IF(7=12,7+1,7+1),1))</f>
        <v/>
      </c>
      <c r="FY182" s="116">
        <f>SUM(FU182:FX182)</f>
        <v/>
      </c>
      <c r="GI182" s="116">
        <f>IFERROR(LOOKUP(2,1/('DRAFT 2'!$D:$D=$B182)*('DRAFT 2'!$A:$A&gt;=DATE(2026,8,1))*('DRAFT 2'!$A:$A&lt;DATE(2026,IF(8=12,8+1,8+1),1)),'DRAFT 2'!$A:$A),"")</f>
        <v/>
      </c>
      <c r="GJ182" s="116">
        <f>COUNTIFS('DRAFT 2'!$D:$D,$B182,'DRAFT 2'!$A:$A,"&gt;="&amp;DATE(2026,8,1),'DRAFT 2'!$A:$A,"&lt;="&amp;DATE(2026,8,7))</f>
        <v/>
      </c>
      <c r="GK182" s="116">
        <f>COUNTIFS('DRAFT 2'!$D:$D,$B182,'DRAFT 2'!$A:$A,"&gt;="&amp;DATE(2026,8,8),'DRAFT 2'!$A:$A,"&lt;="&amp;DATE(2026,8,14))</f>
        <v/>
      </c>
      <c r="GL182" s="116">
        <f>COUNTIFS('DRAFT 2'!$D:$D,$B182,'DRAFT 2'!$A:$A,"&gt;="&amp;DATE(2026,8,15),'DRAFT 2'!$A:$A,"&lt;="&amp;DATE(2026,8,21))</f>
        <v/>
      </c>
      <c r="GM182" s="116">
        <f>COUNTIFS('DRAFT 2'!$D:$D,$B182,'DRAFT 2'!$A:$A,"&gt;="&amp;DATE(2026,8,22),'DRAFT 2'!$A:$A,"&lt;"&amp;DATE(2026,IF(8=12,8+1,8+1),1))</f>
        <v/>
      </c>
      <c r="GN182" s="116">
        <f>SUM(GJ182:GM182)</f>
        <v/>
      </c>
      <c r="GX182" s="116">
        <f>IFERROR(LOOKUP(2,1/('DRAFT 2'!$D:$D=$B182)*('DRAFT 2'!$A:$A&gt;=DATE(2026,9,1))*('DRAFT 2'!$A:$A&lt;DATE(2026,IF(9=12,9+1,9+1),1)),'DRAFT 2'!$A:$A),"")</f>
        <v/>
      </c>
      <c r="GY182" s="116">
        <f>COUNTIFS('DRAFT 2'!$D:$D,$B182,'DRAFT 2'!$A:$A,"&gt;="&amp;DATE(2026,9,1),'DRAFT 2'!$A:$A,"&lt;="&amp;DATE(2026,9,7))</f>
        <v/>
      </c>
      <c r="GZ182" s="116">
        <f>COUNTIFS('DRAFT 2'!$D:$D,$B182,'DRAFT 2'!$A:$A,"&gt;="&amp;DATE(2026,9,8),'DRAFT 2'!$A:$A,"&lt;="&amp;DATE(2026,9,14))</f>
        <v/>
      </c>
      <c r="HA182" s="116">
        <f>COUNTIFS('DRAFT 2'!$D:$D,$B182,'DRAFT 2'!$A:$A,"&gt;="&amp;DATE(2026,9,15),'DRAFT 2'!$A:$A,"&lt;="&amp;DATE(2026,9,21))</f>
        <v/>
      </c>
      <c r="HB182" s="116">
        <f>COUNTIFS('DRAFT 2'!$D:$D,$B182,'DRAFT 2'!$A:$A,"&gt;="&amp;DATE(2026,9,22),'DRAFT 2'!$A:$A,"&lt;"&amp;DATE(2026,IF(9=12,9+1,9+1),1))</f>
        <v/>
      </c>
      <c r="HC182" s="116">
        <f>SUM(GY182:HB182)</f>
        <v/>
      </c>
      <c r="HN182" s="116">
        <f>IFERROR(LOOKUP(2,1/('DRAFT 2'!$D:$D=$B182)*('DRAFT 2'!$A:$A&gt;=DATE(2026,10,1))*('DRAFT 2'!$A:$A&lt;DATE(2026,IF(10=12,10+1,10+1),1)),'DRAFT 2'!$A:$A),"")</f>
        <v/>
      </c>
      <c r="HO182" s="116">
        <f>COUNTIFS('DRAFT 2'!$D:$D,$B182,'DRAFT 2'!$A:$A,"&gt;="&amp;DATE(2026,10,1),'DRAFT 2'!$A:$A,"&lt;="&amp;DATE(2026,10,7))</f>
        <v/>
      </c>
      <c r="HP182" s="116">
        <f>COUNTIFS('DRAFT 2'!$D:$D,$B182,'DRAFT 2'!$A:$A,"&gt;="&amp;DATE(2026,10,8),'DRAFT 2'!$A:$A,"&lt;="&amp;DATE(2026,10,14))</f>
        <v/>
      </c>
      <c r="HQ182" s="116">
        <f>COUNTIFS('DRAFT 2'!$D:$D,$B182,'DRAFT 2'!$A:$A,"&gt;="&amp;DATE(2026,10,15),'DRAFT 2'!$A:$A,"&lt;="&amp;DATE(2026,10,21))</f>
        <v/>
      </c>
      <c r="HR182" s="116">
        <f>COUNTIFS('DRAFT 2'!$D:$D,$B182,'DRAFT 2'!$A:$A,"&gt;="&amp;DATE(2026,10,22),'DRAFT 2'!$A:$A,"&lt;"&amp;DATE(2026,IF(10=12,10+1,10+1),1))</f>
        <v/>
      </c>
      <c r="HS182" s="116">
        <f>SUM(HO182:HR182)</f>
        <v/>
      </c>
      <c r="IC182" s="116">
        <f>IFERROR(LOOKUP(2,1/('DRAFT 2'!$D:$D=$B182)*('DRAFT 2'!$A:$A&gt;=DATE(2026,11,1))*('DRAFT 2'!$A:$A&lt;DATE(2026,IF(11=12,11+1,11+1),1)),'DRAFT 2'!$A:$A),"")</f>
        <v/>
      </c>
      <c r="ID182" s="116">
        <f>COUNTIFS('DRAFT 2'!$D:$D,$B182,'DRAFT 2'!$A:$A,"&gt;="&amp;DATE(2026,11,1),'DRAFT 2'!$A:$A,"&lt;="&amp;DATE(2026,11,7))</f>
        <v/>
      </c>
      <c r="IE182" s="116">
        <f>COUNTIFS('DRAFT 2'!$D:$D,$B182,'DRAFT 2'!$A:$A,"&gt;="&amp;DATE(2026,11,8),'DRAFT 2'!$A:$A,"&lt;="&amp;DATE(2026,11,14))</f>
        <v/>
      </c>
      <c r="IF182" s="116">
        <f>COUNTIFS('DRAFT 2'!$D:$D,$B182,'DRAFT 2'!$A:$A,"&gt;="&amp;DATE(2026,11,15),'DRAFT 2'!$A:$A,"&lt;="&amp;DATE(2026,11,21))</f>
        <v/>
      </c>
      <c r="IG182" s="116">
        <f>COUNTIFS('DRAFT 2'!$D:$D,$B182,'DRAFT 2'!$A:$A,"&gt;="&amp;DATE(2026,11,22),'DRAFT 2'!$A:$A,"&lt;"&amp;DATE(2026,IF(11=12,11+1,11+1),1))</f>
        <v/>
      </c>
      <c r="IH182" s="116">
        <f>SUM(ID182:IG182)</f>
        <v/>
      </c>
      <c r="IR182" s="116">
        <f>IFERROR(LOOKUP(2,1/('DRAFT 2'!$D:$D=$B182)*('DRAFT 2'!$A:$A&gt;=DATE(2026,12,1))*('DRAFT 2'!$A:$A&lt;DATE(2026,IF(12=12,12+1,12+1),1)),'DRAFT 2'!$A:$A),"")</f>
        <v/>
      </c>
      <c r="IS182" s="116">
        <f>COUNTIFS('DRAFT 2'!$D:$D,$B182,'DRAFT 2'!$A:$A,"&gt;="&amp;DATE(2026,12,1),'DRAFT 2'!$A:$A,"&lt;="&amp;DATE(2026,12,7))</f>
        <v/>
      </c>
      <c r="IT182" s="116">
        <f>COUNTIFS('DRAFT 2'!$D:$D,$B182,'DRAFT 2'!$A:$A,"&gt;="&amp;DATE(2026,12,8),'DRAFT 2'!$A:$A,"&lt;="&amp;DATE(2026,12,14))</f>
        <v/>
      </c>
      <c r="IU182" s="116">
        <f>COUNTIFS('DRAFT 2'!$D:$D,$B182,'DRAFT 2'!$A:$A,"&gt;="&amp;DATE(2026,12,15),'DRAFT 2'!$A:$A,"&lt;="&amp;DATE(2026,12,21))</f>
        <v/>
      </c>
      <c r="IV182" s="116">
        <f>COUNTIFS('DRAFT 2'!$D:$D,$B182,'DRAFT 2'!$A:$A,"&gt;="&amp;DATE(2026,12,22),'DRAFT 2'!$A:$A,"&lt;"&amp;DATE(2026,IF(12=12,12+1,12+1),1))</f>
        <v/>
      </c>
      <c r="IW182" s="116">
        <f>SUM(IS182:IV182)</f>
        <v/>
      </c>
    </row>
    <row r="183">
      <c r="A183" s="116">
        <f>IFERROR(INDEX('DRAFT 1'!$A:$A,MATCH($B183,'DRAFT 1'!$B:$B,0)),"")</f>
        <v/>
      </c>
      <c r="C183" s="116">
        <f>IFERROR(INDEX('DRAFT 1'!$C:$C,MATCH($B183,'DRAFT 1'!$B:$B,0)),"")</f>
        <v/>
      </c>
      <c r="D183" s="116">
        <f>IFERROR(INDEX('DRAFT 1'!$D:$D,MATCH($B183,'DRAFT 1'!$B:$B,0)),"")</f>
        <v/>
      </c>
      <c r="E183" s="116">
        <f>IFERROR(INDEX('DRAFT 1'!$E:$E,MATCH($B183,'DRAFT 1'!$B:$B,0)),"")</f>
        <v/>
      </c>
      <c r="F183" s="116">
        <f>IFERROR(INDEX('DRAFT 1'!$F:$F,MATCH($B183,'DRAFT 1'!$B:$B,0)),"")</f>
        <v/>
      </c>
      <c r="G183" s="116">
        <f>IFERROR(INDEX('DRAFT 1'!$G:$G,MATCH($B183,'DRAFT 1'!$B:$B,0)),"")</f>
        <v/>
      </c>
      <c r="H183" s="116">
        <f>IFERROR(INDEX('DRAFT 1'!$H:$H,MATCH($B183,'DRAFT 1'!$B:$B,0)),"")</f>
        <v/>
      </c>
      <c r="I183" s="116">
        <f>IFERROR(INDEX('DRAFT 1'!$I:$I,MATCH($B183,'DRAFT 1'!$B:$B,0)),"")</f>
        <v/>
      </c>
      <c r="K183" s="116">
        <f>IFERROR(INDEX('DRAFT 1'!$AL:$AL,MATCH($B183,'DRAFT 1'!$B:$B,0)),"")</f>
        <v/>
      </c>
      <c r="L183" s="116">
        <f>IFERROR(INDEX('DRAFT 1'!$J:$J,MATCH($B183,'DRAFT 1'!$B:$B,0)),"")</f>
        <v/>
      </c>
      <c r="M183" s="116">
        <f>IFERROR(INDEX('DRAFT 1'!$K:$K,MATCH($B183,'DRAFT 1'!$B:$B,0)),"")</f>
        <v/>
      </c>
      <c r="P183" s="116">
        <f>IFERROR(INDEX('DRAFT 1'!$L:$L,MATCH($B183,'DRAFT 1'!$B:$B,0)),"")</f>
        <v/>
      </c>
      <c r="Q183" s="116">
        <f>IFERROR(INDEX('DRAFT 1'!$M:$M,MATCH($B183,'DRAFT 1'!$B:$B,0)),"")</f>
        <v/>
      </c>
      <c r="R183" s="116">
        <f>IFERROR(INDEX('DRAFT 1'!$N:$N,MATCH($B183,'DRAFT 1'!$B:$B,0)),"")</f>
        <v/>
      </c>
      <c r="S183" s="116">
        <f>IFERROR(INDEX('DRAFT 1'!$O:$O,MATCH($B183,'DRAFT 1'!$B:$B,0)),"")</f>
        <v/>
      </c>
      <c r="T183" s="116">
        <f>IFERROR(INDEX('DRAFT 1'!$P:$P,MATCH($B183,'DRAFT 1'!$B:$B,0)),"")</f>
        <v/>
      </c>
      <c r="U183" s="116">
        <f>IFERROR(INDEX('DRAFT 1'!$Q:$Q,MATCH($B183,'DRAFT 1'!$B:$B,0)),"")</f>
        <v/>
      </c>
      <c r="V183" s="116">
        <f>IFERROR(INDEX('DRAFT 1'!$R:$R,MATCH($B183,'DRAFT 1'!$B:$B,0)),"")</f>
        <v/>
      </c>
      <c r="W183" s="116">
        <f>IFERROR(INDEX('DRAFT 1'!$S:$S,MATCH($B183,'DRAFT 1'!$B:$B,0)),"")</f>
        <v/>
      </c>
      <c r="X183" s="116">
        <f>IFERROR(INDEX('DRAFT 1'!$T:$T,MATCH($B183,'DRAFT 1'!$B:$B,0)),"")</f>
        <v/>
      </c>
      <c r="Z183" s="116">
        <f>IFERROR(INDEX('DRAFT 1'!$U:$U,MATCH($B183,'DRAFT 1'!$B:$B,0)),"")</f>
        <v/>
      </c>
      <c r="AA183" s="116">
        <f>IFERROR(INDEX('DRAFT 1'!$V:$V,MATCH($B183,'DRAFT 1'!$B:$B,0)),"")</f>
        <v/>
      </c>
      <c r="AB183" s="116">
        <f>IFERROR(INDEX('DRAFT 1'!$W:$W,MATCH($B183,'DRAFT 1'!$B:$B,0)),"")</f>
        <v/>
      </c>
      <c r="AC183" s="116">
        <f>IFERROR(INDEX('DRAFT 1'!$X:$X,MATCH($B183,'DRAFT 1'!$B:$B,0)),"")</f>
        <v/>
      </c>
      <c r="AD183" s="116">
        <f>IFERROR(INDEX('DRAFT 1'!$Y:$Y,MATCH($B183,'DRAFT 1'!$B:$B,0)),"")</f>
        <v/>
      </c>
      <c r="AE183" s="116">
        <f>IFERROR(INDEX('DRAFT 1'!$Z:$Z,MATCH($B183,'DRAFT 1'!$B:$B,0)),"")</f>
        <v/>
      </c>
      <c r="AF183" s="116">
        <f>IFERROR(INDEX('DRAFT 1'!$AA:$AA,MATCH($B183,'DRAFT 1'!$B:$B,0)),"")</f>
        <v/>
      </c>
      <c r="AG183" s="116">
        <f>IFERROR(INDEX('DRAFT 1'!$AB:$AB,MATCH($B183,'DRAFT 1'!$B:$B,0)),"")</f>
        <v/>
      </c>
      <c r="AH183" s="116">
        <f>IFERROR(INDEX('DRAFT 1'!$AC:$AC,MATCH($B183,'DRAFT 1'!$B:$B,0)),"")</f>
        <v/>
      </c>
      <c r="AI183" s="116">
        <f>IFERROR(INDEX('DRAFT 1'!$AD:$AD,MATCH($B183,'DRAFT 1'!$B:$B,0)),"")</f>
        <v/>
      </c>
      <c r="AJ183" s="116">
        <f>IFERROR(INDEX('DRAFT 1'!$AE:$AE,MATCH($B183,'DRAFT 1'!$B:$B,0)),"")</f>
        <v/>
      </c>
      <c r="AK183" s="116">
        <f>IFERROR(INDEX('DRAFT 1'!$AG:$AG,MATCH($B183,'DRAFT 1'!$B:$B,0)),"")</f>
        <v/>
      </c>
      <c r="AL183" s="116">
        <f>IFERROR(INDEX('DRAFT 1'!$AH:$AH,MATCH($B183,'DRAFT 1'!$B:$B,0)),"")</f>
        <v/>
      </c>
      <c r="AM183" s="116">
        <f>IFERROR(INDEX('DRAFT 1'!$AI:$AI,MATCH($B183,'DRAFT 1'!$B:$B,0)),"")</f>
        <v/>
      </c>
      <c r="AN183" s="116">
        <f>IFERROR(INDEX('DRAFT 1'!$AJ:$AJ,MATCH($B183,'DRAFT 1'!$B:$B,0)),"")</f>
        <v/>
      </c>
      <c r="AO183" s="116">
        <f>IFERROR(Y183/AN183,0)</f>
        <v/>
      </c>
      <c r="AP183" s="116">
        <f>IFERROR(INDEX('DRAFT 1'!$AK:$AK,MATCH($B183,'DRAFT 1'!$B:$B,0)),"")</f>
        <v/>
      </c>
      <c r="AR183" s="116">
        <f>IFERROR(LOOKUP(2,1/('DRAFT 2'!$D:$D=$B183),'DRAFT 2'!$I:$I),"")</f>
        <v/>
      </c>
      <c r="AS183" s="116">
        <f>IFERROR(LOOKUP(2,1/('DRAFT 2'!$D:$D=$B183),'DRAFT 2'!$T:$T),"")</f>
        <v/>
      </c>
      <c r="AT183" s="116">
        <f>IFERROR(LOOKUP(2,1/('DRAFT 2'!$D:$D=$B183),'DRAFT 2'!$A:$A),"")</f>
        <v/>
      </c>
      <c r="AU183" s="116">
        <f>IFERROR(LOOKUP(2,1/('DRAFT 2'!$D:$D=$B183),'DRAFT 2'!$R:$R),"")</f>
        <v/>
      </c>
      <c r="AV183" s="116">
        <f>IFERROR(LOOKUP(2,1/('DRAFT 2'!$D:$D=$B183),'DRAFT 2'!$S:$S),"")</f>
        <v/>
      </c>
      <c r="AX183" s="116">
        <f>IFERROR(LOOKUP(2,1/('DRAFT 2'!$D:$D=$B183),'DRAFT 2'!$M:$M),"")</f>
        <v/>
      </c>
      <c r="AY183" s="116">
        <f>IFERROR(LOOKUP(2,1/('DRAFT 2'!$D:$D=$B183),'DRAFT 2'!$K:$K),"")</f>
        <v/>
      </c>
      <c r="BG183" s="116">
        <f>IFERROR(LOOKUP(2,1/('DRAFT 2'!$D:$D=$B183),'DRAFT 2'!$U:$U),"")</f>
        <v/>
      </c>
      <c r="BH183" s="116">
        <f>IFERROR(LOOKUP(2,1/('DRAFT 2'!$D:$D=$B183),'DRAFT 2'!$V:$V),"")</f>
        <v/>
      </c>
      <c r="CE183" s="116">
        <f>IFERROR(AJ183,0)</f>
        <v/>
      </c>
      <c r="CF183" s="116">
        <f>IFERROR(LOOKUP(2,1/('DRAFT 2'!$D:$D=$B183)*('DRAFT 2'!$A:$A&gt;=DATE(2026,1,1))*('DRAFT 2'!$A:$A&lt;DATE(2026,IF(1=12,1+1,1+1),1)),'DRAFT 2'!$A:$A),"")</f>
        <v/>
      </c>
      <c r="CG183" s="116">
        <f>COUNTIFS('DRAFT 2'!$D:$D,$B183,'DRAFT 2'!$A:$A,"&gt;="&amp;DATE(2026,1,1),'DRAFT 2'!$A:$A,"&lt;="&amp;DATE(2026,1,7))</f>
        <v/>
      </c>
      <c r="CH183" s="116">
        <f>COUNTIFS('DRAFT 2'!$D:$D,$B183,'DRAFT 2'!$A:$A,"&gt;="&amp;DATE(2026,1,8),'DRAFT 2'!$A:$A,"&lt;="&amp;DATE(2026,1,14))</f>
        <v/>
      </c>
      <c r="CI183" s="116">
        <f>COUNTIFS('DRAFT 2'!$D:$D,$B183,'DRAFT 2'!$A:$A,"&gt;="&amp;DATE(2026,1,15),'DRAFT 2'!$A:$A,"&lt;="&amp;DATE(2026,1,21))</f>
        <v/>
      </c>
      <c r="CJ183" s="116">
        <f>COUNTIFS('DRAFT 2'!$D:$D,$B183,'DRAFT 2'!$A:$A,"&gt;="&amp;DATE(2026,1,22),'DRAFT 2'!$A:$A,"&lt;"&amp;DATE(2026,IF(1=12,1+1,1+1),1))</f>
        <v/>
      </c>
      <c r="CK183" s="116">
        <f>SUM(CG183:CJ183)</f>
        <v/>
      </c>
      <c r="CT183" s="116" t="n">
        <v>0</v>
      </c>
      <c r="CU183" s="116">
        <f>IFERROR(LOOKUP(2,1/('DRAFT 2'!$D:$D=$B183)*('DRAFT 2'!$A:$A&gt;=DATE(2026,2,1))*('DRAFT 2'!$A:$A&lt;DATE(2026,IF(2=12,2+1,2+1),1)),'DRAFT 2'!$A:$A),"")</f>
        <v/>
      </c>
      <c r="CV183" s="116">
        <f>COUNTIFS('DRAFT 2'!$D:$D,$B183,'DRAFT 2'!$A:$A,"&gt;="&amp;DATE(2026,2,1),'DRAFT 2'!$A:$A,"&lt;="&amp;DATE(2026,2,7))</f>
        <v/>
      </c>
      <c r="CW183" s="116">
        <f>COUNTIFS('DRAFT 2'!$D:$D,$B183,'DRAFT 2'!$A:$A,"&gt;="&amp;DATE(2026,2,8),'DRAFT 2'!$A:$A,"&lt;="&amp;DATE(2026,2,14))</f>
        <v/>
      </c>
      <c r="CX183" s="116">
        <f>COUNTIFS('DRAFT 2'!$D:$D,$B183,'DRAFT 2'!$A:$A,"&gt;="&amp;DATE(2026,2,15),'DRAFT 2'!$A:$A,"&lt;="&amp;DATE(2026,2,21))</f>
        <v/>
      </c>
      <c r="CY183" s="116">
        <f>COUNTIFS('DRAFT 2'!$D:$D,$B183,'DRAFT 2'!$A:$A,"&gt;="&amp;DATE(2026,2,22),'DRAFT 2'!$A:$A,"&lt;"&amp;DATE(2026,IF(2=12,2+1,2+1),1))</f>
        <v/>
      </c>
      <c r="CZ183" s="116">
        <f>SUM(CV183:CY183)</f>
        <v/>
      </c>
      <c r="DJ183" s="116">
        <f>IFERROR(LOOKUP(2,1/('DRAFT 2'!$D:$D=$B183)*('DRAFT 2'!$A:$A&gt;=DATE(2026,3,1))*('DRAFT 2'!$A:$A&lt;DATE(2026,IF(3=12,3+1,3+1),1)),'DRAFT 2'!$A:$A),"")</f>
        <v/>
      </c>
      <c r="DK183" s="116">
        <f>COUNTIFS('DRAFT 2'!$D:$D,$B183,'DRAFT 2'!$A:$A,"&gt;="&amp;DATE(2026,3,1),'DRAFT 2'!$A:$A,"&lt;="&amp;DATE(2026,3,7))</f>
        <v/>
      </c>
      <c r="DL183" s="116">
        <f>COUNTIFS('DRAFT 2'!$D:$D,$B183,'DRAFT 2'!$A:$A,"&gt;="&amp;DATE(2026,3,8),'DRAFT 2'!$A:$A,"&lt;="&amp;DATE(2026,3,14))</f>
        <v/>
      </c>
      <c r="DM183" s="116">
        <f>COUNTIFS('DRAFT 2'!$D:$D,$B183,'DRAFT 2'!$A:$A,"&gt;="&amp;DATE(2026,3,15),'DRAFT 2'!$A:$A,"&lt;="&amp;DATE(2026,3,21))</f>
        <v/>
      </c>
      <c r="DN183" s="116">
        <f>COUNTIFS('DRAFT 2'!$D:$D,$B183,'DRAFT 2'!$A:$A,"&gt;="&amp;DATE(2026,3,22),'DRAFT 2'!$A:$A,"&lt;"&amp;DATE(2026,IF(3=12,3+1,3+1),1))</f>
        <v/>
      </c>
      <c r="DO183" s="116">
        <f>SUM(DK183:DN183)</f>
        <v/>
      </c>
      <c r="DZ183" s="116">
        <f>IFERROR(LOOKUP(2,1/('DRAFT 2'!$D:$D=$B183)*('DRAFT 2'!$A:$A&gt;=DATE(2026,4,1))*('DRAFT 2'!$A:$A&lt;DATE(2026,IF(4=12,4+1,4+1),1)),'DRAFT 2'!$A:$A),"")</f>
        <v/>
      </c>
      <c r="EA183" s="116">
        <f>COUNTIFS('DRAFT 2'!$D:$D,$B183,'DRAFT 2'!$A:$A,"&gt;="&amp;DATE(2026,4,1),'DRAFT 2'!$A:$A,"&lt;="&amp;DATE(2026,4,7))</f>
        <v/>
      </c>
      <c r="EB183" s="116">
        <f>COUNTIFS('DRAFT 2'!$D:$D,$B183,'DRAFT 2'!$A:$A,"&gt;="&amp;DATE(2026,4,8),'DRAFT 2'!$A:$A,"&lt;="&amp;DATE(2026,4,14))</f>
        <v/>
      </c>
      <c r="EC183" s="116">
        <f>COUNTIFS('DRAFT 2'!$D:$D,$B183,'DRAFT 2'!$A:$A,"&gt;="&amp;DATE(2026,4,15),'DRAFT 2'!$A:$A,"&lt;="&amp;DATE(2026,4,21))</f>
        <v/>
      </c>
      <c r="ED183" s="116">
        <f>COUNTIFS('DRAFT 2'!$D:$D,$B183,'DRAFT 2'!$A:$A,"&gt;="&amp;DATE(2026,4,22),'DRAFT 2'!$A:$A,"&lt;"&amp;DATE(2026,IF(4=12,4+1,4+1),1))</f>
        <v/>
      </c>
      <c r="EE183" s="116">
        <f>SUM(EA183:ED183)</f>
        <v/>
      </c>
      <c r="EO183" s="116">
        <f>IFERROR(LOOKUP(2,1/('DRAFT 2'!$D:$D=$B183)*('DRAFT 2'!$A:$A&gt;=DATE(2026,5,1))*('DRAFT 2'!$A:$A&lt;DATE(2026,IF(5=12,5+1,5+1),1)),'DRAFT 2'!$A:$A),"")</f>
        <v/>
      </c>
      <c r="EP183" s="116">
        <f>COUNTIFS('DRAFT 2'!$D:$D,$B183,'DRAFT 2'!$A:$A,"&gt;="&amp;DATE(2026,5,1),'DRAFT 2'!$A:$A,"&lt;="&amp;DATE(2026,5,7))</f>
        <v/>
      </c>
      <c r="EQ183" s="116">
        <f>COUNTIFS('DRAFT 2'!$D:$D,$B183,'DRAFT 2'!$A:$A,"&gt;="&amp;DATE(2026,5,8),'DRAFT 2'!$A:$A,"&lt;="&amp;DATE(2026,5,14))</f>
        <v/>
      </c>
      <c r="ER183" s="116">
        <f>COUNTIFS('DRAFT 2'!$D:$D,$B183,'DRAFT 2'!$A:$A,"&gt;="&amp;DATE(2026,5,15),'DRAFT 2'!$A:$A,"&lt;="&amp;DATE(2026,5,21))</f>
        <v/>
      </c>
      <c r="ES183" s="116">
        <f>COUNTIFS('DRAFT 2'!$D:$D,$B183,'DRAFT 2'!$A:$A,"&gt;="&amp;DATE(2026,5,22),'DRAFT 2'!$A:$A,"&lt;"&amp;DATE(2026,IF(5=12,5+1,5+1),1))</f>
        <v/>
      </c>
      <c r="ET183" s="116">
        <f>SUM(EP183:ES183)</f>
        <v/>
      </c>
      <c r="FD183" s="116">
        <f>IFERROR(LOOKUP(2,1/('DRAFT 2'!$D:$D=$B183)*('DRAFT 2'!$A:$A&gt;=DATE(2026,6,1))*('DRAFT 2'!$A:$A&lt;DATE(2026,IF(6=12,6+1,6+1),1)),'DRAFT 2'!$A:$A),"")</f>
        <v/>
      </c>
      <c r="FE183" s="116">
        <f>COUNTIFS('DRAFT 2'!$D:$D,$B183,'DRAFT 2'!$A:$A,"&gt;="&amp;DATE(2026,6,1),'DRAFT 2'!$A:$A,"&lt;="&amp;DATE(2026,6,7))</f>
        <v/>
      </c>
      <c r="FF183" s="116">
        <f>COUNTIFS('DRAFT 2'!$D:$D,$B183,'DRAFT 2'!$A:$A,"&gt;="&amp;DATE(2026,6,8),'DRAFT 2'!$A:$A,"&lt;="&amp;DATE(2026,6,14))</f>
        <v/>
      </c>
      <c r="FG183" s="116">
        <f>COUNTIFS('DRAFT 2'!$D:$D,$B183,'DRAFT 2'!$A:$A,"&gt;="&amp;DATE(2026,6,15),'DRAFT 2'!$A:$A,"&lt;="&amp;DATE(2026,6,21))</f>
        <v/>
      </c>
      <c r="FH183" s="116">
        <f>COUNTIFS('DRAFT 2'!$D:$D,$B183,'DRAFT 2'!$A:$A,"&gt;="&amp;DATE(2026,6,22),'DRAFT 2'!$A:$A,"&lt;"&amp;DATE(2026,IF(6=12,6+1,6+1),1))</f>
        <v/>
      </c>
      <c r="FI183" s="116">
        <f>SUM(FE183:FH183)</f>
        <v/>
      </c>
      <c r="FT183" s="116">
        <f>IFERROR(LOOKUP(2,1/('DRAFT 2'!$D:$D=$B183)*('DRAFT 2'!$A:$A&gt;=DATE(2026,7,1))*('DRAFT 2'!$A:$A&lt;DATE(2026,IF(7=12,7+1,7+1),1)),'DRAFT 2'!$A:$A),"")</f>
        <v/>
      </c>
      <c r="FU183" s="116">
        <f>COUNTIFS('DRAFT 2'!$D:$D,$B183,'DRAFT 2'!$A:$A,"&gt;="&amp;DATE(2026,7,1),'DRAFT 2'!$A:$A,"&lt;="&amp;DATE(2026,7,7))</f>
        <v/>
      </c>
      <c r="FV183" s="116">
        <f>COUNTIFS('DRAFT 2'!$D:$D,$B183,'DRAFT 2'!$A:$A,"&gt;="&amp;DATE(2026,7,8),'DRAFT 2'!$A:$A,"&lt;="&amp;DATE(2026,7,14))</f>
        <v/>
      </c>
      <c r="FW183" s="116">
        <f>COUNTIFS('DRAFT 2'!$D:$D,$B183,'DRAFT 2'!$A:$A,"&gt;="&amp;DATE(2026,7,15),'DRAFT 2'!$A:$A,"&lt;="&amp;DATE(2026,7,21))</f>
        <v/>
      </c>
      <c r="FX183" s="116">
        <f>COUNTIFS('DRAFT 2'!$D:$D,$B183,'DRAFT 2'!$A:$A,"&gt;="&amp;DATE(2026,7,22),'DRAFT 2'!$A:$A,"&lt;"&amp;DATE(2026,IF(7=12,7+1,7+1),1))</f>
        <v/>
      </c>
      <c r="FY183" s="116">
        <f>SUM(FU183:FX183)</f>
        <v/>
      </c>
      <c r="GI183" s="116">
        <f>IFERROR(LOOKUP(2,1/('DRAFT 2'!$D:$D=$B183)*('DRAFT 2'!$A:$A&gt;=DATE(2026,8,1))*('DRAFT 2'!$A:$A&lt;DATE(2026,IF(8=12,8+1,8+1),1)),'DRAFT 2'!$A:$A),"")</f>
        <v/>
      </c>
      <c r="GJ183" s="116">
        <f>COUNTIFS('DRAFT 2'!$D:$D,$B183,'DRAFT 2'!$A:$A,"&gt;="&amp;DATE(2026,8,1),'DRAFT 2'!$A:$A,"&lt;="&amp;DATE(2026,8,7))</f>
        <v/>
      </c>
      <c r="GK183" s="116">
        <f>COUNTIFS('DRAFT 2'!$D:$D,$B183,'DRAFT 2'!$A:$A,"&gt;="&amp;DATE(2026,8,8),'DRAFT 2'!$A:$A,"&lt;="&amp;DATE(2026,8,14))</f>
        <v/>
      </c>
      <c r="GL183" s="116">
        <f>COUNTIFS('DRAFT 2'!$D:$D,$B183,'DRAFT 2'!$A:$A,"&gt;="&amp;DATE(2026,8,15),'DRAFT 2'!$A:$A,"&lt;="&amp;DATE(2026,8,21))</f>
        <v/>
      </c>
      <c r="GM183" s="116">
        <f>COUNTIFS('DRAFT 2'!$D:$D,$B183,'DRAFT 2'!$A:$A,"&gt;="&amp;DATE(2026,8,22),'DRAFT 2'!$A:$A,"&lt;"&amp;DATE(2026,IF(8=12,8+1,8+1),1))</f>
        <v/>
      </c>
      <c r="GN183" s="116">
        <f>SUM(GJ183:GM183)</f>
        <v/>
      </c>
      <c r="GX183" s="116">
        <f>IFERROR(LOOKUP(2,1/('DRAFT 2'!$D:$D=$B183)*('DRAFT 2'!$A:$A&gt;=DATE(2026,9,1))*('DRAFT 2'!$A:$A&lt;DATE(2026,IF(9=12,9+1,9+1),1)),'DRAFT 2'!$A:$A),"")</f>
        <v/>
      </c>
      <c r="GY183" s="116">
        <f>COUNTIFS('DRAFT 2'!$D:$D,$B183,'DRAFT 2'!$A:$A,"&gt;="&amp;DATE(2026,9,1),'DRAFT 2'!$A:$A,"&lt;="&amp;DATE(2026,9,7))</f>
        <v/>
      </c>
      <c r="GZ183" s="116">
        <f>COUNTIFS('DRAFT 2'!$D:$D,$B183,'DRAFT 2'!$A:$A,"&gt;="&amp;DATE(2026,9,8),'DRAFT 2'!$A:$A,"&lt;="&amp;DATE(2026,9,14))</f>
        <v/>
      </c>
      <c r="HA183" s="116">
        <f>COUNTIFS('DRAFT 2'!$D:$D,$B183,'DRAFT 2'!$A:$A,"&gt;="&amp;DATE(2026,9,15),'DRAFT 2'!$A:$A,"&lt;="&amp;DATE(2026,9,21))</f>
        <v/>
      </c>
      <c r="HB183" s="116">
        <f>COUNTIFS('DRAFT 2'!$D:$D,$B183,'DRAFT 2'!$A:$A,"&gt;="&amp;DATE(2026,9,22),'DRAFT 2'!$A:$A,"&lt;"&amp;DATE(2026,IF(9=12,9+1,9+1),1))</f>
        <v/>
      </c>
      <c r="HC183" s="116">
        <f>SUM(GY183:HB183)</f>
        <v/>
      </c>
      <c r="HN183" s="116">
        <f>IFERROR(LOOKUP(2,1/('DRAFT 2'!$D:$D=$B183)*('DRAFT 2'!$A:$A&gt;=DATE(2026,10,1))*('DRAFT 2'!$A:$A&lt;DATE(2026,IF(10=12,10+1,10+1),1)),'DRAFT 2'!$A:$A),"")</f>
        <v/>
      </c>
      <c r="HO183" s="116">
        <f>COUNTIFS('DRAFT 2'!$D:$D,$B183,'DRAFT 2'!$A:$A,"&gt;="&amp;DATE(2026,10,1),'DRAFT 2'!$A:$A,"&lt;="&amp;DATE(2026,10,7))</f>
        <v/>
      </c>
      <c r="HP183" s="116">
        <f>COUNTIFS('DRAFT 2'!$D:$D,$B183,'DRAFT 2'!$A:$A,"&gt;="&amp;DATE(2026,10,8),'DRAFT 2'!$A:$A,"&lt;="&amp;DATE(2026,10,14))</f>
        <v/>
      </c>
      <c r="HQ183" s="116">
        <f>COUNTIFS('DRAFT 2'!$D:$D,$B183,'DRAFT 2'!$A:$A,"&gt;="&amp;DATE(2026,10,15),'DRAFT 2'!$A:$A,"&lt;="&amp;DATE(2026,10,21))</f>
        <v/>
      </c>
      <c r="HR183" s="116">
        <f>COUNTIFS('DRAFT 2'!$D:$D,$B183,'DRAFT 2'!$A:$A,"&gt;="&amp;DATE(2026,10,22),'DRAFT 2'!$A:$A,"&lt;"&amp;DATE(2026,IF(10=12,10+1,10+1),1))</f>
        <v/>
      </c>
      <c r="HS183" s="116">
        <f>SUM(HO183:HR183)</f>
        <v/>
      </c>
      <c r="IC183" s="116">
        <f>IFERROR(LOOKUP(2,1/('DRAFT 2'!$D:$D=$B183)*('DRAFT 2'!$A:$A&gt;=DATE(2026,11,1))*('DRAFT 2'!$A:$A&lt;DATE(2026,IF(11=12,11+1,11+1),1)),'DRAFT 2'!$A:$A),"")</f>
        <v/>
      </c>
      <c r="ID183" s="116">
        <f>COUNTIFS('DRAFT 2'!$D:$D,$B183,'DRAFT 2'!$A:$A,"&gt;="&amp;DATE(2026,11,1),'DRAFT 2'!$A:$A,"&lt;="&amp;DATE(2026,11,7))</f>
        <v/>
      </c>
      <c r="IE183" s="116">
        <f>COUNTIFS('DRAFT 2'!$D:$D,$B183,'DRAFT 2'!$A:$A,"&gt;="&amp;DATE(2026,11,8),'DRAFT 2'!$A:$A,"&lt;="&amp;DATE(2026,11,14))</f>
        <v/>
      </c>
      <c r="IF183" s="116">
        <f>COUNTIFS('DRAFT 2'!$D:$D,$B183,'DRAFT 2'!$A:$A,"&gt;="&amp;DATE(2026,11,15),'DRAFT 2'!$A:$A,"&lt;="&amp;DATE(2026,11,21))</f>
        <v/>
      </c>
      <c r="IG183" s="116">
        <f>COUNTIFS('DRAFT 2'!$D:$D,$B183,'DRAFT 2'!$A:$A,"&gt;="&amp;DATE(2026,11,22),'DRAFT 2'!$A:$A,"&lt;"&amp;DATE(2026,IF(11=12,11+1,11+1),1))</f>
        <v/>
      </c>
      <c r="IH183" s="116">
        <f>SUM(ID183:IG183)</f>
        <v/>
      </c>
      <c r="IR183" s="116">
        <f>IFERROR(LOOKUP(2,1/('DRAFT 2'!$D:$D=$B183)*('DRAFT 2'!$A:$A&gt;=DATE(2026,12,1))*('DRAFT 2'!$A:$A&lt;DATE(2026,IF(12=12,12+1,12+1),1)),'DRAFT 2'!$A:$A),"")</f>
        <v/>
      </c>
      <c r="IS183" s="116">
        <f>COUNTIFS('DRAFT 2'!$D:$D,$B183,'DRAFT 2'!$A:$A,"&gt;="&amp;DATE(2026,12,1),'DRAFT 2'!$A:$A,"&lt;="&amp;DATE(2026,12,7))</f>
        <v/>
      </c>
      <c r="IT183" s="116">
        <f>COUNTIFS('DRAFT 2'!$D:$D,$B183,'DRAFT 2'!$A:$A,"&gt;="&amp;DATE(2026,12,8),'DRAFT 2'!$A:$A,"&lt;="&amp;DATE(2026,12,14))</f>
        <v/>
      </c>
      <c r="IU183" s="116">
        <f>COUNTIFS('DRAFT 2'!$D:$D,$B183,'DRAFT 2'!$A:$A,"&gt;="&amp;DATE(2026,12,15),'DRAFT 2'!$A:$A,"&lt;="&amp;DATE(2026,12,21))</f>
        <v/>
      </c>
      <c r="IV183" s="116">
        <f>COUNTIFS('DRAFT 2'!$D:$D,$B183,'DRAFT 2'!$A:$A,"&gt;="&amp;DATE(2026,12,22),'DRAFT 2'!$A:$A,"&lt;"&amp;DATE(2026,IF(12=12,12+1,12+1),1))</f>
        <v/>
      </c>
      <c r="IW183" s="116">
        <f>SUM(IS183:IV183)</f>
        <v/>
      </c>
    </row>
    <row r="184">
      <c r="A184" s="116">
        <f>IFERROR(INDEX('DRAFT 1'!$A:$A,MATCH($B184,'DRAFT 1'!$B:$B,0)),"")</f>
        <v/>
      </c>
      <c r="C184" s="116">
        <f>IFERROR(INDEX('DRAFT 1'!$C:$C,MATCH($B184,'DRAFT 1'!$B:$B,0)),"")</f>
        <v/>
      </c>
      <c r="D184" s="116">
        <f>IFERROR(INDEX('DRAFT 1'!$D:$D,MATCH($B184,'DRAFT 1'!$B:$B,0)),"")</f>
        <v/>
      </c>
      <c r="E184" s="116">
        <f>IFERROR(INDEX('DRAFT 1'!$E:$E,MATCH($B184,'DRAFT 1'!$B:$B,0)),"")</f>
        <v/>
      </c>
      <c r="F184" s="116">
        <f>IFERROR(INDEX('DRAFT 1'!$F:$F,MATCH($B184,'DRAFT 1'!$B:$B,0)),"")</f>
        <v/>
      </c>
      <c r="G184" s="116">
        <f>IFERROR(INDEX('DRAFT 1'!$G:$G,MATCH($B184,'DRAFT 1'!$B:$B,0)),"")</f>
        <v/>
      </c>
      <c r="H184" s="116">
        <f>IFERROR(INDEX('DRAFT 1'!$H:$H,MATCH($B184,'DRAFT 1'!$B:$B,0)),"")</f>
        <v/>
      </c>
      <c r="I184" s="116">
        <f>IFERROR(INDEX('DRAFT 1'!$I:$I,MATCH($B184,'DRAFT 1'!$B:$B,0)),"")</f>
        <v/>
      </c>
      <c r="K184" s="116">
        <f>IFERROR(INDEX('DRAFT 1'!$AL:$AL,MATCH($B184,'DRAFT 1'!$B:$B,0)),"")</f>
        <v/>
      </c>
      <c r="L184" s="116">
        <f>IFERROR(INDEX('DRAFT 1'!$J:$J,MATCH($B184,'DRAFT 1'!$B:$B,0)),"")</f>
        <v/>
      </c>
      <c r="M184" s="116">
        <f>IFERROR(INDEX('DRAFT 1'!$K:$K,MATCH($B184,'DRAFT 1'!$B:$B,0)),"")</f>
        <v/>
      </c>
      <c r="P184" s="116">
        <f>IFERROR(INDEX('DRAFT 1'!$L:$L,MATCH($B184,'DRAFT 1'!$B:$B,0)),"")</f>
        <v/>
      </c>
      <c r="Q184" s="116">
        <f>IFERROR(INDEX('DRAFT 1'!$M:$M,MATCH($B184,'DRAFT 1'!$B:$B,0)),"")</f>
        <v/>
      </c>
      <c r="R184" s="116">
        <f>IFERROR(INDEX('DRAFT 1'!$N:$N,MATCH($B184,'DRAFT 1'!$B:$B,0)),"")</f>
        <v/>
      </c>
      <c r="S184" s="116">
        <f>IFERROR(INDEX('DRAFT 1'!$O:$O,MATCH($B184,'DRAFT 1'!$B:$B,0)),"")</f>
        <v/>
      </c>
      <c r="T184" s="116">
        <f>IFERROR(INDEX('DRAFT 1'!$P:$P,MATCH($B184,'DRAFT 1'!$B:$B,0)),"")</f>
        <v/>
      </c>
      <c r="U184" s="116">
        <f>IFERROR(INDEX('DRAFT 1'!$Q:$Q,MATCH($B184,'DRAFT 1'!$B:$B,0)),"")</f>
        <v/>
      </c>
      <c r="V184" s="116">
        <f>IFERROR(INDEX('DRAFT 1'!$R:$R,MATCH($B184,'DRAFT 1'!$B:$B,0)),"")</f>
        <v/>
      </c>
      <c r="W184" s="116">
        <f>IFERROR(INDEX('DRAFT 1'!$S:$S,MATCH($B184,'DRAFT 1'!$B:$B,0)),"")</f>
        <v/>
      </c>
      <c r="X184" s="116">
        <f>IFERROR(INDEX('DRAFT 1'!$T:$T,MATCH($B184,'DRAFT 1'!$B:$B,0)),"")</f>
        <v/>
      </c>
      <c r="Z184" s="116">
        <f>IFERROR(INDEX('DRAFT 1'!$U:$U,MATCH($B184,'DRAFT 1'!$B:$B,0)),"")</f>
        <v/>
      </c>
      <c r="AA184" s="116">
        <f>IFERROR(INDEX('DRAFT 1'!$V:$V,MATCH($B184,'DRAFT 1'!$B:$B,0)),"")</f>
        <v/>
      </c>
      <c r="AB184" s="116">
        <f>IFERROR(INDEX('DRAFT 1'!$W:$W,MATCH($B184,'DRAFT 1'!$B:$B,0)),"")</f>
        <v/>
      </c>
      <c r="AC184" s="116">
        <f>IFERROR(INDEX('DRAFT 1'!$X:$X,MATCH($B184,'DRAFT 1'!$B:$B,0)),"")</f>
        <v/>
      </c>
      <c r="AD184" s="116">
        <f>IFERROR(INDEX('DRAFT 1'!$Y:$Y,MATCH($B184,'DRAFT 1'!$B:$B,0)),"")</f>
        <v/>
      </c>
      <c r="AE184" s="116">
        <f>IFERROR(INDEX('DRAFT 1'!$Z:$Z,MATCH($B184,'DRAFT 1'!$B:$B,0)),"")</f>
        <v/>
      </c>
      <c r="AF184" s="116">
        <f>IFERROR(INDEX('DRAFT 1'!$AA:$AA,MATCH($B184,'DRAFT 1'!$B:$B,0)),"")</f>
        <v/>
      </c>
      <c r="AG184" s="116">
        <f>IFERROR(INDEX('DRAFT 1'!$AB:$AB,MATCH($B184,'DRAFT 1'!$B:$B,0)),"")</f>
        <v/>
      </c>
      <c r="AH184" s="116">
        <f>IFERROR(INDEX('DRAFT 1'!$AC:$AC,MATCH($B184,'DRAFT 1'!$B:$B,0)),"")</f>
        <v/>
      </c>
      <c r="AI184" s="116">
        <f>IFERROR(INDEX('DRAFT 1'!$AD:$AD,MATCH($B184,'DRAFT 1'!$B:$B,0)),"")</f>
        <v/>
      </c>
      <c r="AJ184" s="116">
        <f>IFERROR(INDEX('DRAFT 1'!$AE:$AE,MATCH($B184,'DRAFT 1'!$B:$B,0)),"")</f>
        <v/>
      </c>
      <c r="AK184" s="116">
        <f>IFERROR(INDEX('DRAFT 1'!$AG:$AG,MATCH($B184,'DRAFT 1'!$B:$B,0)),"")</f>
        <v/>
      </c>
      <c r="AL184" s="116">
        <f>IFERROR(INDEX('DRAFT 1'!$AH:$AH,MATCH($B184,'DRAFT 1'!$B:$B,0)),"")</f>
        <v/>
      </c>
      <c r="AM184" s="116">
        <f>IFERROR(INDEX('DRAFT 1'!$AI:$AI,MATCH($B184,'DRAFT 1'!$B:$B,0)),"")</f>
        <v/>
      </c>
      <c r="AN184" s="116">
        <f>IFERROR(INDEX('DRAFT 1'!$AJ:$AJ,MATCH($B184,'DRAFT 1'!$B:$B,0)),"")</f>
        <v/>
      </c>
      <c r="AO184" s="116">
        <f>IFERROR(Y184/AN184,0)</f>
        <v/>
      </c>
      <c r="AP184" s="116">
        <f>IFERROR(INDEX('DRAFT 1'!$AK:$AK,MATCH($B184,'DRAFT 1'!$B:$B,0)),"")</f>
        <v/>
      </c>
      <c r="AR184" s="116">
        <f>IFERROR(LOOKUP(2,1/('DRAFT 2'!$D:$D=$B184),'DRAFT 2'!$I:$I),"")</f>
        <v/>
      </c>
      <c r="AS184" s="116">
        <f>IFERROR(LOOKUP(2,1/('DRAFT 2'!$D:$D=$B184),'DRAFT 2'!$T:$T),"")</f>
        <v/>
      </c>
      <c r="AT184" s="116">
        <f>IFERROR(LOOKUP(2,1/('DRAFT 2'!$D:$D=$B184),'DRAFT 2'!$A:$A),"")</f>
        <v/>
      </c>
      <c r="AU184" s="116">
        <f>IFERROR(LOOKUP(2,1/('DRAFT 2'!$D:$D=$B184),'DRAFT 2'!$R:$R),"")</f>
        <v/>
      </c>
      <c r="AV184" s="116">
        <f>IFERROR(LOOKUP(2,1/('DRAFT 2'!$D:$D=$B184),'DRAFT 2'!$S:$S),"")</f>
        <v/>
      </c>
      <c r="AX184" s="116">
        <f>IFERROR(LOOKUP(2,1/('DRAFT 2'!$D:$D=$B184),'DRAFT 2'!$M:$M),"")</f>
        <v/>
      </c>
      <c r="AY184" s="116">
        <f>IFERROR(LOOKUP(2,1/('DRAFT 2'!$D:$D=$B184),'DRAFT 2'!$K:$K),"")</f>
        <v/>
      </c>
      <c r="BG184" s="116">
        <f>IFERROR(LOOKUP(2,1/('DRAFT 2'!$D:$D=$B184),'DRAFT 2'!$U:$U),"")</f>
        <v/>
      </c>
      <c r="BH184" s="116">
        <f>IFERROR(LOOKUP(2,1/('DRAFT 2'!$D:$D=$B184),'DRAFT 2'!$V:$V),"")</f>
        <v/>
      </c>
      <c r="CE184" s="116">
        <f>IFERROR(AJ184,0)</f>
        <v/>
      </c>
      <c r="CF184" s="116">
        <f>IFERROR(LOOKUP(2,1/('DRAFT 2'!$D:$D=$B184)*('DRAFT 2'!$A:$A&gt;=DATE(2026,1,1))*('DRAFT 2'!$A:$A&lt;DATE(2026,IF(1=12,1+1,1+1),1)),'DRAFT 2'!$A:$A),"")</f>
        <v/>
      </c>
      <c r="CG184" s="116">
        <f>COUNTIFS('DRAFT 2'!$D:$D,$B184,'DRAFT 2'!$A:$A,"&gt;="&amp;DATE(2026,1,1),'DRAFT 2'!$A:$A,"&lt;="&amp;DATE(2026,1,7))</f>
        <v/>
      </c>
      <c r="CH184" s="116">
        <f>COUNTIFS('DRAFT 2'!$D:$D,$B184,'DRAFT 2'!$A:$A,"&gt;="&amp;DATE(2026,1,8),'DRAFT 2'!$A:$A,"&lt;="&amp;DATE(2026,1,14))</f>
        <v/>
      </c>
      <c r="CI184" s="116">
        <f>COUNTIFS('DRAFT 2'!$D:$D,$B184,'DRAFT 2'!$A:$A,"&gt;="&amp;DATE(2026,1,15),'DRAFT 2'!$A:$A,"&lt;="&amp;DATE(2026,1,21))</f>
        <v/>
      </c>
      <c r="CJ184" s="116">
        <f>COUNTIFS('DRAFT 2'!$D:$D,$B184,'DRAFT 2'!$A:$A,"&gt;="&amp;DATE(2026,1,22),'DRAFT 2'!$A:$A,"&lt;"&amp;DATE(2026,IF(1=12,1+1,1+1),1))</f>
        <v/>
      </c>
      <c r="CK184" s="116">
        <f>SUM(CG184:CJ184)</f>
        <v/>
      </c>
      <c r="CT184" s="116" t="n">
        <v>0</v>
      </c>
      <c r="CU184" s="116">
        <f>IFERROR(LOOKUP(2,1/('DRAFT 2'!$D:$D=$B184)*('DRAFT 2'!$A:$A&gt;=DATE(2026,2,1))*('DRAFT 2'!$A:$A&lt;DATE(2026,IF(2=12,2+1,2+1),1)),'DRAFT 2'!$A:$A),"")</f>
        <v/>
      </c>
      <c r="CV184" s="116">
        <f>COUNTIFS('DRAFT 2'!$D:$D,$B184,'DRAFT 2'!$A:$A,"&gt;="&amp;DATE(2026,2,1),'DRAFT 2'!$A:$A,"&lt;="&amp;DATE(2026,2,7))</f>
        <v/>
      </c>
      <c r="CW184" s="116">
        <f>COUNTIFS('DRAFT 2'!$D:$D,$B184,'DRAFT 2'!$A:$A,"&gt;="&amp;DATE(2026,2,8),'DRAFT 2'!$A:$A,"&lt;="&amp;DATE(2026,2,14))</f>
        <v/>
      </c>
      <c r="CX184" s="116">
        <f>COUNTIFS('DRAFT 2'!$D:$D,$B184,'DRAFT 2'!$A:$A,"&gt;="&amp;DATE(2026,2,15),'DRAFT 2'!$A:$A,"&lt;="&amp;DATE(2026,2,21))</f>
        <v/>
      </c>
      <c r="CY184" s="116">
        <f>COUNTIFS('DRAFT 2'!$D:$D,$B184,'DRAFT 2'!$A:$A,"&gt;="&amp;DATE(2026,2,22),'DRAFT 2'!$A:$A,"&lt;"&amp;DATE(2026,IF(2=12,2+1,2+1),1))</f>
        <v/>
      </c>
      <c r="CZ184" s="116">
        <f>SUM(CV184:CY184)</f>
        <v/>
      </c>
      <c r="DJ184" s="116">
        <f>IFERROR(LOOKUP(2,1/('DRAFT 2'!$D:$D=$B184)*('DRAFT 2'!$A:$A&gt;=DATE(2026,3,1))*('DRAFT 2'!$A:$A&lt;DATE(2026,IF(3=12,3+1,3+1),1)),'DRAFT 2'!$A:$A),"")</f>
        <v/>
      </c>
      <c r="DK184" s="116">
        <f>COUNTIFS('DRAFT 2'!$D:$D,$B184,'DRAFT 2'!$A:$A,"&gt;="&amp;DATE(2026,3,1),'DRAFT 2'!$A:$A,"&lt;="&amp;DATE(2026,3,7))</f>
        <v/>
      </c>
      <c r="DL184" s="116">
        <f>COUNTIFS('DRAFT 2'!$D:$D,$B184,'DRAFT 2'!$A:$A,"&gt;="&amp;DATE(2026,3,8),'DRAFT 2'!$A:$A,"&lt;="&amp;DATE(2026,3,14))</f>
        <v/>
      </c>
      <c r="DM184" s="116">
        <f>COUNTIFS('DRAFT 2'!$D:$D,$B184,'DRAFT 2'!$A:$A,"&gt;="&amp;DATE(2026,3,15),'DRAFT 2'!$A:$A,"&lt;="&amp;DATE(2026,3,21))</f>
        <v/>
      </c>
      <c r="DN184" s="116">
        <f>COUNTIFS('DRAFT 2'!$D:$D,$B184,'DRAFT 2'!$A:$A,"&gt;="&amp;DATE(2026,3,22),'DRAFT 2'!$A:$A,"&lt;"&amp;DATE(2026,IF(3=12,3+1,3+1),1))</f>
        <v/>
      </c>
      <c r="DO184" s="116">
        <f>SUM(DK184:DN184)</f>
        <v/>
      </c>
      <c r="DZ184" s="116">
        <f>IFERROR(LOOKUP(2,1/('DRAFT 2'!$D:$D=$B184)*('DRAFT 2'!$A:$A&gt;=DATE(2026,4,1))*('DRAFT 2'!$A:$A&lt;DATE(2026,IF(4=12,4+1,4+1),1)),'DRAFT 2'!$A:$A),"")</f>
        <v/>
      </c>
      <c r="EA184" s="116">
        <f>COUNTIFS('DRAFT 2'!$D:$D,$B184,'DRAFT 2'!$A:$A,"&gt;="&amp;DATE(2026,4,1),'DRAFT 2'!$A:$A,"&lt;="&amp;DATE(2026,4,7))</f>
        <v/>
      </c>
      <c r="EB184" s="116">
        <f>COUNTIFS('DRAFT 2'!$D:$D,$B184,'DRAFT 2'!$A:$A,"&gt;="&amp;DATE(2026,4,8),'DRAFT 2'!$A:$A,"&lt;="&amp;DATE(2026,4,14))</f>
        <v/>
      </c>
      <c r="EC184" s="116">
        <f>COUNTIFS('DRAFT 2'!$D:$D,$B184,'DRAFT 2'!$A:$A,"&gt;="&amp;DATE(2026,4,15),'DRAFT 2'!$A:$A,"&lt;="&amp;DATE(2026,4,21))</f>
        <v/>
      </c>
      <c r="ED184" s="116">
        <f>COUNTIFS('DRAFT 2'!$D:$D,$B184,'DRAFT 2'!$A:$A,"&gt;="&amp;DATE(2026,4,22),'DRAFT 2'!$A:$A,"&lt;"&amp;DATE(2026,IF(4=12,4+1,4+1),1))</f>
        <v/>
      </c>
      <c r="EE184" s="116">
        <f>SUM(EA184:ED184)</f>
        <v/>
      </c>
      <c r="EO184" s="116">
        <f>IFERROR(LOOKUP(2,1/('DRAFT 2'!$D:$D=$B184)*('DRAFT 2'!$A:$A&gt;=DATE(2026,5,1))*('DRAFT 2'!$A:$A&lt;DATE(2026,IF(5=12,5+1,5+1),1)),'DRAFT 2'!$A:$A),"")</f>
        <v/>
      </c>
      <c r="EP184" s="116">
        <f>COUNTIFS('DRAFT 2'!$D:$D,$B184,'DRAFT 2'!$A:$A,"&gt;="&amp;DATE(2026,5,1),'DRAFT 2'!$A:$A,"&lt;="&amp;DATE(2026,5,7))</f>
        <v/>
      </c>
      <c r="EQ184" s="116">
        <f>COUNTIFS('DRAFT 2'!$D:$D,$B184,'DRAFT 2'!$A:$A,"&gt;="&amp;DATE(2026,5,8),'DRAFT 2'!$A:$A,"&lt;="&amp;DATE(2026,5,14))</f>
        <v/>
      </c>
      <c r="ER184" s="116">
        <f>COUNTIFS('DRAFT 2'!$D:$D,$B184,'DRAFT 2'!$A:$A,"&gt;="&amp;DATE(2026,5,15),'DRAFT 2'!$A:$A,"&lt;="&amp;DATE(2026,5,21))</f>
        <v/>
      </c>
      <c r="ES184" s="116">
        <f>COUNTIFS('DRAFT 2'!$D:$D,$B184,'DRAFT 2'!$A:$A,"&gt;="&amp;DATE(2026,5,22),'DRAFT 2'!$A:$A,"&lt;"&amp;DATE(2026,IF(5=12,5+1,5+1),1))</f>
        <v/>
      </c>
      <c r="ET184" s="116">
        <f>SUM(EP184:ES184)</f>
        <v/>
      </c>
      <c r="FD184" s="116">
        <f>IFERROR(LOOKUP(2,1/('DRAFT 2'!$D:$D=$B184)*('DRAFT 2'!$A:$A&gt;=DATE(2026,6,1))*('DRAFT 2'!$A:$A&lt;DATE(2026,IF(6=12,6+1,6+1),1)),'DRAFT 2'!$A:$A),"")</f>
        <v/>
      </c>
      <c r="FE184" s="116">
        <f>COUNTIFS('DRAFT 2'!$D:$D,$B184,'DRAFT 2'!$A:$A,"&gt;="&amp;DATE(2026,6,1),'DRAFT 2'!$A:$A,"&lt;="&amp;DATE(2026,6,7))</f>
        <v/>
      </c>
      <c r="FF184" s="116">
        <f>COUNTIFS('DRAFT 2'!$D:$D,$B184,'DRAFT 2'!$A:$A,"&gt;="&amp;DATE(2026,6,8),'DRAFT 2'!$A:$A,"&lt;="&amp;DATE(2026,6,14))</f>
        <v/>
      </c>
      <c r="FG184" s="116">
        <f>COUNTIFS('DRAFT 2'!$D:$D,$B184,'DRAFT 2'!$A:$A,"&gt;="&amp;DATE(2026,6,15),'DRAFT 2'!$A:$A,"&lt;="&amp;DATE(2026,6,21))</f>
        <v/>
      </c>
      <c r="FH184" s="116">
        <f>COUNTIFS('DRAFT 2'!$D:$D,$B184,'DRAFT 2'!$A:$A,"&gt;="&amp;DATE(2026,6,22),'DRAFT 2'!$A:$A,"&lt;"&amp;DATE(2026,IF(6=12,6+1,6+1),1))</f>
        <v/>
      </c>
      <c r="FI184" s="116">
        <f>SUM(FE184:FH184)</f>
        <v/>
      </c>
      <c r="FT184" s="116">
        <f>IFERROR(LOOKUP(2,1/('DRAFT 2'!$D:$D=$B184)*('DRAFT 2'!$A:$A&gt;=DATE(2026,7,1))*('DRAFT 2'!$A:$A&lt;DATE(2026,IF(7=12,7+1,7+1),1)),'DRAFT 2'!$A:$A),"")</f>
        <v/>
      </c>
      <c r="FU184" s="116">
        <f>COUNTIFS('DRAFT 2'!$D:$D,$B184,'DRAFT 2'!$A:$A,"&gt;="&amp;DATE(2026,7,1),'DRAFT 2'!$A:$A,"&lt;="&amp;DATE(2026,7,7))</f>
        <v/>
      </c>
      <c r="FV184" s="116">
        <f>COUNTIFS('DRAFT 2'!$D:$D,$B184,'DRAFT 2'!$A:$A,"&gt;="&amp;DATE(2026,7,8),'DRAFT 2'!$A:$A,"&lt;="&amp;DATE(2026,7,14))</f>
        <v/>
      </c>
      <c r="FW184" s="116">
        <f>COUNTIFS('DRAFT 2'!$D:$D,$B184,'DRAFT 2'!$A:$A,"&gt;="&amp;DATE(2026,7,15),'DRAFT 2'!$A:$A,"&lt;="&amp;DATE(2026,7,21))</f>
        <v/>
      </c>
      <c r="FX184" s="116">
        <f>COUNTIFS('DRAFT 2'!$D:$D,$B184,'DRAFT 2'!$A:$A,"&gt;="&amp;DATE(2026,7,22),'DRAFT 2'!$A:$A,"&lt;"&amp;DATE(2026,IF(7=12,7+1,7+1),1))</f>
        <v/>
      </c>
      <c r="FY184" s="116">
        <f>SUM(FU184:FX184)</f>
        <v/>
      </c>
      <c r="GI184" s="116">
        <f>IFERROR(LOOKUP(2,1/('DRAFT 2'!$D:$D=$B184)*('DRAFT 2'!$A:$A&gt;=DATE(2026,8,1))*('DRAFT 2'!$A:$A&lt;DATE(2026,IF(8=12,8+1,8+1),1)),'DRAFT 2'!$A:$A),"")</f>
        <v/>
      </c>
      <c r="GJ184" s="116">
        <f>COUNTIFS('DRAFT 2'!$D:$D,$B184,'DRAFT 2'!$A:$A,"&gt;="&amp;DATE(2026,8,1),'DRAFT 2'!$A:$A,"&lt;="&amp;DATE(2026,8,7))</f>
        <v/>
      </c>
      <c r="GK184" s="116">
        <f>COUNTIFS('DRAFT 2'!$D:$D,$B184,'DRAFT 2'!$A:$A,"&gt;="&amp;DATE(2026,8,8),'DRAFT 2'!$A:$A,"&lt;="&amp;DATE(2026,8,14))</f>
        <v/>
      </c>
      <c r="GL184" s="116">
        <f>COUNTIFS('DRAFT 2'!$D:$D,$B184,'DRAFT 2'!$A:$A,"&gt;="&amp;DATE(2026,8,15),'DRAFT 2'!$A:$A,"&lt;="&amp;DATE(2026,8,21))</f>
        <v/>
      </c>
      <c r="GM184" s="116">
        <f>COUNTIFS('DRAFT 2'!$D:$D,$B184,'DRAFT 2'!$A:$A,"&gt;="&amp;DATE(2026,8,22),'DRAFT 2'!$A:$A,"&lt;"&amp;DATE(2026,IF(8=12,8+1,8+1),1))</f>
        <v/>
      </c>
      <c r="GN184" s="116">
        <f>SUM(GJ184:GM184)</f>
        <v/>
      </c>
      <c r="GX184" s="116">
        <f>IFERROR(LOOKUP(2,1/('DRAFT 2'!$D:$D=$B184)*('DRAFT 2'!$A:$A&gt;=DATE(2026,9,1))*('DRAFT 2'!$A:$A&lt;DATE(2026,IF(9=12,9+1,9+1),1)),'DRAFT 2'!$A:$A),"")</f>
        <v/>
      </c>
      <c r="GY184" s="116">
        <f>COUNTIFS('DRAFT 2'!$D:$D,$B184,'DRAFT 2'!$A:$A,"&gt;="&amp;DATE(2026,9,1),'DRAFT 2'!$A:$A,"&lt;="&amp;DATE(2026,9,7))</f>
        <v/>
      </c>
      <c r="GZ184" s="116">
        <f>COUNTIFS('DRAFT 2'!$D:$D,$B184,'DRAFT 2'!$A:$A,"&gt;="&amp;DATE(2026,9,8),'DRAFT 2'!$A:$A,"&lt;="&amp;DATE(2026,9,14))</f>
        <v/>
      </c>
      <c r="HA184" s="116">
        <f>COUNTIFS('DRAFT 2'!$D:$D,$B184,'DRAFT 2'!$A:$A,"&gt;="&amp;DATE(2026,9,15),'DRAFT 2'!$A:$A,"&lt;="&amp;DATE(2026,9,21))</f>
        <v/>
      </c>
      <c r="HB184" s="116">
        <f>COUNTIFS('DRAFT 2'!$D:$D,$B184,'DRAFT 2'!$A:$A,"&gt;="&amp;DATE(2026,9,22),'DRAFT 2'!$A:$A,"&lt;"&amp;DATE(2026,IF(9=12,9+1,9+1),1))</f>
        <v/>
      </c>
      <c r="HC184" s="116">
        <f>SUM(GY184:HB184)</f>
        <v/>
      </c>
      <c r="HN184" s="116">
        <f>IFERROR(LOOKUP(2,1/('DRAFT 2'!$D:$D=$B184)*('DRAFT 2'!$A:$A&gt;=DATE(2026,10,1))*('DRAFT 2'!$A:$A&lt;DATE(2026,IF(10=12,10+1,10+1),1)),'DRAFT 2'!$A:$A),"")</f>
        <v/>
      </c>
      <c r="HO184" s="116">
        <f>COUNTIFS('DRAFT 2'!$D:$D,$B184,'DRAFT 2'!$A:$A,"&gt;="&amp;DATE(2026,10,1),'DRAFT 2'!$A:$A,"&lt;="&amp;DATE(2026,10,7))</f>
        <v/>
      </c>
      <c r="HP184" s="116">
        <f>COUNTIFS('DRAFT 2'!$D:$D,$B184,'DRAFT 2'!$A:$A,"&gt;="&amp;DATE(2026,10,8),'DRAFT 2'!$A:$A,"&lt;="&amp;DATE(2026,10,14))</f>
        <v/>
      </c>
      <c r="HQ184" s="116">
        <f>COUNTIFS('DRAFT 2'!$D:$D,$B184,'DRAFT 2'!$A:$A,"&gt;="&amp;DATE(2026,10,15),'DRAFT 2'!$A:$A,"&lt;="&amp;DATE(2026,10,21))</f>
        <v/>
      </c>
      <c r="HR184" s="116">
        <f>COUNTIFS('DRAFT 2'!$D:$D,$B184,'DRAFT 2'!$A:$A,"&gt;="&amp;DATE(2026,10,22),'DRAFT 2'!$A:$A,"&lt;"&amp;DATE(2026,IF(10=12,10+1,10+1),1))</f>
        <v/>
      </c>
      <c r="HS184" s="116">
        <f>SUM(HO184:HR184)</f>
        <v/>
      </c>
      <c r="IC184" s="116">
        <f>IFERROR(LOOKUP(2,1/('DRAFT 2'!$D:$D=$B184)*('DRAFT 2'!$A:$A&gt;=DATE(2026,11,1))*('DRAFT 2'!$A:$A&lt;DATE(2026,IF(11=12,11+1,11+1),1)),'DRAFT 2'!$A:$A),"")</f>
        <v/>
      </c>
      <c r="ID184" s="116">
        <f>COUNTIFS('DRAFT 2'!$D:$D,$B184,'DRAFT 2'!$A:$A,"&gt;="&amp;DATE(2026,11,1),'DRAFT 2'!$A:$A,"&lt;="&amp;DATE(2026,11,7))</f>
        <v/>
      </c>
      <c r="IE184" s="116">
        <f>COUNTIFS('DRAFT 2'!$D:$D,$B184,'DRAFT 2'!$A:$A,"&gt;="&amp;DATE(2026,11,8),'DRAFT 2'!$A:$A,"&lt;="&amp;DATE(2026,11,14))</f>
        <v/>
      </c>
      <c r="IF184" s="116">
        <f>COUNTIFS('DRAFT 2'!$D:$D,$B184,'DRAFT 2'!$A:$A,"&gt;="&amp;DATE(2026,11,15),'DRAFT 2'!$A:$A,"&lt;="&amp;DATE(2026,11,21))</f>
        <v/>
      </c>
      <c r="IG184" s="116">
        <f>COUNTIFS('DRAFT 2'!$D:$D,$B184,'DRAFT 2'!$A:$A,"&gt;="&amp;DATE(2026,11,22),'DRAFT 2'!$A:$A,"&lt;"&amp;DATE(2026,IF(11=12,11+1,11+1),1))</f>
        <v/>
      </c>
      <c r="IH184" s="116">
        <f>SUM(ID184:IG184)</f>
        <v/>
      </c>
      <c r="IR184" s="116">
        <f>IFERROR(LOOKUP(2,1/('DRAFT 2'!$D:$D=$B184)*('DRAFT 2'!$A:$A&gt;=DATE(2026,12,1))*('DRAFT 2'!$A:$A&lt;DATE(2026,IF(12=12,12+1,12+1),1)),'DRAFT 2'!$A:$A),"")</f>
        <v/>
      </c>
      <c r="IS184" s="116">
        <f>COUNTIFS('DRAFT 2'!$D:$D,$B184,'DRAFT 2'!$A:$A,"&gt;="&amp;DATE(2026,12,1),'DRAFT 2'!$A:$A,"&lt;="&amp;DATE(2026,12,7))</f>
        <v/>
      </c>
      <c r="IT184" s="116">
        <f>COUNTIFS('DRAFT 2'!$D:$D,$B184,'DRAFT 2'!$A:$A,"&gt;="&amp;DATE(2026,12,8),'DRAFT 2'!$A:$A,"&lt;="&amp;DATE(2026,12,14))</f>
        <v/>
      </c>
      <c r="IU184" s="116">
        <f>COUNTIFS('DRAFT 2'!$D:$D,$B184,'DRAFT 2'!$A:$A,"&gt;="&amp;DATE(2026,12,15),'DRAFT 2'!$A:$A,"&lt;="&amp;DATE(2026,12,21))</f>
        <v/>
      </c>
      <c r="IV184" s="116">
        <f>COUNTIFS('DRAFT 2'!$D:$D,$B184,'DRAFT 2'!$A:$A,"&gt;="&amp;DATE(2026,12,22),'DRAFT 2'!$A:$A,"&lt;"&amp;DATE(2026,IF(12=12,12+1,12+1),1))</f>
        <v/>
      </c>
      <c r="IW184" s="116">
        <f>SUM(IS184:IV184)</f>
        <v/>
      </c>
    </row>
    <row r="185">
      <c r="A185" s="116">
        <f>IFERROR(INDEX('DRAFT 1'!$A:$A,MATCH($B185,'DRAFT 1'!$B:$B,0)),"")</f>
        <v/>
      </c>
      <c r="C185" s="116">
        <f>IFERROR(INDEX('DRAFT 1'!$C:$C,MATCH($B185,'DRAFT 1'!$B:$B,0)),"")</f>
        <v/>
      </c>
      <c r="D185" s="116">
        <f>IFERROR(INDEX('DRAFT 1'!$D:$D,MATCH($B185,'DRAFT 1'!$B:$B,0)),"")</f>
        <v/>
      </c>
      <c r="E185" s="116">
        <f>IFERROR(INDEX('DRAFT 1'!$E:$E,MATCH($B185,'DRAFT 1'!$B:$B,0)),"")</f>
        <v/>
      </c>
      <c r="F185" s="116">
        <f>IFERROR(INDEX('DRAFT 1'!$F:$F,MATCH($B185,'DRAFT 1'!$B:$B,0)),"")</f>
        <v/>
      </c>
      <c r="G185" s="116">
        <f>IFERROR(INDEX('DRAFT 1'!$G:$G,MATCH($B185,'DRAFT 1'!$B:$B,0)),"")</f>
        <v/>
      </c>
      <c r="H185" s="116">
        <f>IFERROR(INDEX('DRAFT 1'!$H:$H,MATCH($B185,'DRAFT 1'!$B:$B,0)),"")</f>
        <v/>
      </c>
      <c r="I185" s="116">
        <f>IFERROR(INDEX('DRAFT 1'!$I:$I,MATCH($B185,'DRAFT 1'!$B:$B,0)),"")</f>
        <v/>
      </c>
      <c r="K185" s="116">
        <f>IFERROR(INDEX('DRAFT 1'!$AL:$AL,MATCH($B185,'DRAFT 1'!$B:$B,0)),"")</f>
        <v/>
      </c>
      <c r="L185" s="116">
        <f>IFERROR(INDEX('DRAFT 1'!$J:$J,MATCH($B185,'DRAFT 1'!$B:$B,0)),"")</f>
        <v/>
      </c>
      <c r="M185" s="116">
        <f>IFERROR(INDEX('DRAFT 1'!$K:$K,MATCH($B185,'DRAFT 1'!$B:$B,0)),"")</f>
        <v/>
      </c>
      <c r="P185" s="116">
        <f>IFERROR(INDEX('DRAFT 1'!$L:$L,MATCH($B185,'DRAFT 1'!$B:$B,0)),"")</f>
        <v/>
      </c>
      <c r="Q185" s="116">
        <f>IFERROR(INDEX('DRAFT 1'!$M:$M,MATCH($B185,'DRAFT 1'!$B:$B,0)),"")</f>
        <v/>
      </c>
      <c r="R185" s="116">
        <f>IFERROR(INDEX('DRAFT 1'!$N:$N,MATCH($B185,'DRAFT 1'!$B:$B,0)),"")</f>
        <v/>
      </c>
      <c r="S185" s="116">
        <f>IFERROR(INDEX('DRAFT 1'!$O:$O,MATCH($B185,'DRAFT 1'!$B:$B,0)),"")</f>
        <v/>
      </c>
      <c r="T185" s="116">
        <f>IFERROR(INDEX('DRAFT 1'!$P:$P,MATCH($B185,'DRAFT 1'!$B:$B,0)),"")</f>
        <v/>
      </c>
      <c r="U185" s="116">
        <f>IFERROR(INDEX('DRAFT 1'!$Q:$Q,MATCH($B185,'DRAFT 1'!$B:$B,0)),"")</f>
        <v/>
      </c>
      <c r="V185" s="116">
        <f>IFERROR(INDEX('DRAFT 1'!$R:$R,MATCH($B185,'DRAFT 1'!$B:$B,0)),"")</f>
        <v/>
      </c>
      <c r="W185" s="116">
        <f>IFERROR(INDEX('DRAFT 1'!$S:$S,MATCH($B185,'DRAFT 1'!$B:$B,0)),"")</f>
        <v/>
      </c>
      <c r="X185" s="116">
        <f>IFERROR(INDEX('DRAFT 1'!$T:$T,MATCH($B185,'DRAFT 1'!$B:$B,0)),"")</f>
        <v/>
      </c>
      <c r="Z185" s="116">
        <f>IFERROR(INDEX('DRAFT 1'!$U:$U,MATCH($B185,'DRAFT 1'!$B:$B,0)),"")</f>
        <v/>
      </c>
      <c r="AA185" s="116">
        <f>IFERROR(INDEX('DRAFT 1'!$V:$V,MATCH($B185,'DRAFT 1'!$B:$B,0)),"")</f>
        <v/>
      </c>
      <c r="AB185" s="116">
        <f>IFERROR(INDEX('DRAFT 1'!$W:$W,MATCH($B185,'DRAFT 1'!$B:$B,0)),"")</f>
        <v/>
      </c>
      <c r="AC185" s="116">
        <f>IFERROR(INDEX('DRAFT 1'!$X:$X,MATCH($B185,'DRAFT 1'!$B:$B,0)),"")</f>
        <v/>
      </c>
      <c r="AD185" s="116">
        <f>IFERROR(INDEX('DRAFT 1'!$Y:$Y,MATCH($B185,'DRAFT 1'!$B:$B,0)),"")</f>
        <v/>
      </c>
      <c r="AE185" s="116">
        <f>IFERROR(INDEX('DRAFT 1'!$Z:$Z,MATCH($B185,'DRAFT 1'!$B:$B,0)),"")</f>
        <v/>
      </c>
      <c r="AF185" s="116">
        <f>IFERROR(INDEX('DRAFT 1'!$AA:$AA,MATCH($B185,'DRAFT 1'!$B:$B,0)),"")</f>
        <v/>
      </c>
      <c r="AG185" s="116">
        <f>IFERROR(INDEX('DRAFT 1'!$AB:$AB,MATCH($B185,'DRAFT 1'!$B:$B,0)),"")</f>
        <v/>
      </c>
      <c r="AH185" s="116">
        <f>IFERROR(INDEX('DRAFT 1'!$AC:$AC,MATCH($B185,'DRAFT 1'!$B:$B,0)),"")</f>
        <v/>
      </c>
      <c r="AI185" s="116">
        <f>IFERROR(INDEX('DRAFT 1'!$AD:$AD,MATCH($B185,'DRAFT 1'!$B:$B,0)),"")</f>
        <v/>
      </c>
      <c r="AJ185" s="116">
        <f>IFERROR(INDEX('DRAFT 1'!$AE:$AE,MATCH($B185,'DRAFT 1'!$B:$B,0)),"")</f>
        <v/>
      </c>
      <c r="AK185" s="116">
        <f>IFERROR(INDEX('DRAFT 1'!$AG:$AG,MATCH($B185,'DRAFT 1'!$B:$B,0)),"")</f>
        <v/>
      </c>
      <c r="AL185" s="116">
        <f>IFERROR(INDEX('DRAFT 1'!$AH:$AH,MATCH($B185,'DRAFT 1'!$B:$B,0)),"")</f>
        <v/>
      </c>
      <c r="AM185" s="116">
        <f>IFERROR(INDEX('DRAFT 1'!$AI:$AI,MATCH($B185,'DRAFT 1'!$B:$B,0)),"")</f>
        <v/>
      </c>
      <c r="AN185" s="116">
        <f>IFERROR(INDEX('DRAFT 1'!$AJ:$AJ,MATCH($B185,'DRAFT 1'!$B:$B,0)),"")</f>
        <v/>
      </c>
      <c r="AO185" s="116">
        <f>IFERROR(Y185/AN185,0)</f>
        <v/>
      </c>
      <c r="AP185" s="116">
        <f>IFERROR(INDEX('DRAFT 1'!$AK:$AK,MATCH($B185,'DRAFT 1'!$B:$B,0)),"")</f>
        <v/>
      </c>
      <c r="AR185" s="116">
        <f>IFERROR(LOOKUP(2,1/('DRAFT 2'!$D:$D=$B185),'DRAFT 2'!$I:$I),"")</f>
        <v/>
      </c>
      <c r="AS185" s="116">
        <f>IFERROR(LOOKUP(2,1/('DRAFT 2'!$D:$D=$B185),'DRAFT 2'!$T:$T),"")</f>
        <v/>
      </c>
      <c r="AT185" s="116">
        <f>IFERROR(LOOKUP(2,1/('DRAFT 2'!$D:$D=$B185),'DRAFT 2'!$A:$A),"")</f>
        <v/>
      </c>
      <c r="AU185" s="116">
        <f>IFERROR(LOOKUP(2,1/('DRAFT 2'!$D:$D=$B185),'DRAFT 2'!$R:$R),"")</f>
        <v/>
      </c>
      <c r="AV185" s="116">
        <f>IFERROR(LOOKUP(2,1/('DRAFT 2'!$D:$D=$B185),'DRAFT 2'!$S:$S),"")</f>
        <v/>
      </c>
      <c r="AX185" s="116">
        <f>IFERROR(LOOKUP(2,1/('DRAFT 2'!$D:$D=$B185),'DRAFT 2'!$M:$M),"")</f>
        <v/>
      </c>
      <c r="AY185" s="116">
        <f>IFERROR(LOOKUP(2,1/('DRAFT 2'!$D:$D=$B185),'DRAFT 2'!$K:$K),"")</f>
        <v/>
      </c>
      <c r="BG185" s="116">
        <f>IFERROR(LOOKUP(2,1/('DRAFT 2'!$D:$D=$B185),'DRAFT 2'!$U:$U),"")</f>
        <v/>
      </c>
      <c r="BH185" s="116">
        <f>IFERROR(LOOKUP(2,1/('DRAFT 2'!$D:$D=$B185),'DRAFT 2'!$V:$V),"")</f>
        <v/>
      </c>
      <c r="CE185" s="116">
        <f>IFERROR(AJ185,0)</f>
        <v/>
      </c>
      <c r="CF185" s="116">
        <f>IFERROR(LOOKUP(2,1/('DRAFT 2'!$D:$D=$B185)*('DRAFT 2'!$A:$A&gt;=DATE(2026,1,1))*('DRAFT 2'!$A:$A&lt;DATE(2026,IF(1=12,1+1,1+1),1)),'DRAFT 2'!$A:$A),"")</f>
        <v/>
      </c>
      <c r="CG185" s="116">
        <f>COUNTIFS('DRAFT 2'!$D:$D,$B185,'DRAFT 2'!$A:$A,"&gt;="&amp;DATE(2026,1,1),'DRAFT 2'!$A:$A,"&lt;="&amp;DATE(2026,1,7))</f>
        <v/>
      </c>
      <c r="CH185" s="116">
        <f>COUNTIFS('DRAFT 2'!$D:$D,$B185,'DRAFT 2'!$A:$A,"&gt;="&amp;DATE(2026,1,8),'DRAFT 2'!$A:$A,"&lt;="&amp;DATE(2026,1,14))</f>
        <v/>
      </c>
      <c r="CI185" s="116">
        <f>COUNTIFS('DRAFT 2'!$D:$D,$B185,'DRAFT 2'!$A:$A,"&gt;="&amp;DATE(2026,1,15),'DRAFT 2'!$A:$A,"&lt;="&amp;DATE(2026,1,21))</f>
        <v/>
      </c>
      <c r="CJ185" s="116">
        <f>COUNTIFS('DRAFT 2'!$D:$D,$B185,'DRAFT 2'!$A:$A,"&gt;="&amp;DATE(2026,1,22),'DRAFT 2'!$A:$A,"&lt;"&amp;DATE(2026,IF(1=12,1+1,1+1),1))</f>
        <v/>
      </c>
      <c r="CK185" s="116">
        <f>SUM(CG185:CJ185)</f>
        <v/>
      </c>
      <c r="CT185" s="116" t="n">
        <v>0</v>
      </c>
      <c r="CU185" s="116">
        <f>IFERROR(LOOKUP(2,1/('DRAFT 2'!$D:$D=$B185)*('DRAFT 2'!$A:$A&gt;=DATE(2026,2,1))*('DRAFT 2'!$A:$A&lt;DATE(2026,IF(2=12,2+1,2+1),1)),'DRAFT 2'!$A:$A),"")</f>
        <v/>
      </c>
      <c r="CV185" s="116">
        <f>COUNTIFS('DRAFT 2'!$D:$D,$B185,'DRAFT 2'!$A:$A,"&gt;="&amp;DATE(2026,2,1),'DRAFT 2'!$A:$A,"&lt;="&amp;DATE(2026,2,7))</f>
        <v/>
      </c>
      <c r="CW185" s="116">
        <f>COUNTIFS('DRAFT 2'!$D:$D,$B185,'DRAFT 2'!$A:$A,"&gt;="&amp;DATE(2026,2,8),'DRAFT 2'!$A:$A,"&lt;="&amp;DATE(2026,2,14))</f>
        <v/>
      </c>
      <c r="CX185" s="116">
        <f>COUNTIFS('DRAFT 2'!$D:$D,$B185,'DRAFT 2'!$A:$A,"&gt;="&amp;DATE(2026,2,15),'DRAFT 2'!$A:$A,"&lt;="&amp;DATE(2026,2,21))</f>
        <v/>
      </c>
      <c r="CY185" s="116">
        <f>COUNTIFS('DRAFT 2'!$D:$D,$B185,'DRAFT 2'!$A:$A,"&gt;="&amp;DATE(2026,2,22),'DRAFT 2'!$A:$A,"&lt;"&amp;DATE(2026,IF(2=12,2+1,2+1),1))</f>
        <v/>
      </c>
      <c r="CZ185" s="116">
        <f>SUM(CV185:CY185)</f>
        <v/>
      </c>
      <c r="DJ185" s="116">
        <f>IFERROR(LOOKUP(2,1/('DRAFT 2'!$D:$D=$B185)*('DRAFT 2'!$A:$A&gt;=DATE(2026,3,1))*('DRAFT 2'!$A:$A&lt;DATE(2026,IF(3=12,3+1,3+1),1)),'DRAFT 2'!$A:$A),"")</f>
        <v/>
      </c>
      <c r="DK185" s="116">
        <f>COUNTIFS('DRAFT 2'!$D:$D,$B185,'DRAFT 2'!$A:$A,"&gt;="&amp;DATE(2026,3,1),'DRAFT 2'!$A:$A,"&lt;="&amp;DATE(2026,3,7))</f>
        <v/>
      </c>
      <c r="DL185" s="116">
        <f>COUNTIFS('DRAFT 2'!$D:$D,$B185,'DRAFT 2'!$A:$A,"&gt;="&amp;DATE(2026,3,8),'DRAFT 2'!$A:$A,"&lt;="&amp;DATE(2026,3,14))</f>
        <v/>
      </c>
      <c r="DM185" s="116">
        <f>COUNTIFS('DRAFT 2'!$D:$D,$B185,'DRAFT 2'!$A:$A,"&gt;="&amp;DATE(2026,3,15),'DRAFT 2'!$A:$A,"&lt;="&amp;DATE(2026,3,21))</f>
        <v/>
      </c>
      <c r="DN185" s="116">
        <f>COUNTIFS('DRAFT 2'!$D:$D,$B185,'DRAFT 2'!$A:$A,"&gt;="&amp;DATE(2026,3,22),'DRAFT 2'!$A:$A,"&lt;"&amp;DATE(2026,IF(3=12,3+1,3+1),1))</f>
        <v/>
      </c>
      <c r="DO185" s="116">
        <f>SUM(DK185:DN185)</f>
        <v/>
      </c>
      <c r="DZ185" s="116">
        <f>IFERROR(LOOKUP(2,1/('DRAFT 2'!$D:$D=$B185)*('DRAFT 2'!$A:$A&gt;=DATE(2026,4,1))*('DRAFT 2'!$A:$A&lt;DATE(2026,IF(4=12,4+1,4+1),1)),'DRAFT 2'!$A:$A),"")</f>
        <v/>
      </c>
      <c r="EA185" s="116">
        <f>COUNTIFS('DRAFT 2'!$D:$D,$B185,'DRAFT 2'!$A:$A,"&gt;="&amp;DATE(2026,4,1),'DRAFT 2'!$A:$A,"&lt;="&amp;DATE(2026,4,7))</f>
        <v/>
      </c>
      <c r="EB185" s="116">
        <f>COUNTIFS('DRAFT 2'!$D:$D,$B185,'DRAFT 2'!$A:$A,"&gt;="&amp;DATE(2026,4,8),'DRAFT 2'!$A:$A,"&lt;="&amp;DATE(2026,4,14))</f>
        <v/>
      </c>
      <c r="EC185" s="116">
        <f>COUNTIFS('DRAFT 2'!$D:$D,$B185,'DRAFT 2'!$A:$A,"&gt;="&amp;DATE(2026,4,15),'DRAFT 2'!$A:$A,"&lt;="&amp;DATE(2026,4,21))</f>
        <v/>
      </c>
      <c r="ED185" s="116">
        <f>COUNTIFS('DRAFT 2'!$D:$D,$B185,'DRAFT 2'!$A:$A,"&gt;="&amp;DATE(2026,4,22),'DRAFT 2'!$A:$A,"&lt;"&amp;DATE(2026,IF(4=12,4+1,4+1),1))</f>
        <v/>
      </c>
      <c r="EE185" s="116">
        <f>SUM(EA185:ED185)</f>
        <v/>
      </c>
      <c r="EO185" s="116">
        <f>IFERROR(LOOKUP(2,1/('DRAFT 2'!$D:$D=$B185)*('DRAFT 2'!$A:$A&gt;=DATE(2026,5,1))*('DRAFT 2'!$A:$A&lt;DATE(2026,IF(5=12,5+1,5+1),1)),'DRAFT 2'!$A:$A),"")</f>
        <v/>
      </c>
      <c r="EP185" s="116">
        <f>COUNTIFS('DRAFT 2'!$D:$D,$B185,'DRAFT 2'!$A:$A,"&gt;="&amp;DATE(2026,5,1),'DRAFT 2'!$A:$A,"&lt;="&amp;DATE(2026,5,7))</f>
        <v/>
      </c>
      <c r="EQ185" s="116">
        <f>COUNTIFS('DRAFT 2'!$D:$D,$B185,'DRAFT 2'!$A:$A,"&gt;="&amp;DATE(2026,5,8),'DRAFT 2'!$A:$A,"&lt;="&amp;DATE(2026,5,14))</f>
        <v/>
      </c>
      <c r="ER185" s="116">
        <f>COUNTIFS('DRAFT 2'!$D:$D,$B185,'DRAFT 2'!$A:$A,"&gt;="&amp;DATE(2026,5,15),'DRAFT 2'!$A:$A,"&lt;="&amp;DATE(2026,5,21))</f>
        <v/>
      </c>
      <c r="ES185" s="116">
        <f>COUNTIFS('DRAFT 2'!$D:$D,$B185,'DRAFT 2'!$A:$A,"&gt;="&amp;DATE(2026,5,22),'DRAFT 2'!$A:$A,"&lt;"&amp;DATE(2026,IF(5=12,5+1,5+1),1))</f>
        <v/>
      </c>
      <c r="ET185" s="116">
        <f>SUM(EP185:ES185)</f>
        <v/>
      </c>
      <c r="FD185" s="116">
        <f>IFERROR(LOOKUP(2,1/('DRAFT 2'!$D:$D=$B185)*('DRAFT 2'!$A:$A&gt;=DATE(2026,6,1))*('DRAFT 2'!$A:$A&lt;DATE(2026,IF(6=12,6+1,6+1),1)),'DRAFT 2'!$A:$A),"")</f>
        <v/>
      </c>
      <c r="FE185" s="116">
        <f>COUNTIFS('DRAFT 2'!$D:$D,$B185,'DRAFT 2'!$A:$A,"&gt;="&amp;DATE(2026,6,1),'DRAFT 2'!$A:$A,"&lt;="&amp;DATE(2026,6,7))</f>
        <v/>
      </c>
      <c r="FF185" s="116">
        <f>COUNTIFS('DRAFT 2'!$D:$D,$B185,'DRAFT 2'!$A:$A,"&gt;="&amp;DATE(2026,6,8),'DRAFT 2'!$A:$A,"&lt;="&amp;DATE(2026,6,14))</f>
        <v/>
      </c>
      <c r="FG185" s="116">
        <f>COUNTIFS('DRAFT 2'!$D:$D,$B185,'DRAFT 2'!$A:$A,"&gt;="&amp;DATE(2026,6,15),'DRAFT 2'!$A:$A,"&lt;="&amp;DATE(2026,6,21))</f>
        <v/>
      </c>
      <c r="FH185" s="116">
        <f>COUNTIFS('DRAFT 2'!$D:$D,$B185,'DRAFT 2'!$A:$A,"&gt;="&amp;DATE(2026,6,22),'DRAFT 2'!$A:$A,"&lt;"&amp;DATE(2026,IF(6=12,6+1,6+1),1))</f>
        <v/>
      </c>
      <c r="FI185" s="116">
        <f>SUM(FE185:FH185)</f>
        <v/>
      </c>
      <c r="FT185" s="116">
        <f>IFERROR(LOOKUP(2,1/('DRAFT 2'!$D:$D=$B185)*('DRAFT 2'!$A:$A&gt;=DATE(2026,7,1))*('DRAFT 2'!$A:$A&lt;DATE(2026,IF(7=12,7+1,7+1),1)),'DRAFT 2'!$A:$A),"")</f>
        <v/>
      </c>
      <c r="FU185" s="116">
        <f>COUNTIFS('DRAFT 2'!$D:$D,$B185,'DRAFT 2'!$A:$A,"&gt;="&amp;DATE(2026,7,1),'DRAFT 2'!$A:$A,"&lt;="&amp;DATE(2026,7,7))</f>
        <v/>
      </c>
      <c r="FV185" s="116">
        <f>COUNTIFS('DRAFT 2'!$D:$D,$B185,'DRAFT 2'!$A:$A,"&gt;="&amp;DATE(2026,7,8),'DRAFT 2'!$A:$A,"&lt;="&amp;DATE(2026,7,14))</f>
        <v/>
      </c>
      <c r="FW185" s="116">
        <f>COUNTIFS('DRAFT 2'!$D:$D,$B185,'DRAFT 2'!$A:$A,"&gt;="&amp;DATE(2026,7,15),'DRAFT 2'!$A:$A,"&lt;="&amp;DATE(2026,7,21))</f>
        <v/>
      </c>
      <c r="FX185" s="116">
        <f>COUNTIFS('DRAFT 2'!$D:$D,$B185,'DRAFT 2'!$A:$A,"&gt;="&amp;DATE(2026,7,22),'DRAFT 2'!$A:$A,"&lt;"&amp;DATE(2026,IF(7=12,7+1,7+1),1))</f>
        <v/>
      </c>
      <c r="FY185" s="116">
        <f>SUM(FU185:FX185)</f>
        <v/>
      </c>
      <c r="GI185" s="116">
        <f>IFERROR(LOOKUP(2,1/('DRAFT 2'!$D:$D=$B185)*('DRAFT 2'!$A:$A&gt;=DATE(2026,8,1))*('DRAFT 2'!$A:$A&lt;DATE(2026,IF(8=12,8+1,8+1),1)),'DRAFT 2'!$A:$A),"")</f>
        <v/>
      </c>
      <c r="GJ185" s="116">
        <f>COUNTIFS('DRAFT 2'!$D:$D,$B185,'DRAFT 2'!$A:$A,"&gt;="&amp;DATE(2026,8,1),'DRAFT 2'!$A:$A,"&lt;="&amp;DATE(2026,8,7))</f>
        <v/>
      </c>
      <c r="GK185" s="116">
        <f>COUNTIFS('DRAFT 2'!$D:$D,$B185,'DRAFT 2'!$A:$A,"&gt;="&amp;DATE(2026,8,8),'DRAFT 2'!$A:$A,"&lt;="&amp;DATE(2026,8,14))</f>
        <v/>
      </c>
      <c r="GL185" s="116">
        <f>COUNTIFS('DRAFT 2'!$D:$D,$B185,'DRAFT 2'!$A:$A,"&gt;="&amp;DATE(2026,8,15),'DRAFT 2'!$A:$A,"&lt;="&amp;DATE(2026,8,21))</f>
        <v/>
      </c>
      <c r="GM185" s="116">
        <f>COUNTIFS('DRAFT 2'!$D:$D,$B185,'DRAFT 2'!$A:$A,"&gt;="&amp;DATE(2026,8,22),'DRAFT 2'!$A:$A,"&lt;"&amp;DATE(2026,IF(8=12,8+1,8+1),1))</f>
        <v/>
      </c>
      <c r="GN185" s="116">
        <f>SUM(GJ185:GM185)</f>
        <v/>
      </c>
      <c r="GX185" s="116">
        <f>IFERROR(LOOKUP(2,1/('DRAFT 2'!$D:$D=$B185)*('DRAFT 2'!$A:$A&gt;=DATE(2026,9,1))*('DRAFT 2'!$A:$A&lt;DATE(2026,IF(9=12,9+1,9+1),1)),'DRAFT 2'!$A:$A),"")</f>
        <v/>
      </c>
      <c r="GY185" s="116">
        <f>COUNTIFS('DRAFT 2'!$D:$D,$B185,'DRAFT 2'!$A:$A,"&gt;="&amp;DATE(2026,9,1),'DRAFT 2'!$A:$A,"&lt;="&amp;DATE(2026,9,7))</f>
        <v/>
      </c>
      <c r="GZ185" s="116">
        <f>COUNTIFS('DRAFT 2'!$D:$D,$B185,'DRAFT 2'!$A:$A,"&gt;="&amp;DATE(2026,9,8),'DRAFT 2'!$A:$A,"&lt;="&amp;DATE(2026,9,14))</f>
        <v/>
      </c>
      <c r="HA185" s="116">
        <f>COUNTIFS('DRAFT 2'!$D:$D,$B185,'DRAFT 2'!$A:$A,"&gt;="&amp;DATE(2026,9,15),'DRAFT 2'!$A:$A,"&lt;="&amp;DATE(2026,9,21))</f>
        <v/>
      </c>
      <c r="HB185" s="116">
        <f>COUNTIFS('DRAFT 2'!$D:$D,$B185,'DRAFT 2'!$A:$A,"&gt;="&amp;DATE(2026,9,22),'DRAFT 2'!$A:$A,"&lt;"&amp;DATE(2026,IF(9=12,9+1,9+1),1))</f>
        <v/>
      </c>
      <c r="HC185" s="116">
        <f>SUM(GY185:HB185)</f>
        <v/>
      </c>
      <c r="HN185" s="116">
        <f>IFERROR(LOOKUP(2,1/('DRAFT 2'!$D:$D=$B185)*('DRAFT 2'!$A:$A&gt;=DATE(2026,10,1))*('DRAFT 2'!$A:$A&lt;DATE(2026,IF(10=12,10+1,10+1),1)),'DRAFT 2'!$A:$A),"")</f>
        <v/>
      </c>
      <c r="HO185" s="116">
        <f>COUNTIFS('DRAFT 2'!$D:$D,$B185,'DRAFT 2'!$A:$A,"&gt;="&amp;DATE(2026,10,1),'DRAFT 2'!$A:$A,"&lt;="&amp;DATE(2026,10,7))</f>
        <v/>
      </c>
      <c r="HP185" s="116">
        <f>COUNTIFS('DRAFT 2'!$D:$D,$B185,'DRAFT 2'!$A:$A,"&gt;="&amp;DATE(2026,10,8),'DRAFT 2'!$A:$A,"&lt;="&amp;DATE(2026,10,14))</f>
        <v/>
      </c>
      <c r="HQ185" s="116">
        <f>COUNTIFS('DRAFT 2'!$D:$D,$B185,'DRAFT 2'!$A:$A,"&gt;="&amp;DATE(2026,10,15),'DRAFT 2'!$A:$A,"&lt;="&amp;DATE(2026,10,21))</f>
        <v/>
      </c>
      <c r="HR185" s="116">
        <f>COUNTIFS('DRAFT 2'!$D:$D,$B185,'DRAFT 2'!$A:$A,"&gt;="&amp;DATE(2026,10,22),'DRAFT 2'!$A:$A,"&lt;"&amp;DATE(2026,IF(10=12,10+1,10+1),1))</f>
        <v/>
      </c>
      <c r="HS185" s="116">
        <f>SUM(HO185:HR185)</f>
        <v/>
      </c>
      <c r="IC185" s="116">
        <f>IFERROR(LOOKUP(2,1/('DRAFT 2'!$D:$D=$B185)*('DRAFT 2'!$A:$A&gt;=DATE(2026,11,1))*('DRAFT 2'!$A:$A&lt;DATE(2026,IF(11=12,11+1,11+1),1)),'DRAFT 2'!$A:$A),"")</f>
        <v/>
      </c>
      <c r="ID185" s="116">
        <f>COUNTIFS('DRAFT 2'!$D:$D,$B185,'DRAFT 2'!$A:$A,"&gt;="&amp;DATE(2026,11,1),'DRAFT 2'!$A:$A,"&lt;="&amp;DATE(2026,11,7))</f>
        <v/>
      </c>
      <c r="IE185" s="116">
        <f>COUNTIFS('DRAFT 2'!$D:$D,$B185,'DRAFT 2'!$A:$A,"&gt;="&amp;DATE(2026,11,8),'DRAFT 2'!$A:$A,"&lt;="&amp;DATE(2026,11,14))</f>
        <v/>
      </c>
      <c r="IF185" s="116">
        <f>COUNTIFS('DRAFT 2'!$D:$D,$B185,'DRAFT 2'!$A:$A,"&gt;="&amp;DATE(2026,11,15),'DRAFT 2'!$A:$A,"&lt;="&amp;DATE(2026,11,21))</f>
        <v/>
      </c>
      <c r="IG185" s="116">
        <f>COUNTIFS('DRAFT 2'!$D:$D,$B185,'DRAFT 2'!$A:$A,"&gt;="&amp;DATE(2026,11,22),'DRAFT 2'!$A:$A,"&lt;"&amp;DATE(2026,IF(11=12,11+1,11+1),1))</f>
        <v/>
      </c>
      <c r="IH185" s="116">
        <f>SUM(ID185:IG185)</f>
        <v/>
      </c>
      <c r="IR185" s="116">
        <f>IFERROR(LOOKUP(2,1/('DRAFT 2'!$D:$D=$B185)*('DRAFT 2'!$A:$A&gt;=DATE(2026,12,1))*('DRAFT 2'!$A:$A&lt;DATE(2026,IF(12=12,12+1,12+1),1)),'DRAFT 2'!$A:$A),"")</f>
        <v/>
      </c>
      <c r="IS185" s="116">
        <f>COUNTIFS('DRAFT 2'!$D:$D,$B185,'DRAFT 2'!$A:$A,"&gt;="&amp;DATE(2026,12,1),'DRAFT 2'!$A:$A,"&lt;="&amp;DATE(2026,12,7))</f>
        <v/>
      </c>
      <c r="IT185" s="116">
        <f>COUNTIFS('DRAFT 2'!$D:$D,$B185,'DRAFT 2'!$A:$A,"&gt;="&amp;DATE(2026,12,8),'DRAFT 2'!$A:$A,"&lt;="&amp;DATE(2026,12,14))</f>
        <v/>
      </c>
      <c r="IU185" s="116">
        <f>COUNTIFS('DRAFT 2'!$D:$D,$B185,'DRAFT 2'!$A:$A,"&gt;="&amp;DATE(2026,12,15),'DRAFT 2'!$A:$A,"&lt;="&amp;DATE(2026,12,21))</f>
        <v/>
      </c>
      <c r="IV185" s="116">
        <f>COUNTIFS('DRAFT 2'!$D:$D,$B185,'DRAFT 2'!$A:$A,"&gt;="&amp;DATE(2026,12,22),'DRAFT 2'!$A:$A,"&lt;"&amp;DATE(2026,IF(12=12,12+1,12+1),1))</f>
        <v/>
      </c>
      <c r="IW185" s="116">
        <f>SUM(IS185:IV185)</f>
        <v/>
      </c>
    </row>
    <row r="186">
      <c r="A186" s="116">
        <f>IFERROR(INDEX('DRAFT 1'!$A:$A,MATCH($B186,'DRAFT 1'!$B:$B,0)),"")</f>
        <v/>
      </c>
      <c r="C186" s="116">
        <f>IFERROR(INDEX('DRAFT 1'!$C:$C,MATCH($B186,'DRAFT 1'!$B:$B,0)),"")</f>
        <v/>
      </c>
      <c r="D186" s="116">
        <f>IFERROR(INDEX('DRAFT 1'!$D:$D,MATCH($B186,'DRAFT 1'!$B:$B,0)),"")</f>
        <v/>
      </c>
      <c r="E186" s="116">
        <f>IFERROR(INDEX('DRAFT 1'!$E:$E,MATCH($B186,'DRAFT 1'!$B:$B,0)),"")</f>
        <v/>
      </c>
      <c r="F186" s="116">
        <f>IFERROR(INDEX('DRAFT 1'!$F:$F,MATCH($B186,'DRAFT 1'!$B:$B,0)),"")</f>
        <v/>
      </c>
      <c r="G186" s="116">
        <f>IFERROR(INDEX('DRAFT 1'!$G:$G,MATCH($B186,'DRAFT 1'!$B:$B,0)),"")</f>
        <v/>
      </c>
      <c r="H186" s="116">
        <f>IFERROR(INDEX('DRAFT 1'!$H:$H,MATCH($B186,'DRAFT 1'!$B:$B,0)),"")</f>
        <v/>
      </c>
      <c r="I186" s="116">
        <f>IFERROR(INDEX('DRAFT 1'!$I:$I,MATCH($B186,'DRAFT 1'!$B:$B,0)),"")</f>
        <v/>
      </c>
      <c r="K186" s="116">
        <f>IFERROR(INDEX('DRAFT 1'!$AL:$AL,MATCH($B186,'DRAFT 1'!$B:$B,0)),"")</f>
        <v/>
      </c>
      <c r="L186" s="116">
        <f>IFERROR(INDEX('DRAFT 1'!$J:$J,MATCH($B186,'DRAFT 1'!$B:$B,0)),"")</f>
        <v/>
      </c>
      <c r="M186" s="116">
        <f>IFERROR(INDEX('DRAFT 1'!$K:$K,MATCH($B186,'DRAFT 1'!$B:$B,0)),"")</f>
        <v/>
      </c>
      <c r="P186" s="116">
        <f>IFERROR(INDEX('DRAFT 1'!$L:$L,MATCH($B186,'DRAFT 1'!$B:$B,0)),"")</f>
        <v/>
      </c>
      <c r="Q186" s="116">
        <f>IFERROR(INDEX('DRAFT 1'!$M:$M,MATCH($B186,'DRAFT 1'!$B:$B,0)),"")</f>
        <v/>
      </c>
      <c r="R186" s="116">
        <f>IFERROR(INDEX('DRAFT 1'!$N:$N,MATCH($B186,'DRAFT 1'!$B:$B,0)),"")</f>
        <v/>
      </c>
      <c r="S186" s="116">
        <f>IFERROR(INDEX('DRAFT 1'!$O:$O,MATCH($B186,'DRAFT 1'!$B:$B,0)),"")</f>
        <v/>
      </c>
      <c r="T186" s="116">
        <f>IFERROR(INDEX('DRAFT 1'!$P:$P,MATCH($B186,'DRAFT 1'!$B:$B,0)),"")</f>
        <v/>
      </c>
      <c r="U186" s="116">
        <f>IFERROR(INDEX('DRAFT 1'!$Q:$Q,MATCH($B186,'DRAFT 1'!$B:$B,0)),"")</f>
        <v/>
      </c>
      <c r="V186" s="116">
        <f>IFERROR(INDEX('DRAFT 1'!$R:$R,MATCH($B186,'DRAFT 1'!$B:$B,0)),"")</f>
        <v/>
      </c>
      <c r="W186" s="116">
        <f>IFERROR(INDEX('DRAFT 1'!$S:$S,MATCH($B186,'DRAFT 1'!$B:$B,0)),"")</f>
        <v/>
      </c>
      <c r="X186" s="116">
        <f>IFERROR(INDEX('DRAFT 1'!$T:$T,MATCH($B186,'DRAFT 1'!$B:$B,0)),"")</f>
        <v/>
      </c>
      <c r="Z186" s="116">
        <f>IFERROR(INDEX('DRAFT 1'!$U:$U,MATCH($B186,'DRAFT 1'!$B:$B,0)),"")</f>
        <v/>
      </c>
      <c r="AA186" s="116">
        <f>IFERROR(INDEX('DRAFT 1'!$V:$V,MATCH($B186,'DRAFT 1'!$B:$B,0)),"")</f>
        <v/>
      </c>
      <c r="AB186" s="116">
        <f>IFERROR(INDEX('DRAFT 1'!$W:$W,MATCH($B186,'DRAFT 1'!$B:$B,0)),"")</f>
        <v/>
      </c>
      <c r="AC186" s="116">
        <f>IFERROR(INDEX('DRAFT 1'!$X:$X,MATCH($B186,'DRAFT 1'!$B:$B,0)),"")</f>
        <v/>
      </c>
      <c r="AD186" s="116">
        <f>IFERROR(INDEX('DRAFT 1'!$Y:$Y,MATCH($B186,'DRAFT 1'!$B:$B,0)),"")</f>
        <v/>
      </c>
      <c r="AE186" s="116">
        <f>IFERROR(INDEX('DRAFT 1'!$Z:$Z,MATCH($B186,'DRAFT 1'!$B:$B,0)),"")</f>
        <v/>
      </c>
      <c r="AF186" s="116">
        <f>IFERROR(INDEX('DRAFT 1'!$AA:$AA,MATCH($B186,'DRAFT 1'!$B:$B,0)),"")</f>
        <v/>
      </c>
      <c r="AG186" s="116">
        <f>IFERROR(INDEX('DRAFT 1'!$AB:$AB,MATCH($B186,'DRAFT 1'!$B:$B,0)),"")</f>
        <v/>
      </c>
      <c r="AH186" s="116">
        <f>IFERROR(INDEX('DRAFT 1'!$AC:$AC,MATCH($B186,'DRAFT 1'!$B:$B,0)),"")</f>
        <v/>
      </c>
      <c r="AI186" s="116">
        <f>IFERROR(INDEX('DRAFT 1'!$AD:$AD,MATCH($B186,'DRAFT 1'!$B:$B,0)),"")</f>
        <v/>
      </c>
      <c r="AJ186" s="116">
        <f>IFERROR(INDEX('DRAFT 1'!$AE:$AE,MATCH($B186,'DRAFT 1'!$B:$B,0)),"")</f>
        <v/>
      </c>
      <c r="AK186" s="116">
        <f>IFERROR(INDEX('DRAFT 1'!$AG:$AG,MATCH($B186,'DRAFT 1'!$B:$B,0)),"")</f>
        <v/>
      </c>
      <c r="AL186" s="116">
        <f>IFERROR(INDEX('DRAFT 1'!$AH:$AH,MATCH($B186,'DRAFT 1'!$B:$B,0)),"")</f>
        <v/>
      </c>
      <c r="AM186" s="116">
        <f>IFERROR(INDEX('DRAFT 1'!$AI:$AI,MATCH($B186,'DRAFT 1'!$B:$B,0)),"")</f>
        <v/>
      </c>
      <c r="AN186" s="116">
        <f>IFERROR(INDEX('DRAFT 1'!$AJ:$AJ,MATCH($B186,'DRAFT 1'!$B:$B,0)),"")</f>
        <v/>
      </c>
      <c r="AO186" s="116">
        <f>IFERROR(Y186/AN186,0)</f>
        <v/>
      </c>
      <c r="AP186" s="116">
        <f>IFERROR(INDEX('DRAFT 1'!$AK:$AK,MATCH($B186,'DRAFT 1'!$B:$B,0)),"")</f>
        <v/>
      </c>
      <c r="AR186" s="116">
        <f>IFERROR(LOOKUP(2,1/('DRAFT 2'!$D:$D=$B186),'DRAFT 2'!$I:$I),"")</f>
        <v/>
      </c>
      <c r="AS186" s="116">
        <f>IFERROR(LOOKUP(2,1/('DRAFT 2'!$D:$D=$B186),'DRAFT 2'!$T:$T),"")</f>
        <v/>
      </c>
      <c r="AT186" s="116">
        <f>IFERROR(LOOKUP(2,1/('DRAFT 2'!$D:$D=$B186),'DRAFT 2'!$A:$A),"")</f>
        <v/>
      </c>
      <c r="AU186" s="116">
        <f>IFERROR(LOOKUP(2,1/('DRAFT 2'!$D:$D=$B186),'DRAFT 2'!$R:$R),"")</f>
        <v/>
      </c>
      <c r="AV186" s="116">
        <f>IFERROR(LOOKUP(2,1/('DRAFT 2'!$D:$D=$B186),'DRAFT 2'!$S:$S),"")</f>
        <v/>
      </c>
      <c r="AX186" s="116">
        <f>IFERROR(LOOKUP(2,1/('DRAFT 2'!$D:$D=$B186),'DRAFT 2'!$M:$M),"")</f>
        <v/>
      </c>
      <c r="AY186" s="116">
        <f>IFERROR(LOOKUP(2,1/('DRAFT 2'!$D:$D=$B186),'DRAFT 2'!$K:$K),"")</f>
        <v/>
      </c>
      <c r="BG186" s="116">
        <f>IFERROR(LOOKUP(2,1/('DRAFT 2'!$D:$D=$B186),'DRAFT 2'!$U:$U),"")</f>
        <v/>
      </c>
      <c r="BH186" s="116">
        <f>IFERROR(LOOKUP(2,1/('DRAFT 2'!$D:$D=$B186),'DRAFT 2'!$V:$V),"")</f>
        <v/>
      </c>
      <c r="CE186" s="116">
        <f>IFERROR(AJ186,0)</f>
        <v/>
      </c>
      <c r="CF186" s="116">
        <f>IFERROR(LOOKUP(2,1/('DRAFT 2'!$D:$D=$B186)*('DRAFT 2'!$A:$A&gt;=DATE(2026,1,1))*('DRAFT 2'!$A:$A&lt;DATE(2026,IF(1=12,1+1,1+1),1)),'DRAFT 2'!$A:$A),"")</f>
        <v/>
      </c>
      <c r="CG186" s="116">
        <f>COUNTIFS('DRAFT 2'!$D:$D,$B186,'DRAFT 2'!$A:$A,"&gt;="&amp;DATE(2026,1,1),'DRAFT 2'!$A:$A,"&lt;="&amp;DATE(2026,1,7))</f>
        <v/>
      </c>
      <c r="CH186" s="116">
        <f>COUNTIFS('DRAFT 2'!$D:$D,$B186,'DRAFT 2'!$A:$A,"&gt;="&amp;DATE(2026,1,8),'DRAFT 2'!$A:$A,"&lt;="&amp;DATE(2026,1,14))</f>
        <v/>
      </c>
      <c r="CI186" s="116">
        <f>COUNTIFS('DRAFT 2'!$D:$D,$B186,'DRAFT 2'!$A:$A,"&gt;="&amp;DATE(2026,1,15),'DRAFT 2'!$A:$A,"&lt;="&amp;DATE(2026,1,21))</f>
        <v/>
      </c>
      <c r="CJ186" s="116">
        <f>COUNTIFS('DRAFT 2'!$D:$D,$B186,'DRAFT 2'!$A:$A,"&gt;="&amp;DATE(2026,1,22),'DRAFT 2'!$A:$A,"&lt;"&amp;DATE(2026,IF(1=12,1+1,1+1),1))</f>
        <v/>
      </c>
      <c r="CK186" s="116">
        <f>SUM(CG186:CJ186)</f>
        <v/>
      </c>
      <c r="CT186" s="116" t="n">
        <v>0</v>
      </c>
      <c r="CU186" s="116">
        <f>IFERROR(LOOKUP(2,1/('DRAFT 2'!$D:$D=$B186)*('DRAFT 2'!$A:$A&gt;=DATE(2026,2,1))*('DRAFT 2'!$A:$A&lt;DATE(2026,IF(2=12,2+1,2+1),1)),'DRAFT 2'!$A:$A),"")</f>
        <v/>
      </c>
      <c r="CV186" s="116">
        <f>COUNTIFS('DRAFT 2'!$D:$D,$B186,'DRAFT 2'!$A:$A,"&gt;="&amp;DATE(2026,2,1),'DRAFT 2'!$A:$A,"&lt;="&amp;DATE(2026,2,7))</f>
        <v/>
      </c>
      <c r="CW186" s="116">
        <f>COUNTIFS('DRAFT 2'!$D:$D,$B186,'DRAFT 2'!$A:$A,"&gt;="&amp;DATE(2026,2,8),'DRAFT 2'!$A:$A,"&lt;="&amp;DATE(2026,2,14))</f>
        <v/>
      </c>
      <c r="CX186" s="116">
        <f>COUNTIFS('DRAFT 2'!$D:$D,$B186,'DRAFT 2'!$A:$A,"&gt;="&amp;DATE(2026,2,15),'DRAFT 2'!$A:$A,"&lt;="&amp;DATE(2026,2,21))</f>
        <v/>
      </c>
      <c r="CY186" s="116">
        <f>COUNTIFS('DRAFT 2'!$D:$D,$B186,'DRAFT 2'!$A:$A,"&gt;="&amp;DATE(2026,2,22),'DRAFT 2'!$A:$A,"&lt;"&amp;DATE(2026,IF(2=12,2+1,2+1),1))</f>
        <v/>
      </c>
      <c r="CZ186" s="116">
        <f>SUM(CV186:CY186)</f>
        <v/>
      </c>
      <c r="DJ186" s="116">
        <f>IFERROR(LOOKUP(2,1/('DRAFT 2'!$D:$D=$B186)*('DRAFT 2'!$A:$A&gt;=DATE(2026,3,1))*('DRAFT 2'!$A:$A&lt;DATE(2026,IF(3=12,3+1,3+1),1)),'DRAFT 2'!$A:$A),"")</f>
        <v/>
      </c>
      <c r="DK186" s="116">
        <f>COUNTIFS('DRAFT 2'!$D:$D,$B186,'DRAFT 2'!$A:$A,"&gt;="&amp;DATE(2026,3,1),'DRAFT 2'!$A:$A,"&lt;="&amp;DATE(2026,3,7))</f>
        <v/>
      </c>
      <c r="DL186" s="116">
        <f>COUNTIFS('DRAFT 2'!$D:$D,$B186,'DRAFT 2'!$A:$A,"&gt;="&amp;DATE(2026,3,8),'DRAFT 2'!$A:$A,"&lt;="&amp;DATE(2026,3,14))</f>
        <v/>
      </c>
      <c r="DM186" s="116">
        <f>COUNTIFS('DRAFT 2'!$D:$D,$B186,'DRAFT 2'!$A:$A,"&gt;="&amp;DATE(2026,3,15),'DRAFT 2'!$A:$A,"&lt;="&amp;DATE(2026,3,21))</f>
        <v/>
      </c>
      <c r="DN186" s="116">
        <f>COUNTIFS('DRAFT 2'!$D:$D,$B186,'DRAFT 2'!$A:$A,"&gt;="&amp;DATE(2026,3,22),'DRAFT 2'!$A:$A,"&lt;"&amp;DATE(2026,IF(3=12,3+1,3+1),1))</f>
        <v/>
      </c>
      <c r="DO186" s="116">
        <f>SUM(DK186:DN186)</f>
        <v/>
      </c>
      <c r="DZ186" s="116">
        <f>IFERROR(LOOKUP(2,1/('DRAFT 2'!$D:$D=$B186)*('DRAFT 2'!$A:$A&gt;=DATE(2026,4,1))*('DRAFT 2'!$A:$A&lt;DATE(2026,IF(4=12,4+1,4+1),1)),'DRAFT 2'!$A:$A),"")</f>
        <v/>
      </c>
      <c r="EA186" s="116">
        <f>COUNTIFS('DRAFT 2'!$D:$D,$B186,'DRAFT 2'!$A:$A,"&gt;="&amp;DATE(2026,4,1),'DRAFT 2'!$A:$A,"&lt;="&amp;DATE(2026,4,7))</f>
        <v/>
      </c>
      <c r="EB186" s="116">
        <f>COUNTIFS('DRAFT 2'!$D:$D,$B186,'DRAFT 2'!$A:$A,"&gt;="&amp;DATE(2026,4,8),'DRAFT 2'!$A:$A,"&lt;="&amp;DATE(2026,4,14))</f>
        <v/>
      </c>
      <c r="EC186" s="116">
        <f>COUNTIFS('DRAFT 2'!$D:$D,$B186,'DRAFT 2'!$A:$A,"&gt;="&amp;DATE(2026,4,15),'DRAFT 2'!$A:$A,"&lt;="&amp;DATE(2026,4,21))</f>
        <v/>
      </c>
      <c r="ED186" s="116">
        <f>COUNTIFS('DRAFT 2'!$D:$D,$B186,'DRAFT 2'!$A:$A,"&gt;="&amp;DATE(2026,4,22),'DRAFT 2'!$A:$A,"&lt;"&amp;DATE(2026,IF(4=12,4+1,4+1),1))</f>
        <v/>
      </c>
      <c r="EE186" s="116">
        <f>SUM(EA186:ED186)</f>
        <v/>
      </c>
      <c r="EO186" s="116">
        <f>IFERROR(LOOKUP(2,1/('DRAFT 2'!$D:$D=$B186)*('DRAFT 2'!$A:$A&gt;=DATE(2026,5,1))*('DRAFT 2'!$A:$A&lt;DATE(2026,IF(5=12,5+1,5+1),1)),'DRAFT 2'!$A:$A),"")</f>
        <v/>
      </c>
      <c r="EP186" s="116">
        <f>COUNTIFS('DRAFT 2'!$D:$D,$B186,'DRAFT 2'!$A:$A,"&gt;="&amp;DATE(2026,5,1),'DRAFT 2'!$A:$A,"&lt;="&amp;DATE(2026,5,7))</f>
        <v/>
      </c>
      <c r="EQ186" s="116">
        <f>COUNTIFS('DRAFT 2'!$D:$D,$B186,'DRAFT 2'!$A:$A,"&gt;="&amp;DATE(2026,5,8),'DRAFT 2'!$A:$A,"&lt;="&amp;DATE(2026,5,14))</f>
        <v/>
      </c>
      <c r="ER186" s="116">
        <f>COUNTIFS('DRAFT 2'!$D:$D,$B186,'DRAFT 2'!$A:$A,"&gt;="&amp;DATE(2026,5,15),'DRAFT 2'!$A:$A,"&lt;="&amp;DATE(2026,5,21))</f>
        <v/>
      </c>
      <c r="ES186" s="116">
        <f>COUNTIFS('DRAFT 2'!$D:$D,$B186,'DRAFT 2'!$A:$A,"&gt;="&amp;DATE(2026,5,22),'DRAFT 2'!$A:$A,"&lt;"&amp;DATE(2026,IF(5=12,5+1,5+1),1))</f>
        <v/>
      </c>
      <c r="ET186" s="116">
        <f>SUM(EP186:ES186)</f>
        <v/>
      </c>
      <c r="FD186" s="116">
        <f>IFERROR(LOOKUP(2,1/('DRAFT 2'!$D:$D=$B186)*('DRAFT 2'!$A:$A&gt;=DATE(2026,6,1))*('DRAFT 2'!$A:$A&lt;DATE(2026,IF(6=12,6+1,6+1),1)),'DRAFT 2'!$A:$A),"")</f>
        <v/>
      </c>
      <c r="FE186" s="116">
        <f>COUNTIFS('DRAFT 2'!$D:$D,$B186,'DRAFT 2'!$A:$A,"&gt;="&amp;DATE(2026,6,1),'DRAFT 2'!$A:$A,"&lt;="&amp;DATE(2026,6,7))</f>
        <v/>
      </c>
      <c r="FF186" s="116">
        <f>COUNTIFS('DRAFT 2'!$D:$D,$B186,'DRAFT 2'!$A:$A,"&gt;="&amp;DATE(2026,6,8),'DRAFT 2'!$A:$A,"&lt;="&amp;DATE(2026,6,14))</f>
        <v/>
      </c>
      <c r="FG186" s="116">
        <f>COUNTIFS('DRAFT 2'!$D:$D,$B186,'DRAFT 2'!$A:$A,"&gt;="&amp;DATE(2026,6,15),'DRAFT 2'!$A:$A,"&lt;="&amp;DATE(2026,6,21))</f>
        <v/>
      </c>
      <c r="FH186" s="116">
        <f>COUNTIFS('DRAFT 2'!$D:$D,$B186,'DRAFT 2'!$A:$A,"&gt;="&amp;DATE(2026,6,22),'DRAFT 2'!$A:$A,"&lt;"&amp;DATE(2026,IF(6=12,6+1,6+1),1))</f>
        <v/>
      </c>
      <c r="FI186" s="116">
        <f>SUM(FE186:FH186)</f>
        <v/>
      </c>
      <c r="FT186" s="116">
        <f>IFERROR(LOOKUP(2,1/('DRAFT 2'!$D:$D=$B186)*('DRAFT 2'!$A:$A&gt;=DATE(2026,7,1))*('DRAFT 2'!$A:$A&lt;DATE(2026,IF(7=12,7+1,7+1),1)),'DRAFT 2'!$A:$A),"")</f>
        <v/>
      </c>
      <c r="FU186" s="116">
        <f>COUNTIFS('DRAFT 2'!$D:$D,$B186,'DRAFT 2'!$A:$A,"&gt;="&amp;DATE(2026,7,1),'DRAFT 2'!$A:$A,"&lt;="&amp;DATE(2026,7,7))</f>
        <v/>
      </c>
      <c r="FV186" s="116">
        <f>COUNTIFS('DRAFT 2'!$D:$D,$B186,'DRAFT 2'!$A:$A,"&gt;="&amp;DATE(2026,7,8),'DRAFT 2'!$A:$A,"&lt;="&amp;DATE(2026,7,14))</f>
        <v/>
      </c>
      <c r="FW186" s="116">
        <f>COUNTIFS('DRAFT 2'!$D:$D,$B186,'DRAFT 2'!$A:$A,"&gt;="&amp;DATE(2026,7,15),'DRAFT 2'!$A:$A,"&lt;="&amp;DATE(2026,7,21))</f>
        <v/>
      </c>
      <c r="FX186" s="116">
        <f>COUNTIFS('DRAFT 2'!$D:$D,$B186,'DRAFT 2'!$A:$A,"&gt;="&amp;DATE(2026,7,22),'DRAFT 2'!$A:$A,"&lt;"&amp;DATE(2026,IF(7=12,7+1,7+1),1))</f>
        <v/>
      </c>
      <c r="FY186" s="116">
        <f>SUM(FU186:FX186)</f>
        <v/>
      </c>
      <c r="GI186" s="116">
        <f>IFERROR(LOOKUP(2,1/('DRAFT 2'!$D:$D=$B186)*('DRAFT 2'!$A:$A&gt;=DATE(2026,8,1))*('DRAFT 2'!$A:$A&lt;DATE(2026,IF(8=12,8+1,8+1),1)),'DRAFT 2'!$A:$A),"")</f>
        <v/>
      </c>
      <c r="GJ186" s="116">
        <f>COUNTIFS('DRAFT 2'!$D:$D,$B186,'DRAFT 2'!$A:$A,"&gt;="&amp;DATE(2026,8,1),'DRAFT 2'!$A:$A,"&lt;="&amp;DATE(2026,8,7))</f>
        <v/>
      </c>
      <c r="GK186" s="116">
        <f>COUNTIFS('DRAFT 2'!$D:$D,$B186,'DRAFT 2'!$A:$A,"&gt;="&amp;DATE(2026,8,8),'DRAFT 2'!$A:$A,"&lt;="&amp;DATE(2026,8,14))</f>
        <v/>
      </c>
      <c r="GL186" s="116">
        <f>COUNTIFS('DRAFT 2'!$D:$D,$B186,'DRAFT 2'!$A:$A,"&gt;="&amp;DATE(2026,8,15),'DRAFT 2'!$A:$A,"&lt;="&amp;DATE(2026,8,21))</f>
        <v/>
      </c>
      <c r="GM186" s="116">
        <f>COUNTIFS('DRAFT 2'!$D:$D,$B186,'DRAFT 2'!$A:$A,"&gt;="&amp;DATE(2026,8,22),'DRAFT 2'!$A:$A,"&lt;"&amp;DATE(2026,IF(8=12,8+1,8+1),1))</f>
        <v/>
      </c>
      <c r="GN186" s="116">
        <f>SUM(GJ186:GM186)</f>
        <v/>
      </c>
      <c r="GX186" s="116">
        <f>IFERROR(LOOKUP(2,1/('DRAFT 2'!$D:$D=$B186)*('DRAFT 2'!$A:$A&gt;=DATE(2026,9,1))*('DRAFT 2'!$A:$A&lt;DATE(2026,IF(9=12,9+1,9+1),1)),'DRAFT 2'!$A:$A),"")</f>
        <v/>
      </c>
      <c r="GY186" s="116">
        <f>COUNTIFS('DRAFT 2'!$D:$D,$B186,'DRAFT 2'!$A:$A,"&gt;="&amp;DATE(2026,9,1),'DRAFT 2'!$A:$A,"&lt;="&amp;DATE(2026,9,7))</f>
        <v/>
      </c>
      <c r="GZ186" s="116">
        <f>COUNTIFS('DRAFT 2'!$D:$D,$B186,'DRAFT 2'!$A:$A,"&gt;="&amp;DATE(2026,9,8),'DRAFT 2'!$A:$A,"&lt;="&amp;DATE(2026,9,14))</f>
        <v/>
      </c>
      <c r="HA186" s="116">
        <f>COUNTIFS('DRAFT 2'!$D:$D,$B186,'DRAFT 2'!$A:$A,"&gt;="&amp;DATE(2026,9,15),'DRAFT 2'!$A:$A,"&lt;="&amp;DATE(2026,9,21))</f>
        <v/>
      </c>
      <c r="HB186" s="116">
        <f>COUNTIFS('DRAFT 2'!$D:$D,$B186,'DRAFT 2'!$A:$A,"&gt;="&amp;DATE(2026,9,22),'DRAFT 2'!$A:$A,"&lt;"&amp;DATE(2026,IF(9=12,9+1,9+1),1))</f>
        <v/>
      </c>
      <c r="HC186" s="116">
        <f>SUM(GY186:HB186)</f>
        <v/>
      </c>
      <c r="HN186" s="116">
        <f>IFERROR(LOOKUP(2,1/('DRAFT 2'!$D:$D=$B186)*('DRAFT 2'!$A:$A&gt;=DATE(2026,10,1))*('DRAFT 2'!$A:$A&lt;DATE(2026,IF(10=12,10+1,10+1),1)),'DRAFT 2'!$A:$A),"")</f>
        <v/>
      </c>
      <c r="HO186" s="116">
        <f>COUNTIFS('DRAFT 2'!$D:$D,$B186,'DRAFT 2'!$A:$A,"&gt;="&amp;DATE(2026,10,1),'DRAFT 2'!$A:$A,"&lt;="&amp;DATE(2026,10,7))</f>
        <v/>
      </c>
      <c r="HP186" s="116">
        <f>COUNTIFS('DRAFT 2'!$D:$D,$B186,'DRAFT 2'!$A:$A,"&gt;="&amp;DATE(2026,10,8),'DRAFT 2'!$A:$A,"&lt;="&amp;DATE(2026,10,14))</f>
        <v/>
      </c>
      <c r="HQ186" s="116">
        <f>COUNTIFS('DRAFT 2'!$D:$D,$B186,'DRAFT 2'!$A:$A,"&gt;="&amp;DATE(2026,10,15),'DRAFT 2'!$A:$A,"&lt;="&amp;DATE(2026,10,21))</f>
        <v/>
      </c>
      <c r="HR186" s="116">
        <f>COUNTIFS('DRAFT 2'!$D:$D,$B186,'DRAFT 2'!$A:$A,"&gt;="&amp;DATE(2026,10,22),'DRAFT 2'!$A:$A,"&lt;"&amp;DATE(2026,IF(10=12,10+1,10+1),1))</f>
        <v/>
      </c>
      <c r="HS186" s="116">
        <f>SUM(HO186:HR186)</f>
        <v/>
      </c>
      <c r="IC186" s="116">
        <f>IFERROR(LOOKUP(2,1/('DRAFT 2'!$D:$D=$B186)*('DRAFT 2'!$A:$A&gt;=DATE(2026,11,1))*('DRAFT 2'!$A:$A&lt;DATE(2026,IF(11=12,11+1,11+1),1)),'DRAFT 2'!$A:$A),"")</f>
        <v/>
      </c>
      <c r="ID186" s="116">
        <f>COUNTIFS('DRAFT 2'!$D:$D,$B186,'DRAFT 2'!$A:$A,"&gt;="&amp;DATE(2026,11,1),'DRAFT 2'!$A:$A,"&lt;="&amp;DATE(2026,11,7))</f>
        <v/>
      </c>
      <c r="IE186" s="116">
        <f>COUNTIFS('DRAFT 2'!$D:$D,$B186,'DRAFT 2'!$A:$A,"&gt;="&amp;DATE(2026,11,8),'DRAFT 2'!$A:$A,"&lt;="&amp;DATE(2026,11,14))</f>
        <v/>
      </c>
      <c r="IF186" s="116">
        <f>COUNTIFS('DRAFT 2'!$D:$D,$B186,'DRAFT 2'!$A:$A,"&gt;="&amp;DATE(2026,11,15),'DRAFT 2'!$A:$A,"&lt;="&amp;DATE(2026,11,21))</f>
        <v/>
      </c>
      <c r="IG186" s="116">
        <f>COUNTIFS('DRAFT 2'!$D:$D,$B186,'DRAFT 2'!$A:$A,"&gt;="&amp;DATE(2026,11,22),'DRAFT 2'!$A:$A,"&lt;"&amp;DATE(2026,IF(11=12,11+1,11+1),1))</f>
        <v/>
      </c>
      <c r="IH186" s="116">
        <f>SUM(ID186:IG186)</f>
        <v/>
      </c>
      <c r="IR186" s="116">
        <f>IFERROR(LOOKUP(2,1/('DRAFT 2'!$D:$D=$B186)*('DRAFT 2'!$A:$A&gt;=DATE(2026,12,1))*('DRAFT 2'!$A:$A&lt;DATE(2026,IF(12=12,12+1,12+1),1)),'DRAFT 2'!$A:$A),"")</f>
        <v/>
      </c>
      <c r="IS186" s="116">
        <f>COUNTIFS('DRAFT 2'!$D:$D,$B186,'DRAFT 2'!$A:$A,"&gt;="&amp;DATE(2026,12,1),'DRAFT 2'!$A:$A,"&lt;="&amp;DATE(2026,12,7))</f>
        <v/>
      </c>
      <c r="IT186" s="116">
        <f>COUNTIFS('DRAFT 2'!$D:$D,$B186,'DRAFT 2'!$A:$A,"&gt;="&amp;DATE(2026,12,8),'DRAFT 2'!$A:$A,"&lt;="&amp;DATE(2026,12,14))</f>
        <v/>
      </c>
      <c r="IU186" s="116">
        <f>COUNTIFS('DRAFT 2'!$D:$D,$B186,'DRAFT 2'!$A:$A,"&gt;="&amp;DATE(2026,12,15),'DRAFT 2'!$A:$A,"&lt;="&amp;DATE(2026,12,21))</f>
        <v/>
      </c>
      <c r="IV186" s="116">
        <f>COUNTIFS('DRAFT 2'!$D:$D,$B186,'DRAFT 2'!$A:$A,"&gt;="&amp;DATE(2026,12,22),'DRAFT 2'!$A:$A,"&lt;"&amp;DATE(2026,IF(12=12,12+1,12+1),1))</f>
        <v/>
      </c>
      <c r="IW186" s="116">
        <f>SUM(IS186:IV186)</f>
        <v/>
      </c>
    </row>
    <row r="187">
      <c r="A187" s="116">
        <f>IFERROR(INDEX('DRAFT 1'!$A:$A,MATCH($B187,'DRAFT 1'!$B:$B,0)),"")</f>
        <v/>
      </c>
      <c r="C187" s="116">
        <f>IFERROR(INDEX('DRAFT 1'!$C:$C,MATCH($B187,'DRAFT 1'!$B:$B,0)),"")</f>
        <v/>
      </c>
      <c r="D187" s="116">
        <f>IFERROR(INDEX('DRAFT 1'!$D:$D,MATCH($B187,'DRAFT 1'!$B:$B,0)),"")</f>
        <v/>
      </c>
      <c r="E187" s="116">
        <f>IFERROR(INDEX('DRAFT 1'!$E:$E,MATCH($B187,'DRAFT 1'!$B:$B,0)),"")</f>
        <v/>
      </c>
      <c r="F187" s="116">
        <f>IFERROR(INDEX('DRAFT 1'!$F:$F,MATCH($B187,'DRAFT 1'!$B:$B,0)),"")</f>
        <v/>
      </c>
      <c r="G187" s="116">
        <f>IFERROR(INDEX('DRAFT 1'!$G:$G,MATCH($B187,'DRAFT 1'!$B:$B,0)),"")</f>
        <v/>
      </c>
      <c r="H187" s="116">
        <f>IFERROR(INDEX('DRAFT 1'!$H:$H,MATCH($B187,'DRAFT 1'!$B:$B,0)),"")</f>
        <v/>
      </c>
      <c r="I187" s="116">
        <f>IFERROR(INDEX('DRAFT 1'!$I:$I,MATCH($B187,'DRAFT 1'!$B:$B,0)),"")</f>
        <v/>
      </c>
      <c r="K187" s="116">
        <f>IFERROR(INDEX('DRAFT 1'!$AL:$AL,MATCH($B187,'DRAFT 1'!$B:$B,0)),"")</f>
        <v/>
      </c>
      <c r="L187" s="116">
        <f>IFERROR(INDEX('DRAFT 1'!$J:$J,MATCH($B187,'DRAFT 1'!$B:$B,0)),"")</f>
        <v/>
      </c>
      <c r="M187" s="116">
        <f>IFERROR(INDEX('DRAFT 1'!$K:$K,MATCH($B187,'DRAFT 1'!$B:$B,0)),"")</f>
        <v/>
      </c>
      <c r="P187" s="116">
        <f>IFERROR(INDEX('DRAFT 1'!$L:$L,MATCH($B187,'DRAFT 1'!$B:$B,0)),"")</f>
        <v/>
      </c>
      <c r="Q187" s="116">
        <f>IFERROR(INDEX('DRAFT 1'!$M:$M,MATCH($B187,'DRAFT 1'!$B:$B,0)),"")</f>
        <v/>
      </c>
      <c r="R187" s="116">
        <f>IFERROR(INDEX('DRAFT 1'!$N:$N,MATCH($B187,'DRAFT 1'!$B:$B,0)),"")</f>
        <v/>
      </c>
      <c r="S187" s="116">
        <f>IFERROR(INDEX('DRAFT 1'!$O:$O,MATCH($B187,'DRAFT 1'!$B:$B,0)),"")</f>
        <v/>
      </c>
      <c r="T187" s="116">
        <f>IFERROR(INDEX('DRAFT 1'!$P:$P,MATCH($B187,'DRAFT 1'!$B:$B,0)),"")</f>
        <v/>
      </c>
      <c r="U187" s="116">
        <f>IFERROR(INDEX('DRAFT 1'!$Q:$Q,MATCH($B187,'DRAFT 1'!$B:$B,0)),"")</f>
        <v/>
      </c>
      <c r="V187" s="116">
        <f>IFERROR(INDEX('DRAFT 1'!$R:$R,MATCH($B187,'DRAFT 1'!$B:$B,0)),"")</f>
        <v/>
      </c>
      <c r="W187" s="116">
        <f>IFERROR(INDEX('DRAFT 1'!$S:$S,MATCH($B187,'DRAFT 1'!$B:$B,0)),"")</f>
        <v/>
      </c>
      <c r="X187" s="116">
        <f>IFERROR(INDEX('DRAFT 1'!$T:$T,MATCH($B187,'DRAFT 1'!$B:$B,0)),"")</f>
        <v/>
      </c>
      <c r="Z187" s="116">
        <f>IFERROR(INDEX('DRAFT 1'!$U:$U,MATCH($B187,'DRAFT 1'!$B:$B,0)),"")</f>
        <v/>
      </c>
      <c r="AA187" s="116">
        <f>IFERROR(INDEX('DRAFT 1'!$V:$V,MATCH($B187,'DRAFT 1'!$B:$B,0)),"")</f>
        <v/>
      </c>
      <c r="AB187" s="116">
        <f>IFERROR(INDEX('DRAFT 1'!$W:$W,MATCH($B187,'DRAFT 1'!$B:$B,0)),"")</f>
        <v/>
      </c>
      <c r="AC187" s="116">
        <f>IFERROR(INDEX('DRAFT 1'!$X:$X,MATCH($B187,'DRAFT 1'!$B:$B,0)),"")</f>
        <v/>
      </c>
      <c r="AD187" s="116">
        <f>IFERROR(INDEX('DRAFT 1'!$Y:$Y,MATCH($B187,'DRAFT 1'!$B:$B,0)),"")</f>
        <v/>
      </c>
      <c r="AE187" s="116">
        <f>IFERROR(INDEX('DRAFT 1'!$Z:$Z,MATCH($B187,'DRAFT 1'!$B:$B,0)),"")</f>
        <v/>
      </c>
      <c r="AF187" s="116">
        <f>IFERROR(INDEX('DRAFT 1'!$AA:$AA,MATCH($B187,'DRAFT 1'!$B:$B,0)),"")</f>
        <v/>
      </c>
      <c r="AG187" s="116">
        <f>IFERROR(INDEX('DRAFT 1'!$AB:$AB,MATCH($B187,'DRAFT 1'!$B:$B,0)),"")</f>
        <v/>
      </c>
      <c r="AH187" s="116">
        <f>IFERROR(INDEX('DRAFT 1'!$AC:$AC,MATCH($B187,'DRAFT 1'!$B:$B,0)),"")</f>
        <v/>
      </c>
      <c r="AI187" s="116">
        <f>IFERROR(INDEX('DRAFT 1'!$AD:$AD,MATCH($B187,'DRAFT 1'!$B:$B,0)),"")</f>
        <v/>
      </c>
      <c r="AJ187" s="116">
        <f>IFERROR(INDEX('DRAFT 1'!$AE:$AE,MATCH($B187,'DRAFT 1'!$B:$B,0)),"")</f>
        <v/>
      </c>
      <c r="AK187" s="116">
        <f>IFERROR(INDEX('DRAFT 1'!$AG:$AG,MATCH($B187,'DRAFT 1'!$B:$B,0)),"")</f>
        <v/>
      </c>
      <c r="AL187" s="116">
        <f>IFERROR(INDEX('DRAFT 1'!$AH:$AH,MATCH($B187,'DRAFT 1'!$B:$B,0)),"")</f>
        <v/>
      </c>
      <c r="AM187" s="116">
        <f>IFERROR(INDEX('DRAFT 1'!$AI:$AI,MATCH($B187,'DRAFT 1'!$B:$B,0)),"")</f>
        <v/>
      </c>
      <c r="AN187" s="116">
        <f>IFERROR(INDEX('DRAFT 1'!$AJ:$AJ,MATCH($B187,'DRAFT 1'!$B:$B,0)),"")</f>
        <v/>
      </c>
      <c r="AO187" s="116">
        <f>IFERROR(Y187/AN187,0)</f>
        <v/>
      </c>
      <c r="AP187" s="116">
        <f>IFERROR(INDEX('DRAFT 1'!$AK:$AK,MATCH($B187,'DRAFT 1'!$B:$B,0)),"")</f>
        <v/>
      </c>
      <c r="AR187" s="116">
        <f>IFERROR(LOOKUP(2,1/('DRAFT 2'!$D:$D=$B187),'DRAFT 2'!$I:$I),"")</f>
        <v/>
      </c>
      <c r="AS187" s="116">
        <f>IFERROR(LOOKUP(2,1/('DRAFT 2'!$D:$D=$B187),'DRAFT 2'!$T:$T),"")</f>
        <v/>
      </c>
      <c r="AT187" s="116">
        <f>IFERROR(LOOKUP(2,1/('DRAFT 2'!$D:$D=$B187),'DRAFT 2'!$A:$A),"")</f>
        <v/>
      </c>
      <c r="AU187" s="116">
        <f>IFERROR(LOOKUP(2,1/('DRAFT 2'!$D:$D=$B187),'DRAFT 2'!$R:$R),"")</f>
        <v/>
      </c>
      <c r="AV187" s="116">
        <f>IFERROR(LOOKUP(2,1/('DRAFT 2'!$D:$D=$B187),'DRAFT 2'!$S:$S),"")</f>
        <v/>
      </c>
      <c r="AX187" s="116">
        <f>IFERROR(LOOKUP(2,1/('DRAFT 2'!$D:$D=$B187),'DRAFT 2'!$M:$M),"")</f>
        <v/>
      </c>
      <c r="AY187" s="116">
        <f>IFERROR(LOOKUP(2,1/('DRAFT 2'!$D:$D=$B187),'DRAFT 2'!$K:$K),"")</f>
        <v/>
      </c>
      <c r="BG187" s="116">
        <f>IFERROR(LOOKUP(2,1/('DRAFT 2'!$D:$D=$B187),'DRAFT 2'!$U:$U),"")</f>
        <v/>
      </c>
      <c r="BH187" s="116">
        <f>IFERROR(LOOKUP(2,1/('DRAFT 2'!$D:$D=$B187),'DRAFT 2'!$V:$V),"")</f>
        <v/>
      </c>
      <c r="CE187" s="116">
        <f>IFERROR(AJ187,0)</f>
        <v/>
      </c>
      <c r="CF187" s="116">
        <f>IFERROR(LOOKUP(2,1/('DRAFT 2'!$D:$D=$B187)*('DRAFT 2'!$A:$A&gt;=DATE(2026,1,1))*('DRAFT 2'!$A:$A&lt;DATE(2026,IF(1=12,1+1,1+1),1)),'DRAFT 2'!$A:$A),"")</f>
        <v/>
      </c>
      <c r="CG187" s="116">
        <f>COUNTIFS('DRAFT 2'!$D:$D,$B187,'DRAFT 2'!$A:$A,"&gt;="&amp;DATE(2026,1,1),'DRAFT 2'!$A:$A,"&lt;="&amp;DATE(2026,1,7))</f>
        <v/>
      </c>
      <c r="CH187" s="116">
        <f>COUNTIFS('DRAFT 2'!$D:$D,$B187,'DRAFT 2'!$A:$A,"&gt;="&amp;DATE(2026,1,8),'DRAFT 2'!$A:$A,"&lt;="&amp;DATE(2026,1,14))</f>
        <v/>
      </c>
      <c r="CI187" s="116">
        <f>COUNTIFS('DRAFT 2'!$D:$D,$B187,'DRAFT 2'!$A:$A,"&gt;="&amp;DATE(2026,1,15),'DRAFT 2'!$A:$A,"&lt;="&amp;DATE(2026,1,21))</f>
        <v/>
      </c>
      <c r="CJ187" s="116">
        <f>COUNTIFS('DRAFT 2'!$D:$D,$B187,'DRAFT 2'!$A:$A,"&gt;="&amp;DATE(2026,1,22),'DRAFT 2'!$A:$A,"&lt;"&amp;DATE(2026,IF(1=12,1+1,1+1),1))</f>
        <v/>
      </c>
      <c r="CK187" s="116">
        <f>SUM(CG187:CJ187)</f>
        <v/>
      </c>
      <c r="CT187" s="116" t="n">
        <v>0</v>
      </c>
      <c r="CU187" s="116">
        <f>IFERROR(LOOKUP(2,1/('DRAFT 2'!$D:$D=$B187)*('DRAFT 2'!$A:$A&gt;=DATE(2026,2,1))*('DRAFT 2'!$A:$A&lt;DATE(2026,IF(2=12,2+1,2+1),1)),'DRAFT 2'!$A:$A),"")</f>
        <v/>
      </c>
      <c r="CV187" s="116">
        <f>COUNTIFS('DRAFT 2'!$D:$D,$B187,'DRAFT 2'!$A:$A,"&gt;="&amp;DATE(2026,2,1),'DRAFT 2'!$A:$A,"&lt;="&amp;DATE(2026,2,7))</f>
        <v/>
      </c>
      <c r="CW187" s="116">
        <f>COUNTIFS('DRAFT 2'!$D:$D,$B187,'DRAFT 2'!$A:$A,"&gt;="&amp;DATE(2026,2,8),'DRAFT 2'!$A:$A,"&lt;="&amp;DATE(2026,2,14))</f>
        <v/>
      </c>
      <c r="CX187" s="116">
        <f>COUNTIFS('DRAFT 2'!$D:$D,$B187,'DRAFT 2'!$A:$A,"&gt;="&amp;DATE(2026,2,15),'DRAFT 2'!$A:$A,"&lt;="&amp;DATE(2026,2,21))</f>
        <v/>
      </c>
      <c r="CY187" s="116">
        <f>COUNTIFS('DRAFT 2'!$D:$D,$B187,'DRAFT 2'!$A:$A,"&gt;="&amp;DATE(2026,2,22),'DRAFT 2'!$A:$A,"&lt;"&amp;DATE(2026,IF(2=12,2+1,2+1),1))</f>
        <v/>
      </c>
      <c r="CZ187" s="116">
        <f>SUM(CV187:CY187)</f>
        <v/>
      </c>
      <c r="DJ187" s="116">
        <f>IFERROR(LOOKUP(2,1/('DRAFT 2'!$D:$D=$B187)*('DRAFT 2'!$A:$A&gt;=DATE(2026,3,1))*('DRAFT 2'!$A:$A&lt;DATE(2026,IF(3=12,3+1,3+1),1)),'DRAFT 2'!$A:$A),"")</f>
        <v/>
      </c>
      <c r="DK187" s="116">
        <f>COUNTIFS('DRAFT 2'!$D:$D,$B187,'DRAFT 2'!$A:$A,"&gt;="&amp;DATE(2026,3,1),'DRAFT 2'!$A:$A,"&lt;="&amp;DATE(2026,3,7))</f>
        <v/>
      </c>
      <c r="DL187" s="116">
        <f>COUNTIFS('DRAFT 2'!$D:$D,$B187,'DRAFT 2'!$A:$A,"&gt;="&amp;DATE(2026,3,8),'DRAFT 2'!$A:$A,"&lt;="&amp;DATE(2026,3,14))</f>
        <v/>
      </c>
      <c r="DM187" s="116">
        <f>COUNTIFS('DRAFT 2'!$D:$D,$B187,'DRAFT 2'!$A:$A,"&gt;="&amp;DATE(2026,3,15),'DRAFT 2'!$A:$A,"&lt;="&amp;DATE(2026,3,21))</f>
        <v/>
      </c>
      <c r="DN187" s="116">
        <f>COUNTIFS('DRAFT 2'!$D:$D,$B187,'DRAFT 2'!$A:$A,"&gt;="&amp;DATE(2026,3,22),'DRAFT 2'!$A:$A,"&lt;"&amp;DATE(2026,IF(3=12,3+1,3+1),1))</f>
        <v/>
      </c>
      <c r="DO187" s="116">
        <f>SUM(DK187:DN187)</f>
        <v/>
      </c>
      <c r="DZ187" s="116">
        <f>IFERROR(LOOKUP(2,1/('DRAFT 2'!$D:$D=$B187)*('DRAFT 2'!$A:$A&gt;=DATE(2026,4,1))*('DRAFT 2'!$A:$A&lt;DATE(2026,IF(4=12,4+1,4+1),1)),'DRAFT 2'!$A:$A),"")</f>
        <v/>
      </c>
      <c r="EA187" s="116">
        <f>COUNTIFS('DRAFT 2'!$D:$D,$B187,'DRAFT 2'!$A:$A,"&gt;="&amp;DATE(2026,4,1),'DRAFT 2'!$A:$A,"&lt;="&amp;DATE(2026,4,7))</f>
        <v/>
      </c>
      <c r="EB187" s="116">
        <f>COUNTIFS('DRAFT 2'!$D:$D,$B187,'DRAFT 2'!$A:$A,"&gt;="&amp;DATE(2026,4,8),'DRAFT 2'!$A:$A,"&lt;="&amp;DATE(2026,4,14))</f>
        <v/>
      </c>
      <c r="EC187" s="116">
        <f>COUNTIFS('DRAFT 2'!$D:$D,$B187,'DRAFT 2'!$A:$A,"&gt;="&amp;DATE(2026,4,15),'DRAFT 2'!$A:$A,"&lt;="&amp;DATE(2026,4,21))</f>
        <v/>
      </c>
      <c r="ED187" s="116">
        <f>COUNTIFS('DRAFT 2'!$D:$D,$B187,'DRAFT 2'!$A:$A,"&gt;="&amp;DATE(2026,4,22),'DRAFT 2'!$A:$A,"&lt;"&amp;DATE(2026,IF(4=12,4+1,4+1),1))</f>
        <v/>
      </c>
      <c r="EE187" s="116">
        <f>SUM(EA187:ED187)</f>
        <v/>
      </c>
      <c r="EO187" s="116">
        <f>IFERROR(LOOKUP(2,1/('DRAFT 2'!$D:$D=$B187)*('DRAFT 2'!$A:$A&gt;=DATE(2026,5,1))*('DRAFT 2'!$A:$A&lt;DATE(2026,IF(5=12,5+1,5+1),1)),'DRAFT 2'!$A:$A),"")</f>
        <v/>
      </c>
      <c r="EP187" s="116">
        <f>COUNTIFS('DRAFT 2'!$D:$D,$B187,'DRAFT 2'!$A:$A,"&gt;="&amp;DATE(2026,5,1),'DRAFT 2'!$A:$A,"&lt;="&amp;DATE(2026,5,7))</f>
        <v/>
      </c>
      <c r="EQ187" s="116">
        <f>COUNTIFS('DRAFT 2'!$D:$D,$B187,'DRAFT 2'!$A:$A,"&gt;="&amp;DATE(2026,5,8),'DRAFT 2'!$A:$A,"&lt;="&amp;DATE(2026,5,14))</f>
        <v/>
      </c>
      <c r="ER187" s="116">
        <f>COUNTIFS('DRAFT 2'!$D:$D,$B187,'DRAFT 2'!$A:$A,"&gt;="&amp;DATE(2026,5,15),'DRAFT 2'!$A:$A,"&lt;="&amp;DATE(2026,5,21))</f>
        <v/>
      </c>
      <c r="ES187" s="116">
        <f>COUNTIFS('DRAFT 2'!$D:$D,$B187,'DRAFT 2'!$A:$A,"&gt;="&amp;DATE(2026,5,22),'DRAFT 2'!$A:$A,"&lt;"&amp;DATE(2026,IF(5=12,5+1,5+1),1))</f>
        <v/>
      </c>
      <c r="ET187" s="116">
        <f>SUM(EP187:ES187)</f>
        <v/>
      </c>
      <c r="FD187" s="116">
        <f>IFERROR(LOOKUP(2,1/('DRAFT 2'!$D:$D=$B187)*('DRAFT 2'!$A:$A&gt;=DATE(2026,6,1))*('DRAFT 2'!$A:$A&lt;DATE(2026,IF(6=12,6+1,6+1),1)),'DRAFT 2'!$A:$A),"")</f>
        <v/>
      </c>
      <c r="FE187" s="116">
        <f>COUNTIFS('DRAFT 2'!$D:$D,$B187,'DRAFT 2'!$A:$A,"&gt;="&amp;DATE(2026,6,1),'DRAFT 2'!$A:$A,"&lt;="&amp;DATE(2026,6,7))</f>
        <v/>
      </c>
      <c r="FF187" s="116">
        <f>COUNTIFS('DRAFT 2'!$D:$D,$B187,'DRAFT 2'!$A:$A,"&gt;="&amp;DATE(2026,6,8),'DRAFT 2'!$A:$A,"&lt;="&amp;DATE(2026,6,14))</f>
        <v/>
      </c>
      <c r="FG187" s="116">
        <f>COUNTIFS('DRAFT 2'!$D:$D,$B187,'DRAFT 2'!$A:$A,"&gt;="&amp;DATE(2026,6,15),'DRAFT 2'!$A:$A,"&lt;="&amp;DATE(2026,6,21))</f>
        <v/>
      </c>
      <c r="FH187" s="116">
        <f>COUNTIFS('DRAFT 2'!$D:$D,$B187,'DRAFT 2'!$A:$A,"&gt;="&amp;DATE(2026,6,22),'DRAFT 2'!$A:$A,"&lt;"&amp;DATE(2026,IF(6=12,6+1,6+1),1))</f>
        <v/>
      </c>
      <c r="FI187" s="116">
        <f>SUM(FE187:FH187)</f>
        <v/>
      </c>
      <c r="FT187" s="116">
        <f>IFERROR(LOOKUP(2,1/('DRAFT 2'!$D:$D=$B187)*('DRAFT 2'!$A:$A&gt;=DATE(2026,7,1))*('DRAFT 2'!$A:$A&lt;DATE(2026,IF(7=12,7+1,7+1),1)),'DRAFT 2'!$A:$A),"")</f>
        <v/>
      </c>
      <c r="FU187" s="116">
        <f>COUNTIFS('DRAFT 2'!$D:$D,$B187,'DRAFT 2'!$A:$A,"&gt;="&amp;DATE(2026,7,1),'DRAFT 2'!$A:$A,"&lt;="&amp;DATE(2026,7,7))</f>
        <v/>
      </c>
      <c r="FV187" s="116">
        <f>COUNTIFS('DRAFT 2'!$D:$D,$B187,'DRAFT 2'!$A:$A,"&gt;="&amp;DATE(2026,7,8),'DRAFT 2'!$A:$A,"&lt;="&amp;DATE(2026,7,14))</f>
        <v/>
      </c>
      <c r="FW187" s="116">
        <f>COUNTIFS('DRAFT 2'!$D:$D,$B187,'DRAFT 2'!$A:$A,"&gt;="&amp;DATE(2026,7,15),'DRAFT 2'!$A:$A,"&lt;="&amp;DATE(2026,7,21))</f>
        <v/>
      </c>
      <c r="FX187" s="116">
        <f>COUNTIFS('DRAFT 2'!$D:$D,$B187,'DRAFT 2'!$A:$A,"&gt;="&amp;DATE(2026,7,22),'DRAFT 2'!$A:$A,"&lt;"&amp;DATE(2026,IF(7=12,7+1,7+1),1))</f>
        <v/>
      </c>
      <c r="FY187" s="116">
        <f>SUM(FU187:FX187)</f>
        <v/>
      </c>
      <c r="GI187" s="116">
        <f>IFERROR(LOOKUP(2,1/('DRAFT 2'!$D:$D=$B187)*('DRAFT 2'!$A:$A&gt;=DATE(2026,8,1))*('DRAFT 2'!$A:$A&lt;DATE(2026,IF(8=12,8+1,8+1),1)),'DRAFT 2'!$A:$A),"")</f>
        <v/>
      </c>
      <c r="GJ187" s="116">
        <f>COUNTIFS('DRAFT 2'!$D:$D,$B187,'DRAFT 2'!$A:$A,"&gt;="&amp;DATE(2026,8,1),'DRAFT 2'!$A:$A,"&lt;="&amp;DATE(2026,8,7))</f>
        <v/>
      </c>
      <c r="GK187" s="116">
        <f>COUNTIFS('DRAFT 2'!$D:$D,$B187,'DRAFT 2'!$A:$A,"&gt;="&amp;DATE(2026,8,8),'DRAFT 2'!$A:$A,"&lt;="&amp;DATE(2026,8,14))</f>
        <v/>
      </c>
      <c r="GL187" s="116">
        <f>COUNTIFS('DRAFT 2'!$D:$D,$B187,'DRAFT 2'!$A:$A,"&gt;="&amp;DATE(2026,8,15),'DRAFT 2'!$A:$A,"&lt;="&amp;DATE(2026,8,21))</f>
        <v/>
      </c>
      <c r="GM187" s="116">
        <f>COUNTIFS('DRAFT 2'!$D:$D,$B187,'DRAFT 2'!$A:$A,"&gt;="&amp;DATE(2026,8,22),'DRAFT 2'!$A:$A,"&lt;"&amp;DATE(2026,IF(8=12,8+1,8+1),1))</f>
        <v/>
      </c>
      <c r="GN187" s="116">
        <f>SUM(GJ187:GM187)</f>
        <v/>
      </c>
      <c r="GX187" s="116">
        <f>IFERROR(LOOKUP(2,1/('DRAFT 2'!$D:$D=$B187)*('DRAFT 2'!$A:$A&gt;=DATE(2026,9,1))*('DRAFT 2'!$A:$A&lt;DATE(2026,IF(9=12,9+1,9+1),1)),'DRAFT 2'!$A:$A),"")</f>
        <v/>
      </c>
      <c r="GY187" s="116">
        <f>COUNTIFS('DRAFT 2'!$D:$D,$B187,'DRAFT 2'!$A:$A,"&gt;="&amp;DATE(2026,9,1),'DRAFT 2'!$A:$A,"&lt;="&amp;DATE(2026,9,7))</f>
        <v/>
      </c>
      <c r="GZ187" s="116">
        <f>COUNTIFS('DRAFT 2'!$D:$D,$B187,'DRAFT 2'!$A:$A,"&gt;="&amp;DATE(2026,9,8),'DRAFT 2'!$A:$A,"&lt;="&amp;DATE(2026,9,14))</f>
        <v/>
      </c>
      <c r="HA187" s="116">
        <f>COUNTIFS('DRAFT 2'!$D:$D,$B187,'DRAFT 2'!$A:$A,"&gt;="&amp;DATE(2026,9,15),'DRAFT 2'!$A:$A,"&lt;="&amp;DATE(2026,9,21))</f>
        <v/>
      </c>
      <c r="HB187" s="116">
        <f>COUNTIFS('DRAFT 2'!$D:$D,$B187,'DRAFT 2'!$A:$A,"&gt;="&amp;DATE(2026,9,22),'DRAFT 2'!$A:$A,"&lt;"&amp;DATE(2026,IF(9=12,9+1,9+1),1))</f>
        <v/>
      </c>
      <c r="HC187" s="116">
        <f>SUM(GY187:HB187)</f>
        <v/>
      </c>
      <c r="HN187" s="116">
        <f>IFERROR(LOOKUP(2,1/('DRAFT 2'!$D:$D=$B187)*('DRAFT 2'!$A:$A&gt;=DATE(2026,10,1))*('DRAFT 2'!$A:$A&lt;DATE(2026,IF(10=12,10+1,10+1),1)),'DRAFT 2'!$A:$A),"")</f>
        <v/>
      </c>
      <c r="HO187" s="116">
        <f>COUNTIFS('DRAFT 2'!$D:$D,$B187,'DRAFT 2'!$A:$A,"&gt;="&amp;DATE(2026,10,1),'DRAFT 2'!$A:$A,"&lt;="&amp;DATE(2026,10,7))</f>
        <v/>
      </c>
      <c r="HP187" s="116">
        <f>COUNTIFS('DRAFT 2'!$D:$D,$B187,'DRAFT 2'!$A:$A,"&gt;="&amp;DATE(2026,10,8),'DRAFT 2'!$A:$A,"&lt;="&amp;DATE(2026,10,14))</f>
        <v/>
      </c>
      <c r="HQ187" s="116">
        <f>COUNTIFS('DRAFT 2'!$D:$D,$B187,'DRAFT 2'!$A:$A,"&gt;="&amp;DATE(2026,10,15),'DRAFT 2'!$A:$A,"&lt;="&amp;DATE(2026,10,21))</f>
        <v/>
      </c>
      <c r="HR187" s="116">
        <f>COUNTIFS('DRAFT 2'!$D:$D,$B187,'DRAFT 2'!$A:$A,"&gt;="&amp;DATE(2026,10,22),'DRAFT 2'!$A:$A,"&lt;"&amp;DATE(2026,IF(10=12,10+1,10+1),1))</f>
        <v/>
      </c>
      <c r="HS187" s="116">
        <f>SUM(HO187:HR187)</f>
        <v/>
      </c>
      <c r="IC187" s="116">
        <f>IFERROR(LOOKUP(2,1/('DRAFT 2'!$D:$D=$B187)*('DRAFT 2'!$A:$A&gt;=DATE(2026,11,1))*('DRAFT 2'!$A:$A&lt;DATE(2026,IF(11=12,11+1,11+1),1)),'DRAFT 2'!$A:$A),"")</f>
        <v/>
      </c>
      <c r="ID187" s="116">
        <f>COUNTIFS('DRAFT 2'!$D:$D,$B187,'DRAFT 2'!$A:$A,"&gt;="&amp;DATE(2026,11,1),'DRAFT 2'!$A:$A,"&lt;="&amp;DATE(2026,11,7))</f>
        <v/>
      </c>
      <c r="IE187" s="116">
        <f>COUNTIFS('DRAFT 2'!$D:$D,$B187,'DRAFT 2'!$A:$A,"&gt;="&amp;DATE(2026,11,8),'DRAFT 2'!$A:$A,"&lt;="&amp;DATE(2026,11,14))</f>
        <v/>
      </c>
      <c r="IF187" s="116">
        <f>COUNTIFS('DRAFT 2'!$D:$D,$B187,'DRAFT 2'!$A:$A,"&gt;="&amp;DATE(2026,11,15),'DRAFT 2'!$A:$A,"&lt;="&amp;DATE(2026,11,21))</f>
        <v/>
      </c>
      <c r="IG187" s="116">
        <f>COUNTIFS('DRAFT 2'!$D:$D,$B187,'DRAFT 2'!$A:$A,"&gt;="&amp;DATE(2026,11,22),'DRAFT 2'!$A:$A,"&lt;"&amp;DATE(2026,IF(11=12,11+1,11+1),1))</f>
        <v/>
      </c>
      <c r="IH187" s="116">
        <f>SUM(ID187:IG187)</f>
        <v/>
      </c>
      <c r="IR187" s="116">
        <f>IFERROR(LOOKUP(2,1/('DRAFT 2'!$D:$D=$B187)*('DRAFT 2'!$A:$A&gt;=DATE(2026,12,1))*('DRAFT 2'!$A:$A&lt;DATE(2026,IF(12=12,12+1,12+1),1)),'DRAFT 2'!$A:$A),"")</f>
        <v/>
      </c>
      <c r="IS187" s="116">
        <f>COUNTIFS('DRAFT 2'!$D:$D,$B187,'DRAFT 2'!$A:$A,"&gt;="&amp;DATE(2026,12,1),'DRAFT 2'!$A:$A,"&lt;="&amp;DATE(2026,12,7))</f>
        <v/>
      </c>
      <c r="IT187" s="116">
        <f>COUNTIFS('DRAFT 2'!$D:$D,$B187,'DRAFT 2'!$A:$A,"&gt;="&amp;DATE(2026,12,8),'DRAFT 2'!$A:$A,"&lt;="&amp;DATE(2026,12,14))</f>
        <v/>
      </c>
      <c r="IU187" s="116">
        <f>COUNTIFS('DRAFT 2'!$D:$D,$B187,'DRAFT 2'!$A:$A,"&gt;="&amp;DATE(2026,12,15),'DRAFT 2'!$A:$A,"&lt;="&amp;DATE(2026,12,21))</f>
        <v/>
      </c>
      <c r="IV187" s="116">
        <f>COUNTIFS('DRAFT 2'!$D:$D,$B187,'DRAFT 2'!$A:$A,"&gt;="&amp;DATE(2026,12,22),'DRAFT 2'!$A:$A,"&lt;"&amp;DATE(2026,IF(12=12,12+1,12+1),1))</f>
        <v/>
      </c>
      <c r="IW187" s="116">
        <f>SUM(IS187:IV187)</f>
        <v/>
      </c>
    </row>
    <row r="188">
      <c r="A188" s="116">
        <f>IFERROR(INDEX('DRAFT 1'!$A:$A,MATCH($B188,'DRAFT 1'!$B:$B,0)),"")</f>
        <v/>
      </c>
      <c r="C188" s="116">
        <f>IFERROR(INDEX('DRAFT 1'!$C:$C,MATCH($B188,'DRAFT 1'!$B:$B,0)),"")</f>
        <v/>
      </c>
      <c r="D188" s="116">
        <f>IFERROR(INDEX('DRAFT 1'!$D:$D,MATCH($B188,'DRAFT 1'!$B:$B,0)),"")</f>
        <v/>
      </c>
      <c r="E188" s="116">
        <f>IFERROR(INDEX('DRAFT 1'!$E:$E,MATCH($B188,'DRAFT 1'!$B:$B,0)),"")</f>
        <v/>
      </c>
      <c r="F188" s="116">
        <f>IFERROR(INDEX('DRAFT 1'!$F:$F,MATCH($B188,'DRAFT 1'!$B:$B,0)),"")</f>
        <v/>
      </c>
      <c r="G188" s="116">
        <f>IFERROR(INDEX('DRAFT 1'!$G:$G,MATCH($B188,'DRAFT 1'!$B:$B,0)),"")</f>
        <v/>
      </c>
      <c r="H188" s="116">
        <f>IFERROR(INDEX('DRAFT 1'!$H:$H,MATCH($B188,'DRAFT 1'!$B:$B,0)),"")</f>
        <v/>
      </c>
      <c r="I188" s="116">
        <f>IFERROR(INDEX('DRAFT 1'!$I:$I,MATCH($B188,'DRAFT 1'!$B:$B,0)),"")</f>
        <v/>
      </c>
      <c r="K188" s="116">
        <f>IFERROR(INDEX('DRAFT 1'!$AL:$AL,MATCH($B188,'DRAFT 1'!$B:$B,0)),"")</f>
        <v/>
      </c>
      <c r="L188" s="116">
        <f>IFERROR(INDEX('DRAFT 1'!$J:$J,MATCH($B188,'DRAFT 1'!$B:$B,0)),"")</f>
        <v/>
      </c>
      <c r="M188" s="116">
        <f>IFERROR(INDEX('DRAFT 1'!$K:$K,MATCH($B188,'DRAFT 1'!$B:$B,0)),"")</f>
        <v/>
      </c>
      <c r="P188" s="116">
        <f>IFERROR(INDEX('DRAFT 1'!$L:$L,MATCH($B188,'DRAFT 1'!$B:$B,0)),"")</f>
        <v/>
      </c>
      <c r="Q188" s="116">
        <f>IFERROR(INDEX('DRAFT 1'!$M:$M,MATCH($B188,'DRAFT 1'!$B:$B,0)),"")</f>
        <v/>
      </c>
      <c r="R188" s="116">
        <f>IFERROR(INDEX('DRAFT 1'!$N:$N,MATCH($B188,'DRAFT 1'!$B:$B,0)),"")</f>
        <v/>
      </c>
      <c r="S188" s="116">
        <f>IFERROR(INDEX('DRAFT 1'!$O:$O,MATCH($B188,'DRAFT 1'!$B:$B,0)),"")</f>
        <v/>
      </c>
      <c r="T188" s="116">
        <f>IFERROR(INDEX('DRAFT 1'!$P:$P,MATCH($B188,'DRAFT 1'!$B:$B,0)),"")</f>
        <v/>
      </c>
      <c r="U188" s="116">
        <f>IFERROR(INDEX('DRAFT 1'!$Q:$Q,MATCH($B188,'DRAFT 1'!$B:$B,0)),"")</f>
        <v/>
      </c>
      <c r="V188" s="116">
        <f>IFERROR(INDEX('DRAFT 1'!$R:$R,MATCH($B188,'DRAFT 1'!$B:$B,0)),"")</f>
        <v/>
      </c>
      <c r="W188" s="116">
        <f>IFERROR(INDEX('DRAFT 1'!$S:$S,MATCH($B188,'DRAFT 1'!$B:$B,0)),"")</f>
        <v/>
      </c>
      <c r="X188" s="116">
        <f>IFERROR(INDEX('DRAFT 1'!$T:$T,MATCH($B188,'DRAFT 1'!$B:$B,0)),"")</f>
        <v/>
      </c>
      <c r="Z188" s="116">
        <f>IFERROR(INDEX('DRAFT 1'!$U:$U,MATCH($B188,'DRAFT 1'!$B:$B,0)),"")</f>
        <v/>
      </c>
      <c r="AA188" s="116">
        <f>IFERROR(INDEX('DRAFT 1'!$V:$V,MATCH($B188,'DRAFT 1'!$B:$B,0)),"")</f>
        <v/>
      </c>
      <c r="AB188" s="116">
        <f>IFERROR(INDEX('DRAFT 1'!$W:$W,MATCH($B188,'DRAFT 1'!$B:$B,0)),"")</f>
        <v/>
      </c>
      <c r="AC188" s="116">
        <f>IFERROR(INDEX('DRAFT 1'!$X:$X,MATCH($B188,'DRAFT 1'!$B:$B,0)),"")</f>
        <v/>
      </c>
      <c r="AD188" s="116">
        <f>IFERROR(INDEX('DRAFT 1'!$Y:$Y,MATCH($B188,'DRAFT 1'!$B:$B,0)),"")</f>
        <v/>
      </c>
      <c r="AE188" s="116">
        <f>IFERROR(INDEX('DRAFT 1'!$Z:$Z,MATCH($B188,'DRAFT 1'!$B:$B,0)),"")</f>
        <v/>
      </c>
      <c r="AF188" s="116">
        <f>IFERROR(INDEX('DRAFT 1'!$AA:$AA,MATCH($B188,'DRAFT 1'!$B:$B,0)),"")</f>
        <v/>
      </c>
      <c r="AG188" s="116">
        <f>IFERROR(INDEX('DRAFT 1'!$AB:$AB,MATCH($B188,'DRAFT 1'!$B:$B,0)),"")</f>
        <v/>
      </c>
      <c r="AH188" s="116">
        <f>IFERROR(INDEX('DRAFT 1'!$AC:$AC,MATCH($B188,'DRAFT 1'!$B:$B,0)),"")</f>
        <v/>
      </c>
      <c r="AI188" s="116">
        <f>IFERROR(INDEX('DRAFT 1'!$AD:$AD,MATCH($B188,'DRAFT 1'!$B:$B,0)),"")</f>
        <v/>
      </c>
      <c r="AJ188" s="116">
        <f>IFERROR(INDEX('DRAFT 1'!$AE:$AE,MATCH($B188,'DRAFT 1'!$B:$B,0)),"")</f>
        <v/>
      </c>
      <c r="AK188" s="116">
        <f>IFERROR(INDEX('DRAFT 1'!$AG:$AG,MATCH($B188,'DRAFT 1'!$B:$B,0)),"")</f>
        <v/>
      </c>
      <c r="AL188" s="116">
        <f>IFERROR(INDEX('DRAFT 1'!$AH:$AH,MATCH($B188,'DRAFT 1'!$B:$B,0)),"")</f>
        <v/>
      </c>
      <c r="AM188" s="116">
        <f>IFERROR(INDEX('DRAFT 1'!$AI:$AI,MATCH($B188,'DRAFT 1'!$B:$B,0)),"")</f>
        <v/>
      </c>
      <c r="AN188" s="116">
        <f>IFERROR(INDEX('DRAFT 1'!$AJ:$AJ,MATCH($B188,'DRAFT 1'!$B:$B,0)),"")</f>
        <v/>
      </c>
      <c r="AO188" s="116">
        <f>IFERROR(Y188/AN188,0)</f>
        <v/>
      </c>
      <c r="AP188" s="116">
        <f>IFERROR(INDEX('DRAFT 1'!$AK:$AK,MATCH($B188,'DRAFT 1'!$B:$B,0)),"")</f>
        <v/>
      </c>
      <c r="AR188" s="116">
        <f>IFERROR(LOOKUP(2,1/('DRAFT 2'!$D:$D=$B188),'DRAFT 2'!$I:$I),"")</f>
        <v/>
      </c>
      <c r="AS188" s="116">
        <f>IFERROR(LOOKUP(2,1/('DRAFT 2'!$D:$D=$B188),'DRAFT 2'!$T:$T),"")</f>
        <v/>
      </c>
      <c r="AT188" s="116">
        <f>IFERROR(LOOKUP(2,1/('DRAFT 2'!$D:$D=$B188),'DRAFT 2'!$A:$A),"")</f>
        <v/>
      </c>
      <c r="AU188" s="116">
        <f>IFERROR(LOOKUP(2,1/('DRAFT 2'!$D:$D=$B188),'DRAFT 2'!$R:$R),"")</f>
        <v/>
      </c>
      <c r="AV188" s="116">
        <f>IFERROR(LOOKUP(2,1/('DRAFT 2'!$D:$D=$B188),'DRAFT 2'!$S:$S),"")</f>
        <v/>
      </c>
      <c r="AX188" s="116">
        <f>IFERROR(LOOKUP(2,1/('DRAFT 2'!$D:$D=$B188),'DRAFT 2'!$M:$M),"")</f>
        <v/>
      </c>
      <c r="AY188" s="116">
        <f>IFERROR(LOOKUP(2,1/('DRAFT 2'!$D:$D=$B188),'DRAFT 2'!$K:$K),"")</f>
        <v/>
      </c>
      <c r="BG188" s="116">
        <f>IFERROR(LOOKUP(2,1/('DRAFT 2'!$D:$D=$B188),'DRAFT 2'!$U:$U),"")</f>
        <v/>
      </c>
      <c r="BH188" s="116">
        <f>IFERROR(LOOKUP(2,1/('DRAFT 2'!$D:$D=$B188),'DRAFT 2'!$V:$V),"")</f>
        <v/>
      </c>
      <c r="CE188" s="116">
        <f>IFERROR(AJ188,0)</f>
        <v/>
      </c>
      <c r="CF188" s="116">
        <f>IFERROR(LOOKUP(2,1/('DRAFT 2'!$D:$D=$B188)*('DRAFT 2'!$A:$A&gt;=DATE(2026,1,1))*('DRAFT 2'!$A:$A&lt;DATE(2026,IF(1=12,1+1,1+1),1)),'DRAFT 2'!$A:$A),"")</f>
        <v/>
      </c>
      <c r="CG188" s="116">
        <f>COUNTIFS('DRAFT 2'!$D:$D,$B188,'DRAFT 2'!$A:$A,"&gt;="&amp;DATE(2026,1,1),'DRAFT 2'!$A:$A,"&lt;="&amp;DATE(2026,1,7))</f>
        <v/>
      </c>
      <c r="CH188" s="116">
        <f>COUNTIFS('DRAFT 2'!$D:$D,$B188,'DRAFT 2'!$A:$A,"&gt;="&amp;DATE(2026,1,8),'DRAFT 2'!$A:$A,"&lt;="&amp;DATE(2026,1,14))</f>
        <v/>
      </c>
      <c r="CI188" s="116">
        <f>COUNTIFS('DRAFT 2'!$D:$D,$B188,'DRAFT 2'!$A:$A,"&gt;="&amp;DATE(2026,1,15),'DRAFT 2'!$A:$A,"&lt;="&amp;DATE(2026,1,21))</f>
        <v/>
      </c>
      <c r="CJ188" s="116">
        <f>COUNTIFS('DRAFT 2'!$D:$D,$B188,'DRAFT 2'!$A:$A,"&gt;="&amp;DATE(2026,1,22),'DRAFT 2'!$A:$A,"&lt;"&amp;DATE(2026,IF(1=12,1+1,1+1),1))</f>
        <v/>
      </c>
      <c r="CK188" s="116">
        <f>SUM(CG188:CJ188)</f>
        <v/>
      </c>
      <c r="CT188" s="116" t="n">
        <v>0</v>
      </c>
      <c r="CU188" s="116">
        <f>IFERROR(LOOKUP(2,1/('DRAFT 2'!$D:$D=$B188)*('DRAFT 2'!$A:$A&gt;=DATE(2026,2,1))*('DRAFT 2'!$A:$A&lt;DATE(2026,IF(2=12,2+1,2+1),1)),'DRAFT 2'!$A:$A),"")</f>
        <v/>
      </c>
      <c r="CV188" s="116">
        <f>COUNTIFS('DRAFT 2'!$D:$D,$B188,'DRAFT 2'!$A:$A,"&gt;="&amp;DATE(2026,2,1),'DRAFT 2'!$A:$A,"&lt;="&amp;DATE(2026,2,7))</f>
        <v/>
      </c>
      <c r="CW188" s="116">
        <f>COUNTIFS('DRAFT 2'!$D:$D,$B188,'DRAFT 2'!$A:$A,"&gt;="&amp;DATE(2026,2,8),'DRAFT 2'!$A:$A,"&lt;="&amp;DATE(2026,2,14))</f>
        <v/>
      </c>
      <c r="CX188" s="116">
        <f>COUNTIFS('DRAFT 2'!$D:$D,$B188,'DRAFT 2'!$A:$A,"&gt;="&amp;DATE(2026,2,15),'DRAFT 2'!$A:$A,"&lt;="&amp;DATE(2026,2,21))</f>
        <v/>
      </c>
      <c r="CY188" s="116">
        <f>COUNTIFS('DRAFT 2'!$D:$D,$B188,'DRAFT 2'!$A:$A,"&gt;="&amp;DATE(2026,2,22),'DRAFT 2'!$A:$A,"&lt;"&amp;DATE(2026,IF(2=12,2+1,2+1),1))</f>
        <v/>
      </c>
      <c r="CZ188" s="116">
        <f>SUM(CV188:CY188)</f>
        <v/>
      </c>
      <c r="DJ188" s="116">
        <f>IFERROR(LOOKUP(2,1/('DRAFT 2'!$D:$D=$B188)*('DRAFT 2'!$A:$A&gt;=DATE(2026,3,1))*('DRAFT 2'!$A:$A&lt;DATE(2026,IF(3=12,3+1,3+1),1)),'DRAFT 2'!$A:$A),"")</f>
        <v/>
      </c>
      <c r="DK188" s="116">
        <f>COUNTIFS('DRAFT 2'!$D:$D,$B188,'DRAFT 2'!$A:$A,"&gt;="&amp;DATE(2026,3,1),'DRAFT 2'!$A:$A,"&lt;="&amp;DATE(2026,3,7))</f>
        <v/>
      </c>
      <c r="DL188" s="116">
        <f>COUNTIFS('DRAFT 2'!$D:$D,$B188,'DRAFT 2'!$A:$A,"&gt;="&amp;DATE(2026,3,8),'DRAFT 2'!$A:$A,"&lt;="&amp;DATE(2026,3,14))</f>
        <v/>
      </c>
      <c r="DM188" s="116">
        <f>COUNTIFS('DRAFT 2'!$D:$D,$B188,'DRAFT 2'!$A:$A,"&gt;="&amp;DATE(2026,3,15),'DRAFT 2'!$A:$A,"&lt;="&amp;DATE(2026,3,21))</f>
        <v/>
      </c>
      <c r="DN188" s="116">
        <f>COUNTIFS('DRAFT 2'!$D:$D,$B188,'DRAFT 2'!$A:$A,"&gt;="&amp;DATE(2026,3,22),'DRAFT 2'!$A:$A,"&lt;"&amp;DATE(2026,IF(3=12,3+1,3+1),1))</f>
        <v/>
      </c>
      <c r="DO188" s="116">
        <f>SUM(DK188:DN188)</f>
        <v/>
      </c>
      <c r="DZ188" s="116">
        <f>IFERROR(LOOKUP(2,1/('DRAFT 2'!$D:$D=$B188)*('DRAFT 2'!$A:$A&gt;=DATE(2026,4,1))*('DRAFT 2'!$A:$A&lt;DATE(2026,IF(4=12,4+1,4+1),1)),'DRAFT 2'!$A:$A),"")</f>
        <v/>
      </c>
      <c r="EA188" s="116">
        <f>COUNTIFS('DRAFT 2'!$D:$D,$B188,'DRAFT 2'!$A:$A,"&gt;="&amp;DATE(2026,4,1),'DRAFT 2'!$A:$A,"&lt;="&amp;DATE(2026,4,7))</f>
        <v/>
      </c>
      <c r="EB188" s="116">
        <f>COUNTIFS('DRAFT 2'!$D:$D,$B188,'DRAFT 2'!$A:$A,"&gt;="&amp;DATE(2026,4,8),'DRAFT 2'!$A:$A,"&lt;="&amp;DATE(2026,4,14))</f>
        <v/>
      </c>
      <c r="EC188" s="116">
        <f>COUNTIFS('DRAFT 2'!$D:$D,$B188,'DRAFT 2'!$A:$A,"&gt;="&amp;DATE(2026,4,15),'DRAFT 2'!$A:$A,"&lt;="&amp;DATE(2026,4,21))</f>
        <v/>
      </c>
      <c r="ED188" s="116">
        <f>COUNTIFS('DRAFT 2'!$D:$D,$B188,'DRAFT 2'!$A:$A,"&gt;="&amp;DATE(2026,4,22),'DRAFT 2'!$A:$A,"&lt;"&amp;DATE(2026,IF(4=12,4+1,4+1),1))</f>
        <v/>
      </c>
      <c r="EE188" s="116">
        <f>SUM(EA188:ED188)</f>
        <v/>
      </c>
      <c r="EO188" s="116">
        <f>IFERROR(LOOKUP(2,1/('DRAFT 2'!$D:$D=$B188)*('DRAFT 2'!$A:$A&gt;=DATE(2026,5,1))*('DRAFT 2'!$A:$A&lt;DATE(2026,IF(5=12,5+1,5+1),1)),'DRAFT 2'!$A:$A),"")</f>
        <v/>
      </c>
      <c r="EP188" s="116">
        <f>COUNTIFS('DRAFT 2'!$D:$D,$B188,'DRAFT 2'!$A:$A,"&gt;="&amp;DATE(2026,5,1),'DRAFT 2'!$A:$A,"&lt;="&amp;DATE(2026,5,7))</f>
        <v/>
      </c>
      <c r="EQ188" s="116">
        <f>COUNTIFS('DRAFT 2'!$D:$D,$B188,'DRAFT 2'!$A:$A,"&gt;="&amp;DATE(2026,5,8),'DRAFT 2'!$A:$A,"&lt;="&amp;DATE(2026,5,14))</f>
        <v/>
      </c>
      <c r="ER188" s="116">
        <f>COUNTIFS('DRAFT 2'!$D:$D,$B188,'DRAFT 2'!$A:$A,"&gt;="&amp;DATE(2026,5,15),'DRAFT 2'!$A:$A,"&lt;="&amp;DATE(2026,5,21))</f>
        <v/>
      </c>
      <c r="ES188" s="116">
        <f>COUNTIFS('DRAFT 2'!$D:$D,$B188,'DRAFT 2'!$A:$A,"&gt;="&amp;DATE(2026,5,22),'DRAFT 2'!$A:$A,"&lt;"&amp;DATE(2026,IF(5=12,5+1,5+1),1))</f>
        <v/>
      </c>
      <c r="ET188" s="116">
        <f>SUM(EP188:ES188)</f>
        <v/>
      </c>
      <c r="FD188" s="116">
        <f>IFERROR(LOOKUP(2,1/('DRAFT 2'!$D:$D=$B188)*('DRAFT 2'!$A:$A&gt;=DATE(2026,6,1))*('DRAFT 2'!$A:$A&lt;DATE(2026,IF(6=12,6+1,6+1),1)),'DRAFT 2'!$A:$A),"")</f>
        <v/>
      </c>
      <c r="FE188" s="116">
        <f>COUNTIFS('DRAFT 2'!$D:$D,$B188,'DRAFT 2'!$A:$A,"&gt;="&amp;DATE(2026,6,1),'DRAFT 2'!$A:$A,"&lt;="&amp;DATE(2026,6,7))</f>
        <v/>
      </c>
      <c r="FF188" s="116">
        <f>COUNTIFS('DRAFT 2'!$D:$D,$B188,'DRAFT 2'!$A:$A,"&gt;="&amp;DATE(2026,6,8),'DRAFT 2'!$A:$A,"&lt;="&amp;DATE(2026,6,14))</f>
        <v/>
      </c>
      <c r="FG188" s="116">
        <f>COUNTIFS('DRAFT 2'!$D:$D,$B188,'DRAFT 2'!$A:$A,"&gt;="&amp;DATE(2026,6,15),'DRAFT 2'!$A:$A,"&lt;="&amp;DATE(2026,6,21))</f>
        <v/>
      </c>
      <c r="FH188" s="116">
        <f>COUNTIFS('DRAFT 2'!$D:$D,$B188,'DRAFT 2'!$A:$A,"&gt;="&amp;DATE(2026,6,22),'DRAFT 2'!$A:$A,"&lt;"&amp;DATE(2026,IF(6=12,6+1,6+1),1))</f>
        <v/>
      </c>
      <c r="FI188" s="116">
        <f>SUM(FE188:FH188)</f>
        <v/>
      </c>
      <c r="FT188" s="116">
        <f>IFERROR(LOOKUP(2,1/('DRAFT 2'!$D:$D=$B188)*('DRAFT 2'!$A:$A&gt;=DATE(2026,7,1))*('DRAFT 2'!$A:$A&lt;DATE(2026,IF(7=12,7+1,7+1),1)),'DRAFT 2'!$A:$A),"")</f>
        <v/>
      </c>
      <c r="FU188" s="116">
        <f>COUNTIFS('DRAFT 2'!$D:$D,$B188,'DRAFT 2'!$A:$A,"&gt;="&amp;DATE(2026,7,1),'DRAFT 2'!$A:$A,"&lt;="&amp;DATE(2026,7,7))</f>
        <v/>
      </c>
      <c r="FV188" s="116">
        <f>COUNTIFS('DRAFT 2'!$D:$D,$B188,'DRAFT 2'!$A:$A,"&gt;="&amp;DATE(2026,7,8),'DRAFT 2'!$A:$A,"&lt;="&amp;DATE(2026,7,14))</f>
        <v/>
      </c>
      <c r="FW188" s="116">
        <f>COUNTIFS('DRAFT 2'!$D:$D,$B188,'DRAFT 2'!$A:$A,"&gt;="&amp;DATE(2026,7,15),'DRAFT 2'!$A:$A,"&lt;="&amp;DATE(2026,7,21))</f>
        <v/>
      </c>
      <c r="FX188" s="116">
        <f>COUNTIFS('DRAFT 2'!$D:$D,$B188,'DRAFT 2'!$A:$A,"&gt;="&amp;DATE(2026,7,22),'DRAFT 2'!$A:$A,"&lt;"&amp;DATE(2026,IF(7=12,7+1,7+1),1))</f>
        <v/>
      </c>
      <c r="FY188" s="116">
        <f>SUM(FU188:FX188)</f>
        <v/>
      </c>
      <c r="GI188" s="116">
        <f>IFERROR(LOOKUP(2,1/('DRAFT 2'!$D:$D=$B188)*('DRAFT 2'!$A:$A&gt;=DATE(2026,8,1))*('DRAFT 2'!$A:$A&lt;DATE(2026,IF(8=12,8+1,8+1),1)),'DRAFT 2'!$A:$A),"")</f>
        <v/>
      </c>
      <c r="GJ188" s="116">
        <f>COUNTIFS('DRAFT 2'!$D:$D,$B188,'DRAFT 2'!$A:$A,"&gt;="&amp;DATE(2026,8,1),'DRAFT 2'!$A:$A,"&lt;="&amp;DATE(2026,8,7))</f>
        <v/>
      </c>
      <c r="GK188" s="116">
        <f>COUNTIFS('DRAFT 2'!$D:$D,$B188,'DRAFT 2'!$A:$A,"&gt;="&amp;DATE(2026,8,8),'DRAFT 2'!$A:$A,"&lt;="&amp;DATE(2026,8,14))</f>
        <v/>
      </c>
      <c r="GL188" s="116">
        <f>COUNTIFS('DRAFT 2'!$D:$D,$B188,'DRAFT 2'!$A:$A,"&gt;="&amp;DATE(2026,8,15),'DRAFT 2'!$A:$A,"&lt;="&amp;DATE(2026,8,21))</f>
        <v/>
      </c>
      <c r="GM188" s="116">
        <f>COUNTIFS('DRAFT 2'!$D:$D,$B188,'DRAFT 2'!$A:$A,"&gt;="&amp;DATE(2026,8,22),'DRAFT 2'!$A:$A,"&lt;"&amp;DATE(2026,IF(8=12,8+1,8+1),1))</f>
        <v/>
      </c>
      <c r="GN188" s="116">
        <f>SUM(GJ188:GM188)</f>
        <v/>
      </c>
      <c r="GX188" s="116">
        <f>IFERROR(LOOKUP(2,1/('DRAFT 2'!$D:$D=$B188)*('DRAFT 2'!$A:$A&gt;=DATE(2026,9,1))*('DRAFT 2'!$A:$A&lt;DATE(2026,IF(9=12,9+1,9+1),1)),'DRAFT 2'!$A:$A),"")</f>
        <v/>
      </c>
      <c r="GY188" s="116">
        <f>COUNTIFS('DRAFT 2'!$D:$D,$B188,'DRAFT 2'!$A:$A,"&gt;="&amp;DATE(2026,9,1),'DRAFT 2'!$A:$A,"&lt;="&amp;DATE(2026,9,7))</f>
        <v/>
      </c>
      <c r="GZ188" s="116">
        <f>COUNTIFS('DRAFT 2'!$D:$D,$B188,'DRAFT 2'!$A:$A,"&gt;="&amp;DATE(2026,9,8),'DRAFT 2'!$A:$A,"&lt;="&amp;DATE(2026,9,14))</f>
        <v/>
      </c>
      <c r="HA188" s="116">
        <f>COUNTIFS('DRAFT 2'!$D:$D,$B188,'DRAFT 2'!$A:$A,"&gt;="&amp;DATE(2026,9,15),'DRAFT 2'!$A:$A,"&lt;="&amp;DATE(2026,9,21))</f>
        <v/>
      </c>
      <c r="HB188" s="116">
        <f>COUNTIFS('DRAFT 2'!$D:$D,$B188,'DRAFT 2'!$A:$A,"&gt;="&amp;DATE(2026,9,22),'DRAFT 2'!$A:$A,"&lt;"&amp;DATE(2026,IF(9=12,9+1,9+1),1))</f>
        <v/>
      </c>
      <c r="HC188" s="116">
        <f>SUM(GY188:HB188)</f>
        <v/>
      </c>
      <c r="HN188" s="116">
        <f>IFERROR(LOOKUP(2,1/('DRAFT 2'!$D:$D=$B188)*('DRAFT 2'!$A:$A&gt;=DATE(2026,10,1))*('DRAFT 2'!$A:$A&lt;DATE(2026,IF(10=12,10+1,10+1),1)),'DRAFT 2'!$A:$A),"")</f>
        <v/>
      </c>
      <c r="HO188" s="116">
        <f>COUNTIFS('DRAFT 2'!$D:$D,$B188,'DRAFT 2'!$A:$A,"&gt;="&amp;DATE(2026,10,1),'DRAFT 2'!$A:$A,"&lt;="&amp;DATE(2026,10,7))</f>
        <v/>
      </c>
      <c r="HP188" s="116">
        <f>COUNTIFS('DRAFT 2'!$D:$D,$B188,'DRAFT 2'!$A:$A,"&gt;="&amp;DATE(2026,10,8),'DRAFT 2'!$A:$A,"&lt;="&amp;DATE(2026,10,14))</f>
        <v/>
      </c>
      <c r="HQ188" s="116">
        <f>COUNTIFS('DRAFT 2'!$D:$D,$B188,'DRAFT 2'!$A:$A,"&gt;="&amp;DATE(2026,10,15),'DRAFT 2'!$A:$A,"&lt;="&amp;DATE(2026,10,21))</f>
        <v/>
      </c>
      <c r="HR188" s="116">
        <f>COUNTIFS('DRAFT 2'!$D:$D,$B188,'DRAFT 2'!$A:$A,"&gt;="&amp;DATE(2026,10,22),'DRAFT 2'!$A:$A,"&lt;"&amp;DATE(2026,IF(10=12,10+1,10+1),1))</f>
        <v/>
      </c>
      <c r="HS188" s="116">
        <f>SUM(HO188:HR188)</f>
        <v/>
      </c>
      <c r="IC188" s="116">
        <f>IFERROR(LOOKUP(2,1/('DRAFT 2'!$D:$D=$B188)*('DRAFT 2'!$A:$A&gt;=DATE(2026,11,1))*('DRAFT 2'!$A:$A&lt;DATE(2026,IF(11=12,11+1,11+1),1)),'DRAFT 2'!$A:$A),"")</f>
        <v/>
      </c>
      <c r="ID188" s="116">
        <f>COUNTIFS('DRAFT 2'!$D:$D,$B188,'DRAFT 2'!$A:$A,"&gt;="&amp;DATE(2026,11,1),'DRAFT 2'!$A:$A,"&lt;="&amp;DATE(2026,11,7))</f>
        <v/>
      </c>
      <c r="IE188" s="116">
        <f>COUNTIFS('DRAFT 2'!$D:$D,$B188,'DRAFT 2'!$A:$A,"&gt;="&amp;DATE(2026,11,8),'DRAFT 2'!$A:$A,"&lt;="&amp;DATE(2026,11,14))</f>
        <v/>
      </c>
      <c r="IF188" s="116">
        <f>COUNTIFS('DRAFT 2'!$D:$D,$B188,'DRAFT 2'!$A:$A,"&gt;="&amp;DATE(2026,11,15),'DRAFT 2'!$A:$A,"&lt;="&amp;DATE(2026,11,21))</f>
        <v/>
      </c>
      <c r="IG188" s="116">
        <f>COUNTIFS('DRAFT 2'!$D:$D,$B188,'DRAFT 2'!$A:$A,"&gt;="&amp;DATE(2026,11,22),'DRAFT 2'!$A:$A,"&lt;"&amp;DATE(2026,IF(11=12,11+1,11+1),1))</f>
        <v/>
      </c>
      <c r="IH188" s="116">
        <f>SUM(ID188:IG188)</f>
        <v/>
      </c>
      <c r="IR188" s="116">
        <f>IFERROR(LOOKUP(2,1/('DRAFT 2'!$D:$D=$B188)*('DRAFT 2'!$A:$A&gt;=DATE(2026,12,1))*('DRAFT 2'!$A:$A&lt;DATE(2026,IF(12=12,12+1,12+1),1)),'DRAFT 2'!$A:$A),"")</f>
        <v/>
      </c>
      <c r="IS188" s="116">
        <f>COUNTIFS('DRAFT 2'!$D:$D,$B188,'DRAFT 2'!$A:$A,"&gt;="&amp;DATE(2026,12,1),'DRAFT 2'!$A:$A,"&lt;="&amp;DATE(2026,12,7))</f>
        <v/>
      </c>
      <c r="IT188" s="116">
        <f>COUNTIFS('DRAFT 2'!$D:$D,$B188,'DRAFT 2'!$A:$A,"&gt;="&amp;DATE(2026,12,8),'DRAFT 2'!$A:$A,"&lt;="&amp;DATE(2026,12,14))</f>
        <v/>
      </c>
      <c r="IU188" s="116">
        <f>COUNTIFS('DRAFT 2'!$D:$D,$B188,'DRAFT 2'!$A:$A,"&gt;="&amp;DATE(2026,12,15),'DRAFT 2'!$A:$A,"&lt;="&amp;DATE(2026,12,21))</f>
        <v/>
      </c>
      <c r="IV188" s="116">
        <f>COUNTIFS('DRAFT 2'!$D:$D,$B188,'DRAFT 2'!$A:$A,"&gt;="&amp;DATE(2026,12,22),'DRAFT 2'!$A:$A,"&lt;"&amp;DATE(2026,IF(12=12,12+1,12+1),1))</f>
        <v/>
      </c>
      <c r="IW188" s="116">
        <f>SUM(IS188:IV188)</f>
        <v/>
      </c>
    </row>
    <row r="189">
      <c r="A189" s="116">
        <f>IFERROR(INDEX('DRAFT 1'!$A:$A,MATCH($B189,'DRAFT 1'!$B:$B,0)),"")</f>
        <v/>
      </c>
      <c r="C189" s="116">
        <f>IFERROR(INDEX('DRAFT 1'!$C:$C,MATCH($B189,'DRAFT 1'!$B:$B,0)),"")</f>
        <v/>
      </c>
      <c r="D189" s="116">
        <f>IFERROR(INDEX('DRAFT 1'!$D:$D,MATCH($B189,'DRAFT 1'!$B:$B,0)),"")</f>
        <v/>
      </c>
      <c r="E189" s="116">
        <f>IFERROR(INDEX('DRAFT 1'!$E:$E,MATCH($B189,'DRAFT 1'!$B:$B,0)),"")</f>
        <v/>
      </c>
      <c r="F189" s="116">
        <f>IFERROR(INDEX('DRAFT 1'!$F:$F,MATCH($B189,'DRAFT 1'!$B:$B,0)),"")</f>
        <v/>
      </c>
      <c r="G189" s="116">
        <f>IFERROR(INDEX('DRAFT 1'!$G:$G,MATCH($B189,'DRAFT 1'!$B:$B,0)),"")</f>
        <v/>
      </c>
      <c r="H189" s="116">
        <f>IFERROR(INDEX('DRAFT 1'!$H:$H,MATCH($B189,'DRAFT 1'!$B:$B,0)),"")</f>
        <v/>
      </c>
      <c r="I189" s="116">
        <f>IFERROR(INDEX('DRAFT 1'!$I:$I,MATCH($B189,'DRAFT 1'!$B:$B,0)),"")</f>
        <v/>
      </c>
      <c r="K189" s="116">
        <f>IFERROR(INDEX('DRAFT 1'!$AL:$AL,MATCH($B189,'DRAFT 1'!$B:$B,0)),"")</f>
        <v/>
      </c>
      <c r="L189" s="116">
        <f>IFERROR(INDEX('DRAFT 1'!$J:$J,MATCH($B189,'DRAFT 1'!$B:$B,0)),"")</f>
        <v/>
      </c>
      <c r="M189" s="116">
        <f>IFERROR(INDEX('DRAFT 1'!$K:$K,MATCH($B189,'DRAFT 1'!$B:$B,0)),"")</f>
        <v/>
      </c>
      <c r="P189" s="116">
        <f>IFERROR(INDEX('DRAFT 1'!$L:$L,MATCH($B189,'DRAFT 1'!$B:$B,0)),"")</f>
        <v/>
      </c>
      <c r="Q189" s="116">
        <f>IFERROR(INDEX('DRAFT 1'!$M:$M,MATCH($B189,'DRAFT 1'!$B:$B,0)),"")</f>
        <v/>
      </c>
      <c r="R189" s="116">
        <f>IFERROR(INDEX('DRAFT 1'!$N:$N,MATCH($B189,'DRAFT 1'!$B:$B,0)),"")</f>
        <v/>
      </c>
      <c r="S189" s="116">
        <f>IFERROR(INDEX('DRAFT 1'!$O:$O,MATCH($B189,'DRAFT 1'!$B:$B,0)),"")</f>
        <v/>
      </c>
      <c r="T189" s="116">
        <f>IFERROR(INDEX('DRAFT 1'!$P:$P,MATCH($B189,'DRAFT 1'!$B:$B,0)),"")</f>
        <v/>
      </c>
      <c r="U189" s="116">
        <f>IFERROR(INDEX('DRAFT 1'!$Q:$Q,MATCH($B189,'DRAFT 1'!$B:$B,0)),"")</f>
        <v/>
      </c>
      <c r="V189" s="116">
        <f>IFERROR(INDEX('DRAFT 1'!$R:$R,MATCH($B189,'DRAFT 1'!$B:$B,0)),"")</f>
        <v/>
      </c>
      <c r="W189" s="116">
        <f>IFERROR(INDEX('DRAFT 1'!$S:$S,MATCH($B189,'DRAFT 1'!$B:$B,0)),"")</f>
        <v/>
      </c>
      <c r="X189" s="116">
        <f>IFERROR(INDEX('DRAFT 1'!$T:$T,MATCH($B189,'DRAFT 1'!$B:$B,0)),"")</f>
        <v/>
      </c>
      <c r="Z189" s="116">
        <f>IFERROR(INDEX('DRAFT 1'!$U:$U,MATCH($B189,'DRAFT 1'!$B:$B,0)),"")</f>
        <v/>
      </c>
      <c r="AA189" s="116">
        <f>IFERROR(INDEX('DRAFT 1'!$V:$V,MATCH($B189,'DRAFT 1'!$B:$B,0)),"")</f>
        <v/>
      </c>
      <c r="AB189" s="116">
        <f>IFERROR(INDEX('DRAFT 1'!$W:$W,MATCH($B189,'DRAFT 1'!$B:$B,0)),"")</f>
        <v/>
      </c>
      <c r="AC189" s="116">
        <f>IFERROR(INDEX('DRAFT 1'!$X:$X,MATCH($B189,'DRAFT 1'!$B:$B,0)),"")</f>
        <v/>
      </c>
      <c r="AD189" s="116">
        <f>IFERROR(INDEX('DRAFT 1'!$Y:$Y,MATCH($B189,'DRAFT 1'!$B:$B,0)),"")</f>
        <v/>
      </c>
      <c r="AE189" s="116">
        <f>IFERROR(INDEX('DRAFT 1'!$Z:$Z,MATCH($B189,'DRAFT 1'!$B:$B,0)),"")</f>
        <v/>
      </c>
      <c r="AF189" s="116">
        <f>IFERROR(INDEX('DRAFT 1'!$AA:$AA,MATCH($B189,'DRAFT 1'!$B:$B,0)),"")</f>
        <v/>
      </c>
      <c r="AG189" s="116">
        <f>IFERROR(INDEX('DRAFT 1'!$AB:$AB,MATCH($B189,'DRAFT 1'!$B:$B,0)),"")</f>
        <v/>
      </c>
      <c r="AH189" s="116">
        <f>IFERROR(INDEX('DRAFT 1'!$AC:$AC,MATCH($B189,'DRAFT 1'!$B:$B,0)),"")</f>
        <v/>
      </c>
      <c r="AI189" s="116">
        <f>IFERROR(INDEX('DRAFT 1'!$AD:$AD,MATCH($B189,'DRAFT 1'!$B:$B,0)),"")</f>
        <v/>
      </c>
      <c r="AJ189" s="116">
        <f>IFERROR(INDEX('DRAFT 1'!$AE:$AE,MATCH($B189,'DRAFT 1'!$B:$B,0)),"")</f>
        <v/>
      </c>
      <c r="AK189" s="116">
        <f>IFERROR(INDEX('DRAFT 1'!$AG:$AG,MATCH($B189,'DRAFT 1'!$B:$B,0)),"")</f>
        <v/>
      </c>
      <c r="AL189" s="116">
        <f>IFERROR(INDEX('DRAFT 1'!$AH:$AH,MATCH($B189,'DRAFT 1'!$B:$B,0)),"")</f>
        <v/>
      </c>
      <c r="AM189" s="116">
        <f>IFERROR(INDEX('DRAFT 1'!$AI:$AI,MATCH($B189,'DRAFT 1'!$B:$B,0)),"")</f>
        <v/>
      </c>
      <c r="AN189" s="116">
        <f>IFERROR(INDEX('DRAFT 1'!$AJ:$AJ,MATCH($B189,'DRAFT 1'!$B:$B,0)),"")</f>
        <v/>
      </c>
      <c r="AO189" s="116">
        <f>IFERROR(Y189/AN189,0)</f>
        <v/>
      </c>
      <c r="AP189" s="116">
        <f>IFERROR(INDEX('DRAFT 1'!$AK:$AK,MATCH($B189,'DRAFT 1'!$B:$B,0)),"")</f>
        <v/>
      </c>
      <c r="AR189" s="116">
        <f>IFERROR(LOOKUP(2,1/('DRAFT 2'!$D:$D=$B189),'DRAFT 2'!$I:$I),"")</f>
        <v/>
      </c>
      <c r="AS189" s="116">
        <f>IFERROR(LOOKUP(2,1/('DRAFT 2'!$D:$D=$B189),'DRAFT 2'!$T:$T),"")</f>
        <v/>
      </c>
      <c r="AT189" s="116">
        <f>IFERROR(LOOKUP(2,1/('DRAFT 2'!$D:$D=$B189),'DRAFT 2'!$A:$A),"")</f>
        <v/>
      </c>
      <c r="AU189" s="116">
        <f>IFERROR(LOOKUP(2,1/('DRAFT 2'!$D:$D=$B189),'DRAFT 2'!$R:$R),"")</f>
        <v/>
      </c>
      <c r="AV189" s="116">
        <f>IFERROR(LOOKUP(2,1/('DRAFT 2'!$D:$D=$B189),'DRAFT 2'!$S:$S),"")</f>
        <v/>
      </c>
      <c r="AX189" s="116">
        <f>IFERROR(LOOKUP(2,1/('DRAFT 2'!$D:$D=$B189),'DRAFT 2'!$M:$M),"")</f>
        <v/>
      </c>
      <c r="AY189" s="116">
        <f>IFERROR(LOOKUP(2,1/('DRAFT 2'!$D:$D=$B189),'DRAFT 2'!$K:$K),"")</f>
        <v/>
      </c>
      <c r="BG189" s="116">
        <f>IFERROR(LOOKUP(2,1/('DRAFT 2'!$D:$D=$B189),'DRAFT 2'!$U:$U),"")</f>
        <v/>
      </c>
      <c r="BH189" s="116">
        <f>IFERROR(LOOKUP(2,1/('DRAFT 2'!$D:$D=$B189),'DRAFT 2'!$V:$V),"")</f>
        <v/>
      </c>
      <c r="CE189" s="116">
        <f>IFERROR(AJ189,0)</f>
        <v/>
      </c>
      <c r="CF189" s="116">
        <f>IFERROR(LOOKUP(2,1/('DRAFT 2'!$D:$D=$B189)*('DRAFT 2'!$A:$A&gt;=DATE(2026,1,1))*('DRAFT 2'!$A:$A&lt;DATE(2026,IF(1=12,1+1,1+1),1)),'DRAFT 2'!$A:$A),"")</f>
        <v/>
      </c>
      <c r="CG189" s="116">
        <f>COUNTIFS('DRAFT 2'!$D:$D,$B189,'DRAFT 2'!$A:$A,"&gt;="&amp;DATE(2026,1,1),'DRAFT 2'!$A:$A,"&lt;="&amp;DATE(2026,1,7))</f>
        <v/>
      </c>
      <c r="CH189" s="116">
        <f>COUNTIFS('DRAFT 2'!$D:$D,$B189,'DRAFT 2'!$A:$A,"&gt;="&amp;DATE(2026,1,8),'DRAFT 2'!$A:$A,"&lt;="&amp;DATE(2026,1,14))</f>
        <v/>
      </c>
      <c r="CI189" s="116">
        <f>COUNTIFS('DRAFT 2'!$D:$D,$B189,'DRAFT 2'!$A:$A,"&gt;="&amp;DATE(2026,1,15),'DRAFT 2'!$A:$A,"&lt;="&amp;DATE(2026,1,21))</f>
        <v/>
      </c>
      <c r="CJ189" s="116">
        <f>COUNTIFS('DRAFT 2'!$D:$D,$B189,'DRAFT 2'!$A:$A,"&gt;="&amp;DATE(2026,1,22),'DRAFT 2'!$A:$A,"&lt;"&amp;DATE(2026,IF(1=12,1+1,1+1),1))</f>
        <v/>
      </c>
      <c r="CK189" s="116">
        <f>SUM(CG189:CJ189)</f>
        <v/>
      </c>
      <c r="CT189" s="116" t="n">
        <v>0</v>
      </c>
      <c r="CU189" s="116">
        <f>IFERROR(LOOKUP(2,1/('DRAFT 2'!$D:$D=$B189)*('DRAFT 2'!$A:$A&gt;=DATE(2026,2,1))*('DRAFT 2'!$A:$A&lt;DATE(2026,IF(2=12,2+1,2+1),1)),'DRAFT 2'!$A:$A),"")</f>
        <v/>
      </c>
      <c r="CV189" s="116">
        <f>COUNTIFS('DRAFT 2'!$D:$D,$B189,'DRAFT 2'!$A:$A,"&gt;="&amp;DATE(2026,2,1),'DRAFT 2'!$A:$A,"&lt;="&amp;DATE(2026,2,7))</f>
        <v/>
      </c>
      <c r="CW189" s="116">
        <f>COUNTIFS('DRAFT 2'!$D:$D,$B189,'DRAFT 2'!$A:$A,"&gt;="&amp;DATE(2026,2,8),'DRAFT 2'!$A:$A,"&lt;="&amp;DATE(2026,2,14))</f>
        <v/>
      </c>
      <c r="CX189" s="116">
        <f>COUNTIFS('DRAFT 2'!$D:$D,$B189,'DRAFT 2'!$A:$A,"&gt;="&amp;DATE(2026,2,15),'DRAFT 2'!$A:$A,"&lt;="&amp;DATE(2026,2,21))</f>
        <v/>
      </c>
      <c r="CY189" s="116">
        <f>COUNTIFS('DRAFT 2'!$D:$D,$B189,'DRAFT 2'!$A:$A,"&gt;="&amp;DATE(2026,2,22),'DRAFT 2'!$A:$A,"&lt;"&amp;DATE(2026,IF(2=12,2+1,2+1),1))</f>
        <v/>
      </c>
      <c r="CZ189" s="116">
        <f>SUM(CV189:CY189)</f>
        <v/>
      </c>
      <c r="DJ189" s="116">
        <f>IFERROR(LOOKUP(2,1/('DRAFT 2'!$D:$D=$B189)*('DRAFT 2'!$A:$A&gt;=DATE(2026,3,1))*('DRAFT 2'!$A:$A&lt;DATE(2026,IF(3=12,3+1,3+1),1)),'DRAFT 2'!$A:$A),"")</f>
        <v/>
      </c>
      <c r="DK189" s="116">
        <f>COUNTIFS('DRAFT 2'!$D:$D,$B189,'DRAFT 2'!$A:$A,"&gt;="&amp;DATE(2026,3,1),'DRAFT 2'!$A:$A,"&lt;="&amp;DATE(2026,3,7))</f>
        <v/>
      </c>
      <c r="DL189" s="116">
        <f>COUNTIFS('DRAFT 2'!$D:$D,$B189,'DRAFT 2'!$A:$A,"&gt;="&amp;DATE(2026,3,8),'DRAFT 2'!$A:$A,"&lt;="&amp;DATE(2026,3,14))</f>
        <v/>
      </c>
      <c r="DM189" s="116">
        <f>COUNTIFS('DRAFT 2'!$D:$D,$B189,'DRAFT 2'!$A:$A,"&gt;="&amp;DATE(2026,3,15),'DRAFT 2'!$A:$A,"&lt;="&amp;DATE(2026,3,21))</f>
        <v/>
      </c>
      <c r="DN189" s="116">
        <f>COUNTIFS('DRAFT 2'!$D:$D,$B189,'DRAFT 2'!$A:$A,"&gt;="&amp;DATE(2026,3,22),'DRAFT 2'!$A:$A,"&lt;"&amp;DATE(2026,IF(3=12,3+1,3+1),1))</f>
        <v/>
      </c>
      <c r="DO189" s="116">
        <f>SUM(DK189:DN189)</f>
        <v/>
      </c>
      <c r="DZ189" s="116">
        <f>IFERROR(LOOKUP(2,1/('DRAFT 2'!$D:$D=$B189)*('DRAFT 2'!$A:$A&gt;=DATE(2026,4,1))*('DRAFT 2'!$A:$A&lt;DATE(2026,IF(4=12,4+1,4+1),1)),'DRAFT 2'!$A:$A),"")</f>
        <v/>
      </c>
      <c r="EA189" s="116">
        <f>COUNTIFS('DRAFT 2'!$D:$D,$B189,'DRAFT 2'!$A:$A,"&gt;="&amp;DATE(2026,4,1),'DRAFT 2'!$A:$A,"&lt;="&amp;DATE(2026,4,7))</f>
        <v/>
      </c>
      <c r="EB189" s="116">
        <f>COUNTIFS('DRAFT 2'!$D:$D,$B189,'DRAFT 2'!$A:$A,"&gt;="&amp;DATE(2026,4,8),'DRAFT 2'!$A:$A,"&lt;="&amp;DATE(2026,4,14))</f>
        <v/>
      </c>
      <c r="EC189" s="116">
        <f>COUNTIFS('DRAFT 2'!$D:$D,$B189,'DRAFT 2'!$A:$A,"&gt;="&amp;DATE(2026,4,15),'DRAFT 2'!$A:$A,"&lt;="&amp;DATE(2026,4,21))</f>
        <v/>
      </c>
      <c r="ED189" s="116">
        <f>COUNTIFS('DRAFT 2'!$D:$D,$B189,'DRAFT 2'!$A:$A,"&gt;="&amp;DATE(2026,4,22),'DRAFT 2'!$A:$A,"&lt;"&amp;DATE(2026,IF(4=12,4+1,4+1),1))</f>
        <v/>
      </c>
      <c r="EE189" s="116">
        <f>SUM(EA189:ED189)</f>
        <v/>
      </c>
      <c r="EO189" s="116">
        <f>IFERROR(LOOKUP(2,1/('DRAFT 2'!$D:$D=$B189)*('DRAFT 2'!$A:$A&gt;=DATE(2026,5,1))*('DRAFT 2'!$A:$A&lt;DATE(2026,IF(5=12,5+1,5+1),1)),'DRAFT 2'!$A:$A),"")</f>
        <v/>
      </c>
      <c r="EP189" s="116">
        <f>COUNTIFS('DRAFT 2'!$D:$D,$B189,'DRAFT 2'!$A:$A,"&gt;="&amp;DATE(2026,5,1),'DRAFT 2'!$A:$A,"&lt;="&amp;DATE(2026,5,7))</f>
        <v/>
      </c>
      <c r="EQ189" s="116">
        <f>COUNTIFS('DRAFT 2'!$D:$D,$B189,'DRAFT 2'!$A:$A,"&gt;="&amp;DATE(2026,5,8),'DRAFT 2'!$A:$A,"&lt;="&amp;DATE(2026,5,14))</f>
        <v/>
      </c>
      <c r="ER189" s="116">
        <f>COUNTIFS('DRAFT 2'!$D:$D,$B189,'DRAFT 2'!$A:$A,"&gt;="&amp;DATE(2026,5,15),'DRAFT 2'!$A:$A,"&lt;="&amp;DATE(2026,5,21))</f>
        <v/>
      </c>
      <c r="ES189" s="116">
        <f>COUNTIFS('DRAFT 2'!$D:$D,$B189,'DRAFT 2'!$A:$A,"&gt;="&amp;DATE(2026,5,22),'DRAFT 2'!$A:$A,"&lt;"&amp;DATE(2026,IF(5=12,5+1,5+1),1))</f>
        <v/>
      </c>
      <c r="ET189" s="116">
        <f>SUM(EP189:ES189)</f>
        <v/>
      </c>
      <c r="FD189" s="116">
        <f>IFERROR(LOOKUP(2,1/('DRAFT 2'!$D:$D=$B189)*('DRAFT 2'!$A:$A&gt;=DATE(2026,6,1))*('DRAFT 2'!$A:$A&lt;DATE(2026,IF(6=12,6+1,6+1),1)),'DRAFT 2'!$A:$A),"")</f>
        <v/>
      </c>
      <c r="FE189" s="116">
        <f>COUNTIFS('DRAFT 2'!$D:$D,$B189,'DRAFT 2'!$A:$A,"&gt;="&amp;DATE(2026,6,1),'DRAFT 2'!$A:$A,"&lt;="&amp;DATE(2026,6,7))</f>
        <v/>
      </c>
      <c r="FF189" s="116">
        <f>COUNTIFS('DRAFT 2'!$D:$D,$B189,'DRAFT 2'!$A:$A,"&gt;="&amp;DATE(2026,6,8),'DRAFT 2'!$A:$A,"&lt;="&amp;DATE(2026,6,14))</f>
        <v/>
      </c>
      <c r="FG189" s="116">
        <f>COUNTIFS('DRAFT 2'!$D:$D,$B189,'DRAFT 2'!$A:$A,"&gt;="&amp;DATE(2026,6,15),'DRAFT 2'!$A:$A,"&lt;="&amp;DATE(2026,6,21))</f>
        <v/>
      </c>
      <c r="FH189" s="116">
        <f>COUNTIFS('DRAFT 2'!$D:$D,$B189,'DRAFT 2'!$A:$A,"&gt;="&amp;DATE(2026,6,22),'DRAFT 2'!$A:$A,"&lt;"&amp;DATE(2026,IF(6=12,6+1,6+1),1))</f>
        <v/>
      </c>
      <c r="FI189" s="116">
        <f>SUM(FE189:FH189)</f>
        <v/>
      </c>
      <c r="FT189" s="116">
        <f>IFERROR(LOOKUP(2,1/('DRAFT 2'!$D:$D=$B189)*('DRAFT 2'!$A:$A&gt;=DATE(2026,7,1))*('DRAFT 2'!$A:$A&lt;DATE(2026,IF(7=12,7+1,7+1),1)),'DRAFT 2'!$A:$A),"")</f>
        <v/>
      </c>
      <c r="FU189" s="116">
        <f>COUNTIFS('DRAFT 2'!$D:$D,$B189,'DRAFT 2'!$A:$A,"&gt;="&amp;DATE(2026,7,1),'DRAFT 2'!$A:$A,"&lt;="&amp;DATE(2026,7,7))</f>
        <v/>
      </c>
      <c r="FV189" s="116">
        <f>COUNTIFS('DRAFT 2'!$D:$D,$B189,'DRAFT 2'!$A:$A,"&gt;="&amp;DATE(2026,7,8),'DRAFT 2'!$A:$A,"&lt;="&amp;DATE(2026,7,14))</f>
        <v/>
      </c>
      <c r="FW189" s="116">
        <f>COUNTIFS('DRAFT 2'!$D:$D,$B189,'DRAFT 2'!$A:$A,"&gt;="&amp;DATE(2026,7,15),'DRAFT 2'!$A:$A,"&lt;="&amp;DATE(2026,7,21))</f>
        <v/>
      </c>
      <c r="FX189" s="116">
        <f>COUNTIFS('DRAFT 2'!$D:$D,$B189,'DRAFT 2'!$A:$A,"&gt;="&amp;DATE(2026,7,22),'DRAFT 2'!$A:$A,"&lt;"&amp;DATE(2026,IF(7=12,7+1,7+1),1))</f>
        <v/>
      </c>
      <c r="FY189" s="116">
        <f>SUM(FU189:FX189)</f>
        <v/>
      </c>
      <c r="GI189" s="116">
        <f>IFERROR(LOOKUP(2,1/('DRAFT 2'!$D:$D=$B189)*('DRAFT 2'!$A:$A&gt;=DATE(2026,8,1))*('DRAFT 2'!$A:$A&lt;DATE(2026,IF(8=12,8+1,8+1),1)),'DRAFT 2'!$A:$A),"")</f>
        <v/>
      </c>
      <c r="GJ189" s="116">
        <f>COUNTIFS('DRAFT 2'!$D:$D,$B189,'DRAFT 2'!$A:$A,"&gt;="&amp;DATE(2026,8,1),'DRAFT 2'!$A:$A,"&lt;="&amp;DATE(2026,8,7))</f>
        <v/>
      </c>
      <c r="GK189" s="116">
        <f>COUNTIFS('DRAFT 2'!$D:$D,$B189,'DRAFT 2'!$A:$A,"&gt;="&amp;DATE(2026,8,8),'DRAFT 2'!$A:$A,"&lt;="&amp;DATE(2026,8,14))</f>
        <v/>
      </c>
      <c r="GL189" s="116">
        <f>COUNTIFS('DRAFT 2'!$D:$D,$B189,'DRAFT 2'!$A:$A,"&gt;="&amp;DATE(2026,8,15),'DRAFT 2'!$A:$A,"&lt;="&amp;DATE(2026,8,21))</f>
        <v/>
      </c>
      <c r="GM189" s="116">
        <f>COUNTIFS('DRAFT 2'!$D:$D,$B189,'DRAFT 2'!$A:$A,"&gt;="&amp;DATE(2026,8,22),'DRAFT 2'!$A:$A,"&lt;"&amp;DATE(2026,IF(8=12,8+1,8+1),1))</f>
        <v/>
      </c>
      <c r="GN189" s="116">
        <f>SUM(GJ189:GM189)</f>
        <v/>
      </c>
      <c r="GX189" s="116">
        <f>IFERROR(LOOKUP(2,1/('DRAFT 2'!$D:$D=$B189)*('DRAFT 2'!$A:$A&gt;=DATE(2026,9,1))*('DRAFT 2'!$A:$A&lt;DATE(2026,IF(9=12,9+1,9+1),1)),'DRAFT 2'!$A:$A),"")</f>
        <v/>
      </c>
      <c r="GY189" s="116">
        <f>COUNTIFS('DRAFT 2'!$D:$D,$B189,'DRAFT 2'!$A:$A,"&gt;="&amp;DATE(2026,9,1),'DRAFT 2'!$A:$A,"&lt;="&amp;DATE(2026,9,7))</f>
        <v/>
      </c>
      <c r="GZ189" s="116">
        <f>COUNTIFS('DRAFT 2'!$D:$D,$B189,'DRAFT 2'!$A:$A,"&gt;="&amp;DATE(2026,9,8),'DRAFT 2'!$A:$A,"&lt;="&amp;DATE(2026,9,14))</f>
        <v/>
      </c>
      <c r="HA189" s="116">
        <f>COUNTIFS('DRAFT 2'!$D:$D,$B189,'DRAFT 2'!$A:$A,"&gt;="&amp;DATE(2026,9,15),'DRAFT 2'!$A:$A,"&lt;="&amp;DATE(2026,9,21))</f>
        <v/>
      </c>
      <c r="HB189" s="116">
        <f>COUNTIFS('DRAFT 2'!$D:$D,$B189,'DRAFT 2'!$A:$A,"&gt;="&amp;DATE(2026,9,22),'DRAFT 2'!$A:$A,"&lt;"&amp;DATE(2026,IF(9=12,9+1,9+1),1))</f>
        <v/>
      </c>
      <c r="HC189" s="116">
        <f>SUM(GY189:HB189)</f>
        <v/>
      </c>
      <c r="HN189" s="116">
        <f>IFERROR(LOOKUP(2,1/('DRAFT 2'!$D:$D=$B189)*('DRAFT 2'!$A:$A&gt;=DATE(2026,10,1))*('DRAFT 2'!$A:$A&lt;DATE(2026,IF(10=12,10+1,10+1),1)),'DRAFT 2'!$A:$A),"")</f>
        <v/>
      </c>
      <c r="HO189" s="116">
        <f>COUNTIFS('DRAFT 2'!$D:$D,$B189,'DRAFT 2'!$A:$A,"&gt;="&amp;DATE(2026,10,1),'DRAFT 2'!$A:$A,"&lt;="&amp;DATE(2026,10,7))</f>
        <v/>
      </c>
      <c r="HP189" s="116">
        <f>COUNTIFS('DRAFT 2'!$D:$D,$B189,'DRAFT 2'!$A:$A,"&gt;="&amp;DATE(2026,10,8),'DRAFT 2'!$A:$A,"&lt;="&amp;DATE(2026,10,14))</f>
        <v/>
      </c>
      <c r="HQ189" s="116">
        <f>COUNTIFS('DRAFT 2'!$D:$D,$B189,'DRAFT 2'!$A:$A,"&gt;="&amp;DATE(2026,10,15),'DRAFT 2'!$A:$A,"&lt;="&amp;DATE(2026,10,21))</f>
        <v/>
      </c>
      <c r="HR189" s="116">
        <f>COUNTIFS('DRAFT 2'!$D:$D,$B189,'DRAFT 2'!$A:$A,"&gt;="&amp;DATE(2026,10,22),'DRAFT 2'!$A:$A,"&lt;"&amp;DATE(2026,IF(10=12,10+1,10+1),1))</f>
        <v/>
      </c>
      <c r="HS189" s="116">
        <f>SUM(HO189:HR189)</f>
        <v/>
      </c>
      <c r="IC189" s="116">
        <f>IFERROR(LOOKUP(2,1/('DRAFT 2'!$D:$D=$B189)*('DRAFT 2'!$A:$A&gt;=DATE(2026,11,1))*('DRAFT 2'!$A:$A&lt;DATE(2026,IF(11=12,11+1,11+1),1)),'DRAFT 2'!$A:$A),"")</f>
        <v/>
      </c>
      <c r="ID189" s="116">
        <f>COUNTIFS('DRAFT 2'!$D:$D,$B189,'DRAFT 2'!$A:$A,"&gt;="&amp;DATE(2026,11,1),'DRAFT 2'!$A:$A,"&lt;="&amp;DATE(2026,11,7))</f>
        <v/>
      </c>
      <c r="IE189" s="116">
        <f>COUNTIFS('DRAFT 2'!$D:$D,$B189,'DRAFT 2'!$A:$A,"&gt;="&amp;DATE(2026,11,8),'DRAFT 2'!$A:$A,"&lt;="&amp;DATE(2026,11,14))</f>
        <v/>
      </c>
      <c r="IF189" s="116">
        <f>COUNTIFS('DRAFT 2'!$D:$D,$B189,'DRAFT 2'!$A:$A,"&gt;="&amp;DATE(2026,11,15),'DRAFT 2'!$A:$A,"&lt;="&amp;DATE(2026,11,21))</f>
        <v/>
      </c>
      <c r="IG189" s="116">
        <f>COUNTIFS('DRAFT 2'!$D:$D,$B189,'DRAFT 2'!$A:$A,"&gt;="&amp;DATE(2026,11,22),'DRAFT 2'!$A:$A,"&lt;"&amp;DATE(2026,IF(11=12,11+1,11+1),1))</f>
        <v/>
      </c>
      <c r="IH189" s="116">
        <f>SUM(ID189:IG189)</f>
        <v/>
      </c>
      <c r="IR189" s="116">
        <f>IFERROR(LOOKUP(2,1/('DRAFT 2'!$D:$D=$B189)*('DRAFT 2'!$A:$A&gt;=DATE(2026,12,1))*('DRAFT 2'!$A:$A&lt;DATE(2026,IF(12=12,12+1,12+1),1)),'DRAFT 2'!$A:$A),"")</f>
        <v/>
      </c>
      <c r="IS189" s="116">
        <f>COUNTIFS('DRAFT 2'!$D:$D,$B189,'DRAFT 2'!$A:$A,"&gt;="&amp;DATE(2026,12,1),'DRAFT 2'!$A:$A,"&lt;="&amp;DATE(2026,12,7))</f>
        <v/>
      </c>
      <c r="IT189" s="116">
        <f>COUNTIFS('DRAFT 2'!$D:$D,$B189,'DRAFT 2'!$A:$A,"&gt;="&amp;DATE(2026,12,8),'DRAFT 2'!$A:$A,"&lt;="&amp;DATE(2026,12,14))</f>
        <v/>
      </c>
      <c r="IU189" s="116">
        <f>COUNTIFS('DRAFT 2'!$D:$D,$B189,'DRAFT 2'!$A:$A,"&gt;="&amp;DATE(2026,12,15),'DRAFT 2'!$A:$A,"&lt;="&amp;DATE(2026,12,21))</f>
        <v/>
      </c>
      <c r="IV189" s="116">
        <f>COUNTIFS('DRAFT 2'!$D:$D,$B189,'DRAFT 2'!$A:$A,"&gt;="&amp;DATE(2026,12,22),'DRAFT 2'!$A:$A,"&lt;"&amp;DATE(2026,IF(12=12,12+1,12+1),1))</f>
        <v/>
      </c>
      <c r="IW189" s="116">
        <f>SUM(IS189:IV189)</f>
        <v/>
      </c>
    </row>
    <row r="190">
      <c r="A190" s="116">
        <f>IFERROR(INDEX('DRAFT 1'!$A:$A,MATCH($B190,'DRAFT 1'!$B:$B,0)),"")</f>
        <v/>
      </c>
      <c r="C190" s="116">
        <f>IFERROR(INDEX('DRAFT 1'!$C:$C,MATCH($B190,'DRAFT 1'!$B:$B,0)),"")</f>
        <v/>
      </c>
      <c r="D190" s="116">
        <f>IFERROR(INDEX('DRAFT 1'!$D:$D,MATCH($B190,'DRAFT 1'!$B:$B,0)),"")</f>
        <v/>
      </c>
      <c r="E190" s="116">
        <f>IFERROR(INDEX('DRAFT 1'!$E:$E,MATCH($B190,'DRAFT 1'!$B:$B,0)),"")</f>
        <v/>
      </c>
      <c r="F190" s="116">
        <f>IFERROR(INDEX('DRAFT 1'!$F:$F,MATCH($B190,'DRAFT 1'!$B:$B,0)),"")</f>
        <v/>
      </c>
      <c r="G190" s="116">
        <f>IFERROR(INDEX('DRAFT 1'!$G:$G,MATCH($B190,'DRAFT 1'!$B:$B,0)),"")</f>
        <v/>
      </c>
      <c r="H190" s="116">
        <f>IFERROR(INDEX('DRAFT 1'!$H:$H,MATCH($B190,'DRAFT 1'!$B:$B,0)),"")</f>
        <v/>
      </c>
      <c r="I190" s="116">
        <f>IFERROR(INDEX('DRAFT 1'!$I:$I,MATCH($B190,'DRAFT 1'!$B:$B,0)),"")</f>
        <v/>
      </c>
      <c r="K190" s="116">
        <f>IFERROR(INDEX('DRAFT 1'!$AL:$AL,MATCH($B190,'DRAFT 1'!$B:$B,0)),"")</f>
        <v/>
      </c>
      <c r="L190" s="116">
        <f>IFERROR(INDEX('DRAFT 1'!$J:$J,MATCH($B190,'DRAFT 1'!$B:$B,0)),"")</f>
        <v/>
      </c>
      <c r="M190" s="116">
        <f>IFERROR(INDEX('DRAFT 1'!$K:$K,MATCH($B190,'DRAFT 1'!$B:$B,0)),"")</f>
        <v/>
      </c>
      <c r="P190" s="116">
        <f>IFERROR(INDEX('DRAFT 1'!$L:$L,MATCH($B190,'DRAFT 1'!$B:$B,0)),"")</f>
        <v/>
      </c>
      <c r="Q190" s="116">
        <f>IFERROR(INDEX('DRAFT 1'!$M:$M,MATCH($B190,'DRAFT 1'!$B:$B,0)),"")</f>
        <v/>
      </c>
      <c r="R190" s="116">
        <f>IFERROR(INDEX('DRAFT 1'!$N:$N,MATCH($B190,'DRAFT 1'!$B:$B,0)),"")</f>
        <v/>
      </c>
      <c r="S190" s="116">
        <f>IFERROR(INDEX('DRAFT 1'!$O:$O,MATCH($B190,'DRAFT 1'!$B:$B,0)),"")</f>
        <v/>
      </c>
      <c r="T190" s="116">
        <f>IFERROR(INDEX('DRAFT 1'!$P:$P,MATCH($B190,'DRAFT 1'!$B:$B,0)),"")</f>
        <v/>
      </c>
      <c r="U190" s="116">
        <f>IFERROR(INDEX('DRAFT 1'!$Q:$Q,MATCH($B190,'DRAFT 1'!$B:$B,0)),"")</f>
        <v/>
      </c>
      <c r="V190" s="116">
        <f>IFERROR(INDEX('DRAFT 1'!$R:$R,MATCH($B190,'DRAFT 1'!$B:$B,0)),"")</f>
        <v/>
      </c>
      <c r="W190" s="116">
        <f>IFERROR(INDEX('DRAFT 1'!$S:$S,MATCH($B190,'DRAFT 1'!$B:$B,0)),"")</f>
        <v/>
      </c>
      <c r="X190" s="116">
        <f>IFERROR(INDEX('DRAFT 1'!$T:$T,MATCH($B190,'DRAFT 1'!$B:$B,0)),"")</f>
        <v/>
      </c>
      <c r="Z190" s="116">
        <f>IFERROR(INDEX('DRAFT 1'!$U:$U,MATCH($B190,'DRAFT 1'!$B:$B,0)),"")</f>
        <v/>
      </c>
      <c r="AA190" s="116">
        <f>IFERROR(INDEX('DRAFT 1'!$V:$V,MATCH($B190,'DRAFT 1'!$B:$B,0)),"")</f>
        <v/>
      </c>
      <c r="AB190" s="116">
        <f>IFERROR(INDEX('DRAFT 1'!$W:$W,MATCH($B190,'DRAFT 1'!$B:$B,0)),"")</f>
        <v/>
      </c>
      <c r="AC190" s="116">
        <f>IFERROR(INDEX('DRAFT 1'!$X:$X,MATCH($B190,'DRAFT 1'!$B:$B,0)),"")</f>
        <v/>
      </c>
      <c r="AD190" s="116">
        <f>IFERROR(INDEX('DRAFT 1'!$Y:$Y,MATCH($B190,'DRAFT 1'!$B:$B,0)),"")</f>
        <v/>
      </c>
      <c r="AE190" s="116">
        <f>IFERROR(INDEX('DRAFT 1'!$Z:$Z,MATCH($B190,'DRAFT 1'!$B:$B,0)),"")</f>
        <v/>
      </c>
      <c r="AF190" s="116">
        <f>IFERROR(INDEX('DRAFT 1'!$AA:$AA,MATCH($B190,'DRAFT 1'!$B:$B,0)),"")</f>
        <v/>
      </c>
      <c r="AG190" s="116">
        <f>IFERROR(INDEX('DRAFT 1'!$AB:$AB,MATCH($B190,'DRAFT 1'!$B:$B,0)),"")</f>
        <v/>
      </c>
      <c r="AH190" s="116">
        <f>IFERROR(INDEX('DRAFT 1'!$AC:$AC,MATCH($B190,'DRAFT 1'!$B:$B,0)),"")</f>
        <v/>
      </c>
      <c r="AI190" s="116">
        <f>IFERROR(INDEX('DRAFT 1'!$AD:$AD,MATCH($B190,'DRAFT 1'!$B:$B,0)),"")</f>
        <v/>
      </c>
      <c r="AJ190" s="116">
        <f>IFERROR(INDEX('DRAFT 1'!$AE:$AE,MATCH($B190,'DRAFT 1'!$B:$B,0)),"")</f>
        <v/>
      </c>
      <c r="AK190" s="116">
        <f>IFERROR(INDEX('DRAFT 1'!$AG:$AG,MATCH($B190,'DRAFT 1'!$B:$B,0)),"")</f>
        <v/>
      </c>
      <c r="AL190" s="116">
        <f>IFERROR(INDEX('DRAFT 1'!$AH:$AH,MATCH($B190,'DRAFT 1'!$B:$B,0)),"")</f>
        <v/>
      </c>
      <c r="AM190" s="116">
        <f>IFERROR(INDEX('DRAFT 1'!$AI:$AI,MATCH($B190,'DRAFT 1'!$B:$B,0)),"")</f>
        <v/>
      </c>
      <c r="AN190" s="116">
        <f>IFERROR(INDEX('DRAFT 1'!$AJ:$AJ,MATCH($B190,'DRAFT 1'!$B:$B,0)),"")</f>
        <v/>
      </c>
      <c r="AO190" s="116">
        <f>IFERROR(Y190/AN190,0)</f>
        <v/>
      </c>
      <c r="AP190" s="116">
        <f>IFERROR(INDEX('DRAFT 1'!$AK:$AK,MATCH($B190,'DRAFT 1'!$B:$B,0)),"")</f>
        <v/>
      </c>
      <c r="AR190" s="116">
        <f>IFERROR(LOOKUP(2,1/('DRAFT 2'!$D:$D=$B190),'DRAFT 2'!$I:$I),"")</f>
        <v/>
      </c>
      <c r="AS190" s="116">
        <f>IFERROR(LOOKUP(2,1/('DRAFT 2'!$D:$D=$B190),'DRAFT 2'!$T:$T),"")</f>
        <v/>
      </c>
      <c r="AT190" s="116">
        <f>IFERROR(LOOKUP(2,1/('DRAFT 2'!$D:$D=$B190),'DRAFT 2'!$A:$A),"")</f>
        <v/>
      </c>
      <c r="AU190" s="116">
        <f>IFERROR(LOOKUP(2,1/('DRAFT 2'!$D:$D=$B190),'DRAFT 2'!$R:$R),"")</f>
        <v/>
      </c>
      <c r="AV190" s="116">
        <f>IFERROR(LOOKUP(2,1/('DRAFT 2'!$D:$D=$B190),'DRAFT 2'!$S:$S),"")</f>
        <v/>
      </c>
      <c r="AX190" s="116">
        <f>IFERROR(LOOKUP(2,1/('DRAFT 2'!$D:$D=$B190),'DRAFT 2'!$M:$M),"")</f>
        <v/>
      </c>
      <c r="AY190" s="116">
        <f>IFERROR(LOOKUP(2,1/('DRAFT 2'!$D:$D=$B190),'DRAFT 2'!$K:$K),"")</f>
        <v/>
      </c>
      <c r="BG190" s="116">
        <f>IFERROR(LOOKUP(2,1/('DRAFT 2'!$D:$D=$B190),'DRAFT 2'!$U:$U),"")</f>
        <v/>
      </c>
      <c r="BH190" s="116">
        <f>IFERROR(LOOKUP(2,1/('DRAFT 2'!$D:$D=$B190),'DRAFT 2'!$V:$V),"")</f>
        <v/>
      </c>
      <c r="CE190" s="116">
        <f>IFERROR(AJ190,0)</f>
        <v/>
      </c>
      <c r="CF190" s="116">
        <f>IFERROR(LOOKUP(2,1/('DRAFT 2'!$D:$D=$B190)*('DRAFT 2'!$A:$A&gt;=DATE(2026,1,1))*('DRAFT 2'!$A:$A&lt;DATE(2026,IF(1=12,1+1,1+1),1)),'DRAFT 2'!$A:$A),"")</f>
        <v/>
      </c>
      <c r="CG190" s="116">
        <f>COUNTIFS('DRAFT 2'!$D:$D,$B190,'DRAFT 2'!$A:$A,"&gt;="&amp;DATE(2026,1,1),'DRAFT 2'!$A:$A,"&lt;="&amp;DATE(2026,1,7))</f>
        <v/>
      </c>
      <c r="CH190" s="116">
        <f>COUNTIFS('DRAFT 2'!$D:$D,$B190,'DRAFT 2'!$A:$A,"&gt;="&amp;DATE(2026,1,8),'DRAFT 2'!$A:$A,"&lt;="&amp;DATE(2026,1,14))</f>
        <v/>
      </c>
      <c r="CI190" s="116">
        <f>COUNTIFS('DRAFT 2'!$D:$D,$B190,'DRAFT 2'!$A:$A,"&gt;="&amp;DATE(2026,1,15),'DRAFT 2'!$A:$A,"&lt;="&amp;DATE(2026,1,21))</f>
        <v/>
      </c>
      <c r="CJ190" s="116">
        <f>COUNTIFS('DRAFT 2'!$D:$D,$B190,'DRAFT 2'!$A:$A,"&gt;="&amp;DATE(2026,1,22),'DRAFT 2'!$A:$A,"&lt;"&amp;DATE(2026,IF(1=12,1+1,1+1),1))</f>
        <v/>
      </c>
      <c r="CK190" s="116">
        <f>SUM(CG190:CJ190)</f>
        <v/>
      </c>
      <c r="CT190" s="116" t="n">
        <v>0</v>
      </c>
      <c r="CU190" s="116">
        <f>IFERROR(LOOKUP(2,1/('DRAFT 2'!$D:$D=$B190)*('DRAFT 2'!$A:$A&gt;=DATE(2026,2,1))*('DRAFT 2'!$A:$A&lt;DATE(2026,IF(2=12,2+1,2+1),1)),'DRAFT 2'!$A:$A),"")</f>
        <v/>
      </c>
      <c r="CV190" s="116">
        <f>COUNTIFS('DRAFT 2'!$D:$D,$B190,'DRAFT 2'!$A:$A,"&gt;="&amp;DATE(2026,2,1),'DRAFT 2'!$A:$A,"&lt;="&amp;DATE(2026,2,7))</f>
        <v/>
      </c>
      <c r="CW190" s="116">
        <f>COUNTIFS('DRAFT 2'!$D:$D,$B190,'DRAFT 2'!$A:$A,"&gt;="&amp;DATE(2026,2,8),'DRAFT 2'!$A:$A,"&lt;="&amp;DATE(2026,2,14))</f>
        <v/>
      </c>
      <c r="CX190" s="116">
        <f>COUNTIFS('DRAFT 2'!$D:$D,$B190,'DRAFT 2'!$A:$A,"&gt;="&amp;DATE(2026,2,15),'DRAFT 2'!$A:$A,"&lt;="&amp;DATE(2026,2,21))</f>
        <v/>
      </c>
      <c r="CY190" s="116">
        <f>COUNTIFS('DRAFT 2'!$D:$D,$B190,'DRAFT 2'!$A:$A,"&gt;="&amp;DATE(2026,2,22),'DRAFT 2'!$A:$A,"&lt;"&amp;DATE(2026,IF(2=12,2+1,2+1),1))</f>
        <v/>
      </c>
      <c r="CZ190" s="116">
        <f>SUM(CV190:CY190)</f>
        <v/>
      </c>
      <c r="DJ190" s="116">
        <f>IFERROR(LOOKUP(2,1/('DRAFT 2'!$D:$D=$B190)*('DRAFT 2'!$A:$A&gt;=DATE(2026,3,1))*('DRAFT 2'!$A:$A&lt;DATE(2026,IF(3=12,3+1,3+1),1)),'DRAFT 2'!$A:$A),"")</f>
        <v/>
      </c>
      <c r="DK190" s="116">
        <f>COUNTIFS('DRAFT 2'!$D:$D,$B190,'DRAFT 2'!$A:$A,"&gt;="&amp;DATE(2026,3,1),'DRAFT 2'!$A:$A,"&lt;="&amp;DATE(2026,3,7))</f>
        <v/>
      </c>
      <c r="DL190" s="116">
        <f>COUNTIFS('DRAFT 2'!$D:$D,$B190,'DRAFT 2'!$A:$A,"&gt;="&amp;DATE(2026,3,8),'DRAFT 2'!$A:$A,"&lt;="&amp;DATE(2026,3,14))</f>
        <v/>
      </c>
      <c r="DM190" s="116">
        <f>COUNTIFS('DRAFT 2'!$D:$D,$B190,'DRAFT 2'!$A:$A,"&gt;="&amp;DATE(2026,3,15),'DRAFT 2'!$A:$A,"&lt;="&amp;DATE(2026,3,21))</f>
        <v/>
      </c>
      <c r="DN190" s="116">
        <f>COUNTIFS('DRAFT 2'!$D:$D,$B190,'DRAFT 2'!$A:$A,"&gt;="&amp;DATE(2026,3,22),'DRAFT 2'!$A:$A,"&lt;"&amp;DATE(2026,IF(3=12,3+1,3+1),1))</f>
        <v/>
      </c>
      <c r="DO190" s="116">
        <f>SUM(DK190:DN190)</f>
        <v/>
      </c>
      <c r="DZ190" s="116">
        <f>IFERROR(LOOKUP(2,1/('DRAFT 2'!$D:$D=$B190)*('DRAFT 2'!$A:$A&gt;=DATE(2026,4,1))*('DRAFT 2'!$A:$A&lt;DATE(2026,IF(4=12,4+1,4+1),1)),'DRAFT 2'!$A:$A),"")</f>
        <v/>
      </c>
      <c r="EA190" s="116">
        <f>COUNTIFS('DRAFT 2'!$D:$D,$B190,'DRAFT 2'!$A:$A,"&gt;="&amp;DATE(2026,4,1),'DRAFT 2'!$A:$A,"&lt;="&amp;DATE(2026,4,7))</f>
        <v/>
      </c>
      <c r="EB190" s="116">
        <f>COUNTIFS('DRAFT 2'!$D:$D,$B190,'DRAFT 2'!$A:$A,"&gt;="&amp;DATE(2026,4,8),'DRAFT 2'!$A:$A,"&lt;="&amp;DATE(2026,4,14))</f>
        <v/>
      </c>
      <c r="EC190" s="116">
        <f>COUNTIFS('DRAFT 2'!$D:$D,$B190,'DRAFT 2'!$A:$A,"&gt;="&amp;DATE(2026,4,15),'DRAFT 2'!$A:$A,"&lt;="&amp;DATE(2026,4,21))</f>
        <v/>
      </c>
      <c r="ED190" s="116">
        <f>COUNTIFS('DRAFT 2'!$D:$D,$B190,'DRAFT 2'!$A:$A,"&gt;="&amp;DATE(2026,4,22),'DRAFT 2'!$A:$A,"&lt;"&amp;DATE(2026,IF(4=12,4+1,4+1),1))</f>
        <v/>
      </c>
      <c r="EE190" s="116">
        <f>SUM(EA190:ED190)</f>
        <v/>
      </c>
      <c r="EO190" s="116">
        <f>IFERROR(LOOKUP(2,1/('DRAFT 2'!$D:$D=$B190)*('DRAFT 2'!$A:$A&gt;=DATE(2026,5,1))*('DRAFT 2'!$A:$A&lt;DATE(2026,IF(5=12,5+1,5+1),1)),'DRAFT 2'!$A:$A),"")</f>
        <v/>
      </c>
      <c r="EP190" s="116">
        <f>COUNTIFS('DRAFT 2'!$D:$D,$B190,'DRAFT 2'!$A:$A,"&gt;="&amp;DATE(2026,5,1),'DRAFT 2'!$A:$A,"&lt;="&amp;DATE(2026,5,7))</f>
        <v/>
      </c>
      <c r="EQ190" s="116">
        <f>COUNTIFS('DRAFT 2'!$D:$D,$B190,'DRAFT 2'!$A:$A,"&gt;="&amp;DATE(2026,5,8),'DRAFT 2'!$A:$A,"&lt;="&amp;DATE(2026,5,14))</f>
        <v/>
      </c>
      <c r="ER190" s="116">
        <f>COUNTIFS('DRAFT 2'!$D:$D,$B190,'DRAFT 2'!$A:$A,"&gt;="&amp;DATE(2026,5,15),'DRAFT 2'!$A:$A,"&lt;="&amp;DATE(2026,5,21))</f>
        <v/>
      </c>
      <c r="ES190" s="116">
        <f>COUNTIFS('DRAFT 2'!$D:$D,$B190,'DRAFT 2'!$A:$A,"&gt;="&amp;DATE(2026,5,22),'DRAFT 2'!$A:$A,"&lt;"&amp;DATE(2026,IF(5=12,5+1,5+1),1))</f>
        <v/>
      </c>
      <c r="ET190" s="116">
        <f>SUM(EP190:ES190)</f>
        <v/>
      </c>
      <c r="FD190" s="116">
        <f>IFERROR(LOOKUP(2,1/('DRAFT 2'!$D:$D=$B190)*('DRAFT 2'!$A:$A&gt;=DATE(2026,6,1))*('DRAFT 2'!$A:$A&lt;DATE(2026,IF(6=12,6+1,6+1),1)),'DRAFT 2'!$A:$A),"")</f>
        <v/>
      </c>
      <c r="FE190" s="116">
        <f>COUNTIFS('DRAFT 2'!$D:$D,$B190,'DRAFT 2'!$A:$A,"&gt;="&amp;DATE(2026,6,1),'DRAFT 2'!$A:$A,"&lt;="&amp;DATE(2026,6,7))</f>
        <v/>
      </c>
      <c r="FF190" s="116">
        <f>COUNTIFS('DRAFT 2'!$D:$D,$B190,'DRAFT 2'!$A:$A,"&gt;="&amp;DATE(2026,6,8),'DRAFT 2'!$A:$A,"&lt;="&amp;DATE(2026,6,14))</f>
        <v/>
      </c>
      <c r="FG190" s="116">
        <f>COUNTIFS('DRAFT 2'!$D:$D,$B190,'DRAFT 2'!$A:$A,"&gt;="&amp;DATE(2026,6,15),'DRAFT 2'!$A:$A,"&lt;="&amp;DATE(2026,6,21))</f>
        <v/>
      </c>
      <c r="FH190" s="116">
        <f>COUNTIFS('DRAFT 2'!$D:$D,$B190,'DRAFT 2'!$A:$A,"&gt;="&amp;DATE(2026,6,22),'DRAFT 2'!$A:$A,"&lt;"&amp;DATE(2026,IF(6=12,6+1,6+1),1))</f>
        <v/>
      </c>
      <c r="FI190" s="116">
        <f>SUM(FE190:FH190)</f>
        <v/>
      </c>
      <c r="FT190" s="116">
        <f>IFERROR(LOOKUP(2,1/('DRAFT 2'!$D:$D=$B190)*('DRAFT 2'!$A:$A&gt;=DATE(2026,7,1))*('DRAFT 2'!$A:$A&lt;DATE(2026,IF(7=12,7+1,7+1),1)),'DRAFT 2'!$A:$A),"")</f>
        <v/>
      </c>
      <c r="FU190" s="116">
        <f>COUNTIFS('DRAFT 2'!$D:$D,$B190,'DRAFT 2'!$A:$A,"&gt;="&amp;DATE(2026,7,1),'DRAFT 2'!$A:$A,"&lt;="&amp;DATE(2026,7,7))</f>
        <v/>
      </c>
      <c r="FV190" s="116">
        <f>COUNTIFS('DRAFT 2'!$D:$D,$B190,'DRAFT 2'!$A:$A,"&gt;="&amp;DATE(2026,7,8),'DRAFT 2'!$A:$A,"&lt;="&amp;DATE(2026,7,14))</f>
        <v/>
      </c>
      <c r="FW190" s="116">
        <f>COUNTIFS('DRAFT 2'!$D:$D,$B190,'DRAFT 2'!$A:$A,"&gt;="&amp;DATE(2026,7,15),'DRAFT 2'!$A:$A,"&lt;="&amp;DATE(2026,7,21))</f>
        <v/>
      </c>
      <c r="FX190" s="116">
        <f>COUNTIFS('DRAFT 2'!$D:$D,$B190,'DRAFT 2'!$A:$A,"&gt;="&amp;DATE(2026,7,22),'DRAFT 2'!$A:$A,"&lt;"&amp;DATE(2026,IF(7=12,7+1,7+1),1))</f>
        <v/>
      </c>
      <c r="FY190" s="116">
        <f>SUM(FU190:FX190)</f>
        <v/>
      </c>
      <c r="GI190" s="116">
        <f>IFERROR(LOOKUP(2,1/('DRAFT 2'!$D:$D=$B190)*('DRAFT 2'!$A:$A&gt;=DATE(2026,8,1))*('DRAFT 2'!$A:$A&lt;DATE(2026,IF(8=12,8+1,8+1),1)),'DRAFT 2'!$A:$A),"")</f>
        <v/>
      </c>
      <c r="GJ190" s="116">
        <f>COUNTIFS('DRAFT 2'!$D:$D,$B190,'DRAFT 2'!$A:$A,"&gt;="&amp;DATE(2026,8,1),'DRAFT 2'!$A:$A,"&lt;="&amp;DATE(2026,8,7))</f>
        <v/>
      </c>
      <c r="GK190" s="116">
        <f>COUNTIFS('DRAFT 2'!$D:$D,$B190,'DRAFT 2'!$A:$A,"&gt;="&amp;DATE(2026,8,8),'DRAFT 2'!$A:$A,"&lt;="&amp;DATE(2026,8,14))</f>
        <v/>
      </c>
      <c r="GL190" s="116">
        <f>COUNTIFS('DRAFT 2'!$D:$D,$B190,'DRAFT 2'!$A:$A,"&gt;="&amp;DATE(2026,8,15),'DRAFT 2'!$A:$A,"&lt;="&amp;DATE(2026,8,21))</f>
        <v/>
      </c>
      <c r="GM190" s="116">
        <f>COUNTIFS('DRAFT 2'!$D:$D,$B190,'DRAFT 2'!$A:$A,"&gt;="&amp;DATE(2026,8,22),'DRAFT 2'!$A:$A,"&lt;"&amp;DATE(2026,IF(8=12,8+1,8+1),1))</f>
        <v/>
      </c>
      <c r="GN190" s="116">
        <f>SUM(GJ190:GM190)</f>
        <v/>
      </c>
      <c r="GX190" s="116">
        <f>IFERROR(LOOKUP(2,1/('DRAFT 2'!$D:$D=$B190)*('DRAFT 2'!$A:$A&gt;=DATE(2026,9,1))*('DRAFT 2'!$A:$A&lt;DATE(2026,IF(9=12,9+1,9+1),1)),'DRAFT 2'!$A:$A),"")</f>
        <v/>
      </c>
      <c r="GY190" s="116">
        <f>COUNTIFS('DRAFT 2'!$D:$D,$B190,'DRAFT 2'!$A:$A,"&gt;="&amp;DATE(2026,9,1),'DRAFT 2'!$A:$A,"&lt;="&amp;DATE(2026,9,7))</f>
        <v/>
      </c>
      <c r="GZ190" s="116">
        <f>COUNTIFS('DRAFT 2'!$D:$D,$B190,'DRAFT 2'!$A:$A,"&gt;="&amp;DATE(2026,9,8),'DRAFT 2'!$A:$A,"&lt;="&amp;DATE(2026,9,14))</f>
        <v/>
      </c>
      <c r="HA190" s="116">
        <f>COUNTIFS('DRAFT 2'!$D:$D,$B190,'DRAFT 2'!$A:$A,"&gt;="&amp;DATE(2026,9,15),'DRAFT 2'!$A:$A,"&lt;="&amp;DATE(2026,9,21))</f>
        <v/>
      </c>
      <c r="HB190" s="116">
        <f>COUNTIFS('DRAFT 2'!$D:$D,$B190,'DRAFT 2'!$A:$A,"&gt;="&amp;DATE(2026,9,22),'DRAFT 2'!$A:$A,"&lt;"&amp;DATE(2026,IF(9=12,9+1,9+1),1))</f>
        <v/>
      </c>
      <c r="HC190" s="116">
        <f>SUM(GY190:HB190)</f>
        <v/>
      </c>
      <c r="HN190" s="116">
        <f>IFERROR(LOOKUP(2,1/('DRAFT 2'!$D:$D=$B190)*('DRAFT 2'!$A:$A&gt;=DATE(2026,10,1))*('DRAFT 2'!$A:$A&lt;DATE(2026,IF(10=12,10+1,10+1),1)),'DRAFT 2'!$A:$A),"")</f>
        <v/>
      </c>
      <c r="HO190" s="116">
        <f>COUNTIFS('DRAFT 2'!$D:$D,$B190,'DRAFT 2'!$A:$A,"&gt;="&amp;DATE(2026,10,1),'DRAFT 2'!$A:$A,"&lt;="&amp;DATE(2026,10,7))</f>
        <v/>
      </c>
      <c r="HP190" s="116">
        <f>COUNTIFS('DRAFT 2'!$D:$D,$B190,'DRAFT 2'!$A:$A,"&gt;="&amp;DATE(2026,10,8),'DRAFT 2'!$A:$A,"&lt;="&amp;DATE(2026,10,14))</f>
        <v/>
      </c>
      <c r="HQ190" s="116">
        <f>COUNTIFS('DRAFT 2'!$D:$D,$B190,'DRAFT 2'!$A:$A,"&gt;="&amp;DATE(2026,10,15),'DRAFT 2'!$A:$A,"&lt;="&amp;DATE(2026,10,21))</f>
        <v/>
      </c>
      <c r="HR190" s="116">
        <f>COUNTIFS('DRAFT 2'!$D:$D,$B190,'DRAFT 2'!$A:$A,"&gt;="&amp;DATE(2026,10,22),'DRAFT 2'!$A:$A,"&lt;"&amp;DATE(2026,IF(10=12,10+1,10+1),1))</f>
        <v/>
      </c>
      <c r="HS190" s="116">
        <f>SUM(HO190:HR190)</f>
        <v/>
      </c>
      <c r="IC190" s="116">
        <f>IFERROR(LOOKUP(2,1/('DRAFT 2'!$D:$D=$B190)*('DRAFT 2'!$A:$A&gt;=DATE(2026,11,1))*('DRAFT 2'!$A:$A&lt;DATE(2026,IF(11=12,11+1,11+1),1)),'DRAFT 2'!$A:$A),"")</f>
        <v/>
      </c>
      <c r="ID190" s="116">
        <f>COUNTIFS('DRAFT 2'!$D:$D,$B190,'DRAFT 2'!$A:$A,"&gt;="&amp;DATE(2026,11,1),'DRAFT 2'!$A:$A,"&lt;="&amp;DATE(2026,11,7))</f>
        <v/>
      </c>
      <c r="IE190" s="116">
        <f>COUNTIFS('DRAFT 2'!$D:$D,$B190,'DRAFT 2'!$A:$A,"&gt;="&amp;DATE(2026,11,8),'DRAFT 2'!$A:$A,"&lt;="&amp;DATE(2026,11,14))</f>
        <v/>
      </c>
      <c r="IF190" s="116">
        <f>COUNTIFS('DRAFT 2'!$D:$D,$B190,'DRAFT 2'!$A:$A,"&gt;="&amp;DATE(2026,11,15),'DRAFT 2'!$A:$A,"&lt;="&amp;DATE(2026,11,21))</f>
        <v/>
      </c>
      <c r="IG190" s="116">
        <f>COUNTIFS('DRAFT 2'!$D:$D,$B190,'DRAFT 2'!$A:$A,"&gt;="&amp;DATE(2026,11,22),'DRAFT 2'!$A:$A,"&lt;"&amp;DATE(2026,IF(11=12,11+1,11+1),1))</f>
        <v/>
      </c>
      <c r="IH190" s="116">
        <f>SUM(ID190:IG190)</f>
        <v/>
      </c>
      <c r="IR190" s="116">
        <f>IFERROR(LOOKUP(2,1/('DRAFT 2'!$D:$D=$B190)*('DRAFT 2'!$A:$A&gt;=DATE(2026,12,1))*('DRAFT 2'!$A:$A&lt;DATE(2026,IF(12=12,12+1,12+1),1)),'DRAFT 2'!$A:$A),"")</f>
        <v/>
      </c>
      <c r="IS190" s="116">
        <f>COUNTIFS('DRAFT 2'!$D:$D,$B190,'DRAFT 2'!$A:$A,"&gt;="&amp;DATE(2026,12,1),'DRAFT 2'!$A:$A,"&lt;="&amp;DATE(2026,12,7))</f>
        <v/>
      </c>
      <c r="IT190" s="116">
        <f>COUNTIFS('DRAFT 2'!$D:$D,$B190,'DRAFT 2'!$A:$A,"&gt;="&amp;DATE(2026,12,8),'DRAFT 2'!$A:$A,"&lt;="&amp;DATE(2026,12,14))</f>
        <v/>
      </c>
      <c r="IU190" s="116">
        <f>COUNTIFS('DRAFT 2'!$D:$D,$B190,'DRAFT 2'!$A:$A,"&gt;="&amp;DATE(2026,12,15),'DRAFT 2'!$A:$A,"&lt;="&amp;DATE(2026,12,21))</f>
        <v/>
      </c>
      <c r="IV190" s="116">
        <f>COUNTIFS('DRAFT 2'!$D:$D,$B190,'DRAFT 2'!$A:$A,"&gt;="&amp;DATE(2026,12,22),'DRAFT 2'!$A:$A,"&lt;"&amp;DATE(2026,IF(12=12,12+1,12+1),1))</f>
        <v/>
      </c>
      <c r="IW190" s="116">
        <f>SUM(IS190:IV190)</f>
        <v/>
      </c>
    </row>
    <row r="191">
      <c r="A191" s="116">
        <f>IFERROR(INDEX('DRAFT 1'!$A:$A,MATCH($B191,'DRAFT 1'!$B:$B,0)),"")</f>
        <v/>
      </c>
      <c r="C191" s="116">
        <f>IFERROR(INDEX('DRAFT 1'!$C:$C,MATCH($B191,'DRAFT 1'!$B:$B,0)),"")</f>
        <v/>
      </c>
      <c r="D191" s="116">
        <f>IFERROR(INDEX('DRAFT 1'!$D:$D,MATCH($B191,'DRAFT 1'!$B:$B,0)),"")</f>
        <v/>
      </c>
      <c r="E191" s="116">
        <f>IFERROR(INDEX('DRAFT 1'!$E:$E,MATCH($B191,'DRAFT 1'!$B:$B,0)),"")</f>
        <v/>
      </c>
      <c r="F191" s="116">
        <f>IFERROR(INDEX('DRAFT 1'!$F:$F,MATCH($B191,'DRAFT 1'!$B:$B,0)),"")</f>
        <v/>
      </c>
      <c r="G191" s="116">
        <f>IFERROR(INDEX('DRAFT 1'!$G:$G,MATCH($B191,'DRAFT 1'!$B:$B,0)),"")</f>
        <v/>
      </c>
      <c r="H191" s="116">
        <f>IFERROR(INDEX('DRAFT 1'!$H:$H,MATCH($B191,'DRAFT 1'!$B:$B,0)),"")</f>
        <v/>
      </c>
      <c r="I191" s="116">
        <f>IFERROR(INDEX('DRAFT 1'!$I:$I,MATCH($B191,'DRAFT 1'!$B:$B,0)),"")</f>
        <v/>
      </c>
      <c r="K191" s="116">
        <f>IFERROR(INDEX('DRAFT 1'!$AL:$AL,MATCH($B191,'DRAFT 1'!$B:$B,0)),"")</f>
        <v/>
      </c>
      <c r="L191" s="116">
        <f>IFERROR(INDEX('DRAFT 1'!$J:$J,MATCH($B191,'DRAFT 1'!$B:$B,0)),"")</f>
        <v/>
      </c>
      <c r="M191" s="116">
        <f>IFERROR(INDEX('DRAFT 1'!$K:$K,MATCH($B191,'DRAFT 1'!$B:$B,0)),"")</f>
        <v/>
      </c>
      <c r="P191" s="116">
        <f>IFERROR(INDEX('DRAFT 1'!$L:$L,MATCH($B191,'DRAFT 1'!$B:$B,0)),"")</f>
        <v/>
      </c>
      <c r="Q191" s="116">
        <f>IFERROR(INDEX('DRAFT 1'!$M:$M,MATCH($B191,'DRAFT 1'!$B:$B,0)),"")</f>
        <v/>
      </c>
      <c r="R191" s="116">
        <f>IFERROR(INDEX('DRAFT 1'!$N:$N,MATCH($B191,'DRAFT 1'!$B:$B,0)),"")</f>
        <v/>
      </c>
      <c r="S191" s="116">
        <f>IFERROR(INDEX('DRAFT 1'!$O:$O,MATCH($B191,'DRAFT 1'!$B:$B,0)),"")</f>
        <v/>
      </c>
      <c r="T191" s="116">
        <f>IFERROR(INDEX('DRAFT 1'!$P:$P,MATCH($B191,'DRAFT 1'!$B:$B,0)),"")</f>
        <v/>
      </c>
      <c r="U191" s="116">
        <f>IFERROR(INDEX('DRAFT 1'!$Q:$Q,MATCH($B191,'DRAFT 1'!$B:$B,0)),"")</f>
        <v/>
      </c>
      <c r="V191" s="116">
        <f>IFERROR(INDEX('DRAFT 1'!$R:$R,MATCH($B191,'DRAFT 1'!$B:$B,0)),"")</f>
        <v/>
      </c>
      <c r="W191" s="116">
        <f>IFERROR(INDEX('DRAFT 1'!$S:$S,MATCH($B191,'DRAFT 1'!$B:$B,0)),"")</f>
        <v/>
      </c>
      <c r="X191" s="116">
        <f>IFERROR(INDEX('DRAFT 1'!$T:$T,MATCH($B191,'DRAFT 1'!$B:$B,0)),"")</f>
        <v/>
      </c>
      <c r="Z191" s="116">
        <f>IFERROR(INDEX('DRAFT 1'!$U:$U,MATCH($B191,'DRAFT 1'!$B:$B,0)),"")</f>
        <v/>
      </c>
      <c r="AA191" s="116">
        <f>IFERROR(INDEX('DRAFT 1'!$V:$V,MATCH($B191,'DRAFT 1'!$B:$B,0)),"")</f>
        <v/>
      </c>
      <c r="AB191" s="116">
        <f>IFERROR(INDEX('DRAFT 1'!$W:$W,MATCH($B191,'DRAFT 1'!$B:$B,0)),"")</f>
        <v/>
      </c>
      <c r="AC191" s="116">
        <f>IFERROR(INDEX('DRAFT 1'!$X:$X,MATCH($B191,'DRAFT 1'!$B:$B,0)),"")</f>
        <v/>
      </c>
      <c r="AD191" s="116">
        <f>IFERROR(INDEX('DRAFT 1'!$Y:$Y,MATCH($B191,'DRAFT 1'!$B:$B,0)),"")</f>
        <v/>
      </c>
      <c r="AE191" s="116">
        <f>IFERROR(INDEX('DRAFT 1'!$Z:$Z,MATCH($B191,'DRAFT 1'!$B:$B,0)),"")</f>
        <v/>
      </c>
      <c r="AF191" s="116">
        <f>IFERROR(INDEX('DRAFT 1'!$AA:$AA,MATCH($B191,'DRAFT 1'!$B:$B,0)),"")</f>
        <v/>
      </c>
      <c r="AG191" s="116">
        <f>IFERROR(INDEX('DRAFT 1'!$AB:$AB,MATCH($B191,'DRAFT 1'!$B:$B,0)),"")</f>
        <v/>
      </c>
      <c r="AH191" s="116">
        <f>IFERROR(INDEX('DRAFT 1'!$AC:$AC,MATCH($B191,'DRAFT 1'!$B:$B,0)),"")</f>
        <v/>
      </c>
      <c r="AI191" s="116">
        <f>IFERROR(INDEX('DRAFT 1'!$AD:$AD,MATCH($B191,'DRAFT 1'!$B:$B,0)),"")</f>
        <v/>
      </c>
      <c r="AJ191" s="116">
        <f>IFERROR(INDEX('DRAFT 1'!$AE:$AE,MATCH($B191,'DRAFT 1'!$B:$B,0)),"")</f>
        <v/>
      </c>
      <c r="AK191" s="116">
        <f>IFERROR(INDEX('DRAFT 1'!$AG:$AG,MATCH($B191,'DRAFT 1'!$B:$B,0)),"")</f>
        <v/>
      </c>
      <c r="AL191" s="116">
        <f>IFERROR(INDEX('DRAFT 1'!$AH:$AH,MATCH($B191,'DRAFT 1'!$B:$B,0)),"")</f>
        <v/>
      </c>
      <c r="AM191" s="116">
        <f>IFERROR(INDEX('DRAFT 1'!$AI:$AI,MATCH($B191,'DRAFT 1'!$B:$B,0)),"")</f>
        <v/>
      </c>
      <c r="AN191" s="116">
        <f>IFERROR(INDEX('DRAFT 1'!$AJ:$AJ,MATCH($B191,'DRAFT 1'!$B:$B,0)),"")</f>
        <v/>
      </c>
      <c r="AO191" s="116">
        <f>IFERROR(Y191/AN191,0)</f>
        <v/>
      </c>
      <c r="AP191" s="116">
        <f>IFERROR(INDEX('DRAFT 1'!$AK:$AK,MATCH($B191,'DRAFT 1'!$B:$B,0)),"")</f>
        <v/>
      </c>
      <c r="AR191" s="116">
        <f>IFERROR(LOOKUP(2,1/('DRAFT 2'!$D:$D=$B191),'DRAFT 2'!$I:$I),"")</f>
        <v/>
      </c>
      <c r="AS191" s="116">
        <f>IFERROR(LOOKUP(2,1/('DRAFT 2'!$D:$D=$B191),'DRAFT 2'!$T:$T),"")</f>
        <v/>
      </c>
      <c r="AT191" s="116">
        <f>IFERROR(LOOKUP(2,1/('DRAFT 2'!$D:$D=$B191),'DRAFT 2'!$A:$A),"")</f>
        <v/>
      </c>
      <c r="AU191" s="116">
        <f>IFERROR(LOOKUP(2,1/('DRAFT 2'!$D:$D=$B191),'DRAFT 2'!$R:$R),"")</f>
        <v/>
      </c>
      <c r="AV191" s="116">
        <f>IFERROR(LOOKUP(2,1/('DRAFT 2'!$D:$D=$B191),'DRAFT 2'!$S:$S),"")</f>
        <v/>
      </c>
      <c r="AX191" s="116">
        <f>IFERROR(LOOKUP(2,1/('DRAFT 2'!$D:$D=$B191),'DRAFT 2'!$M:$M),"")</f>
        <v/>
      </c>
      <c r="AY191" s="116">
        <f>IFERROR(LOOKUP(2,1/('DRAFT 2'!$D:$D=$B191),'DRAFT 2'!$K:$K),"")</f>
        <v/>
      </c>
      <c r="BG191" s="116">
        <f>IFERROR(LOOKUP(2,1/('DRAFT 2'!$D:$D=$B191),'DRAFT 2'!$U:$U),"")</f>
        <v/>
      </c>
      <c r="BH191" s="116">
        <f>IFERROR(LOOKUP(2,1/('DRAFT 2'!$D:$D=$B191),'DRAFT 2'!$V:$V),"")</f>
        <v/>
      </c>
      <c r="CE191" s="116">
        <f>IFERROR(AJ191,0)</f>
        <v/>
      </c>
      <c r="CF191" s="116">
        <f>IFERROR(LOOKUP(2,1/('DRAFT 2'!$D:$D=$B191)*('DRAFT 2'!$A:$A&gt;=DATE(2026,1,1))*('DRAFT 2'!$A:$A&lt;DATE(2026,IF(1=12,1+1,1+1),1)),'DRAFT 2'!$A:$A),"")</f>
        <v/>
      </c>
      <c r="CG191" s="116">
        <f>COUNTIFS('DRAFT 2'!$D:$D,$B191,'DRAFT 2'!$A:$A,"&gt;="&amp;DATE(2026,1,1),'DRAFT 2'!$A:$A,"&lt;="&amp;DATE(2026,1,7))</f>
        <v/>
      </c>
      <c r="CH191" s="116">
        <f>COUNTIFS('DRAFT 2'!$D:$D,$B191,'DRAFT 2'!$A:$A,"&gt;="&amp;DATE(2026,1,8),'DRAFT 2'!$A:$A,"&lt;="&amp;DATE(2026,1,14))</f>
        <v/>
      </c>
      <c r="CI191" s="116">
        <f>COUNTIFS('DRAFT 2'!$D:$D,$B191,'DRAFT 2'!$A:$A,"&gt;="&amp;DATE(2026,1,15),'DRAFT 2'!$A:$A,"&lt;="&amp;DATE(2026,1,21))</f>
        <v/>
      </c>
      <c r="CJ191" s="116">
        <f>COUNTIFS('DRAFT 2'!$D:$D,$B191,'DRAFT 2'!$A:$A,"&gt;="&amp;DATE(2026,1,22),'DRAFT 2'!$A:$A,"&lt;"&amp;DATE(2026,IF(1=12,1+1,1+1),1))</f>
        <v/>
      </c>
      <c r="CK191" s="116">
        <f>SUM(CG191:CJ191)</f>
        <v/>
      </c>
      <c r="CT191" s="116" t="n">
        <v>0</v>
      </c>
      <c r="CU191" s="116">
        <f>IFERROR(LOOKUP(2,1/('DRAFT 2'!$D:$D=$B191)*('DRAFT 2'!$A:$A&gt;=DATE(2026,2,1))*('DRAFT 2'!$A:$A&lt;DATE(2026,IF(2=12,2+1,2+1),1)),'DRAFT 2'!$A:$A),"")</f>
        <v/>
      </c>
      <c r="CV191" s="116">
        <f>COUNTIFS('DRAFT 2'!$D:$D,$B191,'DRAFT 2'!$A:$A,"&gt;="&amp;DATE(2026,2,1),'DRAFT 2'!$A:$A,"&lt;="&amp;DATE(2026,2,7))</f>
        <v/>
      </c>
      <c r="CW191" s="116">
        <f>COUNTIFS('DRAFT 2'!$D:$D,$B191,'DRAFT 2'!$A:$A,"&gt;="&amp;DATE(2026,2,8),'DRAFT 2'!$A:$A,"&lt;="&amp;DATE(2026,2,14))</f>
        <v/>
      </c>
      <c r="CX191" s="116">
        <f>COUNTIFS('DRAFT 2'!$D:$D,$B191,'DRAFT 2'!$A:$A,"&gt;="&amp;DATE(2026,2,15),'DRAFT 2'!$A:$A,"&lt;="&amp;DATE(2026,2,21))</f>
        <v/>
      </c>
      <c r="CY191" s="116">
        <f>COUNTIFS('DRAFT 2'!$D:$D,$B191,'DRAFT 2'!$A:$A,"&gt;="&amp;DATE(2026,2,22),'DRAFT 2'!$A:$A,"&lt;"&amp;DATE(2026,IF(2=12,2+1,2+1),1))</f>
        <v/>
      </c>
      <c r="CZ191" s="116">
        <f>SUM(CV191:CY191)</f>
        <v/>
      </c>
      <c r="DJ191" s="116">
        <f>IFERROR(LOOKUP(2,1/('DRAFT 2'!$D:$D=$B191)*('DRAFT 2'!$A:$A&gt;=DATE(2026,3,1))*('DRAFT 2'!$A:$A&lt;DATE(2026,IF(3=12,3+1,3+1),1)),'DRAFT 2'!$A:$A),"")</f>
        <v/>
      </c>
      <c r="DK191" s="116">
        <f>COUNTIFS('DRAFT 2'!$D:$D,$B191,'DRAFT 2'!$A:$A,"&gt;="&amp;DATE(2026,3,1),'DRAFT 2'!$A:$A,"&lt;="&amp;DATE(2026,3,7))</f>
        <v/>
      </c>
      <c r="DL191" s="116">
        <f>COUNTIFS('DRAFT 2'!$D:$D,$B191,'DRAFT 2'!$A:$A,"&gt;="&amp;DATE(2026,3,8),'DRAFT 2'!$A:$A,"&lt;="&amp;DATE(2026,3,14))</f>
        <v/>
      </c>
      <c r="DM191" s="116">
        <f>COUNTIFS('DRAFT 2'!$D:$D,$B191,'DRAFT 2'!$A:$A,"&gt;="&amp;DATE(2026,3,15),'DRAFT 2'!$A:$A,"&lt;="&amp;DATE(2026,3,21))</f>
        <v/>
      </c>
      <c r="DN191" s="116">
        <f>COUNTIFS('DRAFT 2'!$D:$D,$B191,'DRAFT 2'!$A:$A,"&gt;="&amp;DATE(2026,3,22),'DRAFT 2'!$A:$A,"&lt;"&amp;DATE(2026,IF(3=12,3+1,3+1),1))</f>
        <v/>
      </c>
      <c r="DO191" s="116">
        <f>SUM(DK191:DN191)</f>
        <v/>
      </c>
      <c r="DZ191" s="116">
        <f>IFERROR(LOOKUP(2,1/('DRAFT 2'!$D:$D=$B191)*('DRAFT 2'!$A:$A&gt;=DATE(2026,4,1))*('DRAFT 2'!$A:$A&lt;DATE(2026,IF(4=12,4+1,4+1),1)),'DRAFT 2'!$A:$A),"")</f>
        <v/>
      </c>
      <c r="EA191" s="116">
        <f>COUNTIFS('DRAFT 2'!$D:$D,$B191,'DRAFT 2'!$A:$A,"&gt;="&amp;DATE(2026,4,1),'DRAFT 2'!$A:$A,"&lt;="&amp;DATE(2026,4,7))</f>
        <v/>
      </c>
      <c r="EB191" s="116">
        <f>COUNTIFS('DRAFT 2'!$D:$D,$B191,'DRAFT 2'!$A:$A,"&gt;="&amp;DATE(2026,4,8),'DRAFT 2'!$A:$A,"&lt;="&amp;DATE(2026,4,14))</f>
        <v/>
      </c>
      <c r="EC191" s="116">
        <f>COUNTIFS('DRAFT 2'!$D:$D,$B191,'DRAFT 2'!$A:$A,"&gt;="&amp;DATE(2026,4,15),'DRAFT 2'!$A:$A,"&lt;="&amp;DATE(2026,4,21))</f>
        <v/>
      </c>
      <c r="ED191" s="116">
        <f>COUNTIFS('DRAFT 2'!$D:$D,$B191,'DRAFT 2'!$A:$A,"&gt;="&amp;DATE(2026,4,22),'DRAFT 2'!$A:$A,"&lt;"&amp;DATE(2026,IF(4=12,4+1,4+1),1))</f>
        <v/>
      </c>
      <c r="EE191" s="116">
        <f>SUM(EA191:ED191)</f>
        <v/>
      </c>
      <c r="EO191" s="116">
        <f>IFERROR(LOOKUP(2,1/('DRAFT 2'!$D:$D=$B191)*('DRAFT 2'!$A:$A&gt;=DATE(2026,5,1))*('DRAFT 2'!$A:$A&lt;DATE(2026,IF(5=12,5+1,5+1),1)),'DRAFT 2'!$A:$A),"")</f>
        <v/>
      </c>
      <c r="EP191" s="116">
        <f>COUNTIFS('DRAFT 2'!$D:$D,$B191,'DRAFT 2'!$A:$A,"&gt;="&amp;DATE(2026,5,1),'DRAFT 2'!$A:$A,"&lt;="&amp;DATE(2026,5,7))</f>
        <v/>
      </c>
      <c r="EQ191" s="116">
        <f>COUNTIFS('DRAFT 2'!$D:$D,$B191,'DRAFT 2'!$A:$A,"&gt;="&amp;DATE(2026,5,8),'DRAFT 2'!$A:$A,"&lt;="&amp;DATE(2026,5,14))</f>
        <v/>
      </c>
      <c r="ER191" s="116">
        <f>COUNTIFS('DRAFT 2'!$D:$D,$B191,'DRAFT 2'!$A:$A,"&gt;="&amp;DATE(2026,5,15),'DRAFT 2'!$A:$A,"&lt;="&amp;DATE(2026,5,21))</f>
        <v/>
      </c>
      <c r="ES191" s="116">
        <f>COUNTIFS('DRAFT 2'!$D:$D,$B191,'DRAFT 2'!$A:$A,"&gt;="&amp;DATE(2026,5,22),'DRAFT 2'!$A:$A,"&lt;"&amp;DATE(2026,IF(5=12,5+1,5+1),1))</f>
        <v/>
      </c>
      <c r="ET191" s="116">
        <f>SUM(EP191:ES191)</f>
        <v/>
      </c>
      <c r="FD191" s="116">
        <f>IFERROR(LOOKUP(2,1/('DRAFT 2'!$D:$D=$B191)*('DRAFT 2'!$A:$A&gt;=DATE(2026,6,1))*('DRAFT 2'!$A:$A&lt;DATE(2026,IF(6=12,6+1,6+1),1)),'DRAFT 2'!$A:$A),"")</f>
        <v/>
      </c>
      <c r="FE191" s="116">
        <f>COUNTIFS('DRAFT 2'!$D:$D,$B191,'DRAFT 2'!$A:$A,"&gt;="&amp;DATE(2026,6,1),'DRAFT 2'!$A:$A,"&lt;="&amp;DATE(2026,6,7))</f>
        <v/>
      </c>
      <c r="FF191" s="116">
        <f>COUNTIFS('DRAFT 2'!$D:$D,$B191,'DRAFT 2'!$A:$A,"&gt;="&amp;DATE(2026,6,8),'DRAFT 2'!$A:$A,"&lt;="&amp;DATE(2026,6,14))</f>
        <v/>
      </c>
      <c r="FG191" s="116">
        <f>COUNTIFS('DRAFT 2'!$D:$D,$B191,'DRAFT 2'!$A:$A,"&gt;="&amp;DATE(2026,6,15),'DRAFT 2'!$A:$A,"&lt;="&amp;DATE(2026,6,21))</f>
        <v/>
      </c>
      <c r="FH191" s="116">
        <f>COUNTIFS('DRAFT 2'!$D:$D,$B191,'DRAFT 2'!$A:$A,"&gt;="&amp;DATE(2026,6,22),'DRAFT 2'!$A:$A,"&lt;"&amp;DATE(2026,IF(6=12,6+1,6+1),1))</f>
        <v/>
      </c>
      <c r="FI191" s="116">
        <f>SUM(FE191:FH191)</f>
        <v/>
      </c>
      <c r="FT191" s="116">
        <f>IFERROR(LOOKUP(2,1/('DRAFT 2'!$D:$D=$B191)*('DRAFT 2'!$A:$A&gt;=DATE(2026,7,1))*('DRAFT 2'!$A:$A&lt;DATE(2026,IF(7=12,7+1,7+1),1)),'DRAFT 2'!$A:$A),"")</f>
        <v/>
      </c>
      <c r="FU191" s="116">
        <f>COUNTIFS('DRAFT 2'!$D:$D,$B191,'DRAFT 2'!$A:$A,"&gt;="&amp;DATE(2026,7,1),'DRAFT 2'!$A:$A,"&lt;="&amp;DATE(2026,7,7))</f>
        <v/>
      </c>
      <c r="FV191" s="116">
        <f>COUNTIFS('DRAFT 2'!$D:$D,$B191,'DRAFT 2'!$A:$A,"&gt;="&amp;DATE(2026,7,8),'DRAFT 2'!$A:$A,"&lt;="&amp;DATE(2026,7,14))</f>
        <v/>
      </c>
      <c r="FW191" s="116">
        <f>COUNTIFS('DRAFT 2'!$D:$D,$B191,'DRAFT 2'!$A:$A,"&gt;="&amp;DATE(2026,7,15),'DRAFT 2'!$A:$A,"&lt;="&amp;DATE(2026,7,21))</f>
        <v/>
      </c>
      <c r="FX191" s="116">
        <f>COUNTIFS('DRAFT 2'!$D:$D,$B191,'DRAFT 2'!$A:$A,"&gt;="&amp;DATE(2026,7,22),'DRAFT 2'!$A:$A,"&lt;"&amp;DATE(2026,IF(7=12,7+1,7+1),1))</f>
        <v/>
      </c>
      <c r="FY191" s="116">
        <f>SUM(FU191:FX191)</f>
        <v/>
      </c>
      <c r="GI191" s="116">
        <f>IFERROR(LOOKUP(2,1/('DRAFT 2'!$D:$D=$B191)*('DRAFT 2'!$A:$A&gt;=DATE(2026,8,1))*('DRAFT 2'!$A:$A&lt;DATE(2026,IF(8=12,8+1,8+1),1)),'DRAFT 2'!$A:$A),"")</f>
        <v/>
      </c>
      <c r="GJ191" s="116">
        <f>COUNTIFS('DRAFT 2'!$D:$D,$B191,'DRAFT 2'!$A:$A,"&gt;="&amp;DATE(2026,8,1),'DRAFT 2'!$A:$A,"&lt;="&amp;DATE(2026,8,7))</f>
        <v/>
      </c>
      <c r="GK191" s="116">
        <f>COUNTIFS('DRAFT 2'!$D:$D,$B191,'DRAFT 2'!$A:$A,"&gt;="&amp;DATE(2026,8,8),'DRAFT 2'!$A:$A,"&lt;="&amp;DATE(2026,8,14))</f>
        <v/>
      </c>
      <c r="GL191" s="116">
        <f>COUNTIFS('DRAFT 2'!$D:$D,$B191,'DRAFT 2'!$A:$A,"&gt;="&amp;DATE(2026,8,15),'DRAFT 2'!$A:$A,"&lt;="&amp;DATE(2026,8,21))</f>
        <v/>
      </c>
      <c r="GM191" s="116">
        <f>COUNTIFS('DRAFT 2'!$D:$D,$B191,'DRAFT 2'!$A:$A,"&gt;="&amp;DATE(2026,8,22),'DRAFT 2'!$A:$A,"&lt;"&amp;DATE(2026,IF(8=12,8+1,8+1),1))</f>
        <v/>
      </c>
      <c r="GN191" s="116">
        <f>SUM(GJ191:GM191)</f>
        <v/>
      </c>
      <c r="GX191" s="116">
        <f>IFERROR(LOOKUP(2,1/('DRAFT 2'!$D:$D=$B191)*('DRAFT 2'!$A:$A&gt;=DATE(2026,9,1))*('DRAFT 2'!$A:$A&lt;DATE(2026,IF(9=12,9+1,9+1),1)),'DRAFT 2'!$A:$A),"")</f>
        <v/>
      </c>
      <c r="GY191" s="116">
        <f>COUNTIFS('DRAFT 2'!$D:$D,$B191,'DRAFT 2'!$A:$A,"&gt;="&amp;DATE(2026,9,1),'DRAFT 2'!$A:$A,"&lt;="&amp;DATE(2026,9,7))</f>
        <v/>
      </c>
      <c r="GZ191" s="116">
        <f>COUNTIFS('DRAFT 2'!$D:$D,$B191,'DRAFT 2'!$A:$A,"&gt;="&amp;DATE(2026,9,8),'DRAFT 2'!$A:$A,"&lt;="&amp;DATE(2026,9,14))</f>
        <v/>
      </c>
      <c r="HA191" s="116">
        <f>COUNTIFS('DRAFT 2'!$D:$D,$B191,'DRAFT 2'!$A:$A,"&gt;="&amp;DATE(2026,9,15),'DRAFT 2'!$A:$A,"&lt;="&amp;DATE(2026,9,21))</f>
        <v/>
      </c>
      <c r="HB191" s="116">
        <f>COUNTIFS('DRAFT 2'!$D:$D,$B191,'DRAFT 2'!$A:$A,"&gt;="&amp;DATE(2026,9,22),'DRAFT 2'!$A:$A,"&lt;"&amp;DATE(2026,IF(9=12,9+1,9+1),1))</f>
        <v/>
      </c>
      <c r="HC191" s="116">
        <f>SUM(GY191:HB191)</f>
        <v/>
      </c>
      <c r="HN191" s="116">
        <f>IFERROR(LOOKUP(2,1/('DRAFT 2'!$D:$D=$B191)*('DRAFT 2'!$A:$A&gt;=DATE(2026,10,1))*('DRAFT 2'!$A:$A&lt;DATE(2026,IF(10=12,10+1,10+1),1)),'DRAFT 2'!$A:$A),"")</f>
        <v/>
      </c>
      <c r="HO191" s="116">
        <f>COUNTIFS('DRAFT 2'!$D:$D,$B191,'DRAFT 2'!$A:$A,"&gt;="&amp;DATE(2026,10,1),'DRAFT 2'!$A:$A,"&lt;="&amp;DATE(2026,10,7))</f>
        <v/>
      </c>
      <c r="HP191" s="116">
        <f>COUNTIFS('DRAFT 2'!$D:$D,$B191,'DRAFT 2'!$A:$A,"&gt;="&amp;DATE(2026,10,8),'DRAFT 2'!$A:$A,"&lt;="&amp;DATE(2026,10,14))</f>
        <v/>
      </c>
      <c r="HQ191" s="116">
        <f>COUNTIFS('DRAFT 2'!$D:$D,$B191,'DRAFT 2'!$A:$A,"&gt;="&amp;DATE(2026,10,15),'DRAFT 2'!$A:$A,"&lt;="&amp;DATE(2026,10,21))</f>
        <v/>
      </c>
      <c r="HR191" s="116">
        <f>COUNTIFS('DRAFT 2'!$D:$D,$B191,'DRAFT 2'!$A:$A,"&gt;="&amp;DATE(2026,10,22),'DRAFT 2'!$A:$A,"&lt;"&amp;DATE(2026,IF(10=12,10+1,10+1),1))</f>
        <v/>
      </c>
      <c r="HS191" s="116">
        <f>SUM(HO191:HR191)</f>
        <v/>
      </c>
      <c r="IC191" s="116">
        <f>IFERROR(LOOKUP(2,1/('DRAFT 2'!$D:$D=$B191)*('DRAFT 2'!$A:$A&gt;=DATE(2026,11,1))*('DRAFT 2'!$A:$A&lt;DATE(2026,IF(11=12,11+1,11+1),1)),'DRAFT 2'!$A:$A),"")</f>
        <v/>
      </c>
      <c r="ID191" s="116">
        <f>COUNTIFS('DRAFT 2'!$D:$D,$B191,'DRAFT 2'!$A:$A,"&gt;="&amp;DATE(2026,11,1),'DRAFT 2'!$A:$A,"&lt;="&amp;DATE(2026,11,7))</f>
        <v/>
      </c>
      <c r="IE191" s="116">
        <f>COUNTIFS('DRAFT 2'!$D:$D,$B191,'DRAFT 2'!$A:$A,"&gt;="&amp;DATE(2026,11,8),'DRAFT 2'!$A:$A,"&lt;="&amp;DATE(2026,11,14))</f>
        <v/>
      </c>
      <c r="IF191" s="116">
        <f>COUNTIFS('DRAFT 2'!$D:$D,$B191,'DRAFT 2'!$A:$A,"&gt;="&amp;DATE(2026,11,15),'DRAFT 2'!$A:$A,"&lt;="&amp;DATE(2026,11,21))</f>
        <v/>
      </c>
      <c r="IG191" s="116">
        <f>COUNTIFS('DRAFT 2'!$D:$D,$B191,'DRAFT 2'!$A:$A,"&gt;="&amp;DATE(2026,11,22),'DRAFT 2'!$A:$A,"&lt;"&amp;DATE(2026,IF(11=12,11+1,11+1),1))</f>
        <v/>
      </c>
      <c r="IH191" s="116">
        <f>SUM(ID191:IG191)</f>
        <v/>
      </c>
      <c r="IR191" s="116">
        <f>IFERROR(LOOKUP(2,1/('DRAFT 2'!$D:$D=$B191)*('DRAFT 2'!$A:$A&gt;=DATE(2026,12,1))*('DRAFT 2'!$A:$A&lt;DATE(2026,IF(12=12,12+1,12+1),1)),'DRAFT 2'!$A:$A),"")</f>
        <v/>
      </c>
      <c r="IS191" s="116">
        <f>COUNTIFS('DRAFT 2'!$D:$D,$B191,'DRAFT 2'!$A:$A,"&gt;="&amp;DATE(2026,12,1),'DRAFT 2'!$A:$A,"&lt;="&amp;DATE(2026,12,7))</f>
        <v/>
      </c>
      <c r="IT191" s="116">
        <f>COUNTIFS('DRAFT 2'!$D:$D,$B191,'DRAFT 2'!$A:$A,"&gt;="&amp;DATE(2026,12,8),'DRAFT 2'!$A:$A,"&lt;="&amp;DATE(2026,12,14))</f>
        <v/>
      </c>
      <c r="IU191" s="116">
        <f>COUNTIFS('DRAFT 2'!$D:$D,$B191,'DRAFT 2'!$A:$A,"&gt;="&amp;DATE(2026,12,15),'DRAFT 2'!$A:$A,"&lt;="&amp;DATE(2026,12,21))</f>
        <v/>
      </c>
      <c r="IV191" s="116">
        <f>COUNTIFS('DRAFT 2'!$D:$D,$B191,'DRAFT 2'!$A:$A,"&gt;="&amp;DATE(2026,12,22),'DRAFT 2'!$A:$A,"&lt;"&amp;DATE(2026,IF(12=12,12+1,12+1),1))</f>
        <v/>
      </c>
      <c r="IW191" s="116">
        <f>SUM(IS191:IV191)</f>
        <v/>
      </c>
    </row>
    <row r="192">
      <c r="A192" s="116">
        <f>IFERROR(INDEX('DRAFT 1'!$A:$A,MATCH($B192,'DRAFT 1'!$B:$B,0)),"")</f>
        <v/>
      </c>
      <c r="C192" s="116">
        <f>IFERROR(INDEX('DRAFT 1'!$C:$C,MATCH($B192,'DRAFT 1'!$B:$B,0)),"")</f>
        <v/>
      </c>
      <c r="D192" s="116">
        <f>IFERROR(INDEX('DRAFT 1'!$D:$D,MATCH($B192,'DRAFT 1'!$B:$B,0)),"")</f>
        <v/>
      </c>
      <c r="E192" s="116">
        <f>IFERROR(INDEX('DRAFT 1'!$E:$E,MATCH($B192,'DRAFT 1'!$B:$B,0)),"")</f>
        <v/>
      </c>
      <c r="F192" s="116">
        <f>IFERROR(INDEX('DRAFT 1'!$F:$F,MATCH($B192,'DRAFT 1'!$B:$B,0)),"")</f>
        <v/>
      </c>
      <c r="G192" s="116">
        <f>IFERROR(INDEX('DRAFT 1'!$G:$G,MATCH($B192,'DRAFT 1'!$B:$B,0)),"")</f>
        <v/>
      </c>
      <c r="H192" s="116">
        <f>IFERROR(INDEX('DRAFT 1'!$H:$H,MATCH($B192,'DRAFT 1'!$B:$B,0)),"")</f>
        <v/>
      </c>
      <c r="I192" s="116">
        <f>IFERROR(INDEX('DRAFT 1'!$I:$I,MATCH($B192,'DRAFT 1'!$B:$B,0)),"")</f>
        <v/>
      </c>
      <c r="K192" s="116">
        <f>IFERROR(INDEX('DRAFT 1'!$AL:$AL,MATCH($B192,'DRAFT 1'!$B:$B,0)),"")</f>
        <v/>
      </c>
      <c r="L192" s="116">
        <f>IFERROR(INDEX('DRAFT 1'!$J:$J,MATCH($B192,'DRAFT 1'!$B:$B,0)),"")</f>
        <v/>
      </c>
      <c r="M192" s="116">
        <f>IFERROR(INDEX('DRAFT 1'!$K:$K,MATCH($B192,'DRAFT 1'!$B:$B,0)),"")</f>
        <v/>
      </c>
      <c r="P192" s="116">
        <f>IFERROR(INDEX('DRAFT 1'!$L:$L,MATCH($B192,'DRAFT 1'!$B:$B,0)),"")</f>
        <v/>
      </c>
      <c r="Q192" s="116">
        <f>IFERROR(INDEX('DRAFT 1'!$M:$M,MATCH($B192,'DRAFT 1'!$B:$B,0)),"")</f>
        <v/>
      </c>
      <c r="R192" s="116">
        <f>IFERROR(INDEX('DRAFT 1'!$N:$N,MATCH($B192,'DRAFT 1'!$B:$B,0)),"")</f>
        <v/>
      </c>
      <c r="S192" s="116">
        <f>IFERROR(INDEX('DRAFT 1'!$O:$O,MATCH($B192,'DRAFT 1'!$B:$B,0)),"")</f>
        <v/>
      </c>
      <c r="T192" s="116">
        <f>IFERROR(INDEX('DRAFT 1'!$P:$P,MATCH($B192,'DRAFT 1'!$B:$B,0)),"")</f>
        <v/>
      </c>
      <c r="U192" s="116">
        <f>IFERROR(INDEX('DRAFT 1'!$Q:$Q,MATCH($B192,'DRAFT 1'!$B:$B,0)),"")</f>
        <v/>
      </c>
      <c r="V192" s="116">
        <f>IFERROR(INDEX('DRAFT 1'!$R:$R,MATCH($B192,'DRAFT 1'!$B:$B,0)),"")</f>
        <v/>
      </c>
      <c r="W192" s="116">
        <f>IFERROR(INDEX('DRAFT 1'!$S:$S,MATCH($B192,'DRAFT 1'!$B:$B,0)),"")</f>
        <v/>
      </c>
      <c r="X192" s="116">
        <f>IFERROR(INDEX('DRAFT 1'!$T:$T,MATCH($B192,'DRAFT 1'!$B:$B,0)),"")</f>
        <v/>
      </c>
      <c r="Z192" s="116">
        <f>IFERROR(INDEX('DRAFT 1'!$U:$U,MATCH($B192,'DRAFT 1'!$B:$B,0)),"")</f>
        <v/>
      </c>
      <c r="AA192" s="116">
        <f>IFERROR(INDEX('DRAFT 1'!$V:$V,MATCH($B192,'DRAFT 1'!$B:$B,0)),"")</f>
        <v/>
      </c>
      <c r="AB192" s="116">
        <f>IFERROR(INDEX('DRAFT 1'!$W:$W,MATCH($B192,'DRAFT 1'!$B:$B,0)),"")</f>
        <v/>
      </c>
      <c r="AC192" s="116">
        <f>IFERROR(INDEX('DRAFT 1'!$X:$X,MATCH($B192,'DRAFT 1'!$B:$B,0)),"")</f>
        <v/>
      </c>
      <c r="AD192" s="116">
        <f>IFERROR(INDEX('DRAFT 1'!$Y:$Y,MATCH($B192,'DRAFT 1'!$B:$B,0)),"")</f>
        <v/>
      </c>
      <c r="AE192" s="116">
        <f>IFERROR(INDEX('DRAFT 1'!$Z:$Z,MATCH($B192,'DRAFT 1'!$B:$B,0)),"")</f>
        <v/>
      </c>
      <c r="AF192" s="116">
        <f>IFERROR(INDEX('DRAFT 1'!$AA:$AA,MATCH($B192,'DRAFT 1'!$B:$B,0)),"")</f>
        <v/>
      </c>
      <c r="AG192" s="116">
        <f>IFERROR(INDEX('DRAFT 1'!$AB:$AB,MATCH($B192,'DRAFT 1'!$B:$B,0)),"")</f>
        <v/>
      </c>
      <c r="AH192" s="116">
        <f>IFERROR(INDEX('DRAFT 1'!$AC:$AC,MATCH($B192,'DRAFT 1'!$B:$B,0)),"")</f>
        <v/>
      </c>
      <c r="AI192" s="116">
        <f>IFERROR(INDEX('DRAFT 1'!$AD:$AD,MATCH($B192,'DRAFT 1'!$B:$B,0)),"")</f>
        <v/>
      </c>
      <c r="AJ192" s="116">
        <f>IFERROR(INDEX('DRAFT 1'!$AE:$AE,MATCH($B192,'DRAFT 1'!$B:$B,0)),"")</f>
        <v/>
      </c>
      <c r="AK192" s="116">
        <f>IFERROR(INDEX('DRAFT 1'!$AG:$AG,MATCH($B192,'DRAFT 1'!$B:$B,0)),"")</f>
        <v/>
      </c>
      <c r="AL192" s="116">
        <f>IFERROR(INDEX('DRAFT 1'!$AH:$AH,MATCH($B192,'DRAFT 1'!$B:$B,0)),"")</f>
        <v/>
      </c>
      <c r="AM192" s="116">
        <f>IFERROR(INDEX('DRAFT 1'!$AI:$AI,MATCH($B192,'DRAFT 1'!$B:$B,0)),"")</f>
        <v/>
      </c>
      <c r="AN192" s="116">
        <f>IFERROR(INDEX('DRAFT 1'!$AJ:$AJ,MATCH($B192,'DRAFT 1'!$B:$B,0)),"")</f>
        <v/>
      </c>
      <c r="AO192" s="116">
        <f>IFERROR(Y192/AN192,0)</f>
        <v/>
      </c>
      <c r="AP192" s="116">
        <f>IFERROR(INDEX('DRAFT 1'!$AK:$AK,MATCH($B192,'DRAFT 1'!$B:$B,0)),"")</f>
        <v/>
      </c>
      <c r="AR192" s="116">
        <f>IFERROR(LOOKUP(2,1/('DRAFT 2'!$D:$D=$B192),'DRAFT 2'!$I:$I),"")</f>
        <v/>
      </c>
      <c r="AS192" s="116">
        <f>IFERROR(LOOKUP(2,1/('DRAFT 2'!$D:$D=$B192),'DRAFT 2'!$T:$T),"")</f>
        <v/>
      </c>
      <c r="AT192" s="116">
        <f>IFERROR(LOOKUP(2,1/('DRAFT 2'!$D:$D=$B192),'DRAFT 2'!$A:$A),"")</f>
        <v/>
      </c>
      <c r="AU192" s="116">
        <f>IFERROR(LOOKUP(2,1/('DRAFT 2'!$D:$D=$B192),'DRAFT 2'!$R:$R),"")</f>
        <v/>
      </c>
      <c r="AV192" s="116">
        <f>IFERROR(LOOKUP(2,1/('DRAFT 2'!$D:$D=$B192),'DRAFT 2'!$S:$S),"")</f>
        <v/>
      </c>
      <c r="AX192" s="116">
        <f>IFERROR(LOOKUP(2,1/('DRAFT 2'!$D:$D=$B192),'DRAFT 2'!$M:$M),"")</f>
        <v/>
      </c>
      <c r="AY192" s="116">
        <f>IFERROR(LOOKUP(2,1/('DRAFT 2'!$D:$D=$B192),'DRAFT 2'!$K:$K),"")</f>
        <v/>
      </c>
      <c r="BG192" s="116">
        <f>IFERROR(LOOKUP(2,1/('DRAFT 2'!$D:$D=$B192),'DRAFT 2'!$U:$U),"")</f>
        <v/>
      </c>
      <c r="BH192" s="116">
        <f>IFERROR(LOOKUP(2,1/('DRAFT 2'!$D:$D=$B192),'DRAFT 2'!$V:$V),"")</f>
        <v/>
      </c>
      <c r="CE192" s="116">
        <f>IFERROR(AJ192,0)</f>
        <v/>
      </c>
      <c r="CF192" s="116">
        <f>IFERROR(LOOKUP(2,1/('DRAFT 2'!$D:$D=$B192)*('DRAFT 2'!$A:$A&gt;=DATE(2026,1,1))*('DRAFT 2'!$A:$A&lt;DATE(2026,IF(1=12,1+1,1+1),1)),'DRAFT 2'!$A:$A),"")</f>
        <v/>
      </c>
      <c r="CG192" s="116">
        <f>COUNTIFS('DRAFT 2'!$D:$D,$B192,'DRAFT 2'!$A:$A,"&gt;="&amp;DATE(2026,1,1),'DRAFT 2'!$A:$A,"&lt;="&amp;DATE(2026,1,7))</f>
        <v/>
      </c>
      <c r="CH192" s="116">
        <f>COUNTIFS('DRAFT 2'!$D:$D,$B192,'DRAFT 2'!$A:$A,"&gt;="&amp;DATE(2026,1,8),'DRAFT 2'!$A:$A,"&lt;="&amp;DATE(2026,1,14))</f>
        <v/>
      </c>
      <c r="CI192" s="116">
        <f>COUNTIFS('DRAFT 2'!$D:$D,$B192,'DRAFT 2'!$A:$A,"&gt;="&amp;DATE(2026,1,15),'DRAFT 2'!$A:$A,"&lt;="&amp;DATE(2026,1,21))</f>
        <v/>
      </c>
      <c r="CJ192" s="116">
        <f>COUNTIFS('DRAFT 2'!$D:$D,$B192,'DRAFT 2'!$A:$A,"&gt;="&amp;DATE(2026,1,22),'DRAFT 2'!$A:$A,"&lt;"&amp;DATE(2026,IF(1=12,1+1,1+1),1))</f>
        <v/>
      </c>
      <c r="CK192" s="116">
        <f>SUM(CG192:CJ192)</f>
        <v/>
      </c>
      <c r="CT192" s="116" t="n">
        <v>0</v>
      </c>
      <c r="CU192" s="116">
        <f>IFERROR(LOOKUP(2,1/('DRAFT 2'!$D:$D=$B192)*('DRAFT 2'!$A:$A&gt;=DATE(2026,2,1))*('DRAFT 2'!$A:$A&lt;DATE(2026,IF(2=12,2+1,2+1),1)),'DRAFT 2'!$A:$A),"")</f>
        <v/>
      </c>
      <c r="CV192" s="116">
        <f>COUNTIFS('DRAFT 2'!$D:$D,$B192,'DRAFT 2'!$A:$A,"&gt;="&amp;DATE(2026,2,1),'DRAFT 2'!$A:$A,"&lt;="&amp;DATE(2026,2,7))</f>
        <v/>
      </c>
      <c r="CW192" s="116">
        <f>COUNTIFS('DRAFT 2'!$D:$D,$B192,'DRAFT 2'!$A:$A,"&gt;="&amp;DATE(2026,2,8),'DRAFT 2'!$A:$A,"&lt;="&amp;DATE(2026,2,14))</f>
        <v/>
      </c>
      <c r="CX192" s="116">
        <f>COUNTIFS('DRAFT 2'!$D:$D,$B192,'DRAFT 2'!$A:$A,"&gt;="&amp;DATE(2026,2,15),'DRAFT 2'!$A:$A,"&lt;="&amp;DATE(2026,2,21))</f>
        <v/>
      </c>
      <c r="CY192" s="116">
        <f>COUNTIFS('DRAFT 2'!$D:$D,$B192,'DRAFT 2'!$A:$A,"&gt;="&amp;DATE(2026,2,22),'DRAFT 2'!$A:$A,"&lt;"&amp;DATE(2026,IF(2=12,2+1,2+1),1))</f>
        <v/>
      </c>
      <c r="CZ192" s="116">
        <f>SUM(CV192:CY192)</f>
        <v/>
      </c>
      <c r="DJ192" s="116">
        <f>IFERROR(LOOKUP(2,1/('DRAFT 2'!$D:$D=$B192)*('DRAFT 2'!$A:$A&gt;=DATE(2026,3,1))*('DRAFT 2'!$A:$A&lt;DATE(2026,IF(3=12,3+1,3+1),1)),'DRAFT 2'!$A:$A),"")</f>
        <v/>
      </c>
      <c r="DK192" s="116">
        <f>COUNTIFS('DRAFT 2'!$D:$D,$B192,'DRAFT 2'!$A:$A,"&gt;="&amp;DATE(2026,3,1),'DRAFT 2'!$A:$A,"&lt;="&amp;DATE(2026,3,7))</f>
        <v/>
      </c>
      <c r="DL192" s="116">
        <f>COUNTIFS('DRAFT 2'!$D:$D,$B192,'DRAFT 2'!$A:$A,"&gt;="&amp;DATE(2026,3,8),'DRAFT 2'!$A:$A,"&lt;="&amp;DATE(2026,3,14))</f>
        <v/>
      </c>
      <c r="DM192" s="116">
        <f>COUNTIFS('DRAFT 2'!$D:$D,$B192,'DRAFT 2'!$A:$A,"&gt;="&amp;DATE(2026,3,15),'DRAFT 2'!$A:$A,"&lt;="&amp;DATE(2026,3,21))</f>
        <v/>
      </c>
      <c r="DN192" s="116">
        <f>COUNTIFS('DRAFT 2'!$D:$D,$B192,'DRAFT 2'!$A:$A,"&gt;="&amp;DATE(2026,3,22),'DRAFT 2'!$A:$A,"&lt;"&amp;DATE(2026,IF(3=12,3+1,3+1),1))</f>
        <v/>
      </c>
      <c r="DO192" s="116">
        <f>SUM(DK192:DN192)</f>
        <v/>
      </c>
      <c r="DZ192" s="116">
        <f>IFERROR(LOOKUP(2,1/('DRAFT 2'!$D:$D=$B192)*('DRAFT 2'!$A:$A&gt;=DATE(2026,4,1))*('DRAFT 2'!$A:$A&lt;DATE(2026,IF(4=12,4+1,4+1),1)),'DRAFT 2'!$A:$A),"")</f>
        <v/>
      </c>
      <c r="EA192" s="116">
        <f>COUNTIFS('DRAFT 2'!$D:$D,$B192,'DRAFT 2'!$A:$A,"&gt;="&amp;DATE(2026,4,1),'DRAFT 2'!$A:$A,"&lt;="&amp;DATE(2026,4,7))</f>
        <v/>
      </c>
      <c r="EB192" s="116">
        <f>COUNTIFS('DRAFT 2'!$D:$D,$B192,'DRAFT 2'!$A:$A,"&gt;="&amp;DATE(2026,4,8),'DRAFT 2'!$A:$A,"&lt;="&amp;DATE(2026,4,14))</f>
        <v/>
      </c>
      <c r="EC192" s="116">
        <f>COUNTIFS('DRAFT 2'!$D:$D,$B192,'DRAFT 2'!$A:$A,"&gt;="&amp;DATE(2026,4,15),'DRAFT 2'!$A:$A,"&lt;="&amp;DATE(2026,4,21))</f>
        <v/>
      </c>
      <c r="ED192" s="116">
        <f>COUNTIFS('DRAFT 2'!$D:$D,$B192,'DRAFT 2'!$A:$A,"&gt;="&amp;DATE(2026,4,22),'DRAFT 2'!$A:$A,"&lt;"&amp;DATE(2026,IF(4=12,4+1,4+1),1))</f>
        <v/>
      </c>
      <c r="EE192" s="116">
        <f>SUM(EA192:ED192)</f>
        <v/>
      </c>
      <c r="EO192" s="116">
        <f>IFERROR(LOOKUP(2,1/('DRAFT 2'!$D:$D=$B192)*('DRAFT 2'!$A:$A&gt;=DATE(2026,5,1))*('DRAFT 2'!$A:$A&lt;DATE(2026,IF(5=12,5+1,5+1),1)),'DRAFT 2'!$A:$A),"")</f>
        <v/>
      </c>
      <c r="EP192" s="116">
        <f>COUNTIFS('DRAFT 2'!$D:$D,$B192,'DRAFT 2'!$A:$A,"&gt;="&amp;DATE(2026,5,1),'DRAFT 2'!$A:$A,"&lt;="&amp;DATE(2026,5,7))</f>
        <v/>
      </c>
      <c r="EQ192" s="116">
        <f>COUNTIFS('DRAFT 2'!$D:$D,$B192,'DRAFT 2'!$A:$A,"&gt;="&amp;DATE(2026,5,8),'DRAFT 2'!$A:$A,"&lt;="&amp;DATE(2026,5,14))</f>
        <v/>
      </c>
      <c r="ER192" s="116">
        <f>COUNTIFS('DRAFT 2'!$D:$D,$B192,'DRAFT 2'!$A:$A,"&gt;="&amp;DATE(2026,5,15),'DRAFT 2'!$A:$A,"&lt;="&amp;DATE(2026,5,21))</f>
        <v/>
      </c>
      <c r="ES192" s="116">
        <f>COUNTIFS('DRAFT 2'!$D:$D,$B192,'DRAFT 2'!$A:$A,"&gt;="&amp;DATE(2026,5,22),'DRAFT 2'!$A:$A,"&lt;"&amp;DATE(2026,IF(5=12,5+1,5+1),1))</f>
        <v/>
      </c>
      <c r="ET192" s="116">
        <f>SUM(EP192:ES192)</f>
        <v/>
      </c>
      <c r="FD192" s="116">
        <f>IFERROR(LOOKUP(2,1/('DRAFT 2'!$D:$D=$B192)*('DRAFT 2'!$A:$A&gt;=DATE(2026,6,1))*('DRAFT 2'!$A:$A&lt;DATE(2026,IF(6=12,6+1,6+1),1)),'DRAFT 2'!$A:$A),"")</f>
        <v/>
      </c>
      <c r="FE192" s="116">
        <f>COUNTIFS('DRAFT 2'!$D:$D,$B192,'DRAFT 2'!$A:$A,"&gt;="&amp;DATE(2026,6,1),'DRAFT 2'!$A:$A,"&lt;="&amp;DATE(2026,6,7))</f>
        <v/>
      </c>
      <c r="FF192" s="116">
        <f>COUNTIFS('DRAFT 2'!$D:$D,$B192,'DRAFT 2'!$A:$A,"&gt;="&amp;DATE(2026,6,8),'DRAFT 2'!$A:$A,"&lt;="&amp;DATE(2026,6,14))</f>
        <v/>
      </c>
      <c r="FG192" s="116">
        <f>COUNTIFS('DRAFT 2'!$D:$D,$B192,'DRAFT 2'!$A:$A,"&gt;="&amp;DATE(2026,6,15),'DRAFT 2'!$A:$A,"&lt;="&amp;DATE(2026,6,21))</f>
        <v/>
      </c>
      <c r="FH192" s="116">
        <f>COUNTIFS('DRAFT 2'!$D:$D,$B192,'DRAFT 2'!$A:$A,"&gt;="&amp;DATE(2026,6,22),'DRAFT 2'!$A:$A,"&lt;"&amp;DATE(2026,IF(6=12,6+1,6+1),1))</f>
        <v/>
      </c>
      <c r="FI192" s="116">
        <f>SUM(FE192:FH192)</f>
        <v/>
      </c>
      <c r="FT192" s="116">
        <f>IFERROR(LOOKUP(2,1/('DRAFT 2'!$D:$D=$B192)*('DRAFT 2'!$A:$A&gt;=DATE(2026,7,1))*('DRAFT 2'!$A:$A&lt;DATE(2026,IF(7=12,7+1,7+1),1)),'DRAFT 2'!$A:$A),"")</f>
        <v/>
      </c>
      <c r="FU192" s="116">
        <f>COUNTIFS('DRAFT 2'!$D:$D,$B192,'DRAFT 2'!$A:$A,"&gt;="&amp;DATE(2026,7,1),'DRAFT 2'!$A:$A,"&lt;="&amp;DATE(2026,7,7))</f>
        <v/>
      </c>
      <c r="FV192" s="116">
        <f>COUNTIFS('DRAFT 2'!$D:$D,$B192,'DRAFT 2'!$A:$A,"&gt;="&amp;DATE(2026,7,8),'DRAFT 2'!$A:$A,"&lt;="&amp;DATE(2026,7,14))</f>
        <v/>
      </c>
      <c r="FW192" s="116">
        <f>COUNTIFS('DRAFT 2'!$D:$D,$B192,'DRAFT 2'!$A:$A,"&gt;="&amp;DATE(2026,7,15),'DRAFT 2'!$A:$A,"&lt;="&amp;DATE(2026,7,21))</f>
        <v/>
      </c>
      <c r="FX192" s="116">
        <f>COUNTIFS('DRAFT 2'!$D:$D,$B192,'DRAFT 2'!$A:$A,"&gt;="&amp;DATE(2026,7,22),'DRAFT 2'!$A:$A,"&lt;"&amp;DATE(2026,IF(7=12,7+1,7+1),1))</f>
        <v/>
      </c>
      <c r="FY192" s="116">
        <f>SUM(FU192:FX192)</f>
        <v/>
      </c>
      <c r="GI192" s="116">
        <f>IFERROR(LOOKUP(2,1/('DRAFT 2'!$D:$D=$B192)*('DRAFT 2'!$A:$A&gt;=DATE(2026,8,1))*('DRAFT 2'!$A:$A&lt;DATE(2026,IF(8=12,8+1,8+1),1)),'DRAFT 2'!$A:$A),"")</f>
        <v/>
      </c>
      <c r="GJ192" s="116">
        <f>COUNTIFS('DRAFT 2'!$D:$D,$B192,'DRAFT 2'!$A:$A,"&gt;="&amp;DATE(2026,8,1),'DRAFT 2'!$A:$A,"&lt;="&amp;DATE(2026,8,7))</f>
        <v/>
      </c>
      <c r="GK192" s="116">
        <f>COUNTIFS('DRAFT 2'!$D:$D,$B192,'DRAFT 2'!$A:$A,"&gt;="&amp;DATE(2026,8,8),'DRAFT 2'!$A:$A,"&lt;="&amp;DATE(2026,8,14))</f>
        <v/>
      </c>
      <c r="GL192" s="116">
        <f>COUNTIFS('DRAFT 2'!$D:$D,$B192,'DRAFT 2'!$A:$A,"&gt;="&amp;DATE(2026,8,15),'DRAFT 2'!$A:$A,"&lt;="&amp;DATE(2026,8,21))</f>
        <v/>
      </c>
      <c r="GM192" s="116">
        <f>COUNTIFS('DRAFT 2'!$D:$D,$B192,'DRAFT 2'!$A:$A,"&gt;="&amp;DATE(2026,8,22),'DRAFT 2'!$A:$A,"&lt;"&amp;DATE(2026,IF(8=12,8+1,8+1),1))</f>
        <v/>
      </c>
      <c r="GN192" s="116">
        <f>SUM(GJ192:GM192)</f>
        <v/>
      </c>
      <c r="GX192" s="116">
        <f>IFERROR(LOOKUP(2,1/('DRAFT 2'!$D:$D=$B192)*('DRAFT 2'!$A:$A&gt;=DATE(2026,9,1))*('DRAFT 2'!$A:$A&lt;DATE(2026,IF(9=12,9+1,9+1),1)),'DRAFT 2'!$A:$A),"")</f>
        <v/>
      </c>
      <c r="GY192" s="116">
        <f>COUNTIFS('DRAFT 2'!$D:$D,$B192,'DRAFT 2'!$A:$A,"&gt;="&amp;DATE(2026,9,1),'DRAFT 2'!$A:$A,"&lt;="&amp;DATE(2026,9,7))</f>
        <v/>
      </c>
      <c r="GZ192" s="116">
        <f>COUNTIFS('DRAFT 2'!$D:$D,$B192,'DRAFT 2'!$A:$A,"&gt;="&amp;DATE(2026,9,8),'DRAFT 2'!$A:$A,"&lt;="&amp;DATE(2026,9,14))</f>
        <v/>
      </c>
      <c r="HA192" s="116">
        <f>COUNTIFS('DRAFT 2'!$D:$D,$B192,'DRAFT 2'!$A:$A,"&gt;="&amp;DATE(2026,9,15),'DRAFT 2'!$A:$A,"&lt;="&amp;DATE(2026,9,21))</f>
        <v/>
      </c>
      <c r="HB192" s="116">
        <f>COUNTIFS('DRAFT 2'!$D:$D,$B192,'DRAFT 2'!$A:$A,"&gt;="&amp;DATE(2026,9,22),'DRAFT 2'!$A:$A,"&lt;"&amp;DATE(2026,IF(9=12,9+1,9+1),1))</f>
        <v/>
      </c>
      <c r="HC192" s="116">
        <f>SUM(GY192:HB192)</f>
        <v/>
      </c>
      <c r="HN192" s="116">
        <f>IFERROR(LOOKUP(2,1/('DRAFT 2'!$D:$D=$B192)*('DRAFT 2'!$A:$A&gt;=DATE(2026,10,1))*('DRAFT 2'!$A:$A&lt;DATE(2026,IF(10=12,10+1,10+1),1)),'DRAFT 2'!$A:$A),"")</f>
        <v/>
      </c>
      <c r="HO192" s="116">
        <f>COUNTIFS('DRAFT 2'!$D:$D,$B192,'DRAFT 2'!$A:$A,"&gt;="&amp;DATE(2026,10,1),'DRAFT 2'!$A:$A,"&lt;="&amp;DATE(2026,10,7))</f>
        <v/>
      </c>
      <c r="HP192" s="116">
        <f>COUNTIFS('DRAFT 2'!$D:$D,$B192,'DRAFT 2'!$A:$A,"&gt;="&amp;DATE(2026,10,8),'DRAFT 2'!$A:$A,"&lt;="&amp;DATE(2026,10,14))</f>
        <v/>
      </c>
      <c r="HQ192" s="116">
        <f>COUNTIFS('DRAFT 2'!$D:$D,$B192,'DRAFT 2'!$A:$A,"&gt;="&amp;DATE(2026,10,15),'DRAFT 2'!$A:$A,"&lt;="&amp;DATE(2026,10,21))</f>
        <v/>
      </c>
      <c r="HR192" s="116">
        <f>COUNTIFS('DRAFT 2'!$D:$D,$B192,'DRAFT 2'!$A:$A,"&gt;="&amp;DATE(2026,10,22),'DRAFT 2'!$A:$A,"&lt;"&amp;DATE(2026,IF(10=12,10+1,10+1),1))</f>
        <v/>
      </c>
      <c r="HS192" s="116">
        <f>SUM(HO192:HR192)</f>
        <v/>
      </c>
      <c r="IC192" s="116">
        <f>IFERROR(LOOKUP(2,1/('DRAFT 2'!$D:$D=$B192)*('DRAFT 2'!$A:$A&gt;=DATE(2026,11,1))*('DRAFT 2'!$A:$A&lt;DATE(2026,IF(11=12,11+1,11+1),1)),'DRAFT 2'!$A:$A),"")</f>
        <v/>
      </c>
      <c r="ID192" s="116">
        <f>COUNTIFS('DRAFT 2'!$D:$D,$B192,'DRAFT 2'!$A:$A,"&gt;="&amp;DATE(2026,11,1),'DRAFT 2'!$A:$A,"&lt;="&amp;DATE(2026,11,7))</f>
        <v/>
      </c>
      <c r="IE192" s="116">
        <f>COUNTIFS('DRAFT 2'!$D:$D,$B192,'DRAFT 2'!$A:$A,"&gt;="&amp;DATE(2026,11,8),'DRAFT 2'!$A:$A,"&lt;="&amp;DATE(2026,11,14))</f>
        <v/>
      </c>
      <c r="IF192" s="116">
        <f>COUNTIFS('DRAFT 2'!$D:$D,$B192,'DRAFT 2'!$A:$A,"&gt;="&amp;DATE(2026,11,15),'DRAFT 2'!$A:$A,"&lt;="&amp;DATE(2026,11,21))</f>
        <v/>
      </c>
      <c r="IG192" s="116">
        <f>COUNTIFS('DRAFT 2'!$D:$D,$B192,'DRAFT 2'!$A:$A,"&gt;="&amp;DATE(2026,11,22),'DRAFT 2'!$A:$A,"&lt;"&amp;DATE(2026,IF(11=12,11+1,11+1),1))</f>
        <v/>
      </c>
      <c r="IH192" s="116">
        <f>SUM(ID192:IG192)</f>
        <v/>
      </c>
      <c r="IR192" s="116">
        <f>IFERROR(LOOKUP(2,1/('DRAFT 2'!$D:$D=$B192)*('DRAFT 2'!$A:$A&gt;=DATE(2026,12,1))*('DRAFT 2'!$A:$A&lt;DATE(2026,IF(12=12,12+1,12+1),1)),'DRAFT 2'!$A:$A),"")</f>
        <v/>
      </c>
      <c r="IS192" s="116">
        <f>COUNTIFS('DRAFT 2'!$D:$D,$B192,'DRAFT 2'!$A:$A,"&gt;="&amp;DATE(2026,12,1),'DRAFT 2'!$A:$A,"&lt;="&amp;DATE(2026,12,7))</f>
        <v/>
      </c>
      <c r="IT192" s="116">
        <f>COUNTIFS('DRAFT 2'!$D:$D,$B192,'DRAFT 2'!$A:$A,"&gt;="&amp;DATE(2026,12,8),'DRAFT 2'!$A:$A,"&lt;="&amp;DATE(2026,12,14))</f>
        <v/>
      </c>
      <c r="IU192" s="116">
        <f>COUNTIFS('DRAFT 2'!$D:$D,$B192,'DRAFT 2'!$A:$A,"&gt;="&amp;DATE(2026,12,15),'DRAFT 2'!$A:$A,"&lt;="&amp;DATE(2026,12,21))</f>
        <v/>
      </c>
      <c r="IV192" s="116">
        <f>COUNTIFS('DRAFT 2'!$D:$D,$B192,'DRAFT 2'!$A:$A,"&gt;="&amp;DATE(2026,12,22),'DRAFT 2'!$A:$A,"&lt;"&amp;DATE(2026,IF(12=12,12+1,12+1),1))</f>
        <v/>
      </c>
      <c r="IW192" s="116">
        <f>SUM(IS192:IV192)</f>
        <v/>
      </c>
    </row>
    <row r="193">
      <c r="A193" s="116">
        <f>IFERROR(INDEX('DRAFT 1'!$A:$A,MATCH($B193,'DRAFT 1'!$B:$B,0)),"")</f>
        <v/>
      </c>
      <c r="C193" s="116">
        <f>IFERROR(INDEX('DRAFT 1'!$C:$C,MATCH($B193,'DRAFT 1'!$B:$B,0)),"")</f>
        <v/>
      </c>
      <c r="D193" s="116">
        <f>IFERROR(INDEX('DRAFT 1'!$D:$D,MATCH($B193,'DRAFT 1'!$B:$B,0)),"")</f>
        <v/>
      </c>
      <c r="E193" s="116">
        <f>IFERROR(INDEX('DRAFT 1'!$E:$E,MATCH($B193,'DRAFT 1'!$B:$B,0)),"")</f>
        <v/>
      </c>
      <c r="F193" s="116">
        <f>IFERROR(INDEX('DRAFT 1'!$F:$F,MATCH($B193,'DRAFT 1'!$B:$B,0)),"")</f>
        <v/>
      </c>
      <c r="G193" s="116">
        <f>IFERROR(INDEX('DRAFT 1'!$G:$G,MATCH($B193,'DRAFT 1'!$B:$B,0)),"")</f>
        <v/>
      </c>
      <c r="H193" s="116">
        <f>IFERROR(INDEX('DRAFT 1'!$H:$H,MATCH($B193,'DRAFT 1'!$B:$B,0)),"")</f>
        <v/>
      </c>
      <c r="I193" s="116">
        <f>IFERROR(INDEX('DRAFT 1'!$I:$I,MATCH($B193,'DRAFT 1'!$B:$B,0)),"")</f>
        <v/>
      </c>
      <c r="K193" s="116">
        <f>IFERROR(INDEX('DRAFT 1'!$AL:$AL,MATCH($B193,'DRAFT 1'!$B:$B,0)),"")</f>
        <v/>
      </c>
      <c r="L193" s="116">
        <f>IFERROR(INDEX('DRAFT 1'!$J:$J,MATCH($B193,'DRAFT 1'!$B:$B,0)),"")</f>
        <v/>
      </c>
      <c r="M193" s="116">
        <f>IFERROR(INDEX('DRAFT 1'!$K:$K,MATCH($B193,'DRAFT 1'!$B:$B,0)),"")</f>
        <v/>
      </c>
      <c r="P193" s="116">
        <f>IFERROR(INDEX('DRAFT 1'!$L:$L,MATCH($B193,'DRAFT 1'!$B:$B,0)),"")</f>
        <v/>
      </c>
      <c r="Q193" s="116">
        <f>IFERROR(INDEX('DRAFT 1'!$M:$M,MATCH($B193,'DRAFT 1'!$B:$B,0)),"")</f>
        <v/>
      </c>
      <c r="R193" s="116">
        <f>IFERROR(INDEX('DRAFT 1'!$N:$N,MATCH($B193,'DRAFT 1'!$B:$B,0)),"")</f>
        <v/>
      </c>
      <c r="S193" s="116">
        <f>IFERROR(INDEX('DRAFT 1'!$O:$O,MATCH($B193,'DRAFT 1'!$B:$B,0)),"")</f>
        <v/>
      </c>
      <c r="T193" s="116">
        <f>IFERROR(INDEX('DRAFT 1'!$P:$P,MATCH($B193,'DRAFT 1'!$B:$B,0)),"")</f>
        <v/>
      </c>
      <c r="U193" s="116">
        <f>IFERROR(INDEX('DRAFT 1'!$Q:$Q,MATCH($B193,'DRAFT 1'!$B:$B,0)),"")</f>
        <v/>
      </c>
      <c r="V193" s="116">
        <f>IFERROR(INDEX('DRAFT 1'!$R:$R,MATCH($B193,'DRAFT 1'!$B:$B,0)),"")</f>
        <v/>
      </c>
      <c r="W193" s="116">
        <f>IFERROR(INDEX('DRAFT 1'!$S:$S,MATCH($B193,'DRAFT 1'!$B:$B,0)),"")</f>
        <v/>
      </c>
      <c r="X193" s="116">
        <f>IFERROR(INDEX('DRAFT 1'!$T:$T,MATCH($B193,'DRAFT 1'!$B:$B,0)),"")</f>
        <v/>
      </c>
      <c r="Z193" s="116">
        <f>IFERROR(INDEX('DRAFT 1'!$U:$U,MATCH($B193,'DRAFT 1'!$B:$B,0)),"")</f>
        <v/>
      </c>
      <c r="AA193" s="116">
        <f>IFERROR(INDEX('DRAFT 1'!$V:$V,MATCH($B193,'DRAFT 1'!$B:$B,0)),"")</f>
        <v/>
      </c>
      <c r="AB193" s="116">
        <f>IFERROR(INDEX('DRAFT 1'!$W:$W,MATCH($B193,'DRAFT 1'!$B:$B,0)),"")</f>
        <v/>
      </c>
      <c r="AC193" s="116">
        <f>IFERROR(INDEX('DRAFT 1'!$X:$X,MATCH($B193,'DRAFT 1'!$B:$B,0)),"")</f>
        <v/>
      </c>
      <c r="AD193" s="116">
        <f>IFERROR(INDEX('DRAFT 1'!$Y:$Y,MATCH($B193,'DRAFT 1'!$B:$B,0)),"")</f>
        <v/>
      </c>
      <c r="AE193" s="116">
        <f>IFERROR(INDEX('DRAFT 1'!$Z:$Z,MATCH($B193,'DRAFT 1'!$B:$B,0)),"")</f>
        <v/>
      </c>
      <c r="AF193" s="116">
        <f>IFERROR(INDEX('DRAFT 1'!$AA:$AA,MATCH($B193,'DRAFT 1'!$B:$B,0)),"")</f>
        <v/>
      </c>
      <c r="AG193" s="116">
        <f>IFERROR(INDEX('DRAFT 1'!$AB:$AB,MATCH($B193,'DRAFT 1'!$B:$B,0)),"")</f>
        <v/>
      </c>
      <c r="AH193" s="116">
        <f>IFERROR(INDEX('DRAFT 1'!$AC:$AC,MATCH($B193,'DRAFT 1'!$B:$B,0)),"")</f>
        <v/>
      </c>
      <c r="AI193" s="116">
        <f>IFERROR(INDEX('DRAFT 1'!$AD:$AD,MATCH($B193,'DRAFT 1'!$B:$B,0)),"")</f>
        <v/>
      </c>
      <c r="AJ193" s="116">
        <f>IFERROR(INDEX('DRAFT 1'!$AE:$AE,MATCH($B193,'DRAFT 1'!$B:$B,0)),"")</f>
        <v/>
      </c>
      <c r="AK193" s="116">
        <f>IFERROR(INDEX('DRAFT 1'!$AG:$AG,MATCH($B193,'DRAFT 1'!$B:$B,0)),"")</f>
        <v/>
      </c>
      <c r="AL193" s="116">
        <f>IFERROR(INDEX('DRAFT 1'!$AH:$AH,MATCH($B193,'DRAFT 1'!$B:$B,0)),"")</f>
        <v/>
      </c>
      <c r="AM193" s="116">
        <f>IFERROR(INDEX('DRAFT 1'!$AI:$AI,MATCH($B193,'DRAFT 1'!$B:$B,0)),"")</f>
        <v/>
      </c>
      <c r="AN193" s="116">
        <f>IFERROR(INDEX('DRAFT 1'!$AJ:$AJ,MATCH($B193,'DRAFT 1'!$B:$B,0)),"")</f>
        <v/>
      </c>
      <c r="AO193" s="116">
        <f>IFERROR(Y193/AN193,0)</f>
        <v/>
      </c>
      <c r="AP193" s="116">
        <f>IFERROR(INDEX('DRAFT 1'!$AK:$AK,MATCH($B193,'DRAFT 1'!$B:$B,0)),"")</f>
        <v/>
      </c>
      <c r="AR193" s="116">
        <f>IFERROR(LOOKUP(2,1/('DRAFT 2'!$D:$D=$B193),'DRAFT 2'!$I:$I),"")</f>
        <v/>
      </c>
      <c r="AS193" s="116">
        <f>IFERROR(LOOKUP(2,1/('DRAFT 2'!$D:$D=$B193),'DRAFT 2'!$T:$T),"")</f>
        <v/>
      </c>
      <c r="AT193" s="116">
        <f>IFERROR(LOOKUP(2,1/('DRAFT 2'!$D:$D=$B193),'DRAFT 2'!$A:$A),"")</f>
        <v/>
      </c>
      <c r="AU193" s="116">
        <f>IFERROR(LOOKUP(2,1/('DRAFT 2'!$D:$D=$B193),'DRAFT 2'!$R:$R),"")</f>
        <v/>
      </c>
      <c r="AV193" s="116">
        <f>IFERROR(LOOKUP(2,1/('DRAFT 2'!$D:$D=$B193),'DRAFT 2'!$S:$S),"")</f>
        <v/>
      </c>
      <c r="AX193" s="116">
        <f>IFERROR(LOOKUP(2,1/('DRAFT 2'!$D:$D=$B193),'DRAFT 2'!$M:$M),"")</f>
        <v/>
      </c>
      <c r="AY193" s="116">
        <f>IFERROR(LOOKUP(2,1/('DRAFT 2'!$D:$D=$B193),'DRAFT 2'!$K:$K),"")</f>
        <v/>
      </c>
      <c r="BG193" s="116">
        <f>IFERROR(LOOKUP(2,1/('DRAFT 2'!$D:$D=$B193),'DRAFT 2'!$U:$U),"")</f>
        <v/>
      </c>
      <c r="BH193" s="116">
        <f>IFERROR(LOOKUP(2,1/('DRAFT 2'!$D:$D=$B193),'DRAFT 2'!$V:$V),"")</f>
        <v/>
      </c>
      <c r="CE193" s="116">
        <f>IFERROR(AJ193,0)</f>
        <v/>
      </c>
      <c r="CF193" s="116">
        <f>IFERROR(LOOKUP(2,1/('DRAFT 2'!$D:$D=$B193)*('DRAFT 2'!$A:$A&gt;=DATE(2026,1,1))*('DRAFT 2'!$A:$A&lt;DATE(2026,IF(1=12,1+1,1+1),1)),'DRAFT 2'!$A:$A),"")</f>
        <v/>
      </c>
      <c r="CG193" s="116">
        <f>COUNTIFS('DRAFT 2'!$D:$D,$B193,'DRAFT 2'!$A:$A,"&gt;="&amp;DATE(2026,1,1),'DRAFT 2'!$A:$A,"&lt;="&amp;DATE(2026,1,7))</f>
        <v/>
      </c>
      <c r="CH193" s="116">
        <f>COUNTIFS('DRAFT 2'!$D:$D,$B193,'DRAFT 2'!$A:$A,"&gt;="&amp;DATE(2026,1,8),'DRAFT 2'!$A:$A,"&lt;="&amp;DATE(2026,1,14))</f>
        <v/>
      </c>
      <c r="CI193" s="116">
        <f>COUNTIFS('DRAFT 2'!$D:$D,$B193,'DRAFT 2'!$A:$A,"&gt;="&amp;DATE(2026,1,15),'DRAFT 2'!$A:$A,"&lt;="&amp;DATE(2026,1,21))</f>
        <v/>
      </c>
      <c r="CJ193" s="116">
        <f>COUNTIFS('DRAFT 2'!$D:$D,$B193,'DRAFT 2'!$A:$A,"&gt;="&amp;DATE(2026,1,22),'DRAFT 2'!$A:$A,"&lt;"&amp;DATE(2026,IF(1=12,1+1,1+1),1))</f>
        <v/>
      </c>
      <c r="CK193" s="116">
        <f>SUM(CG193:CJ193)</f>
        <v/>
      </c>
      <c r="CT193" s="116" t="n">
        <v>0</v>
      </c>
      <c r="CU193" s="116">
        <f>IFERROR(LOOKUP(2,1/('DRAFT 2'!$D:$D=$B193)*('DRAFT 2'!$A:$A&gt;=DATE(2026,2,1))*('DRAFT 2'!$A:$A&lt;DATE(2026,IF(2=12,2+1,2+1),1)),'DRAFT 2'!$A:$A),"")</f>
        <v/>
      </c>
      <c r="CV193" s="116">
        <f>COUNTIFS('DRAFT 2'!$D:$D,$B193,'DRAFT 2'!$A:$A,"&gt;="&amp;DATE(2026,2,1),'DRAFT 2'!$A:$A,"&lt;="&amp;DATE(2026,2,7))</f>
        <v/>
      </c>
      <c r="CW193" s="116">
        <f>COUNTIFS('DRAFT 2'!$D:$D,$B193,'DRAFT 2'!$A:$A,"&gt;="&amp;DATE(2026,2,8),'DRAFT 2'!$A:$A,"&lt;="&amp;DATE(2026,2,14))</f>
        <v/>
      </c>
      <c r="CX193" s="116">
        <f>COUNTIFS('DRAFT 2'!$D:$D,$B193,'DRAFT 2'!$A:$A,"&gt;="&amp;DATE(2026,2,15),'DRAFT 2'!$A:$A,"&lt;="&amp;DATE(2026,2,21))</f>
        <v/>
      </c>
      <c r="CY193" s="116">
        <f>COUNTIFS('DRAFT 2'!$D:$D,$B193,'DRAFT 2'!$A:$A,"&gt;="&amp;DATE(2026,2,22),'DRAFT 2'!$A:$A,"&lt;"&amp;DATE(2026,IF(2=12,2+1,2+1),1))</f>
        <v/>
      </c>
      <c r="CZ193" s="116">
        <f>SUM(CV193:CY193)</f>
        <v/>
      </c>
      <c r="DJ193" s="116">
        <f>IFERROR(LOOKUP(2,1/('DRAFT 2'!$D:$D=$B193)*('DRAFT 2'!$A:$A&gt;=DATE(2026,3,1))*('DRAFT 2'!$A:$A&lt;DATE(2026,IF(3=12,3+1,3+1),1)),'DRAFT 2'!$A:$A),"")</f>
        <v/>
      </c>
      <c r="DK193" s="116">
        <f>COUNTIFS('DRAFT 2'!$D:$D,$B193,'DRAFT 2'!$A:$A,"&gt;="&amp;DATE(2026,3,1),'DRAFT 2'!$A:$A,"&lt;="&amp;DATE(2026,3,7))</f>
        <v/>
      </c>
      <c r="DL193" s="116">
        <f>COUNTIFS('DRAFT 2'!$D:$D,$B193,'DRAFT 2'!$A:$A,"&gt;="&amp;DATE(2026,3,8),'DRAFT 2'!$A:$A,"&lt;="&amp;DATE(2026,3,14))</f>
        <v/>
      </c>
      <c r="DM193" s="116">
        <f>COUNTIFS('DRAFT 2'!$D:$D,$B193,'DRAFT 2'!$A:$A,"&gt;="&amp;DATE(2026,3,15),'DRAFT 2'!$A:$A,"&lt;="&amp;DATE(2026,3,21))</f>
        <v/>
      </c>
      <c r="DN193" s="116">
        <f>COUNTIFS('DRAFT 2'!$D:$D,$B193,'DRAFT 2'!$A:$A,"&gt;="&amp;DATE(2026,3,22),'DRAFT 2'!$A:$A,"&lt;"&amp;DATE(2026,IF(3=12,3+1,3+1),1))</f>
        <v/>
      </c>
      <c r="DO193" s="116">
        <f>SUM(DK193:DN193)</f>
        <v/>
      </c>
      <c r="DZ193" s="116">
        <f>IFERROR(LOOKUP(2,1/('DRAFT 2'!$D:$D=$B193)*('DRAFT 2'!$A:$A&gt;=DATE(2026,4,1))*('DRAFT 2'!$A:$A&lt;DATE(2026,IF(4=12,4+1,4+1),1)),'DRAFT 2'!$A:$A),"")</f>
        <v/>
      </c>
      <c r="EA193" s="116">
        <f>COUNTIFS('DRAFT 2'!$D:$D,$B193,'DRAFT 2'!$A:$A,"&gt;="&amp;DATE(2026,4,1),'DRAFT 2'!$A:$A,"&lt;="&amp;DATE(2026,4,7))</f>
        <v/>
      </c>
      <c r="EB193" s="116">
        <f>COUNTIFS('DRAFT 2'!$D:$D,$B193,'DRAFT 2'!$A:$A,"&gt;="&amp;DATE(2026,4,8),'DRAFT 2'!$A:$A,"&lt;="&amp;DATE(2026,4,14))</f>
        <v/>
      </c>
      <c r="EC193" s="116">
        <f>COUNTIFS('DRAFT 2'!$D:$D,$B193,'DRAFT 2'!$A:$A,"&gt;="&amp;DATE(2026,4,15),'DRAFT 2'!$A:$A,"&lt;="&amp;DATE(2026,4,21))</f>
        <v/>
      </c>
      <c r="ED193" s="116">
        <f>COUNTIFS('DRAFT 2'!$D:$D,$B193,'DRAFT 2'!$A:$A,"&gt;="&amp;DATE(2026,4,22),'DRAFT 2'!$A:$A,"&lt;"&amp;DATE(2026,IF(4=12,4+1,4+1),1))</f>
        <v/>
      </c>
      <c r="EE193" s="116">
        <f>SUM(EA193:ED193)</f>
        <v/>
      </c>
      <c r="EO193" s="116">
        <f>IFERROR(LOOKUP(2,1/('DRAFT 2'!$D:$D=$B193)*('DRAFT 2'!$A:$A&gt;=DATE(2026,5,1))*('DRAFT 2'!$A:$A&lt;DATE(2026,IF(5=12,5+1,5+1),1)),'DRAFT 2'!$A:$A),"")</f>
        <v/>
      </c>
      <c r="EP193" s="116">
        <f>COUNTIFS('DRAFT 2'!$D:$D,$B193,'DRAFT 2'!$A:$A,"&gt;="&amp;DATE(2026,5,1),'DRAFT 2'!$A:$A,"&lt;="&amp;DATE(2026,5,7))</f>
        <v/>
      </c>
      <c r="EQ193" s="116">
        <f>COUNTIFS('DRAFT 2'!$D:$D,$B193,'DRAFT 2'!$A:$A,"&gt;="&amp;DATE(2026,5,8),'DRAFT 2'!$A:$A,"&lt;="&amp;DATE(2026,5,14))</f>
        <v/>
      </c>
      <c r="ER193" s="116">
        <f>COUNTIFS('DRAFT 2'!$D:$D,$B193,'DRAFT 2'!$A:$A,"&gt;="&amp;DATE(2026,5,15),'DRAFT 2'!$A:$A,"&lt;="&amp;DATE(2026,5,21))</f>
        <v/>
      </c>
      <c r="ES193" s="116">
        <f>COUNTIFS('DRAFT 2'!$D:$D,$B193,'DRAFT 2'!$A:$A,"&gt;="&amp;DATE(2026,5,22),'DRAFT 2'!$A:$A,"&lt;"&amp;DATE(2026,IF(5=12,5+1,5+1),1))</f>
        <v/>
      </c>
      <c r="ET193" s="116">
        <f>SUM(EP193:ES193)</f>
        <v/>
      </c>
      <c r="FD193" s="116">
        <f>IFERROR(LOOKUP(2,1/('DRAFT 2'!$D:$D=$B193)*('DRAFT 2'!$A:$A&gt;=DATE(2026,6,1))*('DRAFT 2'!$A:$A&lt;DATE(2026,IF(6=12,6+1,6+1),1)),'DRAFT 2'!$A:$A),"")</f>
        <v/>
      </c>
      <c r="FE193" s="116">
        <f>COUNTIFS('DRAFT 2'!$D:$D,$B193,'DRAFT 2'!$A:$A,"&gt;="&amp;DATE(2026,6,1),'DRAFT 2'!$A:$A,"&lt;="&amp;DATE(2026,6,7))</f>
        <v/>
      </c>
      <c r="FF193" s="116">
        <f>COUNTIFS('DRAFT 2'!$D:$D,$B193,'DRAFT 2'!$A:$A,"&gt;="&amp;DATE(2026,6,8),'DRAFT 2'!$A:$A,"&lt;="&amp;DATE(2026,6,14))</f>
        <v/>
      </c>
      <c r="FG193" s="116">
        <f>COUNTIFS('DRAFT 2'!$D:$D,$B193,'DRAFT 2'!$A:$A,"&gt;="&amp;DATE(2026,6,15),'DRAFT 2'!$A:$A,"&lt;="&amp;DATE(2026,6,21))</f>
        <v/>
      </c>
      <c r="FH193" s="116">
        <f>COUNTIFS('DRAFT 2'!$D:$D,$B193,'DRAFT 2'!$A:$A,"&gt;="&amp;DATE(2026,6,22),'DRAFT 2'!$A:$A,"&lt;"&amp;DATE(2026,IF(6=12,6+1,6+1),1))</f>
        <v/>
      </c>
      <c r="FI193" s="116">
        <f>SUM(FE193:FH193)</f>
        <v/>
      </c>
      <c r="FT193" s="116">
        <f>IFERROR(LOOKUP(2,1/('DRAFT 2'!$D:$D=$B193)*('DRAFT 2'!$A:$A&gt;=DATE(2026,7,1))*('DRAFT 2'!$A:$A&lt;DATE(2026,IF(7=12,7+1,7+1),1)),'DRAFT 2'!$A:$A),"")</f>
        <v/>
      </c>
      <c r="FU193" s="116">
        <f>COUNTIFS('DRAFT 2'!$D:$D,$B193,'DRAFT 2'!$A:$A,"&gt;="&amp;DATE(2026,7,1),'DRAFT 2'!$A:$A,"&lt;="&amp;DATE(2026,7,7))</f>
        <v/>
      </c>
      <c r="FV193" s="116">
        <f>COUNTIFS('DRAFT 2'!$D:$D,$B193,'DRAFT 2'!$A:$A,"&gt;="&amp;DATE(2026,7,8),'DRAFT 2'!$A:$A,"&lt;="&amp;DATE(2026,7,14))</f>
        <v/>
      </c>
      <c r="FW193" s="116">
        <f>COUNTIFS('DRAFT 2'!$D:$D,$B193,'DRAFT 2'!$A:$A,"&gt;="&amp;DATE(2026,7,15),'DRAFT 2'!$A:$A,"&lt;="&amp;DATE(2026,7,21))</f>
        <v/>
      </c>
      <c r="FX193" s="116">
        <f>COUNTIFS('DRAFT 2'!$D:$D,$B193,'DRAFT 2'!$A:$A,"&gt;="&amp;DATE(2026,7,22),'DRAFT 2'!$A:$A,"&lt;"&amp;DATE(2026,IF(7=12,7+1,7+1),1))</f>
        <v/>
      </c>
      <c r="FY193" s="116">
        <f>SUM(FU193:FX193)</f>
        <v/>
      </c>
      <c r="GI193" s="116">
        <f>IFERROR(LOOKUP(2,1/('DRAFT 2'!$D:$D=$B193)*('DRAFT 2'!$A:$A&gt;=DATE(2026,8,1))*('DRAFT 2'!$A:$A&lt;DATE(2026,IF(8=12,8+1,8+1),1)),'DRAFT 2'!$A:$A),"")</f>
        <v/>
      </c>
      <c r="GJ193" s="116">
        <f>COUNTIFS('DRAFT 2'!$D:$D,$B193,'DRAFT 2'!$A:$A,"&gt;="&amp;DATE(2026,8,1),'DRAFT 2'!$A:$A,"&lt;="&amp;DATE(2026,8,7))</f>
        <v/>
      </c>
      <c r="GK193" s="116">
        <f>COUNTIFS('DRAFT 2'!$D:$D,$B193,'DRAFT 2'!$A:$A,"&gt;="&amp;DATE(2026,8,8),'DRAFT 2'!$A:$A,"&lt;="&amp;DATE(2026,8,14))</f>
        <v/>
      </c>
      <c r="GL193" s="116">
        <f>COUNTIFS('DRAFT 2'!$D:$D,$B193,'DRAFT 2'!$A:$A,"&gt;="&amp;DATE(2026,8,15),'DRAFT 2'!$A:$A,"&lt;="&amp;DATE(2026,8,21))</f>
        <v/>
      </c>
      <c r="GM193" s="116">
        <f>COUNTIFS('DRAFT 2'!$D:$D,$B193,'DRAFT 2'!$A:$A,"&gt;="&amp;DATE(2026,8,22),'DRAFT 2'!$A:$A,"&lt;"&amp;DATE(2026,IF(8=12,8+1,8+1),1))</f>
        <v/>
      </c>
      <c r="GN193" s="116">
        <f>SUM(GJ193:GM193)</f>
        <v/>
      </c>
      <c r="GX193" s="116">
        <f>IFERROR(LOOKUP(2,1/('DRAFT 2'!$D:$D=$B193)*('DRAFT 2'!$A:$A&gt;=DATE(2026,9,1))*('DRAFT 2'!$A:$A&lt;DATE(2026,IF(9=12,9+1,9+1),1)),'DRAFT 2'!$A:$A),"")</f>
        <v/>
      </c>
      <c r="GY193" s="116">
        <f>COUNTIFS('DRAFT 2'!$D:$D,$B193,'DRAFT 2'!$A:$A,"&gt;="&amp;DATE(2026,9,1),'DRAFT 2'!$A:$A,"&lt;="&amp;DATE(2026,9,7))</f>
        <v/>
      </c>
      <c r="GZ193" s="116">
        <f>COUNTIFS('DRAFT 2'!$D:$D,$B193,'DRAFT 2'!$A:$A,"&gt;="&amp;DATE(2026,9,8),'DRAFT 2'!$A:$A,"&lt;="&amp;DATE(2026,9,14))</f>
        <v/>
      </c>
      <c r="HA193" s="116">
        <f>COUNTIFS('DRAFT 2'!$D:$D,$B193,'DRAFT 2'!$A:$A,"&gt;="&amp;DATE(2026,9,15),'DRAFT 2'!$A:$A,"&lt;="&amp;DATE(2026,9,21))</f>
        <v/>
      </c>
      <c r="HB193" s="116">
        <f>COUNTIFS('DRAFT 2'!$D:$D,$B193,'DRAFT 2'!$A:$A,"&gt;="&amp;DATE(2026,9,22),'DRAFT 2'!$A:$A,"&lt;"&amp;DATE(2026,IF(9=12,9+1,9+1),1))</f>
        <v/>
      </c>
      <c r="HC193" s="116">
        <f>SUM(GY193:HB193)</f>
        <v/>
      </c>
      <c r="HN193" s="116">
        <f>IFERROR(LOOKUP(2,1/('DRAFT 2'!$D:$D=$B193)*('DRAFT 2'!$A:$A&gt;=DATE(2026,10,1))*('DRAFT 2'!$A:$A&lt;DATE(2026,IF(10=12,10+1,10+1),1)),'DRAFT 2'!$A:$A),"")</f>
        <v/>
      </c>
      <c r="HO193" s="116">
        <f>COUNTIFS('DRAFT 2'!$D:$D,$B193,'DRAFT 2'!$A:$A,"&gt;="&amp;DATE(2026,10,1),'DRAFT 2'!$A:$A,"&lt;="&amp;DATE(2026,10,7))</f>
        <v/>
      </c>
      <c r="HP193" s="116">
        <f>COUNTIFS('DRAFT 2'!$D:$D,$B193,'DRAFT 2'!$A:$A,"&gt;="&amp;DATE(2026,10,8),'DRAFT 2'!$A:$A,"&lt;="&amp;DATE(2026,10,14))</f>
        <v/>
      </c>
      <c r="HQ193" s="116">
        <f>COUNTIFS('DRAFT 2'!$D:$D,$B193,'DRAFT 2'!$A:$A,"&gt;="&amp;DATE(2026,10,15),'DRAFT 2'!$A:$A,"&lt;="&amp;DATE(2026,10,21))</f>
        <v/>
      </c>
      <c r="HR193" s="116">
        <f>COUNTIFS('DRAFT 2'!$D:$D,$B193,'DRAFT 2'!$A:$A,"&gt;="&amp;DATE(2026,10,22),'DRAFT 2'!$A:$A,"&lt;"&amp;DATE(2026,IF(10=12,10+1,10+1),1))</f>
        <v/>
      </c>
      <c r="HS193" s="116">
        <f>SUM(HO193:HR193)</f>
        <v/>
      </c>
      <c r="IC193" s="116">
        <f>IFERROR(LOOKUP(2,1/('DRAFT 2'!$D:$D=$B193)*('DRAFT 2'!$A:$A&gt;=DATE(2026,11,1))*('DRAFT 2'!$A:$A&lt;DATE(2026,IF(11=12,11+1,11+1),1)),'DRAFT 2'!$A:$A),"")</f>
        <v/>
      </c>
      <c r="ID193" s="116">
        <f>COUNTIFS('DRAFT 2'!$D:$D,$B193,'DRAFT 2'!$A:$A,"&gt;="&amp;DATE(2026,11,1),'DRAFT 2'!$A:$A,"&lt;="&amp;DATE(2026,11,7))</f>
        <v/>
      </c>
      <c r="IE193" s="116">
        <f>COUNTIFS('DRAFT 2'!$D:$D,$B193,'DRAFT 2'!$A:$A,"&gt;="&amp;DATE(2026,11,8),'DRAFT 2'!$A:$A,"&lt;="&amp;DATE(2026,11,14))</f>
        <v/>
      </c>
      <c r="IF193" s="116">
        <f>COUNTIFS('DRAFT 2'!$D:$D,$B193,'DRAFT 2'!$A:$A,"&gt;="&amp;DATE(2026,11,15),'DRAFT 2'!$A:$A,"&lt;="&amp;DATE(2026,11,21))</f>
        <v/>
      </c>
      <c r="IG193" s="116">
        <f>COUNTIFS('DRAFT 2'!$D:$D,$B193,'DRAFT 2'!$A:$A,"&gt;="&amp;DATE(2026,11,22),'DRAFT 2'!$A:$A,"&lt;"&amp;DATE(2026,IF(11=12,11+1,11+1),1))</f>
        <v/>
      </c>
      <c r="IH193" s="116">
        <f>SUM(ID193:IG193)</f>
        <v/>
      </c>
      <c r="IR193" s="116">
        <f>IFERROR(LOOKUP(2,1/('DRAFT 2'!$D:$D=$B193)*('DRAFT 2'!$A:$A&gt;=DATE(2026,12,1))*('DRAFT 2'!$A:$A&lt;DATE(2026,IF(12=12,12+1,12+1),1)),'DRAFT 2'!$A:$A),"")</f>
        <v/>
      </c>
      <c r="IS193" s="116">
        <f>COUNTIFS('DRAFT 2'!$D:$D,$B193,'DRAFT 2'!$A:$A,"&gt;="&amp;DATE(2026,12,1),'DRAFT 2'!$A:$A,"&lt;="&amp;DATE(2026,12,7))</f>
        <v/>
      </c>
      <c r="IT193" s="116">
        <f>COUNTIFS('DRAFT 2'!$D:$D,$B193,'DRAFT 2'!$A:$A,"&gt;="&amp;DATE(2026,12,8),'DRAFT 2'!$A:$A,"&lt;="&amp;DATE(2026,12,14))</f>
        <v/>
      </c>
      <c r="IU193" s="116">
        <f>COUNTIFS('DRAFT 2'!$D:$D,$B193,'DRAFT 2'!$A:$A,"&gt;="&amp;DATE(2026,12,15),'DRAFT 2'!$A:$A,"&lt;="&amp;DATE(2026,12,21))</f>
        <v/>
      </c>
      <c r="IV193" s="116">
        <f>COUNTIFS('DRAFT 2'!$D:$D,$B193,'DRAFT 2'!$A:$A,"&gt;="&amp;DATE(2026,12,22),'DRAFT 2'!$A:$A,"&lt;"&amp;DATE(2026,IF(12=12,12+1,12+1),1))</f>
        <v/>
      </c>
      <c r="IW193" s="116">
        <f>SUM(IS193:IV193)</f>
        <v/>
      </c>
    </row>
    <row r="194">
      <c r="A194" s="116">
        <f>IFERROR(INDEX('DRAFT 1'!$A:$A,MATCH($B194,'DRAFT 1'!$B:$B,0)),"")</f>
        <v/>
      </c>
      <c r="C194" s="116">
        <f>IFERROR(INDEX('DRAFT 1'!$C:$C,MATCH($B194,'DRAFT 1'!$B:$B,0)),"")</f>
        <v/>
      </c>
      <c r="D194" s="116">
        <f>IFERROR(INDEX('DRAFT 1'!$D:$D,MATCH($B194,'DRAFT 1'!$B:$B,0)),"")</f>
        <v/>
      </c>
      <c r="E194" s="116">
        <f>IFERROR(INDEX('DRAFT 1'!$E:$E,MATCH($B194,'DRAFT 1'!$B:$B,0)),"")</f>
        <v/>
      </c>
      <c r="F194" s="116">
        <f>IFERROR(INDEX('DRAFT 1'!$F:$F,MATCH($B194,'DRAFT 1'!$B:$B,0)),"")</f>
        <v/>
      </c>
      <c r="G194" s="116">
        <f>IFERROR(INDEX('DRAFT 1'!$G:$G,MATCH($B194,'DRAFT 1'!$B:$B,0)),"")</f>
        <v/>
      </c>
      <c r="H194" s="116">
        <f>IFERROR(INDEX('DRAFT 1'!$H:$H,MATCH($B194,'DRAFT 1'!$B:$B,0)),"")</f>
        <v/>
      </c>
      <c r="I194" s="116">
        <f>IFERROR(INDEX('DRAFT 1'!$I:$I,MATCH($B194,'DRAFT 1'!$B:$B,0)),"")</f>
        <v/>
      </c>
      <c r="K194" s="116">
        <f>IFERROR(INDEX('DRAFT 1'!$AL:$AL,MATCH($B194,'DRAFT 1'!$B:$B,0)),"")</f>
        <v/>
      </c>
      <c r="L194" s="116">
        <f>IFERROR(INDEX('DRAFT 1'!$J:$J,MATCH($B194,'DRAFT 1'!$B:$B,0)),"")</f>
        <v/>
      </c>
      <c r="M194" s="116">
        <f>IFERROR(INDEX('DRAFT 1'!$K:$K,MATCH($B194,'DRAFT 1'!$B:$B,0)),"")</f>
        <v/>
      </c>
      <c r="P194" s="116">
        <f>IFERROR(INDEX('DRAFT 1'!$L:$L,MATCH($B194,'DRAFT 1'!$B:$B,0)),"")</f>
        <v/>
      </c>
      <c r="Q194" s="116">
        <f>IFERROR(INDEX('DRAFT 1'!$M:$M,MATCH($B194,'DRAFT 1'!$B:$B,0)),"")</f>
        <v/>
      </c>
      <c r="R194" s="116">
        <f>IFERROR(INDEX('DRAFT 1'!$N:$N,MATCH($B194,'DRAFT 1'!$B:$B,0)),"")</f>
        <v/>
      </c>
      <c r="S194" s="116">
        <f>IFERROR(INDEX('DRAFT 1'!$O:$O,MATCH($B194,'DRAFT 1'!$B:$B,0)),"")</f>
        <v/>
      </c>
      <c r="T194" s="116">
        <f>IFERROR(INDEX('DRAFT 1'!$P:$P,MATCH($B194,'DRAFT 1'!$B:$B,0)),"")</f>
        <v/>
      </c>
      <c r="U194" s="116">
        <f>IFERROR(INDEX('DRAFT 1'!$Q:$Q,MATCH($B194,'DRAFT 1'!$B:$B,0)),"")</f>
        <v/>
      </c>
      <c r="V194" s="116">
        <f>IFERROR(INDEX('DRAFT 1'!$R:$R,MATCH($B194,'DRAFT 1'!$B:$B,0)),"")</f>
        <v/>
      </c>
      <c r="W194" s="116">
        <f>IFERROR(INDEX('DRAFT 1'!$S:$S,MATCH($B194,'DRAFT 1'!$B:$B,0)),"")</f>
        <v/>
      </c>
      <c r="X194" s="116">
        <f>IFERROR(INDEX('DRAFT 1'!$T:$T,MATCH($B194,'DRAFT 1'!$B:$B,0)),"")</f>
        <v/>
      </c>
      <c r="Z194" s="116">
        <f>IFERROR(INDEX('DRAFT 1'!$U:$U,MATCH($B194,'DRAFT 1'!$B:$B,0)),"")</f>
        <v/>
      </c>
      <c r="AA194" s="116">
        <f>IFERROR(INDEX('DRAFT 1'!$V:$V,MATCH($B194,'DRAFT 1'!$B:$B,0)),"")</f>
        <v/>
      </c>
      <c r="AB194" s="116">
        <f>IFERROR(INDEX('DRAFT 1'!$W:$W,MATCH($B194,'DRAFT 1'!$B:$B,0)),"")</f>
        <v/>
      </c>
      <c r="AC194" s="116">
        <f>IFERROR(INDEX('DRAFT 1'!$X:$X,MATCH($B194,'DRAFT 1'!$B:$B,0)),"")</f>
        <v/>
      </c>
      <c r="AD194" s="116">
        <f>IFERROR(INDEX('DRAFT 1'!$Y:$Y,MATCH($B194,'DRAFT 1'!$B:$B,0)),"")</f>
        <v/>
      </c>
      <c r="AE194" s="116">
        <f>IFERROR(INDEX('DRAFT 1'!$Z:$Z,MATCH($B194,'DRAFT 1'!$B:$B,0)),"")</f>
        <v/>
      </c>
      <c r="AF194" s="116">
        <f>IFERROR(INDEX('DRAFT 1'!$AA:$AA,MATCH($B194,'DRAFT 1'!$B:$B,0)),"")</f>
        <v/>
      </c>
      <c r="AG194" s="116">
        <f>IFERROR(INDEX('DRAFT 1'!$AB:$AB,MATCH($B194,'DRAFT 1'!$B:$B,0)),"")</f>
        <v/>
      </c>
      <c r="AH194" s="116">
        <f>IFERROR(INDEX('DRAFT 1'!$AC:$AC,MATCH($B194,'DRAFT 1'!$B:$B,0)),"")</f>
        <v/>
      </c>
      <c r="AI194" s="116">
        <f>IFERROR(INDEX('DRAFT 1'!$AD:$AD,MATCH($B194,'DRAFT 1'!$B:$B,0)),"")</f>
        <v/>
      </c>
      <c r="AJ194" s="116">
        <f>IFERROR(INDEX('DRAFT 1'!$AE:$AE,MATCH($B194,'DRAFT 1'!$B:$B,0)),"")</f>
        <v/>
      </c>
      <c r="AK194" s="116">
        <f>IFERROR(INDEX('DRAFT 1'!$AG:$AG,MATCH($B194,'DRAFT 1'!$B:$B,0)),"")</f>
        <v/>
      </c>
      <c r="AL194" s="116">
        <f>IFERROR(INDEX('DRAFT 1'!$AH:$AH,MATCH($B194,'DRAFT 1'!$B:$B,0)),"")</f>
        <v/>
      </c>
      <c r="AM194" s="116">
        <f>IFERROR(INDEX('DRAFT 1'!$AI:$AI,MATCH($B194,'DRAFT 1'!$B:$B,0)),"")</f>
        <v/>
      </c>
      <c r="AN194" s="116">
        <f>IFERROR(INDEX('DRAFT 1'!$AJ:$AJ,MATCH($B194,'DRAFT 1'!$B:$B,0)),"")</f>
        <v/>
      </c>
      <c r="AO194" s="116">
        <f>IFERROR(Y194/AN194,0)</f>
        <v/>
      </c>
      <c r="AP194" s="116">
        <f>IFERROR(INDEX('DRAFT 1'!$AK:$AK,MATCH($B194,'DRAFT 1'!$B:$B,0)),"")</f>
        <v/>
      </c>
      <c r="AR194" s="116">
        <f>IFERROR(LOOKUP(2,1/('DRAFT 2'!$D:$D=$B194),'DRAFT 2'!$I:$I),"")</f>
        <v/>
      </c>
      <c r="AS194" s="116">
        <f>IFERROR(LOOKUP(2,1/('DRAFT 2'!$D:$D=$B194),'DRAFT 2'!$T:$T),"")</f>
        <v/>
      </c>
      <c r="AT194" s="116">
        <f>IFERROR(LOOKUP(2,1/('DRAFT 2'!$D:$D=$B194),'DRAFT 2'!$A:$A),"")</f>
        <v/>
      </c>
      <c r="AU194" s="116">
        <f>IFERROR(LOOKUP(2,1/('DRAFT 2'!$D:$D=$B194),'DRAFT 2'!$R:$R),"")</f>
        <v/>
      </c>
      <c r="AV194" s="116">
        <f>IFERROR(LOOKUP(2,1/('DRAFT 2'!$D:$D=$B194),'DRAFT 2'!$S:$S),"")</f>
        <v/>
      </c>
      <c r="AX194" s="116">
        <f>IFERROR(LOOKUP(2,1/('DRAFT 2'!$D:$D=$B194),'DRAFT 2'!$M:$M),"")</f>
        <v/>
      </c>
      <c r="AY194" s="116">
        <f>IFERROR(LOOKUP(2,1/('DRAFT 2'!$D:$D=$B194),'DRAFT 2'!$K:$K),"")</f>
        <v/>
      </c>
      <c r="BG194" s="116">
        <f>IFERROR(LOOKUP(2,1/('DRAFT 2'!$D:$D=$B194),'DRAFT 2'!$U:$U),"")</f>
        <v/>
      </c>
      <c r="BH194" s="116">
        <f>IFERROR(LOOKUP(2,1/('DRAFT 2'!$D:$D=$B194),'DRAFT 2'!$V:$V),"")</f>
        <v/>
      </c>
      <c r="CE194" s="116">
        <f>IFERROR(AJ194,0)</f>
        <v/>
      </c>
      <c r="CF194" s="116">
        <f>IFERROR(LOOKUP(2,1/('DRAFT 2'!$D:$D=$B194)*('DRAFT 2'!$A:$A&gt;=DATE(2026,1,1))*('DRAFT 2'!$A:$A&lt;DATE(2026,IF(1=12,1+1,1+1),1)),'DRAFT 2'!$A:$A),"")</f>
        <v/>
      </c>
      <c r="CG194" s="116">
        <f>COUNTIFS('DRAFT 2'!$D:$D,$B194,'DRAFT 2'!$A:$A,"&gt;="&amp;DATE(2026,1,1),'DRAFT 2'!$A:$A,"&lt;="&amp;DATE(2026,1,7))</f>
        <v/>
      </c>
      <c r="CH194" s="116">
        <f>COUNTIFS('DRAFT 2'!$D:$D,$B194,'DRAFT 2'!$A:$A,"&gt;="&amp;DATE(2026,1,8),'DRAFT 2'!$A:$A,"&lt;="&amp;DATE(2026,1,14))</f>
        <v/>
      </c>
      <c r="CI194" s="116">
        <f>COUNTIFS('DRAFT 2'!$D:$D,$B194,'DRAFT 2'!$A:$A,"&gt;="&amp;DATE(2026,1,15),'DRAFT 2'!$A:$A,"&lt;="&amp;DATE(2026,1,21))</f>
        <v/>
      </c>
      <c r="CJ194" s="116">
        <f>COUNTIFS('DRAFT 2'!$D:$D,$B194,'DRAFT 2'!$A:$A,"&gt;="&amp;DATE(2026,1,22),'DRAFT 2'!$A:$A,"&lt;"&amp;DATE(2026,IF(1=12,1+1,1+1),1))</f>
        <v/>
      </c>
      <c r="CK194" s="116">
        <f>SUM(CG194:CJ194)</f>
        <v/>
      </c>
      <c r="CT194" s="116" t="n">
        <v>0</v>
      </c>
      <c r="CU194" s="116">
        <f>IFERROR(LOOKUP(2,1/('DRAFT 2'!$D:$D=$B194)*('DRAFT 2'!$A:$A&gt;=DATE(2026,2,1))*('DRAFT 2'!$A:$A&lt;DATE(2026,IF(2=12,2+1,2+1),1)),'DRAFT 2'!$A:$A),"")</f>
        <v/>
      </c>
      <c r="CV194" s="116">
        <f>COUNTIFS('DRAFT 2'!$D:$D,$B194,'DRAFT 2'!$A:$A,"&gt;="&amp;DATE(2026,2,1),'DRAFT 2'!$A:$A,"&lt;="&amp;DATE(2026,2,7))</f>
        <v/>
      </c>
      <c r="CW194" s="116">
        <f>COUNTIFS('DRAFT 2'!$D:$D,$B194,'DRAFT 2'!$A:$A,"&gt;="&amp;DATE(2026,2,8),'DRAFT 2'!$A:$A,"&lt;="&amp;DATE(2026,2,14))</f>
        <v/>
      </c>
      <c r="CX194" s="116">
        <f>COUNTIFS('DRAFT 2'!$D:$D,$B194,'DRAFT 2'!$A:$A,"&gt;="&amp;DATE(2026,2,15),'DRAFT 2'!$A:$A,"&lt;="&amp;DATE(2026,2,21))</f>
        <v/>
      </c>
      <c r="CY194" s="116">
        <f>COUNTIFS('DRAFT 2'!$D:$D,$B194,'DRAFT 2'!$A:$A,"&gt;="&amp;DATE(2026,2,22),'DRAFT 2'!$A:$A,"&lt;"&amp;DATE(2026,IF(2=12,2+1,2+1),1))</f>
        <v/>
      </c>
      <c r="CZ194" s="116">
        <f>SUM(CV194:CY194)</f>
        <v/>
      </c>
      <c r="DJ194" s="116">
        <f>IFERROR(LOOKUP(2,1/('DRAFT 2'!$D:$D=$B194)*('DRAFT 2'!$A:$A&gt;=DATE(2026,3,1))*('DRAFT 2'!$A:$A&lt;DATE(2026,IF(3=12,3+1,3+1),1)),'DRAFT 2'!$A:$A),"")</f>
        <v/>
      </c>
      <c r="DK194" s="116">
        <f>COUNTIFS('DRAFT 2'!$D:$D,$B194,'DRAFT 2'!$A:$A,"&gt;="&amp;DATE(2026,3,1),'DRAFT 2'!$A:$A,"&lt;="&amp;DATE(2026,3,7))</f>
        <v/>
      </c>
      <c r="DL194" s="116">
        <f>COUNTIFS('DRAFT 2'!$D:$D,$B194,'DRAFT 2'!$A:$A,"&gt;="&amp;DATE(2026,3,8),'DRAFT 2'!$A:$A,"&lt;="&amp;DATE(2026,3,14))</f>
        <v/>
      </c>
      <c r="DM194" s="116">
        <f>COUNTIFS('DRAFT 2'!$D:$D,$B194,'DRAFT 2'!$A:$A,"&gt;="&amp;DATE(2026,3,15),'DRAFT 2'!$A:$A,"&lt;="&amp;DATE(2026,3,21))</f>
        <v/>
      </c>
      <c r="DN194" s="116">
        <f>COUNTIFS('DRAFT 2'!$D:$D,$B194,'DRAFT 2'!$A:$A,"&gt;="&amp;DATE(2026,3,22),'DRAFT 2'!$A:$A,"&lt;"&amp;DATE(2026,IF(3=12,3+1,3+1),1))</f>
        <v/>
      </c>
      <c r="DO194" s="116">
        <f>SUM(DK194:DN194)</f>
        <v/>
      </c>
      <c r="DZ194" s="116">
        <f>IFERROR(LOOKUP(2,1/('DRAFT 2'!$D:$D=$B194)*('DRAFT 2'!$A:$A&gt;=DATE(2026,4,1))*('DRAFT 2'!$A:$A&lt;DATE(2026,IF(4=12,4+1,4+1),1)),'DRAFT 2'!$A:$A),"")</f>
        <v/>
      </c>
      <c r="EA194" s="116">
        <f>COUNTIFS('DRAFT 2'!$D:$D,$B194,'DRAFT 2'!$A:$A,"&gt;="&amp;DATE(2026,4,1),'DRAFT 2'!$A:$A,"&lt;="&amp;DATE(2026,4,7))</f>
        <v/>
      </c>
      <c r="EB194" s="116">
        <f>COUNTIFS('DRAFT 2'!$D:$D,$B194,'DRAFT 2'!$A:$A,"&gt;="&amp;DATE(2026,4,8),'DRAFT 2'!$A:$A,"&lt;="&amp;DATE(2026,4,14))</f>
        <v/>
      </c>
      <c r="EC194" s="116">
        <f>COUNTIFS('DRAFT 2'!$D:$D,$B194,'DRAFT 2'!$A:$A,"&gt;="&amp;DATE(2026,4,15),'DRAFT 2'!$A:$A,"&lt;="&amp;DATE(2026,4,21))</f>
        <v/>
      </c>
      <c r="ED194" s="116">
        <f>COUNTIFS('DRAFT 2'!$D:$D,$B194,'DRAFT 2'!$A:$A,"&gt;="&amp;DATE(2026,4,22),'DRAFT 2'!$A:$A,"&lt;"&amp;DATE(2026,IF(4=12,4+1,4+1),1))</f>
        <v/>
      </c>
      <c r="EE194" s="116">
        <f>SUM(EA194:ED194)</f>
        <v/>
      </c>
      <c r="EO194" s="116">
        <f>IFERROR(LOOKUP(2,1/('DRAFT 2'!$D:$D=$B194)*('DRAFT 2'!$A:$A&gt;=DATE(2026,5,1))*('DRAFT 2'!$A:$A&lt;DATE(2026,IF(5=12,5+1,5+1),1)),'DRAFT 2'!$A:$A),"")</f>
        <v/>
      </c>
      <c r="EP194" s="116">
        <f>COUNTIFS('DRAFT 2'!$D:$D,$B194,'DRAFT 2'!$A:$A,"&gt;="&amp;DATE(2026,5,1),'DRAFT 2'!$A:$A,"&lt;="&amp;DATE(2026,5,7))</f>
        <v/>
      </c>
      <c r="EQ194" s="116">
        <f>COUNTIFS('DRAFT 2'!$D:$D,$B194,'DRAFT 2'!$A:$A,"&gt;="&amp;DATE(2026,5,8),'DRAFT 2'!$A:$A,"&lt;="&amp;DATE(2026,5,14))</f>
        <v/>
      </c>
      <c r="ER194" s="116">
        <f>COUNTIFS('DRAFT 2'!$D:$D,$B194,'DRAFT 2'!$A:$A,"&gt;="&amp;DATE(2026,5,15),'DRAFT 2'!$A:$A,"&lt;="&amp;DATE(2026,5,21))</f>
        <v/>
      </c>
      <c r="ES194" s="116">
        <f>COUNTIFS('DRAFT 2'!$D:$D,$B194,'DRAFT 2'!$A:$A,"&gt;="&amp;DATE(2026,5,22),'DRAFT 2'!$A:$A,"&lt;"&amp;DATE(2026,IF(5=12,5+1,5+1),1))</f>
        <v/>
      </c>
      <c r="ET194" s="116">
        <f>SUM(EP194:ES194)</f>
        <v/>
      </c>
      <c r="FD194" s="116">
        <f>IFERROR(LOOKUP(2,1/('DRAFT 2'!$D:$D=$B194)*('DRAFT 2'!$A:$A&gt;=DATE(2026,6,1))*('DRAFT 2'!$A:$A&lt;DATE(2026,IF(6=12,6+1,6+1),1)),'DRAFT 2'!$A:$A),"")</f>
        <v/>
      </c>
      <c r="FE194" s="116">
        <f>COUNTIFS('DRAFT 2'!$D:$D,$B194,'DRAFT 2'!$A:$A,"&gt;="&amp;DATE(2026,6,1),'DRAFT 2'!$A:$A,"&lt;="&amp;DATE(2026,6,7))</f>
        <v/>
      </c>
      <c r="FF194" s="116">
        <f>COUNTIFS('DRAFT 2'!$D:$D,$B194,'DRAFT 2'!$A:$A,"&gt;="&amp;DATE(2026,6,8),'DRAFT 2'!$A:$A,"&lt;="&amp;DATE(2026,6,14))</f>
        <v/>
      </c>
      <c r="FG194" s="116">
        <f>COUNTIFS('DRAFT 2'!$D:$D,$B194,'DRAFT 2'!$A:$A,"&gt;="&amp;DATE(2026,6,15),'DRAFT 2'!$A:$A,"&lt;="&amp;DATE(2026,6,21))</f>
        <v/>
      </c>
      <c r="FH194" s="116">
        <f>COUNTIFS('DRAFT 2'!$D:$D,$B194,'DRAFT 2'!$A:$A,"&gt;="&amp;DATE(2026,6,22),'DRAFT 2'!$A:$A,"&lt;"&amp;DATE(2026,IF(6=12,6+1,6+1),1))</f>
        <v/>
      </c>
      <c r="FI194" s="116">
        <f>SUM(FE194:FH194)</f>
        <v/>
      </c>
      <c r="FT194" s="116">
        <f>IFERROR(LOOKUP(2,1/('DRAFT 2'!$D:$D=$B194)*('DRAFT 2'!$A:$A&gt;=DATE(2026,7,1))*('DRAFT 2'!$A:$A&lt;DATE(2026,IF(7=12,7+1,7+1),1)),'DRAFT 2'!$A:$A),"")</f>
        <v/>
      </c>
      <c r="FU194" s="116">
        <f>COUNTIFS('DRAFT 2'!$D:$D,$B194,'DRAFT 2'!$A:$A,"&gt;="&amp;DATE(2026,7,1),'DRAFT 2'!$A:$A,"&lt;="&amp;DATE(2026,7,7))</f>
        <v/>
      </c>
      <c r="FV194" s="116">
        <f>COUNTIFS('DRAFT 2'!$D:$D,$B194,'DRAFT 2'!$A:$A,"&gt;="&amp;DATE(2026,7,8),'DRAFT 2'!$A:$A,"&lt;="&amp;DATE(2026,7,14))</f>
        <v/>
      </c>
      <c r="FW194" s="116">
        <f>COUNTIFS('DRAFT 2'!$D:$D,$B194,'DRAFT 2'!$A:$A,"&gt;="&amp;DATE(2026,7,15),'DRAFT 2'!$A:$A,"&lt;="&amp;DATE(2026,7,21))</f>
        <v/>
      </c>
      <c r="FX194" s="116">
        <f>COUNTIFS('DRAFT 2'!$D:$D,$B194,'DRAFT 2'!$A:$A,"&gt;="&amp;DATE(2026,7,22),'DRAFT 2'!$A:$A,"&lt;"&amp;DATE(2026,IF(7=12,7+1,7+1),1))</f>
        <v/>
      </c>
      <c r="FY194" s="116">
        <f>SUM(FU194:FX194)</f>
        <v/>
      </c>
      <c r="GI194" s="116">
        <f>IFERROR(LOOKUP(2,1/('DRAFT 2'!$D:$D=$B194)*('DRAFT 2'!$A:$A&gt;=DATE(2026,8,1))*('DRAFT 2'!$A:$A&lt;DATE(2026,IF(8=12,8+1,8+1),1)),'DRAFT 2'!$A:$A),"")</f>
        <v/>
      </c>
      <c r="GJ194" s="116">
        <f>COUNTIFS('DRAFT 2'!$D:$D,$B194,'DRAFT 2'!$A:$A,"&gt;="&amp;DATE(2026,8,1),'DRAFT 2'!$A:$A,"&lt;="&amp;DATE(2026,8,7))</f>
        <v/>
      </c>
      <c r="GK194" s="116">
        <f>COUNTIFS('DRAFT 2'!$D:$D,$B194,'DRAFT 2'!$A:$A,"&gt;="&amp;DATE(2026,8,8),'DRAFT 2'!$A:$A,"&lt;="&amp;DATE(2026,8,14))</f>
        <v/>
      </c>
      <c r="GL194" s="116">
        <f>COUNTIFS('DRAFT 2'!$D:$D,$B194,'DRAFT 2'!$A:$A,"&gt;="&amp;DATE(2026,8,15),'DRAFT 2'!$A:$A,"&lt;="&amp;DATE(2026,8,21))</f>
        <v/>
      </c>
      <c r="GM194" s="116">
        <f>COUNTIFS('DRAFT 2'!$D:$D,$B194,'DRAFT 2'!$A:$A,"&gt;="&amp;DATE(2026,8,22),'DRAFT 2'!$A:$A,"&lt;"&amp;DATE(2026,IF(8=12,8+1,8+1),1))</f>
        <v/>
      </c>
      <c r="GN194" s="116">
        <f>SUM(GJ194:GM194)</f>
        <v/>
      </c>
      <c r="GX194" s="116">
        <f>IFERROR(LOOKUP(2,1/('DRAFT 2'!$D:$D=$B194)*('DRAFT 2'!$A:$A&gt;=DATE(2026,9,1))*('DRAFT 2'!$A:$A&lt;DATE(2026,IF(9=12,9+1,9+1),1)),'DRAFT 2'!$A:$A),"")</f>
        <v/>
      </c>
      <c r="GY194" s="116">
        <f>COUNTIFS('DRAFT 2'!$D:$D,$B194,'DRAFT 2'!$A:$A,"&gt;="&amp;DATE(2026,9,1),'DRAFT 2'!$A:$A,"&lt;="&amp;DATE(2026,9,7))</f>
        <v/>
      </c>
      <c r="GZ194" s="116">
        <f>COUNTIFS('DRAFT 2'!$D:$D,$B194,'DRAFT 2'!$A:$A,"&gt;="&amp;DATE(2026,9,8),'DRAFT 2'!$A:$A,"&lt;="&amp;DATE(2026,9,14))</f>
        <v/>
      </c>
      <c r="HA194" s="116">
        <f>COUNTIFS('DRAFT 2'!$D:$D,$B194,'DRAFT 2'!$A:$A,"&gt;="&amp;DATE(2026,9,15),'DRAFT 2'!$A:$A,"&lt;="&amp;DATE(2026,9,21))</f>
        <v/>
      </c>
      <c r="HB194" s="116">
        <f>COUNTIFS('DRAFT 2'!$D:$D,$B194,'DRAFT 2'!$A:$A,"&gt;="&amp;DATE(2026,9,22),'DRAFT 2'!$A:$A,"&lt;"&amp;DATE(2026,IF(9=12,9+1,9+1),1))</f>
        <v/>
      </c>
      <c r="HC194" s="116">
        <f>SUM(GY194:HB194)</f>
        <v/>
      </c>
      <c r="HN194" s="116">
        <f>IFERROR(LOOKUP(2,1/('DRAFT 2'!$D:$D=$B194)*('DRAFT 2'!$A:$A&gt;=DATE(2026,10,1))*('DRAFT 2'!$A:$A&lt;DATE(2026,IF(10=12,10+1,10+1),1)),'DRAFT 2'!$A:$A),"")</f>
        <v/>
      </c>
      <c r="HO194" s="116">
        <f>COUNTIFS('DRAFT 2'!$D:$D,$B194,'DRAFT 2'!$A:$A,"&gt;="&amp;DATE(2026,10,1),'DRAFT 2'!$A:$A,"&lt;="&amp;DATE(2026,10,7))</f>
        <v/>
      </c>
      <c r="HP194" s="116">
        <f>COUNTIFS('DRAFT 2'!$D:$D,$B194,'DRAFT 2'!$A:$A,"&gt;="&amp;DATE(2026,10,8),'DRAFT 2'!$A:$A,"&lt;="&amp;DATE(2026,10,14))</f>
        <v/>
      </c>
      <c r="HQ194" s="116">
        <f>COUNTIFS('DRAFT 2'!$D:$D,$B194,'DRAFT 2'!$A:$A,"&gt;="&amp;DATE(2026,10,15),'DRAFT 2'!$A:$A,"&lt;="&amp;DATE(2026,10,21))</f>
        <v/>
      </c>
      <c r="HR194" s="116">
        <f>COUNTIFS('DRAFT 2'!$D:$D,$B194,'DRAFT 2'!$A:$A,"&gt;="&amp;DATE(2026,10,22),'DRAFT 2'!$A:$A,"&lt;"&amp;DATE(2026,IF(10=12,10+1,10+1),1))</f>
        <v/>
      </c>
      <c r="HS194" s="116">
        <f>SUM(HO194:HR194)</f>
        <v/>
      </c>
      <c r="IC194" s="116">
        <f>IFERROR(LOOKUP(2,1/('DRAFT 2'!$D:$D=$B194)*('DRAFT 2'!$A:$A&gt;=DATE(2026,11,1))*('DRAFT 2'!$A:$A&lt;DATE(2026,IF(11=12,11+1,11+1),1)),'DRAFT 2'!$A:$A),"")</f>
        <v/>
      </c>
      <c r="ID194" s="116">
        <f>COUNTIFS('DRAFT 2'!$D:$D,$B194,'DRAFT 2'!$A:$A,"&gt;="&amp;DATE(2026,11,1),'DRAFT 2'!$A:$A,"&lt;="&amp;DATE(2026,11,7))</f>
        <v/>
      </c>
      <c r="IE194" s="116">
        <f>COUNTIFS('DRAFT 2'!$D:$D,$B194,'DRAFT 2'!$A:$A,"&gt;="&amp;DATE(2026,11,8),'DRAFT 2'!$A:$A,"&lt;="&amp;DATE(2026,11,14))</f>
        <v/>
      </c>
      <c r="IF194" s="116">
        <f>COUNTIFS('DRAFT 2'!$D:$D,$B194,'DRAFT 2'!$A:$A,"&gt;="&amp;DATE(2026,11,15),'DRAFT 2'!$A:$A,"&lt;="&amp;DATE(2026,11,21))</f>
        <v/>
      </c>
      <c r="IG194" s="116">
        <f>COUNTIFS('DRAFT 2'!$D:$D,$B194,'DRAFT 2'!$A:$A,"&gt;="&amp;DATE(2026,11,22),'DRAFT 2'!$A:$A,"&lt;"&amp;DATE(2026,IF(11=12,11+1,11+1),1))</f>
        <v/>
      </c>
      <c r="IH194" s="116">
        <f>SUM(ID194:IG194)</f>
        <v/>
      </c>
      <c r="IR194" s="116">
        <f>IFERROR(LOOKUP(2,1/('DRAFT 2'!$D:$D=$B194)*('DRAFT 2'!$A:$A&gt;=DATE(2026,12,1))*('DRAFT 2'!$A:$A&lt;DATE(2026,IF(12=12,12+1,12+1),1)),'DRAFT 2'!$A:$A),"")</f>
        <v/>
      </c>
      <c r="IS194" s="116">
        <f>COUNTIFS('DRAFT 2'!$D:$D,$B194,'DRAFT 2'!$A:$A,"&gt;="&amp;DATE(2026,12,1),'DRAFT 2'!$A:$A,"&lt;="&amp;DATE(2026,12,7))</f>
        <v/>
      </c>
      <c r="IT194" s="116">
        <f>COUNTIFS('DRAFT 2'!$D:$D,$B194,'DRAFT 2'!$A:$A,"&gt;="&amp;DATE(2026,12,8),'DRAFT 2'!$A:$A,"&lt;="&amp;DATE(2026,12,14))</f>
        <v/>
      </c>
      <c r="IU194" s="116">
        <f>COUNTIFS('DRAFT 2'!$D:$D,$B194,'DRAFT 2'!$A:$A,"&gt;="&amp;DATE(2026,12,15),'DRAFT 2'!$A:$A,"&lt;="&amp;DATE(2026,12,21))</f>
        <v/>
      </c>
      <c r="IV194" s="116">
        <f>COUNTIFS('DRAFT 2'!$D:$D,$B194,'DRAFT 2'!$A:$A,"&gt;="&amp;DATE(2026,12,22),'DRAFT 2'!$A:$A,"&lt;"&amp;DATE(2026,IF(12=12,12+1,12+1),1))</f>
        <v/>
      </c>
      <c r="IW194" s="116">
        <f>SUM(IS194:IV194)</f>
        <v/>
      </c>
    </row>
    <row r="195">
      <c r="A195" s="116">
        <f>IFERROR(INDEX('DRAFT 1'!$A:$A,MATCH($B195,'DRAFT 1'!$B:$B,0)),"")</f>
        <v/>
      </c>
      <c r="C195" s="116">
        <f>IFERROR(INDEX('DRAFT 1'!$C:$C,MATCH($B195,'DRAFT 1'!$B:$B,0)),"")</f>
        <v/>
      </c>
      <c r="D195" s="116">
        <f>IFERROR(INDEX('DRAFT 1'!$D:$D,MATCH($B195,'DRAFT 1'!$B:$B,0)),"")</f>
        <v/>
      </c>
      <c r="E195" s="116">
        <f>IFERROR(INDEX('DRAFT 1'!$E:$E,MATCH($B195,'DRAFT 1'!$B:$B,0)),"")</f>
        <v/>
      </c>
      <c r="F195" s="116">
        <f>IFERROR(INDEX('DRAFT 1'!$F:$F,MATCH($B195,'DRAFT 1'!$B:$B,0)),"")</f>
        <v/>
      </c>
      <c r="G195" s="116">
        <f>IFERROR(INDEX('DRAFT 1'!$G:$G,MATCH($B195,'DRAFT 1'!$B:$B,0)),"")</f>
        <v/>
      </c>
      <c r="H195" s="116">
        <f>IFERROR(INDEX('DRAFT 1'!$H:$H,MATCH($B195,'DRAFT 1'!$B:$B,0)),"")</f>
        <v/>
      </c>
      <c r="I195" s="116">
        <f>IFERROR(INDEX('DRAFT 1'!$I:$I,MATCH($B195,'DRAFT 1'!$B:$B,0)),"")</f>
        <v/>
      </c>
      <c r="K195" s="116">
        <f>IFERROR(INDEX('DRAFT 1'!$AL:$AL,MATCH($B195,'DRAFT 1'!$B:$B,0)),"")</f>
        <v/>
      </c>
      <c r="L195" s="116">
        <f>IFERROR(INDEX('DRAFT 1'!$J:$J,MATCH($B195,'DRAFT 1'!$B:$B,0)),"")</f>
        <v/>
      </c>
      <c r="M195" s="116">
        <f>IFERROR(INDEX('DRAFT 1'!$K:$K,MATCH($B195,'DRAFT 1'!$B:$B,0)),"")</f>
        <v/>
      </c>
      <c r="P195" s="116">
        <f>IFERROR(INDEX('DRAFT 1'!$L:$L,MATCH($B195,'DRAFT 1'!$B:$B,0)),"")</f>
        <v/>
      </c>
      <c r="Q195" s="116">
        <f>IFERROR(INDEX('DRAFT 1'!$M:$M,MATCH($B195,'DRAFT 1'!$B:$B,0)),"")</f>
        <v/>
      </c>
      <c r="R195" s="116">
        <f>IFERROR(INDEX('DRAFT 1'!$N:$N,MATCH($B195,'DRAFT 1'!$B:$B,0)),"")</f>
        <v/>
      </c>
      <c r="S195" s="116">
        <f>IFERROR(INDEX('DRAFT 1'!$O:$O,MATCH($B195,'DRAFT 1'!$B:$B,0)),"")</f>
        <v/>
      </c>
      <c r="T195" s="116">
        <f>IFERROR(INDEX('DRAFT 1'!$P:$P,MATCH($B195,'DRAFT 1'!$B:$B,0)),"")</f>
        <v/>
      </c>
      <c r="U195" s="116">
        <f>IFERROR(INDEX('DRAFT 1'!$Q:$Q,MATCH($B195,'DRAFT 1'!$B:$B,0)),"")</f>
        <v/>
      </c>
      <c r="V195" s="116">
        <f>IFERROR(INDEX('DRAFT 1'!$R:$R,MATCH($B195,'DRAFT 1'!$B:$B,0)),"")</f>
        <v/>
      </c>
      <c r="W195" s="116">
        <f>IFERROR(INDEX('DRAFT 1'!$S:$S,MATCH($B195,'DRAFT 1'!$B:$B,0)),"")</f>
        <v/>
      </c>
      <c r="X195" s="116">
        <f>IFERROR(INDEX('DRAFT 1'!$T:$T,MATCH($B195,'DRAFT 1'!$B:$B,0)),"")</f>
        <v/>
      </c>
      <c r="Z195" s="116">
        <f>IFERROR(INDEX('DRAFT 1'!$U:$U,MATCH($B195,'DRAFT 1'!$B:$B,0)),"")</f>
        <v/>
      </c>
      <c r="AA195" s="116">
        <f>IFERROR(INDEX('DRAFT 1'!$V:$V,MATCH($B195,'DRAFT 1'!$B:$B,0)),"")</f>
        <v/>
      </c>
      <c r="AB195" s="116">
        <f>IFERROR(INDEX('DRAFT 1'!$W:$W,MATCH($B195,'DRAFT 1'!$B:$B,0)),"")</f>
        <v/>
      </c>
      <c r="AC195" s="116">
        <f>IFERROR(INDEX('DRAFT 1'!$X:$X,MATCH($B195,'DRAFT 1'!$B:$B,0)),"")</f>
        <v/>
      </c>
      <c r="AD195" s="116">
        <f>IFERROR(INDEX('DRAFT 1'!$Y:$Y,MATCH($B195,'DRAFT 1'!$B:$B,0)),"")</f>
        <v/>
      </c>
      <c r="AE195" s="116">
        <f>IFERROR(INDEX('DRAFT 1'!$Z:$Z,MATCH($B195,'DRAFT 1'!$B:$B,0)),"")</f>
        <v/>
      </c>
      <c r="AF195" s="116">
        <f>IFERROR(INDEX('DRAFT 1'!$AA:$AA,MATCH($B195,'DRAFT 1'!$B:$B,0)),"")</f>
        <v/>
      </c>
      <c r="AG195" s="116">
        <f>IFERROR(INDEX('DRAFT 1'!$AB:$AB,MATCH($B195,'DRAFT 1'!$B:$B,0)),"")</f>
        <v/>
      </c>
      <c r="AH195" s="116">
        <f>IFERROR(INDEX('DRAFT 1'!$AC:$AC,MATCH($B195,'DRAFT 1'!$B:$B,0)),"")</f>
        <v/>
      </c>
      <c r="AI195" s="116">
        <f>IFERROR(INDEX('DRAFT 1'!$AD:$AD,MATCH($B195,'DRAFT 1'!$B:$B,0)),"")</f>
        <v/>
      </c>
      <c r="AJ195" s="116">
        <f>IFERROR(INDEX('DRAFT 1'!$AE:$AE,MATCH($B195,'DRAFT 1'!$B:$B,0)),"")</f>
        <v/>
      </c>
      <c r="AK195" s="116">
        <f>IFERROR(INDEX('DRAFT 1'!$AG:$AG,MATCH($B195,'DRAFT 1'!$B:$B,0)),"")</f>
        <v/>
      </c>
      <c r="AL195" s="116">
        <f>IFERROR(INDEX('DRAFT 1'!$AH:$AH,MATCH($B195,'DRAFT 1'!$B:$B,0)),"")</f>
        <v/>
      </c>
      <c r="AM195" s="116">
        <f>IFERROR(INDEX('DRAFT 1'!$AI:$AI,MATCH($B195,'DRAFT 1'!$B:$B,0)),"")</f>
        <v/>
      </c>
      <c r="AN195" s="116">
        <f>IFERROR(INDEX('DRAFT 1'!$AJ:$AJ,MATCH($B195,'DRAFT 1'!$B:$B,0)),"")</f>
        <v/>
      </c>
      <c r="AO195" s="116">
        <f>IFERROR(Y195/AN195,0)</f>
        <v/>
      </c>
      <c r="AP195" s="116">
        <f>IFERROR(INDEX('DRAFT 1'!$AK:$AK,MATCH($B195,'DRAFT 1'!$B:$B,0)),"")</f>
        <v/>
      </c>
      <c r="AR195" s="116">
        <f>IFERROR(LOOKUP(2,1/('DRAFT 2'!$D:$D=$B195),'DRAFT 2'!$I:$I),"")</f>
        <v/>
      </c>
      <c r="AS195" s="116">
        <f>IFERROR(LOOKUP(2,1/('DRAFT 2'!$D:$D=$B195),'DRAFT 2'!$T:$T),"")</f>
        <v/>
      </c>
      <c r="AT195" s="116">
        <f>IFERROR(LOOKUP(2,1/('DRAFT 2'!$D:$D=$B195),'DRAFT 2'!$A:$A),"")</f>
        <v/>
      </c>
      <c r="AU195" s="116">
        <f>IFERROR(LOOKUP(2,1/('DRAFT 2'!$D:$D=$B195),'DRAFT 2'!$R:$R),"")</f>
        <v/>
      </c>
      <c r="AV195" s="116">
        <f>IFERROR(LOOKUP(2,1/('DRAFT 2'!$D:$D=$B195),'DRAFT 2'!$S:$S),"")</f>
        <v/>
      </c>
      <c r="AX195" s="116">
        <f>IFERROR(LOOKUP(2,1/('DRAFT 2'!$D:$D=$B195),'DRAFT 2'!$M:$M),"")</f>
        <v/>
      </c>
      <c r="AY195" s="116">
        <f>IFERROR(LOOKUP(2,1/('DRAFT 2'!$D:$D=$B195),'DRAFT 2'!$K:$K),"")</f>
        <v/>
      </c>
      <c r="BG195" s="116">
        <f>IFERROR(LOOKUP(2,1/('DRAFT 2'!$D:$D=$B195),'DRAFT 2'!$U:$U),"")</f>
        <v/>
      </c>
      <c r="BH195" s="116">
        <f>IFERROR(LOOKUP(2,1/('DRAFT 2'!$D:$D=$B195),'DRAFT 2'!$V:$V),"")</f>
        <v/>
      </c>
      <c r="CE195" s="116">
        <f>IFERROR(AJ195,0)</f>
        <v/>
      </c>
      <c r="CF195" s="116">
        <f>IFERROR(LOOKUP(2,1/('DRAFT 2'!$D:$D=$B195)*('DRAFT 2'!$A:$A&gt;=DATE(2026,1,1))*('DRAFT 2'!$A:$A&lt;DATE(2026,IF(1=12,1+1,1+1),1)),'DRAFT 2'!$A:$A),"")</f>
        <v/>
      </c>
      <c r="CG195" s="116">
        <f>COUNTIFS('DRAFT 2'!$D:$D,$B195,'DRAFT 2'!$A:$A,"&gt;="&amp;DATE(2026,1,1),'DRAFT 2'!$A:$A,"&lt;="&amp;DATE(2026,1,7))</f>
        <v/>
      </c>
      <c r="CH195" s="116">
        <f>COUNTIFS('DRAFT 2'!$D:$D,$B195,'DRAFT 2'!$A:$A,"&gt;="&amp;DATE(2026,1,8),'DRAFT 2'!$A:$A,"&lt;="&amp;DATE(2026,1,14))</f>
        <v/>
      </c>
      <c r="CI195" s="116">
        <f>COUNTIFS('DRAFT 2'!$D:$D,$B195,'DRAFT 2'!$A:$A,"&gt;="&amp;DATE(2026,1,15),'DRAFT 2'!$A:$A,"&lt;="&amp;DATE(2026,1,21))</f>
        <v/>
      </c>
      <c r="CJ195" s="116">
        <f>COUNTIFS('DRAFT 2'!$D:$D,$B195,'DRAFT 2'!$A:$A,"&gt;="&amp;DATE(2026,1,22),'DRAFT 2'!$A:$A,"&lt;"&amp;DATE(2026,IF(1=12,1+1,1+1),1))</f>
        <v/>
      </c>
      <c r="CK195" s="116">
        <f>SUM(CG195:CJ195)</f>
        <v/>
      </c>
      <c r="CT195" s="116" t="n">
        <v>0</v>
      </c>
      <c r="CU195" s="116">
        <f>IFERROR(LOOKUP(2,1/('DRAFT 2'!$D:$D=$B195)*('DRAFT 2'!$A:$A&gt;=DATE(2026,2,1))*('DRAFT 2'!$A:$A&lt;DATE(2026,IF(2=12,2+1,2+1),1)),'DRAFT 2'!$A:$A),"")</f>
        <v/>
      </c>
      <c r="CV195" s="116">
        <f>COUNTIFS('DRAFT 2'!$D:$D,$B195,'DRAFT 2'!$A:$A,"&gt;="&amp;DATE(2026,2,1),'DRAFT 2'!$A:$A,"&lt;="&amp;DATE(2026,2,7))</f>
        <v/>
      </c>
      <c r="CW195" s="116">
        <f>COUNTIFS('DRAFT 2'!$D:$D,$B195,'DRAFT 2'!$A:$A,"&gt;="&amp;DATE(2026,2,8),'DRAFT 2'!$A:$A,"&lt;="&amp;DATE(2026,2,14))</f>
        <v/>
      </c>
      <c r="CX195" s="116">
        <f>COUNTIFS('DRAFT 2'!$D:$D,$B195,'DRAFT 2'!$A:$A,"&gt;="&amp;DATE(2026,2,15),'DRAFT 2'!$A:$A,"&lt;="&amp;DATE(2026,2,21))</f>
        <v/>
      </c>
      <c r="CY195" s="116">
        <f>COUNTIFS('DRAFT 2'!$D:$D,$B195,'DRAFT 2'!$A:$A,"&gt;="&amp;DATE(2026,2,22),'DRAFT 2'!$A:$A,"&lt;"&amp;DATE(2026,IF(2=12,2+1,2+1),1))</f>
        <v/>
      </c>
      <c r="CZ195" s="116">
        <f>SUM(CV195:CY195)</f>
        <v/>
      </c>
      <c r="DJ195" s="116">
        <f>IFERROR(LOOKUP(2,1/('DRAFT 2'!$D:$D=$B195)*('DRAFT 2'!$A:$A&gt;=DATE(2026,3,1))*('DRAFT 2'!$A:$A&lt;DATE(2026,IF(3=12,3+1,3+1),1)),'DRAFT 2'!$A:$A),"")</f>
        <v/>
      </c>
      <c r="DK195" s="116">
        <f>COUNTIFS('DRAFT 2'!$D:$D,$B195,'DRAFT 2'!$A:$A,"&gt;="&amp;DATE(2026,3,1),'DRAFT 2'!$A:$A,"&lt;="&amp;DATE(2026,3,7))</f>
        <v/>
      </c>
      <c r="DL195" s="116">
        <f>COUNTIFS('DRAFT 2'!$D:$D,$B195,'DRAFT 2'!$A:$A,"&gt;="&amp;DATE(2026,3,8),'DRAFT 2'!$A:$A,"&lt;="&amp;DATE(2026,3,14))</f>
        <v/>
      </c>
      <c r="DM195" s="116">
        <f>COUNTIFS('DRAFT 2'!$D:$D,$B195,'DRAFT 2'!$A:$A,"&gt;="&amp;DATE(2026,3,15),'DRAFT 2'!$A:$A,"&lt;="&amp;DATE(2026,3,21))</f>
        <v/>
      </c>
      <c r="DN195" s="116">
        <f>COUNTIFS('DRAFT 2'!$D:$D,$B195,'DRAFT 2'!$A:$A,"&gt;="&amp;DATE(2026,3,22),'DRAFT 2'!$A:$A,"&lt;"&amp;DATE(2026,IF(3=12,3+1,3+1),1))</f>
        <v/>
      </c>
      <c r="DO195" s="116">
        <f>SUM(DK195:DN195)</f>
        <v/>
      </c>
      <c r="DZ195" s="116">
        <f>IFERROR(LOOKUP(2,1/('DRAFT 2'!$D:$D=$B195)*('DRAFT 2'!$A:$A&gt;=DATE(2026,4,1))*('DRAFT 2'!$A:$A&lt;DATE(2026,IF(4=12,4+1,4+1),1)),'DRAFT 2'!$A:$A),"")</f>
        <v/>
      </c>
      <c r="EA195" s="116">
        <f>COUNTIFS('DRAFT 2'!$D:$D,$B195,'DRAFT 2'!$A:$A,"&gt;="&amp;DATE(2026,4,1),'DRAFT 2'!$A:$A,"&lt;="&amp;DATE(2026,4,7))</f>
        <v/>
      </c>
      <c r="EB195" s="116">
        <f>COUNTIFS('DRAFT 2'!$D:$D,$B195,'DRAFT 2'!$A:$A,"&gt;="&amp;DATE(2026,4,8),'DRAFT 2'!$A:$A,"&lt;="&amp;DATE(2026,4,14))</f>
        <v/>
      </c>
      <c r="EC195" s="116">
        <f>COUNTIFS('DRAFT 2'!$D:$D,$B195,'DRAFT 2'!$A:$A,"&gt;="&amp;DATE(2026,4,15),'DRAFT 2'!$A:$A,"&lt;="&amp;DATE(2026,4,21))</f>
        <v/>
      </c>
      <c r="ED195" s="116">
        <f>COUNTIFS('DRAFT 2'!$D:$D,$B195,'DRAFT 2'!$A:$A,"&gt;="&amp;DATE(2026,4,22),'DRAFT 2'!$A:$A,"&lt;"&amp;DATE(2026,IF(4=12,4+1,4+1),1))</f>
        <v/>
      </c>
      <c r="EE195" s="116">
        <f>SUM(EA195:ED195)</f>
        <v/>
      </c>
      <c r="EO195" s="116">
        <f>IFERROR(LOOKUP(2,1/('DRAFT 2'!$D:$D=$B195)*('DRAFT 2'!$A:$A&gt;=DATE(2026,5,1))*('DRAFT 2'!$A:$A&lt;DATE(2026,IF(5=12,5+1,5+1),1)),'DRAFT 2'!$A:$A),"")</f>
        <v/>
      </c>
      <c r="EP195" s="116">
        <f>COUNTIFS('DRAFT 2'!$D:$D,$B195,'DRAFT 2'!$A:$A,"&gt;="&amp;DATE(2026,5,1),'DRAFT 2'!$A:$A,"&lt;="&amp;DATE(2026,5,7))</f>
        <v/>
      </c>
      <c r="EQ195" s="116">
        <f>COUNTIFS('DRAFT 2'!$D:$D,$B195,'DRAFT 2'!$A:$A,"&gt;="&amp;DATE(2026,5,8),'DRAFT 2'!$A:$A,"&lt;="&amp;DATE(2026,5,14))</f>
        <v/>
      </c>
      <c r="ER195" s="116">
        <f>COUNTIFS('DRAFT 2'!$D:$D,$B195,'DRAFT 2'!$A:$A,"&gt;="&amp;DATE(2026,5,15),'DRAFT 2'!$A:$A,"&lt;="&amp;DATE(2026,5,21))</f>
        <v/>
      </c>
      <c r="ES195" s="116">
        <f>COUNTIFS('DRAFT 2'!$D:$D,$B195,'DRAFT 2'!$A:$A,"&gt;="&amp;DATE(2026,5,22),'DRAFT 2'!$A:$A,"&lt;"&amp;DATE(2026,IF(5=12,5+1,5+1),1))</f>
        <v/>
      </c>
      <c r="ET195" s="116">
        <f>SUM(EP195:ES195)</f>
        <v/>
      </c>
      <c r="FD195" s="116">
        <f>IFERROR(LOOKUP(2,1/('DRAFT 2'!$D:$D=$B195)*('DRAFT 2'!$A:$A&gt;=DATE(2026,6,1))*('DRAFT 2'!$A:$A&lt;DATE(2026,IF(6=12,6+1,6+1),1)),'DRAFT 2'!$A:$A),"")</f>
        <v/>
      </c>
      <c r="FE195" s="116">
        <f>COUNTIFS('DRAFT 2'!$D:$D,$B195,'DRAFT 2'!$A:$A,"&gt;="&amp;DATE(2026,6,1),'DRAFT 2'!$A:$A,"&lt;="&amp;DATE(2026,6,7))</f>
        <v/>
      </c>
      <c r="FF195" s="116">
        <f>COUNTIFS('DRAFT 2'!$D:$D,$B195,'DRAFT 2'!$A:$A,"&gt;="&amp;DATE(2026,6,8),'DRAFT 2'!$A:$A,"&lt;="&amp;DATE(2026,6,14))</f>
        <v/>
      </c>
      <c r="FG195" s="116">
        <f>COUNTIFS('DRAFT 2'!$D:$D,$B195,'DRAFT 2'!$A:$A,"&gt;="&amp;DATE(2026,6,15),'DRAFT 2'!$A:$A,"&lt;="&amp;DATE(2026,6,21))</f>
        <v/>
      </c>
      <c r="FH195" s="116">
        <f>COUNTIFS('DRAFT 2'!$D:$D,$B195,'DRAFT 2'!$A:$A,"&gt;="&amp;DATE(2026,6,22),'DRAFT 2'!$A:$A,"&lt;"&amp;DATE(2026,IF(6=12,6+1,6+1),1))</f>
        <v/>
      </c>
      <c r="FI195" s="116">
        <f>SUM(FE195:FH195)</f>
        <v/>
      </c>
      <c r="FT195" s="116">
        <f>IFERROR(LOOKUP(2,1/('DRAFT 2'!$D:$D=$B195)*('DRAFT 2'!$A:$A&gt;=DATE(2026,7,1))*('DRAFT 2'!$A:$A&lt;DATE(2026,IF(7=12,7+1,7+1),1)),'DRAFT 2'!$A:$A),"")</f>
        <v/>
      </c>
      <c r="FU195" s="116">
        <f>COUNTIFS('DRAFT 2'!$D:$D,$B195,'DRAFT 2'!$A:$A,"&gt;="&amp;DATE(2026,7,1),'DRAFT 2'!$A:$A,"&lt;="&amp;DATE(2026,7,7))</f>
        <v/>
      </c>
      <c r="FV195" s="116">
        <f>COUNTIFS('DRAFT 2'!$D:$D,$B195,'DRAFT 2'!$A:$A,"&gt;="&amp;DATE(2026,7,8),'DRAFT 2'!$A:$A,"&lt;="&amp;DATE(2026,7,14))</f>
        <v/>
      </c>
      <c r="FW195" s="116">
        <f>COUNTIFS('DRAFT 2'!$D:$D,$B195,'DRAFT 2'!$A:$A,"&gt;="&amp;DATE(2026,7,15),'DRAFT 2'!$A:$A,"&lt;="&amp;DATE(2026,7,21))</f>
        <v/>
      </c>
      <c r="FX195" s="116">
        <f>COUNTIFS('DRAFT 2'!$D:$D,$B195,'DRAFT 2'!$A:$A,"&gt;="&amp;DATE(2026,7,22),'DRAFT 2'!$A:$A,"&lt;"&amp;DATE(2026,IF(7=12,7+1,7+1),1))</f>
        <v/>
      </c>
      <c r="FY195" s="116">
        <f>SUM(FU195:FX195)</f>
        <v/>
      </c>
      <c r="GI195" s="116">
        <f>IFERROR(LOOKUP(2,1/('DRAFT 2'!$D:$D=$B195)*('DRAFT 2'!$A:$A&gt;=DATE(2026,8,1))*('DRAFT 2'!$A:$A&lt;DATE(2026,IF(8=12,8+1,8+1),1)),'DRAFT 2'!$A:$A),"")</f>
        <v/>
      </c>
      <c r="GJ195" s="116">
        <f>COUNTIFS('DRAFT 2'!$D:$D,$B195,'DRAFT 2'!$A:$A,"&gt;="&amp;DATE(2026,8,1),'DRAFT 2'!$A:$A,"&lt;="&amp;DATE(2026,8,7))</f>
        <v/>
      </c>
      <c r="GK195" s="116">
        <f>COUNTIFS('DRAFT 2'!$D:$D,$B195,'DRAFT 2'!$A:$A,"&gt;="&amp;DATE(2026,8,8),'DRAFT 2'!$A:$A,"&lt;="&amp;DATE(2026,8,14))</f>
        <v/>
      </c>
      <c r="GL195" s="116">
        <f>COUNTIFS('DRAFT 2'!$D:$D,$B195,'DRAFT 2'!$A:$A,"&gt;="&amp;DATE(2026,8,15),'DRAFT 2'!$A:$A,"&lt;="&amp;DATE(2026,8,21))</f>
        <v/>
      </c>
      <c r="GM195" s="116">
        <f>COUNTIFS('DRAFT 2'!$D:$D,$B195,'DRAFT 2'!$A:$A,"&gt;="&amp;DATE(2026,8,22),'DRAFT 2'!$A:$A,"&lt;"&amp;DATE(2026,IF(8=12,8+1,8+1),1))</f>
        <v/>
      </c>
      <c r="GN195" s="116">
        <f>SUM(GJ195:GM195)</f>
        <v/>
      </c>
      <c r="GX195" s="116">
        <f>IFERROR(LOOKUP(2,1/('DRAFT 2'!$D:$D=$B195)*('DRAFT 2'!$A:$A&gt;=DATE(2026,9,1))*('DRAFT 2'!$A:$A&lt;DATE(2026,IF(9=12,9+1,9+1),1)),'DRAFT 2'!$A:$A),"")</f>
        <v/>
      </c>
      <c r="GY195" s="116">
        <f>COUNTIFS('DRAFT 2'!$D:$D,$B195,'DRAFT 2'!$A:$A,"&gt;="&amp;DATE(2026,9,1),'DRAFT 2'!$A:$A,"&lt;="&amp;DATE(2026,9,7))</f>
        <v/>
      </c>
      <c r="GZ195" s="116">
        <f>COUNTIFS('DRAFT 2'!$D:$D,$B195,'DRAFT 2'!$A:$A,"&gt;="&amp;DATE(2026,9,8),'DRAFT 2'!$A:$A,"&lt;="&amp;DATE(2026,9,14))</f>
        <v/>
      </c>
      <c r="HA195" s="116">
        <f>COUNTIFS('DRAFT 2'!$D:$D,$B195,'DRAFT 2'!$A:$A,"&gt;="&amp;DATE(2026,9,15),'DRAFT 2'!$A:$A,"&lt;="&amp;DATE(2026,9,21))</f>
        <v/>
      </c>
      <c r="HB195" s="116">
        <f>COUNTIFS('DRAFT 2'!$D:$D,$B195,'DRAFT 2'!$A:$A,"&gt;="&amp;DATE(2026,9,22),'DRAFT 2'!$A:$A,"&lt;"&amp;DATE(2026,IF(9=12,9+1,9+1),1))</f>
        <v/>
      </c>
      <c r="HC195" s="116">
        <f>SUM(GY195:HB195)</f>
        <v/>
      </c>
      <c r="HN195" s="116">
        <f>IFERROR(LOOKUP(2,1/('DRAFT 2'!$D:$D=$B195)*('DRAFT 2'!$A:$A&gt;=DATE(2026,10,1))*('DRAFT 2'!$A:$A&lt;DATE(2026,IF(10=12,10+1,10+1),1)),'DRAFT 2'!$A:$A),"")</f>
        <v/>
      </c>
      <c r="HO195" s="116">
        <f>COUNTIFS('DRAFT 2'!$D:$D,$B195,'DRAFT 2'!$A:$A,"&gt;="&amp;DATE(2026,10,1),'DRAFT 2'!$A:$A,"&lt;="&amp;DATE(2026,10,7))</f>
        <v/>
      </c>
      <c r="HP195" s="116">
        <f>COUNTIFS('DRAFT 2'!$D:$D,$B195,'DRAFT 2'!$A:$A,"&gt;="&amp;DATE(2026,10,8),'DRAFT 2'!$A:$A,"&lt;="&amp;DATE(2026,10,14))</f>
        <v/>
      </c>
      <c r="HQ195" s="116">
        <f>COUNTIFS('DRAFT 2'!$D:$D,$B195,'DRAFT 2'!$A:$A,"&gt;="&amp;DATE(2026,10,15),'DRAFT 2'!$A:$A,"&lt;="&amp;DATE(2026,10,21))</f>
        <v/>
      </c>
      <c r="HR195" s="116">
        <f>COUNTIFS('DRAFT 2'!$D:$D,$B195,'DRAFT 2'!$A:$A,"&gt;="&amp;DATE(2026,10,22),'DRAFT 2'!$A:$A,"&lt;"&amp;DATE(2026,IF(10=12,10+1,10+1),1))</f>
        <v/>
      </c>
      <c r="HS195" s="116">
        <f>SUM(HO195:HR195)</f>
        <v/>
      </c>
      <c r="IC195" s="116">
        <f>IFERROR(LOOKUP(2,1/('DRAFT 2'!$D:$D=$B195)*('DRAFT 2'!$A:$A&gt;=DATE(2026,11,1))*('DRAFT 2'!$A:$A&lt;DATE(2026,IF(11=12,11+1,11+1),1)),'DRAFT 2'!$A:$A),"")</f>
        <v/>
      </c>
      <c r="ID195" s="116">
        <f>COUNTIFS('DRAFT 2'!$D:$D,$B195,'DRAFT 2'!$A:$A,"&gt;="&amp;DATE(2026,11,1),'DRAFT 2'!$A:$A,"&lt;="&amp;DATE(2026,11,7))</f>
        <v/>
      </c>
      <c r="IE195" s="116">
        <f>COUNTIFS('DRAFT 2'!$D:$D,$B195,'DRAFT 2'!$A:$A,"&gt;="&amp;DATE(2026,11,8),'DRAFT 2'!$A:$A,"&lt;="&amp;DATE(2026,11,14))</f>
        <v/>
      </c>
      <c r="IF195" s="116">
        <f>COUNTIFS('DRAFT 2'!$D:$D,$B195,'DRAFT 2'!$A:$A,"&gt;="&amp;DATE(2026,11,15),'DRAFT 2'!$A:$A,"&lt;="&amp;DATE(2026,11,21))</f>
        <v/>
      </c>
      <c r="IG195" s="116">
        <f>COUNTIFS('DRAFT 2'!$D:$D,$B195,'DRAFT 2'!$A:$A,"&gt;="&amp;DATE(2026,11,22),'DRAFT 2'!$A:$A,"&lt;"&amp;DATE(2026,IF(11=12,11+1,11+1),1))</f>
        <v/>
      </c>
      <c r="IH195" s="116">
        <f>SUM(ID195:IG195)</f>
        <v/>
      </c>
      <c r="IR195" s="116">
        <f>IFERROR(LOOKUP(2,1/('DRAFT 2'!$D:$D=$B195)*('DRAFT 2'!$A:$A&gt;=DATE(2026,12,1))*('DRAFT 2'!$A:$A&lt;DATE(2026,IF(12=12,12+1,12+1),1)),'DRAFT 2'!$A:$A),"")</f>
        <v/>
      </c>
      <c r="IS195" s="116">
        <f>COUNTIFS('DRAFT 2'!$D:$D,$B195,'DRAFT 2'!$A:$A,"&gt;="&amp;DATE(2026,12,1),'DRAFT 2'!$A:$A,"&lt;="&amp;DATE(2026,12,7))</f>
        <v/>
      </c>
      <c r="IT195" s="116">
        <f>COUNTIFS('DRAFT 2'!$D:$D,$B195,'DRAFT 2'!$A:$A,"&gt;="&amp;DATE(2026,12,8),'DRAFT 2'!$A:$A,"&lt;="&amp;DATE(2026,12,14))</f>
        <v/>
      </c>
      <c r="IU195" s="116">
        <f>COUNTIFS('DRAFT 2'!$D:$D,$B195,'DRAFT 2'!$A:$A,"&gt;="&amp;DATE(2026,12,15),'DRAFT 2'!$A:$A,"&lt;="&amp;DATE(2026,12,21))</f>
        <v/>
      </c>
      <c r="IV195" s="116">
        <f>COUNTIFS('DRAFT 2'!$D:$D,$B195,'DRAFT 2'!$A:$A,"&gt;="&amp;DATE(2026,12,22),'DRAFT 2'!$A:$A,"&lt;"&amp;DATE(2026,IF(12=12,12+1,12+1),1))</f>
        <v/>
      </c>
      <c r="IW195" s="116">
        <f>SUM(IS195:IV195)</f>
        <v/>
      </c>
    </row>
    <row r="196">
      <c r="A196" s="116">
        <f>IFERROR(INDEX('DRAFT 1'!$A:$A,MATCH($B196,'DRAFT 1'!$B:$B,0)),"")</f>
        <v/>
      </c>
      <c r="C196" s="116">
        <f>IFERROR(INDEX('DRAFT 1'!$C:$C,MATCH($B196,'DRAFT 1'!$B:$B,0)),"")</f>
        <v/>
      </c>
      <c r="D196" s="116">
        <f>IFERROR(INDEX('DRAFT 1'!$D:$D,MATCH($B196,'DRAFT 1'!$B:$B,0)),"")</f>
        <v/>
      </c>
      <c r="E196" s="116">
        <f>IFERROR(INDEX('DRAFT 1'!$E:$E,MATCH($B196,'DRAFT 1'!$B:$B,0)),"")</f>
        <v/>
      </c>
      <c r="F196" s="116">
        <f>IFERROR(INDEX('DRAFT 1'!$F:$F,MATCH($B196,'DRAFT 1'!$B:$B,0)),"")</f>
        <v/>
      </c>
      <c r="G196" s="116">
        <f>IFERROR(INDEX('DRAFT 1'!$G:$G,MATCH($B196,'DRAFT 1'!$B:$B,0)),"")</f>
        <v/>
      </c>
      <c r="H196" s="116">
        <f>IFERROR(INDEX('DRAFT 1'!$H:$H,MATCH($B196,'DRAFT 1'!$B:$B,0)),"")</f>
        <v/>
      </c>
      <c r="I196" s="116">
        <f>IFERROR(INDEX('DRAFT 1'!$I:$I,MATCH($B196,'DRAFT 1'!$B:$B,0)),"")</f>
        <v/>
      </c>
      <c r="K196" s="116">
        <f>IFERROR(INDEX('DRAFT 1'!$AL:$AL,MATCH($B196,'DRAFT 1'!$B:$B,0)),"")</f>
        <v/>
      </c>
      <c r="L196" s="116">
        <f>IFERROR(INDEX('DRAFT 1'!$J:$J,MATCH($B196,'DRAFT 1'!$B:$B,0)),"")</f>
        <v/>
      </c>
      <c r="M196" s="116">
        <f>IFERROR(INDEX('DRAFT 1'!$K:$K,MATCH($B196,'DRAFT 1'!$B:$B,0)),"")</f>
        <v/>
      </c>
      <c r="P196" s="116">
        <f>IFERROR(INDEX('DRAFT 1'!$L:$L,MATCH($B196,'DRAFT 1'!$B:$B,0)),"")</f>
        <v/>
      </c>
      <c r="Q196" s="116">
        <f>IFERROR(INDEX('DRAFT 1'!$M:$M,MATCH($B196,'DRAFT 1'!$B:$B,0)),"")</f>
        <v/>
      </c>
      <c r="R196" s="116">
        <f>IFERROR(INDEX('DRAFT 1'!$N:$N,MATCH($B196,'DRAFT 1'!$B:$B,0)),"")</f>
        <v/>
      </c>
      <c r="S196" s="116">
        <f>IFERROR(INDEX('DRAFT 1'!$O:$O,MATCH($B196,'DRAFT 1'!$B:$B,0)),"")</f>
        <v/>
      </c>
      <c r="T196" s="116">
        <f>IFERROR(INDEX('DRAFT 1'!$P:$P,MATCH($B196,'DRAFT 1'!$B:$B,0)),"")</f>
        <v/>
      </c>
      <c r="U196" s="116">
        <f>IFERROR(INDEX('DRAFT 1'!$Q:$Q,MATCH($B196,'DRAFT 1'!$B:$B,0)),"")</f>
        <v/>
      </c>
      <c r="V196" s="116">
        <f>IFERROR(INDEX('DRAFT 1'!$R:$R,MATCH($B196,'DRAFT 1'!$B:$B,0)),"")</f>
        <v/>
      </c>
      <c r="W196" s="116">
        <f>IFERROR(INDEX('DRAFT 1'!$S:$S,MATCH($B196,'DRAFT 1'!$B:$B,0)),"")</f>
        <v/>
      </c>
      <c r="X196" s="116">
        <f>IFERROR(INDEX('DRAFT 1'!$T:$T,MATCH($B196,'DRAFT 1'!$B:$B,0)),"")</f>
        <v/>
      </c>
      <c r="Z196" s="116">
        <f>IFERROR(INDEX('DRAFT 1'!$U:$U,MATCH($B196,'DRAFT 1'!$B:$B,0)),"")</f>
        <v/>
      </c>
      <c r="AA196" s="116">
        <f>IFERROR(INDEX('DRAFT 1'!$V:$V,MATCH($B196,'DRAFT 1'!$B:$B,0)),"")</f>
        <v/>
      </c>
      <c r="AB196" s="116">
        <f>IFERROR(INDEX('DRAFT 1'!$W:$W,MATCH($B196,'DRAFT 1'!$B:$B,0)),"")</f>
        <v/>
      </c>
      <c r="AC196" s="116">
        <f>IFERROR(INDEX('DRAFT 1'!$X:$X,MATCH($B196,'DRAFT 1'!$B:$B,0)),"")</f>
        <v/>
      </c>
      <c r="AD196" s="116">
        <f>IFERROR(INDEX('DRAFT 1'!$Y:$Y,MATCH($B196,'DRAFT 1'!$B:$B,0)),"")</f>
        <v/>
      </c>
      <c r="AE196" s="116">
        <f>IFERROR(INDEX('DRAFT 1'!$Z:$Z,MATCH($B196,'DRAFT 1'!$B:$B,0)),"")</f>
        <v/>
      </c>
      <c r="AF196" s="116">
        <f>IFERROR(INDEX('DRAFT 1'!$AA:$AA,MATCH($B196,'DRAFT 1'!$B:$B,0)),"")</f>
        <v/>
      </c>
      <c r="AG196" s="116">
        <f>IFERROR(INDEX('DRAFT 1'!$AB:$AB,MATCH($B196,'DRAFT 1'!$B:$B,0)),"")</f>
        <v/>
      </c>
      <c r="AH196" s="116">
        <f>IFERROR(INDEX('DRAFT 1'!$AC:$AC,MATCH($B196,'DRAFT 1'!$B:$B,0)),"")</f>
        <v/>
      </c>
      <c r="AI196" s="116">
        <f>IFERROR(INDEX('DRAFT 1'!$AD:$AD,MATCH($B196,'DRAFT 1'!$B:$B,0)),"")</f>
        <v/>
      </c>
      <c r="AJ196" s="116">
        <f>IFERROR(INDEX('DRAFT 1'!$AE:$AE,MATCH($B196,'DRAFT 1'!$B:$B,0)),"")</f>
        <v/>
      </c>
      <c r="AK196" s="116">
        <f>IFERROR(INDEX('DRAFT 1'!$AG:$AG,MATCH($B196,'DRAFT 1'!$B:$B,0)),"")</f>
        <v/>
      </c>
      <c r="AL196" s="116">
        <f>IFERROR(INDEX('DRAFT 1'!$AH:$AH,MATCH($B196,'DRAFT 1'!$B:$B,0)),"")</f>
        <v/>
      </c>
      <c r="AM196" s="116">
        <f>IFERROR(INDEX('DRAFT 1'!$AI:$AI,MATCH($B196,'DRAFT 1'!$B:$B,0)),"")</f>
        <v/>
      </c>
      <c r="AN196" s="116">
        <f>IFERROR(INDEX('DRAFT 1'!$AJ:$AJ,MATCH($B196,'DRAFT 1'!$B:$B,0)),"")</f>
        <v/>
      </c>
      <c r="AO196" s="116">
        <f>IFERROR(Y196/AN196,0)</f>
        <v/>
      </c>
      <c r="AP196" s="116">
        <f>IFERROR(INDEX('DRAFT 1'!$AK:$AK,MATCH($B196,'DRAFT 1'!$B:$B,0)),"")</f>
        <v/>
      </c>
      <c r="AR196" s="116">
        <f>IFERROR(LOOKUP(2,1/('DRAFT 2'!$D:$D=$B196),'DRAFT 2'!$I:$I),"")</f>
        <v/>
      </c>
      <c r="AS196" s="116">
        <f>IFERROR(LOOKUP(2,1/('DRAFT 2'!$D:$D=$B196),'DRAFT 2'!$T:$T),"")</f>
        <v/>
      </c>
      <c r="AT196" s="116">
        <f>IFERROR(LOOKUP(2,1/('DRAFT 2'!$D:$D=$B196),'DRAFT 2'!$A:$A),"")</f>
        <v/>
      </c>
      <c r="AU196" s="116">
        <f>IFERROR(LOOKUP(2,1/('DRAFT 2'!$D:$D=$B196),'DRAFT 2'!$R:$R),"")</f>
        <v/>
      </c>
      <c r="AV196" s="116">
        <f>IFERROR(LOOKUP(2,1/('DRAFT 2'!$D:$D=$B196),'DRAFT 2'!$S:$S),"")</f>
        <v/>
      </c>
      <c r="AX196" s="116">
        <f>IFERROR(LOOKUP(2,1/('DRAFT 2'!$D:$D=$B196),'DRAFT 2'!$M:$M),"")</f>
        <v/>
      </c>
      <c r="AY196" s="116">
        <f>IFERROR(LOOKUP(2,1/('DRAFT 2'!$D:$D=$B196),'DRAFT 2'!$K:$K),"")</f>
        <v/>
      </c>
      <c r="BG196" s="116">
        <f>IFERROR(LOOKUP(2,1/('DRAFT 2'!$D:$D=$B196),'DRAFT 2'!$U:$U),"")</f>
        <v/>
      </c>
      <c r="BH196" s="116">
        <f>IFERROR(LOOKUP(2,1/('DRAFT 2'!$D:$D=$B196),'DRAFT 2'!$V:$V),"")</f>
        <v/>
      </c>
      <c r="CE196" s="116">
        <f>IFERROR(AJ196,0)</f>
        <v/>
      </c>
      <c r="CF196" s="116">
        <f>IFERROR(LOOKUP(2,1/('DRAFT 2'!$D:$D=$B196)*('DRAFT 2'!$A:$A&gt;=DATE(2026,1,1))*('DRAFT 2'!$A:$A&lt;DATE(2026,IF(1=12,1+1,1+1),1)),'DRAFT 2'!$A:$A),"")</f>
        <v/>
      </c>
      <c r="CG196" s="116">
        <f>COUNTIFS('DRAFT 2'!$D:$D,$B196,'DRAFT 2'!$A:$A,"&gt;="&amp;DATE(2026,1,1),'DRAFT 2'!$A:$A,"&lt;="&amp;DATE(2026,1,7))</f>
        <v/>
      </c>
      <c r="CH196" s="116">
        <f>COUNTIFS('DRAFT 2'!$D:$D,$B196,'DRAFT 2'!$A:$A,"&gt;="&amp;DATE(2026,1,8),'DRAFT 2'!$A:$A,"&lt;="&amp;DATE(2026,1,14))</f>
        <v/>
      </c>
      <c r="CI196" s="116">
        <f>COUNTIFS('DRAFT 2'!$D:$D,$B196,'DRAFT 2'!$A:$A,"&gt;="&amp;DATE(2026,1,15),'DRAFT 2'!$A:$A,"&lt;="&amp;DATE(2026,1,21))</f>
        <v/>
      </c>
      <c r="CJ196" s="116">
        <f>COUNTIFS('DRAFT 2'!$D:$D,$B196,'DRAFT 2'!$A:$A,"&gt;="&amp;DATE(2026,1,22),'DRAFT 2'!$A:$A,"&lt;"&amp;DATE(2026,IF(1=12,1+1,1+1),1))</f>
        <v/>
      </c>
      <c r="CK196" s="116">
        <f>SUM(CG196:CJ196)</f>
        <v/>
      </c>
      <c r="CT196" s="116" t="n">
        <v>0</v>
      </c>
      <c r="CU196" s="116">
        <f>IFERROR(LOOKUP(2,1/('DRAFT 2'!$D:$D=$B196)*('DRAFT 2'!$A:$A&gt;=DATE(2026,2,1))*('DRAFT 2'!$A:$A&lt;DATE(2026,IF(2=12,2+1,2+1),1)),'DRAFT 2'!$A:$A),"")</f>
        <v/>
      </c>
      <c r="CV196" s="116">
        <f>COUNTIFS('DRAFT 2'!$D:$D,$B196,'DRAFT 2'!$A:$A,"&gt;="&amp;DATE(2026,2,1),'DRAFT 2'!$A:$A,"&lt;="&amp;DATE(2026,2,7))</f>
        <v/>
      </c>
      <c r="CW196" s="116">
        <f>COUNTIFS('DRAFT 2'!$D:$D,$B196,'DRAFT 2'!$A:$A,"&gt;="&amp;DATE(2026,2,8),'DRAFT 2'!$A:$A,"&lt;="&amp;DATE(2026,2,14))</f>
        <v/>
      </c>
      <c r="CX196" s="116">
        <f>COUNTIFS('DRAFT 2'!$D:$D,$B196,'DRAFT 2'!$A:$A,"&gt;="&amp;DATE(2026,2,15),'DRAFT 2'!$A:$A,"&lt;="&amp;DATE(2026,2,21))</f>
        <v/>
      </c>
      <c r="CY196" s="116">
        <f>COUNTIFS('DRAFT 2'!$D:$D,$B196,'DRAFT 2'!$A:$A,"&gt;="&amp;DATE(2026,2,22),'DRAFT 2'!$A:$A,"&lt;"&amp;DATE(2026,IF(2=12,2+1,2+1),1))</f>
        <v/>
      </c>
      <c r="CZ196" s="116">
        <f>SUM(CV196:CY196)</f>
        <v/>
      </c>
      <c r="DJ196" s="116">
        <f>IFERROR(LOOKUP(2,1/('DRAFT 2'!$D:$D=$B196)*('DRAFT 2'!$A:$A&gt;=DATE(2026,3,1))*('DRAFT 2'!$A:$A&lt;DATE(2026,IF(3=12,3+1,3+1),1)),'DRAFT 2'!$A:$A),"")</f>
        <v/>
      </c>
      <c r="DK196" s="116">
        <f>COUNTIFS('DRAFT 2'!$D:$D,$B196,'DRAFT 2'!$A:$A,"&gt;="&amp;DATE(2026,3,1),'DRAFT 2'!$A:$A,"&lt;="&amp;DATE(2026,3,7))</f>
        <v/>
      </c>
      <c r="DL196" s="116">
        <f>COUNTIFS('DRAFT 2'!$D:$D,$B196,'DRAFT 2'!$A:$A,"&gt;="&amp;DATE(2026,3,8),'DRAFT 2'!$A:$A,"&lt;="&amp;DATE(2026,3,14))</f>
        <v/>
      </c>
      <c r="DM196" s="116">
        <f>COUNTIFS('DRAFT 2'!$D:$D,$B196,'DRAFT 2'!$A:$A,"&gt;="&amp;DATE(2026,3,15),'DRAFT 2'!$A:$A,"&lt;="&amp;DATE(2026,3,21))</f>
        <v/>
      </c>
      <c r="DN196" s="116">
        <f>COUNTIFS('DRAFT 2'!$D:$D,$B196,'DRAFT 2'!$A:$A,"&gt;="&amp;DATE(2026,3,22),'DRAFT 2'!$A:$A,"&lt;"&amp;DATE(2026,IF(3=12,3+1,3+1),1))</f>
        <v/>
      </c>
      <c r="DO196" s="116">
        <f>SUM(DK196:DN196)</f>
        <v/>
      </c>
      <c r="DZ196" s="116">
        <f>IFERROR(LOOKUP(2,1/('DRAFT 2'!$D:$D=$B196)*('DRAFT 2'!$A:$A&gt;=DATE(2026,4,1))*('DRAFT 2'!$A:$A&lt;DATE(2026,IF(4=12,4+1,4+1),1)),'DRAFT 2'!$A:$A),"")</f>
        <v/>
      </c>
      <c r="EA196" s="116">
        <f>COUNTIFS('DRAFT 2'!$D:$D,$B196,'DRAFT 2'!$A:$A,"&gt;="&amp;DATE(2026,4,1),'DRAFT 2'!$A:$A,"&lt;="&amp;DATE(2026,4,7))</f>
        <v/>
      </c>
      <c r="EB196" s="116">
        <f>COUNTIFS('DRAFT 2'!$D:$D,$B196,'DRAFT 2'!$A:$A,"&gt;="&amp;DATE(2026,4,8),'DRAFT 2'!$A:$A,"&lt;="&amp;DATE(2026,4,14))</f>
        <v/>
      </c>
      <c r="EC196" s="116">
        <f>COUNTIFS('DRAFT 2'!$D:$D,$B196,'DRAFT 2'!$A:$A,"&gt;="&amp;DATE(2026,4,15),'DRAFT 2'!$A:$A,"&lt;="&amp;DATE(2026,4,21))</f>
        <v/>
      </c>
      <c r="ED196" s="116">
        <f>COUNTIFS('DRAFT 2'!$D:$D,$B196,'DRAFT 2'!$A:$A,"&gt;="&amp;DATE(2026,4,22),'DRAFT 2'!$A:$A,"&lt;"&amp;DATE(2026,IF(4=12,4+1,4+1),1))</f>
        <v/>
      </c>
      <c r="EE196" s="116">
        <f>SUM(EA196:ED196)</f>
        <v/>
      </c>
      <c r="EO196" s="116">
        <f>IFERROR(LOOKUP(2,1/('DRAFT 2'!$D:$D=$B196)*('DRAFT 2'!$A:$A&gt;=DATE(2026,5,1))*('DRAFT 2'!$A:$A&lt;DATE(2026,IF(5=12,5+1,5+1),1)),'DRAFT 2'!$A:$A),"")</f>
        <v/>
      </c>
      <c r="EP196" s="116">
        <f>COUNTIFS('DRAFT 2'!$D:$D,$B196,'DRAFT 2'!$A:$A,"&gt;="&amp;DATE(2026,5,1),'DRAFT 2'!$A:$A,"&lt;="&amp;DATE(2026,5,7))</f>
        <v/>
      </c>
      <c r="EQ196" s="116">
        <f>COUNTIFS('DRAFT 2'!$D:$D,$B196,'DRAFT 2'!$A:$A,"&gt;="&amp;DATE(2026,5,8),'DRAFT 2'!$A:$A,"&lt;="&amp;DATE(2026,5,14))</f>
        <v/>
      </c>
      <c r="ER196" s="116">
        <f>COUNTIFS('DRAFT 2'!$D:$D,$B196,'DRAFT 2'!$A:$A,"&gt;="&amp;DATE(2026,5,15),'DRAFT 2'!$A:$A,"&lt;="&amp;DATE(2026,5,21))</f>
        <v/>
      </c>
      <c r="ES196" s="116">
        <f>COUNTIFS('DRAFT 2'!$D:$D,$B196,'DRAFT 2'!$A:$A,"&gt;="&amp;DATE(2026,5,22),'DRAFT 2'!$A:$A,"&lt;"&amp;DATE(2026,IF(5=12,5+1,5+1),1))</f>
        <v/>
      </c>
      <c r="ET196" s="116">
        <f>SUM(EP196:ES196)</f>
        <v/>
      </c>
      <c r="FD196" s="116">
        <f>IFERROR(LOOKUP(2,1/('DRAFT 2'!$D:$D=$B196)*('DRAFT 2'!$A:$A&gt;=DATE(2026,6,1))*('DRAFT 2'!$A:$A&lt;DATE(2026,IF(6=12,6+1,6+1),1)),'DRAFT 2'!$A:$A),"")</f>
        <v/>
      </c>
      <c r="FE196" s="116">
        <f>COUNTIFS('DRAFT 2'!$D:$D,$B196,'DRAFT 2'!$A:$A,"&gt;="&amp;DATE(2026,6,1),'DRAFT 2'!$A:$A,"&lt;="&amp;DATE(2026,6,7))</f>
        <v/>
      </c>
      <c r="FF196" s="116">
        <f>COUNTIFS('DRAFT 2'!$D:$D,$B196,'DRAFT 2'!$A:$A,"&gt;="&amp;DATE(2026,6,8),'DRAFT 2'!$A:$A,"&lt;="&amp;DATE(2026,6,14))</f>
        <v/>
      </c>
      <c r="FG196" s="116">
        <f>COUNTIFS('DRAFT 2'!$D:$D,$B196,'DRAFT 2'!$A:$A,"&gt;="&amp;DATE(2026,6,15),'DRAFT 2'!$A:$A,"&lt;="&amp;DATE(2026,6,21))</f>
        <v/>
      </c>
      <c r="FH196" s="116">
        <f>COUNTIFS('DRAFT 2'!$D:$D,$B196,'DRAFT 2'!$A:$A,"&gt;="&amp;DATE(2026,6,22),'DRAFT 2'!$A:$A,"&lt;"&amp;DATE(2026,IF(6=12,6+1,6+1),1))</f>
        <v/>
      </c>
      <c r="FI196" s="116">
        <f>SUM(FE196:FH196)</f>
        <v/>
      </c>
      <c r="FT196" s="116">
        <f>IFERROR(LOOKUP(2,1/('DRAFT 2'!$D:$D=$B196)*('DRAFT 2'!$A:$A&gt;=DATE(2026,7,1))*('DRAFT 2'!$A:$A&lt;DATE(2026,IF(7=12,7+1,7+1),1)),'DRAFT 2'!$A:$A),"")</f>
        <v/>
      </c>
      <c r="FU196" s="116">
        <f>COUNTIFS('DRAFT 2'!$D:$D,$B196,'DRAFT 2'!$A:$A,"&gt;="&amp;DATE(2026,7,1),'DRAFT 2'!$A:$A,"&lt;="&amp;DATE(2026,7,7))</f>
        <v/>
      </c>
      <c r="FV196" s="116">
        <f>COUNTIFS('DRAFT 2'!$D:$D,$B196,'DRAFT 2'!$A:$A,"&gt;="&amp;DATE(2026,7,8),'DRAFT 2'!$A:$A,"&lt;="&amp;DATE(2026,7,14))</f>
        <v/>
      </c>
      <c r="FW196" s="116">
        <f>COUNTIFS('DRAFT 2'!$D:$D,$B196,'DRAFT 2'!$A:$A,"&gt;="&amp;DATE(2026,7,15),'DRAFT 2'!$A:$A,"&lt;="&amp;DATE(2026,7,21))</f>
        <v/>
      </c>
      <c r="FX196" s="116">
        <f>COUNTIFS('DRAFT 2'!$D:$D,$B196,'DRAFT 2'!$A:$A,"&gt;="&amp;DATE(2026,7,22),'DRAFT 2'!$A:$A,"&lt;"&amp;DATE(2026,IF(7=12,7+1,7+1),1))</f>
        <v/>
      </c>
      <c r="FY196" s="116">
        <f>SUM(FU196:FX196)</f>
        <v/>
      </c>
      <c r="GI196" s="116">
        <f>IFERROR(LOOKUP(2,1/('DRAFT 2'!$D:$D=$B196)*('DRAFT 2'!$A:$A&gt;=DATE(2026,8,1))*('DRAFT 2'!$A:$A&lt;DATE(2026,IF(8=12,8+1,8+1),1)),'DRAFT 2'!$A:$A),"")</f>
        <v/>
      </c>
      <c r="GJ196" s="116">
        <f>COUNTIFS('DRAFT 2'!$D:$D,$B196,'DRAFT 2'!$A:$A,"&gt;="&amp;DATE(2026,8,1),'DRAFT 2'!$A:$A,"&lt;="&amp;DATE(2026,8,7))</f>
        <v/>
      </c>
      <c r="GK196" s="116">
        <f>COUNTIFS('DRAFT 2'!$D:$D,$B196,'DRAFT 2'!$A:$A,"&gt;="&amp;DATE(2026,8,8),'DRAFT 2'!$A:$A,"&lt;="&amp;DATE(2026,8,14))</f>
        <v/>
      </c>
      <c r="GL196" s="116">
        <f>COUNTIFS('DRAFT 2'!$D:$D,$B196,'DRAFT 2'!$A:$A,"&gt;="&amp;DATE(2026,8,15),'DRAFT 2'!$A:$A,"&lt;="&amp;DATE(2026,8,21))</f>
        <v/>
      </c>
      <c r="GM196" s="116">
        <f>COUNTIFS('DRAFT 2'!$D:$D,$B196,'DRAFT 2'!$A:$A,"&gt;="&amp;DATE(2026,8,22),'DRAFT 2'!$A:$A,"&lt;"&amp;DATE(2026,IF(8=12,8+1,8+1),1))</f>
        <v/>
      </c>
      <c r="GN196" s="116">
        <f>SUM(GJ196:GM196)</f>
        <v/>
      </c>
      <c r="GX196" s="116">
        <f>IFERROR(LOOKUP(2,1/('DRAFT 2'!$D:$D=$B196)*('DRAFT 2'!$A:$A&gt;=DATE(2026,9,1))*('DRAFT 2'!$A:$A&lt;DATE(2026,IF(9=12,9+1,9+1),1)),'DRAFT 2'!$A:$A),"")</f>
        <v/>
      </c>
      <c r="GY196" s="116">
        <f>COUNTIFS('DRAFT 2'!$D:$D,$B196,'DRAFT 2'!$A:$A,"&gt;="&amp;DATE(2026,9,1),'DRAFT 2'!$A:$A,"&lt;="&amp;DATE(2026,9,7))</f>
        <v/>
      </c>
      <c r="GZ196" s="116">
        <f>COUNTIFS('DRAFT 2'!$D:$D,$B196,'DRAFT 2'!$A:$A,"&gt;="&amp;DATE(2026,9,8),'DRAFT 2'!$A:$A,"&lt;="&amp;DATE(2026,9,14))</f>
        <v/>
      </c>
      <c r="HA196" s="116">
        <f>COUNTIFS('DRAFT 2'!$D:$D,$B196,'DRAFT 2'!$A:$A,"&gt;="&amp;DATE(2026,9,15),'DRAFT 2'!$A:$A,"&lt;="&amp;DATE(2026,9,21))</f>
        <v/>
      </c>
      <c r="HB196" s="116">
        <f>COUNTIFS('DRAFT 2'!$D:$D,$B196,'DRAFT 2'!$A:$A,"&gt;="&amp;DATE(2026,9,22),'DRAFT 2'!$A:$A,"&lt;"&amp;DATE(2026,IF(9=12,9+1,9+1),1))</f>
        <v/>
      </c>
      <c r="HC196" s="116">
        <f>SUM(GY196:HB196)</f>
        <v/>
      </c>
      <c r="HN196" s="116">
        <f>IFERROR(LOOKUP(2,1/('DRAFT 2'!$D:$D=$B196)*('DRAFT 2'!$A:$A&gt;=DATE(2026,10,1))*('DRAFT 2'!$A:$A&lt;DATE(2026,IF(10=12,10+1,10+1),1)),'DRAFT 2'!$A:$A),"")</f>
        <v/>
      </c>
      <c r="HO196" s="116">
        <f>COUNTIFS('DRAFT 2'!$D:$D,$B196,'DRAFT 2'!$A:$A,"&gt;="&amp;DATE(2026,10,1),'DRAFT 2'!$A:$A,"&lt;="&amp;DATE(2026,10,7))</f>
        <v/>
      </c>
      <c r="HP196" s="116">
        <f>COUNTIFS('DRAFT 2'!$D:$D,$B196,'DRAFT 2'!$A:$A,"&gt;="&amp;DATE(2026,10,8),'DRAFT 2'!$A:$A,"&lt;="&amp;DATE(2026,10,14))</f>
        <v/>
      </c>
      <c r="HQ196" s="116">
        <f>COUNTIFS('DRAFT 2'!$D:$D,$B196,'DRAFT 2'!$A:$A,"&gt;="&amp;DATE(2026,10,15),'DRAFT 2'!$A:$A,"&lt;="&amp;DATE(2026,10,21))</f>
        <v/>
      </c>
      <c r="HR196" s="116">
        <f>COUNTIFS('DRAFT 2'!$D:$D,$B196,'DRAFT 2'!$A:$A,"&gt;="&amp;DATE(2026,10,22),'DRAFT 2'!$A:$A,"&lt;"&amp;DATE(2026,IF(10=12,10+1,10+1),1))</f>
        <v/>
      </c>
      <c r="HS196" s="116">
        <f>SUM(HO196:HR196)</f>
        <v/>
      </c>
      <c r="IC196" s="116">
        <f>IFERROR(LOOKUP(2,1/('DRAFT 2'!$D:$D=$B196)*('DRAFT 2'!$A:$A&gt;=DATE(2026,11,1))*('DRAFT 2'!$A:$A&lt;DATE(2026,IF(11=12,11+1,11+1),1)),'DRAFT 2'!$A:$A),"")</f>
        <v/>
      </c>
      <c r="ID196" s="116">
        <f>COUNTIFS('DRAFT 2'!$D:$D,$B196,'DRAFT 2'!$A:$A,"&gt;="&amp;DATE(2026,11,1),'DRAFT 2'!$A:$A,"&lt;="&amp;DATE(2026,11,7))</f>
        <v/>
      </c>
      <c r="IE196" s="116">
        <f>COUNTIFS('DRAFT 2'!$D:$D,$B196,'DRAFT 2'!$A:$A,"&gt;="&amp;DATE(2026,11,8),'DRAFT 2'!$A:$A,"&lt;="&amp;DATE(2026,11,14))</f>
        <v/>
      </c>
      <c r="IF196" s="116">
        <f>COUNTIFS('DRAFT 2'!$D:$D,$B196,'DRAFT 2'!$A:$A,"&gt;="&amp;DATE(2026,11,15),'DRAFT 2'!$A:$A,"&lt;="&amp;DATE(2026,11,21))</f>
        <v/>
      </c>
      <c r="IG196" s="116">
        <f>COUNTIFS('DRAFT 2'!$D:$D,$B196,'DRAFT 2'!$A:$A,"&gt;="&amp;DATE(2026,11,22),'DRAFT 2'!$A:$A,"&lt;"&amp;DATE(2026,IF(11=12,11+1,11+1),1))</f>
        <v/>
      </c>
      <c r="IH196" s="116">
        <f>SUM(ID196:IG196)</f>
        <v/>
      </c>
      <c r="IR196" s="116">
        <f>IFERROR(LOOKUP(2,1/('DRAFT 2'!$D:$D=$B196)*('DRAFT 2'!$A:$A&gt;=DATE(2026,12,1))*('DRAFT 2'!$A:$A&lt;DATE(2026,IF(12=12,12+1,12+1),1)),'DRAFT 2'!$A:$A),"")</f>
        <v/>
      </c>
      <c r="IS196" s="116">
        <f>COUNTIFS('DRAFT 2'!$D:$D,$B196,'DRAFT 2'!$A:$A,"&gt;="&amp;DATE(2026,12,1),'DRAFT 2'!$A:$A,"&lt;="&amp;DATE(2026,12,7))</f>
        <v/>
      </c>
      <c r="IT196" s="116">
        <f>COUNTIFS('DRAFT 2'!$D:$D,$B196,'DRAFT 2'!$A:$A,"&gt;="&amp;DATE(2026,12,8),'DRAFT 2'!$A:$A,"&lt;="&amp;DATE(2026,12,14))</f>
        <v/>
      </c>
      <c r="IU196" s="116">
        <f>COUNTIFS('DRAFT 2'!$D:$D,$B196,'DRAFT 2'!$A:$A,"&gt;="&amp;DATE(2026,12,15),'DRAFT 2'!$A:$A,"&lt;="&amp;DATE(2026,12,21))</f>
        <v/>
      </c>
      <c r="IV196" s="116">
        <f>COUNTIFS('DRAFT 2'!$D:$D,$B196,'DRAFT 2'!$A:$A,"&gt;="&amp;DATE(2026,12,22),'DRAFT 2'!$A:$A,"&lt;"&amp;DATE(2026,IF(12=12,12+1,12+1),1))</f>
        <v/>
      </c>
      <c r="IW196" s="116">
        <f>SUM(IS196:IV196)</f>
        <v/>
      </c>
    </row>
    <row r="197">
      <c r="A197" s="116">
        <f>IFERROR(INDEX('DRAFT 1'!$A:$A,MATCH($B197,'DRAFT 1'!$B:$B,0)),"")</f>
        <v/>
      </c>
      <c r="C197" s="116">
        <f>IFERROR(INDEX('DRAFT 1'!$C:$C,MATCH($B197,'DRAFT 1'!$B:$B,0)),"")</f>
        <v/>
      </c>
      <c r="D197" s="116">
        <f>IFERROR(INDEX('DRAFT 1'!$D:$D,MATCH($B197,'DRAFT 1'!$B:$B,0)),"")</f>
        <v/>
      </c>
      <c r="E197" s="116">
        <f>IFERROR(INDEX('DRAFT 1'!$E:$E,MATCH($B197,'DRAFT 1'!$B:$B,0)),"")</f>
        <v/>
      </c>
      <c r="F197" s="116">
        <f>IFERROR(INDEX('DRAFT 1'!$F:$F,MATCH($B197,'DRAFT 1'!$B:$B,0)),"")</f>
        <v/>
      </c>
      <c r="G197" s="116">
        <f>IFERROR(INDEX('DRAFT 1'!$G:$G,MATCH($B197,'DRAFT 1'!$B:$B,0)),"")</f>
        <v/>
      </c>
      <c r="H197" s="116">
        <f>IFERROR(INDEX('DRAFT 1'!$H:$H,MATCH($B197,'DRAFT 1'!$B:$B,0)),"")</f>
        <v/>
      </c>
      <c r="I197" s="116">
        <f>IFERROR(INDEX('DRAFT 1'!$I:$I,MATCH($B197,'DRAFT 1'!$B:$B,0)),"")</f>
        <v/>
      </c>
      <c r="K197" s="116">
        <f>IFERROR(INDEX('DRAFT 1'!$AL:$AL,MATCH($B197,'DRAFT 1'!$B:$B,0)),"")</f>
        <v/>
      </c>
      <c r="L197" s="116">
        <f>IFERROR(INDEX('DRAFT 1'!$J:$J,MATCH($B197,'DRAFT 1'!$B:$B,0)),"")</f>
        <v/>
      </c>
      <c r="M197" s="116">
        <f>IFERROR(INDEX('DRAFT 1'!$K:$K,MATCH($B197,'DRAFT 1'!$B:$B,0)),"")</f>
        <v/>
      </c>
      <c r="P197" s="116">
        <f>IFERROR(INDEX('DRAFT 1'!$L:$L,MATCH($B197,'DRAFT 1'!$B:$B,0)),"")</f>
        <v/>
      </c>
      <c r="Q197" s="116">
        <f>IFERROR(INDEX('DRAFT 1'!$M:$M,MATCH($B197,'DRAFT 1'!$B:$B,0)),"")</f>
        <v/>
      </c>
      <c r="R197" s="116">
        <f>IFERROR(INDEX('DRAFT 1'!$N:$N,MATCH($B197,'DRAFT 1'!$B:$B,0)),"")</f>
        <v/>
      </c>
      <c r="S197" s="116">
        <f>IFERROR(INDEX('DRAFT 1'!$O:$O,MATCH($B197,'DRAFT 1'!$B:$B,0)),"")</f>
        <v/>
      </c>
      <c r="T197" s="116">
        <f>IFERROR(INDEX('DRAFT 1'!$P:$P,MATCH($B197,'DRAFT 1'!$B:$B,0)),"")</f>
        <v/>
      </c>
      <c r="U197" s="116">
        <f>IFERROR(INDEX('DRAFT 1'!$Q:$Q,MATCH($B197,'DRAFT 1'!$B:$B,0)),"")</f>
        <v/>
      </c>
      <c r="V197" s="116">
        <f>IFERROR(INDEX('DRAFT 1'!$R:$R,MATCH($B197,'DRAFT 1'!$B:$B,0)),"")</f>
        <v/>
      </c>
      <c r="W197" s="116">
        <f>IFERROR(INDEX('DRAFT 1'!$S:$S,MATCH($B197,'DRAFT 1'!$B:$B,0)),"")</f>
        <v/>
      </c>
      <c r="X197" s="116">
        <f>IFERROR(INDEX('DRAFT 1'!$T:$T,MATCH($B197,'DRAFT 1'!$B:$B,0)),"")</f>
        <v/>
      </c>
      <c r="Z197" s="116">
        <f>IFERROR(INDEX('DRAFT 1'!$U:$U,MATCH($B197,'DRAFT 1'!$B:$B,0)),"")</f>
        <v/>
      </c>
      <c r="AA197" s="116">
        <f>IFERROR(INDEX('DRAFT 1'!$V:$V,MATCH($B197,'DRAFT 1'!$B:$B,0)),"")</f>
        <v/>
      </c>
      <c r="AB197" s="116">
        <f>IFERROR(INDEX('DRAFT 1'!$W:$W,MATCH($B197,'DRAFT 1'!$B:$B,0)),"")</f>
        <v/>
      </c>
      <c r="AC197" s="116">
        <f>IFERROR(INDEX('DRAFT 1'!$X:$X,MATCH($B197,'DRAFT 1'!$B:$B,0)),"")</f>
        <v/>
      </c>
      <c r="AD197" s="116">
        <f>IFERROR(INDEX('DRAFT 1'!$Y:$Y,MATCH($B197,'DRAFT 1'!$B:$B,0)),"")</f>
        <v/>
      </c>
      <c r="AE197" s="116">
        <f>IFERROR(INDEX('DRAFT 1'!$Z:$Z,MATCH($B197,'DRAFT 1'!$B:$B,0)),"")</f>
        <v/>
      </c>
      <c r="AF197" s="116">
        <f>IFERROR(INDEX('DRAFT 1'!$AA:$AA,MATCH($B197,'DRAFT 1'!$B:$B,0)),"")</f>
        <v/>
      </c>
      <c r="AG197" s="116">
        <f>IFERROR(INDEX('DRAFT 1'!$AB:$AB,MATCH($B197,'DRAFT 1'!$B:$B,0)),"")</f>
        <v/>
      </c>
      <c r="AH197" s="116">
        <f>IFERROR(INDEX('DRAFT 1'!$AC:$AC,MATCH($B197,'DRAFT 1'!$B:$B,0)),"")</f>
        <v/>
      </c>
      <c r="AI197" s="116">
        <f>IFERROR(INDEX('DRAFT 1'!$AD:$AD,MATCH($B197,'DRAFT 1'!$B:$B,0)),"")</f>
        <v/>
      </c>
      <c r="AJ197" s="116">
        <f>IFERROR(INDEX('DRAFT 1'!$AE:$AE,MATCH($B197,'DRAFT 1'!$B:$B,0)),"")</f>
        <v/>
      </c>
      <c r="AK197" s="116">
        <f>IFERROR(INDEX('DRAFT 1'!$AG:$AG,MATCH($B197,'DRAFT 1'!$B:$B,0)),"")</f>
        <v/>
      </c>
      <c r="AL197" s="116">
        <f>IFERROR(INDEX('DRAFT 1'!$AH:$AH,MATCH($B197,'DRAFT 1'!$B:$B,0)),"")</f>
        <v/>
      </c>
      <c r="AM197" s="116">
        <f>IFERROR(INDEX('DRAFT 1'!$AI:$AI,MATCH($B197,'DRAFT 1'!$B:$B,0)),"")</f>
        <v/>
      </c>
      <c r="AN197" s="116">
        <f>IFERROR(INDEX('DRAFT 1'!$AJ:$AJ,MATCH($B197,'DRAFT 1'!$B:$B,0)),"")</f>
        <v/>
      </c>
      <c r="AO197" s="116">
        <f>IFERROR(Y197/AN197,0)</f>
        <v/>
      </c>
      <c r="AP197" s="116">
        <f>IFERROR(INDEX('DRAFT 1'!$AK:$AK,MATCH($B197,'DRAFT 1'!$B:$B,0)),"")</f>
        <v/>
      </c>
      <c r="AR197" s="116">
        <f>IFERROR(LOOKUP(2,1/('DRAFT 2'!$D:$D=$B197),'DRAFT 2'!$I:$I),"")</f>
        <v/>
      </c>
      <c r="AS197" s="116">
        <f>IFERROR(LOOKUP(2,1/('DRAFT 2'!$D:$D=$B197),'DRAFT 2'!$T:$T),"")</f>
        <v/>
      </c>
      <c r="AT197" s="116">
        <f>IFERROR(LOOKUP(2,1/('DRAFT 2'!$D:$D=$B197),'DRAFT 2'!$A:$A),"")</f>
        <v/>
      </c>
      <c r="AU197" s="116">
        <f>IFERROR(LOOKUP(2,1/('DRAFT 2'!$D:$D=$B197),'DRAFT 2'!$R:$R),"")</f>
        <v/>
      </c>
      <c r="AV197" s="116">
        <f>IFERROR(LOOKUP(2,1/('DRAFT 2'!$D:$D=$B197),'DRAFT 2'!$S:$S),"")</f>
        <v/>
      </c>
      <c r="AX197" s="116">
        <f>IFERROR(LOOKUP(2,1/('DRAFT 2'!$D:$D=$B197),'DRAFT 2'!$M:$M),"")</f>
        <v/>
      </c>
      <c r="AY197" s="116">
        <f>IFERROR(LOOKUP(2,1/('DRAFT 2'!$D:$D=$B197),'DRAFT 2'!$K:$K),"")</f>
        <v/>
      </c>
      <c r="BG197" s="116">
        <f>IFERROR(LOOKUP(2,1/('DRAFT 2'!$D:$D=$B197),'DRAFT 2'!$U:$U),"")</f>
        <v/>
      </c>
      <c r="BH197" s="116">
        <f>IFERROR(LOOKUP(2,1/('DRAFT 2'!$D:$D=$B197),'DRAFT 2'!$V:$V),"")</f>
        <v/>
      </c>
      <c r="CE197" s="116">
        <f>IFERROR(AJ197,0)</f>
        <v/>
      </c>
      <c r="CF197" s="116">
        <f>IFERROR(LOOKUP(2,1/('DRAFT 2'!$D:$D=$B197)*('DRAFT 2'!$A:$A&gt;=DATE(2026,1,1))*('DRAFT 2'!$A:$A&lt;DATE(2026,IF(1=12,1+1,1+1),1)),'DRAFT 2'!$A:$A),"")</f>
        <v/>
      </c>
      <c r="CG197" s="116">
        <f>COUNTIFS('DRAFT 2'!$D:$D,$B197,'DRAFT 2'!$A:$A,"&gt;="&amp;DATE(2026,1,1),'DRAFT 2'!$A:$A,"&lt;="&amp;DATE(2026,1,7))</f>
        <v/>
      </c>
      <c r="CH197" s="116">
        <f>COUNTIFS('DRAFT 2'!$D:$D,$B197,'DRAFT 2'!$A:$A,"&gt;="&amp;DATE(2026,1,8),'DRAFT 2'!$A:$A,"&lt;="&amp;DATE(2026,1,14))</f>
        <v/>
      </c>
      <c r="CI197" s="116">
        <f>COUNTIFS('DRAFT 2'!$D:$D,$B197,'DRAFT 2'!$A:$A,"&gt;="&amp;DATE(2026,1,15),'DRAFT 2'!$A:$A,"&lt;="&amp;DATE(2026,1,21))</f>
        <v/>
      </c>
      <c r="CJ197" s="116">
        <f>COUNTIFS('DRAFT 2'!$D:$D,$B197,'DRAFT 2'!$A:$A,"&gt;="&amp;DATE(2026,1,22),'DRAFT 2'!$A:$A,"&lt;"&amp;DATE(2026,IF(1=12,1+1,1+1),1))</f>
        <v/>
      </c>
      <c r="CK197" s="116">
        <f>SUM(CG197:CJ197)</f>
        <v/>
      </c>
      <c r="CT197" s="116" t="n">
        <v>0</v>
      </c>
      <c r="CU197" s="116">
        <f>IFERROR(LOOKUP(2,1/('DRAFT 2'!$D:$D=$B197)*('DRAFT 2'!$A:$A&gt;=DATE(2026,2,1))*('DRAFT 2'!$A:$A&lt;DATE(2026,IF(2=12,2+1,2+1),1)),'DRAFT 2'!$A:$A),"")</f>
        <v/>
      </c>
      <c r="CV197" s="116">
        <f>COUNTIFS('DRAFT 2'!$D:$D,$B197,'DRAFT 2'!$A:$A,"&gt;="&amp;DATE(2026,2,1),'DRAFT 2'!$A:$A,"&lt;="&amp;DATE(2026,2,7))</f>
        <v/>
      </c>
      <c r="CW197" s="116">
        <f>COUNTIFS('DRAFT 2'!$D:$D,$B197,'DRAFT 2'!$A:$A,"&gt;="&amp;DATE(2026,2,8),'DRAFT 2'!$A:$A,"&lt;="&amp;DATE(2026,2,14))</f>
        <v/>
      </c>
      <c r="CX197" s="116">
        <f>COUNTIFS('DRAFT 2'!$D:$D,$B197,'DRAFT 2'!$A:$A,"&gt;="&amp;DATE(2026,2,15),'DRAFT 2'!$A:$A,"&lt;="&amp;DATE(2026,2,21))</f>
        <v/>
      </c>
      <c r="CY197" s="116">
        <f>COUNTIFS('DRAFT 2'!$D:$D,$B197,'DRAFT 2'!$A:$A,"&gt;="&amp;DATE(2026,2,22),'DRAFT 2'!$A:$A,"&lt;"&amp;DATE(2026,IF(2=12,2+1,2+1),1))</f>
        <v/>
      </c>
      <c r="CZ197" s="116">
        <f>SUM(CV197:CY197)</f>
        <v/>
      </c>
      <c r="DJ197" s="116">
        <f>IFERROR(LOOKUP(2,1/('DRAFT 2'!$D:$D=$B197)*('DRAFT 2'!$A:$A&gt;=DATE(2026,3,1))*('DRAFT 2'!$A:$A&lt;DATE(2026,IF(3=12,3+1,3+1),1)),'DRAFT 2'!$A:$A),"")</f>
        <v/>
      </c>
      <c r="DK197" s="116">
        <f>COUNTIFS('DRAFT 2'!$D:$D,$B197,'DRAFT 2'!$A:$A,"&gt;="&amp;DATE(2026,3,1),'DRAFT 2'!$A:$A,"&lt;="&amp;DATE(2026,3,7))</f>
        <v/>
      </c>
      <c r="DL197" s="116">
        <f>COUNTIFS('DRAFT 2'!$D:$D,$B197,'DRAFT 2'!$A:$A,"&gt;="&amp;DATE(2026,3,8),'DRAFT 2'!$A:$A,"&lt;="&amp;DATE(2026,3,14))</f>
        <v/>
      </c>
      <c r="DM197" s="116">
        <f>COUNTIFS('DRAFT 2'!$D:$D,$B197,'DRAFT 2'!$A:$A,"&gt;="&amp;DATE(2026,3,15),'DRAFT 2'!$A:$A,"&lt;="&amp;DATE(2026,3,21))</f>
        <v/>
      </c>
      <c r="DN197" s="116">
        <f>COUNTIFS('DRAFT 2'!$D:$D,$B197,'DRAFT 2'!$A:$A,"&gt;="&amp;DATE(2026,3,22),'DRAFT 2'!$A:$A,"&lt;"&amp;DATE(2026,IF(3=12,3+1,3+1),1))</f>
        <v/>
      </c>
      <c r="DO197" s="116">
        <f>SUM(DK197:DN197)</f>
        <v/>
      </c>
      <c r="DZ197" s="116">
        <f>IFERROR(LOOKUP(2,1/('DRAFT 2'!$D:$D=$B197)*('DRAFT 2'!$A:$A&gt;=DATE(2026,4,1))*('DRAFT 2'!$A:$A&lt;DATE(2026,IF(4=12,4+1,4+1),1)),'DRAFT 2'!$A:$A),"")</f>
        <v/>
      </c>
      <c r="EA197" s="116">
        <f>COUNTIFS('DRAFT 2'!$D:$D,$B197,'DRAFT 2'!$A:$A,"&gt;="&amp;DATE(2026,4,1),'DRAFT 2'!$A:$A,"&lt;="&amp;DATE(2026,4,7))</f>
        <v/>
      </c>
      <c r="EB197" s="116">
        <f>COUNTIFS('DRAFT 2'!$D:$D,$B197,'DRAFT 2'!$A:$A,"&gt;="&amp;DATE(2026,4,8),'DRAFT 2'!$A:$A,"&lt;="&amp;DATE(2026,4,14))</f>
        <v/>
      </c>
      <c r="EC197" s="116">
        <f>COUNTIFS('DRAFT 2'!$D:$D,$B197,'DRAFT 2'!$A:$A,"&gt;="&amp;DATE(2026,4,15),'DRAFT 2'!$A:$A,"&lt;="&amp;DATE(2026,4,21))</f>
        <v/>
      </c>
      <c r="ED197" s="116">
        <f>COUNTIFS('DRAFT 2'!$D:$D,$B197,'DRAFT 2'!$A:$A,"&gt;="&amp;DATE(2026,4,22),'DRAFT 2'!$A:$A,"&lt;"&amp;DATE(2026,IF(4=12,4+1,4+1),1))</f>
        <v/>
      </c>
      <c r="EE197" s="116">
        <f>SUM(EA197:ED197)</f>
        <v/>
      </c>
      <c r="EO197" s="116">
        <f>IFERROR(LOOKUP(2,1/('DRAFT 2'!$D:$D=$B197)*('DRAFT 2'!$A:$A&gt;=DATE(2026,5,1))*('DRAFT 2'!$A:$A&lt;DATE(2026,IF(5=12,5+1,5+1),1)),'DRAFT 2'!$A:$A),"")</f>
        <v/>
      </c>
      <c r="EP197" s="116">
        <f>COUNTIFS('DRAFT 2'!$D:$D,$B197,'DRAFT 2'!$A:$A,"&gt;="&amp;DATE(2026,5,1),'DRAFT 2'!$A:$A,"&lt;="&amp;DATE(2026,5,7))</f>
        <v/>
      </c>
      <c r="EQ197" s="116">
        <f>COUNTIFS('DRAFT 2'!$D:$D,$B197,'DRAFT 2'!$A:$A,"&gt;="&amp;DATE(2026,5,8),'DRAFT 2'!$A:$A,"&lt;="&amp;DATE(2026,5,14))</f>
        <v/>
      </c>
      <c r="ER197" s="116">
        <f>COUNTIFS('DRAFT 2'!$D:$D,$B197,'DRAFT 2'!$A:$A,"&gt;="&amp;DATE(2026,5,15),'DRAFT 2'!$A:$A,"&lt;="&amp;DATE(2026,5,21))</f>
        <v/>
      </c>
      <c r="ES197" s="116">
        <f>COUNTIFS('DRAFT 2'!$D:$D,$B197,'DRAFT 2'!$A:$A,"&gt;="&amp;DATE(2026,5,22),'DRAFT 2'!$A:$A,"&lt;"&amp;DATE(2026,IF(5=12,5+1,5+1),1))</f>
        <v/>
      </c>
      <c r="ET197" s="116">
        <f>SUM(EP197:ES197)</f>
        <v/>
      </c>
      <c r="FD197" s="116">
        <f>IFERROR(LOOKUP(2,1/('DRAFT 2'!$D:$D=$B197)*('DRAFT 2'!$A:$A&gt;=DATE(2026,6,1))*('DRAFT 2'!$A:$A&lt;DATE(2026,IF(6=12,6+1,6+1),1)),'DRAFT 2'!$A:$A),"")</f>
        <v/>
      </c>
      <c r="FE197" s="116">
        <f>COUNTIFS('DRAFT 2'!$D:$D,$B197,'DRAFT 2'!$A:$A,"&gt;="&amp;DATE(2026,6,1),'DRAFT 2'!$A:$A,"&lt;="&amp;DATE(2026,6,7))</f>
        <v/>
      </c>
      <c r="FF197" s="116">
        <f>COUNTIFS('DRAFT 2'!$D:$D,$B197,'DRAFT 2'!$A:$A,"&gt;="&amp;DATE(2026,6,8),'DRAFT 2'!$A:$A,"&lt;="&amp;DATE(2026,6,14))</f>
        <v/>
      </c>
      <c r="FG197" s="116">
        <f>COUNTIFS('DRAFT 2'!$D:$D,$B197,'DRAFT 2'!$A:$A,"&gt;="&amp;DATE(2026,6,15),'DRAFT 2'!$A:$A,"&lt;="&amp;DATE(2026,6,21))</f>
        <v/>
      </c>
      <c r="FH197" s="116">
        <f>COUNTIFS('DRAFT 2'!$D:$D,$B197,'DRAFT 2'!$A:$A,"&gt;="&amp;DATE(2026,6,22),'DRAFT 2'!$A:$A,"&lt;"&amp;DATE(2026,IF(6=12,6+1,6+1),1))</f>
        <v/>
      </c>
      <c r="FI197" s="116">
        <f>SUM(FE197:FH197)</f>
        <v/>
      </c>
      <c r="FT197" s="116">
        <f>IFERROR(LOOKUP(2,1/('DRAFT 2'!$D:$D=$B197)*('DRAFT 2'!$A:$A&gt;=DATE(2026,7,1))*('DRAFT 2'!$A:$A&lt;DATE(2026,IF(7=12,7+1,7+1),1)),'DRAFT 2'!$A:$A),"")</f>
        <v/>
      </c>
      <c r="FU197" s="116">
        <f>COUNTIFS('DRAFT 2'!$D:$D,$B197,'DRAFT 2'!$A:$A,"&gt;="&amp;DATE(2026,7,1),'DRAFT 2'!$A:$A,"&lt;="&amp;DATE(2026,7,7))</f>
        <v/>
      </c>
      <c r="FV197" s="116">
        <f>COUNTIFS('DRAFT 2'!$D:$D,$B197,'DRAFT 2'!$A:$A,"&gt;="&amp;DATE(2026,7,8),'DRAFT 2'!$A:$A,"&lt;="&amp;DATE(2026,7,14))</f>
        <v/>
      </c>
      <c r="FW197" s="116">
        <f>COUNTIFS('DRAFT 2'!$D:$D,$B197,'DRAFT 2'!$A:$A,"&gt;="&amp;DATE(2026,7,15),'DRAFT 2'!$A:$A,"&lt;="&amp;DATE(2026,7,21))</f>
        <v/>
      </c>
      <c r="FX197" s="116">
        <f>COUNTIFS('DRAFT 2'!$D:$D,$B197,'DRAFT 2'!$A:$A,"&gt;="&amp;DATE(2026,7,22),'DRAFT 2'!$A:$A,"&lt;"&amp;DATE(2026,IF(7=12,7+1,7+1),1))</f>
        <v/>
      </c>
      <c r="FY197" s="116">
        <f>SUM(FU197:FX197)</f>
        <v/>
      </c>
      <c r="GI197" s="116">
        <f>IFERROR(LOOKUP(2,1/('DRAFT 2'!$D:$D=$B197)*('DRAFT 2'!$A:$A&gt;=DATE(2026,8,1))*('DRAFT 2'!$A:$A&lt;DATE(2026,IF(8=12,8+1,8+1),1)),'DRAFT 2'!$A:$A),"")</f>
        <v/>
      </c>
      <c r="GJ197" s="116">
        <f>COUNTIFS('DRAFT 2'!$D:$D,$B197,'DRAFT 2'!$A:$A,"&gt;="&amp;DATE(2026,8,1),'DRAFT 2'!$A:$A,"&lt;="&amp;DATE(2026,8,7))</f>
        <v/>
      </c>
      <c r="GK197" s="116">
        <f>COUNTIFS('DRAFT 2'!$D:$D,$B197,'DRAFT 2'!$A:$A,"&gt;="&amp;DATE(2026,8,8),'DRAFT 2'!$A:$A,"&lt;="&amp;DATE(2026,8,14))</f>
        <v/>
      </c>
      <c r="GL197" s="116">
        <f>COUNTIFS('DRAFT 2'!$D:$D,$B197,'DRAFT 2'!$A:$A,"&gt;="&amp;DATE(2026,8,15),'DRAFT 2'!$A:$A,"&lt;="&amp;DATE(2026,8,21))</f>
        <v/>
      </c>
      <c r="GM197" s="116">
        <f>COUNTIFS('DRAFT 2'!$D:$D,$B197,'DRAFT 2'!$A:$A,"&gt;="&amp;DATE(2026,8,22),'DRAFT 2'!$A:$A,"&lt;"&amp;DATE(2026,IF(8=12,8+1,8+1),1))</f>
        <v/>
      </c>
      <c r="GN197" s="116">
        <f>SUM(GJ197:GM197)</f>
        <v/>
      </c>
      <c r="GX197" s="116">
        <f>IFERROR(LOOKUP(2,1/('DRAFT 2'!$D:$D=$B197)*('DRAFT 2'!$A:$A&gt;=DATE(2026,9,1))*('DRAFT 2'!$A:$A&lt;DATE(2026,IF(9=12,9+1,9+1),1)),'DRAFT 2'!$A:$A),"")</f>
        <v/>
      </c>
      <c r="GY197" s="116">
        <f>COUNTIFS('DRAFT 2'!$D:$D,$B197,'DRAFT 2'!$A:$A,"&gt;="&amp;DATE(2026,9,1),'DRAFT 2'!$A:$A,"&lt;="&amp;DATE(2026,9,7))</f>
        <v/>
      </c>
      <c r="GZ197" s="116">
        <f>COUNTIFS('DRAFT 2'!$D:$D,$B197,'DRAFT 2'!$A:$A,"&gt;="&amp;DATE(2026,9,8),'DRAFT 2'!$A:$A,"&lt;="&amp;DATE(2026,9,14))</f>
        <v/>
      </c>
      <c r="HA197" s="116">
        <f>COUNTIFS('DRAFT 2'!$D:$D,$B197,'DRAFT 2'!$A:$A,"&gt;="&amp;DATE(2026,9,15),'DRAFT 2'!$A:$A,"&lt;="&amp;DATE(2026,9,21))</f>
        <v/>
      </c>
      <c r="HB197" s="116">
        <f>COUNTIFS('DRAFT 2'!$D:$D,$B197,'DRAFT 2'!$A:$A,"&gt;="&amp;DATE(2026,9,22),'DRAFT 2'!$A:$A,"&lt;"&amp;DATE(2026,IF(9=12,9+1,9+1),1))</f>
        <v/>
      </c>
      <c r="HC197" s="116">
        <f>SUM(GY197:HB197)</f>
        <v/>
      </c>
      <c r="HN197" s="116">
        <f>IFERROR(LOOKUP(2,1/('DRAFT 2'!$D:$D=$B197)*('DRAFT 2'!$A:$A&gt;=DATE(2026,10,1))*('DRAFT 2'!$A:$A&lt;DATE(2026,IF(10=12,10+1,10+1),1)),'DRAFT 2'!$A:$A),"")</f>
        <v/>
      </c>
      <c r="HO197" s="116">
        <f>COUNTIFS('DRAFT 2'!$D:$D,$B197,'DRAFT 2'!$A:$A,"&gt;="&amp;DATE(2026,10,1),'DRAFT 2'!$A:$A,"&lt;="&amp;DATE(2026,10,7))</f>
        <v/>
      </c>
      <c r="HP197" s="116">
        <f>COUNTIFS('DRAFT 2'!$D:$D,$B197,'DRAFT 2'!$A:$A,"&gt;="&amp;DATE(2026,10,8),'DRAFT 2'!$A:$A,"&lt;="&amp;DATE(2026,10,14))</f>
        <v/>
      </c>
      <c r="HQ197" s="116">
        <f>COUNTIFS('DRAFT 2'!$D:$D,$B197,'DRAFT 2'!$A:$A,"&gt;="&amp;DATE(2026,10,15),'DRAFT 2'!$A:$A,"&lt;="&amp;DATE(2026,10,21))</f>
        <v/>
      </c>
      <c r="HR197" s="116">
        <f>COUNTIFS('DRAFT 2'!$D:$D,$B197,'DRAFT 2'!$A:$A,"&gt;="&amp;DATE(2026,10,22),'DRAFT 2'!$A:$A,"&lt;"&amp;DATE(2026,IF(10=12,10+1,10+1),1))</f>
        <v/>
      </c>
      <c r="HS197" s="116">
        <f>SUM(HO197:HR197)</f>
        <v/>
      </c>
      <c r="IC197" s="116">
        <f>IFERROR(LOOKUP(2,1/('DRAFT 2'!$D:$D=$B197)*('DRAFT 2'!$A:$A&gt;=DATE(2026,11,1))*('DRAFT 2'!$A:$A&lt;DATE(2026,IF(11=12,11+1,11+1),1)),'DRAFT 2'!$A:$A),"")</f>
        <v/>
      </c>
      <c r="ID197" s="116">
        <f>COUNTIFS('DRAFT 2'!$D:$D,$B197,'DRAFT 2'!$A:$A,"&gt;="&amp;DATE(2026,11,1),'DRAFT 2'!$A:$A,"&lt;="&amp;DATE(2026,11,7))</f>
        <v/>
      </c>
      <c r="IE197" s="116">
        <f>COUNTIFS('DRAFT 2'!$D:$D,$B197,'DRAFT 2'!$A:$A,"&gt;="&amp;DATE(2026,11,8),'DRAFT 2'!$A:$A,"&lt;="&amp;DATE(2026,11,14))</f>
        <v/>
      </c>
      <c r="IF197" s="116">
        <f>COUNTIFS('DRAFT 2'!$D:$D,$B197,'DRAFT 2'!$A:$A,"&gt;="&amp;DATE(2026,11,15),'DRAFT 2'!$A:$A,"&lt;="&amp;DATE(2026,11,21))</f>
        <v/>
      </c>
      <c r="IG197" s="116">
        <f>COUNTIFS('DRAFT 2'!$D:$D,$B197,'DRAFT 2'!$A:$A,"&gt;="&amp;DATE(2026,11,22),'DRAFT 2'!$A:$A,"&lt;"&amp;DATE(2026,IF(11=12,11+1,11+1),1))</f>
        <v/>
      </c>
      <c r="IH197" s="116">
        <f>SUM(ID197:IG197)</f>
        <v/>
      </c>
      <c r="IR197" s="116">
        <f>IFERROR(LOOKUP(2,1/('DRAFT 2'!$D:$D=$B197)*('DRAFT 2'!$A:$A&gt;=DATE(2026,12,1))*('DRAFT 2'!$A:$A&lt;DATE(2026,IF(12=12,12+1,12+1),1)),'DRAFT 2'!$A:$A),"")</f>
        <v/>
      </c>
      <c r="IS197" s="116">
        <f>COUNTIFS('DRAFT 2'!$D:$D,$B197,'DRAFT 2'!$A:$A,"&gt;="&amp;DATE(2026,12,1),'DRAFT 2'!$A:$A,"&lt;="&amp;DATE(2026,12,7))</f>
        <v/>
      </c>
      <c r="IT197" s="116">
        <f>COUNTIFS('DRAFT 2'!$D:$D,$B197,'DRAFT 2'!$A:$A,"&gt;="&amp;DATE(2026,12,8),'DRAFT 2'!$A:$A,"&lt;="&amp;DATE(2026,12,14))</f>
        <v/>
      </c>
      <c r="IU197" s="116">
        <f>COUNTIFS('DRAFT 2'!$D:$D,$B197,'DRAFT 2'!$A:$A,"&gt;="&amp;DATE(2026,12,15),'DRAFT 2'!$A:$A,"&lt;="&amp;DATE(2026,12,21))</f>
        <v/>
      </c>
      <c r="IV197" s="116">
        <f>COUNTIFS('DRAFT 2'!$D:$D,$B197,'DRAFT 2'!$A:$A,"&gt;="&amp;DATE(2026,12,22),'DRAFT 2'!$A:$A,"&lt;"&amp;DATE(2026,IF(12=12,12+1,12+1),1))</f>
        <v/>
      </c>
      <c r="IW197" s="116">
        <f>SUM(IS197:IV197)</f>
        <v/>
      </c>
    </row>
    <row r="198">
      <c r="A198" s="116">
        <f>IFERROR(INDEX('DRAFT 1'!$A:$A,MATCH($B198,'DRAFT 1'!$B:$B,0)),"")</f>
        <v/>
      </c>
      <c r="C198" s="116">
        <f>IFERROR(INDEX('DRAFT 1'!$C:$C,MATCH($B198,'DRAFT 1'!$B:$B,0)),"")</f>
        <v/>
      </c>
      <c r="D198" s="116">
        <f>IFERROR(INDEX('DRAFT 1'!$D:$D,MATCH($B198,'DRAFT 1'!$B:$B,0)),"")</f>
        <v/>
      </c>
      <c r="E198" s="116">
        <f>IFERROR(INDEX('DRAFT 1'!$E:$E,MATCH($B198,'DRAFT 1'!$B:$B,0)),"")</f>
        <v/>
      </c>
      <c r="F198" s="116">
        <f>IFERROR(INDEX('DRAFT 1'!$F:$F,MATCH($B198,'DRAFT 1'!$B:$B,0)),"")</f>
        <v/>
      </c>
      <c r="G198" s="116">
        <f>IFERROR(INDEX('DRAFT 1'!$G:$G,MATCH($B198,'DRAFT 1'!$B:$B,0)),"")</f>
        <v/>
      </c>
      <c r="H198" s="116">
        <f>IFERROR(INDEX('DRAFT 1'!$H:$H,MATCH($B198,'DRAFT 1'!$B:$B,0)),"")</f>
        <v/>
      </c>
      <c r="I198" s="116">
        <f>IFERROR(INDEX('DRAFT 1'!$I:$I,MATCH($B198,'DRAFT 1'!$B:$B,0)),"")</f>
        <v/>
      </c>
      <c r="K198" s="116">
        <f>IFERROR(INDEX('DRAFT 1'!$AL:$AL,MATCH($B198,'DRAFT 1'!$B:$B,0)),"")</f>
        <v/>
      </c>
      <c r="L198" s="116">
        <f>IFERROR(INDEX('DRAFT 1'!$J:$J,MATCH($B198,'DRAFT 1'!$B:$B,0)),"")</f>
        <v/>
      </c>
      <c r="M198" s="116">
        <f>IFERROR(INDEX('DRAFT 1'!$K:$K,MATCH($B198,'DRAFT 1'!$B:$B,0)),"")</f>
        <v/>
      </c>
      <c r="P198" s="116">
        <f>IFERROR(INDEX('DRAFT 1'!$L:$L,MATCH($B198,'DRAFT 1'!$B:$B,0)),"")</f>
        <v/>
      </c>
      <c r="Q198" s="116">
        <f>IFERROR(INDEX('DRAFT 1'!$M:$M,MATCH($B198,'DRAFT 1'!$B:$B,0)),"")</f>
        <v/>
      </c>
      <c r="R198" s="116">
        <f>IFERROR(INDEX('DRAFT 1'!$N:$N,MATCH($B198,'DRAFT 1'!$B:$B,0)),"")</f>
        <v/>
      </c>
      <c r="S198" s="116">
        <f>IFERROR(INDEX('DRAFT 1'!$O:$O,MATCH($B198,'DRAFT 1'!$B:$B,0)),"")</f>
        <v/>
      </c>
      <c r="T198" s="116">
        <f>IFERROR(INDEX('DRAFT 1'!$P:$P,MATCH($B198,'DRAFT 1'!$B:$B,0)),"")</f>
        <v/>
      </c>
      <c r="U198" s="116">
        <f>IFERROR(INDEX('DRAFT 1'!$Q:$Q,MATCH($B198,'DRAFT 1'!$B:$B,0)),"")</f>
        <v/>
      </c>
      <c r="V198" s="116">
        <f>IFERROR(INDEX('DRAFT 1'!$R:$R,MATCH($B198,'DRAFT 1'!$B:$B,0)),"")</f>
        <v/>
      </c>
      <c r="W198" s="116">
        <f>IFERROR(INDEX('DRAFT 1'!$S:$S,MATCH($B198,'DRAFT 1'!$B:$B,0)),"")</f>
        <v/>
      </c>
      <c r="X198" s="116">
        <f>IFERROR(INDEX('DRAFT 1'!$T:$T,MATCH($B198,'DRAFT 1'!$B:$B,0)),"")</f>
        <v/>
      </c>
      <c r="Z198" s="116">
        <f>IFERROR(INDEX('DRAFT 1'!$U:$U,MATCH($B198,'DRAFT 1'!$B:$B,0)),"")</f>
        <v/>
      </c>
      <c r="AA198" s="116">
        <f>IFERROR(INDEX('DRAFT 1'!$V:$V,MATCH($B198,'DRAFT 1'!$B:$B,0)),"")</f>
        <v/>
      </c>
      <c r="AB198" s="116">
        <f>IFERROR(INDEX('DRAFT 1'!$W:$W,MATCH($B198,'DRAFT 1'!$B:$B,0)),"")</f>
        <v/>
      </c>
      <c r="AC198" s="116">
        <f>IFERROR(INDEX('DRAFT 1'!$X:$X,MATCH($B198,'DRAFT 1'!$B:$B,0)),"")</f>
        <v/>
      </c>
      <c r="AD198" s="116">
        <f>IFERROR(INDEX('DRAFT 1'!$Y:$Y,MATCH($B198,'DRAFT 1'!$B:$B,0)),"")</f>
        <v/>
      </c>
      <c r="AE198" s="116">
        <f>IFERROR(INDEX('DRAFT 1'!$Z:$Z,MATCH($B198,'DRAFT 1'!$B:$B,0)),"")</f>
        <v/>
      </c>
      <c r="AF198" s="116">
        <f>IFERROR(INDEX('DRAFT 1'!$AA:$AA,MATCH($B198,'DRAFT 1'!$B:$B,0)),"")</f>
        <v/>
      </c>
      <c r="AG198" s="116">
        <f>IFERROR(INDEX('DRAFT 1'!$AB:$AB,MATCH($B198,'DRAFT 1'!$B:$B,0)),"")</f>
        <v/>
      </c>
      <c r="AH198" s="116">
        <f>IFERROR(INDEX('DRAFT 1'!$AC:$AC,MATCH($B198,'DRAFT 1'!$B:$B,0)),"")</f>
        <v/>
      </c>
      <c r="AI198" s="116">
        <f>IFERROR(INDEX('DRAFT 1'!$AD:$AD,MATCH($B198,'DRAFT 1'!$B:$B,0)),"")</f>
        <v/>
      </c>
      <c r="AJ198" s="116">
        <f>IFERROR(INDEX('DRAFT 1'!$AE:$AE,MATCH($B198,'DRAFT 1'!$B:$B,0)),"")</f>
        <v/>
      </c>
      <c r="AK198" s="116">
        <f>IFERROR(INDEX('DRAFT 1'!$AG:$AG,MATCH($B198,'DRAFT 1'!$B:$B,0)),"")</f>
        <v/>
      </c>
      <c r="AL198" s="116">
        <f>IFERROR(INDEX('DRAFT 1'!$AH:$AH,MATCH($B198,'DRAFT 1'!$B:$B,0)),"")</f>
        <v/>
      </c>
      <c r="AM198" s="116">
        <f>IFERROR(INDEX('DRAFT 1'!$AI:$AI,MATCH($B198,'DRAFT 1'!$B:$B,0)),"")</f>
        <v/>
      </c>
      <c r="AN198" s="116">
        <f>IFERROR(INDEX('DRAFT 1'!$AJ:$AJ,MATCH($B198,'DRAFT 1'!$B:$B,0)),"")</f>
        <v/>
      </c>
      <c r="AO198" s="116">
        <f>IFERROR(Y198/AN198,0)</f>
        <v/>
      </c>
      <c r="AP198" s="116">
        <f>IFERROR(INDEX('DRAFT 1'!$AK:$AK,MATCH($B198,'DRAFT 1'!$B:$B,0)),"")</f>
        <v/>
      </c>
      <c r="AR198" s="116">
        <f>IFERROR(LOOKUP(2,1/('DRAFT 2'!$D:$D=$B198),'DRAFT 2'!$I:$I),"")</f>
        <v/>
      </c>
      <c r="AS198" s="116">
        <f>IFERROR(LOOKUP(2,1/('DRAFT 2'!$D:$D=$B198),'DRAFT 2'!$T:$T),"")</f>
        <v/>
      </c>
      <c r="AT198" s="116">
        <f>IFERROR(LOOKUP(2,1/('DRAFT 2'!$D:$D=$B198),'DRAFT 2'!$A:$A),"")</f>
        <v/>
      </c>
      <c r="AU198" s="116">
        <f>IFERROR(LOOKUP(2,1/('DRAFT 2'!$D:$D=$B198),'DRAFT 2'!$R:$R),"")</f>
        <v/>
      </c>
      <c r="AV198" s="116">
        <f>IFERROR(LOOKUP(2,1/('DRAFT 2'!$D:$D=$B198),'DRAFT 2'!$S:$S),"")</f>
        <v/>
      </c>
      <c r="AX198" s="116">
        <f>IFERROR(LOOKUP(2,1/('DRAFT 2'!$D:$D=$B198),'DRAFT 2'!$M:$M),"")</f>
        <v/>
      </c>
      <c r="AY198" s="116">
        <f>IFERROR(LOOKUP(2,1/('DRAFT 2'!$D:$D=$B198),'DRAFT 2'!$K:$K),"")</f>
        <v/>
      </c>
      <c r="BG198" s="116">
        <f>IFERROR(LOOKUP(2,1/('DRAFT 2'!$D:$D=$B198),'DRAFT 2'!$U:$U),"")</f>
        <v/>
      </c>
      <c r="BH198" s="116">
        <f>IFERROR(LOOKUP(2,1/('DRAFT 2'!$D:$D=$B198),'DRAFT 2'!$V:$V),"")</f>
        <v/>
      </c>
      <c r="CE198" s="116">
        <f>IFERROR(AJ198,0)</f>
        <v/>
      </c>
      <c r="CF198" s="116">
        <f>IFERROR(LOOKUP(2,1/('DRAFT 2'!$D:$D=$B198)*('DRAFT 2'!$A:$A&gt;=DATE(2026,1,1))*('DRAFT 2'!$A:$A&lt;DATE(2026,IF(1=12,1+1,1+1),1)),'DRAFT 2'!$A:$A),"")</f>
        <v/>
      </c>
      <c r="CG198" s="116">
        <f>COUNTIFS('DRAFT 2'!$D:$D,$B198,'DRAFT 2'!$A:$A,"&gt;="&amp;DATE(2026,1,1),'DRAFT 2'!$A:$A,"&lt;="&amp;DATE(2026,1,7))</f>
        <v/>
      </c>
      <c r="CH198" s="116">
        <f>COUNTIFS('DRAFT 2'!$D:$D,$B198,'DRAFT 2'!$A:$A,"&gt;="&amp;DATE(2026,1,8),'DRAFT 2'!$A:$A,"&lt;="&amp;DATE(2026,1,14))</f>
        <v/>
      </c>
      <c r="CI198" s="116">
        <f>COUNTIFS('DRAFT 2'!$D:$D,$B198,'DRAFT 2'!$A:$A,"&gt;="&amp;DATE(2026,1,15),'DRAFT 2'!$A:$A,"&lt;="&amp;DATE(2026,1,21))</f>
        <v/>
      </c>
      <c r="CJ198" s="116">
        <f>COUNTIFS('DRAFT 2'!$D:$D,$B198,'DRAFT 2'!$A:$A,"&gt;="&amp;DATE(2026,1,22),'DRAFT 2'!$A:$A,"&lt;"&amp;DATE(2026,IF(1=12,1+1,1+1),1))</f>
        <v/>
      </c>
      <c r="CK198" s="116">
        <f>SUM(CG198:CJ198)</f>
        <v/>
      </c>
      <c r="CT198" s="116" t="n">
        <v>0</v>
      </c>
      <c r="CU198" s="116">
        <f>IFERROR(LOOKUP(2,1/('DRAFT 2'!$D:$D=$B198)*('DRAFT 2'!$A:$A&gt;=DATE(2026,2,1))*('DRAFT 2'!$A:$A&lt;DATE(2026,IF(2=12,2+1,2+1),1)),'DRAFT 2'!$A:$A),"")</f>
        <v/>
      </c>
      <c r="CV198" s="116">
        <f>COUNTIFS('DRAFT 2'!$D:$D,$B198,'DRAFT 2'!$A:$A,"&gt;="&amp;DATE(2026,2,1),'DRAFT 2'!$A:$A,"&lt;="&amp;DATE(2026,2,7))</f>
        <v/>
      </c>
      <c r="CW198" s="116">
        <f>COUNTIFS('DRAFT 2'!$D:$D,$B198,'DRAFT 2'!$A:$A,"&gt;="&amp;DATE(2026,2,8),'DRAFT 2'!$A:$A,"&lt;="&amp;DATE(2026,2,14))</f>
        <v/>
      </c>
      <c r="CX198" s="116">
        <f>COUNTIFS('DRAFT 2'!$D:$D,$B198,'DRAFT 2'!$A:$A,"&gt;="&amp;DATE(2026,2,15),'DRAFT 2'!$A:$A,"&lt;="&amp;DATE(2026,2,21))</f>
        <v/>
      </c>
      <c r="CY198" s="116">
        <f>COUNTIFS('DRAFT 2'!$D:$D,$B198,'DRAFT 2'!$A:$A,"&gt;="&amp;DATE(2026,2,22),'DRAFT 2'!$A:$A,"&lt;"&amp;DATE(2026,IF(2=12,2+1,2+1),1))</f>
        <v/>
      </c>
      <c r="CZ198" s="116">
        <f>SUM(CV198:CY198)</f>
        <v/>
      </c>
      <c r="DJ198" s="116">
        <f>IFERROR(LOOKUP(2,1/('DRAFT 2'!$D:$D=$B198)*('DRAFT 2'!$A:$A&gt;=DATE(2026,3,1))*('DRAFT 2'!$A:$A&lt;DATE(2026,IF(3=12,3+1,3+1),1)),'DRAFT 2'!$A:$A),"")</f>
        <v/>
      </c>
      <c r="DK198" s="116">
        <f>COUNTIFS('DRAFT 2'!$D:$D,$B198,'DRAFT 2'!$A:$A,"&gt;="&amp;DATE(2026,3,1),'DRAFT 2'!$A:$A,"&lt;="&amp;DATE(2026,3,7))</f>
        <v/>
      </c>
      <c r="DL198" s="116">
        <f>COUNTIFS('DRAFT 2'!$D:$D,$B198,'DRAFT 2'!$A:$A,"&gt;="&amp;DATE(2026,3,8),'DRAFT 2'!$A:$A,"&lt;="&amp;DATE(2026,3,14))</f>
        <v/>
      </c>
      <c r="DM198" s="116">
        <f>COUNTIFS('DRAFT 2'!$D:$D,$B198,'DRAFT 2'!$A:$A,"&gt;="&amp;DATE(2026,3,15),'DRAFT 2'!$A:$A,"&lt;="&amp;DATE(2026,3,21))</f>
        <v/>
      </c>
      <c r="DN198" s="116">
        <f>COUNTIFS('DRAFT 2'!$D:$D,$B198,'DRAFT 2'!$A:$A,"&gt;="&amp;DATE(2026,3,22),'DRAFT 2'!$A:$A,"&lt;"&amp;DATE(2026,IF(3=12,3+1,3+1),1))</f>
        <v/>
      </c>
      <c r="DO198" s="116">
        <f>SUM(DK198:DN198)</f>
        <v/>
      </c>
      <c r="DZ198" s="116">
        <f>IFERROR(LOOKUP(2,1/('DRAFT 2'!$D:$D=$B198)*('DRAFT 2'!$A:$A&gt;=DATE(2026,4,1))*('DRAFT 2'!$A:$A&lt;DATE(2026,IF(4=12,4+1,4+1),1)),'DRAFT 2'!$A:$A),"")</f>
        <v/>
      </c>
      <c r="EA198" s="116">
        <f>COUNTIFS('DRAFT 2'!$D:$D,$B198,'DRAFT 2'!$A:$A,"&gt;="&amp;DATE(2026,4,1),'DRAFT 2'!$A:$A,"&lt;="&amp;DATE(2026,4,7))</f>
        <v/>
      </c>
      <c r="EB198" s="116">
        <f>COUNTIFS('DRAFT 2'!$D:$D,$B198,'DRAFT 2'!$A:$A,"&gt;="&amp;DATE(2026,4,8),'DRAFT 2'!$A:$A,"&lt;="&amp;DATE(2026,4,14))</f>
        <v/>
      </c>
      <c r="EC198" s="116">
        <f>COUNTIFS('DRAFT 2'!$D:$D,$B198,'DRAFT 2'!$A:$A,"&gt;="&amp;DATE(2026,4,15),'DRAFT 2'!$A:$A,"&lt;="&amp;DATE(2026,4,21))</f>
        <v/>
      </c>
      <c r="ED198" s="116">
        <f>COUNTIFS('DRAFT 2'!$D:$D,$B198,'DRAFT 2'!$A:$A,"&gt;="&amp;DATE(2026,4,22),'DRAFT 2'!$A:$A,"&lt;"&amp;DATE(2026,IF(4=12,4+1,4+1),1))</f>
        <v/>
      </c>
      <c r="EE198" s="116">
        <f>SUM(EA198:ED198)</f>
        <v/>
      </c>
      <c r="EO198" s="116">
        <f>IFERROR(LOOKUP(2,1/('DRAFT 2'!$D:$D=$B198)*('DRAFT 2'!$A:$A&gt;=DATE(2026,5,1))*('DRAFT 2'!$A:$A&lt;DATE(2026,IF(5=12,5+1,5+1),1)),'DRAFT 2'!$A:$A),"")</f>
        <v/>
      </c>
      <c r="EP198" s="116">
        <f>COUNTIFS('DRAFT 2'!$D:$D,$B198,'DRAFT 2'!$A:$A,"&gt;="&amp;DATE(2026,5,1),'DRAFT 2'!$A:$A,"&lt;="&amp;DATE(2026,5,7))</f>
        <v/>
      </c>
      <c r="EQ198" s="116">
        <f>COUNTIFS('DRAFT 2'!$D:$D,$B198,'DRAFT 2'!$A:$A,"&gt;="&amp;DATE(2026,5,8),'DRAFT 2'!$A:$A,"&lt;="&amp;DATE(2026,5,14))</f>
        <v/>
      </c>
      <c r="ER198" s="116">
        <f>COUNTIFS('DRAFT 2'!$D:$D,$B198,'DRAFT 2'!$A:$A,"&gt;="&amp;DATE(2026,5,15),'DRAFT 2'!$A:$A,"&lt;="&amp;DATE(2026,5,21))</f>
        <v/>
      </c>
      <c r="ES198" s="116">
        <f>COUNTIFS('DRAFT 2'!$D:$D,$B198,'DRAFT 2'!$A:$A,"&gt;="&amp;DATE(2026,5,22),'DRAFT 2'!$A:$A,"&lt;"&amp;DATE(2026,IF(5=12,5+1,5+1),1))</f>
        <v/>
      </c>
      <c r="ET198" s="116">
        <f>SUM(EP198:ES198)</f>
        <v/>
      </c>
      <c r="FD198" s="116">
        <f>IFERROR(LOOKUP(2,1/('DRAFT 2'!$D:$D=$B198)*('DRAFT 2'!$A:$A&gt;=DATE(2026,6,1))*('DRAFT 2'!$A:$A&lt;DATE(2026,IF(6=12,6+1,6+1),1)),'DRAFT 2'!$A:$A),"")</f>
        <v/>
      </c>
      <c r="FE198" s="116">
        <f>COUNTIFS('DRAFT 2'!$D:$D,$B198,'DRAFT 2'!$A:$A,"&gt;="&amp;DATE(2026,6,1),'DRAFT 2'!$A:$A,"&lt;="&amp;DATE(2026,6,7))</f>
        <v/>
      </c>
      <c r="FF198" s="116">
        <f>COUNTIFS('DRAFT 2'!$D:$D,$B198,'DRAFT 2'!$A:$A,"&gt;="&amp;DATE(2026,6,8),'DRAFT 2'!$A:$A,"&lt;="&amp;DATE(2026,6,14))</f>
        <v/>
      </c>
      <c r="FG198" s="116">
        <f>COUNTIFS('DRAFT 2'!$D:$D,$B198,'DRAFT 2'!$A:$A,"&gt;="&amp;DATE(2026,6,15),'DRAFT 2'!$A:$A,"&lt;="&amp;DATE(2026,6,21))</f>
        <v/>
      </c>
      <c r="FH198" s="116">
        <f>COUNTIFS('DRAFT 2'!$D:$D,$B198,'DRAFT 2'!$A:$A,"&gt;="&amp;DATE(2026,6,22),'DRAFT 2'!$A:$A,"&lt;"&amp;DATE(2026,IF(6=12,6+1,6+1),1))</f>
        <v/>
      </c>
      <c r="FI198" s="116">
        <f>SUM(FE198:FH198)</f>
        <v/>
      </c>
      <c r="FT198" s="116">
        <f>IFERROR(LOOKUP(2,1/('DRAFT 2'!$D:$D=$B198)*('DRAFT 2'!$A:$A&gt;=DATE(2026,7,1))*('DRAFT 2'!$A:$A&lt;DATE(2026,IF(7=12,7+1,7+1),1)),'DRAFT 2'!$A:$A),"")</f>
        <v/>
      </c>
      <c r="FU198" s="116">
        <f>COUNTIFS('DRAFT 2'!$D:$D,$B198,'DRAFT 2'!$A:$A,"&gt;="&amp;DATE(2026,7,1),'DRAFT 2'!$A:$A,"&lt;="&amp;DATE(2026,7,7))</f>
        <v/>
      </c>
      <c r="FV198" s="116">
        <f>COUNTIFS('DRAFT 2'!$D:$D,$B198,'DRAFT 2'!$A:$A,"&gt;="&amp;DATE(2026,7,8),'DRAFT 2'!$A:$A,"&lt;="&amp;DATE(2026,7,14))</f>
        <v/>
      </c>
      <c r="FW198" s="116">
        <f>COUNTIFS('DRAFT 2'!$D:$D,$B198,'DRAFT 2'!$A:$A,"&gt;="&amp;DATE(2026,7,15),'DRAFT 2'!$A:$A,"&lt;="&amp;DATE(2026,7,21))</f>
        <v/>
      </c>
      <c r="FX198" s="116">
        <f>COUNTIFS('DRAFT 2'!$D:$D,$B198,'DRAFT 2'!$A:$A,"&gt;="&amp;DATE(2026,7,22),'DRAFT 2'!$A:$A,"&lt;"&amp;DATE(2026,IF(7=12,7+1,7+1),1))</f>
        <v/>
      </c>
      <c r="FY198" s="116">
        <f>SUM(FU198:FX198)</f>
        <v/>
      </c>
      <c r="GI198" s="116">
        <f>IFERROR(LOOKUP(2,1/('DRAFT 2'!$D:$D=$B198)*('DRAFT 2'!$A:$A&gt;=DATE(2026,8,1))*('DRAFT 2'!$A:$A&lt;DATE(2026,IF(8=12,8+1,8+1),1)),'DRAFT 2'!$A:$A),"")</f>
        <v/>
      </c>
      <c r="GJ198" s="116">
        <f>COUNTIFS('DRAFT 2'!$D:$D,$B198,'DRAFT 2'!$A:$A,"&gt;="&amp;DATE(2026,8,1),'DRAFT 2'!$A:$A,"&lt;="&amp;DATE(2026,8,7))</f>
        <v/>
      </c>
      <c r="GK198" s="116">
        <f>COUNTIFS('DRAFT 2'!$D:$D,$B198,'DRAFT 2'!$A:$A,"&gt;="&amp;DATE(2026,8,8),'DRAFT 2'!$A:$A,"&lt;="&amp;DATE(2026,8,14))</f>
        <v/>
      </c>
      <c r="GL198" s="116">
        <f>COUNTIFS('DRAFT 2'!$D:$D,$B198,'DRAFT 2'!$A:$A,"&gt;="&amp;DATE(2026,8,15),'DRAFT 2'!$A:$A,"&lt;="&amp;DATE(2026,8,21))</f>
        <v/>
      </c>
      <c r="GM198" s="116">
        <f>COUNTIFS('DRAFT 2'!$D:$D,$B198,'DRAFT 2'!$A:$A,"&gt;="&amp;DATE(2026,8,22),'DRAFT 2'!$A:$A,"&lt;"&amp;DATE(2026,IF(8=12,8+1,8+1),1))</f>
        <v/>
      </c>
      <c r="GN198" s="116">
        <f>SUM(GJ198:GM198)</f>
        <v/>
      </c>
      <c r="GX198" s="116">
        <f>IFERROR(LOOKUP(2,1/('DRAFT 2'!$D:$D=$B198)*('DRAFT 2'!$A:$A&gt;=DATE(2026,9,1))*('DRAFT 2'!$A:$A&lt;DATE(2026,IF(9=12,9+1,9+1),1)),'DRAFT 2'!$A:$A),"")</f>
        <v/>
      </c>
      <c r="GY198" s="116">
        <f>COUNTIFS('DRAFT 2'!$D:$D,$B198,'DRAFT 2'!$A:$A,"&gt;="&amp;DATE(2026,9,1),'DRAFT 2'!$A:$A,"&lt;="&amp;DATE(2026,9,7))</f>
        <v/>
      </c>
      <c r="GZ198" s="116">
        <f>COUNTIFS('DRAFT 2'!$D:$D,$B198,'DRAFT 2'!$A:$A,"&gt;="&amp;DATE(2026,9,8),'DRAFT 2'!$A:$A,"&lt;="&amp;DATE(2026,9,14))</f>
        <v/>
      </c>
      <c r="HA198" s="116">
        <f>COUNTIFS('DRAFT 2'!$D:$D,$B198,'DRAFT 2'!$A:$A,"&gt;="&amp;DATE(2026,9,15),'DRAFT 2'!$A:$A,"&lt;="&amp;DATE(2026,9,21))</f>
        <v/>
      </c>
      <c r="HB198" s="116">
        <f>COUNTIFS('DRAFT 2'!$D:$D,$B198,'DRAFT 2'!$A:$A,"&gt;="&amp;DATE(2026,9,22),'DRAFT 2'!$A:$A,"&lt;"&amp;DATE(2026,IF(9=12,9+1,9+1),1))</f>
        <v/>
      </c>
      <c r="HC198" s="116">
        <f>SUM(GY198:HB198)</f>
        <v/>
      </c>
      <c r="HN198" s="116">
        <f>IFERROR(LOOKUP(2,1/('DRAFT 2'!$D:$D=$B198)*('DRAFT 2'!$A:$A&gt;=DATE(2026,10,1))*('DRAFT 2'!$A:$A&lt;DATE(2026,IF(10=12,10+1,10+1),1)),'DRAFT 2'!$A:$A),"")</f>
        <v/>
      </c>
      <c r="HO198" s="116">
        <f>COUNTIFS('DRAFT 2'!$D:$D,$B198,'DRAFT 2'!$A:$A,"&gt;="&amp;DATE(2026,10,1),'DRAFT 2'!$A:$A,"&lt;="&amp;DATE(2026,10,7))</f>
        <v/>
      </c>
      <c r="HP198" s="116">
        <f>COUNTIFS('DRAFT 2'!$D:$D,$B198,'DRAFT 2'!$A:$A,"&gt;="&amp;DATE(2026,10,8),'DRAFT 2'!$A:$A,"&lt;="&amp;DATE(2026,10,14))</f>
        <v/>
      </c>
      <c r="HQ198" s="116">
        <f>COUNTIFS('DRAFT 2'!$D:$D,$B198,'DRAFT 2'!$A:$A,"&gt;="&amp;DATE(2026,10,15),'DRAFT 2'!$A:$A,"&lt;="&amp;DATE(2026,10,21))</f>
        <v/>
      </c>
      <c r="HR198" s="116">
        <f>COUNTIFS('DRAFT 2'!$D:$D,$B198,'DRAFT 2'!$A:$A,"&gt;="&amp;DATE(2026,10,22),'DRAFT 2'!$A:$A,"&lt;"&amp;DATE(2026,IF(10=12,10+1,10+1),1))</f>
        <v/>
      </c>
      <c r="HS198" s="116">
        <f>SUM(HO198:HR198)</f>
        <v/>
      </c>
      <c r="IC198" s="116">
        <f>IFERROR(LOOKUP(2,1/('DRAFT 2'!$D:$D=$B198)*('DRAFT 2'!$A:$A&gt;=DATE(2026,11,1))*('DRAFT 2'!$A:$A&lt;DATE(2026,IF(11=12,11+1,11+1),1)),'DRAFT 2'!$A:$A),"")</f>
        <v/>
      </c>
      <c r="ID198" s="116">
        <f>COUNTIFS('DRAFT 2'!$D:$D,$B198,'DRAFT 2'!$A:$A,"&gt;="&amp;DATE(2026,11,1),'DRAFT 2'!$A:$A,"&lt;="&amp;DATE(2026,11,7))</f>
        <v/>
      </c>
      <c r="IE198" s="116">
        <f>COUNTIFS('DRAFT 2'!$D:$D,$B198,'DRAFT 2'!$A:$A,"&gt;="&amp;DATE(2026,11,8),'DRAFT 2'!$A:$A,"&lt;="&amp;DATE(2026,11,14))</f>
        <v/>
      </c>
      <c r="IF198" s="116">
        <f>COUNTIFS('DRAFT 2'!$D:$D,$B198,'DRAFT 2'!$A:$A,"&gt;="&amp;DATE(2026,11,15),'DRAFT 2'!$A:$A,"&lt;="&amp;DATE(2026,11,21))</f>
        <v/>
      </c>
      <c r="IG198" s="116">
        <f>COUNTIFS('DRAFT 2'!$D:$D,$B198,'DRAFT 2'!$A:$A,"&gt;="&amp;DATE(2026,11,22),'DRAFT 2'!$A:$A,"&lt;"&amp;DATE(2026,IF(11=12,11+1,11+1),1))</f>
        <v/>
      </c>
      <c r="IH198" s="116">
        <f>SUM(ID198:IG198)</f>
        <v/>
      </c>
      <c r="IR198" s="116">
        <f>IFERROR(LOOKUP(2,1/('DRAFT 2'!$D:$D=$B198)*('DRAFT 2'!$A:$A&gt;=DATE(2026,12,1))*('DRAFT 2'!$A:$A&lt;DATE(2026,IF(12=12,12+1,12+1),1)),'DRAFT 2'!$A:$A),"")</f>
        <v/>
      </c>
      <c r="IS198" s="116">
        <f>COUNTIFS('DRAFT 2'!$D:$D,$B198,'DRAFT 2'!$A:$A,"&gt;="&amp;DATE(2026,12,1),'DRAFT 2'!$A:$A,"&lt;="&amp;DATE(2026,12,7))</f>
        <v/>
      </c>
      <c r="IT198" s="116">
        <f>COUNTIFS('DRAFT 2'!$D:$D,$B198,'DRAFT 2'!$A:$A,"&gt;="&amp;DATE(2026,12,8),'DRAFT 2'!$A:$A,"&lt;="&amp;DATE(2026,12,14))</f>
        <v/>
      </c>
      <c r="IU198" s="116">
        <f>COUNTIFS('DRAFT 2'!$D:$D,$B198,'DRAFT 2'!$A:$A,"&gt;="&amp;DATE(2026,12,15),'DRAFT 2'!$A:$A,"&lt;="&amp;DATE(2026,12,21))</f>
        <v/>
      </c>
      <c r="IV198" s="116">
        <f>COUNTIFS('DRAFT 2'!$D:$D,$B198,'DRAFT 2'!$A:$A,"&gt;="&amp;DATE(2026,12,22),'DRAFT 2'!$A:$A,"&lt;"&amp;DATE(2026,IF(12=12,12+1,12+1),1))</f>
        <v/>
      </c>
      <c r="IW198" s="116">
        <f>SUM(IS198:IV198)</f>
        <v/>
      </c>
    </row>
    <row r="199">
      <c r="A199" s="116">
        <f>IFERROR(INDEX('DRAFT 1'!$A:$A,MATCH($B199,'DRAFT 1'!$B:$B,0)),"")</f>
        <v/>
      </c>
      <c r="C199" s="116">
        <f>IFERROR(INDEX('DRAFT 1'!$C:$C,MATCH($B199,'DRAFT 1'!$B:$B,0)),"")</f>
        <v/>
      </c>
      <c r="D199" s="116">
        <f>IFERROR(INDEX('DRAFT 1'!$D:$D,MATCH($B199,'DRAFT 1'!$B:$B,0)),"")</f>
        <v/>
      </c>
      <c r="E199" s="116">
        <f>IFERROR(INDEX('DRAFT 1'!$E:$E,MATCH($B199,'DRAFT 1'!$B:$B,0)),"")</f>
        <v/>
      </c>
      <c r="F199" s="116">
        <f>IFERROR(INDEX('DRAFT 1'!$F:$F,MATCH($B199,'DRAFT 1'!$B:$B,0)),"")</f>
        <v/>
      </c>
      <c r="G199" s="116">
        <f>IFERROR(INDEX('DRAFT 1'!$G:$G,MATCH($B199,'DRAFT 1'!$B:$B,0)),"")</f>
        <v/>
      </c>
      <c r="H199" s="116">
        <f>IFERROR(INDEX('DRAFT 1'!$H:$H,MATCH($B199,'DRAFT 1'!$B:$B,0)),"")</f>
        <v/>
      </c>
      <c r="I199" s="116">
        <f>IFERROR(INDEX('DRAFT 1'!$I:$I,MATCH($B199,'DRAFT 1'!$B:$B,0)),"")</f>
        <v/>
      </c>
      <c r="K199" s="116">
        <f>IFERROR(INDEX('DRAFT 1'!$AL:$AL,MATCH($B199,'DRAFT 1'!$B:$B,0)),"")</f>
        <v/>
      </c>
      <c r="L199" s="116">
        <f>IFERROR(INDEX('DRAFT 1'!$J:$J,MATCH($B199,'DRAFT 1'!$B:$B,0)),"")</f>
        <v/>
      </c>
      <c r="M199" s="116">
        <f>IFERROR(INDEX('DRAFT 1'!$K:$K,MATCH($B199,'DRAFT 1'!$B:$B,0)),"")</f>
        <v/>
      </c>
      <c r="P199" s="116">
        <f>IFERROR(INDEX('DRAFT 1'!$L:$L,MATCH($B199,'DRAFT 1'!$B:$B,0)),"")</f>
        <v/>
      </c>
      <c r="Q199" s="116">
        <f>IFERROR(INDEX('DRAFT 1'!$M:$M,MATCH($B199,'DRAFT 1'!$B:$B,0)),"")</f>
        <v/>
      </c>
      <c r="R199" s="116">
        <f>IFERROR(INDEX('DRAFT 1'!$N:$N,MATCH($B199,'DRAFT 1'!$B:$B,0)),"")</f>
        <v/>
      </c>
      <c r="S199" s="116">
        <f>IFERROR(INDEX('DRAFT 1'!$O:$O,MATCH($B199,'DRAFT 1'!$B:$B,0)),"")</f>
        <v/>
      </c>
      <c r="T199" s="116">
        <f>IFERROR(INDEX('DRAFT 1'!$P:$P,MATCH($B199,'DRAFT 1'!$B:$B,0)),"")</f>
        <v/>
      </c>
      <c r="U199" s="116">
        <f>IFERROR(INDEX('DRAFT 1'!$Q:$Q,MATCH($B199,'DRAFT 1'!$B:$B,0)),"")</f>
        <v/>
      </c>
      <c r="V199" s="116">
        <f>IFERROR(INDEX('DRAFT 1'!$R:$R,MATCH($B199,'DRAFT 1'!$B:$B,0)),"")</f>
        <v/>
      </c>
      <c r="W199" s="116">
        <f>IFERROR(INDEX('DRAFT 1'!$S:$S,MATCH($B199,'DRAFT 1'!$B:$B,0)),"")</f>
        <v/>
      </c>
      <c r="X199" s="116">
        <f>IFERROR(INDEX('DRAFT 1'!$T:$T,MATCH($B199,'DRAFT 1'!$B:$B,0)),"")</f>
        <v/>
      </c>
      <c r="Z199" s="116">
        <f>IFERROR(INDEX('DRAFT 1'!$U:$U,MATCH($B199,'DRAFT 1'!$B:$B,0)),"")</f>
        <v/>
      </c>
      <c r="AA199" s="116">
        <f>IFERROR(INDEX('DRAFT 1'!$V:$V,MATCH($B199,'DRAFT 1'!$B:$B,0)),"")</f>
        <v/>
      </c>
      <c r="AB199" s="116">
        <f>IFERROR(INDEX('DRAFT 1'!$W:$W,MATCH($B199,'DRAFT 1'!$B:$B,0)),"")</f>
        <v/>
      </c>
      <c r="AC199" s="116">
        <f>IFERROR(INDEX('DRAFT 1'!$X:$X,MATCH($B199,'DRAFT 1'!$B:$B,0)),"")</f>
        <v/>
      </c>
      <c r="AD199" s="116">
        <f>IFERROR(INDEX('DRAFT 1'!$Y:$Y,MATCH($B199,'DRAFT 1'!$B:$B,0)),"")</f>
        <v/>
      </c>
      <c r="AE199" s="116">
        <f>IFERROR(INDEX('DRAFT 1'!$Z:$Z,MATCH($B199,'DRAFT 1'!$B:$B,0)),"")</f>
        <v/>
      </c>
      <c r="AF199" s="116">
        <f>IFERROR(INDEX('DRAFT 1'!$AA:$AA,MATCH($B199,'DRAFT 1'!$B:$B,0)),"")</f>
        <v/>
      </c>
      <c r="AG199" s="116">
        <f>IFERROR(INDEX('DRAFT 1'!$AB:$AB,MATCH($B199,'DRAFT 1'!$B:$B,0)),"")</f>
        <v/>
      </c>
      <c r="AH199" s="116">
        <f>IFERROR(INDEX('DRAFT 1'!$AC:$AC,MATCH($B199,'DRAFT 1'!$B:$B,0)),"")</f>
        <v/>
      </c>
      <c r="AI199" s="116">
        <f>IFERROR(INDEX('DRAFT 1'!$AD:$AD,MATCH($B199,'DRAFT 1'!$B:$B,0)),"")</f>
        <v/>
      </c>
      <c r="AJ199" s="116">
        <f>IFERROR(INDEX('DRAFT 1'!$AE:$AE,MATCH($B199,'DRAFT 1'!$B:$B,0)),"")</f>
        <v/>
      </c>
      <c r="AK199" s="116">
        <f>IFERROR(INDEX('DRAFT 1'!$AG:$AG,MATCH($B199,'DRAFT 1'!$B:$B,0)),"")</f>
        <v/>
      </c>
      <c r="AL199" s="116">
        <f>IFERROR(INDEX('DRAFT 1'!$AH:$AH,MATCH($B199,'DRAFT 1'!$B:$B,0)),"")</f>
        <v/>
      </c>
      <c r="AM199" s="116">
        <f>IFERROR(INDEX('DRAFT 1'!$AI:$AI,MATCH($B199,'DRAFT 1'!$B:$B,0)),"")</f>
        <v/>
      </c>
      <c r="AN199" s="116">
        <f>IFERROR(INDEX('DRAFT 1'!$AJ:$AJ,MATCH($B199,'DRAFT 1'!$B:$B,0)),"")</f>
        <v/>
      </c>
      <c r="AO199" s="116">
        <f>IFERROR(Y199/AN199,0)</f>
        <v/>
      </c>
      <c r="AP199" s="116">
        <f>IFERROR(INDEX('DRAFT 1'!$AK:$AK,MATCH($B199,'DRAFT 1'!$B:$B,0)),"")</f>
        <v/>
      </c>
      <c r="AR199" s="116">
        <f>IFERROR(LOOKUP(2,1/('DRAFT 2'!$D:$D=$B199),'DRAFT 2'!$I:$I),"")</f>
        <v/>
      </c>
      <c r="AS199" s="116">
        <f>IFERROR(LOOKUP(2,1/('DRAFT 2'!$D:$D=$B199),'DRAFT 2'!$T:$T),"")</f>
        <v/>
      </c>
      <c r="AT199" s="116">
        <f>IFERROR(LOOKUP(2,1/('DRAFT 2'!$D:$D=$B199),'DRAFT 2'!$A:$A),"")</f>
        <v/>
      </c>
      <c r="AU199" s="116">
        <f>IFERROR(LOOKUP(2,1/('DRAFT 2'!$D:$D=$B199),'DRAFT 2'!$R:$R),"")</f>
        <v/>
      </c>
      <c r="AV199" s="116">
        <f>IFERROR(LOOKUP(2,1/('DRAFT 2'!$D:$D=$B199),'DRAFT 2'!$S:$S),"")</f>
        <v/>
      </c>
      <c r="AX199" s="116">
        <f>IFERROR(LOOKUP(2,1/('DRAFT 2'!$D:$D=$B199),'DRAFT 2'!$M:$M),"")</f>
        <v/>
      </c>
      <c r="AY199" s="116">
        <f>IFERROR(LOOKUP(2,1/('DRAFT 2'!$D:$D=$B199),'DRAFT 2'!$K:$K),"")</f>
        <v/>
      </c>
      <c r="BG199" s="116">
        <f>IFERROR(LOOKUP(2,1/('DRAFT 2'!$D:$D=$B199),'DRAFT 2'!$U:$U),"")</f>
        <v/>
      </c>
      <c r="BH199" s="116">
        <f>IFERROR(LOOKUP(2,1/('DRAFT 2'!$D:$D=$B199),'DRAFT 2'!$V:$V),"")</f>
        <v/>
      </c>
      <c r="CE199" s="116">
        <f>IFERROR(AJ199,0)</f>
        <v/>
      </c>
      <c r="CF199" s="116">
        <f>IFERROR(LOOKUP(2,1/('DRAFT 2'!$D:$D=$B199)*('DRAFT 2'!$A:$A&gt;=DATE(2026,1,1))*('DRAFT 2'!$A:$A&lt;DATE(2026,IF(1=12,1+1,1+1),1)),'DRAFT 2'!$A:$A),"")</f>
        <v/>
      </c>
      <c r="CG199" s="116">
        <f>COUNTIFS('DRAFT 2'!$D:$D,$B199,'DRAFT 2'!$A:$A,"&gt;="&amp;DATE(2026,1,1),'DRAFT 2'!$A:$A,"&lt;="&amp;DATE(2026,1,7))</f>
        <v/>
      </c>
      <c r="CH199" s="116">
        <f>COUNTIFS('DRAFT 2'!$D:$D,$B199,'DRAFT 2'!$A:$A,"&gt;="&amp;DATE(2026,1,8),'DRAFT 2'!$A:$A,"&lt;="&amp;DATE(2026,1,14))</f>
        <v/>
      </c>
      <c r="CI199" s="116">
        <f>COUNTIFS('DRAFT 2'!$D:$D,$B199,'DRAFT 2'!$A:$A,"&gt;="&amp;DATE(2026,1,15),'DRAFT 2'!$A:$A,"&lt;="&amp;DATE(2026,1,21))</f>
        <v/>
      </c>
      <c r="CJ199" s="116">
        <f>COUNTIFS('DRAFT 2'!$D:$D,$B199,'DRAFT 2'!$A:$A,"&gt;="&amp;DATE(2026,1,22),'DRAFT 2'!$A:$A,"&lt;"&amp;DATE(2026,IF(1=12,1+1,1+1),1))</f>
        <v/>
      </c>
      <c r="CK199" s="116">
        <f>SUM(CG199:CJ199)</f>
        <v/>
      </c>
      <c r="CT199" s="116" t="n">
        <v>0</v>
      </c>
      <c r="CU199" s="116">
        <f>IFERROR(LOOKUP(2,1/('DRAFT 2'!$D:$D=$B199)*('DRAFT 2'!$A:$A&gt;=DATE(2026,2,1))*('DRAFT 2'!$A:$A&lt;DATE(2026,IF(2=12,2+1,2+1),1)),'DRAFT 2'!$A:$A),"")</f>
        <v/>
      </c>
      <c r="CV199" s="116">
        <f>COUNTIFS('DRAFT 2'!$D:$D,$B199,'DRAFT 2'!$A:$A,"&gt;="&amp;DATE(2026,2,1),'DRAFT 2'!$A:$A,"&lt;="&amp;DATE(2026,2,7))</f>
        <v/>
      </c>
      <c r="CW199" s="116">
        <f>COUNTIFS('DRAFT 2'!$D:$D,$B199,'DRAFT 2'!$A:$A,"&gt;="&amp;DATE(2026,2,8),'DRAFT 2'!$A:$A,"&lt;="&amp;DATE(2026,2,14))</f>
        <v/>
      </c>
      <c r="CX199" s="116">
        <f>COUNTIFS('DRAFT 2'!$D:$D,$B199,'DRAFT 2'!$A:$A,"&gt;="&amp;DATE(2026,2,15),'DRAFT 2'!$A:$A,"&lt;="&amp;DATE(2026,2,21))</f>
        <v/>
      </c>
      <c r="CY199" s="116">
        <f>COUNTIFS('DRAFT 2'!$D:$D,$B199,'DRAFT 2'!$A:$A,"&gt;="&amp;DATE(2026,2,22),'DRAFT 2'!$A:$A,"&lt;"&amp;DATE(2026,IF(2=12,2+1,2+1),1))</f>
        <v/>
      </c>
      <c r="CZ199" s="116">
        <f>SUM(CV199:CY199)</f>
        <v/>
      </c>
      <c r="DJ199" s="116">
        <f>IFERROR(LOOKUP(2,1/('DRAFT 2'!$D:$D=$B199)*('DRAFT 2'!$A:$A&gt;=DATE(2026,3,1))*('DRAFT 2'!$A:$A&lt;DATE(2026,IF(3=12,3+1,3+1),1)),'DRAFT 2'!$A:$A),"")</f>
        <v/>
      </c>
      <c r="DK199" s="116">
        <f>COUNTIFS('DRAFT 2'!$D:$D,$B199,'DRAFT 2'!$A:$A,"&gt;="&amp;DATE(2026,3,1),'DRAFT 2'!$A:$A,"&lt;="&amp;DATE(2026,3,7))</f>
        <v/>
      </c>
      <c r="DL199" s="116">
        <f>COUNTIFS('DRAFT 2'!$D:$D,$B199,'DRAFT 2'!$A:$A,"&gt;="&amp;DATE(2026,3,8),'DRAFT 2'!$A:$A,"&lt;="&amp;DATE(2026,3,14))</f>
        <v/>
      </c>
      <c r="DM199" s="116">
        <f>COUNTIFS('DRAFT 2'!$D:$D,$B199,'DRAFT 2'!$A:$A,"&gt;="&amp;DATE(2026,3,15),'DRAFT 2'!$A:$A,"&lt;="&amp;DATE(2026,3,21))</f>
        <v/>
      </c>
      <c r="DN199" s="116">
        <f>COUNTIFS('DRAFT 2'!$D:$D,$B199,'DRAFT 2'!$A:$A,"&gt;="&amp;DATE(2026,3,22),'DRAFT 2'!$A:$A,"&lt;"&amp;DATE(2026,IF(3=12,3+1,3+1),1))</f>
        <v/>
      </c>
      <c r="DO199" s="116">
        <f>SUM(DK199:DN199)</f>
        <v/>
      </c>
      <c r="DZ199" s="116">
        <f>IFERROR(LOOKUP(2,1/('DRAFT 2'!$D:$D=$B199)*('DRAFT 2'!$A:$A&gt;=DATE(2026,4,1))*('DRAFT 2'!$A:$A&lt;DATE(2026,IF(4=12,4+1,4+1),1)),'DRAFT 2'!$A:$A),"")</f>
        <v/>
      </c>
      <c r="EA199" s="116">
        <f>COUNTIFS('DRAFT 2'!$D:$D,$B199,'DRAFT 2'!$A:$A,"&gt;="&amp;DATE(2026,4,1),'DRAFT 2'!$A:$A,"&lt;="&amp;DATE(2026,4,7))</f>
        <v/>
      </c>
      <c r="EB199" s="116">
        <f>COUNTIFS('DRAFT 2'!$D:$D,$B199,'DRAFT 2'!$A:$A,"&gt;="&amp;DATE(2026,4,8),'DRAFT 2'!$A:$A,"&lt;="&amp;DATE(2026,4,14))</f>
        <v/>
      </c>
      <c r="EC199" s="116">
        <f>COUNTIFS('DRAFT 2'!$D:$D,$B199,'DRAFT 2'!$A:$A,"&gt;="&amp;DATE(2026,4,15),'DRAFT 2'!$A:$A,"&lt;="&amp;DATE(2026,4,21))</f>
        <v/>
      </c>
      <c r="ED199" s="116">
        <f>COUNTIFS('DRAFT 2'!$D:$D,$B199,'DRAFT 2'!$A:$A,"&gt;="&amp;DATE(2026,4,22),'DRAFT 2'!$A:$A,"&lt;"&amp;DATE(2026,IF(4=12,4+1,4+1),1))</f>
        <v/>
      </c>
      <c r="EE199" s="116">
        <f>SUM(EA199:ED199)</f>
        <v/>
      </c>
      <c r="EO199" s="116">
        <f>IFERROR(LOOKUP(2,1/('DRAFT 2'!$D:$D=$B199)*('DRAFT 2'!$A:$A&gt;=DATE(2026,5,1))*('DRAFT 2'!$A:$A&lt;DATE(2026,IF(5=12,5+1,5+1),1)),'DRAFT 2'!$A:$A),"")</f>
        <v/>
      </c>
      <c r="EP199" s="116">
        <f>COUNTIFS('DRAFT 2'!$D:$D,$B199,'DRAFT 2'!$A:$A,"&gt;="&amp;DATE(2026,5,1),'DRAFT 2'!$A:$A,"&lt;="&amp;DATE(2026,5,7))</f>
        <v/>
      </c>
      <c r="EQ199" s="116">
        <f>COUNTIFS('DRAFT 2'!$D:$D,$B199,'DRAFT 2'!$A:$A,"&gt;="&amp;DATE(2026,5,8),'DRAFT 2'!$A:$A,"&lt;="&amp;DATE(2026,5,14))</f>
        <v/>
      </c>
      <c r="ER199" s="116">
        <f>COUNTIFS('DRAFT 2'!$D:$D,$B199,'DRAFT 2'!$A:$A,"&gt;="&amp;DATE(2026,5,15),'DRAFT 2'!$A:$A,"&lt;="&amp;DATE(2026,5,21))</f>
        <v/>
      </c>
      <c r="ES199" s="116">
        <f>COUNTIFS('DRAFT 2'!$D:$D,$B199,'DRAFT 2'!$A:$A,"&gt;="&amp;DATE(2026,5,22),'DRAFT 2'!$A:$A,"&lt;"&amp;DATE(2026,IF(5=12,5+1,5+1),1))</f>
        <v/>
      </c>
      <c r="ET199" s="116">
        <f>SUM(EP199:ES199)</f>
        <v/>
      </c>
      <c r="FD199" s="116">
        <f>IFERROR(LOOKUP(2,1/('DRAFT 2'!$D:$D=$B199)*('DRAFT 2'!$A:$A&gt;=DATE(2026,6,1))*('DRAFT 2'!$A:$A&lt;DATE(2026,IF(6=12,6+1,6+1),1)),'DRAFT 2'!$A:$A),"")</f>
        <v/>
      </c>
      <c r="FE199" s="116">
        <f>COUNTIFS('DRAFT 2'!$D:$D,$B199,'DRAFT 2'!$A:$A,"&gt;="&amp;DATE(2026,6,1),'DRAFT 2'!$A:$A,"&lt;="&amp;DATE(2026,6,7))</f>
        <v/>
      </c>
      <c r="FF199" s="116">
        <f>COUNTIFS('DRAFT 2'!$D:$D,$B199,'DRAFT 2'!$A:$A,"&gt;="&amp;DATE(2026,6,8),'DRAFT 2'!$A:$A,"&lt;="&amp;DATE(2026,6,14))</f>
        <v/>
      </c>
      <c r="FG199" s="116">
        <f>COUNTIFS('DRAFT 2'!$D:$D,$B199,'DRAFT 2'!$A:$A,"&gt;="&amp;DATE(2026,6,15),'DRAFT 2'!$A:$A,"&lt;="&amp;DATE(2026,6,21))</f>
        <v/>
      </c>
      <c r="FH199" s="116">
        <f>COUNTIFS('DRAFT 2'!$D:$D,$B199,'DRAFT 2'!$A:$A,"&gt;="&amp;DATE(2026,6,22),'DRAFT 2'!$A:$A,"&lt;"&amp;DATE(2026,IF(6=12,6+1,6+1),1))</f>
        <v/>
      </c>
      <c r="FI199" s="116">
        <f>SUM(FE199:FH199)</f>
        <v/>
      </c>
      <c r="FT199" s="116">
        <f>IFERROR(LOOKUP(2,1/('DRAFT 2'!$D:$D=$B199)*('DRAFT 2'!$A:$A&gt;=DATE(2026,7,1))*('DRAFT 2'!$A:$A&lt;DATE(2026,IF(7=12,7+1,7+1),1)),'DRAFT 2'!$A:$A),"")</f>
        <v/>
      </c>
      <c r="FU199" s="116">
        <f>COUNTIFS('DRAFT 2'!$D:$D,$B199,'DRAFT 2'!$A:$A,"&gt;="&amp;DATE(2026,7,1),'DRAFT 2'!$A:$A,"&lt;="&amp;DATE(2026,7,7))</f>
        <v/>
      </c>
      <c r="FV199" s="116">
        <f>COUNTIFS('DRAFT 2'!$D:$D,$B199,'DRAFT 2'!$A:$A,"&gt;="&amp;DATE(2026,7,8),'DRAFT 2'!$A:$A,"&lt;="&amp;DATE(2026,7,14))</f>
        <v/>
      </c>
      <c r="FW199" s="116">
        <f>COUNTIFS('DRAFT 2'!$D:$D,$B199,'DRAFT 2'!$A:$A,"&gt;="&amp;DATE(2026,7,15),'DRAFT 2'!$A:$A,"&lt;="&amp;DATE(2026,7,21))</f>
        <v/>
      </c>
      <c r="FX199" s="116">
        <f>COUNTIFS('DRAFT 2'!$D:$D,$B199,'DRAFT 2'!$A:$A,"&gt;="&amp;DATE(2026,7,22),'DRAFT 2'!$A:$A,"&lt;"&amp;DATE(2026,IF(7=12,7+1,7+1),1))</f>
        <v/>
      </c>
      <c r="FY199" s="116">
        <f>SUM(FU199:FX199)</f>
        <v/>
      </c>
      <c r="GI199" s="116">
        <f>IFERROR(LOOKUP(2,1/('DRAFT 2'!$D:$D=$B199)*('DRAFT 2'!$A:$A&gt;=DATE(2026,8,1))*('DRAFT 2'!$A:$A&lt;DATE(2026,IF(8=12,8+1,8+1),1)),'DRAFT 2'!$A:$A),"")</f>
        <v/>
      </c>
      <c r="GJ199" s="116">
        <f>COUNTIFS('DRAFT 2'!$D:$D,$B199,'DRAFT 2'!$A:$A,"&gt;="&amp;DATE(2026,8,1),'DRAFT 2'!$A:$A,"&lt;="&amp;DATE(2026,8,7))</f>
        <v/>
      </c>
      <c r="GK199" s="116">
        <f>COUNTIFS('DRAFT 2'!$D:$D,$B199,'DRAFT 2'!$A:$A,"&gt;="&amp;DATE(2026,8,8),'DRAFT 2'!$A:$A,"&lt;="&amp;DATE(2026,8,14))</f>
        <v/>
      </c>
      <c r="GL199" s="116">
        <f>COUNTIFS('DRAFT 2'!$D:$D,$B199,'DRAFT 2'!$A:$A,"&gt;="&amp;DATE(2026,8,15),'DRAFT 2'!$A:$A,"&lt;="&amp;DATE(2026,8,21))</f>
        <v/>
      </c>
      <c r="GM199" s="116">
        <f>COUNTIFS('DRAFT 2'!$D:$D,$B199,'DRAFT 2'!$A:$A,"&gt;="&amp;DATE(2026,8,22),'DRAFT 2'!$A:$A,"&lt;"&amp;DATE(2026,IF(8=12,8+1,8+1),1))</f>
        <v/>
      </c>
      <c r="GN199" s="116">
        <f>SUM(GJ199:GM199)</f>
        <v/>
      </c>
      <c r="GX199" s="116">
        <f>IFERROR(LOOKUP(2,1/('DRAFT 2'!$D:$D=$B199)*('DRAFT 2'!$A:$A&gt;=DATE(2026,9,1))*('DRAFT 2'!$A:$A&lt;DATE(2026,IF(9=12,9+1,9+1),1)),'DRAFT 2'!$A:$A),"")</f>
        <v/>
      </c>
      <c r="GY199" s="116">
        <f>COUNTIFS('DRAFT 2'!$D:$D,$B199,'DRAFT 2'!$A:$A,"&gt;="&amp;DATE(2026,9,1),'DRAFT 2'!$A:$A,"&lt;="&amp;DATE(2026,9,7))</f>
        <v/>
      </c>
      <c r="GZ199" s="116">
        <f>COUNTIFS('DRAFT 2'!$D:$D,$B199,'DRAFT 2'!$A:$A,"&gt;="&amp;DATE(2026,9,8),'DRAFT 2'!$A:$A,"&lt;="&amp;DATE(2026,9,14))</f>
        <v/>
      </c>
      <c r="HA199" s="116">
        <f>COUNTIFS('DRAFT 2'!$D:$D,$B199,'DRAFT 2'!$A:$A,"&gt;="&amp;DATE(2026,9,15),'DRAFT 2'!$A:$A,"&lt;="&amp;DATE(2026,9,21))</f>
        <v/>
      </c>
      <c r="HB199" s="116">
        <f>COUNTIFS('DRAFT 2'!$D:$D,$B199,'DRAFT 2'!$A:$A,"&gt;="&amp;DATE(2026,9,22),'DRAFT 2'!$A:$A,"&lt;"&amp;DATE(2026,IF(9=12,9+1,9+1),1))</f>
        <v/>
      </c>
      <c r="HC199" s="116">
        <f>SUM(GY199:HB199)</f>
        <v/>
      </c>
      <c r="HN199" s="116">
        <f>IFERROR(LOOKUP(2,1/('DRAFT 2'!$D:$D=$B199)*('DRAFT 2'!$A:$A&gt;=DATE(2026,10,1))*('DRAFT 2'!$A:$A&lt;DATE(2026,IF(10=12,10+1,10+1),1)),'DRAFT 2'!$A:$A),"")</f>
        <v/>
      </c>
      <c r="HO199" s="116">
        <f>COUNTIFS('DRAFT 2'!$D:$D,$B199,'DRAFT 2'!$A:$A,"&gt;="&amp;DATE(2026,10,1),'DRAFT 2'!$A:$A,"&lt;="&amp;DATE(2026,10,7))</f>
        <v/>
      </c>
      <c r="HP199" s="116">
        <f>COUNTIFS('DRAFT 2'!$D:$D,$B199,'DRAFT 2'!$A:$A,"&gt;="&amp;DATE(2026,10,8),'DRAFT 2'!$A:$A,"&lt;="&amp;DATE(2026,10,14))</f>
        <v/>
      </c>
      <c r="HQ199" s="116">
        <f>COUNTIFS('DRAFT 2'!$D:$D,$B199,'DRAFT 2'!$A:$A,"&gt;="&amp;DATE(2026,10,15),'DRAFT 2'!$A:$A,"&lt;="&amp;DATE(2026,10,21))</f>
        <v/>
      </c>
      <c r="HR199" s="116">
        <f>COUNTIFS('DRAFT 2'!$D:$D,$B199,'DRAFT 2'!$A:$A,"&gt;="&amp;DATE(2026,10,22),'DRAFT 2'!$A:$A,"&lt;"&amp;DATE(2026,IF(10=12,10+1,10+1),1))</f>
        <v/>
      </c>
      <c r="HS199" s="116">
        <f>SUM(HO199:HR199)</f>
        <v/>
      </c>
      <c r="IC199" s="116">
        <f>IFERROR(LOOKUP(2,1/('DRAFT 2'!$D:$D=$B199)*('DRAFT 2'!$A:$A&gt;=DATE(2026,11,1))*('DRAFT 2'!$A:$A&lt;DATE(2026,IF(11=12,11+1,11+1),1)),'DRAFT 2'!$A:$A),"")</f>
        <v/>
      </c>
      <c r="ID199" s="116">
        <f>COUNTIFS('DRAFT 2'!$D:$D,$B199,'DRAFT 2'!$A:$A,"&gt;="&amp;DATE(2026,11,1),'DRAFT 2'!$A:$A,"&lt;="&amp;DATE(2026,11,7))</f>
        <v/>
      </c>
      <c r="IE199" s="116">
        <f>COUNTIFS('DRAFT 2'!$D:$D,$B199,'DRAFT 2'!$A:$A,"&gt;="&amp;DATE(2026,11,8),'DRAFT 2'!$A:$A,"&lt;="&amp;DATE(2026,11,14))</f>
        <v/>
      </c>
      <c r="IF199" s="116">
        <f>COUNTIFS('DRAFT 2'!$D:$D,$B199,'DRAFT 2'!$A:$A,"&gt;="&amp;DATE(2026,11,15),'DRAFT 2'!$A:$A,"&lt;="&amp;DATE(2026,11,21))</f>
        <v/>
      </c>
      <c r="IG199" s="116">
        <f>COUNTIFS('DRAFT 2'!$D:$D,$B199,'DRAFT 2'!$A:$A,"&gt;="&amp;DATE(2026,11,22),'DRAFT 2'!$A:$A,"&lt;"&amp;DATE(2026,IF(11=12,11+1,11+1),1))</f>
        <v/>
      </c>
      <c r="IH199" s="116">
        <f>SUM(ID199:IG199)</f>
        <v/>
      </c>
      <c r="IR199" s="116">
        <f>IFERROR(LOOKUP(2,1/('DRAFT 2'!$D:$D=$B199)*('DRAFT 2'!$A:$A&gt;=DATE(2026,12,1))*('DRAFT 2'!$A:$A&lt;DATE(2026,IF(12=12,12+1,12+1),1)),'DRAFT 2'!$A:$A),"")</f>
        <v/>
      </c>
      <c r="IS199" s="116">
        <f>COUNTIFS('DRAFT 2'!$D:$D,$B199,'DRAFT 2'!$A:$A,"&gt;="&amp;DATE(2026,12,1),'DRAFT 2'!$A:$A,"&lt;="&amp;DATE(2026,12,7))</f>
        <v/>
      </c>
      <c r="IT199" s="116">
        <f>COUNTIFS('DRAFT 2'!$D:$D,$B199,'DRAFT 2'!$A:$A,"&gt;="&amp;DATE(2026,12,8),'DRAFT 2'!$A:$A,"&lt;="&amp;DATE(2026,12,14))</f>
        <v/>
      </c>
      <c r="IU199" s="116">
        <f>COUNTIFS('DRAFT 2'!$D:$D,$B199,'DRAFT 2'!$A:$A,"&gt;="&amp;DATE(2026,12,15),'DRAFT 2'!$A:$A,"&lt;="&amp;DATE(2026,12,21))</f>
        <v/>
      </c>
      <c r="IV199" s="116">
        <f>COUNTIFS('DRAFT 2'!$D:$D,$B199,'DRAFT 2'!$A:$A,"&gt;="&amp;DATE(2026,12,22),'DRAFT 2'!$A:$A,"&lt;"&amp;DATE(2026,IF(12=12,12+1,12+1),1))</f>
        <v/>
      </c>
      <c r="IW199" s="116">
        <f>SUM(IS199:IV199)</f>
        <v/>
      </c>
    </row>
    <row r="200">
      <c r="A200" s="116">
        <f>IFERROR(INDEX('DRAFT 1'!$A:$A,MATCH($B200,'DRAFT 1'!$B:$B,0)),"")</f>
        <v/>
      </c>
      <c r="C200" s="116">
        <f>IFERROR(INDEX('DRAFT 1'!$C:$C,MATCH($B200,'DRAFT 1'!$B:$B,0)),"")</f>
        <v/>
      </c>
      <c r="D200" s="116">
        <f>IFERROR(INDEX('DRAFT 1'!$D:$D,MATCH($B200,'DRAFT 1'!$B:$B,0)),"")</f>
        <v/>
      </c>
      <c r="E200" s="116">
        <f>IFERROR(INDEX('DRAFT 1'!$E:$E,MATCH($B200,'DRAFT 1'!$B:$B,0)),"")</f>
        <v/>
      </c>
      <c r="F200" s="116">
        <f>IFERROR(INDEX('DRAFT 1'!$F:$F,MATCH($B200,'DRAFT 1'!$B:$B,0)),"")</f>
        <v/>
      </c>
      <c r="G200" s="116">
        <f>IFERROR(INDEX('DRAFT 1'!$G:$G,MATCH($B200,'DRAFT 1'!$B:$B,0)),"")</f>
        <v/>
      </c>
      <c r="H200" s="116">
        <f>IFERROR(INDEX('DRAFT 1'!$H:$H,MATCH($B200,'DRAFT 1'!$B:$B,0)),"")</f>
        <v/>
      </c>
      <c r="I200" s="116">
        <f>IFERROR(INDEX('DRAFT 1'!$I:$I,MATCH($B200,'DRAFT 1'!$B:$B,0)),"")</f>
        <v/>
      </c>
      <c r="K200" s="116">
        <f>IFERROR(INDEX('DRAFT 1'!$AL:$AL,MATCH($B200,'DRAFT 1'!$B:$B,0)),"")</f>
        <v/>
      </c>
      <c r="L200" s="116">
        <f>IFERROR(INDEX('DRAFT 1'!$J:$J,MATCH($B200,'DRAFT 1'!$B:$B,0)),"")</f>
        <v/>
      </c>
      <c r="M200" s="116">
        <f>IFERROR(INDEX('DRAFT 1'!$K:$K,MATCH($B200,'DRAFT 1'!$B:$B,0)),"")</f>
        <v/>
      </c>
      <c r="P200" s="116">
        <f>IFERROR(INDEX('DRAFT 1'!$L:$L,MATCH($B200,'DRAFT 1'!$B:$B,0)),"")</f>
        <v/>
      </c>
      <c r="Q200" s="116">
        <f>IFERROR(INDEX('DRAFT 1'!$M:$M,MATCH($B200,'DRAFT 1'!$B:$B,0)),"")</f>
        <v/>
      </c>
      <c r="R200" s="116">
        <f>IFERROR(INDEX('DRAFT 1'!$N:$N,MATCH($B200,'DRAFT 1'!$B:$B,0)),"")</f>
        <v/>
      </c>
      <c r="S200" s="116">
        <f>IFERROR(INDEX('DRAFT 1'!$O:$O,MATCH($B200,'DRAFT 1'!$B:$B,0)),"")</f>
        <v/>
      </c>
      <c r="T200" s="116">
        <f>IFERROR(INDEX('DRAFT 1'!$P:$P,MATCH($B200,'DRAFT 1'!$B:$B,0)),"")</f>
        <v/>
      </c>
      <c r="U200" s="116">
        <f>IFERROR(INDEX('DRAFT 1'!$Q:$Q,MATCH($B200,'DRAFT 1'!$B:$B,0)),"")</f>
        <v/>
      </c>
      <c r="V200" s="116">
        <f>IFERROR(INDEX('DRAFT 1'!$R:$R,MATCH($B200,'DRAFT 1'!$B:$B,0)),"")</f>
        <v/>
      </c>
      <c r="W200" s="116">
        <f>IFERROR(INDEX('DRAFT 1'!$S:$S,MATCH($B200,'DRAFT 1'!$B:$B,0)),"")</f>
        <v/>
      </c>
      <c r="X200" s="116">
        <f>IFERROR(INDEX('DRAFT 1'!$T:$T,MATCH($B200,'DRAFT 1'!$B:$B,0)),"")</f>
        <v/>
      </c>
      <c r="Z200" s="116">
        <f>IFERROR(INDEX('DRAFT 1'!$U:$U,MATCH($B200,'DRAFT 1'!$B:$B,0)),"")</f>
        <v/>
      </c>
      <c r="AA200" s="116">
        <f>IFERROR(INDEX('DRAFT 1'!$V:$V,MATCH($B200,'DRAFT 1'!$B:$B,0)),"")</f>
        <v/>
      </c>
      <c r="AB200" s="116">
        <f>IFERROR(INDEX('DRAFT 1'!$W:$W,MATCH($B200,'DRAFT 1'!$B:$B,0)),"")</f>
        <v/>
      </c>
      <c r="AC200" s="116">
        <f>IFERROR(INDEX('DRAFT 1'!$X:$X,MATCH($B200,'DRAFT 1'!$B:$B,0)),"")</f>
        <v/>
      </c>
      <c r="AD200" s="116">
        <f>IFERROR(INDEX('DRAFT 1'!$Y:$Y,MATCH($B200,'DRAFT 1'!$B:$B,0)),"")</f>
        <v/>
      </c>
      <c r="AE200" s="116">
        <f>IFERROR(INDEX('DRAFT 1'!$Z:$Z,MATCH($B200,'DRAFT 1'!$B:$B,0)),"")</f>
        <v/>
      </c>
      <c r="AF200" s="116">
        <f>IFERROR(INDEX('DRAFT 1'!$AA:$AA,MATCH($B200,'DRAFT 1'!$B:$B,0)),"")</f>
        <v/>
      </c>
      <c r="AG200" s="116">
        <f>IFERROR(INDEX('DRAFT 1'!$AB:$AB,MATCH($B200,'DRAFT 1'!$B:$B,0)),"")</f>
        <v/>
      </c>
      <c r="AH200" s="116">
        <f>IFERROR(INDEX('DRAFT 1'!$AC:$AC,MATCH($B200,'DRAFT 1'!$B:$B,0)),"")</f>
        <v/>
      </c>
      <c r="AI200" s="116">
        <f>IFERROR(INDEX('DRAFT 1'!$AD:$AD,MATCH($B200,'DRAFT 1'!$B:$B,0)),"")</f>
        <v/>
      </c>
      <c r="AJ200" s="116">
        <f>IFERROR(INDEX('DRAFT 1'!$AE:$AE,MATCH($B200,'DRAFT 1'!$B:$B,0)),"")</f>
        <v/>
      </c>
      <c r="AK200" s="116">
        <f>IFERROR(INDEX('DRAFT 1'!$AG:$AG,MATCH($B200,'DRAFT 1'!$B:$B,0)),"")</f>
        <v/>
      </c>
      <c r="AL200" s="116">
        <f>IFERROR(INDEX('DRAFT 1'!$AH:$AH,MATCH($B200,'DRAFT 1'!$B:$B,0)),"")</f>
        <v/>
      </c>
      <c r="AM200" s="116">
        <f>IFERROR(INDEX('DRAFT 1'!$AI:$AI,MATCH($B200,'DRAFT 1'!$B:$B,0)),"")</f>
        <v/>
      </c>
      <c r="AN200" s="116">
        <f>IFERROR(INDEX('DRAFT 1'!$AJ:$AJ,MATCH($B200,'DRAFT 1'!$B:$B,0)),"")</f>
        <v/>
      </c>
      <c r="AO200" s="116">
        <f>IFERROR(Y200/AN200,0)</f>
        <v/>
      </c>
      <c r="AP200" s="116">
        <f>IFERROR(INDEX('DRAFT 1'!$AK:$AK,MATCH($B200,'DRAFT 1'!$B:$B,0)),"")</f>
        <v/>
      </c>
      <c r="AR200" s="116">
        <f>IFERROR(LOOKUP(2,1/('DRAFT 2'!$D:$D=$B200),'DRAFT 2'!$I:$I),"")</f>
        <v/>
      </c>
      <c r="AS200" s="116">
        <f>IFERROR(LOOKUP(2,1/('DRAFT 2'!$D:$D=$B200),'DRAFT 2'!$T:$T),"")</f>
        <v/>
      </c>
      <c r="AT200" s="116">
        <f>IFERROR(LOOKUP(2,1/('DRAFT 2'!$D:$D=$B200),'DRAFT 2'!$A:$A),"")</f>
        <v/>
      </c>
      <c r="AU200" s="116">
        <f>IFERROR(LOOKUP(2,1/('DRAFT 2'!$D:$D=$B200),'DRAFT 2'!$R:$R),"")</f>
        <v/>
      </c>
      <c r="AV200" s="116">
        <f>IFERROR(LOOKUP(2,1/('DRAFT 2'!$D:$D=$B200),'DRAFT 2'!$S:$S),"")</f>
        <v/>
      </c>
      <c r="AX200" s="116">
        <f>IFERROR(LOOKUP(2,1/('DRAFT 2'!$D:$D=$B200),'DRAFT 2'!$M:$M),"")</f>
        <v/>
      </c>
      <c r="AY200" s="116">
        <f>IFERROR(LOOKUP(2,1/('DRAFT 2'!$D:$D=$B200),'DRAFT 2'!$K:$K),"")</f>
        <v/>
      </c>
      <c r="BG200" s="116">
        <f>IFERROR(LOOKUP(2,1/('DRAFT 2'!$D:$D=$B200),'DRAFT 2'!$U:$U),"")</f>
        <v/>
      </c>
      <c r="BH200" s="116">
        <f>IFERROR(LOOKUP(2,1/('DRAFT 2'!$D:$D=$B200),'DRAFT 2'!$V:$V),"")</f>
        <v/>
      </c>
      <c r="CE200" s="116">
        <f>IFERROR(AJ200,0)</f>
        <v/>
      </c>
      <c r="CF200" s="116">
        <f>IFERROR(LOOKUP(2,1/('DRAFT 2'!$D:$D=$B200)*('DRAFT 2'!$A:$A&gt;=DATE(2026,1,1))*('DRAFT 2'!$A:$A&lt;DATE(2026,IF(1=12,1+1,1+1),1)),'DRAFT 2'!$A:$A),"")</f>
        <v/>
      </c>
      <c r="CG200" s="116">
        <f>COUNTIFS('DRAFT 2'!$D:$D,$B200,'DRAFT 2'!$A:$A,"&gt;="&amp;DATE(2026,1,1),'DRAFT 2'!$A:$A,"&lt;="&amp;DATE(2026,1,7))</f>
        <v/>
      </c>
      <c r="CH200" s="116">
        <f>COUNTIFS('DRAFT 2'!$D:$D,$B200,'DRAFT 2'!$A:$A,"&gt;="&amp;DATE(2026,1,8),'DRAFT 2'!$A:$A,"&lt;="&amp;DATE(2026,1,14))</f>
        <v/>
      </c>
      <c r="CI200" s="116">
        <f>COUNTIFS('DRAFT 2'!$D:$D,$B200,'DRAFT 2'!$A:$A,"&gt;="&amp;DATE(2026,1,15),'DRAFT 2'!$A:$A,"&lt;="&amp;DATE(2026,1,21))</f>
        <v/>
      </c>
      <c r="CJ200" s="116">
        <f>COUNTIFS('DRAFT 2'!$D:$D,$B200,'DRAFT 2'!$A:$A,"&gt;="&amp;DATE(2026,1,22),'DRAFT 2'!$A:$A,"&lt;"&amp;DATE(2026,IF(1=12,1+1,1+1),1))</f>
        <v/>
      </c>
      <c r="CK200" s="116">
        <f>SUM(CG200:CJ200)</f>
        <v/>
      </c>
      <c r="CT200" s="116" t="n">
        <v>0</v>
      </c>
      <c r="CU200" s="116">
        <f>IFERROR(LOOKUP(2,1/('DRAFT 2'!$D:$D=$B200)*('DRAFT 2'!$A:$A&gt;=DATE(2026,2,1))*('DRAFT 2'!$A:$A&lt;DATE(2026,IF(2=12,2+1,2+1),1)),'DRAFT 2'!$A:$A),"")</f>
        <v/>
      </c>
      <c r="CV200" s="116">
        <f>COUNTIFS('DRAFT 2'!$D:$D,$B200,'DRAFT 2'!$A:$A,"&gt;="&amp;DATE(2026,2,1),'DRAFT 2'!$A:$A,"&lt;="&amp;DATE(2026,2,7))</f>
        <v/>
      </c>
      <c r="CW200" s="116">
        <f>COUNTIFS('DRAFT 2'!$D:$D,$B200,'DRAFT 2'!$A:$A,"&gt;="&amp;DATE(2026,2,8),'DRAFT 2'!$A:$A,"&lt;="&amp;DATE(2026,2,14))</f>
        <v/>
      </c>
      <c r="CX200" s="116">
        <f>COUNTIFS('DRAFT 2'!$D:$D,$B200,'DRAFT 2'!$A:$A,"&gt;="&amp;DATE(2026,2,15),'DRAFT 2'!$A:$A,"&lt;="&amp;DATE(2026,2,21))</f>
        <v/>
      </c>
      <c r="CY200" s="116">
        <f>COUNTIFS('DRAFT 2'!$D:$D,$B200,'DRAFT 2'!$A:$A,"&gt;="&amp;DATE(2026,2,22),'DRAFT 2'!$A:$A,"&lt;"&amp;DATE(2026,IF(2=12,2+1,2+1),1))</f>
        <v/>
      </c>
      <c r="CZ200" s="116">
        <f>SUM(CV200:CY200)</f>
        <v/>
      </c>
      <c r="DJ200" s="116">
        <f>IFERROR(LOOKUP(2,1/('DRAFT 2'!$D:$D=$B200)*('DRAFT 2'!$A:$A&gt;=DATE(2026,3,1))*('DRAFT 2'!$A:$A&lt;DATE(2026,IF(3=12,3+1,3+1),1)),'DRAFT 2'!$A:$A),"")</f>
        <v/>
      </c>
      <c r="DK200" s="116">
        <f>COUNTIFS('DRAFT 2'!$D:$D,$B200,'DRAFT 2'!$A:$A,"&gt;="&amp;DATE(2026,3,1),'DRAFT 2'!$A:$A,"&lt;="&amp;DATE(2026,3,7))</f>
        <v/>
      </c>
      <c r="DL200" s="116">
        <f>COUNTIFS('DRAFT 2'!$D:$D,$B200,'DRAFT 2'!$A:$A,"&gt;="&amp;DATE(2026,3,8),'DRAFT 2'!$A:$A,"&lt;="&amp;DATE(2026,3,14))</f>
        <v/>
      </c>
      <c r="DM200" s="116">
        <f>COUNTIFS('DRAFT 2'!$D:$D,$B200,'DRAFT 2'!$A:$A,"&gt;="&amp;DATE(2026,3,15),'DRAFT 2'!$A:$A,"&lt;="&amp;DATE(2026,3,21))</f>
        <v/>
      </c>
      <c r="DN200" s="116">
        <f>COUNTIFS('DRAFT 2'!$D:$D,$B200,'DRAFT 2'!$A:$A,"&gt;="&amp;DATE(2026,3,22),'DRAFT 2'!$A:$A,"&lt;"&amp;DATE(2026,IF(3=12,3+1,3+1),1))</f>
        <v/>
      </c>
      <c r="DO200" s="116">
        <f>SUM(DK200:DN200)</f>
        <v/>
      </c>
      <c r="DZ200" s="116">
        <f>IFERROR(LOOKUP(2,1/('DRAFT 2'!$D:$D=$B200)*('DRAFT 2'!$A:$A&gt;=DATE(2026,4,1))*('DRAFT 2'!$A:$A&lt;DATE(2026,IF(4=12,4+1,4+1),1)),'DRAFT 2'!$A:$A),"")</f>
        <v/>
      </c>
      <c r="EA200" s="116">
        <f>COUNTIFS('DRAFT 2'!$D:$D,$B200,'DRAFT 2'!$A:$A,"&gt;="&amp;DATE(2026,4,1),'DRAFT 2'!$A:$A,"&lt;="&amp;DATE(2026,4,7))</f>
        <v/>
      </c>
      <c r="EB200" s="116">
        <f>COUNTIFS('DRAFT 2'!$D:$D,$B200,'DRAFT 2'!$A:$A,"&gt;="&amp;DATE(2026,4,8),'DRAFT 2'!$A:$A,"&lt;="&amp;DATE(2026,4,14))</f>
        <v/>
      </c>
      <c r="EC200" s="116">
        <f>COUNTIFS('DRAFT 2'!$D:$D,$B200,'DRAFT 2'!$A:$A,"&gt;="&amp;DATE(2026,4,15),'DRAFT 2'!$A:$A,"&lt;="&amp;DATE(2026,4,21))</f>
        <v/>
      </c>
      <c r="ED200" s="116">
        <f>COUNTIFS('DRAFT 2'!$D:$D,$B200,'DRAFT 2'!$A:$A,"&gt;="&amp;DATE(2026,4,22),'DRAFT 2'!$A:$A,"&lt;"&amp;DATE(2026,IF(4=12,4+1,4+1),1))</f>
        <v/>
      </c>
      <c r="EE200" s="116">
        <f>SUM(EA200:ED200)</f>
        <v/>
      </c>
      <c r="EO200" s="116">
        <f>IFERROR(LOOKUP(2,1/('DRAFT 2'!$D:$D=$B200)*('DRAFT 2'!$A:$A&gt;=DATE(2026,5,1))*('DRAFT 2'!$A:$A&lt;DATE(2026,IF(5=12,5+1,5+1),1)),'DRAFT 2'!$A:$A),"")</f>
        <v/>
      </c>
      <c r="EP200" s="116">
        <f>COUNTIFS('DRAFT 2'!$D:$D,$B200,'DRAFT 2'!$A:$A,"&gt;="&amp;DATE(2026,5,1),'DRAFT 2'!$A:$A,"&lt;="&amp;DATE(2026,5,7))</f>
        <v/>
      </c>
      <c r="EQ200" s="116">
        <f>COUNTIFS('DRAFT 2'!$D:$D,$B200,'DRAFT 2'!$A:$A,"&gt;="&amp;DATE(2026,5,8),'DRAFT 2'!$A:$A,"&lt;="&amp;DATE(2026,5,14))</f>
        <v/>
      </c>
      <c r="ER200" s="116">
        <f>COUNTIFS('DRAFT 2'!$D:$D,$B200,'DRAFT 2'!$A:$A,"&gt;="&amp;DATE(2026,5,15),'DRAFT 2'!$A:$A,"&lt;="&amp;DATE(2026,5,21))</f>
        <v/>
      </c>
      <c r="ES200" s="116">
        <f>COUNTIFS('DRAFT 2'!$D:$D,$B200,'DRAFT 2'!$A:$A,"&gt;="&amp;DATE(2026,5,22),'DRAFT 2'!$A:$A,"&lt;"&amp;DATE(2026,IF(5=12,5+1,5+1),1))</f>
        <v/>
      </c>
      <c r="ET200" s="116">
        <f>SUM(EP200:ES200)</f>
        <v/>
      </c>
      <c r="FD200" s="116">
        <f>IFERROR(LOOKUP(2,1/('DRAFT 2'!$D:$D=$B200)*('DRAFT 2'!$A:$A&gt;=DATE(2026,6,1))*('DRAFT 2'!$A:$A&lt;DATE(2026,IF(6=12,6+1,6+1),1)),'DRAFT 2'!$A:$A),"")</f>
        <v/>
      </c>
      <c r="FE200" s="116">
        <f>COUNTIFS('DRAFT 2'!$D:$D,$B200,'DRAFT 2'!$A:$A,"&gt;="&amp;DATE(2026,6,1),'DRAFT 2'!$A:$A,"&lt;="&amp;DATE(2026,6,7))</f>
        <v/>
      </c>
      <c r="FF200" s="116">
        <f>COUNTIFS('DRAFT 2'!$D:$D,$B200,'DRAFT 2'!$A:$A,"&gt;="&amp;DATE(2026,6,8),'DRAFT 2'!$A:$A,"&lt;="&amp;DATE(2026,6,14))</f>
        <v/>
      </c>
      <c r="FG200" s="116">
        <f>COUNTIFS('DRAFT 2'!$D:$D,$B200,'DRAFT 2'!$A:$A,"&gt;="&amp;DATE(2026,6,15),'DRAFT 2'!$A:$A,"&lt;="&amp;DATE(2026,6,21))</f>
        <v/>
      </c>
      <c r="FH200" s="116">
        <f>COUNTIFS('DRAFT 2'!$D:$D,$B200,'DRAFT 2'!$A:$A,"&gt;="&amp;DATE(2026,6,22),'DRAFT 2'!$A:$A,"&lt;"&amp;DATE(2026,IF(6=12,6+1,6+1),1))</f>
        <v/>
      </c>
      <c r="FI200" s="116">
        <f>SUM(FE200:FH200)</f>
        <v/>
      </c>
      <c r="FT200" s="116">
        <f>IFERROR(LOOKUP(2,1/('DRAFT 2'!$D:$D=$B200)*('DRAFT 2'!$A:$A&gt;=DATE(2026,7,1))*('DRAFT 2'!$A:$A&lt;DATE(2026,IF(7=12,7+1,7+1),1)),'DRAFT 2'!$A:$A),"")</f>
        <v/>
      </c>
      <c r="FU200" s="116">
        <f>COUNTIFS('DRAFT 2'!$D:$D,$B200,'DRAFT 2'!$A:$A,"&gt;="&amp;DATE(2026,7,1),'DRAFT 2'!$A:$A,"&lt;="&amp;DATE(2026,7,7))</f>
        <v/>
      </c>
      <c r="FV200" s="116">
        <f>COUNTIFS('DRAFT 2'!$D:$D,$B200,'DRAFT 2'!$A:$A,"&gt;="&amp;DATE(2026,7,8),'DRAFT 2'!$A:$A,"&lt;="&amp;DATE(2026,7,14))</f>
        <v/>
      </c>
      <c r="FW200" s="116">
        <f>COUNTIFS('DRAFT 2'!$D:$D,$B200,'DRAFT 2'!$A:$A,"&gt;="&amp;DATE(2026,7,15),'DRAFT 2'!$A:$A,"&lt;="&amp;DATE(2026,7,21))</f>
        <v/>
      </c>
      <c r="FX200" s="116">
        <f>COUNTIFS('DRAFT 2'!$D:$D,$B200,'DRAFT 2'!$A:$A,"&gt;="&amp;DATE(2026,7,22),'DRAFT 2'!$A:$A,"&lt;"&amp;DATE(2026,IF(7=12,7+1,7+1),1))</f>
        <v/>
      </c>
      <c r="FY200" s="116">
        <f>SUM(FU200:FX200)</f>
        <v/>
      </c>
      <c r="GI200" s="116">
        <f>IFERROR(LOOKUP(2,1/('DRAFT 2'!$D:$D=$B200)*('DRAFT 2'!$A:$A&gt;=DATE(2026,8,1))*('DRAFT 2'!$A:$A&lt;DATE(2026,IF(8=12,8+1,8+1),1)),'DRAFT 2'!$A:$A),"")</f>
        <v/>
      </c>
      <c r="GJ200" s="116">
        <f>COUNTIFS('DRAFT 2'!$D:$D,$B200,'DRAFT 2'!$A:$A,"&gt;="&amp;DATE(2026,8,1),'DRAFT 2'!$A:$A,"&lt;="&amp;DATE(2026,8,7))</f>
        <v/>
      </c>
      <c r="GK200" s="116">
        <f>COUNTIFS('DRAFT 2'!$D:$D,$B200,'DRAFT 2'!$A:$A,"&gt;="&amp;DATE(2026,8,8),'DRAFT 2'!$A:$A,"&lt;="&amp;DATE(2026,8,14))</f>
        <v/>
      </c>
      <c r="GL200" s="116">
        <f>COUNTIFS('DRAFT 2'!$D:$D,$B200,'DRAFT 2'!$A:$A,"&gt;="&amp;DATE(2026,8,15),'DRAFT 2'!$A:$A,"&lt;="&amp;DATE(2026,8,21))</f>
        <v/>
      </c>
      <c r="GM200" s="116">
        <f>COUNTIFS('DRAFT 2'!$D:$D,$B200,'DRAFT 2'!$A:$A,"&gt;="&amp;DATE(2026,8,22),'DRAFT 2'!$A:$A,"&lt;"&amp;DATE(2026,IF(8=12,8+1,8+1),1))</f>
        <v/>
      </c>
      <c r="GN200" s="116">
        <f>SUM(GJ200:GM200)</f>
        <v/>
      </c>
      <c r="GX200" s="116">
        <f>IFERROR(LOOKUP(2,1/('DRAFT 2'!$D:$D=$B200)*('DRAFT 2'!$A:$A&gt;=DATE(2026,9,1))*('DRAFT 2'!$A:$A&lt;DATE(2026,IF(9=12,9+1,9+1),1)),'DRAFT 2'!$A:$A),"")</f>
        <v/>
      </c>
      <c r="GY200" s="116">
        <f>COUNTIFS('DRAFT 2'!$D:$D,$B200,'DRAFT 2'!$A:$A,"&gt;="&amp;DATE(2026,9,1),'DRAFT 2'!$A:$A,"&lt;="&amp;DATE(2026,9,7))</f>
        <v/>
      </c>
      <c r="GZ200" s="116">
        <f>COUNTIFS('DRAFT 2'!$D:$D,$B200,'DRAFT 2'!$A:$A,"&gt;="&amp;DATE(2026,9,8),'DRAFT 2'!$A:$A,"&lt;="&amp;DATE(2026,9,14))</f>
        <v/>
      </c>
      <c r="HA200" s="116">
        <f>COUNTIFS('DRAFT 2'!$D:$D,$B200,'DRAFT 2'!$A:$A,"&gt;="&amp;DATE(2026,9,15),'DRAFT 2'!$A:$A,"&lt;="&amp;DATE(2026,9,21))</f>
        <v/>
      </c>
      <c r="HB200" s="116">
        <f>COUNTIFS('DRAFT 2'!$D:$D,$B200,'DRAFT 2'!$A:$A,"&gt;="&amp;DATE(2026,9,22),'DRAFT 2'!$A:$A,"&lt;"&amp;DATE(2026,IF(9=12,9+1,9+1),1))</f>
        <v/>
      </c>
      <c r="HC200" s="116">
        <f>SUM(GY200:HB200)</f>
        <v/>
      </c>
      <c r="HN200" s="116">
        <f>IFERROR(LOOKUP(2,1/('DRAFT 2'!$D:$D=$B200)*('DRAFT 2'!$A:$A&gt;=DATE(2026,10,1))*('DRAFT 2'!$A:$A&lt;DATE(2026,IF(10=12,10+1,10+1),1)),'DRAFT 2'!$A:$A),"")</f>
        <v/>
      </c>
      <c r="HO200" s="116">
        <f>COUNTIFS('DRAFT 2'!$D:$D,$B200,'DRAFT 2'!$A:$A,"&gt;="&amp;DATE(2026,10,1),'DRAFT 2'!$A:$A,"&lt;="&amp;DATE(2026,10,7))</f>
        <v/>
      </c>
      <c r="HP200" s="116">
        <f>COUNTIFS('DRAFT 2'!$D:$D,$B200,'DRAFT 2'!$A:$A,"&gt;="&amp;DATE(2026,10,8),'DRAFT 2'!$A:$A,"&lt;="&amp;DATE(2026,10,14))</f>
        <v/>
      </c>
      <c r="HQ200" s="116">
        <f>COUNTIFS('DRAFT 2'!$D:$D,$B200,'DRAFT 2'!$A:$A,"&gt;="&amp;DATE(2026,10,15),'DRAFT 2'!$A:$A,"&lt;="&amp;DATE(2026,10,21))</f>
        <v/>
      </c>
      <c r="HR200" s="116">
        <f>COUNTIFS('DRAFT 2'!$D:$D,$B200,'DRAFT 2'!$A:$A,"&gt;="&amp;DATE(2026,10,22),'DRAFT 2'!$A:$A,"&lt;"&amp;DATE(2026,IF(10=12,10+1,10+1),1))</f>
        <v/>
      </c>
      <c r="HS200" s="116">
        <f>SUM(HO200:HR200)</f>
        <v/>
      </c>
      <c r="IC200" s="116">
        <f>IFERROR(LOOKUP(2,1/('DRAFT 2'!$D:$D=$B200)*('DRAFT 2'!$A:$A&gt;=DATE(2026,11,1))*('DRAFT 2'!$A:$A&lt;DATE(2026,IF(11=12,11+1,11+1),1)),'DRAFT 2'!$A:$A),"")</f>
        <v/>
      </c>
      <c r="ID200" s="116">
        <f>COUNTIFS('DRAFT 2'!$D:$D,$B200,'DRAFT 2'!$A:$A,"&gt;="&amp;DATE(2026,11,1),'DRAFT 2'!$A:$A,"&lt;="&amp;DATE(2026,11,7))</f>
        <v/>
      </c>
      <c r="IE200" s="116">
        <f>COUNTIFS('DRAFT 2'!$D:$D,$B200,'DRAFT 2'!$A:$A,"&gt;="&amp;DATE(2026,11,8),'DRAFT 2'!$A:$A,"&lt;="&amp;DATE(2026,11,14))</f>
        <v/>
      </c>
      <c r="IF200" s="116">
        <f>COUNTIFS('DRAFT 2'!$D:$D,$B200,'DRAFT 2'!$A:$A,"&gt;="&amp;DATE(2026,11,15),'DRAFT 2'!$A:$A,"&lt;="&amp;DATE(2026,11,21))</f>
        <v/>
      </c>
      <c r="IG200" s="116">
        <f>COUNTIFS('DRAFT 2'!$D:$D,$B200,'DRAFT 2'!$A:$A,"&gt;="&amp;DATE(2026,11,22),'DRAFT 2'!$A:$A,"&lt;"&amp;DATE(2026,IF(11=12,11+1,11+1),1))</f>
        <v/>
      </c>
      <c r="IH200" s="116">
        <f>SUM(ID200:IG200)</f>
        <v/>
      </c>
      <c r="IR200" s="116">
        <f>IFERROR(LOOKUP(2,1/('DRAFT 2'!$D:$D=$B200)*('DRAFT 2'!$A:$A&gt;=DATE(2026,12,1))*('DRAFT 2'!$A:$A&lt;DATE(2026,IF(12=12,12+1,12+1),1)),'DRAFT 2'!$A:$A),"")</f>
        <v/>
      </c>
      <c r="IS200" s="116">
        <f>COUNTIFS('DRAFT 2'!$D:$D,$B200,'DRAFT 2'!$A:$A,"&gt;="&amp;DATE(2026,12,1),'DRAFT 2'!$A:$A,"&lt;="&amp;DATE(2026,12,7))</f>
        <v/>
      </c>
      <c r="IT200" s="116">
        <f>COUNTIFS('DRAFT 2'!$D:$D,$B200,'DRAFT 2'!$A:$A,"&gt;="&amp;DATE(2026,12,8),'DRAFT 2'!$A:$A,"&lt;="&amp;DATE(2026,12,14))</f>
        <v/>
      </c>
      <c r="IU200" s="116">
        <f>COUNTIFS('DRAFT 2'!$D:$D,$B200,'DRAFT 2'!$A:$A,"&gt;="&amp;DATE(2026,12,15),'DRAFT 2'!$A:$A,"&lt;="&amp;DATE(2026,12,21))</f>
        <v/>
      </c>
      <c r="IV200" s="116">
        <f>COUNTIFS('DRAFT 2'!$D:$D,$B200,'DRAFT 2'!$A:$A,"&gt;="&amp;DATE(2026,12,22),'DRAFT 2'!$A:$A,"&lt;"&amp;DATE(2026,IF(12=12,12+1,12+1),1))</f>
        <v/>
      </c>
      <c r="IW200" s="116">
        <f>SUM(IS200:IV200)</f>
        <v/>
      </c>
    </row>
  </sheetData>
  <mergeCells count="39"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BJ1:BT1"/>
    <mergeCell ref="FZ2:GB2"/>
    <mergeCell ref="HH2:HJ2"/>
    <mergeCell ref="HE2:HG2"/>
    <mergeCell ref="DA2:DC2"/>
    <mergeCell ref="HT2:HV2"/>
    <mergeCell ref="EX2:EZ2"/>
    <mergeCell ref="EU1:EZ1"/>
    <mergeCell ref="GO1:GT1"/>
    <mergeCell ref="GR2:GT2"/>
    <mergeCell ref="CO2:CQ2"/>
    <mergeCell ref="AR1:BI1"/>
    <mergeCell ref="CL1:CQ1"/>
    <mergeCell ref="BW1:CB1"/>
    <mergeCell ref="DQ1:DV1"/>
    <mergeCell ref="EU2:EW2"/>
    <mergeCell ref="A1:AQ1"/>
    <mergeCell ref="GO2:GQ2"/>
    <mergeCell ref="BZ2:CB2"/>
    <mergeCell ref="CL2:CN2"/>
    <mergeCell ref="DT2:DV2"/>
    <mergeCell ref="II1:IN1"/>
    <mergeCell ref="EF2:EH2"/>
    <mergeCell ref="II2:IK2"/>
    <mergeCell ref="DQ2:DS2"/>
    <mergeCell ref="FK2:FM2"/>
    <mergeCell ref="EF1:EK1"/>
    <mergeCell ref="FZ1:GE1"/>
  </mergeCells>
  <conditionalFormatting sqref="N4:N5000">
    <cfRule type="cellIs" rank="0" priority="2" equalAverage="0" operator="equal" aboveAverage="0" dxfId="0" text="" percent="0" bottom="0">
      <formula>"ATIVO"</formula>
    </cfRule>
    <cfRule type="cellIs" rank="0" priority="3" equalAverage="0" operator="equal" aboveAverage="0" dxfId="1" text="" percent="0" bottom="0">
      <formula>"EM RISCO"</formula>
    </cfRule>
    <cfRule type="cellIs" rank="0" priority="4" equalAverage="0" operator="equal" aboveAverage="0" dxfId="1" text="" percent="0" bottom="0">
      <formula>"INAT.REC"</formula>
    </cfRule>
    <cfRule type="cellIs" rank="0" priority="5" equalAverage="0" operator="equal" aboveAverage="0" dxfId="2" text="" percent="0" bottom="0">
      <formula>"INAT.ANT"</formula>
    </cfRule>
    <cfRule type="cellIs" rank="0" priority="6" equalAverage="0" operator="equal" aboveAverage="0" dxfId="3" text="" percent="0" bottom="0">
      <formula>"PROSPECT"</formula>
    </cfRule>
    <cfRule type="cellIs" rank="0" priority="7" equalAverage="0" operator="equal" aboveAverage="0" dxfId="4" text="" percent="0" bottom="0">
      <formula>"NOVO"</formula>
    </cfRule>
    <cfRule type="cellIs" rank="0" priority="8" equalAverage="0" operator="equal" aboveAverage="0" dxfId="3" text="" percent="0" bottom="0">
      <formula>"LEAD"</formula>
    </cfRule>
  </conditionalFormatting>
  <conditionalFormatting sqref="BA4:BA5000">
    <cfRule type="cellIs" rank="0" priority="9" equalAverage="0" operator="equal" aboveAverage="0" dxfId="2" text="" percent="0" bottom="0">
      <formula>"🔥 QUENTE"</formula>
    </cfRule>
    <cfRule type="cellIs" rank="0" priority="10" equalAverage="0" operator="equal" aboveAverage="0" dxfId="1" text="" percent="0" bottom="0">
      <formula>"⚡ MORNO"</formula>
    </cfRule>
    <cfRule type="cellIs" rank="0" priority="11" equalAverage="0" operator="equal" aboveAverage="0" dxfId="4" text="" percent="0" bottom="0">
      <formula>"❄️ FRIO"</formula>
    </cfRule>
  </conditionalFormatting>
  <dataValidations count="2">
    <dataValidation sqref="AR4:AR5000" showDropDown="0" showInputMessage="0" showErrorMessage="0" allowBlank="1" type="list">
      <formula1>LISTAS!$E$2:$E$14</formula1>
    </dataValidation>
    <dataValidation sqref="AV4:AV5000" showDropDown="0" showInputMessage="0" showErrorMessage="0" allowBlank="1" type="list">
      <formula1>LISTAS!$B$12:$B$21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AS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17" min="1" max="1"/>
    <col width="18" customWidth="1" style="117" min="2" max="2"/>
    <col width="25" customWidth="1" style="117" min="3" max="3"/>
    <col width="5" customWidth="1" style="117" min="4" max="4"/>
    <col width="18" customWidth="1" style="117" min="5" max="5"/>
    <col width="25" customWidth="1" style="117" min="6" max="6"/>
    <col width="16" customWidth="1" style="117" min="7" max="7"/>
    <col width="14" customWidth="1" style="117" min="8" max="8"/>
    <col width="18" customWidth="1" style="117" min="9" max="9"/>
    <col width="18" customWidth="1" style="117" min="10" max="10"/>
    <col width="20" customWidth="1" style="117" min="11" max="11"/>
    <col width="14" customWidth="1" style="117" min="12" max="12"/>
    <col width="16" customWidth="1" style="117" min="13" max="13"/>
    <col width="16" customWidth="1" style="117" min="14" max="14"/>
    <col width="14" customWidth="1" style="117" min="15" max="15"/>
    <col width="12" customWidth="1" style="117" min="16" max="16"/>
    <col width="14" customWidth="1" style="117" min="17" max="17"/>
    <col width="14" customWidth="1" style="117" min="18" max="18"/>
    <col width="14" customWidth="1" style="117" min="19" max="19"/>
    <col width="14" customWidth="1" style="117" min="20" max="20"/>
    <col width="12" customWidth="1" style="117" min="21" max="21"/>
    <col width="12" customWidth="1" style="117" min="22" max="22"/>
    <col width="12" customWidth="1" style="117" min="23" max="23"/>
    <col width="12" customWidth="1" style="117" min="24" max="24"/>
    <col width="12" customWidth="1" style="117" min="25" max="25"/>
    <col width="12" customWidth="1" style="117" min="26" max="26"/>
    <col width="12" customWidth="1" style="117" min="27" max="27"/>
    <col width="12" customWidth="1" style="117" min="28" max="28"/>
    <col width="12" customWidth="1" style="117" min="29" max="29"/>
    <col width="12" customWidth="1" style="117" min="30" max="30"/>
    <col width="12" customWidth="1" style="117" min="31" max="31"/>
    <col width="12" customWidth="1" style="117" min="32" max="32"/>
    <col width="12" customWidth="1" style="117" min="33" max="33"/>
    <col width="12" customWidth="1" style="117" min="34" max="34"/>
    <col width="10" customWidth="1" style="117" min="35" max="35"/>
    <col width="14" customWidth="1" style="117" min="36" max="36"/>
    <col width="14" customWidth="1" style="117" min="37" max="37"/>
    <col width="30" customWidth="1" style="117" min="38" max="38"/>
    <col width="22" customWidth="1" style="117" min="39" max="39"/>
    <col width="22" customWidth="1" style="117" min="40" max="40"/>
    <col width="35" customWidth="1" style="117" min="41" max="41"/>
  </cols>
  <sheetData>
    <row r="1" ht="28" customHeight="1" s="117">
      <c r="A1" s="250" t="inlineStr">
        <is>
          <t>📦 DRAFT 1 — DADOS MERCOS (atualizar diariamente via extração)</t>
        </is>
      </c>
    </row>
    <row r="2" ht="22" customHeight="1" s="117">
      <c r="A2" s="251" t="inlineStr">
        <is>
          <t>🟣 IDENTIDADE</t>
        </is>
      </c>
      <c r="L2" s="251" t="inlineStr">
        <is>
          <t>🟣 COMPRAS</t>
        </is>
      </c>
      <c r="O2" s="251" t="inlineStr">
        <is>
          <t>🟣 ECOMERCE</t>
        </is>
      </c>
      <c r="U2" s="251" t="inlineStr">
        <is>
          <t>🟣 VENDAS MÊS A MÊS</t>
        </is>
      </c>
      <c r="AG2" s="251" t="inlineStr">
        <is>
          <t>🟣 RECORRÊNCIA</t>
        </is>
      </c>
      <c r="AL2" s="251" t="inlineStr">
        <is>
          <t>🟣 ATENDIMENTO</t>
        </is>
      </c>
      <c r="AR2" s="252" t="inlineStr">
        <is>
          <t>📋 FONTE DOS DADOS</t>
        </is>
      </c>
    </row>
    <row r="3" ht="28" customHeight="1" s="117">
      <c r="A3" s="253" t="inlineStr">
        <is>
          <t>NOME FANTASIA</t>
        </is>
      </c>
      <c r="B3" s="253" t="inlineStr">
        <is>
          <t>CNPJ</t>
        </is>
      </c>
      <c r="C3" s="253" t="inlineStr">
        <is>
          <t>RAZÃO SOCIAL</t>
        </is>
      </c>
      <c r="D3" s="253" t="inlineStr">
        <is>
          <t>UF</t>
        </is>
      </c>
      <c r="E3" s="253" t="inlineStr">
        <is>
          <t>CIDADE</t>
        </is>
      </c>
      <c r="F3" s="253" t="inlineStr">
        <is>
          <t>EMAIL</t>
        </is>
      </c>
      <c r="G3" s="253" t="inlineStr">
        <is>
          <t>TELEFONE</t>
        </is>
      </c>
      <c r="H3" s="253" t="inlineStr">
        <is>
          <t>DATA CADASTRO</t>
        </is>
      </c>
      <c r="I3" s="253" t="inlineStr">
        <is>
          <t>REDE / REGIONAL</t>
        </is>
      </c>
      <c r="J3" s="253" t="inlineStr">
        <is>
          <t>CONSULTOR</t>
        </is>
      </c>
      <c r="K3" s="253" t="inlineStr">
        <is>
          <t>VENDEDOR ÚLTIMO PEDIDO</t>
        </is>
      </c>
      <c r="L3" s="253" t="inlineStr">
        <is>
          <t>DIAS SEM COMPRA</t>
        </is>
      </c>
      <c r="M3" s="253" t="inlineStr">
        <is>
          <t>DATA ÚLTIMO PEDIDO</t>
        </is>
      </c>
      <c r="N3" s="253" t="inlineStr">
        <is>
          <t>VALOR ÚLTIMO PEDIDO</t>
        </is>
      </c>
      <c r="O3" s="253" t="inlineStr">
        <is>
          <t>ACESSOS SEMANA</t>
        </is>
      </c>
      <c r="P3" s="253" t="inlineStr">
        <is>
          <t>ACESSO B2B</t>
        </is>
      </c>
      <c r="Q3" s="253" t="inlineStr">
        <is>
          <t>ACESSOS PORTAL</t>
        </is>
      </c>
      <c r="R3" s="253" t="inlineStr">
        <is>
          <t>ITENS CARRINHO</t>
        </is>
      </c>
      <c r="S3" s="253" t="inlineStr">
        <is>
          <t>VALOR B2B</t>
        </is>
      </c>
      <c r="T3" s="253" t="inlineStr">
        <is>
          <t>OPORTUNIDADE</t>
        </is>
      </c>
      <c r="U3" s="253" t="inlineStr">
        <is>
          <t>MAR/25</t>
        </is>
      </c>
      <c r="V3" s="253" t="inlineStr">
        <is>
          <t>ABR/25</t>
        </is>
      </c>
      <c r="W3" s="253" t="inlineStr">
        <is>
          <t>MAI/25</t>
        </is>
      </c>
      <c r="X3" s="253" t="inlineStr">
        <is>
          <t>JUN/25</t>
        </is>
      </c>
      <c r="Y3" s="253" t="inlineStr">
        <is>
          <t>JUL/25</t>
        </is>
      </c>
      <c r="Z3" s="253" t="inlineStr">
        <is>
          <t>AGO/25</t>
        </is>
      </c>
      <c r="AA3" s="253" t="inlineStr">
        <is>
          <t>SET/25</t>
        </is>
      </c>
      <c r="AB3" s="253" t="inlineStr">
        <is>
          <t>OUT/25</t>
        </is>
      </c>
      <c r="AC3" s="253" t="inlineStr">
        <is>
          <t>NOV/25</t>
        </is>
      </c>
      <c r="AD3" s="253" t="inlineStr">
        <is>
          <t>DEZ/25</t>
        </is>
      </c>
      <c r="AE3" s="253" t="inlineStr">
        <is>
          <t>JAN/26</t>
        </is>
      </c>
      <c r="AF3" s="253" t="inlineStr">
        <is>
          <t>FEV/26</t>
        </is>
      </c>
      <c r="AG3" s="253" t="inlineStr">
        <is>
          <t>CICLO MÉDIO</t>
        </is>
      </c>
      <c r="AH3" s="253" t="inlineStr">
        <is>
          <t>Nº COMPRAS</t>
        </is>
      </c>
      <c r="AI3" s="253" t="inlineStr">
        <is>
          <t>CURVA ABC</t>
        </is>
      </c>
      <c r="AJ3" s="253" t="inlineStr">
        <is>
          <t>MESES POSITIVADO</t>
        </is>
      </c>
      <c r="AK3" s="253" t="inlineStr">
        <is>
          <t>TICKET MÉDIO</t>
        </is>
      </c>
      <c r="AL3" s="253" t="inlineStr">
        <is>
          <t>ÚLT. REGISTRO MERCOS</t>
        </is>
      </c>
      <c r="AM3" s="253" t="inlineStr">
        <is>
          <t>DATA ÚLT. ATENDIMENTO MERCOS</t>
        </is>
      </c>
      <c r="AN3" s="253" t="inlineStr">
        <is>
          <t>TIPO ATENDIMENTO MERCOS</t>
        </is>
      </c>
      <c r="AO3" s="253" t="inlineStr">
        <is>
          <t>OBS ATENDIMENTO MERCOS</t>
        </is>
      </c>
      <c r="AR3" s="254" t="inlineStr">
        <is>
          <t>IDENTIDADE (A-K)</t>
        </is>
      </c>
      <c r="AS3" s="255" t="inlineStr">
        <is>
          <t>Carteira Detalhada de Clientes</t>
        </is>
      </c>
    </row>
    <row r="4">
      <c r="A4" s="256" t="n"/>
      <c r="B4" s="256" t="n"/>
      <c r="C4" s="256" t="n"/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  <c r="AI4" s="256" t="n"/>
      <c r="AJ4" s="256" t="n"/>
      <c r="AK4" s="256" t="n"/>
      <c r="AL4" s="256" t="n"/>
      <c r="AM4" s="256" t="n"/>
      <c r="AN4" s="256" t="n"/>
      <c r="AO4" s="256" t="n"/>
      <c r="AR4" s="254" t="inlineStr">
        <is>
          <t>COMPRAS (L-N)</t>
        </is>
      </c>
      <c r="AS4" s="255" t="inlineStr">
        <is>
          <t>Carteira Detalhada de Clientes</t>
        </is>
      </c>
    </row>
    <row r="5">
      <c r="A5" s="239" t="n"/>
      <c r="B5" s="239" t="n"/>
      <c r="C5" s="239" t="n"/>
      <c r="D5" s="239" t="n"/>
      <c r="E5" s="239" t="n"/>
      <c r="F5" s="239" t="n"/>
      <c r="G5" s="239" t="n"/>
      <c r="H5" s="239" t="n"/>
      <c r="I5" s="239" t="n"/>
      <c r="J5" s="239" t="n"/>
      <c r="K5" s="239" t="n"/>
      <c r="L5" s="239" t="n"/>
      <c r="M5" s="239" t="n"/>
      <c r="N5" s="239" t="n"/>
      <c r="O5" s="239" t="n"/>
      <c r="P5" s="239" t="n"/>
      <c r="Q5" s="239" t="n"/>
      <c r="R5" s="239" t="n"/>
      <c r="S5" s="239" t="n"/>
      <c r="T5" s="239" t="n"/>
      <c r="U5" s="239" t="n"/>
      <c r="V5" s="239" t="n"/>
      <c r="W5" s="239" t="n"/>
      <c r="X5" s="239" t="n"/>
      <c r="Y5" s="239" t="n"/>
      <c r="Z5" s="239" t="n"/>
      <c r="AA5" s="239" t="n"/>
      <c r="AB5" s="239" t="n"/>
      <c r="AC5" s="239" t="n"/>
      <c r="AD5" s="239" t="n"/>
      <c r="AE5" s="239" t="n"/>
      <c r="AF5" s="239" t="n"/>
      <c r="AG5" s="239" t="n"/>
      <c r="AH5" s="239" t="n"/>
      <c r="AI5" s="239" t="n"/>
      <c r="AJ5" s="239" t="n"/>
      <c r="AK5" s="239" t="n"/>
      <c r="AL5" s="239" t="n"/>
      <c r="AM5" s="239" t="n"/>
      <c r="AN5" s="239" t="n"/>
      <c r="AO5" s="239" t="n"/>
      <c r="AR5" s="254" t="inlineStr">
        <is>
          <t>ECOMERCE (O-T)</t>
        </is>
      </c>
      <c r="AS5" s="255" t="inlineStr">
        <is>
          <t>Acesso ao Ecomerce [mês]</t>
        </is>
      </c>
    </row>
    <row r="6">
      <c r="A6" s="256" t="n"/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  <c r="AI6" s="256" t="n"/>
      <c r="AJ6" s="256" t="n"/>
      <c r="AK6" s="256" t="n"/>
      <c r="AL6" s="256" t="n"/>
      <c r="AM6" s="256" t="n"/>
      <c r="AN6" s="256" t="n"/>
      <c r="AO6" s="256" t="n"/>
      <c r="AR6" s="254" t="inlineStr">
        <is>
          <t>VENDAS (U-AF)</t>
        </is>
      </c>
      <c r="AS6" s="255" t="inlineStr">
        <is>
          <t>Relatório de Vendas [mês]</t>
        </is>
      </c>
    </row>
    <row r="7">
      <c r="A7" s="239" t="n"/>
      <c r="B7" s="239" t="n"/>
      <c r="C7" s="239" t="n"/>
      <c r="D7" s="239" t="n"/>
      <c r="E7" s="239" t="n"/>
      <c r="F7" s="239" t="n"/>
      <c r="G7" s="239" t="n"/>
      <c r="H7" s="239" t="n"/>
      <c r="I7" s="239" t="n"/>
      <c r="J7" s="239" t="n"/>
      <c r="K7" s="239" t="n"/>
      <c r="L7" s="239" t="n"/>
      <c r="M7" s="239" t="n"/>
      <c r="N7" s="239" t="n"/>
      <c r="O7" s="239" t="n"/>
      <c r="P7" s="239" t="n"/>
      <c r="Q7" s="239" t="n"/>
      <c r="R7" s="239" t="n"/>
      <c r="S7" s="239" t="n"/>
      <c r="T7" s="239" t="n"/>
      <c r="U7" s="239" t="n"/>
      <c r="V7" s="239" t="n"/>
      <c r="W7" s="239" t="n"/>
      <c r="X7" s="239" t="n"/>
      <c r="Y7" s="239" t="n"/>
      <c r="Z7" s="239" t="n"/>
      <c r="AA7" s="239" t="n"/>
      <c r="AB7" s="239" t="n"/>
      <c r="AC7" s="239" t="n"/>
      <c r="AD7" s="239" t="n"/>
      <c r="AE7" s="239" t="n"/>
      <c r="AF7" s="239" t="n"/>
      <c r="AG7" s="239" t="n"/>
      <c r="AH7" s="239" t="n"/>
      <c r="AI7" s="239" t="n"/>
      <c r="AJ7" s="239" t="n"/>
      <c r="AK7" s="239" t="n"/>
      <c r="AL7" s="239" t="n"/>
      <c r="AM7" s="239" t="n"/>
      <c r="AN7" s="239" t="n"/>
      <c r="AO7" s="239" t="n"/>
      <c r="AR7" s="254" t="inlineStr">
        <is>
          <t>RECORRÊNCIA (AG-AK)</t>
        </is>
      </c>
      <c r="AS7" s="255" t="inlineStr">
        <is>
          <t>Positivação de Clientes + Curva ABC</t>
        </is>
      </c>
    </row>
    <row r="8">
      <c r="A8" s="256" t="n"/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  <c r="N8" s="256" t="n"/>
      <c r="O8" s="256" t="n"/>
      <c r="P8" s="256" t="n"/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R8" s="254" t="inlineStr">
        <is>
          <t>ATENDIMENTO (AL-AO)</t>
        </is>
      </c>
      <c r="AS8" s="255" t="inlineStr">
        <is>
          <t>Relatório de Atendimentos Mercos</t>
        </is>
      </c>
    </row>
    <row r="9">
      <c r="A9" s="239" t="n"/>
      <c r="B9" s="239" t="n"/>
      <c r="C9" s="239" t="n"/>
      <c r="D9" s="239" t="n"/>
      <c r="E9" s="239" t="n"/>
      <c r="F9" s="239" t="n"/>
      <c r="G9" s="239" t="n"/>
      <c r="H9" s="239" t="n"/>
      <c r="I9" s="239" t="n"/>
      <c r="J9" s="239" t="n"/>
      <c r="K9" s="239" t="n"/>
      <c r="L9" s="239" t="n"/>
      <c r="M9" s="239" t="n"/>
      <c r="N9" s="239" t="n"/>
      <c r="O9" s="239" t="n"/>
      <c r="P9" s="239" t="n"/>
      <c r="Q9" s="239" t="n"/>
      <c r="R9" s="239" t="n"/>
      <c r="S9" s="239" t="n"/>
      <c r="T9" s="239" t="n"/>
      <c r="U9" s="239" t="n"/>
      <c r="V9" s="239" t="n"/>
      <c r="W9" s="239" t="n"/>
      <c r="X9" s="239" t="n"/>
      <c r="Y9" s="239" t="n"/>
      <c r="Z9" s="239" t="n"/>
      <c r="AA9" s="239" t="n"/>
      <c r="AB9" s="239" t="n"/>
      <c r="AC9" s="239" t="n"/>
      <c r="AD9" s="239" t="n"/>
      <c r="AE9" s="239" t="n"/>
      <c r="AF9" s="239" t="n"/>
      <c r="AG9" s="239" t="n"/>
      <c r="AH9" s="239" t="n"/>
      <c r="AI9" s="239" t="n"/>
      <c r="AJ9" s="239" t="n"/>
      <c r="AK9" s="239" t="n"/>
      <c r="AL9" s="239" t="n"/>
      <c r="AM9" s="239" t="n"/>
      <c r="AN9" s="239" t="n"/>
      <c r="AO9" s="239" t="n"/>
    </row>
    <row r="10">
      <c r="A10" s="256" t="n"/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6" t="n"/>
      <c r="AK10" s="256" t="n"/>
      <c r="AL10" s="256" t="n"/>
      <c r="AM10" s="256" t="n"/>
      <c r="AN10" s="256" t="n"/>
      <c r="AO10" s="256" t="n"/>
    </row>
    <row r="11">
      <c r="A11" s="239" t="n"/>
      <c r="B11" s="239" t="n"/>
      <c r="C11" s="239" t="n"/>
      <c r="D11" s="239" t="n"/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39" t="n"/>
      <c r="S11" s="239" t="n"/>
      <c r="T11" s="239" t="n"/>
      <c r="U11" s="239" t="n"/>
      <c r="V11" s="239" t="n"/>
      <c r="W11" s="239" t="n"/>
      <c r="X11" s="239" t="n"/>
      <c r="Y11" s="239" t="n"/>
      <c r="Z11" s="239" t="n"/>
      <c r="AA11" s="239" t="n"/>
      <c r="AB11" s="239" t="n"/>
      <c r="AC11" s="239" t="n"/>
      <c r="AD11" s="239" t="n"/>
      <c r="AE11" s="239" t="n"/>
      <c r="AF11" s="239" t="n"/>
      <c r="AG11" s="239" t="n"/>
      <c r="AH11" s="239" t="n"/>
      <c r="AI11" s="239" t="n"/>
      <c r="AJ11" s="239" t="n"/>
      <c r="AK11" s="239" t="n"/>
      <c r="AL11" s="239" t="n"/>
      <c r="AM11" s="239" t="n"/>
      <c r="AN11" s="239" t="n"/>
      <c r="AO11" s="239" t="n"/>
    </row>
    <row r="12">
      <c r="A12" s="256" t="n"/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  <c r="N12" s="256" t="n"/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  <c r="AI12" s="256" t="n"/>
      <c r="AJ12" s="256" t="n"/>
      <c r="AK12" s="256" t="n"/>
      <c r="AL12" s="256" t="n"/>
      <c r="AM12" s="256" t="n"/>
      <c r="AN12" s="256" t="n"/>
      <c r="AO12" s="256" t="n"/>
    </row>
    <row r="13">
      <c r="A13" s="239" t="n"/>
      <c r="B13" s="239" t="n"/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39" t="n"/>
      <c r="M13" s="239" t="n"/>
      <c r="N13" s="239" t="n"/>
      <c r="O13" s="239" t="n"/>
      <c r="P13" s="239" t="n"/>
      <c r="Q13" s="239" t="n"/>
      <c r="R13" s="239" t="n"/>
      <c r="S13" s="239" t="n"/>
      <c r="T13" s="239" t="n"/>
      <c r="U13" s="239" t="n"/>
      <c r="V13" s="239" t="n"/>
      <c r="W13" s="239" t="n"/>
      <c r="X13" s="239" t="n"/>
      <c r="Y13" s="239" t="n"/>
      <c r="Z13" s="239" t="n"/>
      <c r="AA13" s="239" t="n"/>
      <c r="AB13" s="239" t="n"/>
      <c r="AC13" s="239" t="n"/>
      <c r="AD13" s="239" t="n"/>
      <c r="AE13" s="239" t="n"/>
      <c r="AF13" s="239" t="n"/>
      <c r="AG13" s="239" t="n"/>
      <c r="AH13" s="239" t="n"/>
      <c r="AI13" s="239" t="n"/>
      <c r="AJ13" s="239" t="n"/>
      <c r="AK13" s="239" t="n"/>
      <c r="AL13" s="239" t="n"/>
      <c r="AM13" s="239" t="n"/>
      <c r="AN13" s="239" t="n"/>
      <c r="AO13" s="239" t="n"/>
    </row>
    <row r="14">
      <c r="A14" s="256" t="n"/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  <c r="N14" s="256" t="n"/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  <c r="AI14" s="256" t="n"/>
      <c r="AJ14" s="256" t="n"/>
      <c r="AK14" s="256" t="n"/>
      <c r="AL14" s="256" t="n"/>
      <c r="AM14" s="256" t="n"/>
      <c r="AN14" s="256" t="n"/>
      <c r="AO14" s="256" t="n"/>
    </row>
    <row r="15">
      <c r="A15" s="239" t="n"/>
      <c r="B15" s="239" t="n"/>
      <c r="C15" s="239" t="n"/>
      <c r="D15" s="239" t="n"/>
      <c r="E15" s="239" t="n"/>
      <c r="F15" s="239" t="n"/>
      <c r="G15" s="239" t="n"/>
      <c r="H15" s="239" t="n"/>
      <c r="I15" s="239" t="n"/>
      <c r="J15" s="239" t="n"/>
      <c r="K15" s="239" t="n"/>
      <c r="L15" s="239" t="n"/>
      <c r="M15" s="239" t="n"/>
      <c r="N15" s="239" t="n"/>
      <c r="O15" s="239" t="n"/>
      <c r="P15" s="239" t="n"/>
      <c r="Q15" s="239" t="n"/>
      <c r="R15" s="239" t="n"/>
      <c r="S15" s="239" t="n"/>
      <c r="T15" s="239" t="n"/>
      <c r="U15" s="239" t="n"/>
      <c r="V15" s="239" t="n"/>
      <c r="W15" s="239" t="n"/>
      <c r="X15" s="239" t="n"/>
      <c r="Y15" s="239" t="n"/>
      <c r="Z15" s="239" t="n"/>
      <c r="AA15" s="239" t="n"/>
      <c r="AB15" s="239" t="n"/>
      <c r="AC15" s="239" t="n"/>
      <c r="AD15" s="239" t="n"/>
      <c r="AE15" s="239" t="n"/>
      <c r="AF15" s="239" t="n"/>
      <c r="AG15" s="239" t="n"/>
      <c r="AH15" s="239" t="n"/>
      <c r="AI15" s="239" t="n"/>
      <c r="AJ15" s="239" t="n"/>
      <c r="AK15" s="239" t="n"/>
      <c r="AL15" s="239" t="n"/>
      <c r="AM15" s="239" t="n"/>
      <c r="AN15" s="239" t="n"/>
      <c r="AO15" s="239" t="n"/>
    </row>
    <row r="16">
      <c r="A16" s="256" t="n"/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  <c r="N16" s="256" t="n"/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I16" s="256" t="n"/>
      <c r="AJ16" s="256" t="n"/>
      <c r="AK16" s="256" t="n"/>
      <c r="AL16" s="256" t="n"/>
      <c r="AM16" s="256" t="n"/>
      <c r="AN16" s="256" t="n"/>
      <c r="AO16" s="256" t="n"/>
    </row>
    <row r="17">
      <c r="A17" s="239" t="n"/>
      <c r="B17" s="239" t="n"/>
      <c r="C17" s="239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  <c r="M17" s="239" t="n"/>
      <c r="N17" s="239" t="n"/>
      <c r="O17" s="239" t="n"/>
      <c r="P17" s="239" t="n"/>
      <c r="Q17" s="239" t="n"/>
      <c r="R17" s="239" t="n"/>
      <c r="S17" s="239" t="n"/>
      <c r="T17" s="239" t="n"/>
      <c r="U17" s="239" t="n"/>
      <c r="V17" s="239" t="n"/>
      <c r="W17" s="239" t="n"/>
      <c r="X17" s="239" t="n"/>
      <c r="Y17" s="239" t="n"/>
      <c r="Z17" s="239" t="n"/>
      <c r="AA17" s="239" t="n"/>
      <c r="AB17" s="239" t="n"/>
      <c r="AC17" s="239" t="n"/>
      <c r="AD17" s="239" t="n"/>
      <c r="AE17" s="239" t="n"/>
      <c r="AF17" s="239" t="n"/>
      <c r="AG17" s="239" t="n"/>
      <c r="AH17" s="239" t="n"/>
      <c r="AI17" s="239" t="n"/>
      <c r="AJ17" s="239" t="n"/>
      <c r="AK17" s="239" t="n"/>
      <c r="AL17" s="239" t="n"/>
      <c r="AM17" s="239" t="n"/>
      <c r="AN17" s="239" t="n"/>
      <c r="AO17" s="239" t="n"/>
    </row>
    <row r="18">
      <c r="A18" s="256" t="n"/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  <c r="N18" s="256" t="n"/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6" t="n"/>
      <c r="Y18" s="256" t="n"/>
      <c r="Z18" s="256" t="n"/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I18" s="256" t="n"/>
      <c r="AJ18" s="256" t="n"/>
      <c r="AK18" s="256" t="n"/>
      <c r="AL18" s="256" t="n"/>
      <c r="AM18" s="256" t="n"/>
      <c r="AN18" s="256" t="n"/>
      <c r="AO18" s="256" t="n"/>
    </row>
    <row r="19">
      <c r="A19" s="239" t="n"/>
      <c r="B19" s="239" t="n"/>
      <c r="C19" s="239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  <c r="M19" s="239" t="n"/>
      <c r="N19" s="239" t="n"/>
      <c r="O19" s="239" t="n"/>
      <c r="P19" s="239" t="n"/>
      <c r="Q19" s="239" t="n"/>
      <c r="R19" s="239" t="n"/>
      <c r="S19" s="239" t="n"/>
      <c r="T19" s="239" t="n"/>
      <c r="U19" s="239" t="n"/>
      <c r="V19" s="239" t="n"/>
      <c r="W19" s="239" t="n"/>
      <c r="X19" s="239" t="n"/>
      <c r="Y19" s="239" t="n"/>
      <c r="Z19" s="239" t="n"/>
      <c r="AA19" s="239" t="n"/>
      <c r="AB19" s="239" t="n"/>
      <c r="AC19" s="239" t="n"/>
      <c r="AD19" s="239" t="n"/>
      <c r="AE19" s="239" t="n"/>
      <c r="AF19" s="239" t="n"/>
      <c r="AG19" s="239" t="n"/>
      <c r="AH19" s="239" t="n"/>
      <c r="AI19" s="239" t="n"/>
      <c r="AJ19" s="239" t="n"/>
      <c r="AK19" s="239" t="n"/>
      <c r="AL19" s="239" t="n"/>
      <c r="AM19" s="239" t="n"/>
      <c r="AN19" s="239" t="n"/>
      <c r="AO19" s="239" t="n"/>
    </row>
    <row r="20">
      <c r="A20" s="256" t="n"/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  <c r="N20" s="256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6" t="n"/>
      <c r="Y20" s="256" t="n"/>
      <c r="Z20" s="256" t="n"/>
      <c r="AA20" s="256" t="n"/>
      <c r="AB20" s="256" t="n"/>
      <c r="AC20" s="256" t="n"/>
      <c r="AD20" s="256" t="n"/>
      <c r="AE20" s="256" t="n"/>
      <c r="AF20" s="256" t="n"/>
      <c r="AG20" s="256" t="n"/>
      <c r="AH20" s="256" t="n"/>
      <c r="AI20" s="256" t="n"/>
      <c r="AJ20" s="256" t="n"/>
      <c r="AK20" s="256" t="n"/>
      <c r="AL20" s="256" t="n"/>
      <c r="AM20" s="256" t="n"/>
      <c r="AN20" s="256" t="n"/>
      <c r="AO20" s="256" t="n"/>
    </row>
    <row r="21">
      <c r="A21" s="239" t="n"/>
      <c r="B21" s="239" t="n"/>
      <c r="C21" s="239" t="n"/>
      <c r="D21" s="239" t="n"/>
      <c r="E21" s="239" t="n"/>
      <c r="F21" s="239" t="n"/>
      <c r="G21" s="239" t="n"/>
      <c r="H21" s="239" t="n"/>
      <c r="I21" s="239" t="n"/>
      <c r="J21" s="239" t="n"/>
      <c r="K21" s="239" t="n"/>
      <c r="L21" s="239" t="n"/>
      <c r="M21" s="239" t="n"/>
      <c r="N21" s="239" t="n"/>
      <c r="O21" s="239" t="n"/>
      <c r="P21" s="239" t="n"/>
      <c r="Q21" s="239" t="n"/>
      <c r="R21" s="239" t="n"/>
      <c r="S21" s="239" t="n"/>
      <c r="T21" s="239" t="n"/>
      <c r="U21" s="239" t="n"/>
      <c r="V21" s="239" t="n"/>
      <c r="W21" s="239" t="n"/>
      <c r="X21" s="239" t="n"/>
      <c r="Y21" s="239" t="n"/>
      <c r="Z21" s="239" t="n"/>
      <c r="AA21" s="239" t="n"/>
      <c r="AB21" s="239" t="n"/>
      <c r="AC21" s="239" t="n"/>
      <c r="AD21" s="239" t="n"/>
      <c r="AE21" s="239" t="n"/>
      <c r="AF21" s="239" t="n"/>
      <c r="AG21" s="239" t="n"/>
      <c r="AH21" s="239" t="n"/>
      <c r="AI21" s="239" t="n"/>
      <c r="AJ21" s="239" t="n"/>
      <c r="AK21" s="239" t="n"/>
      <c r="AL21" s="239" t="n"/>
      <c r="AM21" s="239" t="n"/>
      <c r="AN21" s="239" t="n"/>
      <c r="AO21" s="239" t="n"/>
    </row>
    <row r="22">
      <c r="A22" s="256" t="n"/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I22" s="256" t="n"/>
      <c r="AJ22" s="256" t="n"/>
      <c r="AK22" s="256" t="n"/>
      <c r="AL22" s="256" t="n"/>
      <c r="AM22" s="256" t="n"/>
      <c r="AN22" s="256" t="n"/>
      <c r="AO22" s="256" t="n"/>
    </row>
    <row r="23">
      <c r="A23" s="239" t="n"/>
      <c r="B23" s="239" t="n"/>
      <c r="C23" s="239" t="n"/>
      <c r="D23" s="239" t="n"/>
      <c r="E23" s="239" t="n"/>
      <c r="F23" s="239" t="n"/>
      <c r="G23" s="239" t="n"/>
      <c r="H23" s="239" t="n"/>
      <c r="I23" s="239" t="n"/>
      <c r="J23" s="239" t="n"/>
      <c r="K23" s="239" t="n"/>
      <c r="L23" s="239" t="n"/>
      <c r="M23" s="239" t="n"/>
      <c r="N23" s="239" t="n"/>
      <c r="O23" s="239" t="n"/>
      <c r="P23" s="239" t="n"/>
      <c r="Q23" s="239" t="n"/>
      <c r="R23" s="239" t="n"/>
      <c r="S23" s="239" t="n"/>
      <c r="T23" s="239" t="n"/>
      <c r="U23" s="239" t="n"/>
      <c r="V23" s="239" t="n"/>
      <c r="W23" s="239" t="n"/>
      <c r="X23" s="239" t="n"/>
      <c r="Y23" s="239" t="n"/>
      <c r="Z23" s="239" t="n"/>
      <c r="AA23" s="239" t="n"/>
      <c r="AB23" s="239" t="n"/>
      <c r="AC23" s="239" t="n"/>
      <c r="AD23" s="239" t="n"/>
      <c r="AE23" s="239" t="n"/>
      <c r="AF23" s="239" t="n"/>
      <c r="AG23" s="239" t="n"/>
      <c r="AH23" s="239" t="n"/>
      <c r="AI23" s="239" t="n"/>
      <c r="AJ23" s="239" t="n"/>
      <c r="AK23" s="239" t="n"/>
      <c r="AL23" s="239" t="n"/>
      <c r="AM23" s="239" t="n"/>
      <c r="AN23" s="239" t="n"/>
      <c r="AO23" s="239" t="n"/>
    </row>
    <row r="24">
      <c r="A24" s="256" t="n"/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  <c r="N24" s="256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256" t="n"/>
      <c r="AJ24" s="256" t="n"/>
      <c r="AK24" s="256" t="n"/>
      <c r="AL24" s="256" t="n"/>
      <c r="AM24" s="256" t="n"/>
      <c r="AN24" s="256" t="n"/>
      <c r="AO24" s="256" t="n"/>
    </row>
    <row r="25">
      <c r="A25" s="239" t="n"/>
      <c r="B25" s="239" t="n"/>
      <c r="C25" s="239" t="n"/>
      <c r="D25" s="239" t="n"/>
      <c r="E25" s="239" t="n"/>
      <c r="F25" s="239" t="n"/>
      <c r="G25" s="239" t="n"/>
      <c r="H25" s="239" t="n"/>
      <c r="I25" s="239" t="n"/>
      <c r="J25" s="239" t="n"/>
      <c r="K25" s="239" t="n"/>
      <c r="L25" s="239" t="n"/>
      <c r="M25" s="239" t="n"/>
      <c r="N25" s="239" t="n"/>
      <c r="O25" s="239" t="n"/>
      <c r="P25" s="239" t="n"/>
      <c r="Q25" s="239" t="n"/>
      <c r="R25" s="239" t="n"/>
      <c r="S25" s="239" t="n"/>
      <c r="T25" s="239" t="n"/>
      <c r="U25" s="239" t="n"/>
      <c r="V25" s="239" t="n"/>
      <c r="W25" s="239" t="n"/>
      <c r="X25" s="239" t="n"/>
      <c r="Y25" s="239" t="n"/>
      <c r="Z25" s="239" t="n"/>
      <c r="AA25" s="239" t="n"/>
      <c r="AB25" s="239" t="n"/>
      <c r="AC25" s="239" t="n"/>
      <c r="AD25" s="239" t="n"/>
      <c r="AE25" s="239" t="n"/>
      <c r="AF25" s="239" t="n"/>
      <c r="AG25" s="239" t="n"/>
      <c r="AH25" s="239" t="n"/>
      <c r="AI25" s="239" t="n"/>
      <c r="AJ25" s="239" t="n"/>
      <c r="AK25" s="239" t="n"/>
      <c r="AL25" s="239" t="n"/>
      <c r="AM25" s="239" t="n"/>
      <c r="AN25" s="239" t="n"/>
      <c r="AO25" s="239" t="n"/>
    </row>
    <row r="26">
      <c r="A26" s="256" t="n"/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  <c r="N26" s="256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6" t="n"/>
      <c r="Y26" s="256" t="n"/>
      <c r="Z26" s="256" t="n"/>
      <c r="AA26" s="256" t="n"/>
      <c r="AB26" s="256" t="n"/>
      <c r="AC26" s="256" t="n"/>
      <c r="AD26" s="256" t="n"/>
      <c r="AE26" s="256" t="n"/>
      <c r="AF26" s="256" t="n"/>
      <c r="AG26" s="256" t="n"/>
      <c r="AH26" s="256" t="n"/>
      <c r="AI26" s="256" t="n"/>
      <c r="AJ26" s="256" t="n"/>
      <c r="AK26" s="256" t="n"/>
      <c r="AL26" s="256" t="n"/>
      <c r="AM26" s="256" t="n"/>
      <c r="AN26" s="256" t="n"/>
      <c r="AO26" s="256" t="n"/>
    </row>
    <row r="27">
      <c r="A27" s="239" t="n"/>
      <c r="B27" s="239" t="n"/>
      <c r="C27" s="239" t="n"/>
      <c r="D27" s="239" t="n"/>
      <c r="E27" s="239" t="n"/>
      <c r="F27" s="239" t="n"/>
      <c r="G27" s="239" t="n"/>
      <c r="H27" s="239" t="n"/>
      <c r="I27" s="239" t="n"/>
      <c r="J27" s="239" t="n"/>
      <c r="K27" s="239" t="n"/>
      <c r="L27" s="239" t="n"/>
      <c r="M27" s="239" t="n"/>
      <c r="N27" s="239" t="n"/>
      <c r="O27" s="239" t="n"/>
      <c r="P27" s="239" t="n"/>
      <c r="Q27" s="239" t="n"/>
      <c r="R27" s="239" t="n"/>
      <c r="S27" s="239" t="n"/>
      <c r="T27" s="239" t="n"/>
      <c r="U27" s="239" t="n"/>
      <c r="V27" s="239" t="n"/>
      <c r="W27" s="239" t="n"/>
      <c r="X27" s="239" t="n"/>
      <c r="Y27" s="239" t="n"/>
      <c r="Z27" s="239" t="n"/>
      <c r="AA27" s="239" t="n"/>
      <c r="AB27" s="239" t="n"/>
      <c r="AC27" s="239" t="n"/>
      <c r="AD27" s="239" t="n"/>
      <c r="AE27" s="239" t="n"/>
      <c r="AF27" s="239" t="n"/>
      <c r="AG27" s="239" t="n"/>
      <c r="AH27" s="239" t="n"/>
      <c r="AI27" s="239" t="n"/>
      <c r="AJ27" s="239" t="n"/>
      <c r="AK27" s="239" t="n"/>
      <c r="AL27" s="239" t="n"/>
      <c r="AM27" s="239" t="n"/>
      <c r="AN27" s="239" t="n"/>
      <c r="AO27" s="239" t="n"/>
    </row>
    <row r="28">
      <c r="A28" s="256" t="n"/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  <c r="N28" s="256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6" t="n"/>
      <c r="Y28" s="256" t="n"/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I28" s="256" t="n"/>
      <c r="AJ28" s="256" t="n"/>
      <c r="AK28" s="256" t="n"/>
      <c r="AL28" s="256" t="n"/>
      <c r="AM28" s="256" t="n"/>
      <c r="AN28" s="256" t="n"/>
      <c r="AO28" s="256" t="n"/>
    </row>
    <row r="29">
      <c r="A29" s="239" t="n"/>
      <c r="B29" s="239" t="n"/>
      <c r="C29" s="239" t="n"/>
      <c r="D29" s="239" t="n"/>
      <c r="E29" s="239" t="n"/>
      <c r="F29" s="239" t="n"/>
      <c r="G29" s="239" t="n"/>
      <c r="H29" s="239" t="n"/>
      <c r="I29" s="239" t="n"/>
      <c r="J29" s="239" t="n"/>
      <c r="K29" s="239" t="n"/>
      <c r="L29" s="239" t="n"/>
      <c r="M29" s="239" t="n"/>
      <c r="N29" s="239" t="n"/>
      <c r="O29" s="239" t="n"/>
      <c r="P29" s="239" t="n"/>
      <c r="Q29" s="239" t="n"/>
      <c r="R29" s="239" t="n"/>
      <c r="S29" s="239" t="n"/>
      <c r="T29" s="239" t="n"/>
      <c r="U29" s="239" t="n"/>
      <c r="V29" s="239" t="n"/>
      <c r="W29" s="239" t="n"/>
      <c r="X29" s="239" t="n"/>
      <c r="Y29" s="239" t="n"/>
      <c r="Z29" s="239" t="n"/>
      <c r="AA29" s="239" t="n"/>
      <c r="AB29" s="239" t="n"/>
      <c r="AC29" s="239" t="n"/>
      <c r="AD29" s="239" t="n"/>
      <c r="AE29" s="239" t="n"/>
      <c r="AF29" s="239" t="n"/>
      <c r="AG29" s="239" t="n"/>
      <c r="AH29" s="239" t="n"/>
      <c r="AI29" s="239" t="n"/>
      <c r="AJ29" s="239" t="n"/>
      <c r="AK29" s="239" t="n"/>
      <c r="AL29" s="239" t="n"/>
      <c r="AM29" s="239" t="n"/>
      <c r="AN29" s="239" t="n"/>
      <c r="AO29" s="239" t="n"/>
    </row>
    <row r="30">
      <c r="A30" s="256" t="n"/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  <c r="N30" s="256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6" t="n"/>
      <c r="Y30" s="256" t="n"/>
      <c r="Z30" s="256" t="n"/>
      <c r="AA30" s="256" t="n"/>
      <c r="AB30" s="256" t="n"/>
      <c r="AC30" s="256" t="n"/>
      <c r="AD30" s="256" t="n"/>
      <c r="AE30" s="256" t="n"/>
      <c r="AF30" s="256" t="n"/>
      <c r="AG30" s="256" t="n"/>
      <c r="AH30" s="256" t="n"/>
      <c r="AI30" s="256" t="n"/>
      <c r="AJ30" s="256" t="n"/>
      <c r="AK30" s="256" t="n"/>
      <c r="AL30" s="256" t="n"/>
      <c r="AM30" s="256" t="n"/>
      <c r="AN30" s="256" t="n"/>
      <c r="AO30" s="256" t="n"/>
    </row>
    <row r="31">
      <c r="A31" s="239" t="n"/>
      <c r="B31" s="239" t="n"/>
      <c r="C31" s="239" t="n"/>
      <c r="D31" s="239" t="n"/>
      <c r="E31" s="239" t="n"/>
      <c r="F31" s="239" t="n"/>
      <c r="G31" s="239" t="n"/>
      <c r="H31" s="239" t="n"/>
      <c r="I31" s="239" t="n"/>
      <c r="J31" s="239" t="n"/>
      <c r="K31" s="239" t="n"/>
      <c r="L31" s="239" t="n"/>
      <c r="M31" s="239" t="n"/>
      <c r="N31" s="239" t="n"/>
      <c r="O31" s="239" t="n"/>
      <c r="P31" s="239" t="n"/>
      <c r="Q31" s="239" t="n"/>
      <c r="R31" s="239" t="n"/>
      <c r="S31" s="239" t="n"/>
      <c r="T31" s="239" t="n"/>
      <c r="U31" s="239" t="n"/>
      <c r="V31" s="239" t="n"/>
      <c r="W31" s="239" t="n"/>
      <c r="X31" s="239" t="n"/>
      <c r="Y31" s="239" t="n"/>
      <c r="Z31" s="239" t="n"/>
      <c r="AA31" s="239" t="n"/>
      <c r="AB31" s="239" t="n"/>
      <c r="AC31" s="239" t="n"/>
      <c r="AD31" s="239" t="n"/>
      <c r="AE31" s="239" t="n"/>
      <c r="AF31" s="239" t="n"/>
      <c r="AG31" s="239" t="n"/>
      <c r="AH31" s="239" t="n"/>
      <c r="AI31" s="239" t="n"/>
      <c r="AJ31" s="239" t="n"/>
      <c r="AK31" s="239" t="n"/>
      <c r="AL31" s="239" t="n"/>
      <c r="AM31" s="239" t="n"/>
      <c r="AN31" s="239" t="n"/>
      <c r="AO31" s="239" t="n"/>
    </row>
    <row r="32">
      <c r="A32" s="256" t="n"/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  <c r="N32" s="256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6" t="n"/>
      <c r="Y32" s="256" t="n"/>
      <c r="Z32" s="256" t="n"/>
      <c r="AA32" s="256" t="n"/>
      <c r="AB32" s="256" t="n"/>
      <c r="AC32" s="256" t="n"/>
      <c r="AD32" s="256" t="n"/>
      <c r="AE32" s="256" t="n"/>
      <c r="AF32" s="256" t="n"/>
      <c r="AG32" s="256" t="n"/>
      <c r="AH32" s="256" t="n"/>
      <c r="AI32" s="256" t="n"/>
      <c r="AJ32" s="256" t="n"/>
      <c r="AK32" s="256" t="n"/>
      <c r="AL32" s="256" t="n"/>
      <c r="AM32" s="256" t="n"/>
      <c r="AN32" s="256" t="n"/>
      <c r="AO32" s="256" t="n"/>
    </row>
    <row r="33">
      <c r="A33" s="239" t="n"/>
      <c r="B33" s="239" t="n"/>
      <c r="C33" s="239" t="n"/>
      <c r="D33" s="239" t="n"/>
      <c r="E33" s="239" t="n"/>
      <c r="F33" s="239" t="n"/>
      <c r="G33" s="239" t="n"/>
      <c r="H33" s="239" t="n"/>
      <c r="I33" s="239" t="n"/>
      <c r="J33" s="239" t="n"/>
      <c r="K33" s="239" t="n"/>
      <c r="L33" s="239" t="n"/>
      <c r="M33" s="239" t="n"/>
      <c r="N33" s="239" t="n"/>
      <c r="O33" s="239" t="n"/>
      <c r="P33" s="239" t="n"/>
      <c r="Q33" s="239" t="n"/>
      <c r="R33" s="239" t="n"/>
      <c r="S33" s="239" t="n"/>
      <c r="T33" s="239" t="n"/>
      <c r="U33" s="239" t="n"/>
      <c r="V33" s="239" t="n"/>
      <c r="W33" s="239" t="n"/>
      <c r="X33" s="239" t="n"/>
      <c r="Y33" s="239" t="n"/>
      <c r="Z33" s="239" t="n"/>
      <c r="AA33" s="239" t="n"/>
      <c r="AB33" s="239" t="n"/>
      <c r="AC33" s="239" t="n"/>
      <c r="AD33" s="239" t="n"/>
      <c r="AE33" s="239" t="n"/>
      <c r="AF33" s="239" t="n"/>
      <c r="AG33" s="239" t="n"/>
      <c r="AH33" s="239" t="n"/>
      <c r="AI33" s="239" t="n"/>
      <c r="AJ33" s="239" t="n"/>
      <c r="AK33" s="239" t="n"/>
      <c r="AL33" s="239" t="n"/>
      <c r="AM33" s="239" t="n"/>
      <c r="AN33" s="239" t="n"/>
      <c r="AO33" s="239" t="n"/>
    </row>
    <row r="34">
      <c r="A34" s="256" t="n"/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  <c r="N34" s="25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6" t="n"/>
      <c r="Y34" s="256" t="n"/>
      <c r="Z34" s="256" t="n"/>
      <c r="AA34" s="256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56" t="n"/>
      <c r="AL34" s="256" t="n"/>
      <c r="AM34" s="256" t="n"/>
      <c r="AN34" s="256" t="n"/>
      <c r="AO34" s="256" t="n"/>
    </row>
    <row r="35">
      <c r="A35" s="239" t="n"/>
      <c r="B35" s="239" t="n"/>
      <c r="C35" s="239" t="n"/>
      <c r="D35" s="239" t="n"/>
      <c r="E35" s="239" t="n"/>
      <c r="F35" s="239" t="n"/>
      <c r="G35" s="239" t="n"/>
      <c r="H35" s="239" t="n"/>
      <c r="I35" s="239" t="n"/>
      <c r="J35" s="239" t="n"/>
      <c r="K35" s="239" t="n"/>
      <c r="L35" s="239" t="n"/>
      <c r="M35" s="239" t="n"/>
      <c r="N35" s="239" t="n"/>
      <c r="O35" s="239" t="n"/>
      <c r="P35" s="239" t="n"/>
      <c r="Q35" s="239" t="n"/>
      <c r="R35" s="239" t="n"/>
      <c r="S35" s="239" t="n"/>
      <c r="T35" s="239" t="n"/>
      <c r="U35" s="239" t="n"/>
      <c r="V35" s="239" t="n"/>
      <c r="W35" s="239" t="n"/>
      <c r="X35" s="239" t="n"/>
      <c r="Y35" s="239" t="n"/>
      <c r="Z35" s="239" t="n"/>
      <c r="AA35" s="239" t="n"/>
      <c r="AB35" s="239" t="n"/>
      <c r="AC35" s="239" t="n"/>
      <c r="AD35" s="239" t="n"/>
      <c r="AE35" s="239" t="n"/>
      <c r="AF35" s="239" t="n"/>
      <c r="AG35" s="239" t="n"/>
      <c r="AH35" s="239" t="n"/>
      <c r="AI35" s="239" t="n"/>
      <c r="AJ35" s="239" t="n"/>
      <c r="AK35" s="239" t="n"/>
      <c r="AL35" s="239" t="n"/>
      <c r="AM35" s="239" t="n"/>
      <c r="AN35" s="239" t="n"/>
      <c r="AO35" s="239" t="n"/>
    </row>
    <row r="36">
      <c r="A36" s="256" t="n"/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  <c r="N36" s="25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6" t="n"/>
      <c r="AK36" s="256" t="n"/>
      <c r="AL36" s="256" t="n"/>
      <c r="AM36" s="256" t="n"/>
      <c r="AN36" s="256" t="n"/>
      <c r="AO36" s="256" t="n"/>
    </row>
    <row r="37">
      <c r="A37" s="239" t="n"/>
      <c r="B37" s="239" t="n"/>
      <c r="C37" s="239" t="n"/>
      <c r="D37" s="239" t="n"/>
      <c r="E37" s="239" t="n"/>
      <c r="F37" s="239" t="n"/>
      <c r="G37" s="239" t="n"/>
      <c r="H37" s="239" t="n"/>
      <c r="I37" s="239" t="n"/>
      <c r="J37" s="239" t="n"/>
      <c r="K37" s="239" t="n"/>
      <c r="L37" s="239" t="n"/>
      <c r="M37" s="239" t="n"/>
      <c r="N37" s="239" t="n"/>
      <c r="O37" s="239" t="n"/>
      <c r="P37" s="239" t="n"/>
      <c r="Q37" s="239" t="n"/>
      <c r="R37" s="239" t="n"/>
      <c r="S37" s="239" t="n"/>
      <c r="T37" s="239" t="n"/>
      <c r="U37" s="239" t="n"/>
      <c r="V37" s="239" t="n"/>
      <c r="W37" s="239" t="n"/>
      <c r="X37" s="239" t="n"/>
      <c r="Y37" s="239" t="n"/>
      <c r="Z37" s="239" t="n"/>
      <c r="AA37" s="239" t="n"/>
      <c r="AB37" s="239" t="n"/>
      <c r="AC37" s="239" t="n"/>
      <c r="AD37" s="239" t="n"/>
      <c r="AE37" s="239" t="n"/>
      <c r="AF37" s="239" t="n"/>
      <c r="AG37" s="239" t="n"/>
      <c r="AH37" s="239" t="n"/>
      <c r="AI37" s="239" t="n"/>
      <c r="AJ37" s="239" t="n"/>
      <c r="AK37" s="239" t="n"/>
      <c r="AL37" s="239" t="n"/>
      <c r="AM37" s="239" t="n"/>
      <c r="AN37" s="239" t="n"/>
      <c r="AO37" s="239" t="n"/>
    </row>
    <row r="38">
      <c r="A38" s="256" t="n"/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I38" s="256" t="n"/>
      <c r="AJ38" s="256" t="n"/>
      <c r="AK38" s="256" t="n"/>
      <c r="AL38" s="256" t="n"/>
      <c r="AM38" s="256" t="n"/>
      <c r="AN38" s="256" t="n"/>
      <c r="AO38" s="256" t="n"/>
    </row>
    <row r="39">
      <c r="A39" s="239" t="n"/>
      <c r="B39" s="239" t="n"/>
      <c r="C39" s="239" t="n"/>
      <c r="D39" s="239" t="n"/>
      <c r="E39" s="239" t="n"/>
      <c r="F39" s="239" t="n"/>
      <c r="G39" s="239" t="n"/>
      <c r="H39" s="239" t="n"/>
      <c r="I39" s="239" t="n"/>
      <c r="J39" s="239" t="n"/>
      <c r="K39" s="239" t="n"/>
      <c r="L39" s="239" t="n"/>
      <c r="M39" s="239" t="n"/>
      <c r="N39" s="239" t="n"/>
      <c r="O39" s="239" t="n"/>
      <c r="P39" s="239" t="n"/>
      <c r="Q39" s="239" t="n"/>
      <c r="R39" s="239" t="n"/>
      <c r="S39" s="239" t="n"/>
      <c r="T39" s="239" t="n"/>
      <c r="U39" s="239" t="n"/>
      <c r="V39" s="239" t="n"/>
      <c r="W39" s="239" t="n"/>
      <c r="X39" s="239" t="n"/>
      <c r="Y39" s="239" t="n"/>
      <c r="Z39" s="239" t="n"/>
      <c r="AA39" s="239" t="n"/>
      <c r="AB39" s="239" t="n"/>
      <c r="AC39" s="239" t="n"/>
      <c r="AD39" s="239" t="n"/>
      <c r="AE39" s="239" t="n"/>
      <c r="AF39" s="239" t="n"/>
      <c r="AG39" s="239" t="n"/>
      <c r="AH39" s="239" t="n"/>
      <c r="AI39" s="239" t="n"/>
      <c r="AJ39" s="239" t="n"/>
      <c r="AK39" s="239" t="n"/>
      <c r="AL39" s="239" t="n"/>
      <c r="AM39" s="239" t="n"/>
      <c r="AN39" s="239" t="n"/>
      <c r="AO39" s="239" t="n"/>
    </row>
    <row r="40">
      <c r="A40" s="256" t="n"/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  <c r="N40" s="25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6" t="n"/>
      <c r="Y40" s="256" t="n"/>
      <c r="Z40" s="256" t="n"/>
      <c r="AA40" s="256" t="n"/>
      <c r="AB40" s="256" t="n"/>
      <c r="AC40" s="256" t="n"/>
      <c r="AD40" s="256" t="n"/>
      <c r="AE40" s="256" t="n"/>
      <c r="AF40" s="256" t="n"/>
      <c r="AG40" s="256" t="n"/>
      <c r="AH40" s="256" t="n"/>
      <c r="AI40" s="256" t="n"/>
      <c r="AJ40" s="256" t="n"/>
      <c r="AK40" s="256" t="n"/>
      <c r="AL40" s="256" t="n"/>
      <c r="AM40" s="256" t="n"/>
      <c r="AN40" s="256" t="n"/>
      <c r="AO40" s="256" t="n"/>
    </row>
    <row r="41">
      <c r="A41" s="239" t="n"/>
      <c r="B41" s="239" t="n"/>
      <c r="C41" s="239" t="n"/>
      <c r="D41" s="239" t="n"/>
      <c r="E41" s="239" t="n"/>
      <c r="F41" s="239" t="n"/>
      <c r="G41" s="239" t="n"/>
      <c r="H41" s="239" t="n"/>
      <c r="I41" s="239" t="n"/>
      <c r="J41" s="239" t="n"/>
      <c r="K41" s="239" t="n"/>
      <c r="L41" s="239" t="n"/>
      <c r="M41" s="239" t="n"/>
      <c r="N41" s="239" t="n"/>
      <c r="O41" s="239" t="n"/>
      <c r="P41" s="239" t="n"/>
      <c r="Q41" s="239" t="n"/>
      <c r="R41" s="239" t="n"/>
      <c r="S41" s="239" t="n"/>
      <c r="T41" s="239" t="n"/>
      <c r="U41" s="239" t="n"/>
      <c r="V41" s="239" t="n"/>
      <c r="W41" s="239" t="n"/>
      <c r="X41" s="239" t="n"/>
      <c r="Y41" s="239" t="n"/>
      <c r="Z41" s="239" t="n"/>
      <c r="AA41" s="239" t="n"/>
      <c r="AB41" s="239" t="n"/>
      <c r="AC41" s="239" t="n"/>
      <c r="AD41" s="239" t="n"/>
      <c r="AE41" s="239" t="n"/>
      <c r="AF41" s="239" t="n"/>
      <c r="AG41" s="239" t="n"/>
      <c r="AH41" s="239" t="n"/>
      <c r="AI41" s="239" t="n"/>
      <c r="AJ41" s="239" t="n"/>
      <c r="AK41" s="239" t="n"/>
      <c r="AL41" s="239" t="n"/>
      <c r="AM41" s="239" t="n"/>
      <c r="AN41" s="239" t="n"/>
      <c r="AO41" s="239" t="n"/>
    </row>
    <row r="42">
      <c r="A42" s="256" t="n"/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256" t="n"/>
      <c r="O42" s="256" t="n"/>
      <c r="P42" s="256" t="n"/>
      <c r="Q42" s="256" t="n"/>
      <c r="R42" s="256" t="n"/>
      <c r="S42" s="256" t="n"/>
      <c r="T42" s="256" t="n"/>
      <c r="U42" s="256" t="n"/>
      <c r="V42" s="256" t="n"/>
      <c r="W42" s="256" t="n"/>
      <c r="X42" s="256" t="n"/>
      <c r="Y42" s="256" t="n"/>
      <c r="Z42" s="256" t="n"/>
      <c r="AA42" s="256" t="n"/>
      <c r="AB42" s="256" t="n"/>
      <c r="AC42" s="256" t="n"/>
      <c r="AD42" s="256" t="n"/>
      <c r="AE42" s="256" t="n"/>
      <c r="AF42" s="256" t="n"/>
      <c r="AG42" s="256" t="n"/>
      <c r="AH42" s="256" t="n"/>
      <c r="AI42" s="256" t="n"/>
      <c r="AJ42" s="256" t="n"/>
      <c r="AK42" s="256" t="n"/>
      <c r="AL42" s="256" t="n"/>
      <c r="AM42" s="256" t="n"/>
      <c r="AN42" s="256" t="n"/>
      <c r="AO42" s="256" t="n"/>
    </row>
    <row r="43">
      <c r="A43" s="239" t="n"/>
      <c r="B43" s="239" t="n"/>
      <c r="C43" s="239" t="n"/>
      <c r="D43" s="239" t="n"/>
      <c r="E43" s="239" t="n"/>
      <c r="F43" s="239" t="n"/>
      <c r="G43" s="239" t="n"/>
      <c r="H43" s="239" t="n"/>
      <c r="I43" s="239" t="n"/>
      <c r="J43" s="239" t="n"/>
      <c r="K43" s="239" t="n"/>
      <c r="L43" s="239" t="n"/>
      <c r="M43" s="239" t="n"/>
      <c r="N43" s="239" t="n"/>
      <c r="O43" s="239" t="n"/>
      <c r="P43" s="239" t="n"/>
      <c r="Q43" s="239" t="n"/>
      <c r="R43" s="239" t="n"/>
      <c r="S43" s="239" t="n"/>
      <c r="T43" s="239" t="n"/>
      <c r="U43" s="239" t="n"/>
      <c r="V43" s="239" t="n"/>
      <c r="W43" s="239" t="n"/>
      <c r="X43" s="239" t="n"/>
      <c r="Y43" s="239" t="n"/>
      <c r="Z43" s="239" t="n"/>
      <c r="AA43" s="239" t="n"/>
      <c r="AB43" s="239" t="n"/>
      <c r="AC43" s="239" t="n"/>
      <c r="AD43" s="239" t="n"/>
      <c r="AE43" s="239" t="n"/>
      <c r="AF43" s="239" t="n"/>
      <c r="AG43" s="239" t="n"/>
      <c r="AH43" s="239" t="n"/>
      <c r="AI43" s="239" t="n"/>
      <c r="AJ43" s="239" t="n"/>
      <c r="AK43" s="239" t="n"/>
      <c r="AL43" s="239" t="n"/>
      <c r="AM43" s="239" t="n"/>
      <c r="AN43" s="239" t="n"/>
      <c r="AO43" s="239" t="n"/>
    </row>
    <row r="44">
      <c r="A44" s="256" t="n"/>
      <c r="B44" s="256" t="n"/>
      <c r="C44" s="256" t="n"/>
      <c r="D44" s="256" t="n"/>
      <c r="E44" s="256" t="n"/>
      <c r="F44" s="256" t="n"/>
      <c r="G44" s="256" t="n"/>
      <c r="H44" s="256" t="n"/>
      <c r="I44" s="256" t="n"/>
      <c r="J44" s="256" t="n"/>
      <c r="K44" s="256" t="n"/>
      <c r="L44" s="256" t="n"/>
      <c r="M44" s="256" t="n"/>
      <c r="N44" s="256" t="n"/>
      <c r="O44" s="256" t="n"/>
      <c r="P44" s="256" t="n"/>
      <c r="Q44" s="256" t="n"/>
      <c r="R44" s="256" t="n"/>
      <c r="S44" s="256" t="n"/>
      <c r="T44" s="256" t="n"/>
      <c r="U44" s="256" t="n"/>
      <c r="V44" s="256" t="n"/>
      <c r="W44" s="256" t="n"/>
      <c r="X44" s="256" t="n"/>
      <c r="Y44" s="256" t="n"/>
      <c r="Z44" s="256" t="n"/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6" t="n"/>
      <c r="AK44" s="256" t="n"/>
      <c r="AL44" s="256" t="n"/>
      <c r="AM44" s="256" t="n"/>
      <c r="AN44" s="256" t="n"/>
      <c r="AO44" s="256" t="n"/>
    </row>
    <row r="45">
      <c r="A45" s="239" t="n"/>
      <c r="B45" s="239" t="n"/>
      <c r="C45" s="239" t="n"/>
      <c r="D45" s="239" t="n"/>
      <c r="E45" s="239" t="n"/>
      <c r="F45" s="239" t="n"/>
      <c r="G45" s="239" t="n"/>
      <c r="H45" s="239" t="n"/>
      <c r="I45" s="239" t="n"/>
      <c r="J45" s="239" t="n"/>
      <c r="K45" s="239" t="n"/>
      <c r="L45" s="239" t="n"/>
      <c r="M45" s="239" t="n"/>
      <c r="N45" s="239" t="n"/>
      <c r="O45" s="239" t="n"/>
      <c r="P45" s="239" t="n"/>
      <c r="Q45" s="239" t="n"/>
      <c r="R45" s="239" t="n"/>
      <c r="S45" s="239" t="n"/>
      <c r="T45" s="239" t="n"/>
      <c r="U45" s="239" t="n"/>
      <c r="V45" s="239" t="n"/>
      <c r="W45" s="239" t="n"/>
      <c r="X45" s="239" t="n"/>
      <c r="Y45" s="239" t="n"/>
      <c r="Z45" s="239" t="n"/>
      <c r="AA45" s="239" t="n"/>
      <c r="AB45" s="239" t="n"/>
      <c r="AC45" s="239" t="n"/>
      <c r="AD45" s="239" t="n"/>
      <c r="AE45" s="239" t="n"/>
      <c r="AF45" s="239" t="n"/>
      <c r="AG45" s="239" t="n"/>
      <c r="AH45" s="239" t="n"/>
      <c r="AI45" s="239" t="n"/>
      <c r="AJ45" s="239" t="n"/>
      <c r="AK45" s="239" t="n"/>
      <c r="AL45" s="239" t="n"/>
      <c r="AM45" s="239" t="n"/>
      <c r="AN45" s="239" t="n"/>
      <c r="AO45" s="239" t="n"/>
    </row>
    <row r="46">
      <c r="A46" s="256" t="n"/>
      <c r="B46" s="256" t="n"/>
      <c r="C46" s="256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6" t="n"/>
      <c r="P46" s="256" t="n"/>
      <c r="Q46" s="256" t="n"/>
      <c r="R46" s="256" t="n"/>
      <c r="S46" s="256" t="n"/>
      <c r="T46" s="256" t="n"/>
      <c r="U46" s="256" t="n"/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n"/>
      <c r="AI46" s="256" t="n"/>
      <c r="AJ46" s="256" t="n"/>
      <c r="AK46" s="256" t="n"/>
      <c r="AL46" s="256" t="n"/>
      <c r="AM46" s="256" t="n"/>
      <c r="AN46" s="256" t="n"/>
      <c r="AO46" s="256" t="n"/>
    </row>
    <row r="47">
      <c r="A47" s="239" t="n"/>
      <c r="B47" s="239" t="n"/>
      <c r="C47" s="239" t="n"/>
      <c r="D47" s="239" t="n"/>
      <c r="E47" s="239" t="n"/>
      <c r="F47" s="239" t="n"/>
      <c r="G47" s="239" t="n"/>
      <c r="H47" s="239" t="n"/>
      <c r="I47" s="239" t="n"/>
      <c r="J47" s="239" t="n"/>
      <c r="K47" s="239" t="n"/>
      <c r="L47" s="239" t="n"/>
      <c r="M47" s="239" t="n"/>
      <c r="N47" s="239" t="n"/>
      <c r="O47" s="239" t="n"/>
      <c r="P47" s="239" t="n"/>
      <c r="Q47" s="239" t="n"/>
      <c r="R47" s="239" t="n"/>
      <c r="S47" s="239" t="n"/>
      <c r="T47" s="239" t="n"/>
      <c r="U47" s="239" t="n"/>
      <c r="V47" s="239" t="n"/>
      <c r="W47" s="239" t="n"/>
      <c r="X47" s="239" t="n"/>
      <c r="Y47" s="239" t="n"/>
      <c r="Z47" s="239" t="n"/>
      <c r="AA47" s="239" t="n"/>
      <c r="AB47" s="239" t="n"/>
      <c r="AC47" s="239" t="n"/>
      <c r="AD47" s="239" t="n"/>
      <c r="AE47" s="239" t="n"/>
      <c r="AF47" s="239" t="n"/>
      <c r="AG47" s="239" t="n"/>
      <c r="AH47" s="239" t="n"/>
      <c r="AI47" s="239" t="n"/>
      <c r="AJ47" s="239" t="n"/>
      <c r="AK47" s="239" t="n"/>
      <c r="AL47" s="239" t="n"/>
      <c r="AM47" s="239" t="n"/>
      <c r="AN47" s="239" t="n"/>
      <c r="AO47" s="239" t="n"/>
    </row>
    <row r="48">
      <c r="A48" s="256" t="n"/>
      <c r="B48" s="256" t="n"/>
      <c r="C48" s="256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I48" s="256" t="n"/>
      <c r="AJ48" s="256" t="n"/>
      <c r="AK48" s="256" t="n"/>
      <c r="AL48" s="256" t="n"/>
      <c r="AM48" s="256" t="n"/>
      <c r="AN48" s="256" t="n"/>
      <c r="AO48" s="256" t="n"/>
    </row>
    <row r="49">
      <c r="A49" s="239" t="n"/>
      <c r="B49" s="239" t="n"/>
      <c r="C49" s="239" t="n"/>
      <c r="D49" s="239" t="n"/>
      <c r="E49" s="239" t="n"/>
      <c r="F49" s="239" t="n"/>
      <c r="G49" s="239" t="n"/>
      <c r="H49" s="239" t="n"/>
      <c r="I49" s="239" t="n"/>
      <c r="J49" s="239" t="n"/>
      <c r="K49" s="239" t="n"/>
      <c r="L49" s="239" t="n"/>
      <c r="M49" s="239" t="n"/>
      <c r="N49" s="239" t="n"/>
      <c r="O49" s="239" t="n"/>
      <c r="P49" s="239" t="n"/>
      <c r="Q49" s="239" t="n"/>
      <c r="R49" s="239" t="n"/>
      <c r="S49" s="239" t="n"/>
      <c r="T49" s="239" t="n"/>
      <c r="U49" s="239" t="n"/>
      <c r="V49" s="239" t="n"/>
      <c r="W49" s="239" t="n"/>
      <c r="X49" s="239" t="n"/>
      <c r="Y49" s="239" t="n"/>
      <c r="Z49" s="239" t="n"/>
      <c r="AA49" s="239" t="n"/>
      <c r="AB49" s="239" t="n"/>
      <c r="AC49" s="239" t="n"/>
      <c r="AD49" s="239" t="n"/>
      <c r="AE49" s="239" t="n"/>
      <c r="AF49" s="239" t="n"/>
      <c r="AG49" s="239" t="n"/>
      <c r="AH49" s="239" t="n"/>
      <c r="AI49" s="239" t="n"/>
      <c r="AJ49" s="239" t="n"/>
      <c r="AK49" s="239" t="n"/>
      <c r="AL49" s="239" t="n"/>
      <c r="AM49" s="239" t="n"/>
      <c r="AN49" s="239" t="n"/>
      <c r="AO49" s="239" t="n"/>
    </row>
    <row r="50">
      <c r="A50" s="256" t="n"/>
      <c r="B50" s="256" t="n"/>
      <c r="C50" s="256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6" t="n"/>
      <c r="S50" s="256" t="n"/>
      <c r="T50" s="256" t="n"/>
      <c r="U50" s="256" t="n"/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  <c r="AI50" s="256" t="n"/>
      <c r="AJ50" s="256" t="n"/>
      <c r="AK50" s="256" t="n"/>
      <c r="AL50" s="256" t="n"/>
      <c r="AM50" s="256" t="n"/>
      <c r="AN50" s="256" t="n"/>
      <c r="AO50" s="256" t="n"/>
    </row>
    <row r="51">
      <c r="A51" s="239" t="n"/>
      <c r="B51" s="239" t="n"/>
      <c r="C51" s="239" t="n"/>
      <c r="D51" s="239" t="n"/>
      <c r="E51" s="239" t="n"/>
      <c r="F51" s="239" t="n"/>
      <c r="G51" s="239" t="n"/>
      <c r="H51" s="239" t="n"/>
      <c r="I51" s="239" t="n"/>
      <c r="J51" s="239" t="n"/>
      <c r="K51" s="239" t="n"/>
      <c r="L51" s="239" t="n"/>
      <c r="M51" s="239" t="n"/>
      <c r="N51" s="239" t="n"/>
      <c r="O51" s="239" t="n"/>
      <c r="P51" s="239" t="n"/>
      <c r="Q51" s="239" t="n"/>
      <c r="R51" s="239" t="n"/>
      <c r="S51" s="239" t="n"/>
      <c r="T51" s="239" t="n"/>
      <c r="U51" s="239" t="n"/>
      <c r="V51" s="239" t="n"/>
      <c r="W51" s="239" t="n"/>
      <c r="X51" s="239" t="n"/>
      <c r="Y51" s="239" t="n"/>
      <c r="Z51" s="239" t="n"/>
      <c r="AA51" s="239" t="n"/>
      <c r="AB51" s="239" t="n"/>
      <c r="AC51" s="239" t="n"/>
      <c r="AD51" s="239" t="n"/>
      <c r="AE51" s="239" t="n"/>
      <c r="AF51" s="239" t="n"/>
      <c r="AG51" s="239" t="n"/>
      <c r="AH51" s="239" t="n"/>
      <c r="AI51" s="239" t="n"/>
      <c r="AJ51" s="239" t="n"/>
      <c r="AK51" s="239" t="n"/>
      <c r="AL51" s="239" t="n"/>
      <c r="AM51" s="239" t="n"/>
      <c r="AN51" s="239" t="n"/>
      <c r="AO51" s="239" t="n"/>
    </row>
    <row r="52">
      <c r="A52" s="256" t="n"/>
      <c r="B52" s="256" t="n"/>
      <c r="C52" s="256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  <c r="M52" s="256" t="n"/>
      <c r="N52" s="256" t="n"/>
      <c r="O52" s="256" t="n"/>
      <c r="P52" s="256" t="n"/>
      <c r="Q52" s="256" t="n"/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  <c r="AI52" s="256" t="n"/>
      <c r="AJ52" s="256" t="n"/>
      <c r="AK52" s="256" t="n"/>
      <c r="AL52" s="256" t="n"/>
      <c r="AM52" s="256" t="n"/>
      <c r="AN52" s="256" t="n"/>
      <c r="AO52" s="256" t="n"/>
    </row>
    <row r="53">
      <c r="A53" s="239" t="n"/>
      <c r="B53" s="239" t="n"/>
      <c r="C53" s="239" t="n"/>
      <c r="D53" s="239" t="n"/>
      <c r="E53" s="239" t="n"/>
      <c r="F53" s="239" t="n"/>
      <c r="G53" s="239" t="n"/>
      <c r="H53" s="239" t="n"/>
      <c r="I53" s="239" t="n"/>
      <c r="J53" s="239" t="n"/>
      <c r="K53" s="239" t="n"/>
      <c r="L53" s="239" t="n"/>
      <c r="M53" s="239" t="n"/>
      <c r="N53" s="239" t="n"/>
      <c r="O53" s="239" t="n"/>
      <c r="P53" s="239" t="n"/>
      <c r="Q53" s="239" t="n"/>
      <c r="R53" s="239" t="n"/>
      <c r="S53" s="239" t="n"/>
      <c r="T53" s="239" t="n"/>
      <c r="U53" s="239" t="n"/>
      <c r="V53" s="239" t="n"/>
      <c r="W53" s="239" t="n"/>
      <c r="X53" s="239" t="n"/>
      <c r="Y53" s="239" t="n"/>
      <c r="Z53" s="239" t="n"/>
      <c r="AA53" s="239" t="n"/>
      <c r="AB53" s="239" t="n"/>
      <c r="AC53" s="239" t="n"/>
      <c r="AD53" s="239" t="n"/>
      <c r="AE53" s="239" t="n"/>
      <c r="AF53" s="239" t="n"/>
      <c r="AG53" s="239" t="n"/>
      <c r="AH53" s="239" t="n"/>
      <c r="AI53" s="239" t="n"/>
      <c r="AJ53" s="239" t="n"/>
      <c r="AK53" s="239" t="n"/>
      <c r="AL53" s="239" t="n"/>
      <c r="AM53" s="239" t="n"/>
      <c r="AN53" s="239" t="n"/>
      <c r="AO53" s="239" t="n"/>
    </row>
    <row r="54">
      <c r="A54" s="256" t="n"/>
      <c r="B54" s="256" t="n"/>
      <c r="C54" s="256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I54" s="256" t="n"/>
      <c r="AJ54" s="256" t="n"/>
      <c r="AK54" s="256" t="n"/>
      <c r="AL54" s="256" t="n"/>
      <c r="AM54" s="256" t="n"/>
      <c r="AN54" s="256" t="n"/>
      <c r="AO54" s="256" t="n"/>
    </row>
    <row r="55">
      <c r="A55" s="239" t="n"/>
      <c r="B55" s="239" t="n"/>
      <c r="C55" s="239" t="n"/>
      <c r="D55" s="239" t="n"/>
      <c r="E55" s="239" t="n"/>
      <c r="F55" s="239" t="n"/>
      <c r="G55" s="239" t="n"/>
      <c r="H55" s="239" t="n"/>
      <c r="I55" s="239" t="n"/>
      <c r="J55" s="239" t="n"/>
      <c r="K55" s="239" t="n"/>
      <c r="L55" s="239" t="n"/>
      <c r="M55" s="239" t="n"/>
      <c r="N55" s="239" t="n"/>
      <c r="O55" s="239" t="n"/>
      <c r="P55" s="239" t="n"/>
      <c r="Q55" s="239" t="n"/>
      <c r="R55" s="239" t="n"/>
      <c r="S55" s="239" t="n"/>
      <c r="T55" s="239" t="n"/>
      <c r="U55" s="239" t="n"/>
      <c r="V55" s="239" t="n"/>
      <c r="W55" s="239" t="n"/>
      <c r="X55" s="239" t="n"/>
      <c r="Y55" s="239" t="n"/>
      <c r="Z55" s="239" t="n"/>
      <c r="AA55" s="239" t="n"/>
      <c r="AB55" s="239" t="n"/>
      <c r="AC55" s="239" t="n"/>
      <c r="AD55" s="239" t="n"/>
      <c r="AE55" s="239" t="n"/>
      <c r="AF55" s="239" t="n"/>
      <c r="AG55" s="239" t="n"/>
      <c r="AH55" s="239" t="n"/>
      <c r="AI55" s="239" t="n"/>
      <c r="AJ55" s="239" t="n"/>
      <c r="AK55" s="239" t="n"/>
      <c r="AL55" s="239" t="n"/>
      <c r="AM55" s="239" t="n"/>
      <c r="AN55" s="239" t="n"/>
      <c r="AO55" s="239" t="n"/>
    </row>
    <row r="56">
      <c r="A56" s="256" t="n"/>
      <c r="B56" s="256" t="n"/>
      <c r="C56" s="256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I56" s="256" t="n"/>
      <c r="AJ56" s="256" t="n"/>
      <c r="AK56" s="256" t="n"/>
      <c r="AL56" s="256" t="n"/>
      <c r="AM56" s="256" t="n"/>
      <c r="AN56" s="256" t="n"/>
      <c r="AO56" s="256" t="n"/>
    </row>
    <row r="57">
      <c r="A57" s="239" t="n"/>
      <c r="B57" s="239" t="n"/>
      <c r="C57" s="239" t="n"/>
      <c r="D57" s="239" t="n"/>
      <c r="E57" s="239" t="n"/>
      <c r="F57" s="239" t="n"/>
      <c r="G57" s="239" t="n"/>
      <c r="H57" s="239" t="n"/>
      <c r="I57" s="239" t="n"/>
      <c r="J57" s="239" t="n"/>
      <c r="K57" s="239" t="n"/>
      <c r="L57" s="239" t="n"/>
      <c r="M57" s="239" t="n"/>
      <c r="N57" s="239" t="n"/>
      <c r="O57" s="239" t="n"/>
      <c r="P57" s="239" t="n"/>
      <c r="Q57" s="239" t="n"/>
      <c r="R57" s="239" t="n"/>
      <c r="S57" s="239" t="n"/>
      <c r="T57" s="239" t="n"/>
      <c r="U57" s="239" t="n"/>
      <c r="V57" s="239" t="n"/>
      <c r="W57" s="239" t="n"/>
      <c r="X57" s="239" t="n"/>
      <c r="Y57" s="239" t="n"/>
      <c r="Z57" s="239" t="n"/>
      <c r="AA57" s="239" t="n"/>
      <c r="AB57" s="239" t="n"/>
      <c r="AC57" s="239" t="n"/>
      <c r="AD57" s="239" t="n"/>
      <c r="AE57" s="239" t="n"/>
      <c r="AF57" s="239" t="n"/>
      <c r="AG57" s="239" t="n"/>
      <c r="AH57" s="239" t="n"/>
      <c r="AI57" s="239" t="n"/>
      <c r="AJ57" s="239" t="n"/>
      <c r="AK57" s="239" t="n"/>
      <c r="AL57" s="239" t="n"/>
      <c r="AM57" s="239" t="n"/>
      <c r="AN57" s="239" t="n"/>
      <c r="AO57" s="239" t="n"/>
    </row>
    <row r="58">
      <c r="A58" s="256" t="n"/>
      <c r="B58" s="256" t="n"/>
      <c r="C58" s="256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6" t="n"/>
      <c r="P58" s="256" t="n"/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  <c r="AI58" s="256" t="n"/>
      <c r="AJ58" s="256" t="n"/>
      <c r="AK58" s="256" t="n"/>
      <c r="AL58" s="256" t="n"/>
      <c r="AM58" s="256" t="n"/>
      <c r="AN58" s="256" t="n"/>
      <c r="AO58" s="256" t="n"/>
    </row>
    <row r="59">
      <c r="A59" s="239" t="n"/>
      <c r="B59" s="239" t="n"/>
      <c r="C59" s="239" t="n"/>
      <c r="D59" s="239" t="n"/>
      <c r="E59" s="239" t="n"/>
      <c r="F59" s="239" t="n"/>
      <c r="G59" s="239" t="n"/>
      <c r="H59" s="239" t="n"/>
      <c r="I59" s="239" t="n"/>
      <c r="J59" s="239" t="n"/>
      <c r="K59" s="239" t="n"/>
      <c r="L59" s="239" t="n"/>
      <c r="M59" s="239" t="n"/>
      <c r="N59" s="239" t="n"/>
      <c r="O59" s="239" t="n"/>
      <c r="P59" s="239" t="n"/>
      <c r="Q59" s="239" t="n"/>
      <c r="R59" s="239" t="n"/>
      <c r="S59" s="239" t="n"/>
      <c r="T59" s="239" t="n"/>
      <c r="U59" s="239" t="n"/>
      <c r="V59" s="239" t="n"/>
      <c r="W59" s="239" t="n"/>
      <c r="X59" s="239" t="n"/>
      <c r="Y59" s="239" t="n"/>
      <c r="Z59" s="239" t="n"/>
      <c r="AA59" s="239" t="n"/>
      <c r="AB59" s="239" t="n"/>
      <c r="AC59" s="239" t="n"/>
      <c r="AD59" s="239" t="n"/>
      <c r="AE59" s="239" t="n"/>
      <c r="AF59" s="239" t="n"/>
      <c r="AG59" s="239" t="n"/>
      <c r="AH59" s="239" t="n"/>
      <c r="AI59" s="239" t="n"/>
      <c r="AJ59" s="239" t="n"/>
      <c r="AK59" s="239" t="n"/>
      <c r="AL59" s="239" t="n"/>
      <c r="AM59" s="239" t="n"/>
      <c r="AN59" s="239" t="n"/>
      <c r="AO59" s="239" t="n"/>
    </row>
    <row r="60">
      <c r="A60" s="256" t="n"/>
      <c r="B60" s="256" t="n"/>
      <c r="C60" s="256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I60" s="256" t="n"/>
      <c r="AJ60" s="256" t="n"/>
      <c r="AK60" s="256" t="n"/>
      <c r="AL60" s="256" t="n"/>
      <c r="AM60" s="256" t="n"/>
      <c r="AN60" s="256" t="n"/>
      <c r="AO60" s="256" t="n"/>
    </row>
    <row r="61">
      <c r="A61" s="239" t="n"/>
      <c r="B61" s="239" t="n"/>
      <c r="C61" s="239" t="n"/>
      <c r="D61" s="239" t="n"/>
      <c r="E61" s="239" t="n"/>
      <c r="F61" s="239" t="n"/>
      <c r="G61" s="239" t="n"/>
      <c r="H61" s="239" t="n"/>
      <c r="I61" s="239" t="n"/>
      <c r="J61" s="239" t="n"/>
      <c r="K61" s="239" t="n"/>
      <c r="L61" s="239" t="n"/>
      <c r="M61" s="239" t="n"/>
      <c r="N61" s="239" t="n"/>
      <c r="O61" s="239" t="n"/>
      <c r="P61" s="239" t="n"/>
      <c r="Q61" s="239" t="n"/>
      <c r="R61" s="239" t="n"/>
      <c r="S61" s="239" t="n"/>
      <c r="T61" s="239" t="n"/>
      <c r="U61" s="239" t="n"/>
      <c r="V61" s="239" t="n"/>
      <c r="W61" s="239" t="n"/>
      <c r="X61" s="239" t="n"/>
      <c r="Y61" s="239" t="n"/>
      <c r="Z61" s="239" t="n"/>
      <c r="AA61" s="239" t="n"/>
      <c r="AB61" s="239" t="n"/>
      <c r="AC61" s="239" t="n"/>
      <c r="AD61" s="239" t="n"/>
      <c r="AE61" s="239" t="n"/>
      <c r="AF61" s="239" t="n"/>
      <c r="AG61" s="239" t="n"/>
      <c r="AH61" s="239" t="n"/>
      <c r="AI61" s="239" t="n"/>
      <c r="AJ61" s="239" t="n"/>
      <c r="AK61" s="239" t="n"/>
      <c r="AL61" s="239" t="n"/>
      <c r="AM61" s="239" t="n"/>
      <c r="AN61" s="239" t="n"/>
      <c r="AO61" s="239" t="n"/>
    </row>
    <row r="62">
      <c r="A62" s="256" t="n"/>
      <c r="B62" s="256" t="n"/>
      <c r="C62" s="256" t="n"/>
      <c r="D62" s="256" t="n"/>
      <c r="E62" s="256" t="n"/>
      <c r="F62" s="256" t="n"/>
      <c r="G62" s="256" t="n"/>
      <c r="H62" s="256" t="n"/>
      <c r="I62" s="256" t="n"/>
      <c r="J62" s="256" t="n"/>
      <c r="K62" s="256" t="n"/>
      <c r="L62" s="256" t="n"/>
      <c r="M62" s="256" t="n"/>
      <c r="N62" s="256" t="n"/>
      <c r="O62" s="256" t="n"/>
      <c r="P62" s="256" t="n"/>
      <c r="Q62" s="256" t="n"/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I62" s="256" t="n"/>
      <c r="AJ62" s="256" t="n"/>
      <c r="AK62" s="256" t="n"/>
      <c r="AL62" s="256" t="n"/>
      <c r="AM62" s="256" t="n"/>
      <c r="AN62" s="256" t="n"/>
      <c r="AO62" s="256" t="n"/>
    </row>
    <row r="63">
      <c r="A63" s="239" t="n"/>
      <c r="B63" s="239" t="n"/>
      <c r="C63" s="239" t="n"/>
      <c r="D63" s="239" t="n"/>
      <c r="E63" s="239" t="n"/>
      <c r="F63" s="239" t="n"/>
      <c r="G63" s="239" t="n"/>
      <c r="H63" s="239" t="n"/>
      <c r="I63" s="239" t="n"/>
      <c r="J63" s="239" t="n"/>
      <c r="K63" s="239" t="n"/>
      <c r="L63" s="239" t="n"/>
      <c r="M63" s="239" t="n"/>
      <c r="N63" s="239" t="n"/>
      <c r="O63" s="239" t="n"/>
      <c r="P63" s="239" t="n"/>
      <c r="Q63" s="239" t="n"/>
      <c r="R63" s="239" t="n"/>
      <c r="S63" s="239" t="n"/>
      <c r="T63" s="239" t="n"/>
      <c r="U63" s="239" t="n"/>
      <c r="V63" s="239" t="n"/>
      <c r="W63" s="239" t="n"/>
      <c r="X63" s="239" t="n"/>
      <c r="Y63" s="239" t="n"/>
      <c r="Z63" s="239" t="n"/>
      <c r="AA63" s="239" t="n"/>
      <c r="AB63" s="239" t="n"/>
      <c r="AC63" s="239" t="n"/>
      <c r="AD63" s="239" t="n"/>
      <c r="AE63" s="239" t="n"/>
      <c r="AF63" s="239" t="n"/>
      <c r="AG63" s="239" t="n"/>
      <c r="AH63" s="239" t="n"/>
      <c r="AI63" s="239" t="n"/>
      <c r="AJ63" s="239" t="n"/>
      <c r="AK63" s="239" t="n"/>
      <c r="AL63" s="239" t="n"/>
      <c r="AM63" s="239" t="n"/>
      <c r="AN63" s="239" t="n"/>
      <c r="AO63" s="239" t="n"/>
    </row>
    <row r="64">
      <c r="A64" s="256" t="n"/>
      <c r="B64" s="256" t="n"/>
      <c r="C64" s="256" t="n"/>
      <c r="D64" s="256" t="n"/>
      <c r="E64" s="256" t="n"/>
      <c r="F64" s="256" t="n"/>
      <c r="G64" s="256" t="n"/>
      <c r="H64" s="256" t="n"/>
      <c r="I64" s="256" t="n"/>
      <c r="J64" s="256" t="n"/>
      <c r="K64" s="256" t="n"/>
      <c r="L64" s="256" t="n"/>
      <c r="M64" s="256" t="n"/>
      <c r="N64" s="256" t="n"/>
      <c r="O64" s="256" t="n"/>
      <c r="P64" s="256" t="n"/>
      <c r="Q64" s="256" t="n"/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I64" s="256" t="n"/>
      <c r="AJ64" s="256" t="n"/>
      <c r="AK64" s="256" t="n"/>
      <c r="AL64" s="256" t="n"/>
      <c r="AM64" s="256" t="n"/>
      <c r="AN64" s="256" t="n"/>
      <c r="AO64" s="256" t="n"/>
    </row>
    <row r="65">
      <c r="A65" s="239" t="n"/>
      <c r="B65" s="239" t="n"/>
      <c r="C65" s="239" t="n"/>
      <c r="D65" s="239" t="n"/>
      <c r="E65" s="239" t="n"/>
      <c r="F65" s="239" t="n"/>
      <c r="G65" s="239" t="n"/>
      <c r="H65" s="239" t="n"/>
      <c r="I65" s="239" t="n"/>
      <c r="J65" s="239" t="n"/>
      <c r="K65" s="239" t="n"/>
      <c r="L65" s="239" t="n"/>
      <c r="M65" s="239" t="n"/>
      <c r="N65" s="239" t="n"/>
      <c r="O65" s="239" t="n"/>
      <c r="P65" s="239" t="n"/>
      <c r="Q65" s="239" t="n"/>
      <c r="R65" s="239" t="n"/>
      <c r="S65" s="239" t="n"/>
      <c r="T65" s="239" t="n"/>
      <c r="U65" s="239" t="n"/>
      <c r="V65" s="239" t="n"/>
      <c r="W65" s="239" t="n"/>
      <c r="X65" s="239" t="n"/>
      <c r="Y65" s="239" t="n"/>
      <c r="Z65" s="239" t="n"/>
      <c r="AA65" s="239" t="n"/>
      <c r="AB65" s="239" t="n"/>
      <c r="AC65" s="239" t="n"/>
      <c r="AD65" s="239" t="n"/>
      <c r="AE65" s="239" t="n"/>
      <c r="AF65" s="239" t="n"/>
      <c r="AG65" s="239" t="n"/>
      <c r="AH65" s="239" t="n"/>
      <c r="AI65" s="239" t="n"/>
      <c r="AJ65" s="239" t="n"/>
      <c r="AK65" s="239" t="n"/>
      <c r="AL65" s="239" t="n"/>
      <c r="AM65" s="239" t="n"/>
      <c r="AN65" s="239" t="n"/>
      <c r="AO65" s="239" t="n"/>
    </row>
    <row r="66">
      <c r="A66" s="256" t="n"/>
      <c r="B66" s="256" t="n"/>
      <c r="C66" s="256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I66" s="256" t="n"/>
      <c r="AJ66" s="256" t="n"/>
      <c r="AK66" s="256" t="n"/>
      <c r="AL66" s="256" t="n"/>
      <c r="AM66" s="256" t="n"/>
      <c r="AN66" s="256" t="n"/>
      <c r="AO66" s="256" t="n"/>
    </row>
    <row r="67">
      <c r="A67" s="239" t="n"/>
      <c r="B67" s="239" t="n"/>
      <c r="C67" s="239" t="n"/>
      <c r="D67" s="239" t="n"/>
      <c r="E67" s="239" t="n"/>
      <c r="F67" s="239" t="n"/>
      <c r="G67" s="239" t="n"/>
      <c r="H67" s="239" t="n"/>
      <c r="I67" s="239" t="n"/>
      <c r="J67" s="239" t="n"/>
      <c r="K67" s="239" t="n"/>
      <c r="L67" s="239" t="n"/>
      <c r="M67" s="239" t="n"/>
      <c r="N67" s="239" t="n"/>
      <c r="O67" s="239" t="n"/>
      <c r="P67" s="239" t="n"/>
      <c r="Q67" s="239" t="n"/>
      <c r="R67" s="239" t="n"/>
      <c r="S67" s="239" t="n"/>
      <c r="T67" s="239" t="n"/>
      <c r="U67" s="239" t="n"/>
      <c r="V67" s="239" t="n"/>
      <c r="W67" s="239" t="n"/>
      <c r="X67" s="239" t="n"/>
      <c r="Y67" s="239" t="n"/>
      <c r="Z67" s="239" t="n"/>
      <c r="AA67" s="239" t="n"/>
      <c r="AB67" s="239" t="n"/>
      <c r="AC67" s="239" t="n"/>
      <c r="AD67" s="239" t="n"/>
      <c r="AE67" s="239" t="n"/>
      <c r="AF67" s="239" t="n"/>
      <c r="AG67" s="239" t="n"/>
      <c r="AH67" s="239" t="n"/>
      <c r="AI67" s="239" t="n"/>
      <c r="AJ67" s="239" t="n"/>
      <c r="AK67" s="239" t="n"/>
      <c r="AL67" s="239" t="n"/>
      <c r="AM67" s="239" t="n"/>
      <c r="AN67" s="239" t="n"/>
      <c r="AO67" s="239" t="n"/>
    </row>
    <row r="68">
      <c r="A68" s="256" t="n"/>
      <c r="B68" s="256" t="n"/>
      <c r="C68" s="256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I68" s="256" t="n"/>
      <c r="AJ68" s="256" t="n"/>
      <c r="AK68" s="256" t="n"/>
      <c r="AL68" s="256" t="n"/>
      <c r="AM68" s="256" t="n"/>
      <c r="AN68" s="256" t="n"/>
      <c r="AO68" s="256" t="n"/>
    </row>
    <row r="69">
      <c r="A69" s="239" t="n"/>
      <c r="B69" s="239" t="n"/>
      <c r="C69" s="239" t="n"/>
      <c r="D69" s="239" t="n"/>
      <c r="E69" s="239" t="n"/>
      <c r="F69" s="239" t="n"/>
      <c r="G69" s="239" t="n"/>
      <c r="H69" s="239" t="n"/>
      <c r="I69" s="239" t="n"/>
      <c r="J69" s="239" t="n"/>
      <c r="K69" s="239" t="n"/>
      <c r="L69" s="239" t="n"/>
      <c r="M69" s="239" t="n"/>
      <c r="N69" s="239" t="n"/>
      <c r="O69" s="239" t="n"/>
      <c r="P69" s="239" t="n"/>
      <c r="Q69" s="239" t="n"/>
      <c r="R69" s="239" t="n"/>
      <c r="S69" s="239" t="n"/>
      <c r="T69" s="239" t="n"/>
      <c r="U69" s="239" t="n"/>
      <c r="V69" s="239" t="n"/>
      <c r="W69" s="239" t="n"/>
      <c r="X69" s="239" t="n"/>
      <c r="Y69" s="239" t="n"/>
      <c r="Z69" s="239" t="n"/>
      <c r="AA69" s="239" t="n"/>
      <c r="AB69" s="239" t="n"/>
      <c r="AC69" s="239" t="n"/>
      <c r="AD69" s="239" t="n"/>
      <c r="AE69" s="239" t="n"/>
      <c r="AF69" s="239" t="n"/>
      <c r="AG69" s="239" t="n"/>
      <c r="AH69" s="239" t="n"/>
      <c r="AI69" s="239" t="n"/>
      <c r="AJ69" s="239" t="n"/>
      <c r="AK69" s="239" t="n"/>
      <c r="AL69" s="239" t="n"/>
      <c r="AM69" s="239" t="n"/>
      <c r="AN69" s="239" t="n"/>
      <c r="AO69" s="239" t="n"/>
    </row>
    <row r="70">
      <c r="A70" s="256" t="n"/>
      <c r="B70" s="256" t="n"/>
      <c r="C70" s="256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I70" s="256" t="n"/>
      <c r="AJ70" s="256" t="n"/>
      <c r="AK70" s="256" t="n"/>
      <c r="AL70" s="256" t="n"/>
      <c r="AM70" s="256" t="n"/>
      <c r="AN70" s="256" t="n"/>
      <c r="AO70" s="256" t="n"/>
    </row>
    <row r="71">
      <c r="A71" s="239" t="n"/>
      <c r="B71" s="239" t="n"/>
      <c r="C71" s="239" t="n"/>
      <c r="D71" s="239" t="n"/>
      <c r="E71" s="239" t="n"/>
      <c r="F71" s="239" t="n"/>
      <c r="G71" s="239" t="n"/>
      <c r="H71" s="239" t="n"/>
      <c r="I71" s="239" t="n"/>
      <c r="J71" s="239" t="n"/>
      <c r="K71" s="239" t="n"/>
      <c r="L71" s="239" t="n"/>
      <c r="M71" s="239" t="n"/>
      <c r="N71" s="239" t="n"/>
      <c r="O71" s="239" t="n"/>
      <c r="P71" s="239" t="n"/>
      <c r="Q71" s="239" t="n"/>
      <c r="R71" s="239" t="n"/>
      <c r="S71" s="239" t="n"/>
      <c r="T71" s="239" t="n"/>
      <c r="U71" s="239" t="n"/>
      <c r="V71" s="239" t="n"/>
      <c r="W71" s="239" t="n"/>
      <c r="X71" s="239" t="n"/>
      <c r="Y71" s="239" t="n"/>
      <c r="Z71" s="239" t="n"/>
      <c r="AA71" s="239" t="n"/>
      <c r="AB71" s="239" t="n"/>
      <c r="AC71" s="239" t="n"/>
      <c r="AD71" s="239" t="n"/>
      <c r="AE71" s="239" t="n"/>
      <c r="AF71" s="239" t="n"/>
      <c r="AG71" s="239" t="n"/>
      <c r="AH71" s="239" t="n"/>
      <c r="AI71" s="239" t="n"/>
      <c r="AJ71" s="239" t="n"/>
      <c r="AK71" s="239" t="n"/>
      <c r="AL71" s="239" t="n"/>
      <c r="AM71" s="239" t="n"/>
      <c r="AN71" s="239" t="n"/>
      <c r="AO71" s="239" t="n"/>
    </row>
    <row r="72">
      <c r="A72" s="256" t="n"/>
      <c r="B72" s="256" t="n"/>
      <c r="C72" s="256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I72" s="256" t="n"/>
      <c r="AJ72" s="256" t="n"/>
      <c r="AK72" s="256" t="n"/>
      <c r="AL72" s="256" t="n"/>
      <c r="AM72" s="256" t="n"/>
      <c r="AN72" s="256" t="n"/>
      <c r="AO72" s="256" t="n"/>
    </row>
    <row r="73">
      <c r="A73" s="239" t="n"/>
      <c r="B73" s="239" t="n"/>
      <c r="C73" s="239" t="n"/>
      <c r="D73" s="239" t="n"/>
      <c r="E73" s="239" t="n"/>
      <c r="F73" s="239" t="n"/>
      <c r="G73" s="239" t="n"/>
      <c r="H73" s="239" t="n"/>
      <c r="I73" s="239" t="n"/>
      <c r="J73" s="239" t="n"/>
      <c r="K73" s="239" t="n"/>
      <c r="L73" s="239" t="n"/>
      <c r="M73" s="239" t="n"/>
      <c r="N73" s="239" t="n"/>
      <c r="O73" s="239" t="n"/>
      <c r="P73" s="239" t="n"/>
      <c r="Q73" s="239" t="n"/>
      <c r="R73" s="239" t="n"/>
      <c r="S73" s="239" t="n"/>
      <c r="T73" s="239" t="n"/>
      <c r="U73" s="239" t="n"/>
      <c r="V73" s="239" t="n"/>
      <c r="W73" s="239" t="n"/>
      <c r="X73" s="239" t="n"/>
      <c r="Y73" s="239" t="n"/>
      <c r="Z73" s="239" t="n"/>
      <c r="AA73" s="239" t="n"/>
      <c r="AB73" s="239" t="n"/>
      <c r="AC73" s="239" t="n"/>
      <c r="AD73" s="239" t="n"/>
      <c r="AE73" s="239" t="n"/>
      <c r="AF73" s="239" t="n"/>
      <c r="AG73" s="239" t="n"/>
      <c r="AH73" s="239" t="n"/>
      <c r="AI73" s="239" t="n"/>
      <c r="AJ73" s="239" t="n"/>
      <c r="AK73" s="239" t="n"/>
      <c r="AL73" s="239" t="n"/>
      <c r="AM73" s="239" t="n"/>
      <c r="AN73" s="239" t="n"/>
      <c r="AO73" s="239" t="n"/>
    </row>
    <row r="74">
      <c r="A74" s="256" t="n"/>
      <c r="B74" s="256" t="n"/>
      <c r="C74" s="256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  <c r="AI74" s="256" t="n"/>
      <c r="AJ74" s="256" t="n"/>
      <c r="AK74" s="256" t="n"/>
      <c r="AL74" s="256" t="n"/>
      <c r="AM74" s="256" t="n"/>
      <c r="AN74" s="256" t="n"/>
      <c r="AO74" s="256" t="n"/>
    </row>
    <row r="75">
      <c r="A75" s="239" t="n"/>
      <c r="B75" s="239" t="n"/>
      <c r="C75" s="239" t="n"/>
      <c r="D75" s="239" t="n"/>
      <c r="E75" s="239" t="n"/>
      <c r="F75" s="239" t="n"/>
      <c r="G75" s="239" t="n"/>
      <c r="H75" s="239" t="n"/>
      <c r="I75" s="239" t="n"/>
      <c r="J75" s="239" t="n"/>
      <c r="K75" s="239" t="n"/>
      <c r="L75" s="239" t="n"/>
      <c r="M75" s="239" t="n"/>
      <c r="N75" s="239" t="n"/>
      <c r="O75" s="239" t="n"/>
      <c r="P75" s="239" t="n"/>
      <c r="Q75" s="239" t="n"/>
      <c r="R75" s="239" t="n"/>
      <c r="S75" s="239" t="n"/>
      <c r="T75" s="239" t="n"/>
      <c r="U75" s="239" t="n"/>
      <c r="V75" s="239" t="n"/>
      <c r="W75" s="239" t="n"/>
      <c r="X75" s="239" t="n"/>
      <c r="Y75" s="239" t="n"/>
      <c r="Z75" s="239" t="n"/>
      <c r="AA75" s="239" t="n"/>
      <c r="AB75" s="239" t="n"/>
      <c r="AC75" s="239" t="n"/>
      <c r="AD75" s="239" t="n"/>
      <c r="AE75" s="239" t="n"/>
      <c r="AF75" s="239" t="n"/>
      <c r="AG75" s="239" t="n"/>
      <c r="AH75" s="239" t="n"/>
      <c r="AI75" s="239" t="n"/>
      <c r="AJ75" s="239" t="n"/>
      <c r="AK75" s="239" t="n"/>
      <c r="AL75" s="239" t="n"/>
      <c r="AM75" s="239" t="n"/>
      <c r="AN75" s="239" t="n"/>
      <c r="AO75" s="239" t="n"/>
    </row>
    <row r="76">
      <c r="A76" s="256" t="n"/>
      <c r="B76" s="256" t="n"/>
      <c r="C76" s="256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  <c r="AI76" s="256" t="n"/>
      <c r="AJ76" s="256" t="n"/>
      <c r="AK76" s="256" t="n"/>
      <c r="AL76" s="256" t="n"/>
      <c r="AM76" s="256" t="n"/>
      <c r="AN76" s="256" t="n"/>
      <c r="AO76" s="256" t="n"/>
    </row>
    <row r="77">
      <c r="A77" s="239" t="n"/>
      <c r="B77" s="239" t="n"/>
      <c r="C77" s="239" t="n"/>
      <c r="D77" s="239" t="n"/>
      <c r="E77" s="239" t="n"/>
      <c r="F77" s="239" t="n"/>
      <c r="G77" s="239" t="n"/>
      <c r="H77" s="239" t="n"/>
      <c r="I77" s="239" t="n"/>
      <c r="J77" s="239" t="n"/>
      <c r="K77" s="239" t="n"/>
      <c r="L77" s="239" t="n"/>
      <c r="M77" s="239" t="n"/>
      <c r="N77" s="239" t="n"/>
      <c r="O77" s="239" t="n"/>
      <c r="P77" s="239" t="n"/>
      <c r="Q77" s="239" t="n"/>
      <c r="R77" s="239" t="n"/>
      <c r="S77" s="239" t="n"/>
      <c r="T77" s="239" t="n"/>
      <c r="U77" s="239" t="n"/>
      <c r="V77" s="239" t="n"/>
      <c r="W77" s="239" t="n"/>
      <c r="X77" s="239" t="n"/>
      <c r="Y77" s="239" t="n"/>
      <c r="Z77" s="239" t="n"/>
      <c r="AA77" s="239" t="n"/>
      <c r="AB77" s="239" t="n"/>
      <c r="AC77" s="239" t="n"/>
      <c r="AD77" s="239" t="n"/>
      <c r="AE77" s="239" t="n"/>
      <c r="AF77" s="239" t="n"/>
      <c r="AG77" s="239" t="n"/>
      <c r="AH77" s="239" t="n"/>
      <c r="AI77" s="239" t="n"/>
      <c r="AJ77" s="239" t="n"/>
      <c r="AK77" s="239" t="n"/>
      <c r="AL77" s="239" t="n"/>
      <c r="AM77" s="239" t="n"/>
      <c r="AN77" s="239" t="n"/>
      <c r="AO77" s="239" t="n"/>
    </row>
    <row r="78">
      <c r="A78" s="256" t="n"/>
      <c r="B78" s="256" t="n"/>
      <c r="C78" s="256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  <c r="AI78" s="256" t="n"/>
      <c r="AJ78" s="256" t="n"/>
      <c r="AK78" s="256" t="n"/>
      <c r="AL78" s="256" t="n"/>
      <c r="AM78" s="256" t="n"/>
      <c r="AN78" s="256" t="n"/>
      <c r="AO78" s="256" t="n"/>
    </row>
    <row r="79">
      <c r="A79" s="239" t="n"/>
      <c r="B79" s="239" t="n"/>
      <c r="C79" s="239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39" t="n"/>
      <c r="Y79" s="239" t="n"/>
      <c r="Z79" s="239" t="n"/>
      <c r="AA79" s="239" t="n"/>
      <c r="AB79" s="239" t="n"/>
      <c r="AC79" s="239" t="n"/>
      <c r="AD79" s="239" t="n"/>
      <c r="AE79" s="239" t="n"/>
      <c r="AF79" s="239" t="n"/>
      <c r="AG79" s="239" t="n"/>
      <c r="AH79" s="239" t="n"/>
      <c r="AI79" s="239" t="n"/>
      <c r="AJ79" s="239" t="n"/>
      <c r="AK79" s="239" t="n"/>
      <c r="AL79" s="239" t="n"/>
      <c r="AM79" s="239" t="n"/>
      <c r="AN79" s="239" t="n"/>
      <c r="AO79" s="239" t="n"/>
    </row>
    <row r="80">
      <c r="A80" s="256" t="n"/>
      <c r="B80" s="256" t="n"/>
      <c r="C80" s="256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  <c r="AI80" s="256" t="n"/>
      <c r="AJ80" s="256" t="n"/>
      <c r="AK80" s="256" t="n"/>
      <c r="AL80" s="256" t="n"/>
      <c r="AM80" s="256" t="n"/>
      <c r="AN80" s="256" t="n"/>
      <c r="AO80" s="256" t="n"/>
    </row>
    <row r="81">
      <c r="A81" s="239" t="n"/>
      <c r="B81" s="239" t="n"/>
      <c r="C81" s="239" t="n"/>
      <c r="D81" s="239" t="n"/>
      <c r="E81" s="239" t="n"/>
      <c r="F81" s="239" t="n"/>
      <c r="G81" s="239" t="n"/>
      <c r="H81" s="239" t="n"/>
      <c r="I81" s="239" t="n"/>
      <c r="J81" s="239" t="n"/>
      <c r="K81" s="239" t="n"/>
      <c r="L81" s="239" t="n"/>
      <c r="M81" s="239" t="n"/>
      <c r="N81" s="239" t="n"/>
      <c r="O81" s="239" t="n"/>
      <c r="P81" s="239" t="n"/>
      <c r="Q81" s="239" t="n"/>
      <c r="R81" s="239" t="n"/>
      <c r="S81" s="239" t="n"/>
      <c r="T81" s="239" t="n"/>
      <c r="U81" s="239" t="n"/>
      <c r="V81" s="239" t="n"/>
      <c r="W81" s="239" t="n"/>
      <c r="X81" s="239" t="n"/>
      <c r="Y81" s="239" t="n"/>
      <c r="Z81" s="239" t="n"/>
      <c r="AA81" s="239" t="n"/>
      <c r="AB81" s="239" t="n"/>
      <c r="AC81" s="239" t="n"/>
      <c r="AD81" s="239" t="n"/>
      <c r="AE81" s="239" t="n"/>
      <c r="AF81" s="239" t="n"/>
      <c r="AG81" s="239" t="n"/>
      <c r="AH81" s="239" t="n"/>
      <c r="AI81" s="239" t="n"/>
      <c r="AJ81" s="239" t="n"/>
      <c r="AK81" s="239" t="n"/>
      <c r="AL81" s="239" t="n"/>
      <c r="AM81" s="239" t="n"/>
      <c r="AN81" s="239" t="n"/>
      <c r="AO81" s="239" t="n"/>
    </row>
    <row r="82">
      <c r="A82" s="256" t="n"/>
      <c r="B82" s="256" t="n"/>
      <c r="C82" s="256" t="n"/>
      <c r="D82" s="256" t="n"/>
      <c r="E82" s="256" t="n"/>
      <c r="F82" s="256" t="n"/>
      <c r="G82" s="256" t="n"/>
      <c r="H82" s="256" t="n"/>
      <c r="I82" s="256" t="n"/>
      <c r="J82" s="256" t="n"/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56" t="n"/>
      <c r="AJ82" s="256" t="n"/>
      <c r="AK82" s="256" t="n"/>
      <c r="AL82" s="256" t="n"/>
      <c r="AM82" s="256" t="n"/>
      <c r="AN82" s="256" t="n"/>
      <c r="AO82" s="256" t="n"/>
    </row>
    <row r="83">
      <c r="A83" s="239" t="n"/>
      <c r="B83" s="239" t="n"/>
      <c r="C83" s="239" t="n"/>
      <c r="D83" s="239" t="n"/>
      <c r="E83" s="239" t="n"/>
      <c r="F83" s="239" t="n"/>
      <c r="G83" s="239" t="n"/>
      <c r="H83" s="239" t="n"/>
      <c r="I83" s="239" t="n"/>
      <c r="J83" s="239" t="n"/>
      <c r="K83" s="239" t="n"/>
      <c r="L83" s="239" t="n"/>
      <c r="M83" s="239" t="n"/>
      <c r="N83" s="239" t="n"/>
      <c r="O83" s="239" t="n"/>
      <c r="P83" s="239" t="n"/>
      <c r="Q83" s="239" t="n"/>
      <c r="R83" s="239" t="n"/>
      <c r="S83" s="239" t="n"/>
      <c r="T83" s="239" t="n"/>
      <c r="U83" s="239" t="n"/>
      <c r="V83" s="239" t="n"/>
      <c r="W83" s="239" t="n"/>
      <c r="X83" s="239" t="n"/>
      <c r="Y83" s="239" t="n"/>
      <c r="Z83" s="239" t="n"/>
      <c r="AA83" s="239" t="n"/>
      <c r="AB83" s="239" t="n"/>
      <c r="AC83" s="239" t="n"/>
      <c r="AD83" s="239" t="n"/>
      <c r="AE83" s="239" t="n"/>
      <c r="AF83" s="239" t="n"/>
      <c r="AG83" s="239" t="n"/>
      <c r="AH83" s="239" t="n"/>
      <c r="AI83" s="239" t="n"/>
      <c r="AJ83" s="239" t="n"/>
      <c r="AK83" s="239" t="n"/>
      <c r="AL83" s="239" t="n"/>
      <c r="AM83" s="239" t="n"/>
      <c r="AN83" s="239" t="n"/>
      <c r="AO83" s="239" t="n"/>
    </row>
    <row r="84">
      <c r="A84" s="256" t="n"/>
      <c r="B84" s="256" t="n"/>
      <c r="C84" s="256" t="n"/>
      <c r="D84" s="256" t="n"/>
      <c r="E84" s="256" t="n"/>
      <c r="F84" s="256" t="n"/>
      <c r="G84" s="256" t="n"/>
      <c r="H84" s="256" t="n"/>
      <c r="I84" s="256" t="n"/>
      <c r="J84" s="256" t="n"/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56" t="n"/>
      <c r="AJ84" s="256" t="n"/>
      <c r="AK84" s="256" t="n"/>
      <c r="AL84" s="256" t="n"/>
      <c r="AM84" s="256" t="n"/>
      <c r="AN84" s="256" t="n"/>
      <c r="AO84" s="256" t="n"/>
    </row>
    <row r="85">
      <c r="A85" s="239" t="n"/>
      <c r="B85" s="239" t="n"/>
      <c r="C85" s="239" t="n"/>
      <c r="D85" s="239" t="n"/>
      <c r="E85" s="239" t="n"/>
      <c r="F85" s="239" t="n"/>
      <c r="G85" s="239" t="n"/>
      <c r="H85" s="239" t="n"/>
      <c r="I85" s="239" t="n"/>
      <c r="J85" s="239" t="n"/>
      <c r="K85" s="239" t="n"/>
      <c r="L85" s="239" t="n"/>
      <c r="M85" s="239" t="n"/>
      <c r="N85" s="239" t="n"/>
      <c r="O85" s="239" t="n"/>
      <c r="P85" s="239" t="n"/>
      <c r="Q85" s="239" t="n"/>
      <c r="R85" s="239" t="n"/>
      <c r="S85" s="239" t="n"/>
      <c r="T85" s="239" t="n"/>
      <c r="U85" s="239" t="n"/>
      <c r="V85" s="239" t="n"/>
      <c r="W85" s="239" t="n"/>
      <c r="X85" s="239" t="n"/>
      <c r="Y85" s="239" t="n"/>
      <c r="Z85" s="239" t="n"/>
      <c r="AA85" s="239" t="n"/>
      <c r="AB85" s="239" t="n"/>
      <c r="AC85" s="239" t="n"/>
      <c r="AD85" s="239" t="n"/>
      <c r="AE85" s="239" t="n"/>
      <c r="AF85" s="239" t="n"/>
      <c r="AG85" s="239" t="n"/>
      <c r="AH85" s="239" t="n"/>
      <c r="AI85" s="239" t="n"/>
      <c r="AJ85" s="239" t="n"/>
      <c r="AK85" s="239" t="n"/>
      <c r="AL85" s="239" t="n"/>
      <c r="AM85" s="239" t="n"/>
      <c r="AN85" s="239" t="n"/>
      <c r="AO85" s="239" t="n"/>
    </row>
    <row r="86">
      <c r="A86" s="256" t="n"/>
      <c r="B86" s="256" t="n"/>
      <c r="C86" s="256" t="n"/>
      <c r="D86" s="256" t="n"/>
      <c r="E86" s="256" t="n"/>
      <c r="F86" s="256" t="n"/>
      <c r="G86" s="256" t="n"/>
      <c r="H86" s="256" t="n"/>
      <c r="I86" s="256" t="n"/>
      <c r="J86" s="256" t="n"/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  <c r="AI86" s="256" t="n"/>
      <c r="AJ86" s="256" t="n"/>
      <c r="AK86" s="256" t="n"/>
      <c r="AL86" s="256" t="n"/>
      <c r="AM86" s="256" t="n"/>
      <c r="AN86" s="256" t="n"/>
      <c r="AO86" s="256" t="n"/>
    </row>
    <row r="87">
      <c r="A87" s="239" t="n"/>
      <c r="B87" s="239" t="n"/>
      <c r="C87" s="239" t="n"/>
      <c r="D87" s="239" t="n"/>
      <c r="E87" s="239" t="n"/>
      <c r="F87" s="239" t="n"/>
      <c r="G87" s="239" t="n"/>
      <c r="H87" s="239" t="n"/>
      <c r="I87" s="239" t="n"/>
      <c r="J87" s="239" t="n"/>
      <c r="K87" s="239" t="n"/>
      <c r="L87" s="239" t="n"/>
      <c r="M87" s="239" t="n"/>
      <c r="N87" s="239" t="n"/>
      <c r="O87" s="239" t="n"/>
      <c r="P87" s="239" t="n"/>
      <c r="Q87" s="239" t="n"/>
      <c r="R87" s="239" t="n"/>
      <c r="S87" s="239" t="n"/>
      <c r="T87" s="239" t="n"/>
      <c r="U87" s="239" t="n"/>
      <c r="V87" s="239" t="n"/>
      <c r="W87" s="239" t="n"/>
      <c r="X87" s="239" t="n"/>
      <c r="Y87" s="239" t="n"/>
      <c r="Z87" s="239" t="n"/>
      <c r="AA87" s="239" t="n"/>
      <c r="AB87" s="239" t="n"/>
      <c r="AC87" s="239" t="n"/>
      <c r="AD87" s="239" t="n"/>
      <c r="AE87" s="239" t="n"/>
      <c r="AF87" s="239" t="n"/>
      <c r="AG87" s="239" t="n"/>
      <c r="AH87" s="239" t="n"/>
      <c r="AI87" s="239" t="n"/>
      <c r="AJ87" s="239" t="n"/>
      <c r="AK87" s="239" t="n"/>
      <c r="AL87" s="239" t="n"/>
      <c r="AM87" s="239" t="n"/>
      <c r="AN87" s="239" t="n"/>
      <c r="AO87" s="239" t="n"/>
    </row>
    <row r="88">
      <c r="A88" s="256" t="n"/>
      <c r="B88" s="256" t="n"/>
      <c r="C88" s="256" t="n"/>
      <c r="D88" s="256" t="n"/>
      <c r="E88" s="256" t="n"/>
      <c r="F88" s="256" t="n"/>
      <c r="G88" s="256" t="n"/>
      <c r="H88" s="256" t="n"/>
      <c r="I88" s="256" t="n"/>
      <c r="J88" s="256" t="n"/>
      <c r="K88" s="256" t="n"/>
      <c r="L88" s="256" t="n"/>
      <c r="M88" s="256" t="n"/>
      <c r="N88" s="256" t="n"/>
      <c r="O88" s="256" t="n"/>
      <c r="P88" s="256" t="n"/>
      <c r="Q88" s="256" t="n"/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  <c r="AI88" s="256" t="n"/>
      <c r="AJ88" s="256" t="n"/>
      <c r="AK88" s="256" t="n"/>
      <c r="AL88" s="256" t="n"/>
      <c r="AM88" s="256" t="n"/>
      <c r="AN88" s="256" t="n"/>
      <c r="AO88" s="256" t="n"/>
    </row>
    <row r="89">
      <c r="A89" s="239" t="n"/>
      <c r="B89" s="239" t="n"/>
      <c r="C89" s="239" t="n"/>
      <c r="D89" s="239" t="n"/>
      <c r="E89" s="239" t="n"/>
      <c r="F89" s="239" t="n"/>
      <c r="G89" s="239" t="n"/>
      <c r="H89" s="239" t="n"/>
      <c r="I89" s="239" t="n"/>
      <c r="J89" s="239" t="n"/>
      <c r="K89" s="239" t="n"/>
      <c r="L89" s="239" t="n"/>
      <c r="M89" s="239" t="n"/>
      <c r="N89" s="239" t="n"/>
      <c r="O89" s="239" t="n"/>
      <c r="P89" s="239" t="n"/>
      <c r="Q89" s="239" t="n"/>
      <c r="R89" s="239" t="n"/>
      <c r="S89" s="239" t="n"/>
      <c r="T89" s="239" t="n"/>
      <c r="U89" s="239" t="n"/>
      <c r="V89" s="239" t="n"/>
      <c r="W89" s="239" t="n"/>
      <c r="X89" s="239" t="n"/>
      <c r="Y89" s="239" t="n"/>
      <c r="Z89" s="239" t="n"/>
      <c r="AA89" s="239" t="n"/>
      <c r="AB89" s="239" t="n"/>
      <c r="AC89" s="239" t="n"/>
      <c r="AD89" s="239" t="n"/>
      <c r="AE89" s="239" t="n"/>
      <c r="AF89" s="239" t="n"/>
      <c r="AG89" s="239" t="n"/>
      <c r="AH89" s="239" t="n"/>
      <c r="AI89" s="239" t="n"/>
      <c r="AJ89" s="239" t="n"/>
      <c r="AK89" s="239" t="n"/>
      <c r="AL89" s="239" t="n"/>
      <c r="AM89" s="239" t="n"/>
      <c r="AN89" s="239" t="n"/>
      <c r="AO89" s="239" t="n"/>
    </row>
    <row r="90">
      <c r="A90" s="256" t="n"/>
      <c r="B90" s="256" t="n"/>
      <c r="C90" s="256" t="n"/>
      <c r="D90" s="256" t="n"/>
      <c r="E90" s="256" t="n"/>
      <c r="F90" s="256" t="n"/>
      <c r="G90" s="256" t="n"/>
      <c r="H90" s="256" t="n"/>
      <c r="I90" s="256" t="n"/>
      <c r="J90" s="256" t="n"/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  <c r="AI90" s="256" t="n"/>
      <c r="AJ90" s="256" t="n"/>
      <c r="AK90" s="256" t="n"/>
      <c r="AL90" s="256" t="n"/>
      <c r="AM90" s="256" t="n"/>
      <c r="AN90" s="256" t="n"/>
      <c r="AO90" s="256" t="n"/>
    </row>
    <row r="91">
      <c r="A91" s="239" t="n"/>
      <c r="B91" s="239" t="n"/>
      <c r="C91" s="239" t="n"/>
      <c r="D91" s="239" t="n"/>
      <c r="E91" s="239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39" t="n"/>
      <c r="Y91" s="239" t="n"/>
      <c r="Z91" s="239" t="n"/>
      <c r="AA91" s="239" t="n"/>
      <c r="AB91" s="239" t="n"/>
      <c r="AC91" s="239" t="n"/>
      <c r="AD91" s="239" t="n"/>
      <c r="AE91" s="239" t="n"/>
      <c r="AF91" s="239" t="n"/>
      <c r="AG91" s="239" t="n"/>
      <c r="AH91" s="239" t="n"/>
      <c r="AI91" s="239" t="n"/>
      <c r="AJ91" s="239" t="n"/>
      <c r="AK91" s="239" t="n"/>
      <c r="AL91" s="239" t="n"/>
      <c r="AM91" s="239" t="n"/>
      <c r="AN91" s="239" t="n"/>
      <c r="AO91" s="239" t="n"/>
    </row>
    <row r="92">
      <c r="A92" s="256" t="n"/>
      <c r="B92" s="256" t="n"/>
      <c r="C92" s="256" t="n"/>
      <c r="D92" s="256" t="n"/>
      <c r="E92" s="256" t="n"/>
      <c r="F92" s="256" t="n"/>
      <c r="G92" s="256" t="n"/>
      <c r="H92" s="256" t="n"/>
      <c r="I92" s="256" t="n"/>
      <c r="J92" s="256" t="n"/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  <c r="AI92" s="256" t="n"/>
      <c r="AJ92" s="256" t="n"/>
      <c r="AK92" s="256" t="n"/>
      <c r="AL92" s="256" t="n"/>
      <c r="AM92" s="256" t="n"/>
      <c r="AN92" s="256" t="n"/>
      <c r="AO92" s="256" t="n"/>
    </row>
    <row r="93">
      <c r="A93" s="239" t="n"/>
      <c r="B93" s="239" t="n"/>
      <c r="C93" s="239" t="n"/>
      <c r="D93" s="239" t="n"/>
      <c r="E93" s="239" t="n"/>
      <c r="F93" s="239" t="n"/>
      <c r="G93" s="239" t="n"/>
      <c r="H93" s="239" t="n"/>
      <c r="I93" s="239" t="n"/>
      <c r="J93" s="239" t="n"/>
      <c r="K93" s="239" t="n"/>
      <c r="L93" s="239" t="n"/>
      <c r="M93" s="239" t="n"/>
      <c r="N93" s="239" t="n"/>
      <c r="O93" s="239" t="n"/>
      <c r="P93" s="239" t="n"/>
      <c r="Q93" s="239" t="n"/>
      <c r="R93" s="239" t="n"/>
      <c r="S93" s="239" t="n"/>
      <c r="T93" s="239" t="n"/>
      <c r="U93" s="239" t="n"/>
      <c r="V93" s="239" t="n"/>
      <c r="W93" s="239" t="n"/>
      <c r="X93" s="239" t="n"/>
      <c r="Y93" s="239" t="n"/>
      <c r="Z93" s="239" t="n"/>
      <c r="AA93" s="239" t="n"/>
      <c r="AB93" s="239" t="n"/>
      <c r="AC93" s="239" t="n"/>
      <c r="AD93" s="239" t="n"/>
      <c r="AE93" s="239" t="n"/>
      <c r="AF93" s="239" t="n"/>
      <c r="AG93" s="239" t="n"/>
      <c r="AH93" s="239" t="n"/>
      <c r="AI93" s="239" t="n"/>
      <c r="AJ93" s="239" t="n"/>
      <c r="AK93" s="239" t="n"/>
      <c r="AL93" s="239" t="n"/>
      <c r="AM93" s="239" t="n"/>
      <c r="AN93" s="239" t="n"/>
      <c r="AO93" s="239" t="n"/>
    </row>
    <row r="94">
      <c r="A94" s="256" t="n"/>
      <c r="B94" s="256" t="n"/>
      <c r="C94" s="256" t="n"/>
      <c r="D94" s="256" t="n"/>
      <c r="E94" s="256" t="n"/>
      <c r="F94" s="256" t="n"/>
      <c r="G94" s="256" t="n"/>
      <c r="H94" s="256" t="n"/>
      <c r="I94" s="256" t="n"/>
      <c r="J94" s="256" t="n"/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n"/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  <c r="AI94" s="256" t="n"/>
      <c r="AJ94" s="256" t="n"/>
      <c r="AK94" s="256" t="n"/>
      <c r="AL94" s="256" t="n"/>
      <c r="AM94" s="256" t="n"/>
      <c r="AN94" s="256" t="n"/>
      <c r="AO94" s="256" t="n"/>
    </row>
    <row r="95">
      <c r="A95" s="239" t="n"/>
      <c r="B95" s="239" t="n"/>
      <c r="C95" s="239" t="n"/>
      <c r="D95" s="239" t="n"/>
      <c r="E95" s="239" t="n"/>
      <c r="F95" s="239" t="n"/>
      <c r="G95" s="239" t="n"/>
      <c r="H95" s="239" t="n"/>
      <c r="I95" s="239" t="n"/>
      <c r="J95" s="239" t="n"/>
      <c r="K95" s="239" t="n"/>
      <c r="L95" s="239" t="n"/>
      <c r="M95" s="239" t="n"/>
      <c r="N95" s="239" t="n"/>
      <c r="O95" s="239" t="n"/>
      <c r="P95" s="239" t="n"/>
      <c r="Q95" s="239" t="n"/>
      <c r="R95" s="239" t="n"/>
      <c r="S95" s="239" t="n"/>
      <c r="T95" s="239" t="n"/>
      <c r="U95" s="239" t="n"/>
      <c r="V95" s="239" t="n"/>
      <c r="W95" s="239" t="n"/>
      <c r="X95" s="239" t="n"/>
      <c r="Y95" s="239" t="n"/>
      <c r="Z95" s="239" t="n"/>
      <c r="AA95" s="239" t="n"/>
      <c r="AB95" s="239" t="n"/>
      <c r="AC95" s="239" t="n"/>
      <c r="AD95" s="239" t="n"/>
      <c r="AE95" s="239" t="n"/>
      <c r="AF95" s="239" t="n"/>
      <c r="AG95" s="239" t="n"/>
      <c r="AH95" s="239" t="n"/>
      <c r="AI95" s="239" t="n"/>
      <c r="AJ95" s="239" t="n"/>
      <c r="AK95" s="239" t="n"/>
      <c r="AL95" s="239" t="n"/>
      <c r="AM95" s="239" t="n"/>
      <c r="AN95" s="239" t="n"/>
      <c r="AO95" s="239" t="n"/>
    </row>
    <row r="96">
      <c r="A96" s="256" t="n"/>
      <c r="B96" s="256" t="n"/>
      <c r="C96" s="256" t="n"/>
      <c r="D96" s="256" t="n"/>
      <c r="E96" s="256" t="n"/>
      <c r="F96" s="256" t="n"/>
      <c r="G96" s="256" t="n"/>
      <c r="H96" s="256" t="n"/>
      <c r="I96" s="256" t="n"/>
      <c r="J96" s="256" t="n"/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  <c r="AI96" s="256" t="n"/>
      <c r="AJ96" s="256" t="n"/>
      <c r="AK96" s="256" t="n"/>
      <c r="AL96" s="256" t="n"/>
      <c r="AM96" s="256" t="n"/>
      <c r="AN96" s="256" t="n"/>
      <c r="AO96" s="256" t="n"/>
    </row>
    <row r="97">
      <c r="A97" s="239" t="n"/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9" t="n"/>
      <c r="Y97" s="239" t="n"/>
      <c r="Z97" s="239" t="n"/>
      <c r="AA97" s="239" t="n"/>
      <c r="AB97" s="239" t="n"/>
      <c r="AC97" s="239" t="n"/>
      <c r="AD97" s="239" t="n"/>
      <c r="AE97" s="239" t="n"/>
      <c r="AF97" s="239" t="n"/>
      <c r="AG97" s="239" t="n"/>
      <c r="AH97" s="239" t="n"/>
      <c r="AI97" s="239" t="n"/>
      <c r="AJ97" s="239" t="n"/>
      <c r="AK97" s="239" t="n"/>
      <c r="AL97" s="239" t="n"/>
      <c r="AM97" s="239" t="n"/>
      <c r="AN97" s="239" t="n"/>
      <c r="AO97" s="239" t="n"/>
    </row>
    <row r="98">
      <c r="A98" s="256" t="n"/>
      <c r="B98" s="256" t="n"/>
      <c r="C98" s="256" t="n"/>
      <c r="D98" s="256" t="n"/>
      <c r="E98" s="256" t="n"/>
      <c r="F98" s="256" t="n"/>
      <c r="G98" s="256" t="n"/>
      <c r="H98" s="256" t="n"/>
      <c r="I98" s="256" t="n"/>
      <c r="J98" s="256" t="n"/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  <c r="AI98" s="256" t="n"/>
      <c r="AJ98" s="256" t="n"/>
      <c r="AK98" s="256" t="n"/>
      <c r="AL98" s="256" t="n"/>
      <c r="AM98" s="256" t="n"/>
      <c r="AN98" s="256" t="n"/>
      <c r="AO98" s="256" t="n"/>
    </row>
    <row r="99">
      <c r="A99" s="239" t="n"/>
      <c r="B99" s="239" t="n"/>
      <c r="C99" s="239" t="n"/>
      <c r="D99" s="239" t="n"/>
      <c r="E99" s="239" t="n"/>
      <c r="F99" s="239" t="n"/>
      <c r="G99" s="239" t="n"/>
      <c r="H99" s="239" t="n"/>
      <c r="I99" s="239" t="n"/>
      <c r="J99" s="239" t="n"/>
      <c r="K99" s="239" t="n"/>
      <c r="L99" s="239" t="n"/>
      <c r="M99" s="239" t="n"/>
      <c r="N99" s="239" t="n"/>
      <c r="O99" s="239" t="n"/>
      <c r="P99" s="239" t="n"/>
      <c r="Q99" s="239" t="n"/>
      <c r="R99" s="239" t="n"/>
      <c r="S99" s="239" t="n"/>
      <c r="T99" s="239" t="n"/>
      <c r="U99" s="239" t="n"/>
      <c r="V99" s="239" t="n"/>
      <c r="W99" s="239" t="n"/>
      <c r="X99" s="239" t="n"/>
      <c r="Y99" s="239" t="n"/>
      <c r="Z99" s="239" t="n"/>
      <c r="AA99" s="239" t="n"/>
      <c r="AB99" s="239" t="n"/>
      <c r="AC99" s="239" t="n"/>
      <c r="AD99" s="239" t="n"/>
      <c r="AE99" s="239" t="n"/>
      <c r="AF99" s="239" t="n"/>
      <c r="AG99" s="239" t="n"/>
      <c r="AH99" s="239" t="n"/>
      <c r="AI99" s="239" t="n"/>
      <c r="AJ99" s="239" t="n"/>
      <c r="AK99" s="239" t="n"/>
      <c r="AL99" s="239" t="n"/>
      <c r="AM99" s="239" t="n"/>
      <c r="AN99" s="239" t="n"/>
      <c r="AO99" s="239" t="n"/>
    </row>
    <row r="100">
      <c r="A100" s="256" t="n"/>
      <c r="B100" s="256" t="n"/>
      <c r="C100" s="256" t="n"/>
      <c r="D100" s="256" t="n"/>
      <c r="E100" s="256" t="n"/>
      <c r="F100" s="256" t="n"/>
      <c r="G100" s="256" t="n"/>
      <c r="H100" s="256" t="n"/>
      <c r="I100" s="256" t="n"/>
      <c r="J100" s="256" t="n"/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  <c r="AI100" s="256" t="n"/>
      <c r="AJ100" s="256" t="n"/>
      <c r="AK100" s="256" t="n"/>
      <c r="AL100" s="256" t="n"/>
      <c r="AM100" s="256" t="n"/>
      <c r="AN100" s="256" t="n"/>
      <c r="AO100" s="256" t="n"/>
    </row>
    <row r="101">
      <c r="A101" s="239" t="n"/>
      <c r="B101" s="239" t="n"/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39" t="n"/>
      <c r="Y101" s="239" t="n"/>
      <c r="Z101" s="239" t="n"/>
      <c r="AA101" s="239" t="n"/>
      <c r="AB101" s="239" t="n"/>
      <c r="AC101" s="239" t="n"/>
      <c r="AD101" s="239" t="n"/>
      <c r="AE101" s="239" t="n"/>
      <c r="AF101" s="239" t="n"/>
      <c r="AG101" s="239" t="n"/>
      <c r="AH101" s="239" t="n"/>
      <c r="AI101" s="239" t="n"/>
      <c r="AJ101" s="239" t="n"/>
      <c r="AK101" s="239" t="n"/>
      <c r="AL101" s="239" t="n"/>
      <c r="AM101" s="239" t="n"/>
      <c r="AN101" s="239" t="n"/>
      <c r="AO101" s="239" t="n"/>
    </row>
    <row r="102">
      <c r="A102" s="256" t="n"/>
      <c r="B102" s="256" t="n"/>
      <c r="C102" s="256" t="n"/>
      <c r="D102" s="256" t="n"/>
      <c r="E102" s="256" t="n"/>
      <c r="F102" s="256" t="n"/>
      <c r="G102" s="256" t="n"/>
      <c r="H102" s="256" t="n"/>
      <c r="I102" s="256" t="n"/>
      <c r="J102" s="256" t="n"/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  <c r="AI102" s="256" t="n"/>
      <c r="AJ102" s="256" t="n"/>
      <c r="AK102" s="256" t="n"/>
      <c r="AL102" s="256" t="n"/>
      <c r="AM102" s="256" t="n"/>
      <c r="AN102" s="256" t="n"/>
      <c r="AO102" s="256" t="n"/>
    </row>
    <row r="103">
      <c r="A103" s="239" t="n"/>
      <c r="B103" s="239" t="n"/>
      <c r="C103" s="239" t="n"/>
      <c r="D103" s="239" t="n"/>
      <c r="E103" s="239" t="n"/>
      <c r="F103" s="239" t="n"/>
      <c r="G103" s="239" t="n"/>
      <c r="H103" s="239" t="n"/>
      <c r="I103" s="239" t="n"/>
      <c r="J103" s="239" t="n"/>
      <c r="K103" s="239" t="n"/>
      <c r="L103" s="239" t="n"/>
      <c r="M103" s="239" t="n"/>
      <c r="N103" s="239" t="n"/>
      <c r="O103" s="239" t="n"/>
      <c r="P103" s="239" t="n"/>
      <c r="Q103" s="239" t="n"/>
      <c r="R103" s="239" t="n"/>
      <c r="S103" s="239" t="n"/>
      <c r="T103" s="239" t="n"/>
      <c r="U103" s="239" t="n"/>
      <c r="V103" s="239" t="n"/>
      <c r="W103" s="239" t="n"/>
      <c r="X103" s="239" t="n"/>
      <c r="Y103" s="239" t="n"/>
      <c r="Z103" s="239" t="n"/>
      <c r="AA103" s="239" t="n"/>
      <c r="AB103" s="239" t="n"/>
      <c r="AC103" s="239" t="n"/>
      <c r="AD103" s="239" t="n"/>
      <c r="AE103" s="239" t="n"/>
      <c r="AF103" s="239" t="n"/>
      <c r="AG103" s="239" t="n"/>
      <c r="AH103" s="239" t="n"/>
      <c r="AI103" s="239" t="n"/>
      <c r="AJ103" s="239" t="n"/>
      <c r="AK103" s="239" t="n"/>
      <c r="AL103" s="239" t="n"/>
      <c r="AM103" s="239" t="n"/>
      <c r="AN103" s="239" t="n"/>
      <c r="AO103" s="239" t="n"/>
    </row>
    <row r="104">
      <c r="A104" s="256" t="n"/>
      <c r="B104" s="256" t="n"/>
      <c r="C104" s="256" t="n"/>
      <c r="D104" s="256" t="n"/>
      <c r="E104" s="256" t="n"/>
      <c r="F104" s="256" t="n"/>
      <c r="G104" s="256" t="n"/>
      <c r="H104" s="256" t="n"/>
      <c r="I104" s="256" t="n"/>
      <c r="J104" s="256" t="n"/>
      <c r="K104" s="256" t="n"/>
      <c r="L104" s="256" t="n"/>
      <c r="M104" s="256" t="n"/>
      <c r="N104" s="256" t="n"/>
      <c r="O104" s="256" t="n"/>
      <c r="P104" s="256" t="n"/>
      <c r="Q104" s="256" t="n"/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  <c r="AI104" s="256" t="n"/>
      <c r="AJ104" s="256" t="n"/>
      <c r="AK104" s="256" t="n"/>
      <c r="AL104" s="256" t="n"/>
      <c r="AM104" s="256" t="n"/>
      <c r="AN104" s="256" t="n"/>
      <c r="AO104" s="256" t="n"/>
    </row>
    <row r="105">
      <c r="A105" s="239" t="n"/>
      <c r="B105" s="239" t="n"/>
      <c r="C105" s="239" t="n"/>
      <c r="D105" s="239" t="n"/>
      <c r="E105" s="239" t="n"/>
      <c r="F105" s="239" t="n"/>
      <c r="G105" s="239" t="n"/>
      <c r="H105" s="239" t="n"/>
      <c r="I105" s="239" t="n"/>
      <c r="J105" s="239" t="n"/>
      <c r="K105" s="239" t="n"/>
      <c r="L105" s="239" t="n"/>
      <c r="M105" s="239" t="n"/>
      <c r="N105" s="239" t="n"/>
      <c r="O105" s="239" t="n"/>
      <c r="P105" s="239" t="n"/>
      <c r="Q105" s="239" t="n"/>
      <c r="R105" s="239" t="n"/>
      <c r="S105" s="239" t="n"/>
      <c r="T105" s="239" t="n"/>
      <c r="U105" s="239" t="n"/>
      <c r="V105" s="239" t="n"/>
      <c r="W105" s="239" t="n"/>
      <c r="X105" s="239" t="n"/>
      <c r="Y105" s="239" t="n"/>
      <c r="Z105" s="239" t="n"/>
      <c r="AA105" s="239" t="n"/>
      <c r="AB105" s="239" t="n"/>
      <c r="AC105" s="239" t="n"/>
      <c r="AD105" s="239" t="n"/>
      <c r="AE105" s="239" t="n"/>
      <c r="AF105" s="239" t="n"/>
      <c r="AG105" s="239" t="n"/>
      <c r="AH105" s="239" t="n"/>
      <c r="AI105" s="239" t="n"/>
      <c r="AJ105" s="239" t="n"/>
      <c r="AK105" s="239" t="n"/>
      <c r="AL105" s="239" t="n"/>
      <c r="AM105" s="239" t="n"/>
      <c r="AN105" s="239" t="n"/>
      <c r="AO105" s="239" t="n"/>
    </row>
    <row r="106">
      <c r="A106" s="256" t="n"/>
      <c r="B106" s="256" t="n"/>
      <c r="C106" s="256" t="n"/>
      <c r="D106" s="256" t="n"/>
      <c r="E106" s="256" t="n"/>
      <c r="F106" s="256" t="n"/>
      <c r="G106" s="256" t="n"/>
      <c r="H106" s="256" t="n"/>
      <c r="I106" s="256" t="n"/>
      <c r="J106" s="256" t="n"/>
      <c r="K106" s="256" t="n"/>
      <c r="L106" s="256" t="n"/>
      <c r="M106" s="256" t="n"/>
      <c r="N106" s="256" t="n"/>
      <c r="O106" s="256" t="n"/>
      <c r="P106" s="256" t="n"/>
      <c r="Q106" s="256" t="n"/>
      <c r="R106" s="256" t="n"/>
      <c r="S106" s="256" t="n"/>
      <c r="T106" s="256" t="n"/>
      <c r="U106" s="256" t="n"/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  <c r="AI106" s="256" t="n"/>
      <c r="AJ106" s="256" t="n"/>
      <c r="AK106" s="256" t="n"/>
      <c r="AL106" s="256" t="n"/>
      <c r="AM106" s="256" t="n"/>
      <c r="AN106" s="256" t="n"/>
      <c r="AO106" s="256" t="n"/>
    </row>
    <row r="107">
      <c r="A107" s="239" t="n"/>
      <c r="B107" s="239" t="n"/>
      <c r="C107" s="239" t="n"/>
      <c r="D107" s="239" t="n"/>
      <c r="E107" s="239" t="n"/>
      <c r="F107" s="239" t="n"/>
      <c r="G107" s="239" t="n"/>
      <c r="H107" s="239" t="n"/>
      <c r="I107" s="239" t="n"/>
      <c r="J107" s="239" t="n"/>
      <c r="K107" s="239" t="n"/>
      <c r="L107" s="239" t="n"/>
      <c r="M107" s="239" t="n"/>
      <c r="N107" s="239" t="n"/>
      <c r="O107" s="239" t="n"/>
      <c r="P107" s="239" t="n"/>
      <c r="Q107" s="239" t="n"/>
      <c r="R107" s="239" t="n"/>
      <c r="S107" s="239" t="n"/>
      <c r="T107" s="239" t="n"/>
      <c r="U107" s="239" t="n"/>
      <c r="V107" s="239" t="n"/>
      <c r="W107" s="239" t="n"/>
      <c r="X107" s="239" t="n"/>
      <c r="Y107" s="239" t="n"/>
      <c r="Z107" s="239" t="n"/>
      <c r="AA107" s="239" t="n"/>
      <c r="AB107" s="239" t="n"/>
      <c r="AC107" s="239" t="n"/>
      <c r="AD107" s="239" t="n"/>
      <c r="AE107" s="239" t="n"/>
      <c r="AF107" s="239" t="n"/>
      <c r="AG107" s="239" t="n"/>
      <c r="AH107" s="239" t="n"/>
      <c r="AI107" s="239" t="n"/>
      <c r="AJ107" s="239" t="n"/>
      <c r="AK107" s="239" t="n"/>
      <c r="AL107" s="239" t="n"/>
      <c r="AM107" s="239" t="n"/>
      <c r="AN107" s="239" t="n"/>
      <c r="AO107" s="239" t="n"/>
    </row>
    <row r="108">
      <c r="A108" s="256" t="n"/>
      <c r="B108" s="256" t="n"/>
      <c r="C108" s="256" t="n"/>
      <c r="D108" s="256" t="n"/>
      <c r="E108" s="256" t="n"/>
      <c r="F108" s="256" t="n"/>
      <c r="G108" s="256" t="n"/>
      <c r="H108" s="256" t="n"/>
      <c r="I108" s="256" t="n"/>
      <c r="J108" s="256" t="n"/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  <c r="AI108" s="256" t="n"/>
      <c r="AJ108" s="256" t="n"/>
      <c r="AK108" s="256" t="n"/>
      <c r="AL108" s="256" t="n"/>
      <c r="AM108" s="256" t="n"/>
      <c r="AN108" s="256" t="n"/>
      <c r="AO108" s="256" t="n"/>
    </row>
    <row r="109">
      <c r="A109" s="239" t="n"/>
      <c r="B109" s="239" t="n"/>
      <c r="C109" s="239" t="n"/>
      <c r="D109" s="239" t="n"/>
      <c r="E109" s="239" t="n"/>
      <c r="F109" s="239" t="n"/>
      <c r="G109" s="239" t="n"/>
      <c r="H109" s="239" t="n"/>
      <c r="I109" s="239" t="n"/>
      <c r="J109" s="239" t="n"/>
      <c r="K109" s="239" t="n"/>
      <c r="L109" s="239" t="n"/>
      <c r="M109" s="239" t="n"/>
      <c r="N109" s="239" t="n"/>
      <c r="O109" s="239" t="n"/>
      <c r="P109" s="239" t="n"/>
      <c r="Q109" s="239" t="n"/>
      <c r="R109" s="239" t="n"/>
      <c r="S109" s="239" t="n"/>
      <c r="T109" s="239" t="n"/>
      <c r="U109" s="239" t="n"/>
      <c r="V109" s="239" t="n"/>
      <c r="W109" s="239" t="n"/>
      <c r="X109" s="239" t="n"/>
      <c r="Y109" s="239" t="n"/>
      <c r="Z109" s="239" t="n"/>
      <c r="AA109" s="239" t="n"/>
      <c r="AB109" s="239" t="n"/>
      <c r="AC109" s="239" t="n"/>
      <c r="AD109" s="239" t="n"/>
      <c r="AE109" s="239" t="n"/>
      <c r="AF109" s="239" t="n"/>
      <c r="AG109" s="239" t="n"/>
      <c r="AH109" s="239" t="n"/>
      <c r="AI109" s="239" t="n"/>
      <c r="AJ109" s="239" t="n"/>
      <c r="AK109" s="239" t="n"/>
      <c r="AL109" s="239" t="n"/>
      <c r="AM109" s="239" t="n"/>
      <c r="AN109" s="239" t="n"/>
      <c r="AO109" s="239" t="n"/>
    </row>
    <row r="110">
      <c r="A110" s="256" t="n"/>
      <c r="B110" s="256" t="n"/>
      <c r="C110" s="256" t="n"/>
      <c r="D110" s="256" t="n"/>
      <c r="E110" s="256" t="n"/>
      <c r="F110" s="256" t="n"/>
      <c r="G110" s="256" t="n"/>
      <c r="H110" s="256" t="n"/>
      <c r="I110" s="256" t="n"/>
      <c r="J110" s="256" t="n"/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  <c r="AI110" s="256" t="n"/>
      <c r="AJ110" s="256" t="n"/>
      <c r="AK110" s="256" t="n"/>
      <c r="AL110" s="256" t="n"/>
      <c r="AM110" s="256" t="n"/>
      <c r="AN110" s="256" t="n"/>
      <c r="AO110" s="256" t="n"/>
    </row>
    <row r="111">
      <c r="A111" s="239" t="n"/>
      <c r="B111" s="239" t="n"/>
      <c r="C111" s="239" t="n"/>
      <c r="D111" s="239" t="n"/>
      <c r="E111" s="239" t="n"/>
      <c r="F111" s="239" t="n"/>
      <c r="G111" s="239" t="n"/>
      <c r="H111" s="239" t="n"/>
      <c r="I111" s="239" t="n"/>
      <c r="J111" s="239" t="n"/>
      <c r="K111" s="239" t="n"/>
      <c r="L111" s="239" t="n"/>
      <c r="M111" s="239" t="n"/>
      <c r="N111" s="239" t="n"/>
      <c r="O111" s="239" t="n"/>
      <c r="P111" s="239" t="n"/>
      <c r="Q111" s="239" t="n"/>
      <c r="R111" s="239" t="n"/>
      <c r="S111" s="239" t="n"/>
      <c r="T111" s="239" t="n"/>
      <c r="U111" s="239" t="n"/>
      <c r="V111" s="239" t="n"/>
      <c r="W111" s="239" t="n"/>
      <c r="X111" s="239" t="n"/>
      <c r="Y111" s="239" t="n"/>
      <c r="Z111" s="239" t="n"/>
      <c r="AA111" s="239" t="n"/>
      <c r="AB111" s="239" t="n"/>
      <c r="AC111" s="239" t="n"/>
      <c r="AD111" s="239" t="n"/>
      <c r="AE111" s="239" t="n"/>
      <c r="AF111" s="239" t="n"/>
      <c r="AG111" s="239" t="n"/>
      <c r="AH111" s="239" t="n"/>
      <c r="AI111" s="239" t="n"/>
      <c r="AJ111" s="239" t="n"/>
      <c r="AK111" s="239" t="n"/>
      <c r="AL111" s="239" t="n"/>
      <c r="AM111" s="239" t="n"/>
      <c r="AN111" s="239" t="n"/>
      <c r="AO111" s="239" t="n"/>
    </row>
    <row r="112">
      <c r="A112" s="256" t="n"/>
      <c r="B112" s="256" t="n"/>
      <c r="C112" s="256" t="n"/>
      <c r="D112" s="256" t="n"/>
      <c r="E112" s="256" t="n"/>
      <c r="F112" s="256" t="n"/>
      <c r="G112" s="256" t="n"/>
      <c r="H112" s="256" t="n"/>
      <c r="I112" s="256" t="n"/>
      <c r="J112" s="256" t="n"/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  <c r="AI112" s="256" t="n"/>
      <c r="AJ112" s="256" t="n"/>
      <c r="AK112" s="256" t="n"/>
      <c r="AL112" s="256" t="n"/>
      <c r="AM112" s="256" t="n"/>
      <c r="AN112" s="256" t="n"/>
      <c r="AO112" s="256" t="n"/>
    </row>
    <row r="113">
      <c r="A113" s="239" t="n"/>
      <c r="B113" s="239" t="n"/>
      <c r="C113" s="239" t="n"/>
      <c r="D113" s="239" t="n"/>
      <c r="E113" s="239" t="n"/>
      <c r="F113" s="239" t="n"/>
      <c r="G113" s="239" t="n"/>
      <c r="H113" s="239" t="n"/>
      <c r="I113" s="239" t="n"/>
      <c r="J113" s="239" t="n"/>
      <c r="K113" s="239" t="n"/>
      <c r="L113" s="239" t="n"/>
      <c r="M113" s="239" t="n"/>
      <c r="N113" s="239" t="n"/>
      <c r="O113" s="239" t="n"/>
      <c r="P113" s="239" t="n"/>
      <c r="Q113" s="239" t="n"/>
      <c r="R113" s="239" t="n"/>
      <c r="S113" s="239" t="n"/>
      <c r="T113" s="239" t="n"/>
      <c r="U113" s="239" t="n"/>
      <c r="V113" s="239" t="n"/>
      <c r="W113" s="239" t="n"/>
      <c r="X113" s="239" t="n"/>
      <c r="Y113" s="239" t="n"/>
      <c r="Z113" s="239" t="n"/>
      <c r="AA113" s="239" t="n"/>
      <c r="AB113" s="239" t="n"/>
      <c r="AC113" s="239" t="n"/>
      <c r="AD113" s="239" t="n"/>
      <c r="AE113" s="239" t="n"/>
      <c r="AF113" s="239" t="n"/>
      <c r="AG113" s="239" t="n"/>
      <c r="AH113" s="239" t="n"/>
      <c r="AI113" s="239" t="n"/>
      <c r="AJ113" s="239" t="n"/>
      <c r="AK113" s="239" t="n"/>
      <c r="AL113" s="239" t="n"/>
      <c r="AM113" s="239" t="n"/>
      <c r="AN113" s="239" t="n"/>
      <c r="AO113" s="239" t="n"/>
    </row>
    <row r="114">
      <c r="A114" s="256" t="n"/>
      <c r="B114" s="256" t="n"/>
      <c r="C114" s="256" t="n"/>
      <c r="D114" s="256" t="n"/>
      <c r="E114" s="256" t="n"/>
      <c r="F114" s="256" t="n"/>
      <c r="G114" s="256" t="n"/>
      <c r="H114" s="256" t="n"/>
      <c r="I114" s="256" t="n"/>
      <c r="J114" s="256" t="n"/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56" t="n"/>
      <c r="AJ114" s="256" t="n"/>
      <c r="AK114" s="256" t="n"/>
      <c r="AL114" s="256" t="n"/>
      <c r="AM114" s="256" t="n"/>
      <c r="AN114" s="256" t="n"/>
      <c r="AO114" s="256" t="n"/>
    </row>
    <row r="115">
      <c r="A115" s="239" t="n"/>
      <c r="B115" s="239" t="n"/>
      <c r="C115" s="239" t="n"/>
      <c r="D115" s="239" t="n"/>
      <c r="E115" s="239" t="n"/>
      <c r="F115" s="239" t="n"/>
      <c r="G115" s="239" t="n"/>
      <c r="H115" s="239" t="n"/>
      <c r="I115" s="239" t="n"/>
      <c r="J115" s="239" t="n"/>
      <c r="K115" s="239" t="n"/>
      <c r="L115" s="239" t="n"/>
      <c r="M115" s="239" t="n"/>
      <c r="N115" s="239" t="n"/>
      <c r="O115" s="239" t="n"/>
      <c r="P115" s="239" t="n"/>
      <c r="Q115" s="239" t="n"/>
      <c r="R115" s="239" t="n"/>
      <c r="S115" s="239" t="n"/>
      <c r="T115" s="239" t="n"/>
      <c r="U115" s="239" t="n"/>
      <c r="V115" s="239" t="n"/>
      <c r="W115" s="239" t="n"/>
      <c r="X115" s="239" t="n"/>
      <c r="Y115" s="239" t="n"/>
      <c r="Z115" s="239" t="n"/>
      <c r="AA115" s="239" t="n"/>
      <c r="AB115" s="239" t="n"/>
      <c r="AC115" s="239" t="n"/>
      <c r="AD115" s="239" t="n"/>
      <c r="AE115" s="239" t="n"/>
      <c r="AF115" s="239" t="n"/>
      <c r="AG115" s="239" t="n"/>
      <c r="AH115" s="239" t="n"/>
      <c r="AI115" s="239" t="n"/>
      <c r="AJ115" s="239" t="n"/>
      <c r="AK115" s="239" t="n"/>
      <c r="AL115" s="239" t="n"/>
      <c r="AM115" s="239" t="n"/>
      <c r="AN115" s="239" t="n"/>
      <c r="AO115" s="239" t="n"/>
    </row>
    <row r="116">
      <c r="A116" s="256" t="n"/>
      <c r="B116" s="256" t="n"/>
      <c r="C116" s="256" t="n"/>
      <c r="D116" s="256" t="n"/>
      <c r="E116" s="256" t="n"/>
      <c r="F116" s="256" t="n"/>
      <c r="G116" s="256" t="n"/>
      <c r="H116" s="256" t="n"/>
      <c r="I116" s="256" t="n"/>
      <c r="J116" s="256" t="n"/>
      <c r="K116" s="256" t="n"/>
      <c r="L116" s="256" t="n"/>
      <c r="M116" s="256" t="n"/>
      <c r="N116" s="256" t="n"/>
      <c r="O116" s="256" t="n"/>
      <c r="P116" s="256" t="n"/>
      <c r="Q116" s="256" t="n"/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  <c r="AI116" s="256" t="n"/>
      <c r="AJ116" s="256" t="n"/>
      <c r="AK116" s="256" t="n"/>
      <c r="AL116" s="256" t="n"/>
      <c r="AM116" s="256" t="n"/>
      <c r="AN116" s="256" t="n"/>
      <c r="AO116" s="256" t="n"/>
    </row>
    <row r="117">
      <c r="A117" s="239" t="n"/>
      <c r="B117" s="239" t="n"/>
      <c r="C117" s="239" t="n"/>
      <c r="D117" s="239" t="n"/>
      <c r="E117" s="239" t="n"/>
      <c r="F117" s="239" t="n"/>
      <c r="G117" s="239" t="n"/>
      <c r="H117" s="239" t="n"/>
      <c r="I117" s="239" t="n"/>
      <c r="J117" s="239" t="n"/>
      <c r="K117" s="239" t="n"/>
      <c r="L117" s="239" t="n"/>
      <c r="M117" s="239" t="n"/>
      <c r="N117" s="239" t="n"/>
      <c r="O117" s="239" t="n"/>
      <c r="P117" s="239" t="n"/>
      <c r="Q117" s="239" t="n"/>
      <c r="R117" s="239" t="n"/>
      <c r="S117" s="239" t="n"/>
      <c r="T117" s="239" t="n"/>
      <c r="U117" s="239" t="n"/>
      <c r="V117" s="239" t="n"/>
      <c r="W117" s="239" t="n"/>
      <c r="X117" s="239" t="n"/>
      <c r="Y117" s="239" t="n"/>
      <c r="Z117" s="239" t="n"/>
      <c r="AA117" s="239" t="n"/>
      <c r="AB117" s="239" t="n"/>
      <c r="AC117" s="239" t="n"/>
      <c r="AD117" s="239" t="n"/>
      <c r="AE117" s="239" t="n"/>
      <c r="AF117" s="239" t="n"/>
      <c r="AG117" s="239" t="n"/>
      <c r="AH117" s="239" t="n"/>
      <c r="AI117" s="239" t="n"/>
      <c r="AJ117" s="239" t="n"/>
      <c r="AK117" s="239" t="n"/>
      <c r="AL117" s="239" t="n"/>
      <c r="AM117" s="239" t="n"/>
      <c r="AN117" s="239" t="n"/>
      <c r="AO117" s="239" t="n"/>
    </row>
    <row r="118">
      <c r="A118" s="256" t="n"/>
      <c r="B118" s="256" t="n"/>
      <c r="C118" s="256" t="n"/>
      <c r="D118" s="256" t="n"/>
      <c r="E118" s="256" t="n"/>
      <c r="F118" s="256" t="n"/>
      <c r="G118" s="256" t="n"/>
      <c r="H118" s="256" t="n"/>
      <c r="I118" s="256" t="n"/>
      <c r="J118" s="256" t="n"/>
      <c r="K118" s="256" t="n"/>
      <c r="L118" s="256" t="n"/>
      <c r="M118" s="256" t="n"/>
      <c r="N118" s="256" t="n"/>
      <c r="O118" s="256" t="n"/>
      <c r="P118" s="256" t="n"/>
      <c r="Q118" s="256" t="n"/>
      <c r="R118" s="256" t="n"/>
      <c r="S118" s="256" t="n"/>
      <c r="T118" s="256" t="n"/>
      <c r="U118" s="256" t="n"/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  <c r="AI118" s="256" t="n"/>
      <c r="AJ118" s="256" t="n"/>
      <c r="AK118" s="256" t="n"/>
      <c r="AL118" s="256" t="n"/>
      <c r="AM118" s="256" t="n"/>
      <c r="AN118" s="256" t="n"/>
      <c r="AO118" s="256" t="n"/>
    </row>
    <row r="119">
      <c r="A119" s="239" t="n"/>
      <c r="B119" s="239" t="n"/>
      <c r="C119" s="239" t="n"/>
      <c r="D119" s="239" t="n"/>
      <c r="E119" s="239" t="n"/>
      <c r="F119" s="239" t="n"/>
      <c r="G119" s="239" t="n"/>
      <c r="H119" s="239" t="n"/>
      <c r="I119" s="239" t="n"/>
      <c r="J119" s="239" t="n"/>
      <c r="K119" s="239" t="n"/>
      <c r="L119" s="239" t="n"/>
      <c r="M119" s="239" t="n"/>
      <c r="N119" s="239" t="n"/>
      <c r="O119" s="239" t="n"/>
      <c r="P119" s="239" t="n"/>
      <c r="Q119" s="239" t="n"/>
      <c r="R119" s="239" t="n"/>
      <c r="S119" s="239" t="n"/>
      <c r="T119" s="239" t="n"/>
      <c r="U119" s="239" t="n"/>
      <c r="V119" s="239" t="n"/>
      <c r="W119" s="239" t="n"/>
      <c r="X119" s="239" t="n"/>
      <c r="Y119" s="239" t="n"/>
      <c r="Z119" s="239" t="n"/>
      <c r="AA119" s="239" t="n"/>
      <c r="AB119" s="239" t="n"/>
      <c r="AC119" s="239" t="n"/>
      <c r="AD119" s="239" t="n"/>
      <c r="AE119" s="239" t="n"/>
      <c r="AF119" s="239" t="n"/>
      <c r="AG119" s="239" t="n"/>
      <c r="AH119" s="239" t="n"/>
      <c r="AI119" s="239" t="n"/>
      <c r="AJ119" s="239" t="n"/>
      <c r="AK119" s="239" t="n"/>
      <c r="AL119" s="239" t="n"/>
      <c r="AM119" s="239" t="n"/>
      <c r="AN119" s="239" t="n"/>
      <c r="AO119" s="239" t="n"/>
    </row>
    <row r="120">
      <c r="A120" s="256" t="n"/>
      <c r="B120" s="256" t="n"/>
      <c r="C120" s="256" t="n"/>
      <c r="D120" s="256" t="n"/>
      <c r="E120" s="256" t="n"/>
      <c r="F120" s="256" t="n"/>
      <c r="G120" s="256" t="n"/>
      <c r="H120" s="256" t="n"/>
      <c r="I120" s="256" t="n"/>
      <c r="J120" s="256" t="n"/>
      <c r="K120" s="256" t="n"/>
      <c r="L120" s="256" t="n"/>
      <c r="M120" s="256" t="n"/>
      <c r="N120" s="256" t="n"/>
      <c r="O120" s="256" t="n"/>
      <c r="P120" s="256" t="n"/>
      <c r="Q120" s="256" t="n"/>
      <c r="R120" s="256" t="n"/>
      <c r="S120" s="256" t="n"/>
      <c r="T120" s="256" t="n"/>
      <c r="U120" s="256" t="n"/>
      <c r="V120" s="256" t="n"/>
      <c r="W120" s="256" t="n"/>
      <c r="X120" s="256" t="n"/>
      <c r="Y120" s="256" t="n"/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  <c r="AI120" s="256" t="n"/>
      <c r="AJ120" s="256" t="n"/>
      <c r="AK120" s="256" t="n"/>
      <c r="AL120" s="256" t="n"/>
      <c r="AM120" s="256" t="n"/>
      <c r="AN120" s="256" t="n"/>
      <c r="AO120" s="256" t="n"/>
    </row>
    <row r="121">
      <c r="A121" s="239" t="n"/>
      <c r="B121" s="239" t="n"/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39" t="n"/>
      <c r="Y121" s="239" t="n"/>
      <c r="Z121" s="239" t="n"/>
      <c r="AA121" s="239" t="n"/>
      <c r="AB121" s="239" t="n"/>
      <c r="AC121" s="239" t="n"/>
      <c r="AD121" s="239" t="n"/>
      <c r="AE121" s="239" t="n"/>
      <c r="AF121" s="239" t="n"/>
      <c r="AG121" s="239" t="n"/>
      <c r="AH121" s="239" t="n"/>
      <c r="AI121" s="239" t="n"/>
      <c r="AJ121" s="239" t="n"/>
      <c r="AK121" s="239" t="n"/>
      <c r="AL121" s="239" t="n"/>
      <c r="AM121" s="239" t="n"/>
      <c r="AN121" s="239" t="n"/>
      <c r="AO121" s="239" t="n"/>
    </row>
    <row r="122">
      <c r="A122" s="256" t="n"/>
      <c r="B122" s="256" t="n"/>
      <c r="C122" s="256" t="n"/>
      <c r="D122" s="256" t="n"/>
      <c r="E122" s="256" t="n"/>
      <c r="F122" s="256" t="n"/>
      <c r="G122" s="256" t="n"/>
      <c r="H122" s="256" t="n"/>
      <c r="I122" s="256" t="n"/>
      <c r="J122" s="256" t="n"/>
      <c r="K122" s="256" t="n"/>
      <c r="L122" s="256" t="n"/>
      <c r="M122" s="256" t="n"/>
      <c r="N122" s="256" t="n"/>
      <c r="O122" s="256" t="n"/>
      <c r="P122" s="256" t="n"/>
      <c r="Q122" s="256" t="n"/>
      <c r="R122" s="256" t="n"/>
      <c r="S122" s="256" t="n"/>
      <c r="T122" s="256" t="n"/>
      <c r="U122" s="256" t="n"/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  <c r="AI122" s="256" t="n"/>
      <c r="AJ122" s="256" t="n"/>
      <c r="AK122" s="256" t="n"/>
      <c r="AL122" s="256" t="n"/>
      <c r="AM122" s="256" t="n"/>
      <c r="AN122" s="256" t="n"/>
      <c r="AO122" s="256" t="n"/>
    </row>
    <row r="123">
      <c r="A123" s="239" t="n"/>
      <c r="B123" s="239" t="n"/>
      <c r="C123" s="239" t="n"/>
      <c r="D123" s="239" t="n"/>
      <c r="E123" s="239" t="n"/>
      <c r="F123" s="239" t="n"/>
      <c r="G123" s="239" t="n"/>
      <c r="H123" s="239" t="n"/>
      <c r="I123" s="239" t="n"/>
      <c r="J123" s="239" t="n"/>
      <c r="K123" s="239" t="n"/>
      <c r="L123" s="239" t="n"/>
      <c r="M123" s="239" t="n"/>
      <c r="N123" s="239" t="n"/>
      <c r="O123" s="239" t="n"/>
      <c r="P123" s="239" t="n"/>
      <c r="Q123" s="239" t="n"/>
      <c r="R123" s="239" t="n"/>
      <c r="S123" s="239" t="n"/>
      <c r="T123" s="239" t="n"/>
      <c r="U123" s="239" t="n"/>
      <c r="V123" s="239" t="n"/>
      <c r="W123" s="239" t="n"/>
      <c r="X123" s="239" t="n"/>
      <c r="Y123" s="239" t="n"/>
      <c r="Z123" s="239" t="n"/>
      <c r="AA123" s="239" t="n"/>
      <c r="AB123" s="239" t="n"/>
      <c r="AC123" s="239" t="n"/>
      <c r="AD123" s="239" t="n"/>
      <c r="AE123" s="239" t="n"/>
      <c r="AF123" s="239" t="n"/>
      <c r="AG123" s="239" t="n"/>
      <c r="AH123" s="239" t="n"/>
      <c r="AI123" s="239" t="n"/>
      <c r="AJ123" s="239" t="n"/>
      <c r="AK123" s="239" t="n"/>
      <c r="AL123" s="239" t="n"/>
      <c r="AM123" s="239" t="n"/>
      <c r="AN123" s="239" t="n"/>
      <c r="AO123" s="239" t="n"/>
    </row>
    <row r="124">
      <c r="A124" s="256" t="n"/>
      <c r="B124" s="256" t="n"/>
      <c r="C124" s="256" t="n"/>
      <c r="D124" s="256" t="n"/>
      <c r="E124" s="256" t="n"/>
      <c r="F124" s="256" t="n"/>
      <c r="G124" s="256" t="n"/>
      <c r="H124" s="256" t="n"/>
      <c r="I124" s="256" t="n"/>
      <c r="J124" s="256" t="n"/>
      <c r="K124" s="256" t="n"/>
      <c r="L124" s="256" t="n"/>
      <c r="M124" s="256" t="n"/>
      <c r="N124" s="256" t="n"/>
      <c r="O124" s="256" t="n"/>
      <c r="P124" s="256" t="n"/>
      <c r="Q124" s="256" t="n"/>
      <c r="R124" s="256" t="n"/>
      <c r="S124" s="256" t="n"/>
      <c r="T124" s="256" t="n"/>
      <c r="U124" s="256" t="n"/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  <c r="AI124" s="256" t="n"/>
      <c r="AJ124" s="256" t="n"/>
      <c r="AK124" s="256" t="n"/>
      <c r="AL124" s="256" t="n"/>
      <c r="AM124" s="256" t="n"/>
      <c r="AN124" s="256" t="n"/>
      <c r="AO124" s="256" t="n"/>
    </row>
    <row r="125">
      <c r="A125" s="239" t="n"/>
      <c r="B125" s="239" t="n"/>
      <c r="C125" s="239" t="n"/>
      <c r="D125" s="239" t="n"/>
      <c r="E125" s="239" t="n"/>
      <c r="F125" s="239" t="n"/>
      <c r="G125" s="239" t="n"/>
      <c r="H125" s="239" t="n"/>
      <c r="I125" s="239" t="n"/>
      <c r="J125" s="239" t="n"/>
      <c r="K125" s="239" t="n"/>
      <c r="L125" s="239" t="n"/>
      <c r="M125" s="239" t="n"/>
      <c r="N125" s="239" t="n"/>
      <c r="O125" s="239" t="n"/>
      <c r="P125" s="239" t="n"/>
      <c r="Q125" s="239" t="n"/>
      <c r="R125" s="239" t="n"/>
      <c r="S125" s="239" t="n"/>
      <c r="T125" s="239" t="n"/>
      <c r="U125" s="239" t="n"/>
      <c r="V125" s="239" t="n"/>
      <c r="W125" s="239" t="n"/>
      <c r="X125" s="239" t="n"/>
      <c r="Y125" s="239" t="n"/>
      <c r="Z125" s="239" t="n"/>
      <c r="AA125" s="239" t="n"/>
      <c r="AB125" s="239" t="n"/>
      <c r="AC125" s="239" t="n"/>
      <c r="AD125" s="239" t="n"/>
      <c r="AE125" s="239" t="n"/>
      <c r="AF125" s="239" t="n"/>
      <c r="AG125" s="239" t="n"/>
      <c r="AH125" s="239" t="n"/>
      <c r="AI125" s="239" t="n"/>
      <c r="AJ125" s="239" t="n"/>
      <c r="AK125" s="239" t="n"/>
      <c r="AL125" s="239" t="n"/>
      <c r="AM125" s="239" t="n"/>
      <c r="AN125" s="239" t="n"/>
      <c r="AO125" s="239" t="n"/>
    </row>
    <row r="126">
      <c r="A126" s="256" t="n"/>
      <c r="B126" s="256" t="n"/>
      <c r="C126" s="256" t="n"/>
      <c r="D126" s="256" t="n"/>
      <c r="E126" s="256" t="n"/>
      <c r="F126" s="256" t="n"/>
      <c r="G126" s="256" t="n"/>
      <c r="H126" s="256" t="n"/>
      <c r="I126" s="256" t="n"/>
      <c r="J126" s="256" t="n"/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n"/>
      <c r="U126" s="256" t="n"/>
      <c r="V126" s="256" t="n"/>
      <c r="W126" s="256" t="n"/>
      <c r="X126" s="256" t="n"/>
      <c r="Y126" s="256" t="n"/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  <c r="AI126" s="256" t="n"/>
      <c r="AJ126" s="256" t="n"/>
      <c r="AK126" s="256" t="n"/>
      <c r="AL126" s="256" t="n"/>
      <c r="AM126" s="256" t="n"/>
      <c r="AN126" s="256" t="n"/>
      <c r="AO126" s="256" t="n"/>
    </row>
    <row r="127">
      <c r="A127" s="239" t="n"/>
      <c r="B127" s="239" t="n"/>
      <c r="C127" s="239" t="n"/>
      <c r="D127" s="239" t="n"/>
      <c r="E127" s="239" t="n"/>
      <c r="F127" s="239" t="n"/>
      <c r="G127" s="239" t="n"/>
      <c r="H127" s="239" t="n"/>
      <c r="I127" s="239" t="n"/>
      <c r="J127" s="239" t="n"/>
      <c r="K127" s="239" t="n"/>
      <c r="L127" s="239" t="n"/>
      <c r="M127" s="239" t="n"/>
      <c r="N127" s="239" t="n"/>
      <c r="O127" s="239" t="n"/>
      <c r="P127" s="239" t="n"/>
      <c r="Q127" s="239" t="n"/>
      <c r="R127" s="239" t="n"/>
      <c r="S127" s="239" t="n"/>
      <c r="T127" s="239" t="n"/>
      <c r="U127" s="239" t="n"/>
      <c r="V127" s="239" t="n"/>
      <c r="W127" s="239" t="n"/>
      <c r="X127" s="239" t="n"/>
      <c r="Y127" s="239" t="n"/>
      <c r="Z127" s="239" t="n"/>
      <c r="AA127" s="239" t="n"/>
      <c r="AB127" s="239" t="n"/>
      <c r="AC127" s="239" t="n"/>
      <c r="AD127" s="239" t="n"/>
      <c r="AE127" s="239" t="n"/>
      <c r="AF127" s="239" t="n"/>
      <c r="AG127" s="239" t="n"/>
      <c r="AH127" s="239" t="n"/>
      <c r="AI127" s="239" t="n"/>
      <c r="AJ127" s="239" t="n"/>
      <c r="AK127" s="239" t="n"/>
      <c r="AL127" s="239" t="n"/>
      <c r="AM127" s="239" t="n"/>
      <c r="AN127" s="239" t="n"/>
      <c r="AO127" s="239" t="n"/>
    </row>
    <row r="128">
      <c r="A128" s="256" t="n"/>
      <c r="B128" s="256" t="n"/>
      <c r="C128" s="256" t="n"/>
      <c r="D128" s="256" t="n"/>
      <c r="E128" s="256" t="n"/>
      <c r="F128" s="256" t="n"/>
      <c r="G128" s="256" t="n"/>
      <c r="H128" s="256" t="n"/>
      <c r="I128" s="256" t="n"/>
      <c r="J128" s="256" t="n"/>
      <c r="K128" s="256" t="n"/>
      <c r="L128" s="256" t="n"/>
      <c r="M128" s="256" t="n"/>
      <c r="N128" s="256" t="n"/>
      <c r="O128" s="256" t="n"/>
      <c r="P128" s="256" t="n"/>
      <c r="Q128" s="256" t="n"/>
      <c r="R128" s="256" t="n"/>
      <c r="S128" s="256" t="n"/>
      <c r="T128" s="256" t="n"/>
      <c r="U128" s="256" t="n"/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  <c r="AI128" s="256" t="n"/>
      <c r="AJ128" s="256" t="n"/>
      <c r="AK128" s="256" t="n"/>
      <c r="AL128" s="256" t="n"/>
      <c r="AM128" s="256" t="n"/>
      <c r="AN128" s="256" t="n"/>
      <c r="AO128" s="256" t="n"/>
    </row>
    <row r="129">
      <c r="A129" s="239" t="n"/>
      <c r="B129" s="239" t="n"/>
      <c r="C129" s="239" t="n"/>
      <c r="D129" s="239" t="n"/>
      <c r="E129" s="239" t="n"/>
      <c r="F129" s="239" t="n"/>
      <c r="G129" s="239" t="n"/>
      <c r="H129" s="239" t="n"/>
      <c r="I129" s="239" t="n"/>
      <c r="J129" s="239" t="n"/>
      <c r="K129" s="239" t="n"/>
      <c r="L129" s="239" t="n"/>
      <c r="M129" s="239" t="n"/>
      <c r="N129" s="239" t="n"/>
      <c r="O129" s="239" t="n"/>
      <c r="P129" s="239" t="n"/>
      <c r="Q129" s="239" t="n"/>
      <c r="R129" s="239" t="n"/>
      <c r="S129" s="239" t="n"/>
      <c r="T129" s="239" t="n"/>
      <c r="U129" s="239" t="n"/>
      <c r="V129" s="239" t="n"/>
      <c r="W129" s="239" t="n"/>
      <c r="X129" s="239" t="n"/>
      <c r="Y129" s="239" t="n"/>
      <c r="Z129" s="239" t="n"/>
      <c r="AA129" s="239" t="n"/>
      <c r="AB129" s="239" t="n"/>
      <c r="AC129" s="239" t="n"/>
      <c r="AD129" s="239" t="n"/>
      <c r="AE129" s="239" t="n"/>
      <c r="AF129" s="239" t="n"/>
      <c r="AG129" s="239" t="n"/>
      <c r="AH129" s="239" t="n"/>
      <c r="AI129" s="239" t="n"/>
      <c r="AJ129" s="239" t="n"/>
      <c r="AK129" s="239" t="n"/>
      <c r="AL129" s="239" t="n"/>
      <c r="AM129" s="239" t="n"/>
      <c r="AN129" s="239" t="n"/>
      <c r="AO129" s="239" t="n"/>
    </row>
    <row r="130">
      <c r="A130" s="256" t="n"/>
      <c r="B130" s="256" t="n"/>
      <c r="C130" s="256" t="n"/>
      <c r="D130" s="256" t="n"/>
      <c r="E130" s="256" t="n"/>
      <c r="F130" s="256" t="n"/>
      <c r="G130" s="256" t="n"/>
      <c r="H130" s="256" t="n"/>
      <c r="I130" s="256" t="n"/>
      <c r="J130" s="256" t="n"/>
      <c r="K130" s="256" t="n"/>
      <c r="L130" s="256" t="n"/>
      <c r="M130" s="256" t="n"/>
      <c r="N130" s="256" t="n"/>
      <c r="O130" s="256" t="n"/>
      <c r="P130" s="256" t="n"/>
      <c r="Q130" s="256" t="n"/>
      <c r="R130" s="256" t="n"/>
      <c r="S130" s="256" t="n"/>
      <c r="T130" s="256" t="n"/>
      <c r="U130" s="256" t="n"/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  <c r="AI130" s="256" t="n"/>
      <c r="AJ130" s="256" t="n"/>
      <c r="AK130" s="256" t="n"/>
      <c r="AL130" s="256" t="n"/>
      <c r="AM130" s="256" t="n"/>
      <c r="AN130" s="256" t="n"/>
      <c r="AO130" s="256" t="n"/>
    </row>
    <row r="131">
      <c r="A131" s="239" t="n"/>
      <c r="B131" s="239" t="n"/>
      <c r="C131" s="239" t="n"/>
      <c r="D131" s="239" t="n"/>
      <c r="E131" s="239" t="n"/>
      <c r="F131" s="239" t="n"/>
      <c r="G131" s="239" t="n"/>
      <c r="H131" s="239" t="n"/>
      <c r="I131" s="239" t="n"/>
      <c r="J131" s="239" t="n"/>
      <c r="K131" s="239" t="n"/>
      <c r="L131" s="239" t="n"/>
      <c r="M131" s="239" t="n"/>
      <c r="N131" s="239" t="n"/>
      <c r="O131" s="239" t="n"/>
      <c r="P131" s="239" t="n"/>
      <c r="Q131" s="239" t="n"/>
      <c r="R131" s="239" t="n"/>
      <c r="S131" s="239" t="n"/>
      <c r="T131" s="239" t="n"/>
      <c r="U131" s="239" t="n"/>
      <c r="V131" s="239" t="n"/>
      <c r="W131" s="239" t="n"/>
      <c r="X131" s="239" t="n"/>
      <c r="Y131" s="239" t="n"/>
      <c r="Z131" s="239" t="n"/>
      <c r="AA131" s="239" t="n"/>
      <c r="AB131" s="239" t="n"/>
      <c r="AC131" s="239" t="n"/>
      <c r="AD131" s="239" t="n"/>
      <c r="AE131" s="239" t="n"/>
      <c r="AF131" s="239" t="n"/>
      <c r="AG131" s="239" t="n"/>
      <c r="AH131" s="239" t="n"/>
      <c r="AI131" s="239" t="n"/>
      <c r="AJ131" s="239" t="n"/>
      <c r="AK131" s="239" t="n"/>
      <c r="AL131" s="239" t="n"/>
      <c r="AM131" s="239" t="n"/>
      <c r="AN131" s="239" t="n"/>
      <c r="AO131" s="239" t="n"/>
    </row>
    <row r="132">
      <c r="A132" s="256" t="n"/>
      <c r="B132" s="256" t="n"/>
      <c r="C132" s="256" t="n"/>
      <c r="D132" s="256" t="n"/>
      <c r="E132" s="256" t="n"/>
      <c r="F132" s="256" t="n"/>
      <c r="G132" s="256" t="n"/>
      <c r="H132" s="256" t="n"/>
      <c r="I132" s="256" t="n"/>
      <c r="J132" s="256" t="n"/>
      <c r="K132" s="256" t="n"/>
      <c r="L132" s="256" t="n"/>
      <c r="M132" s="256" t="n"/>
      <c r="N132" s="256" t="n"/>
      <c r="O132" s="256" t="n"/>
      <c r="P132" s="256" t="n"/>
      <c r="Q132" s="256" t="n"/>
      <c r="R132" s="256" t="n"/>
      <c r="S132" s="256" t="n"/>
      <c r="T132" s="256" t="n"/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  <c r="AI132" s="256" t="n"/>
      <c r="AJ132" s="256" t="n"/>
      <c r="AK132" s="256" t="n"/>
      <c r="AL132" s="256" t="n"/>
      <c r="AM132" s="256" t="n"/>
      <c r="AN132" s="256" t="n"/>
      <c r="AO132" s="256" t="n"/>
    </row>
    <row r="133">
      <c r="A133" s="239" t="n"/>
      <c r="B133" s="239" t="n"/>
      <c r="C133" s="239" t="n"/>
      <c r="D133" s="239" t="n"/>
      <c r="E133" s="239" t="n"/>
      <c r="F133" s="239" t="n"/>
      <c r="G133" s="239" t="n"/>
      <c r="H133" s="239" t="n"/>
      <c r="I133" s="239" t="n"/>
      <c r="J133" s="239" t="n"/>
      <c r="K133" s="239" t="n"/>
      <c r="L133" s="239" t="n"/>
      <c r="M133" s="239" t="n"/>
      <c r="N133" s="239" t="n"/>
      <c r="O133" s="239" t="n"/>
      <c r="P133" s="239" t="n"/>
      <c r="Q133" s="239" t="n"/>
      <c r="R133" s="239" t="n"/>
      <c r="S133" s="239" t="n"/>
      <c r="T133" s="239" t="n"/>
      <c r="U133" s="239" t="n"/>
      <c r="V133" s="239" t="n"/>
      <c r="W133" s="239" t="n"/>
      <c r="X133" s="239" t="n"/>
      <c r="Y133" s="239" t="n"/>
      <c r="Z133" s="239" t="n"/>
      <c r="AA133" s="239" t="n"/>
      <c r="AB133" s="239" t="n"/>
      <c r="AC133" s="239" t="n"/>
      <c r="AD133" s="239" t="n"/>
      <c r="AE133" s="239" t="n"/>
      <c r="AF133" s="239" t="n"/>
      <c r="AG133" s="239" t="n"/>
      <c r="AH133" s="239" t="n"/>
      <c r="AI133" s="239" t="n"/>
      <c r="AJ133" s="239" t="n"/>
      <c r="AK133" s="239" t="n"/>
      <c r="AL133" s="239" t="n"/>
      <c r="AM133" s="239" t="n"/>
      <c r="AN133" s="239" t="n"/>
      <c r="AO133" s="239" t="n"/>
    </row>
    <row r="134">
      <c r="A134" s="256" t="n"/>
      <c r="B134" s="256" t="n"/>
      <c r="C134" s="256" t="n"/>
      <c r="D134" s="256" t="n"/>
      <c r="E134" s="256" t="n"/>
      <c r="F134" s="256" t="n"/>
      <c r="G134" s="256" t="n"/>
      <c r="H134" s="256" t="n"/>
      <c r="I134" s="256" t="n"/>
      <c r="J134" s="256" t="n"/>
      <c r="K134" s="256" t="n"/>
      <c r="L134" s="256" t="n"/>
      <c r="M134" s="256" t="n"/>
      <c r="N134" s="256" t="n"/>
      <c r="O134" s="256" t="n"/>
      <c r="P134" s="256" t="n"/>
      <c r="Q134" s="256" t="n"/>
      <c r="R134" s="256" t="n"/>
      <c r="S134" s="256" t="n"/>
      <c r="T134" s="256" t="n"/>
      <c r="U134" s="256" t="n"/>
      <c r="V134" s="256" t="n"/>
      <c r="W134" s="256" t="n"/>
      <c r="X134" s="256" t="n"/>
      <c r="Y134" s="256" t="n"/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  <c r="AI134" s="256" t="n"/>
      <c r="AJ134" s="256" t="n"/>
      <c r="AK134" s="256" t="n"/>
      <c r="AL134" s="256" t="n"/>
      <c r="AM134" s="256" t="n"/>
      <c r="AN134" s="256" t="n"/>
      <c r="AO134" s="256" t="n"/>
    </row>
    <row r="135">
      <c r="A135" s="239" t="n"/>
      <c r="B135" s="239" t="n"/>
      <c r="C135" s="239" t="n"/>
      <c r="D135" s="239" t="n"/>
      <c r="E135" s="239" t="n"/>
      <c r="F135" s="239" t="n"/>
      <c r="G135" s="239" t="n"/>
      <c r="H135" s="239" t="n"/>
      <c r="I135" s="239" t="n"/>
      <c r="J135" s="239" t="n"/>
      <c r="K135" s="239" t="n"/>
      <c r="L135" s="239" t="n"/>
      <c r="M135" s="239" t="n"/>
      <c r="N135" s="239" t="n"/>
      <c r="O135" s="239" t="n"/>
      <c r="P135" s="239" t="n"/>
      <c r="Q135" s="239" t="n"/>
      <c r="R135" s="239" t="n"/>
      <c r="S135" s="239" t="n"/>
      <c r="T135" s="239" t="n"/>
      <c r="U135" s="239" t="n"/>
      <c r="V135" s="239" t="n"/>
      <c r="W135" s="239" t="n"/>
      <c r="X135" s="239" t="n"/>
      <c r="Y135" s="239" t="n"/>
      <c r="Z135" s="239" t="n"/>
      <c r="AA135" s="239" t="n"/>
      <c r="AB135" s="239" t="n"/>
      <c r="AC135" s="239" t="n"/>
      <c r="AD135" s="239" t="n"/>
      <c r="AE135" s="239" t="n"/>
      <c r="AF135" s="239" t="n"/>
      <c r="AG135" s="239" t="n"/>
      <c r="AH135" s="239" t="n"/>
      <c r="AI135" s="239" t="n"/>
      <c r="AJ135" s="239" t="n"/>
      <c r="AK135" s="239" t="n"/>
      <c r="AL135" s="239" t="n"/>
      <c r="AM135" s="239" t="n"/>
      <c r="AN135" s="239" t="n"/>
      <c r="AO135" s="239" t="n"/>
    </row>
    <row r="136">
      <c r="A136" s="256" t="n"/>
      <c r="B136" s="256" t="n"/>
      <c r="C136" s="256" t="n"/>
      <c r="D136" s="256" t="n"/>
      <c r="E136" s="256" t="n"/>
      <c r="F136" s="256" t="n"/>
      <c r="G136" s="256" t="n"/>
      <c r="H136" s="256" t="n"/>
      <c r="I136" s="256" t="n"/>
      <c r="J136" s="256" t="n"/>
      <c r="K136" s="256" t="n"/>
      <c r="L136" s="256" t="n"/>
      <c r="M136" s="256" t="n"/>
      <c r="N136" s="256" t="n"/>
      <c r="O136" s="256" t="n"/>
      <c r="P136" s="256" t="n"/>
      <c r="Q136" s="256" t="n"/>
      <c r="R136" s="256" t="n"/>
      <c r="S136" s="256" t="n"/>
      <c r="T136" s="256" t="n"/>
      <c r="U136" s="256" t="n"/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  <c r="AI136" s="256" t="n"/>
      <c r="AJ136" s="256" t="n"/>
      <c r="AK136" s="256" t="n"/>
      <c r="AL136" s="256" t="n"/>
      <c r="AM136" s="256" t="n"/>
      <c r="AN136" s="256" t="n"/>
      <c r="AO136" s="256" t="n"/>
    </row>
    <row r="137">
      <c r="A137" s="239" t="n"/>
      <c r="B137" s="239" t="n"/>
      <c r="C137" s="239" t="n"/>
      <c r="D137" s="239" t="n"/>
      <c r="E137" s="239" t="n"/>
      <c r="F137" s="239" t="n"/>
      <c r="G137" s="239" t="n"/>
      <c r="H137" s="239" t="n"/>
      <c r="I137" s="239" t="n"/>
      <c r="J137" s="239" t="n"/>
      <c r="K137" s="239" t="n"/>
      <c r="L137" s="239" t="n"/>
      <c r="M137" s="239" t="n"/>
      <c r="N137" s="239" t="n"/>
      <c r="O137" s="239" t="n"/>
      <c r="P137" s="239" t="n"/>
      <c r="Q137" s="239" t="n"/>
      <c r="R137" s="239" t="n"/>
      <c r="S137" s="239" t="n"/>
      <c r="T137" s="239" t="n"/>
      <c r="U137" s="239" t="n"/>
      <c r="V137" s="239" t="n"/>
      <c r="W137" s="239" t="n"/>
      <c r="X137" s="239" t="n"/>
      <c r="Y137" s="239" t="n"/>
      <c r="Z137" s="239" t="n"/>
      <c r="AA137" s="239" t="n"/>
      <c r="AB137" s="239" t="n"/>
      <c r="AC137" s="239" t="n"/>
      <c r="AD137" s="239" t="n"/>
      <c r="AE137" s="239" t="n"/>
      <c r="AF137" s="239" t="n"/>
      <c r="AG137" s="239" t="n"/>
      <c r="AH137" s="239" t="n"/>
      <c r="AI137" s="239" t="n"/>
      <c r="AJ137" s="239" t="n"/>
      <c r="AK137" s="239" t="n"/>
      <c r="AL137" s="239" t="n"/>
      <c r="AM137" s="239" t="n"/>
      <c r="AN137" s="239" t="n"/>
      <c r="AO137" s="239" t="n"/>
    </row>
    <row r="138">
      <c r="A138" s="256" t="n"/>
      <c r="B138" s="256" t="n"/>
      <c r="C138" s="256" t="n"/>
      <c r="D138" s="256" t="n"/>
      <c r="E138" s="256" t="n"/>
      <c r="F138" s="256" t="n"/>
      <c r="G138" s="256" t="n"/>
      <c r="H138" s="256" t="n"/>
      <c r="I138" s="256" t="n"/>
      <c r="J138" s="256" t="n"/>
      <c r="K138" s="256" t="n"/>
      <c r="L138" s="256" t="n"/>
      <c r="M138" s="256" t="n"/>
      <c r="N138" s="256" t="n"/>
      <c r="O138" s="256" t="n"/>
      <c r="P138" s="256" t="n"/>
      <c r="Q138" s="256" t="n"/>
      <c r="R138" s="256" t="n"/>
      <c r="S138" s="256" t="n"/>
      <c r="T138" s="256" t="n"/>
      <c r="U138" s="256" t="n"/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  <c r="AI138" s="256" t="n"/>
      <c r="AJ138" s="256" t="n"/>
      <c r="AK138" s="256" t="n"/>
      <c r="AL138" s="256" t="n"/>
      <c r="AM138" s="256" t="n"/>
      <c r="AN138" s="256" t="n"/>
      <c r="AO138" s="256" t="n"/>
    </row>
    <row r="139">
      <c r="A139" s="239" t="n"/>
      <c r="B139" s="239" t="n"/>
      <c r="C139" s="239" t="n"/>
      <c r="D139" s="239" t="n"/>
      <c r="E139" s="239" t="n"/>
      <c r="F139" s="239" t="n"/>
      <c r="G139" s="239" t="n"/>
      <c r="H139" s="239" t="n"/>
      <c r="I139" s="239" t="n"/>
      <c r="J139" s="239" t="n"/>
      <c r="K139" s="239" t="n"/>
      <c r="L139" s="239" t="n"/>
      <c r="M139" s="239" t="n"/>
      <c r="N139" s="239" t="n"/>
      <c r="O139" s="239" t="n"/>
      <c r="P139" s="239" t="n"/>
      <c r="Q139" s="239" t="n"/>
      <c r="R139" s="239" t="n"/>
      <c r="S139" s="239" t="n"/>
      <c r="T139" s="239" t="n"/>
      <c r="U139" s="239" t="n"/>
      <c r="V139" s="239" t="n"/>
      <c r="W139" s="239" t="n"/>
      <c r="X139" s="239" t="n"/>
      <c r="Y139" s="239" t="n"/>
      <c r="Z139" s="239" t="n"/>
      <c r="AA139" s="239" t="n"/>
      <c r="AB139" s="239" t="n"/>
      <c r="AC139" s="239" t="n"/>
      <c r="AD139" s="239" t="n"/>
      <c r="AE139" s="239" t="n"/>
      <c r="AF139" s="239" t="n"/>
      <c r="AG139" s="239" t="n"/>
      <c r="AH139" s="239" t="n"/>
      <c r="AI139" s="239" t="n"/>
      <c r="AJ139" s="239" t="n"/>
      <c r="AK139" s="239" t="n"/>
      <c r="AL139" s="239" t="n"/>
      <c r="AM139" s="239" t="n"/>
      <c r="AN139" s="239" t="n"/>
      <c r="AO139" s="239" t="n"/>
    </row>
    <row r="140">
      <c r="A140" s="256" t="n"/>
      <c r="B140" s="256" t="n"/>
      <c r="C140" s="256" t="n"/>
      <c r="D140" s="256" t="n"/>
      <c r="E140" s="256" t="n"/>
      <c r="F140" s="256" t="n"/>
      <c r="G140" s="256" t="n"/>
      <c r="H140" s="256" t="n"/>
      <c r="I140" s="256" t="n"/>
      <c r="J140" s="256" t="n"/>
      <c r="K140" s="256" t="n"/>
      <c r="L140" s="256" t="n"/>
      <c r="M140" s="256" t="n"/>
      <c r="N140" s="256" t="n"/>
      <c r="O140" s="256" t="n"/>
      <c r="P140" s="256" t="n"/>
      <c r="Q140" s="256" t="n"/>
      <c r="R140" s="256" t="n"/>
      <c r="S140" s="256" t="n"/>
      <c r="T140" s="256" t="n"/>
      <c r="U140" s="256" t="n"/>
      <c r="V140" s="256" t="n"/>
      <c r="W140" s="256" t="n"/>
      <c r="X140" s="256" t="n"/>
      <c r="Y140" s="256" t="n"/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  <c r="AI140" s="256" t="n"/>
      <c r="AJ140" s="256" t="n"/>
      <c r="AK140" s="256" t="n"/>
      <c r="AL140" s="256" t="n"/>
      <c r="AM140" s="256" t="n"/>
      <c r="AN140" s="256" t="n"/>
      <c r="AO140" s="256" t="n"/>
    </row>
    <row r="141">
      <c r="A141" s="239" t="n"/>
      <c r="B141" s="239" t="n"/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39" t="n"/>
      <c r="P141" s="239" t="n"/>
      <c r="Q141" s="239" t="n"/>
      <c r="R141" s="239" t="n"/>
      <c r="S141" s="239" t="n"/>
      <c r="T141" s="239" t="n"/>
      <c r="U141" s="239" t="n"/>
      <c r="V141" s="239" t="n"/>
      <c r="W141" s="239" t="n"/>
      <c r="X141" s="239" t="n"/>
      <c r="Y141" s="239" t="n"/>
      <c r="Z141" s="239" t="n"/>
      <c r="AA141" s="239" t="n"/>
      <c r="AB141" s="239" t="n"/>
      <c r="AC141" s="239" t="n"/>
      <c r="AD141" s="239" t="n"/>
      <c r="AE141" s="239" t="n"/>
      <c r="AF141" s="239" t="n"/>
      <c r="AG141" s="239" t="n"/>
      <c r="AH141" s="239" t="n"/>
      <c r="AI141" s="239" t="n"/>
      <c r="AJ141" s="239" t="n"/>
      <c r="AK141" s="239" t="n"/>
      <c r="AL141" s="239" t="n"/>
      <c r="AM141" s="239" t="n"/>
      <c r="AN141" s="239" t="n"/>
      <c r="AO141" s="239" t="n"/>
    </row>
    <row r="142">
      <c r="A142" s="256" t="n"/>
      <c r="B142" s="256" t="n"/>
      <c r="C142" s="256" t="n"/>
      <c r="D142" s="256" t="n"/>
      <c r="E142" s="256" t="n"/>
      <c r="F142" s="256" t="n"/>
      <c r="G142" s="256" t="n"/>
      <c r="H142" s="256" t="n"/>
      <c r="I142" s="256" t="n"/>
      <c r="J142" s="256" t="n"/>
      <c r="K142" s="256" t="n"/>
      <c r="L142" s="256" t="n"/>
      <c r="M142" s="256" t="n"/>
      <c r="N142" s="256" t="n"/>
      <c r="O142" s="256" t="n"/>
      <c r="P142" s="256" t="n"/>
      <c r="Q142" s="256" t="n"/>
      <c r="R142" s="256" t="n"/>
      <c r="S142" s="256" t="n"/>
      <c r="T142" s="256" t="n"/>
      <c r="U142" s="256" t="n"/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  <c r="AI142" s="256" t="n"/>
      <c r="AJ142" s="256" t="n"/>
      <c r="AK142" s="256" t="n"/>
      <c r="AL142" s="256" t="n"/>
      <c r="AM142" s="256" t="n"/>
      <c r="AN142" s="256" t="n"/>
      <c r="AO142" s="256" t="n"/>
    </row>
    <row r="143">
      <c r="A143" s="239" t="n"/>
      <c r="B143" s="239" t="n"/>
      <c r="C143" s="239" t="n"/>
      <c r="D143" s="239" t="n"/>
      <c r="E143" s="239" t="n"/>
      <c r="F143" s="239" t="n"/>
      <c r="G143" s="239" t="n"/>
      <c r="H143" s="239" t="n"/>
      <c r="I143" s="239" t="n"/>
      <c r="J143" s="239" t="n"/>
      <c r="K143" s="239" t="n"/>
      <c r="L143" s="239" t="n"/>
      <c r="M143" s="239" t="n"/>
      <c r="N143" s="239" t="n"/>
      <c r="O143" s="239" t="n"/>
      <c r="P143" s="239" t="n"/>
      <c r="Q143" s="239" t="n"/>
      <c r="R143" s="239" t="n"/>
      <c r="S143" s="239" t="n"/>
      <c r="T143" s="239" t="n"/>
      <c r="U143" s="239" t="n"/>
      <c r="V143" s="239" t="n"/>
      <c r="W143" s="239" t="n"/>
      <c r="X143" s="239" t="n"/>
      <c r="Y143" s="239" t="n"/>
      <c r="Z143" s="239" t="n"/>
      <c r="AA143" s="239" t="n"/>
      <c r="AB143" s="239" t="n"/>
      <c r="AC143" s="239" t="n"/>
      <c r="AD143" s="239" t="n"/>
      <c r="AE143" s="239" t="n"/>
      <c r="AF143" s="239" t="n"/>
      <c r="AG143" s="239" t="n"/>
      <c r="AH143" s="239" t="n"/>
      <c r="AI143" s="239" t="n"/>
      <c r="AJ143" s="239" t="n"/>
      <c r="AK143" s="239" t="n"/>
      <c r="AL143" s="239" t="n"/>
      <c r="AM143" s="239" t="n"/>
      <c r="AN143" s="239" t="n"/>
      <c r="AO143" s="239" t="n"/>
    </row>
    <row r="144">
      <c r="A144" s="256" t="n"/>
      <c r="B144" s="256" t="n"/>
      <c r="C144" s="256" t="n"/>
      <c r="D144" s="256" t="n"/>
      <c r="E144" s="256" t="n"/>
      <c r="F144" s="256" t="n"/>
      <c r="G144" s="256" t="n"/>
      <c r="H144" s="256" t="n"/>
      <c r="I144" s="256" t="n"/>
      <c r="J144" s="256" t="n"/>
      <c r="K144" s="256" t="n"/>
      <c r="L144" s="256" t="n"/>
      <c r="M144" s="256" t="n"/>
      <c r="N144" s="256" t="n"/>
      <c r="O144" s="256" t="n"/>
      <c r="P144" s="256" t="n"/>
      <c r="Q144" s="256" t="n"/>
      <c r="R144" s="256" t="n"/>
      <c r="S144" s="256" t="n"/>
      <c r="T144" s="256" t="n"/>
      <c r="U144" s="256" t="n"/>
      <c r="V144" s="256" t="n"/>
      <c r="W144" s="256" t="n"/>
      <c r="X144" s="256" t="n"/>
      <c r="Y144" s="256" t="n"/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  <c r="AI144" s="256" t="n"/>
      <c r="AJ144" s="256" t="n"/>
      <c r="AK144" s="256" t="n"/>
      <c r="AL144" s="256" t="n"/>
      <c r="AM144" s="256" t="n"/>
      <c r="AN144" s="256" t="n"/>
      <c r="AO144" s="256" t="n"/>
    </row>
    <row r="145">
      <c r="A145" s="239" t="n"/>
      <c r="B145" s="239" t="n"/>
      <c r="C145" s="239" t="n"/>
      <c r="D145" s="239" t="n"/>
      <c r="E145" s="239" t="n"/>
      <c r="F145" s="239" t="n"/>
      <c r="G145" s="239" t="n"/>
      <c r="H145" s="239" t="n"/>
      <c r="I145" s="239" t="n"/>
      <c r="J145" s="239" t="n"/>
      <c r="K145" s="239" t="n"/>
      <c r="L145" s="239" t="n"/>
      <c r="M145" s="239" t="n"/>
      <c r="N145" s="239" t="n"/>
      <c r="O145" s="239" t="n"/>
      <c r="P145" s="239" t="n"/>
      <c r="Q145" s="239" t="n"/>
      <c r="R145" s="239" t="n"/>
      <c r="S145" s="239" t="n"/>
      <c r="T145" s="239" t="n"/>
      <c r="U145" s="239" t="n"/>
      <c r="V145" s="239" t="n"/>
      <c r="W145" s="239" t="n"/>
      <c r="X145" s="239" t="n"/>
      <c r="Y145" s="239" t="n"/>
      <c r="Z145" s="239" t="n"/>
      <c r="AA145" s="239" t="n"/>
      <c r="AB145" s="239" t="n"/>
      <c r="AC145" s="239" t="n"/>
      <c r="AD145" s="239" t="n"/>
      <c r="AE145" s="239" t="n"/>
      <c r="AF145" s="239" t="n"/>
      <c r="AG145" s="239" t="n"/>
      <c r="AH145" s="239" t="n"/>
      <c r="AI145" s="239" t="n"/>
      <c r="AJ145" s="239" t="n"/>
      <c r="AK145" s="239" t="n"/>
      <c r="AL145" s="239" t="n"/>
      <c r="AM145" s="239" t="n"/>
      <c r="AN145" s="239" t="n"/>
      <c r="AO145" s="239" t="n"/>
    </row>
    <row r="146">
      <c r="A146" s="256" t="n"/>
      <c r="B146" s="256" t="n"/>
      <c r="C146" s="256" t="n"/>
      <c r="D146" s="256" t="n"/>
      <c r="E146" s="256" t="n"/>
      <c r="F146" s="256" t="n"/>
      <c r="G146" s="256" t="n"/>
      <c r="H146" s="256" t="n"/>
      <c r="I146" s="256" t="n"/>
      <c r="J146" s="256" t="n"/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  <c r="AI146" s="256" t="n"/>
      <c r="AJ146" s="256" t="n"/>
      <c r="AK146" s="256" t="n"/>
      <c r="AL146" s="256" t="n"/>
      <c r="AM146" s="256" t="n"/>
      <c r="AN146" s="256" t="n"/>
      <c r="AO146" s="256" t="n"/>
    </row>
    <row r="147">
      <c r="A147" s="239" t="n"/>
      <c r="B147" s="239" t="n"/>
      <c r="C147" s="239" t="n"/>
      <c r="D147" s="239" t="n"/>
      <c r="E147" s="239" t="n"/>
      <c r="F147" s="239" t="n"/>
      <c r="G147" s="239" t="n"/>
      <c r="H147" s="239" t="n"/>
      <c r="I147" s="239" t="n"/>
      <c r="J147" s="239" t="n"/>
      <c r="K147" s="239" t="n"/>
      <c r="L147" s="239" t="n"/>
      <c r="M147" s="239" t="n"/>
      <c r="N147" s="239" t="n"/>
      <c r="O147" s="239" t="n"/>
      <c r="P147" s="239" t="n"/>
      <c r="Q147" s="239" t="n"/>
      <c r="R147" s="239" t="n"/>
      <c r="S147" s="239" t="n"/>
      <c r="T147" s="239" t="n"/>
      <c r="U147" s="239" t="n"/>
      <c r="V147" s="239" t="n"/>
      <c r="W147" s="239" t="n"/>
      <c r="X147" s="239" t="n"/>
      <c r="Y147" s="239" t="n"/>
      <c r="Z147" s="239" t="n"/>
      <c r="AA147" s="239" t="n"/>
      <c r="AB147" s="239" t="n"/>
      <c r="AC147" s="239" t="n"/>
      <c r="AD147" s="239" t="n"/>
      <c r="AE147" s="239" t="n"/>
      <c r="AF147" s="239" t="n"/>
      <c r="AG147" s="239" t="n"/>
      <c r="AH147" s="239" t="n"/>
      <c r="AI147" s="239" t="n"/>
      <c r="AJ147" s="239" t="n"/>
      <c r="AK147" s="239" t="n"/>
      <c r="AL147" s="239" t="n"/>
      <c r="AM147" s="239" t="n"/>
      <c r="AN147" s="239" t="n"/>
      <c r="AO147" s="239" t="n"/>
    </row>
    <row r="148">
      <c r="A148" s="256" t="n"/>
      <c r="B148" s="256" t="n"/>
      <c r="C148" s="256" t="n"/>
      <c r="D148" s="256" t="n"/>
      <c r="E148" s="256" t="n"/>
      <c r="F148" s="256" t="n"/>
      <c r="G148" s="256" t="n"/>
      <c r="H148" s="256" t="n"/>
      <c r="I148" s="256" t="n"/>
      <c r="J148" s="256" t="n"/>
      <c r="K148" s="256" t="n"/>
      <c r="L148" s="256" t="n"/>
      <c r="M148" s="256" t="n"/>
      <c r="N148" s="256" t="n"/>
      <c r="O148" s="256" t="n"/>
      <c r="P148" s="256" t="n"/>
      <c r="Q148" s="256" t="n"/>
      <c r="R148" s="256" t="n"/>
      <c r="S148" s="256" t="n"/>
      <c r="T148" s="256" t="n"/>
      <c r="U148" s="256" t="n"/>
      <c r="V148" s="256" t="n"/>
      <c r="W148" s="256" t="n"/>
      <c r="X148" s="256" t="n"/>
      <c r="Y148" s="256" t="n"/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  <c r="AI148" s="256" t="n"/>
      <c r="AJ148" s="256" t="n"/>
      <c r="AK148" s="256" t="n"/>
      <c r="AL148" s="256" t="n"/>
      <c r="AM148" s="256" t="n"/>
      <c r="AN148" s="256" t="n"/>
      <c r="AO148" s="256" t="n"/>
    </row>
    <row r="149">
      <c r="A149" s="239" t="n"/>
      <c r="B149" s="239" t="n"/>
      <c r="C149" s="239" t="n"/>
      <c r="D149" s="239" t="n"/>
      <c r="E149" s="239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239" t="n"/>
      <c r="S149" s="239" t="n"/>
      <c r="T149" s="239" t="n"/>
      <c r="U149" s="239" t="n"/>
      <c r="V149" s="239" t="n"/>
      <c r="W149" s="239" t="n"/>
      <c r="X149" s="239" t="n"/>
      <c r="Y149" s="239" t="n"/>
      <c r="Z149" s="239" t="n"/>
      <c r="AA149" s="239" t="n"/>
      <c r="AB149" s="239" t="n"/>
      <c r="AC149" s="239" t="n"/>
      <c r="AD149" s="239" t="n"/>
      <c r="AE149" s="239" t="n"/>
      <c r="AF149" s="239" t="n"/>
      <c r="AG149" s="239" t="n"/>
      <c r="AH149" s="239" t="n"/>
      <c r="AI149" s="239" t="n"/>
      <c r="AJ149" s="239" t="n"/>
      <c r="AK149" s="239" t="n"/>
      <c r="AL149" s="239" t="n"/>
      <c r="AM149" s="239" t="n"/>
      <c r="AN149" s="239" t="n"/>
      <c r="AO149" s="239" t="n"/>
    </row>
    <row r="150">
      <c r="A150" s="256" t="n"/>
      <c r="B150" s="256" t="n"/>
      <c r="C150" s="256" t="n"/>
      <c r="D150" s="256" t="n"/>
      <c r="E150" s="256" t="n"/>
      <c r="F150" s="256" t="n"/>
      <c r="G150" s="256" t="n"/>
      <c r="H150" s="256" t="n"/>
      <c r="I150" s="256" t="n"/>
      <c r="J150" s="256" t="n"/>
      <c r="K150" s="256" t="n"/>
      <c r="L150" s="256" t="n"/>
      <c r="M150" s="256" t="n"/>
      <c r="N150" s="256" t="n"/>
      <c r="O150" s="256" t="n"/>
      <c r="P150" s="256" t="n"/>
      <c r="Q150" s="256" t="n"/>
      <c r="R150" s="256" t="n"/>
      <c r="S150" s="256" t="n"/>
      <c r="T150" s="256" t="n"/>
      <c r="U150" s="256" t="n"/>
      <c r="V150" s="256" t="n"/>
      <c r="W150" s="256" t="n"/>
      <c r="X150" s="256" t="n"/>
      <c r="Y150" s="256" t="n"/>
      <c r="Z150" s="256" t="n"/>
      <c r="AA150" s="256" t="n"/>
      <c r="AB150" s="256" t="n"/>
      <c r="AC150" s="256" t="n"/>
      <c r="AD150" s="256" t="n"/>
      <c r="AE150" s="256" t="n"/>
      <c r="AF150" s="256" t="n"/>
      <c r="AG150" s="256" t="n"/>
      <c r="AH150" s="256" t="n"/>
      <c r="AI150" s="256" t="n"/>
      <c r="AJ150" s="256" t="n"/>
      <c r="AK150" s="256" t="n"/>
      <c r="AL150" s="256" t="n"/>
      <c r="AM150" s="256" t="n"/>
      <c r="AN150" s="256" t="n"/>
      <c r="AO150" s="256" t="n"/>
    </row>
    <row r="151">
      <c r="A151" s="239" t="n"/>
      <c r="B151" s="239" t="n"/>
      <c r="C151" s="239" t="n"/>
      <c r="D151" s="239" t="n"/>
      <c r="E151" s="239" t="n"/>
      <c r="F151" s="239" t="n"/>
      <c r="G151" s="239" t="n"/>
      <c r="H151" s="239" t="n"/>
      <c r="I151" s="239" t="n"/>
      <c r="J151" s="239" t="n"/>
      <c r="K151" s="239" t="n"/>
      <c r="L151" s="239" t="n"/>
      <c r="M151" s="239" t="n"/>
      <c r="N151" s="239" t="n"/>
      <c r="O151" s="239" t="n"/>
      <c r="P151" s="239" t="n"/>
      <c r="Q151" s="239" t="n"/>
      <c r="R151" s="239" t="n"/>
      <c r="S151" s="239" t="n"/>
      <c r="T151" s="239" t="n"/>
      <c r="U151" s="239" t="n"/>
      <c r="V151" s="239" t="n"/>
      <c r="W151" s="239" t="n"/>
      <c r="X151" s="239" t="n"/>
      <c r="Y151" s="239" t="n"/>
      <c r="Z151" s="239" t="n"/>
      <c r="AA151" s="239" t="n"/>
      <c r="AB151" s="239" t="n"/>
      <c r="AC151" s="239" t="n"/>
      <c r="AD151" s="239" t="n"/>
      <c r="AE151" s="239" t="n"/>
      <c r="AF151" s="239" t="n"/>
      <c r="AG151" s="239" t="n"/>
      <c r="AH151" s="239" t="n"/>
      <c r="AI151" s="239" t="n"/>
      <c r="AJ151" s="239" t="n"/>
      <c r="AK151" s="239" t="n"/>
      <c r="AL151" s="239" t="n"/>
      <c r="AM151" s="239" t="n"/>
      <c r="AN151" s="239" t="n"/>
      <c r="AO151" s="239" t="n"/>
    </row>
    <row r="152">
      <c r="A152" s="256" t="n"/>
      <c r="B152" s="256" t="n"/>
      <c r="C152" s="256" t="n"/>
      <c r="D152" s="256" t="n"/>
      <c r="E152" s="256" t="n"/>
      <c r="F152" s="256" t="n"/>
      <c r="G152" s="256" t="n"/>
      <c r="H152" s="256" t="n"/>
      <c r="I152" s="256" t="n"/>
      <c r="J152" s="256" t="n"/>
      <c r="K152" s="256" t="n"/>
      <c r="L152" s="256" t="n"/>
      <c r="M152" s="256" t="n"/>
      <c r="N152" s="256" t="n"/>
      <c r="O152" s="256" t="n"/>
      <c r="P152" s="256" t="n"/>
      <c r="Q152" s="256" t="n"/>
      <c r="R152" s="256" t="n"/>
      <c r="S152" s="256" t="n"/>
      <c r="T152" s="256" t="n"/>
      <c r="U152" s="256" t="n"/>
      <c r="V152" s="256" t="n"/>
      <c r="W152" s="256" t="n"/>
      <c r="X152" s="256" t="n"/>
      <c r="Y152" s="256" t="n"/>
      <c r="Z152" s="256" t="n"/>
      <c r="AA152" s="256" t="n"/>
      <c r="AB152" s="256" t="n"/>
      <c r="AC152" s="256" t="n"/>
      <c r="AD152" s="256" t="n"/>
      <c r="AE152" s="256" t="n"/>
      <c r="AF152" s="256" t="n"/>
      <c r="AG152" s="256" t="n"/>
      <c r="AH152" s="256" t="n"/>
      <c r="AI152" s="256" t="n"/>
      <c r="AJ152" s="256" t="n"/>
      <c r="AK152" s="256" t="n"/>
      <c r="AL152" s="256" t="n"/>
      <c r="AM152" s="256" t="n"/>
      <c r="AN152" s="256" t="n"/>
      <c r="AO152" s="256" t="n"/>
    </row>
    <row r="153">
      <c r="A153" s="239" t="n"/>
      <c r="B153" s="239" t="n"/>
      <c r="C153" s="239" t="n"/>
      <c r="D153" s="239" t="n"/>
      <c r="E153" s="239" t="n"/>
      <c r="F153" s="239" t="n"/>
      <c r="G153" s="239" t="n"/>
      <c r="H153" s="239" t="n"/>
      <c r="I153" s="239" t="n"/>
      <c r="J153" s="239" t="n"/>
      <c r="K153" s="239" t="n"/>
      <c r="L153" s="239" t="n"/>
      <c r="M153" s="239" t="n"/>
      <c r="N153" s="239" t="n"/>
      <c r="O153" s="239" t="n"/>
      <c r="P153" s="239" t="n"/>
      <c r="Q153" s="239" t="n"/>
      <c r="R153" s="239" t="n"/>
      <c r="S153" s="239" t="n"/>
      <c r="T153" s="239" t="n"/>
      <c r="U153" s="239" t="n"/>
      <c r="V153" s="239" t="n"/>
      <c r="W153" s="239" t="n"/>
      <c r="X153" s="239" t="n"/>
      <c r="Y153" s="239" t="n"/>
      <c r="Z153" s="239" t="n"/>
      <c r="AA153" s="239" t="n"/>
      <c r="AB153" s="239" t="n"/>
      <c r="AC153" s="239" t="n"/>
      <c r="AD153" s="239" t="n"/>
      <c r="AE153" s="239" t="n"/>
      <c r="AF153" s="239" t="n"/>
      <c r="AG153" s="239" t="n"/>
      <c r="AH153" s="239" t="n"/>
      <c r="AI153" s="239" t="n"/>
      <c r="AJ153" s="239" t="n"/>
      <c r="AK153" s="239" t="n"/>
      <c r="AL153" s="239" t="n"/>
      <c r="AM153" s="239" t="n"/>
      <c r="AN153" s="239" t="n"/>
      <c r="AO153" s="239" t="n"/>
    </row>
    <row r="154">
      <c r="A154" s="256" t="n"/>
      <c r="B154" s="256" t="n"/>
      <c r="C154" s="256" t="n"/>
      <c r="D154" s="256" t="n"/>
      <c r="E154" s="256" t="n"/>
      <c r="F154" s="256" t="n"/>
      <c r="G154" s="256" t="n"/>
      <c r="H154" s="256" t="n"/>
      <c r="I154" s="256" t="n"/>
      <c r="J154" s="256" t="n"/>
      <c r="K154" s="256" t="n"/>
      <c r="L154" s="256" t="n"/>
      <c r="M154" s="256" t="n"/>
      <c r="N154" s="256" t="n"/>
      <c r="O154" s="256" t="n"/>
      <c r="P154" s="256" t="n"/>
      <c r="Q154" s="256" t="n"/>
      <c r="R154" s="256" t="n"/>
      <c r="S154" s="256" t="n"/>
      <c r="T154" s="256" t="n"/>
      <c r="U154" s="256" t="n"/>
      <c r="V154" s="256" t="n"/>
      <c r="W154" s="256" t="n"/>
      <c r="X154" s="256" t="n"/>
      <c r="Y154" s="256" t="n"/>
      <c r="Z154" s="256" t="n"/>
      <c r="AA154" s="256" t="n"/>
      <c r="AB154" s="256" t="n"/>
      <c r="AC154" s="256" t="n"/>
      <c r="AD154" s="256" t="n"/>
      <c r="AE154" s="256" t="n"/>
      <c r="AF154" s="256" t="n"/>
      <c r="AG154" s="256" t="n"/>
      <c r="AH154" s="256" t="n"/>
      <c r="AI154" s="256" t="n"/>
      <c r="AJ154" s="256" t="n"/>
      <c r="AK154" s="256" t="n"/>
      <c r="AL154" s="256" t="n"/>
      <c r="AM154" s="256" t="n"/>
      <c r="AN154" s="256" t="n"/>
      <c r="AO154" s="256" t="n"/>
    </row>
    <row r="155">
      <c r="A155" s="239" t="n"/>
      <c r="B155" s="239" t="n"/>
      <c r="C155" s="239" t="n"/>
      <c r="D155" s="239" t="n"/>
      <c r="E155" s="239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239" t="n"/>
      <c r="S155" s="239" t="n"/>
      <c r="T155" s="239" t="n"/>
      <c r="U155" s="239" t="n"/>
      <c r="V155" s="239" t="n"/>
      <c r="W155" s="239" t="n"/>
      <c r="X155" s="239" t="n"/>
      <c r="Y155" s="239" t="n"/>
      <c r="Z155" s="239" t="n"/>
      <c r="AA155" s="239" t="n"/>
      <c r="AB155" s="239" t="n"/>
      <c r="AC155" s="239" t="n"/>
      <c r="AD155" s="239" t="n"/>
      <c r="AE155" s="239" t="n"/>
      <c r="AF155" s="239" t="n"/>
      <c r="AG155" s="239" t="n"/>
      <c r="AH155" s="239" t="n"/>
      <c r="AI155" s="239" t="n"/>
      <c r="AJ155" s="239" t="n"/>
      <c r="AK155" s="239" t="n"/>
      <c r="AL155" s="239" t="n"/>
      <c r="AM155" s="239" t="n"/>
      <c r="AN155" s="239" t="n"/>
      <c r="AO155" s="239" t="n"/>
    </row>
    <row r="156">
      <c r="A156" s="256" t="n"/>
      <c r="B156" s="256" t="n"/>
      <c r="C156" s="256" t="n"/>
      <c r="D156" s="256" t="n"/>
      <c r="E156" s="256" t="n"/>
      <c r="F156" s="256" t="n"/>
      <c r="G156" s="256" t="n"/>
      <c r="H156" s="256" t="n"/>
      <c r="I156" s="256" t="n"/>
      <c r="J156" s="256" t="n"/>
      <c r="K156" s="256" t="n"/>
      <c r="L156" s="256" t="n"/>
      <c r="M156" s="256" t="n"/>
      <c r="N156" s="256" t="n"/>
      <c r="O156" s="256" t="n"/>
      <c r="P156" s="256" t="n"/>
      <c r="Q156" s="256" t="n"/>
      <c r="R156" s="256" t="n"/>
      <c r="S156" s="256" t="n"/>
      <c r="T156" s="256" t="n"/>
      <c r="U156" s="256" t="n"/>
      <c r="V156" s="256" t="n"/>
      <c r="W156" s="256" t="n"/>
      <c r="X156" s="256" t="n"/>
      <c r="Y156" s="256" t="n"/>
      <c r="Z156" s="256" t="n"/>
      <c r="AA156" s="256" t="n"/>
      <c r="AB156" s="256" t="n"/>
      <c r="AC156" s="256" t="n"/>
      <c r="AD156" s="256" t="n"/>
      <c r="AE156" s="256" t="n"/>
      <c r="AF156" s="256" t="n"/>
      <c r="AG156" s="256" t="n"/>
      <c r="AH156" s="256" t="n"/>
      <c r="AI156" s="256" t="n"/>
      <c r="AJ156" s="256" t="n"/>
      <c r="AK156" s="256" t="n"/>
      <c r="AL156" s="256" t="n"/>
      <c r="AM156" s="256" t="n"/>
      <c r="AN156" s="256" t="n"/>
      <c r="AO156" s="256" t="n"/>
    </row>
    <row r="157">
      <c r="A157" s="239" t="n"/>
      <c r="B157" s="239" t="n"/>
      <c r="C157" s="239" t="n"/>
      <c r="D157" s="239" t="n"/>
      <c r="E157" s="239" t="n"/>
      <c r="F157" s="239" t="n"/>
      <c r="G157" s="239" t="n"/>
      <c r="H157" s="239" t="n"/>
      <c r="I157" s="239" t="n"/>
      <c r="J157" s="239" t="n"/>
      <c r="K157" s="239" t="n"/>
      <c r="L157" s="239" t="n"/>
      <c r="M157" s="239" t="n"/>
      <c r="N157" s="239" t="n"/>
      <c r="O157" s="239" t="n"/>
      <c r="P157" s="239" t="n"/>
      <c r="Q157" s="239" t="n"/>
      <c r="R157" s="239" t="n"/>
      <c r="S157" s="239" t="n"/>
      <c r="T157" s="239" t="n"/>
      <c r="U157" s="239" t="n"/>
      <c r="V157" s="239" t="n"/>
      <c r="W157" s="239" t="n"/>
      <c r="X157" s="239" t="n"/>
      <c r="Y157" s="239" t="n"/>
      <c r="Z157" s="239" t="n"/>
      <c r="AA157" s="239" t="n"/>
      <c r="AB157" s="239" t="n"/>
      <c r="AC157" s="239" t="n"/>
      <c r="AD157" s="239" t="n"/>
      <c r="AE157" s="239" t="n"/>
      <c r="AF157" s="239" t="n"/>
      <c r="AG157" s="239" t="n"/>
      <c r="AH157" s="239" t="n"/>
      <c r="AI157" s="239" t="n"/>
      <c r="AJ157" s="239" t="n"/>
      <c r="AK157" s="239" t="n"/>
      <c r="AL157" s="239" t="n"/>
      <c r="AM157" s="239" t="n"/>
      <c r="AN157" s="239" t="n"/>
      <c r="AO157" s="239" t="n"/>
    </row>
    <row r="158">
      <c r="A158" s="256" t="n"/>
      <c r="B158" s="256" t="n"/>
      <c r="C158" s="256" t="n"/>
      <c r="D158" s="256" t="n"/>
      <c r="E158" s="256" t="n"/>
      <c r="F158" s="256" t="n"/>
      <c r="G158" s="256" t="n"/>
      <c r="H158" s="256" t="n"/>
      <c r="I158" s="256" t="n"/>
      <c r="J158" s="256" t="n"/>
      <c r="K158" s="256" t="n"/>
      <c r="L158" s="256" t="n"/>
      <c r="M158" s="256" t="n"/>
      <c r="N158" s="256" t="n"/>
      <c r="O158" s="256" t="n"/>
      <c r="P158" s="256" t="n"/>
      <c r="Q158" s="256" t="n"/>
      <c r="R158" s="256" t="n"/>
      <c r="S158" s="256" t="n"/>
      <c r="T158" s="256" t="n"/>
      <c r="U158" s="256" t="n"/>
      <c r="V158" s="256" t="n"/>
      <c r="W158" s="256" t="n"/>
      <c r="X158" s="256" t="n"/>
      <c r="Y158" s="256" t="n"/>
      <c r="Z158" s="256" t="n"/>
      <c r="AA158" s="256" t="n"/>
      <c r="AB158" s="256" t="n"/>
      <c r="AC158" s="256" t="n"/>
      <c r="AD158" s="256" t="n"/>
      <c r="AE158" s="256" t="n"/>
      <c r="AF158" s="256" t="n"/>
      <c r="AG158" s="256" t="n"/>
      <c r="AH158" s="256" t="n"/>
      <c r="AI158" s="256" t="n"/>
      <c r="AJ158" s="256" t="n"/>
      <c r="AK158" s="256" t="n"/>
      <c r="AL158" s="256" t="n"/>
      <c r="AM158" s="256" t="n"/>
      <c r="AN158" s="256" t="n"/>
      <c r="AO158" s="256" t="n"/>
    </row>
    <row r="159">
      <c r="A159" s="239" t="n"/>
      <c r="B159" s="239" t="n"/>
      <c r="C159" s="239" t="n"/>
      <c r="D159" s="239" t="n"/>
      <c r="E159" s="239" t="n"/>
      <c r="F159" s="239" t="n"/>
      <c r="G159" s="239" t="n"/>
      <c r="H159" s="239" t="n"/>
      <c r="I159" s="239" t="n"/>
      <c r="J159" s="239" t="n"/>
      <c r="K159" s="239" t="n"/>
      <c r="L159" s="239" t="n"/>
      <c r="M159" s="239" t="n"/>
      <c r="N159" s="239" t="n"/>
      <c r="O159" s="239" t="n"/>
      <c r="P159" s="239" t="n"/>
      <c r="Q159" s="239" t="n"/>
      <c r="R159" s="239" t="n"/>
      <c r="S159" s="239" t="n"/>
      <c r="T159" s="239" t="n"/>
      <c r="U159" s="239" t="n"/>
      <c r="V159" s="239" t="n"/>
      <c r="W159" s="239" t="n"/>
      <c r="X159" s="239" t="n"/>
      <c r="Y159" s="239" t="n"/>
      <c r="Z159" s="239" t="n"/>
      <c r="AA159" s="239" t="n"/>
      <c r="AB159" s="239" t="n"/>
      <c r="AC159" s="239" t="n"/>
      <c r="AD159" s="239" t="n"/>
      <c r="AE159" s="239" t="n"/>
      <c r="AF159" s="239" t="n"/>
      <c r="AG159" s="239" t="n"/>
      <c r="AH159" s="239" t="n"/>
      <c r="AI159" s="239" t="n"/>
      <c r="AJ159" s="239" t="n"/>
      <c r="AK159" s="239" t="n"/>
      <c r="AL159" s="239" t="n"/>
      <c r="AM159" s="239" t="n"/>
      <c r="AN159" s="239" t="n"/>
      <c r="AO159" s="239" t="n"/>
    </row>
    <row r="160">
      <c r="A160" s="256" t="n"/>
      <c r="B160" s="256" t="n"/>
      <c r="C160" s="256" t="n"/>
      <c r="D160" s="256" t="n"/>
      <c r="E160" s="256" t="n"/>
      <c r="F160" s="256" t="n"/>
      <c r="G160" s="256" t="n"/>
      <c r="H160" s="256" t="n"/>
      <c r="I160" s="256" t="n"/>
      <c r="J160" s="256" t="n"/>
      <c r="K160" s="256" t="n"/>
      <c r="L160" s="256" t="n"/>
      <c r="M160" s="256" t="n"/>
      <c r="N160" s="256" t="n"/>
      <c r="O160" s="256" t="n"/>
      <c r="P160" s="256" t="n"/>
      <c r="Q160" s="256" t="n"/>
      <c r="R160" s="256" t="n"/>
      <c r="S160" s="256" t="n"/>
      <c r="T160" s="256" t="n"/>
      <c r="U160" s="256" t="n"/>
      <c r="V160" s="256" t="n"/>
      <c r="W160" s="256" t="n"/>
      <c r="X160" s="256" t="n"/>
      <c r="Y160" s="256" t="n"/>
      <c r="Z160" s="256" t="n"/>
      <c r="AA160" s="256" t="n"/>
      <c r="AB160" s="256" t="n"/>
      <c r="AC160" s="256" t="n"/>
      <c r="AD160" s="256" t="n"/>
      <c r="AE160" s="256" t="n"/>
      <c r="AF160" s="256" t="n"/>
      <c r="AG160" s="256" t="n"/>
      <c r="AH160" s="256" t="n"/>
      <c r="AI160" s="256" t="n"/>
      <c r="AJ160" s="256" t="n"/>
      <c r="AK160" s="256" t="n"/>
      <c r="AL160" s="256" t="n"/>
      <c r="AM160" s="256" t="n"/>
      <c r="AN160" s="256" t="n"/>
      <c r="AO160" s="256" t="n"/>
    </row>
    <row r="161">
      <c r="A161" s="239" t="n"/>
      <c r="B161" s="239" t="n"/>
      <c r="C161" s="239" t="n"/>
      <c r="D161" s="239" t="n"/>
      <c r="E161" s="239" t="n"/>
      <c r="F161" s="239" t="n"/>
      <c r="G161" s="239" t="n"/>
      <c r="H161" s="239" t="n"/>
      <c r="I161" s="239" t="n"/>
      <c r="J161" s="239" t="n"/>
      <c r="K161" s="239" t="n"/>
      <c r="L161" s="239" t="n"/>
      <c r="M161" s="239" t="n"/>
      <c r="N161" s="239" t="n"/>
      <c r="O161" s="239" t="n"/>
      <c r="P161" s="239" t="n"/>
      <c r="Q161" s="239" t="n"/>
      <c r="R161" s="239" t="n"/>
      <c r="S161" s="239" t="n"/>
      <c r="T161" s="239" t="n"/>
      <c r="U161" s="239" t="n"/>
      <c r="V161" s="239" t="n"/>
      <c r="W161" s="239" t="n"/>
      <c r="X161" s="239" t="n"/>
      <c r="Y161" s="239" t="n"/>
      <c r="Z161" s="239" t="n"/>
      <c r="AA161" s="239" t="n"/>
      <c r="AB161" s="239" t="n"/>
      <c r="AC161" s="239" t="n"/>
      <c r="AD161" s="239" t="n"/>
      <c r="AE161" s="239" t="n"/>
      <c r="AF161" s="239" t="n"/>
      <c r="AG161" s="239" t="n"/>
      <c r="AH161" s="239" t="n"/>
      <c r="AI161" s="239" t="n"/>
      <c r="AJ161" s="239" t="n"/>
      <c r="AK161" s="239" t="n"/>
      <c r="AL161" s="239" t="n"/>
      <c r="AM161" s="239" t="n"/>
      <c r="AN161" s="239" t="n"/>
      <c r="AO161" s="239" t="n"/>
    </row>
    <row r="162">
      <c r="A162" s="256" t="n"/>
      <c r="B162" s="256" t="n"/>
      <c r="C162" s="256" t="n"/>
      <c r="D162" s="256" t="n"/>
      <c r="E162" s="256" t="n"/>
      <c r="F162" s="256" t="n"/>
      <c r="G162" s="256" t="n"/>
      <c r="H162" s="256" t="n"/>
      <c r="I162" s="256" t="n"/>
      <c r="J162" s="256" t="n"/>
      <c r="K162" s="256" t="n"/>
      <c r="L162" s="256" t="n"/>
      <c r="M162" s="256" t="n"/>
      <c r="N162" s="256" t="n"/>
      <c r="O162" s="256" t="n"/>
      <c r="P162" s="256" t="n"/>
      <c r="Q162" s="256" t="n"/>
      <c r="R162" s="256" t="n"/>
      <c r="S162" s="256" t="n"/>
      <c r="T162" s="256" t="n"/>
      <c r="U162" s="256" t="n"/>
      <c r="V162" s="256" t="n"/>
      <c r="W162" s="256" t="n"/>
      <c r="X162" s="256" t="n"/>
      <c r="Y162" s="256" t="n"/>
      <c r="Z162" s="256" t="n"/>
      <c r="AA162" s="256" t="n"/>
      <c r="AB162" s="256" t="n"/>
      <c r="AC162" s="256" t="n"/>
      <c r="AD162" s="256" t="n"/>
      <c r="AE162" s="256" t="n"/>
      <c r="AF162" s="256" t="n"/>
      <c r="AG162" s="256" t="n"/>
      <c r="AH162" s="256" t="n"/>
      <c r="AI162" s="256" t="n"/>
      <c r="AJ162" s="256" t="n"/>
      <c r="AK162" s="256" t="n"/>
      <c r="AL162" s="256" t="n"/>
      <c r="AM162" s="256" t="n"/>
      <c r="AN162" s="256" t="n"/>
      <c r="AO162" s="256" t="n"/>
    </row>
    <row r="163">
      <c r="A163" s="239" t="n"/>
      <c r="B163" s="239" t="n"/>
      <c r="C163" s="239" t="n"/>
      <c r="D163" s="239" t="n"/>
      <c r="E163" s="239" t="n"/>
      <c r="F163" s="239" t="n"/>
      <c r="G163" s="239" t="n"/>
      <c r="H163" s="239" t="n"/>
      <c r="I163" s="239" t="n"/>
      <c r="J163" s="239" t="n"/>
      <c r="K163" s="239" t="n"/>
      <c r="L163" s="239" t="n"/>
      <c r="M163" s="239" t="n"/>
      <c r="N163" s="239" t="n"/>
      <c r="O163" s="239" t="n"/>
      <c r="P163" s="239" t="n"/>
      <c r="Q163" s="239" t="n"/>
      <c r="R163" s="239" t="n"/>
      <c r="S163" s="239" t="n"/>
      <c r="T163" s="239" t="n"/>
      <c r="U163" s="239" t="n"/>
      <c r="V163" s="239" t="n"/>
      <c r="W163" s="239" t="n"/>
      <c r="X163" s="239" t="n"/>
      <c r="Y163" s="239" t="n"/>
      <c r="Z163" s="239" t="n"/>
      <c r="AA163" s="239" t="n"/>
      <c r="AB163" s="239" t="n"/>
      <c r="AC163" s="239" t="n"/>
      <c r="AD163" s="239" t="n"/>
      <c r="AE163" s="239" t="n"/>
      <c r="AF163" s="239" t="n"/>
      <c r="AG163" s="239" t="n"/>
      <c r="AH163" s="239" t="n"/>
      <c r="AI163" s="239" t="n"/>
      <c r="AJ163" s="239" t="n"/>
      <c r="AK163" s="239" t="n"/>
      <c r="AL163" s="239" t="n"/>
      <c r="AM163" s="239" t="n"/>
      <c r="AN163" s="239" t="n"/>
      <c r="AO163" s="239" t="n"/>
    </row>
    <row r="164">
      <c r="A164" s="256" t="n"/>
      <c r="B164" s="256" t="n"/>
      <c r="C164" s="256" t="n"/>
      <c r="D164" s="256" t="n"/>
      <c r="E164" s="256" t="n"/>
      <c r="F164" s="256" t="n"/>
      <c r="G164" s="256" t="n"/>
      <c r="H164" s="256" t="n"/>
      <c r="I164" s="256" t="n"/>
      <c r="J164" s="256" t="n"/>
      <c r="K164" s="256" t="n"/>
      <c r="L164" s="256" t="n"/>
      <c r="M164" s="256" t="n"/>
      <c r="N164" s="256" t="n"/>
      <c r="O164" s="256" t="n"/>
      <c r="P164" s="256" t="n"/>
      <c r="Q164" s="256" t="n"/>
      <c r="R164" s="256" t="n"/>
      <c r="S164" s="256" t="n"/>
      <c r="T164" s="256" t="n"/>
      <c r="U164" s="256" t="n"/>
      <c r="V164" s="256" t="n"/>
      <c r="W164" s="256" t="n"/>
      <c r="X164" s="256" t="n"/>
      <c r="Y164" s="256" t="n"/>
      <c r="Z164" s="256" t="n"/>
      <c r="AA164" s="256" t="n"/>
      <c r="AB164" s="256" t="n"/>
      <c r="AC164" s="256" t="n"/>
      <c r="AD164" s="256" t="n"/>
      <c r="AE164" s="256" t="n"/>
      <c r="AF164" s="256" t="n"/>
      <c r="AG164" s="256" t="n"/>
      <c r="AH164" s="256" t="n"/>
      <c r="AI164" s="256" t="n"/>
      <c r="AJ164" s="256" t="n"/>
      <c r="AK164" s="256" t="n"/>
      <c r="AL164" s="256" t="n"/>
      <c r="AM164" s="256" t="n"/>
      <c r="AN164" s="256" t="n"/>
      <c r="AO164" s="256" t="n"/>
    </row>
    <row r="165">
      <c r="A165" s="239" t="n"/>
      <c r="B165" s="239" t="n"/>
      <c r="C165" s="239" t="n"/>
      <c r="D165" s="239" t="n"/>
      <c r="E165" s="239" t="n"/>
      <c r="F165" s="239" t="n"/>
      <c r="G165" s="239" t="n"/>
      <c r="H165" s="239" t="n"/>
      <c r="I165" s="239" t="n"/>
      <c r="J165" s="239" t="n"/>
      <c r="K165" s="239" t="n"/>
      <c r="L165" s="239" t="n"/>
      <c r="M165" s="239" t="n"/>
      <c r="N165" s="239" t="n"/>
      <c r="O165" s="239" t="n"/>
      <c r="P165" s="239" t="n"/>
      <c r="Q165" s="239" t="n"/>
      <c r="R165" s="239" t="n"/>
      <c r="S165" s="239" t="n"/>
      <c r="T165" s="239" t="n"/>
      <c r="U165" s="239" t="n"/>
      <c r="V165" s="239" t="n"/>
      <c r="W165" s="239" t="n"/>
      <c r="X165" s="239" t="n"/>
      <c r="Y165" s="239" t="n"/>
      <c r="Z165" s="239" t="n"/>
      <c r="AA165" s="239" t="n"/>
      <c r="AB165" s="239" t="n"/>
      <c r="AC165" s="239" t="n"/>
      <c r="AD165" s="239" t="n"/>
      <c r="AE165" s="239" t="n"/>
      <c r="AF165" s="239" t="n"/>
      <c r="AG165" s="239" t="n"/>
      <c r="AH165" s="239" t="n"/>
      <c r="AI165" s="239" t="n"/>
      <c r="AJ165" s="239" t="n"/>
      <c r="AK165" s="239" t="n"/>
      <c r="AL165" s="239" t="n"/>
      <c r="AM165" s="239" t="n"/>
      <c r="AN165" s="239" t="n"/>
      <c r="AO165" s="239" t="n"/>
    </row>
    <row r="166">
      <c r="A166" s="256" t="n"/>
      <c r="B166" s="256" t="n"/>
      <c r="C166" s="256" t="n"/>
      <c r="D166" s="256" t="n"/>
      <c r="E166" s="256" t="n"/>
      <c r="F166" s="256" t="n"/>
      <c r="G166" s="256" t="n"/>
      <c r="H166" s="256" t="n"/>
      <c r="I166" s="256" t="n"/>
      <c r="J166" s="256" t="n"/>
      <c r="K166" s="256" t="n"/>
      <c r="L166" s="256" t="n"/>
      <c r="M166" s="256" t="n"/>
      <c r="N166" s="256" t="n"/>
      <c r="O166" s="256" t="n"/>
      <c r="P166" s="256" t="n"/>
      <c r="Q166" s="256" t="n"/>
      <c r="R166" s="256" t="n"/>
      <c r="S166" s="256" t="n"/>
      <c r="T166" s="256" t="n"/>
      <c r="U166" s="256" t="n"/>
      <c r="V166" s="256" t="n"/>
      <c r="W166" s="256" t="n"/>
      <c r="X166" s="256" t="n"/>
      <c r="Y166" s="256" t="n"/>
      <c r="Z166" s="256" t="n"/>
      <c r="AA166" s="256" t="n"/>
      <c r="AB166" s="256" t="n"/>
      <c r="AC166" s="256" t="n"/>
      <c r="AD166" s="256" t="n"/>
      <c r="AE166" s="256" t="n"/>
      <c r="AF166" s="256" t="n"/>
      <c r="AG166" s="256" t="n"/>
      <c r="AH166" s="256" t="n"/>
      <c r="AI166" s="256" t="n"/>
      <c r="AJ166" s="256" t="n"/>
      <c r="AK166" s="256" t="n"/>
      <c r="AL166" s="256" t="n"/>
      <c r="AM166" s="256" t="n"/>
      <c r="AN166" s="256" t="n"/>
      <c r="AO166" s="256" t="n"/>
    </row>
    <row r="167">
      <c r="A167" s="239" t="n"/>
      <c r="B167" s="239" t="n"/>
      <c r="C167" s="239" t="n"/>
      <c r="D167" s="239" t="n"/>
      <c r="E167" s="239" t="n"/>
      <c r="F167" s="239" t="n"/>
      <c r="G167" s="239" t="n"/>
      <c r="H167" s="239" t="n"/>
      <c r="I167" s="239" t="n"/>
      <c r="J167" s="239" t="n"/>
      <c r="K167" s="239" t="n"/>
      <c r="L167" s="239" t="n"/>
      <c r="M167" s="239" t="n"/>
      <c r="N167" s="239" t="n"/>
      <c r="O167" s="239" t="n"/>
      <c r="P167" s="239" t="n"/>
      <c r="Q167" s="239" t="n"/>
      <c r="R167" s="239" t="n"/>
      <c r="S167" s="239" t="n"/>
      <c r="T167" s="239" t="n"/>
      <c r="U167" s="239" t="n"/>
      <c r="V167" s="239" t="n"/>
      <c r="W167" s="239" t="n"/>
      <c r="X167" s="239" t="n"/>
      <c r="Y167" s="239" t="n"/>
      <c r="Z167" s="239" t="n"/>
      <c r="AA167" s="239" t="n"/>
      <c r="AB167" s="239" t="n"/>
      <c r="AC167" s="239" t="n"/>
      <c r="AD167" s="239" t="n"/>
      <c r="AE167" s="239" t="n"/>
      <c r="AF167" s="239" t="n"/>
      <c r="AG167" s="239" t="n"/>
      <c r="AH167" s="239" t="n"/>
      <c r="AI167" s="239" t="n"/>
      <c r="AJ167" s="239" t="n"/>
      <c r="AK167" s="239" t="n"/>
      <c r="AL167" s="239" t="n"/>
      <c r="AM167" s="239" t="n"/>
      <c r="AN167" s="239" t="n"/>
      <c r="AO167" s="239" t="n"/>
    </row>
    <row r="168">
      <c r="A168" s="256" t="n"/>
      <c r="B168" s="256" t="n"/>
      <c r="C168" s="256" t="n"/>
      <c r="D168" s="256" t="n"/>
      <c r="E168" s="256" t="n"/>
      <c r="F168" s="256" t="n"/>
      <c r="G168" s="256" t="n"/>
      <c r="H168" s="256" t="n"/>
      <c r="I168" s="256" t="n"/>
      <c r="J168" s="256" t="n"/>
      <c r="K168" s="256" t="n"/>
      <c r="L168" s="256" t="n"/>
      <c r="M168" s="256" t="n"/>
      <c r="N168" s="256" t="n"/>
      <c r="O168" s="256" t="n"/>
      <c r="P168" s="256" t="n"/>
      <c r="Q168" s="256" t="n"/>
      <c r="R168" s="256" t="n"/>
      <c r="S168" s="256" t="n"/>
      <c r="T168" s="256" t="n"/>
      <c r="U168" s="256" t="n"/>
      <c r="V168" s="256" t="n"/>
      <c r="W168" s="256" t="n"/>
      <c r="X168" s="256" t="n"/>
      <c r="Y168" s="256" t="n"/>
      <c r="Z168" s="256" t="n"/>
      <c r="AA168" s="256" t="n"/>
      <c r="AB168" s="256" t="n"/>
      <c r="AC168" s="256" t="n"/>
      <c r="AD168" s="256" t="n"/>
      <c r="AE168" s="256" t="n"/>
      <c r="AF168" s="256" t="n"/>
      <c r="AG168" s="256" t="n"/>
      <c r="AH168" s="256" t="n"/>
      <c r="AI168" s="256" t="n"/>
      <c r="AJ168" s="256" t="n"/>
      <c r="AK168" s="256" t="n"/>
      <c r="AL168" s="256" t="n"/>
      <c r="AM168" s="256" t="n"/>
      <c r="AN168" s="256" t="n"/>
      <c r="AO168" s="256" t="n"/>
    </row>
    <row r="169">
      <c r="A169" s="239" t="n"/>
      <c r="B169" s="239" t="n"/>
      <c r="C169" s="239" t="n"/>
      <c r="D169" s="239" t="n"/>
      <c r="E169" s="239" t="n"/>
      <c r="F169" s="239" t="n"/>
      <c r="G169" s="239" t="n"/>
      <c r="H169" s="239" t="n"/>
      <c r="I169" s="239" t="n"/>
      <c r="J169" s="239" t="n"/>
      <c r="K169" s="239" t="n"/>
      <c r="L169" s="239" t="n"/>
      <c r="M169" s="239" t="n"/>
      <c r="N169" s="239" t="n"/>
      <c r="O169" s="239" t="n"/>
      <c r="P169" s="239" t="n"/>
      <c r="Q169" s="239" t="n"/>
      <c r="R169" s="239" t="n"/>
      <c r="S169" s="239" t="n"/>
      <c r="T169" s="239" t="n"/>
      <c r="U169" s="239" t="n"/>
      <c r="V169" s="239" t="n"/>
      <c r="W169" s="239" t="n"/>
      <c r="X169" s="239" t="n"/>
      <c r="Y169" s="239" t="n"/>
      <c r="Z169" s="239" t="n"/>
      <c r="AA169" s="239" t="n"/>
      <c r="AB169" s="239" t="n"/>
      <c r="AC169" s="239" t="n"/>
      <c r="AD169" s="239" t="n"/>
      <c r="AE169" s="239" t="n"/>
      <c r="AF169" s="239" t="n"/>
      <c r="AG169" s="239" t="n"/>
      <c r="AH169" s="239" t="n"/>
      <c r="AI169" s="239" t="n"/>
      <c r="AJ169" s="239" t="n"/>
      <c r="AK169" s="239" t="n"/>
      <c r="AL169" s="239" t="n"/>
      <c r="AM169" s="239" t="n"/>
      <c r="AN169" s="239" t="n"/>
      <c r="AO169" s="239" t="n"/>
    </row>
    <row r="170">
      <c r="A170" s="256" t="n"/>
      <c r="B170" s="256" t="n"/>
      <c r="C170" s="256" t="n"/>
      <c r="D170" s="256" t="n"/>
      <c r="E170" s="256" t="n"/>
      <c r="F170" s="256" t="n"/>
      <c r="G170" s="256" t="n"/>
      <c r="H170" s="256" t="n"/>
      <c r="I170" s="256" t="n"/>
      <c r="J170" s="256" t="n"/>
      <c r="K170" s="256" t="n"/>
      <c r="L170" s="256" t="n"/>
      <c r="M170" s="256" t="n"/>
      <c r="N170" s="256" t="n"/>
      <c r="O170" s="256" t="n"/>
      <c r="P170" s="256" t="n"/>
      <c r="Q170" s="256" t="n"/>
      <c r="R170" s="256" t="n"/>
      <c r="S170" s="256" t="n"/>
      <c r="T170" s="256" t="n"/>
      <c r="U170" s="256" t="n"/>
      <c r="V170" s="256" t="n"/>
      <c r="W170" s="256" t="n"/>
      <c r="X170" s="256" t="n"/>
      <c r="Y170" s="256" t="n"/>
      <c r="Z170" s="256" t="n"/>
      <c r="AA170" s="256" t="n"/>
      <c r="AB170" s="256" t="n"/>
      <c r="AC170" s="256" t="n"/>
      <c r="AD170" s="256" t="n"/>
      <c r="AE170" s="256" t="n"/>
      <c r="AF170" s="256" t="n"/>
      <c r="AG170" s="256" t="n"/>
      <c r="AH170" s="256" t="n"/>
      <c r="AI170" s="256" t="n"/>
      <c r="AJ170" s="256" t="n"/>
      <c r="AK170" s="256" t="n"/>
      <c r="AL170" s="256" t="n"/>
      <c r="AM170" s="256" t="n"/>
      <c r="AN170" s="256" t="n"/>
      <c r="AO170" s="256" t="n"/>
    </row>
    <row r="171">
      <c r="A171" s="239" t="n"/>
      <c r="B171" s="239" t="n"/>
      <c r="C171" s="239" t="n"/>
      <c r="D171" s="239" t="n"/>
      <c r="E171" s="239" t="n"/>
      <c r="F171" s="239" t="n"/>
      <c r="G171" s="239" t="n"/>
      <c r="H171" s="239" t="n"/>
      <c r="I171" s="239" t="n"/>
      <c r="J171" s="239" t="n"/>
      <c r="K171" s="239" t="n"/>
      <c r="L171" s="239" t="n"/>
      <c r="M171" s="239" t="n"/>
      <c r="N171" s="239" t="n"/>
      <c r="O171" s="239" t="n"/>
      <c r="P171" s="239" t="n"/>
      <c r="Q171" s="239" t="n"/>
      <c r="R171" s="239" t="n"/>
      <c r="S171" s="239" t="n"/>
      <c r="T171" s="239" t="n"/>
      <c r="U171" s="239" t="n"/>
      <c r="V171" s="239" t="n"/>
      <c r="W171" s="239" t="n"/>
      <c r="X171" s="239" t="n"/>
      <c r="Y171" s="239" t="n"/>
      <c r="Z171" s="239" t="n"/>
      <c r="AA171" s="239" t="n"/>
      <c r="AB171" s="239" t="n"/>
      <c r="AC171" s="239" t="n"/>
      <c r="AD171" s="239" t="n"/>
      <c r="AE171" s="239" t="n"/>
      <c r="AF171" s="239" t="n"/>
      <c r="AG171" s="239" t="n"/>
      <c r="AH171" s="239" t="n"/>
      <c r="AI171" s="239" t="n"/>
      <c r="AJ171" s="239" t="n"/>
      <c r="AK171" s="239" t="n"/>
      <c r="AL171" s="239" t="n"/>
      <c r="AM171" s="239" t="n"/>
      <c r="AN171" s="239" t="n"/>
      <c r="AO171" s="239" t="n"/>
    </row>
    <row r="172">
      <c r="A172" s="256" t="n"/>
      <c r="B172" s="256" t="n"/>
      <c r="C172" s="256" t="n"/>
      <c r="D172" s="256" t="n"/>
      <c r="E172" s="256" t="n"/>
      <c r="F172" s="256" t="n"/>
      <c r="G172" s="256" t="n"/>
      <c r="H172" s="256" t="n"/>
      <c r="I172" s="256" t="n"/>
      <c r="J172" s="256" t="n"/>
      <c r="K172" s="256" t="n"/>
      <c r="L172" s="256" t="n"/>
      <c r="M172" s="256" t="n"/>
      <c r="N172" s="256" t="n"/>
      <c r="O172" s="256" t="n"/>
      <c r="P172" s="256" t="n"/>
      <c r="Q172" s="256" t="n"/>
      <c r="R172" s="256" t="n"/>
      <c r="S172" s="256" t="n"/>
      <c r="T172" s="256" t="n"/>
      <c r="U172" s="256" t="n"/>
      <c r="V172" s="256" t="n"/>
      <c r="W172" s="256" t="n"/>
      <c r="X172" s="256" t="n"/>
      <c r="Y172" s="256" t="n"/>
      <c r="Z172" s="256" t="n"/>
      <c r="AA172" s="256" t="n"/>
      <c r="AB172" s="256" t="n"/>
      <c r="AC172" s="256" t="n"/>
      <c r="AD172" s="256" t="n"/>
      <c r="AE172" s="256" t="n"/>
      <c r="AF172" s="256" t="n"/>
      <c r="AG172" s="256" t="n"/>
      <c r="AH172" s="256" t="n"/>
      <c r="AI172" s="256" t="n"/>
      <c r="AJ172" s="256" t="n"/>
      <c r="AK172" s="256" t="n"/>
      <c r="AL172" s="256" t="n"/>
      <c r="AM172" s="256" t="n"/>
      <c r="AN172" s="256" t="n"/>
      <c r="AO172" s="256" t="n"/>
    </row>
    <row r="173">
      <c r="A173" s="239" t="n"/>
      <c r="B173" s="239" t="n"/>
      <c r="C173" s="239" t="n"/>
      <c r="D173" s="239" t="n"/>
      <c r="E173" s="239" t="n"/>
      <c r="F173" s="239" t="n"/>
      <c r="G173" s="239" t="n"/>
      <c r="H173" s="239" t="n"/>
      <c r="I173" s="239" t="n"/>
      <c r="J173" s="239" t="n"/>
      <c r="K173" s="239" t="n"/>
      <c r="L173" s="239" t="n"/>
      <c r="M173" s="239" t="n"/>
      <c r="N173" s="239" t="n"/>
      <c r="O173" s="239" t="n"/>
      <c r="P173" s="239" t="n"/>
      <c r="Q173" s="239" t="n"/>
      <c r="R173" s="239" t="n"/>
      <c r="S173" s="239" t="n"/>
      <c r="T173" s="239" t="n"/>
      <c r="U173" s="239" t="n"/>
      <c r="V173" s="239" t="n"/>
      <c r="W173" s="239" t="n"/>
      <c r="X173" s="239" t="n"/>
      <c r="Y173" s="239" t="n"/>
      <c r="Z173" s="239" t="n"/>
      <c r="AA173" s="239" t="n"/>
      <c r="AB173" s="239" t="n"/>
      <c r="AC173" s="239" t="n"/>
      <c r="AD173" s="239" t="n"/>
      <c r="AE173" s="239" t="n"/>
      <c r="AF173" s="239" t="n"/>
      <c r="AG173" s="239" t="n"/>
      <c r="AH173" s="239" t="n"/>
      <c r="AI173" s="239" t="n"/>
      <c r="AJ173" s="239" t="n"/>
      <c r="AK173" s="239" t="n"/>
      <c r="AL173" s="239" t="n"/>
      <c r="AM173" s="239" t="n"/>
      <c r="AN173" s="239" t="n"/>
      <c r="AO173" s="239" t="n"/>
    </row>
    <row r="174">
      <c r="A174" s="256" t="n"/>
      <c r="B174" s="256" t="n"/>
      <c r="C174" s="256" t="n"/>
      <c r="D174" s="256" t="n"/>
      <c r="E174" s="256" t="n"/>
      <c r="F174" s="256" t="n"/>
      <c r="G174" s="256" t="n"/>
      <c r="H174" s="256" t="n"/>
      <c r="I174" s="256" t="n"/>
      <c r="J174" s="256" t="n"/>
      <c r="K174" s="256" t="n"/>
      <c r="L174" s="256" t="n"/>
      <c r="M174" s="256" t="n"/>
      <c r="N174" s="256" t="n"/>
      <c r="O174" s="256" t="n"/>
      <c r="P174" s="256" t="n"/>
      <c r="Q174" s="256" t="n"/>
      <c r="R174" s="256" t="n"/>
      <c r="S174" s="256" t="n"/>
      <c r="T174" s="256" t="n"/>
      <c r="U174" s="256" t="n"/>
      <c r="V174" s="256" t="n"/>
      <c r="W174" s="256" t="n"/>
      <c r="X174" s="256" t="n"/>
      <c r="Y174" s="256" t="n"/>
      <c r="Z174" s="256" t="n"/>
      <c r="AA174" s="256" t="n"/>
      <c r="AB174" s="256" t="n"/>
      <c r="AC174" s="256" t="n"/>
      <c r="AD174" s="256" t="n"/>
      <c r="AE174" s="256" t="n"/>
      <c r="AF174" s="256" t="n"/>
      <c r="AG174" s="256" t="n"/>
      <c r="AH174" s="256" t="n"/>
      <c r="AI174" s="256" t="n"/>
      <c r="AJ174" s="256" t="n"/>
      <c r="AK174" s="256" t="n"/>
      <c r="AL174" s="256" t="n"/>
      <c r="AM174" s="256" t="n"/>
      <c r="AN174" s="256" t="n"/>
      <c r="AO174" s="256" t="n"/>
    </row>
    <row r="175">
      <c r="A175" s="239" t="n"/>
      <c r="B175" s="239" t="n"/>
      <c r="C175" s="239" t="n"/>
      <c r="D175" s="239" t="n"/>
      <c r="E175" s="239" t="n"/>
      <c r="F175" s="239" t="n"/>
      <c r="G175" s="239" t="n"/>
      <c r="H175" s="239" t="n"/>
      <c r="I175" s="239" t="n"/>
      <c r="J175" s="239" t="n"/>
      <c r="K175" s="239" t="n"/>
      <c r="L175" s="239" t="n"/>
      <c r="M175" s="239" t="n"/>
      <c r="N175" s="239" t="n"/>
      <c r="O175" s="239" t="n"/>
      <c r="P175" s="239" t="n"/>
      <c r="Q175" s="239" t="n"/>
      <c r="R175" s="239" t="n"/>
      <c r="S175" s="239" t="n"/>
      <c r="T175" s="239" t="n"/>
      <c r="U175" s="239" t="n"/>
      <c r="V175" s="239" t="n"/>
      <c r="W175" s="239" t="n"/>
      <c r="X175" s="239" t="n"/>
      <c r="Y175" s="239" t="n"/>
      <c r="Z175" s="239" t="n"/>
      <c r="AA175" s="239" t="n"/>
      <c r="AB175" s="239" t="n"/>
      <c r="AC175" s="239" t="n"/>
      <c r="AD175" s="239" t="n"/>
      <c r="AE175" s="239" t="n"/>
      <c r="AF175" s="239" t="n"/>
      <c r="AG175" s="239" t="n"/>
      <c r="AH175" s="239" t="n"/>
      <c r="AI175" s="239" t="n"/>
      <c r="AJ175" s="239" t="n"/>
      <c r="AK175" s="239" t="n"/>
      <c r="AL175" s="239" t="n"/>
      <c r="AM175" s="239" t="n"/>
      <c r="AN175" s="239" t="n"/>
      <c r="AO175" s="239" t="n"/>
    </row>
    <row r="176">
      <c r="A176" s="256" t="n"/>
      <c r="B176" s="256" t="n"/>
      <c r="C176" s="256" t="n"/>
      <c r="D176" s="256" t="n"/>
      <c r="E176" s="256" t="n"/>
      <c r="F176" s="256" t="n"/>
      <c r="G176" s="256" t="n"/>
      <c r="H176" s="256" t="n"/>
      <c r="I176" s="256" t="n"/>
      <c r="J176" s="256" t="n"/>
      <c r="K176" s="256" t="n"/>
      <c r="L176" s="256" t="n"/>
      <c r="M176" s="256" t="n"/>
      <c r="N176" s="256" t="n"/>
      <c r="O176" s="256" t="n"/>
      <c r="P176" s="256" t="n"/>
      <c r="Q176" s="256" t="n"/>
      <c r="R176" s="256" t="n"/>
      <c r="S176" s="256" t="n"/>
      <c r="T176" s="256" t="n"/>
      <c r="U176" s="256" t="n"/>
      <c r="V176" s="256" t="n"/>
      <c r="W176" s="256" t="n"/>
      <c r="X176" s="256" t="n"/>
      <c r="Y176" s="256" t="n"/>
      <c r="Z176" s="256" t="n"/>
      <c r="AA176" s="256" t="n"/>
      <c r="AB176" s="256" t="n"/>
      <c r="AC176" s="256" t="n"/>
      <c r="AD176" s="256" t="n"/>
      <c r="AE176" s="256" t="n"/>
      <c r="AF176" s="256" t="n"/>
      <c r="AG176" s="256" t="n"/>
      <c r="AH176" s="256" t="n"/>
      <c r="AI176" s="256" t="n"/>
      <c r="AJ176" s="256" t="n"/>
      <c r="AK176" s="256" t="n"/>
      <c r="AL176" s="256" t="n"/>
      <c r="AM176" s="256" t="n"/>
      <c r="AN176" s="256" t="n"/>
      <c r="AO176" s="256" t="n"/>
    </row>
    <row r="177">
      <c r="A177" s="239" t="n"/>
      <c r="B177" s="239" t="n"/>
      <c r="C177" s="239" t="n"/>
      <c r="D177" s="239" t="n"/>
      <c r="E177" s="239" t="n"/>
      <c r="F177" s="239" t="n"/>
      <c r="G177" s="239" t="n"/>
      <c r="H177" s="239" t="n"/>
      <c r="I177" s="239" t="n"/>
      <c r="J177" s="239" t="n"/>
      <c r="K177" s="239" t="n"/>
      <c r="L177" s="239" t="n"/>
      <c r="M177" s="239" t="n"/>
      <c r="N177" s="239" t="n"/>
      <c r="O177" s="239" t="n"/>
      <c r="P177" s="239" t="n"/>
      <c r="Q177" s="239" t="n"/>
      <c r="R177" s="239" t="n"/>
      <c r="S177" s="239" t="n"/>
      <c r="T177" s="239" t="n"/>
      <c r="U177" s="239" t="n"/>
      <c r="V177" s="239" t="n"/>
      <c r="W177" s="239" t="n"/>
      <c r="X177" s="239" t="n"/>
      <c r="Y177" s="239" t="n"/>
      <c r="Z177" s="239" t="n"/>
      <c r="AA177" s="239" t="n"/>
      <c r="AB177" s="239" t="n"/>
      <c r="AC177" s="239" t="n"/>
      <c r="AD177" s="239" t="n"/>
      <c r="AE177" s="239" t="n"/>
      <c r="AF177" s="239" t="n"/>
      <c r="AG177" s="239" t="n"/>
      <c r="AH177" s="239" t="n"/>
      <c r="AI177" s="239" t="n"/>
      <c r="AJ177" s="239" t="n"/>
      <c r="AK177" s="239" t="n"/>
      <c r="AL177" s="239" t="n"/>
      <c r="AM177" s="239" t="n"/>
      <c r="AN177" s="239" t="n"/>
      <c r="AO177" s="239" t="n"/>
    </row>
    <row r="178">
      <c r="A178" s="256" t="n"/>
      <c r="B178" s="256" t="n"/>
      <c r="C178" s="256" t="n"/>
      <c r="D178" s="256" t="n"/>
      <c r="E178" s="256" t="n"/>
      <c r="F178" s="256" t="n"/>
      <c r="G178" s="256" t="n"/>
      <c r="H178" s="256" t="n"/>
      <c r="I178" s="256" t="n"/>
      <c r="J178" s="256" t="n"/>
      <c r="K178" s="256" t="n"/>
      <c r="L178" s="256" t="n"/>
      <c r="M178" s="256" t="n"/>
      <c r="N178" s="256" t="n"/>
      <c r="O178" s="256" t="n"/>
      <c r="P178" s="256" t="n"/>
      <c r="Q178" s="256" t="n"/>
      <c r="R178" s="256" t="n"/>
      <c r="S178" s="256" t="n"/>
      <c r="T178" s="256" t="n"/>
      <c r="U178" s="256" t="n"/>
      <c r="V178" s="256" t="n"/>
      <c r="W178" s="256" t="n"/>
      <c r="X178" s="256" t="n"/>
      <c r="Y178" s="256" t="n"/>
      <c r="Z178" s="256" t="n"/>
      <c r="AA178" s="256" t="n"/>
      <c r="AB178" s="256" t="n"/>
      <c r="AC178" s="256" t="n"/>
      <c r="AD178" s="256" t="n"/>
      <c r="AE178" s="256" t="n"/>
      <c r="AF178" s="256" t="n"/>
      <c r="AG178" s="256" t="n"/>
      <c r="AH178" s="256" t="n"/>
      <c r="AI178" s="256" t="n"/>
      <c r="AJ178" s="256" t="n"/>
      <c r="AK178" s="256" t="n"/>
      <c r="AL178" s="256" t="n"/>
      <c r="AM178" s="256" t="n"/>
      <c r="AN178" s="256" t="n"/>
      <c r="AO178" s="256" t="n"/>
    </row>
    <row r="179">
      <c r="A179" s="239" t="n"/>
      <c r="B179" s="239" t="n"/>
      <c r="C179" s="239" t="n"/>
      <c r="D179" s="239" t="n"/>
      <c r="E179" s="239" t="n"/>
      <c r="F179" s="239" t="n"/>
      <c r="G179" s="239" t="n"/>
      <c r="H179" s="239" t="n"/>
      <c r="I179" s="239" t="n"/>
      <c r="J179" s="239" t="n"/>
      <c r="K179" s="239" t="n"/>
      <c r="L179" s="239" t="n"/>
      <c r="M179" s="239" t="n"/>
      <c r="N179" s="239" t="n"/>
      <c r="O179" s="239" t="n"/>
      <c r="P179" s="239" t="n"/>
      <c r="Q179" s="239" t="n"/>
      <c r="R179" s="239" t="n"/>
      <c r="S179" s="239" t="n"/>
      <c r="T179" s="239" t="n"/>
      <c r="U179" s="239" t="n"/>
      <c r="V179" s="239" t="n"/>
      <c r="W179" s="239" t="n"/>
      <c r="X179" s="239" t="n"/>
      <c r="Y179" s="239" t="n"/>
      <c r="Z179" s="239" t="n"/>
      <c r="AA179" s="239" t="n"/>
      <c r="AB179" s="239" t="n"/>
      <c r="AC179" s="239" t="n"/>
      <c r="AD179" s="239" t="n"/>
      <c r="AE179" s="239" t="n"/>
      <c r="AF179" s="239" t="n"/>
      <c r="AG179" s="239" t="n"/>
      <c r="AH179" s="239" t="n"/>
      <c r="AI179" s="239" t="n"/>
      <c r="AJ179" s="239" t="n"/>
      <c r="AK179" s="239" t="n"/>
      <c r="AL179" s="239" t="n"/>
      <c r="AM179" s="239" t="n"/>
      <c r="AN179" s="239" t="n"/>
      <c r="AO179" s="239" t="n"/>
    </row>
    <row r="180">
      <c r="A180" s="256" t="n"/>
      <c r="B180" s="256" t="n"/>
      <c r="C180" s="256" t="n"/>
      <c r="D180" s="256" t="n"/>
      <c r="E180" s="256" t="n"/>
      <c r="F180" s="256" t="n"/>
      <c r="G180" s="256" t="n"/>
      <c r="H180" s="256" t="n"/>
      <c r="I180" s="256" t="n"/>
      <c r="J180" s="256" t="n"/>
      <c r="K180" s="256" t="n"/>
      <c r="L180" s="256" t="n"/>
      <c r="M180" s="256" t="n"/>
      <c r="N180" s="256" t="n"/>
      <c r="O180" s="256" t="n"/>
      <c r="P180" s="256" t="n"/>
      <c r="Q180" s="256" t="n"/>
      <c r="R180" s="256" t="n"/>
      <c r="S180" s="256" t="n"/>
      <c r="T180" s="256" t="n"/>
      <c r="U180" s="256" t="n"/>
      <c r="V180" s="256" t="n"/>
      <c r="W180" s="256" t="n"/>
      <c r="X180" s="256" t="n"/>
      <c r="Y180" s="256" t="n"/>
      <c r="Z180" s="256" t="n"/>
      <c r="AA180" s="256" t="n"/>
      <c r="AB180" s="256" t="n"/>
      <c r="AC180" s="256" t="n"/>
      <c r="AD180" s="256" t="n"/>
      <c r="AE180" s="256" t="n"/>
      <c r="AF180" s="256" t="n"/>
      <c r="AG180" s="256" t="n"/>
      <c r="AH180" s="256" t="n"/>
      <c r="AI180" s="256" t="n"/>
      <c r="AJ180" s="256" t="n"/>
      <c r="AK180" s="256" t="n"/>
      <c r="AL180" s="256" t="n"/>
      <c r="AM180" s="256" t="n"/>
      <c r="AN180" s="256" t="n"/>
      <c r="AO180" s="256" t="n"/>
    </row>
    <row r="181">
      <c r="A181" s="239" t="n"/>
      <c r="B181" s="239" t="n"/>
      <c r="C181" s="239" t="n"/>
      <c r="D181" s="239" t="n"/>
      <c r="E181" s="239" t="n"/>
      <c r="F181" s="239" t="n"/>
      <c r="G181" s="239" t="n"/>
      <c r="H181" s="239" t="n"/>
      <c r="I181" s="239" t="n"/>
      <c r="J181" s="239" t="n"/>
      <c r="K181" s="239" t="n"/>
      <c r="L181" s="239" t="n"/>
      <c r="M181" s="239" t="n"/>
      <c r="N181" s="239" t="n"/>
      <c r="O181" s="239" t="n"/>
      <c r="P181" s="239" t="n"/>
      <c r="Q181" s="239" t="n"/>
      <c r="R181" s="239" t="n"/>
      <c r="S181" s="239" t="n"/>
      <c r="T181" s="239" t="n"/>
      <c r="U181" s="239" t="n"/>
      <c r="V181" s="239" t="n"/>
      <c r="W181" s="239" t="n"/>
      <c r="X181" s="239" t="n"/>
      <c r="Y181" s="239" t="n"/>
      <c r="Z181" s="239" t="n"/>
      <c r="AA181" s="239" t="n"/>
      <c r="AB181" s="239" t="n"/>
      <c r="AC181" s="239" t="n"/>
      <c r="AD181" s="239" t="n"/>
      <c r="AE181" s="239" t="n"/>
      <c r="AF181" s="239" t="n"/>
      <c r="AG181" s="239" t="n"/>
      <c r="AH181" s="239" t="n"/>
      <c r="AI181" s="239" t="n"/>
      <c r="AJ181" s="239" t="n"/>
      <c r="AK181" s="239" t="n"/>
      <c r="AL181" s="239" t="n"/>
      <c r="AM181" s="239" t="n"/>
      <c r="AN181" s="239" t="n"/>
      <c r="AO181" s="239" t="n"/>
    </row>
    <row r="182">
      <c r="A182" s="256" t="n"/>
      <c r="B182" s="256" t="n"/>
      <c r="C182" s="256" t="n"/>
      <c r="D182" s="256" t="n"/>
      <c r="E182" s="256" t="n"/>
      <c r="F182" s="256" t="n"/>
      <c r="G182" s="256" t="n"/>
      <c r="H182" s="256" t="n"/>
      <c r="I182" s="256" t="n"/>
      <c r="J182" s="256" t="n"/>
      <c r="K182" s="256" t="n"/>
      <c r="L182" s="256" t="n"/>
      <c r="M182" s="256" t="n"/>
      <c r="N182" s="256" t="n"/>
      <c r="O182" s="256" t="n"/>
      <c r="P182" s="256" t="n"/>
      <c r="Q182" s="256" t="n"/>
      <c r="R182" s="256" t="n"/>
      <c r="S182" s="256" t="n"/>
      <c r="T182" s="256" t="n"/>
      <c r="U182" s="256" t="n"/>
      <c r="V182" s="256" t="n"/>
      <c r="W182" s="256" t="n"/>
      <c r="X182" s="256" t="n"/>
      <c r="Y182" s="256" t="n"/>
      <c r="Z182" s="256" t="n"/>
      <c r="AA182" s="256" t="n"/>
      <c r="AB182" s="256" t="n"/>
      <c r="AC182" s="256" t="n"/>
      <c r="AD182" s="256" t="n"/>
      <c r="AE182" s="256" t="n"/>
      <c r="AF182" s="256" t="n"/>
      <c r="AG182" s="256" t="n"/>
      <c r="AH182" s="256" t="n"/>
      <c r="AI182" s="256" t="n"/>
      <c r="AJ182" s="256" t="n"/>
      <c r="AK182" s="256" t="n"/>
      <c r="AL182" s="256" t="n"/>
      <c r="AM182" s="256" t="n"/>
      <c r="AN182" s="256" t="n"/>
      <c r="AO182" s="256" t="n"/>
    </row>
    <row r="183">
      <c r="A183" s="239" t="n"/>
      <c r="B183" s="239" t="n"/>
      <c r="C183" s="239" t="n"/>
      <c r="D183" s="239" t="n"/>
      <c r="E183" s="239" t="n"/>
      <c r="F183" s="239" t="n"/>
      <c r="G183" s="239" t="n"/>
      <c r="H183" s="239" t="n"/>
      <c r="I183" s="239" t="n"/>
      <c r="J183" s="239" t="n"/>
      <c r="K183" s="239" t="n"/>
      <c r="L183" s="239" t="n"/>
      <c r="M183" s="239" t="n"/>
      <c r="N183" s="239" t="n"/>
      <c r="O183" s="239" t="n"/>
      <c r="P183" s="239" t="n"/>
      <c r="Q183" s="239" t="n"/>
      <c r="R183" s="239" t="n"/>
      <c r="S183" s="239" t="n"/>
      <c r="T183" s="239" t="n"/>
      <c r="U183" s="239" t="n"/>
      <c r="V183" s="239" t="n"/>
      <c r="W183" s="239" t="n"/>
      <c r="X183" s="239" t="n"/>
      <c r="Y183" s="239" t="n"/>
      <c r="Z183" s="239" t="n"/>
      <c r="AA183" s="239" t="n"/>
      <c r="AB183" s="239" t="n"/>
      <c r="AC183" s="239" t="n"/>
      <c r="AD183" s="239" t="n"/>
      <c r="AE183" s="239" t="n"/>
      <c r="AF183" s="239" t="n"/>
      <c r="AG183" s="239" t="n"/>
      <c r="AH183" s="239" t="n"/>
      <c r="AI183" s="239" t="n"/>
      <c r="AJ183" s="239" t="n"/>
      <c r="AK183" s="239" t="n"/>
      <c r="AL183" s="239" t="n"/>
      <c r="AM183" s="239" t="n"/>
      <c r="AN183" s="239" t="n"/>
      <c r="AO183" s="239" t="n"/>
    </row>
    <row r="184">
      <c r="A184" s="256" t="n"/>
      <c r="B184" s="256" t="n"/>
      <c r="C184" s="256" t="n"/>
      <c r="D184" s="256" t="n"/>
      <c r="E184" s="256" t="n"/>
      <c r="F184" s="256" t="n"/>
      <c r="G184" s="256" t="n"/>
      <c r="H184" s="256" t="n"/>
      <c r="I184" s="256" t="n"/>
      <c r="J184" s="256" t="n"/>
      <c r="K184" s="256" t="n"/>
      <c r="L184" s="256" t="n"/>
      <c r="M184" s="256" t="n"/>
      <c r="N184" s="256" t="n"/>
      <c r="O184" s="256" t="n"/>
      <c r="P184" s="256" t="n"/>
      <c r="Q184" s="256" t="n"/>
      <c r="R184" s="256" t="n"/>
      <c r="S184" s="256" t="n"/>
      <c r="T184" s="256" t="n"/>
      <c r="U184" s="256" t="n"/>
      <c r="V184" s="256" t="n"/>
      <c r="W184" s="256" t="n"/>
      <c r="X184" s="256" t="n"/>
      <c r="Y184" s="256" t="n"/>
      <c r="Z184" s="256" t="n"/>
      <c r="AA184" s="256" t="n"/>
      <c r="AB184" s="256" t="n"/>
      <c r="AC184" s="256" t="n"/>
      <c r="AD184" s="256" t="n"/>
      <c r="AE184" s="256" t="n"/>
      <c r="AF184" s="256" t="n"/>
      <c r="AG184" s="256" t="n"/>
      <c r="AH184" s="256" t="n"/>
      <c r="AI184" s="256" t="n"/>
      <c r="AJ184" s="256" t="n"/>
      <c r="AK184" s="256" t="n"/>
      <c r="AL184" s="256" t="n"/>
      <c r="AM184" s="256" t="n"/>
      <c r="AN184" s="256" t="n"/>
      <c r="AO184" s="256" t="n"/>
    </row>
    <row r="185">
      <c r="A185" s="239" t="n"/>
      <c r="B185" s="239" t="n"/>
      <c r="C185" s="239" t="n"/>
      <c r="D185" s="239" t="n"/>
      <c r="E185" s="239" t="n"/>
      <c r="F185" s="239" t="n"/>
      <c r="G185" s="239" t="n"/>
      <c r="H185" s="239" t="n"/>
      <c r="I185" s="239" t="n"/>
      <c r="J185" s="239" t="n"/>
      <c r="K185" s="239" t="n"/>
      <c r="L185" s="239" t="n"/>
      <c r="M185" s="239" t="n"/>
      <c r="N185" s="239" t="n"/>
      <c r="O185" s="239" t="n"/>
      <c r="P185" s="239" t="n"/>
      <c r="Q185" s="239" t="n"/>
      <c r="R185" s="239" t="n"/>
      <c r="S185" s="239" t="n"/>
      <c r="T185" s="239" t="n"/>
      <c r="U185" s="239" t="n"/>
      <c r="V185" s="239" t="n"/>
      <c r="W185" s="239" t="n"/>
      <c r="X185" s="239" t="n"/>
      <c r="Y185" s="239" t="n"/>
      <c r="Z185" s="239" t="n"/>
      <c r="AA185" s="239" t="n"/>
      <c r="AB185" s="239" t="n"/>
      <c r="AC185" s="239" t="n"/>
      <c r="AD185" s="239" t="n"/>
      <c r="AE185" s="239" t="n"/>
      <c r="AF185" s="239" t="n"/>
      <c r="AG185" s="239" t="n"/>
      <c r="AH185" s="239" t="n"/>
      <c r="AI185" s="239" t="n"/>
      <c r="AJ185" s="239" t="n"/>
      <c r="AK185" s="239" t="n"/>
      <c r="AL185" s="239" t="n"/>
      <c r="AM185" s="239" t="n"/>
      <c r="AN185" s="239" t="n"/>
      <c r="AO185" s="239" t="n"/>
    </row>
    <row r="186">
      <c r="A186" s="256" t="n"/>
      <c r="B186" s="256" t="n"/>
      <c r="C186" s="256" t="n"/>
      <c r="D186" s="256" t="n"/>
      <c r="E186" s="256" t="n"/>
      <c r="F186" s="256" t="n"/>
      <c r="G186" s="256" t="n"/>
      <c r="H186" s="256" t="n"/>
      <c r="I186" s="256" t="n"/>
      <c r="J186" s="256" t="n"/>
      <c r="K186" s="256" t="n"/>
      <c r="L186" s="256" t="n"/>
      <c r="M186" s="256" t="n"/>
      <c r="N186" s="256" t="n"/>
      <c r="O186" s="256" t="n"/>
      <c r="P186" s="256" t="n"/>
      <c r="Q186" s="256" t="n"/>
      <c r="R186" s="256" t="n"/>
      <c r="S186" s="256" t="n"/>
      <c r="T186" s="256" t="n"/>
      <c r="U186" s="256" t="n"/>
      <c r="V186" s="256" t="n"/>
      <c r="W186" s="256" t="n"/>
      <c r="X186" s="256" t="n"/>
      <c r="Y186" s="256" t="n"/>
      <c r="Z186" s="256" t="n"/>
      <c r="AA186" s="256" t="n"/>
      <c r="AB186" s="256" t="n"/>
      <c r="AC186" s="256" t="n"/>
      <c r="AD186" s="256" t="n"/>
      <c r="AE186" s="256" t="n"/>
      <c r="AF186" s="256" t="n"/>
      <c r="AG186" s="256" t="n"/>
      <c r="AH186" s="256" t="n"/>
      <c r="AI186" s="256" t="n"/>
      <c r="AJ186" s="256" t="n"/>
      <c r="AK186" s="256" t="n"/>
      <c r="AL186" s="256" t="n"/>
      <c r="AM186" s="256" t="n"/>
      <c r="AN186" s="256" t="n"/>
      <c r="AO186" s="256" t="n"/>
    </row>
    <row r="187">
      <c r="A187" s="239" t="n"/>
      <c r="B187" s="239" t="n"/>
      <c r="C187" s="239" t="n"/>
      <c r="D187" s="239" t="n"/>
      <c r="E187" s="239" t="n"/>
      <c r="F187" s="239" t="n"/>
      <c r="G187" s="239" t="n"/>
      <c r="H187" s="239" t="n"/>
      <c r="I187" s="239" t="n"/>
      <c r="J187" s="239" t="n"/>
      <c r="K187" s="239" t="n"/>
      <c r="L187" s="239" t="n"/>
      <c r="M187" s="239" t="n"/>
      <c r="N187" s="239" t="n"/>
      <c r="O187" s="239" t="n"/>
      <c r="P187" s="239" t="n"/>
      <c r="Q187" s="239" t="n"/>
      <c r="R187" s="239" t="n"/>
      <c r="S187" s="239" t="n"/>
      <c r="T187" s="239" t="n"/>
      <c r="U187" s="239" t="n"/>
      <c r="V187" s="239" t="n"/>
      <c r="W187" s="239" t="n"/>
      <c r="X187" s="239" t="n"/>
      <c r="Y187" s="239" t="n"/>
      <c r="Z187" s="239" t="n"/>
      <c r="AA187" s="239" t="n"/>
      <c r="AB187" s="239" t="n"/>
      <c r="AC187" s="239" t="n"/>
      <c r="AD187" s="239" t="n"/>
      <c r="AE187" s="239" t="n"/>
      <c r="AF187" s="239" t="n"/>
      <c r="AG187" s="239" t="n"/>
      <c r="AH187" s="239" t="n"/>
      <c r="AI187" s="239" t="n"/>
      <c r="AJ187" s="239" t="n"/>
      <c r="AK187" s="239" t="n"/>
      <c r="AL187" s="239" t="n"/>
      <c r="AM187" s="239" t="n"/>
      <c r="AN187" s="239" t="n"/>
      <c r="AO187" s="239" t="n"/>
    </row>
    <row r="188">
      <c r="A188" s="256" t="n"/>
      <c r="B188" s="256" t="n"/>
      <c r="C188" s="256" t="n"/>
      <c r="D188" s="256" t="n"/>
      <c r="E188" s="256" t="n"/>
      <c r="F188" s="256" t="n"/>
      <c r="G188" s="256" t="n"/>
      <c r="H188" s="256" t="n"/>
      <c r="I188" s="256" t="n"/>
      <c r="J188" s="256" t="n"/>
      <c r="K188" s="256" t="n"/>
      <c r="L188" s="256" t="n"/>
      <c r="M188" s="256" t="n"/>
      <c r="N188" s="256" t="n"/>
      <c r="O188" s="256" t="n"/>
      <c r="P188" s="256" t="n"/>
      <c r="Q188" s="256" t="n"/>
      <c r="R188" s="256" t="n"/>
      <c r="S188" s="256" t="n"/>
      <c r="T188" s="256" t="n"/>
      <c r="U188" s="256" t="n"/>
      <c r="V188" s="256" t="n"/>
      <c r="W188" s="256" t="n"/>
      <c r="X188" s="256" t="n"/>
      <c r="Y188" s="256" t="n"/>
      <c r="Z188" s="256" t="n"/>
      <c r="AA188" s="256" t="n"/>
      <c r="AB188" s="256" t="n"/>
      <c r="AC188" s="256" t="n"/>
      <c r="AD188" s="256" t="n"/>
      <c r="AE188" s="256" t="n"/>
      <c r="AF188" s="256" t="n"/>
      <c r="AG188" s="256" t="n"/>
      <c r="AH188" s="256" t="n"/>
      <c r="AI188" s="256" t="n"/>
      <c r="AJ188" s="256" t="n"/>
      <c r="AK188" s="256" t="n"/>
      <c r="AL188" s="256" t="n"/>
      <c r="AM188" s="256" t="n"/>
      <c r="AN188" s="256" t="n"/>
      <c r="AO188" s="256" t="n"/>
    </row>
    <row r="189">
      <c r="A189" s="239" t="n"/>
      <c r="B189" s="239" t="n"/>
      <c r="C189" s="239" t="n"/>
      <c r="D189" s="239" t="n"/>
      <c r="E189" s="239" t="n"/>
      <c r="F189" s="239" t="n"/>
      <c r="G189" s="239" t="n"/>
      <c r="H189" s="239" t="n"/>
      <c r="I189" s="239" t="n"/>
      <c r="J189" s="239" t="n"/>
      <c r="K189" s="239" t="n"/>
      <c r="L189" s="239" t="n"/>
      <c r="M189" s="239" t="n"/>
      <c r="N189" s="239" t="n"/>
      <c r="O189" s="239" t="n"/>
      <c r="P189" s="239" t="n"/>
      <c r="Q189" s="239" t="n"/>
      <c r="R189" s="239" t="n"/>
      <c r="S189" s="239" t="n"/>
      <c r="T189" s="239" t="n"/>
      <c r="U189" s="239" t="n"/>
      <c r="V189" s="239" t="n"/>
      <c r="W189" s="239" t="n"/>
      <c r="X189" s="239" t="n"/>
      <c r="Y189" s="239" t="n"/>
      <c r="Z189" s="239" t="n"/>
      <c r="AA189" s="239" t="n"/>
      <c r="AB189" s="239" t="n"/>
      <c r="AC189" s="239" t="n"/>
      <c r="AD189" s="239" t="n"/>
      <c r="AE189" s="239" t="n"/>
      <c r="AF189" s="239" t="n"/>
      <c r="AG189" s="239" t="n"/>
      <c r="AH189" s="239" t="n"/>
      <c r="AI189" s="239" t="n"/>
      <c r="AJ189" s="239" t="n"/>
      <c r="AK189" s="239" t="n"/>
      <c r="AL189" s="239" t="n"/>
      <c r="AM189" s="239" t="n"/>
      <c r="AN189" s="239" t="n"/>
      <c r="AO189" s="239" t="n"/>
    </row>
    <row r="190">
      <c r="A190" s="256" t="n"/>
      <c r="B190" s="256" t="n"/>
      <c r="C190" s="256" t="n"/>
      <c r="D190" s="256" t="n"/>
      <c r="E190" s="256" t="n"/>
      <c r="F190" s="256" t="n"/>
      <c r="G190" s="256" t="n"/>
      <c r="H190" s="256" t="n"/>
      <c r="I190" s="256" t="n"/>
      <c r="J190" s="256" t="n"/>
      <c r="K190" s="256" t="n"/>
      <c r="L190" s="256" t="n"/>
      <c r="M190" s="256" t="n"/>
      <c r="N190" s="256" t="n"/>
      <c r="O190" s="256" t="n"/>
      <c r="P190" s="256" t="n"/>
      <c r="Q190" s="256" t="n"/>
      <c r="R190" s="256" t="n"/>
      <c r="S190" s="256" t="n"/>
      <c r="T190" s="256" t="n"/>
      <c r="U190" s="256" t="n"/>
      <c r="V190" s="256" t="n"/>
      <c r="W190" s="256" t="n"/>
      <c r="X190" s="256" t="n"/>
      <c r="Y190" s="256" t="n"/>
      <c r="Z190" s="256" t="n"/>
      <c r="AA190" s="256" t="n"/>
      <c r="AB190" s="256" t="n"/>
      <c r="AC190" s="256" t="n"/>
      <c r="AD190" s="256" t="n"/>
      <c r="AE190" s="256" t="n"/>
      <c r="AF190" s="256" t="n"/>
      <c r="AG190" s="256" t="n"/>
      <c r="AH190" s="256" t="n"/>
      <c r="AI190" s="256" t="n"/>
      <c r="AJ190" s="256" t="n"/>
      <c r="AK190" s="256" t="n"/>
      <c r="AL190" s="256" t="n"/>
      <c r="AM190" s="256" t="n"/>
      <c r="AN190" s="256" t="n"/>
      <c r="AO190" s="256" t="n"/>
    </row>
    <row r="191">
      <c r="A191" s="239" t="n"/>
      <c r="B191" s="239" t="n"/>
      <c r="C191" s="239" t="n"/>
      <c r="D191" s="239" t="n"/>
      <c r="E191" s="239" t="n"/>
      <c r="F191" s="239" t="n"/>
      <c r="G191" s="239" t="n"/>
      <c r="H191" s="239" t="n"/>
      <c r="I191" s="239" t="n"/>
      <c r="J191" s="239" t="n"/>
      <c r="K191" s="239" t="n"/>
      <c r="L191" s="239" t="n"/>
      <c r="M191" s="239" t="n"/>
      <c r="N191" s="239" t="n"/>
      <c r="O191" s="239" t="n"/>
      <c r="P191" s="239" t="n"/>
      <c r="Q191" s="239" t="n"/>
      <c r="R191" s="239" t="n"/>
      <c r="S191" s="239" t="n"/>
      <c r="T191" s="239" t="n"/>
      <c r="U191" s="239" t="n"/>
      <c r="V191" s="239" t="n"/>
      <c r="W191" s="239" t="n"/>
      <c r="X191" s="239" t="n"/>
      <c r="Y191" s="239" t="n"/>
      <c r="Z191" s="239" t="n"/>
      <c r="AA191" s="239" t="n"/>
      <c r="AB191" s="239" t="n"/>
      <c r="AC191" s="239" t="n"/>
      <c r="AD191" s="239" t="n"/>
      <c r="AE191" s="239" t="n"/>
      <c r="AF191" s="239" t="n"/>
      <c r="AG191" s="239" t="n"/>
      <c r="AH191" s="239" t="n"/>
      <c r="AI191" s="239" t="n"/>
      <c r="AJ191" s="239" t="n"/>
      <c r="AK191" s="239" t="n"/>
      <c r="AL191" s="239" t="n"/>
      <c r="AM191" s="239" t="n"/>
      <c r="AN191" s="239" t="n"/>
      <c r="AO191" s="239" t="n"/>
    </row>
    <row r="192">
      <c r="A192" s="256" t="n"/>
      <c r="B192" s="256" t="n"/>
      <c r="C192" s="256" t="n"/>
      <c r="D192" s="256" t="n"/>
      <c r="E192" s="256" t="n"/>
      <c r="F192" s="256" t="n"/>
      <c r="G192" s="256" t="n"/>
      <c r="H192" s="256" t="n"/>
      <c r="I192" s="256" t="n"/>
      <c r="J192" s="256" t="n"/>
      <c r="K192" s="256" t="n"/>
      <c r="L192" s="256" t="n"/>
      <c r="M192" s="256" t="n"/>
      <c r="N192" s="256" t="n"/>
      <c r="O192" s="256" t="n"/>
      <c r="P192" s="256" t="n"/>
      <c r="Q192" s="256" t="n"/>
      <c r="R192" s="256" t="n"/>
      <c r="S192" s="256" t="n"/>
      <c r="T192" s="256" t="n"/>
      <c r="U192" s="256" t="n"/>
      <c r="V192" s="256" t="n"/>
      <c r="W192" s="256" t="n"/>
      <c r="X192" s="256" t="n"/>
      <c r="Y192" s="256" t="n"/>
      <c r="Z192" s="256" t="n"/>
      <c r="AA192" s="256" t="n"/>
      <c r="AB192" s="256" t="n"/>
      <c r="AC192" s="256" t="n"/>
      <c r="AD192" s="256" t="n"/>
      <c r="AE192" s="256" t="n"/>
      <c r="AF192" s="256" t="n"/>
      <c r="AG192" s="256" t="n"/>
      <c r="AH192" s="256" t="n"/>
      <c r="AI192" s="256" t="n"/>
      <c r="AJ192" s="256" t="n"/>
      <c r="AK192" s="256" t="n"/>
      <c r="AL192" s="256" t="n"/>
      <c r="AM192" s="256" t="n"/>
      <c r="AN192" s="256" t="n"/>
      <c r="AO192" s="256" t="n"/>
    </row>
    <row r="193">
      <c r="A193" s="239" t="n"/>
      <c r="B193" s="239" t="n"/>
      <c r="C193" s="239" t="n"/>
      <c r="D193" s="239" t="n"/>
      <c r="E193" s="239" t="n"/>
      <c r="F193" s="239" t="n"/>
      <c r="G193" s="239" t="n"/>
      <c r="H193" s="239" t="n"/>
      <c r="I193" s="239" t="n"/>
      <c r="J193" s="239" t="n"/>
      <c r="K193" s="239" t="n"/>
      <c r="L193" s="239" t="n"/>
      <c r="M193" s="239" t="n"/>
      <c r="N193" s="239" t="n"/>
      <c r="O193" s="239" t="n"/>
      <c r="P193" s="239" t="n"/>
      <c r="Q193" s="239" t="n"/>
      <c r="R193" s="239" t="n"/>
      <c r="S193" s="239" t="n"/>
      <c r="T193" s="239" t="n"/>
      <c r="U193" s="239" t="n"/>
      <c r="V193" s="239" t="n"/>
      <c r="W193" s="239" t="n"/>
      <c r="X193" s="239" t="n"/>
      <c r="Y193" s="239" t="n"/>
      <c r="Z193" s="239" t="n"/>
      <c r="AA193" s="239" t="n"/>
      <c r="AB193" s="239" t="n"/>
      <c r="AC193" s="239" t="n"/>
      <c r="AD193" s="239" t="n"/>
      <c r="AE193" s="239" t="n"/>
      <c r="AF193" s="239" t="n"/>
      <c r="AG193" s="239" t="n"/>
      <c r="AH193" s="239" t="n"/>
      <c r="AI193" s="239" t="n"/>
      <c r="AJ193" s="239" t="n"/>
      <c r="AK193" s="239" t="n"/>
      <c r="AL193" s="239" t="n"/>
      <c r="AM193" s="239" t="n"/>
      <c r="AN193" s="239" t="n"/>
      <c r="AO193" s="239" t="n"/>
    </row>
    <row r="194">
      <c r="A194" s="256" t="n"/>
      <c r="B194" s="256" t="n"/>
      <c r="C194" s="256" t="n"/>
      <c r="D194" s="256" t="n"/>
      <c r="E194" s="256" t="n"/>
      <c r="F194" s="256" t="n"/>
      <c r="G194" s="256" t="n"/>
      <c r="H194" s="256" t="n"/>
      <c r="I194" s="256" t="n"/>
      <c r="J194" s="256" t="n"/>
      <c r="K194" s="256" t="n"/>
      <c r="L194" s="256" t="n"/>
      <c r="M194" s="256" t="n"/>
      <c r="N194" s="256" t="n"/>
      <c r="O194" s="256" t="n"/>
      <c r="P194" s="256" t="n"/>
      <c r="Q194" s="256" t="n"/>
      <c r="R194" s="256" t="n"/>
      <c r="S194" s="256" t="n"/>
      <c r="T194" s="256" t="n"/>
      <c r="U194" s="256" t="n"/>
      <c r="V194" s="256" t="n"/>
      <c r="W194" s="256" t="n"/>
      <c r="X194" s="256" t="n"/>
      <c r="Y194" s="256" t="n"/>
      <c r="Z194" s="256" t="n"/>
      <c r="AA194" s="256" t="n"/>
      <c r="AB194" s="256" t="n"/>
      <c r="AC194" s="256" t="n"/>
      <c r="AD194" s="256" t="n"/>
      <c r="AE194" s="256" t="n"/>
      <c r="AF194" s="256" t="n"/>
      <c r="AG194" s="256" t="n"/>
      <c r="AH194" s="256" t="n"/>
      <c r="AI194" s="256" t="n"/>
      <c r="AJ194" s="256" t="n"/>
      <c r="AK194" s="256" t="n"/>
      <c r="AL194" s="256" t="n"/>
      <c r="AM194" s="256" t="n"/>
      <c r="AN194" s="256" t="n"/>
      <c r="AO194" s="256" t="n"/>
    </row>
    <row r="195">
      <c r="A195" s="239" t="n"/>
      <c r="B195" s="239" t="n"/>
      <c r="C195" s="239" t="n"/>
      <c r="D195" s="239" t="n"/>
      <c r="E195" s="239" t="n"/>
      <c r="F195" s="239" t="n"/>
      <c r="G195" s="239" t="n"/>
      <c r="H195" s="239" t="n"/>
      <c r="I195" s="239" t="n"/>
      <c r="J195" s="239" t="n"/>
      <c r="K195" s="239" t="n"/>
      <c r="L195" s="239" t="n"/>
      <c r="M195" s="239" t="n"/>
      <c r="N195" s="239" t="n"/>
      <c r="O195" s="239" t="n"/>
      <c r="P195" s="239" t="n"/>
      <c r="Q195" s="239" t="n"/>
      <c r="R195" s="239" t="n"/>
      <c r="S195" s="239" t="n"/>
      <c r="T195" s="239" t="n"/>
      <c r="U195" s="239" t="n"/>
      <c r="V195" s="239" t="n"/>
      <c r="W195" s="239" t="n"/>
      <c r="X195" s="239" t="n"/>
      <c r="Y195" s="239" t="n"/>
      <c r="Z195" s="239" t="n"/>
      <c r="AA195" s="239" t="n"/>
      <c r="AB195" s="239" t="n"/>
      <c r="AC195" s="239" t="n"/>
      <c r="AD195" s="239" t="n"/>
      <c r="AE195" s="239" t="n"/>
      <c r="AF195" s="239" t="n"/>
      <c r="AG195" s="239" t="n"/>
      <c r="AH195" s="239" t="n"/>
      <c r="AI195" s="239" t="n"/>
      <c r="AJ195" s="239" t="n"/>
      <c r="AK195" s="239" t="n"/>
      <c r="AL195" s="239" t="n"/>
      <c r="AM195" s="239" t="n"/>
      <c r="AN195" s="239" t="n"/>
      <c r="AO195" s="239" t="n"/>
    </row>
    <row r="196">
      <c r="A196" s="256" t="n"/>
      <c r="B196" s="256" t="n"/>
      <c r="C196" s="256" t="n"/>
      <c r="D196" s="256" t="n"/>
      <c r="E196" s="256" t="n"/>
      <c r="F196" s="256" t="n"/>
      <c r="G196" s="256" t="n"/>
      <c r="H196" s="256" t="n"/>
      <c r="I196" s="256" t="n"/>
      <c r="J196" s="256" t="n"/>
      <c r="K196" s="256" t="n"/>
      <c r="L196" s="256" t="n"/>
      <c r="M196" s="256" t="n"/>
      <c r="N196" s="256" t="n"/>
      <c r="O196" s="256" t="n"/>
      <c r="P196" s="256" t="n"/>
      <c r="Q196" s="256" t="n"/>
      <c r="R196" s="256" t="n"/>
      <c r="S196" s="256" t="n"/>
      <c r="T196" s="256" t="n"/>
      <c r="U196" s="256" t="n"/>
      <c r="V196" s="256" t="n"/>
      <c r="W196" s="256" t="n"/>
      <c r="X196" s="256" t="n"/>
      <c r="Y196" s="256" t="n"/>
      <c r="Z196" s="256" t="n"/>
      <c r="AA196" s="256" t="n"/>
      <c r="AB196" s="256" t="n"/>
      <c r="AC196" s="256" t="n"/>
      <c r="AD196" s="256" t="n"/>
      <c r="AE196" s="256" t="n"/>
      <c r="AF196" s="256" t="n"/>
      <c r="AG196" s="256" t="n"/>
      <c r="AH196" s="256" t="n"/>
      <c r="AI196" s="256" t="n"/>
      <c r="AJ196" s="256" t="n"/>
      <c r="AK196" s="256" t="n"/>
      <c r="AL196" s="256" t="n"/>
      <c r="AM196" s="256" t="n"/>
      <c r="AN196" s="256" t="n"/>
      <c r="AO196" s="256" t="n"/>
    </row>
    <row r="197">
      <c r="A197" s="239" t="n"/>
      <c r="B197" s="239" t="n"/>
      <c r="C197" s="239" t="n"/>
      <c r="D197" s="239" t="n"/>
      <c r="E197" s="239" t="n"/>
      <c r="F197" s="239" t="n"/>
      <c r="G197" s="239" t="n"/>
      <c r="H197" s="239" t="n"/>
      <c r="I197" s="239" t="n"/>
      <c r="J197" s="239" t="n"/>
      <c r="K197" s="239" t="n"/>
      <c r="L197" s="239" t="n"/>
      <c r="M197" s="239" t="n"/>
      <c r="N197" s="239" t="n"/>
      <c r="O197" s="239" t="n"/>
      <c r="P197" s="239" t="n"/>
      <c r="Q197" s="239" t="n"/>
      <c r="R197" s="239" t="n"/>
      <c r="S197" s="239" t="n"/>
      <c r="T197" s="239" t="n"/>
      <c r="U197" s="239" t="n"/>
      <c r="V197" s="239" t="n"/>
      <c r="W197" s="239" t="n"/>
      <c r="X197" s="239" t="n"/>
      <c r="Y197" s="239" t="n"/>
      <c r="Z197" s="239" t="n"/>
      <c r="AA197" s="239" t="n"/>
      <c r="AB197" s="239" t="n"/>
      <c r="AC197" s="239" t="n"/>
      <c r="AD197" s="239" t="n"/>
      <c r="AE197" s="239" t="n"/>
      <c r="AF197" s="239" t="n"/>
      <c r="AG197" s="239" t="n"/>
      <c r="AH197" s="239" t="n"/>
      <c r="AI197" s="239" t="n"/>
      <c r="AJ197" s="239" t="n"/>
      <c r="AK197" s="239" t="n"/>
      <c r="AL197" s="239" t="n"/>
      <c r="AM197" s="239" t="n"/>
      <c r="AN197" s="239" t="n"/>
      <c r="AO197" s="239" t="n"/>
    </row>
    <row r="198">
      <c r="A198" s="256" t="n"/>
      <c r="B198" s="256" t="n"/>
      <c r="C198" s="256" t="n"/>
      <c r="D198" s="256" t="n"/>
      <c r="E198" s="256" t="n"/>
      <c r="F198" s="256" t="n"/>
      <c r="G198" s="256" t="n"/>
      <c r="H198" s="256" t="n"/>
      <c r="I198" s="256" t="n"/>
      <c r="J198" s="256" t="n"/>
      <c r="K198" s="256" t="n"/>
      <c r="L198" s="256" t="n"/>
      <c r="M198" s="256" t="n"/>
      <c r="N198" s="256" t="n"/>
      <c r="O198" s="256" t="n"/>
      <c r="P198" s="256" t="n"/>
      <c r="Q198" s="256" t="n"/>
      <c r="R198" s="256" t="n"/>
      <c r="S198" s="256" t="n"/>
      <c r="T198" s="256" t="n"/>
      <c r="U198" s="256" t="n"/>
      <c r="V198" s="256" t="n"/>
      <c r="W198" s="256" t="n"/>
      <c r="X198" s="256" t="n"/>
      <c r="Y198" s="256" t="n"/>
      <c r="Z198" s="256" t="n"/>
      <c r="AA198" s="256" t="n"/>
      <c r="AB198" s="256" t="n"/>
      <c r="AC198" s="256" t="n"/>
      <c r="AD198" s="256" t="n"/>
      <c r="AE198" s="256" t="n"/>
      <c r="AF198" s="256" t="n"/>
      <c r="AG198" s="256" t="n"/>
      <c r="AH198" s="256" t="n"/>
      <c r="AI198" s="256" t="n"/>
      <c r="AJ198" s="256" t="n"/>
      <c r="AK198" s="256" t="n"/>
      <c r="AL198" s="256" t="n"/>
      <c r="AM198" s="256" t="n"/>
      <c r="AN198" s="256" t="n"/>
      <c r="AO198" s="256" t="n"/>
    </row>
    <row r="199">
      <c r="A199" s="239" t="n"/>
      <c r="B199" s="239" t="n"/>
      <c r="C199" s="239" t="n"/>
      <c r="D199" s="239" t="n"/>
      <c r="E199" s="239" t="n"/>
      <c r="F199" s="239" t="n"/>
      <c r="G199" s="239" t="n"/>
      <c r="H199" s="239" t="n"/>
      <c r="I199" s="239" t="n"/>
      <c r="J199" s="239" t="n"/>
      <c r="K199" s="239" t="n"/>
      <c r="L199" s="239" t="n"/>
      <c r="M199" s="239" t="n"/>
      <c r="N199" s="239" t="n"/>
      <c r="O199" s="239" t="n"/>
      <c r="P199" s="239" t="n"/>
      <c r="Q199" s="239" t="n"/>
      <c r="R199" s="239" t="n"/>
      <c r="S199" s="239" t="n"/>
      <c r="T199" s="239" t="n"/>
      <c r="U199" s="239" t="n"/>
      <c r="V199" s="239" t="n"/>
      <c r="W199" s="239" t="n"/>
      <c r="X199" s="239" t="n"/>
      <c r="Y199" s="239" t="n"/>
      <c r="Z199" s="239" t="n"/>
      <c r="AA199" s="239" t="n"/>
      <c r="AB199" s="239" t="n"/>
      <c r="AC199" s="239" t="n"/>
      <c r="AD199" s="239" t="n"/>
      <c r="AE199" s="239" t="n"/>
      <c r="AF199" s="239" t="n"/>
      <c r="AG199" s="239" t="n"/>
      <c r="AH199" s="239" t="n"/>
      <c r="AI199" s="239" t="n"/>
      <c r="AJ199" s="239" t="n"/>
      <c r="AK199" s="239" t="n"/>
      <c r="AL199" s="239" t="n"/>
      <c r="AM199" s="239" t="n"/>
      <c r="AN199" s="239" t="n"/>
      <c r="AO199" s="239" t="n"/>
    </row>
    <row r="200">
      <c r="A200" s="256" t="n"/>
      <c r="B200" s="256" t="n"/>
      <c r="C200" s="256" t="n"/>
      <c r="D200" s="256" t="n"/>
      <c r="E200" s="256" t="n"/>
      <c r="F200" s="256" t="n"/>
      <c r="G200" s="256" t="n"/>
      <c r="H200" s="256" t="n"/>
      <c r="I200" s="256" t="n"/>
      <c r="J200" s="256" t="n"/>
      <c r="K200" s="256" t="n"/>
      <c r="L200" s="256" t="n"/>
      <c r="M200" s="256" t="n"/>
      <c r="N200" s="256" t="n"/>
      <c r="O200" s="256" t="n"/>
      <c r="P200" s="256" t="n"/>
      <c r="Q200" s="256" t="n"/>
      <c r="R200" s="256" t="n"/>
      <c r="S200" s="256" t="n"/>
      <c r="T200" s="256" t="n"/>
      <c r="U200" s="256" t="n"/>
      <c r="V200" s="256" t="n"/>
      <c r="W200" s="256" t="n"/>
      <c r="X200" s="256" t="n"/>
      <c r="Y200" s="256" t="n"/>
      <c r="Z200" s="256" t="n"/>
      <c r="AA200" s="256" t="n"/>
      <c r="AB200" s="256" t="n"/>
      <c r="AC200" s="256" t="n"/>
      <c r="AD200" s="256" t="n"/>
      <c r="AE200" s="256" t="n"/>
      <c r="AF200" s="256" t="n"/>
      <c r="AG200" s="256" t="n"/>
      <c r="AH200" s="256" t="n"/>
      <c r="AI200" s="256" t="n"/>
      <c r="AJ200" s="256" t="n"/>
      <c r="AK200" s="256" t="n"/>
      <c r="AL200" s="256" t="n"/>
      <c r="AM200" s="256" t="n"/>
      <c r="AN200" s="256" t="n"/>
      <c r="AO200" s="256" t="n"/>
    </row>
    <row r="201">
      <c r="A201" s="239" t="n"/>
      <c r="B201" s="239" t="n"/>
      <c r="C201" s="239" t="n"/>
      <c r="D201" s="239" t="n"/>
      <c r="E201" s="239" t="n"/>
      <c r="F201" s="239" t="n"/>
      <c r="G201" s="239" t="n"/>
      <c r="H201" s="239" t="n"/>
      <c r="I201" s="239" t="n"/>
      <c r="J201" s="239" t="n"/>
      <c r="K201" s="239" t="n"/>
      <c r="L201" s="239" t="n"/>
      <c r="M201" s="239" t="n"/>
      <c r="N201" s="239" t="n"/>
      <c r="O201" s="239" t="n"/>
      <c r="P201" s="239" t="n"/>
      <c r="Q201" s="239" t="n"/>
      <c r="R201" s="239" t="n"/>
      <c r="S201" s="239" t="n"/>
      <c r="T201" s="239" t="n"/>
      <c r="U201" s="239" t="n"/>
      <c r="V201" s="239" t="n"/>
      <c r="W201" s="239" t="n"/>
      <c r="X201" s="239" t="n"/>
      <c r="Y201" s="239" t="n"/>
      <c r="Z201" s="239" t="n"/>
      <c r="AA201" s="239" t="n"/>
      <c r="AB201" s="239" t="n"/>
      <c r="AC201" s="239" t="n"/>
      <c r="AD201" s="239" t="n"/>
      <c r="AE201" s="239" t="n"/>
      <c r="AF201" s="239" t="n"/>
      <c r="AG201" s="239" t="n"/>
      <c r="AH201" s="239" t="n"/>
      <c r="AI201" s="239" t="n"/>
      <c r="AJ201" s="239" t="n"/>
      <c r="AK201" s="239" t="n"/>
      <c r="AL201" s="239" t="n"/>
      <c r="AM201" s="239" t="n"/>
      <c r="AN201" s="239" t="n"/>
      <c r="AO201" s="239" t="n"/>
    </row>
    <row r="202">
      <c r="A202" s="256" t="n"/>
      <c r="B202" s="256" t="n"/>
      <c r="C202" s="256" t="n"/>
      <c r="D202" s="256" t="n"/>
      <c r="E202" s="256" t="n"/>
      <c r="F202" s="256" t="n"/>
      <c r="G202" s="256" t="n"/>
      <c r="H202" s="256" t="n"/>
      <c r="I202" s="256" t="n"/>
      <c r="J202" s="256" t="n"/>
      <c r="K202" s="256" t="n"/>
      <c r="L202" s="256" t="n"/>
      <c r="M202" s="256" t="n"/>
      <c r="N202" s="256" t="n"/>
      <c r="O202" s="256" t="n"/>
      <c r="P202" s="256" t="n"/>
      <c r="Q202" s="256" t="n"/>
      <c r="R202" s="256" t="n"/>
      <c r="S202" s="256" t="n"/>
      <c r="T202" s="256" t="n"/>
      <c r="U202" s="256" t="n"/>
      <c r="V202" s="256" t="n"/>
      <c r="W202" s="256" t="n"/>
      <c r="X202" s="256" t="n"/>
      <c r="Y202" s="256" t="n"/>
      <c r="Z202" s="256" t="n"/>
      <c r="AA202" s="256" t="n"/>
      <c r="AB202" s="256" t="n"/>
      <c r="AC202" s="256" t="n"/>
      <c r="AD202" s="256" t="n"/>
      <c r="AE202" s="256" t="n"/>
      <c r="AF202" s="256" t="n"/>
      <c r="AG202" s="256" t="n"/>
      <c r="AH202" s="256" t="n"/>
      <c r="AI202" s="256" t="n"/>
      <c r="AJ202" s="256" t="n"/>
      <c r="AK202" s="256" t="n"/>
      <c r="AL202" s="256" t="n"/>
      <c r="AM202" s="256" t="n"/>
      <c r="AN202" s="256" t="n"/>
      <c r="AO202" s="256" t="n"/>
    </row>
    <row r="203">
      <c r="A203" s="239" t="n"/>
      <c r="B203" s="239" t="n"/>
      <c r="C203" s="239" t="n"/>
      <c r="D203" s="239" t="n"/>
      <c r="E203" s="239" t="n"/>
      <c r="F203" s="239" t="n"/>
      <c r="G203" s="239" t="n"/>
      <c r="H203" s="239" t="n"/>
      <c r="I203" s="239" t="n"/>
      <c r="J203" s="239" t="n"/>
      <c r="K203" s="239" t="n"/>
      <c r="L203" s="239" t="n"/>
      <c r="M203" s="239" t="n"/>
      <c r="N203" s="239" t="n"/>
      <c r="O203" s="239" t="n"/>
      <c r="P203" s="239" t="n"/>
      <c r="Q203" s="239" t="n"/>
      <c r="R203" s="239" t="n"/>
      <c r="S203" s="239" t="n"/>
      <c r="T203" s="239" t="n"/>
      <c r="U203" s="239" t="n"/>
      <c r="V203" s="239" t="n"/>
      <c r="W203" s="239" t="n"/>
      <c r="X203" s="239" t="n"/>
      <c r="Y203" s="239" t="n"/>
      <c r="Z203" s="239" t="n"/>
      <c r="AA203" s="239" t="n"/>
      <c r="AB203" s="239" t="n"/>
      <c r="AC203" s="239" t="n"/>
      <c r="AD203" s="239" t="n"/>
      <c r="AE203" s="239" t="n"/>
      <c r="AF203" s="239" t="n"/>
      <c r="AG203" s="239" t="n"/>
      <c r="AH203" s="239" t="n"/>
      <c r="AI203" s="239" t="n"/>
      <c r="AJ203" s="239" t="n"/>
      <c r="AK203" s="239" t="n"/>
      <c r="AL203" s="239" t="n"/>
      <c r="AM203" s="239" t="n"/>
      <c r="AN203" s="239" t="n"/>
      <c r="AO203" s="239" t="n"/>
    </row>
    <row r="204">
      <c r="A204" s="256" t="n"/>
      <c r="B204" s="256" t="n"/>
      <c r="C204" s="256" t="n"/>
      <c r="D204" s="256" t="n"/>
      <c r="E204" s="256" t="n"/>
      <c r="F204" s="256" t="n"/>
      <c r="G204" s="256" t="n"/>
      <c r="H204" s="256" t="n"/>
      <c r="I204" s="256" t="n"/>
      <c r="J204" s="256" t="n"/>
      <c r="K204" s="256" t="n"/>
      <c r="L204" s="256" t="n"/>
      <c r="M204" s="256" t="n"/>
      <c r="N204" s="256" t="n"/>
      <c r="O204" s="256" t="n"/>
      <c r="P204" s="256" t="n"/>
      <c r="Q204" s="256" t="n"/>
      <c r="R204" s="256" t="n"/>
      <c r="S204" s="256" t="n"/>
      <c r="T204" s="256" t="n"/>
      <c r="U204" s="256" t="n"/>
      <c r="V204" s="256" t="n"/>
      <c r="W204" s="256" t="n"/>
      <c r="X204" s="256" t="n"/>
      <c r="Y204" s="256" t="n"/>
      <c r="Z204" s="256" t="n"/>
      <c r="AA204" s="256" t="n"/>
      <c r="AB204" s="256" t="n"/>
      <c r="AC204" s="256" t="n"/>
      <c r="AD204" s="256" t="n"/>
      <c r="AE204" s="256" t="n"/>
      <c r="AF204" s="256" t="n"/>
      <c r="AG204" s="256" t="n"/>
      <c r="AH204" s="256" t="n"/>
      <c r="AI204" s="256" t="n"/>
      <c r="AJ204" s="256" t="n"/>
      <c r="AK204" s="256" t="n"/>
      <c r="AL204" s="256" t="n"/>
      <c r="AM204" s="256" t="n"/>
      <c r="AN204" s="256" t="n"/>
      <c r="AO204" s="256" t="n"/>
    </row>
    <row r="205">
      <c r="A205" s="239" t="n"/>
      <c r="B205" s="239" t="n"/>
      <c r="C205" s="239" t="n"/>
      <c r="D205" s="239" t="n"/>
      <c r="E205" s="239" t="n"/>
      <c r="F205" s="239" t="n"/>
      <c r="G205" s="239" t="n"/>
      <c r="H205" s="239" t="n"/>
      <c r="I205" s="239" t="n"/>
      <c r="J205" s="239" t="n"/>
      <c r="K205" s="239" t="n"/>
      <c r="L205" s="239" t="n"/>
      <c r="M205" s="239" t="n"/>
      <c r="N205" s="239" t="n"/>
      <c r="O205" s="239" t="n"/>
      <c r="P205" s="239" t="n"/>
      <c r="Q205" s="239" t="n"/>
      <c r="R205" s="239" t="n"/>
      <c r="S205" s="239" t="n"/>
      <c r="T205" s="239" t="n"/>
      <c r="U205" s="239" t="n"/>
      <c r="V205" s="239" t="n"/>
      <c r="W205" s="239" t="n"/>
      <c r="X205" s="239" t="n"/>
      <c r="Y205" s="239" t="n"/>
      <c r="Z205" s="239" t="n"/>
      <c r="AA205" s="239" t="n"/>
      <c r="AB205" s="239" t="n"/>
      <c r="AC205" s="239" t="n"/>
      <c r="AD205" s="239" t="n"/>
      <c r="AE205" s="239" t="n"/>
      <c r="AF205" s="239" t="n"/>
      <c r="AG205" s="239" t="n"/>
      <c r="AH205" s="239" t="n"/>
      <c r="AI205" s="239" t="n"/>
      <c r="AJ205" s="239" t="n"/>
      <c r="AK205" s="239" t="n"/>
      <c r="AL205" s="239" t="n"/>
      <c r="AM205" s="239" t="n"/>
      <c r="AN205" s="239" t="n"/>
      <c r="AO205" s="239" t="n"/>
    </row>
    <row r="206">
      <c r="A206" s="256" t="n"/>
      <c r="B206" s="256" t="n"/>
      <c r="C206" s="256" t="n"/>
      <c r="D206" s="256" t="n"/>
      <c r="E206" s="256" t="n"/>
      <c r="F206" s="256" t="n"/>
      <c r="G206" s="256" t="n"/>
      <c r="H206" s="256" t="n"/>
      <c r="I206" s="256" t="n"/>
      <c r="J206" s="256" t="n"/>
      <c r="K206" s="256" t="n"/>
      <c r="L206" s="256" t="n"/>
      <c r="M206" s="256" t="n"/>
      <c r="N206" s="256" t="n"/>
      <c r="O206" s="256" t="n"/>
      <c r="P206" s="256" t="n"/>
      <c r="Q206" s="256" t="n"/>
      <c r="R206" s="256" t="n"/>
      <c r="S206" s="256" t="n"/>
      <c r="T206" s="256" t="n"/>
      <c r="U206" s="256" t="n"/>
      <c r="V206" s="256" t="n"/>
      <c r="W206" s="256" t="n"/>
      <c r="X206" s="256" t="n"/>
      <c r="Y206" s="256" t="n"/>
      <c r="Z206" s="256" t="n"/>
      <c r="AA206" s="256" t="n"/>
      <c r="AB206" s="256" t="n"/>
      <c r="AC206" s="256" t="n"/>
      <c r="AD206" s="256" t="n"/>
      <c r="AE206" s="256" t="n"/>
      <c r="AF206" s="256" t="n"/>
      <c r="AG206" s="256" t="n"/>
      <c r="AH206" s="256" t="n"/>
      <c r="AI206" s="256" t="n"/>
      <c r="AJ206" s="256" t="n"/>
      <c r="AK206" s="256" t="n"/>
      <c r="AL206" s="256" t="n"/>
      <c r="AM206" s="256" t="n"/>
      <c r="AN206" s="256" t="n"/>
      <c r="AO206" s="256" t="n"/>
    </row>
    <row r="207">
      <c r="A207" s="239" t="n"/>
      <c r="B207" s="239" t="n"/>
      <c r="C207" s="239" t="n"/>
      <c r="D207" s="239" t="n"/>
      <c r="E207" s="239" t="n"/>
      <c r="F207" s="239" t="n"/>
      <c r="G207" s="239" t="n"/>
      <c r="H207" s="239" t="n"/>
      <c r="I207" s="239" t="n"/>
      <c r="J207" s="239" t="n"/>
      <c r="K207" s="239" t="n"/>
      <c r="L207" s="239" t="n"/>
      <c r="M207" s="239" t="n"/>
      <c r="N207" s="239" t="n"/>
      <c r="O207" s="239" t="n"/>
      <c r="P207" s="239" t="n"/>
      <c r="Q207" s="239" t="n"/>
      <c r="R207" s="239" t="n"/>
      <c r="S207" s="239" t="n"/>
      <c r="T207" s="239" t="n"/>
      <c r="U207" s="239" t="n"/>
      <c r="V207" s="239" t="n"/>
      <c r="W207" s="239" t="n"/>
      <c r="X207" s="239" t="n"/>
      <c r="Y207" s="239" t="n"/>
      <c r="Z207" s="239" t="n"/>
      <c r="AA207" s="239" t="n"/>
      <c r="AB207" s="239" t="n"/>
      <c r="AC207" s="239" t="n"/>
      <c r="AD207" s="239" t="n"/>
      <c r="AE207" s="239" t="n"/>
      <c r="AF207" s="239" t="n"/>
      <c r="AG207" s="239" t="n"/>
      <c r="AH207" s="239" t="n"/>
      <c r="AI207" s="239" t="n"/>
      <c r="AJ207" s="239" t="n"/>
      <c r="AK207" s="239" t="n"/>
      <c r="AL207" s="239" t="n"/>
      <c r="AM207" s="239" t="n"/>
      <c r="AN207" s="239" t="n"/>
      <c r="AO207" s="239" t="n"/>
    </row>
    <row r="208">
      <c r="A208" s="256" t="n"/>
      <c r="B208" s="256" t="n"/>
      <c r="C208" s="256" t="n"/>
      <c r="D208" s="256" t="n"/>
      <c r="E208" s="256" t="n"/>
      <c r="F208" s="256" t="n"/>
      <c r="G208" s="256" t="n"/>
      <c r="H208" s="256" t="n"/>
      <c r="I208" s="256" t="n"/>
      <c r="J208" s="256" t="n"/>
      <c r="K208" s="256" t="n"/>
      <c r="L208" s="256" t="n"/>
      <c r="M208" s="256" t="n"/>
      <c r="N208" s="256" t="n"/>
      <c r="O208" s="256" t="n"/>
      <c r="P208" s="256" t="n"/>
      <c r="Q208" s="256" t="n"/>
      <c r="R208" s="256" t="n"/>
      <c r="S208" s="256" t="n"/>
      <c r="T208" s="256" t="n"/>
      <c r="U208" s="256" t="n"/>
      <c r="V208" s="256" t="n"/>
      <c r="W208" s="256" t="n"/>
      <c r="X208" s="256" t="n"/>
      <c r="Y208" s="256" t="n"/>
      <c r="Z208" s="256" t="n"/>
      <c r="AA208" s="256" t="n"/>
      <c r="AB208" s="256" t="n"/>
      <c r="AC208" s="256" t="n"/>
      <c r="AD208" s="256" t="n"/>
      <c r="AE208" s="256" t="n"/>
      <c r="AF208" s="256" t="n"/>
      <c r="AG208" s="256" t="n"/>
      <c r="AH208" s="256" t="n"/>
      <c r="AI208" s="256" t="n"/>
      <c r="AJ208" s="256" t="n"/>
      <c r="AK208" s="256" t="n"/>
      <c r="AL208" s="256" t="n"/>
      <c r="AM208" s="256" t="n"/>
      <c r="AN208" s="256" t="n"/>
      <c r="AO208" s="256" t="n"/>
    </row>
    <row r="209">
      <c r="A209" s="239" t="n"/>
      <c r="B209" s="239" t="n"/>
      <c r="C209" s="239" t="n"/>
      <c r="D209" s="239" t="n"/>
      <c r="E209" s="239" t="n"/>
      <c r="F209" s="239" t="n"/>
      <c r="G209" s="239" t="n"/>
      <c r="H209" s="239" t="n"/>
      <c r="I209" s="239" t="n"/>
      <c r="J209" s="239" t="n"/>
      <c r="K209" s="239" t="n"/>
      <c r="L209" s="239" t="n"/>
      <c r="M209" s="239" t="n"/>
      <c r="N209" s="239" t="n"/>
      <c r="O209" s="239" t="n"/>
      <c r="P209" s="239" t="n"/>
      <c r="Q209" s="239" t="n"/>
      <c r="R209" s="239" t="n"/>
      <c r="S209" s="239" t="n"/>
      <c r="T209" s="239" t="n"/>
      <c r="U209" s="239" t="n"/>
      <c r="V209" s="239" t="n"/>
      <c r="W209" s="239" t="n"/>
      <c r="X209" s="239" t="n"/>
      <c r="Y209" s="239" t="n"/>
      <c r="Z209" s="239" t="n"/>
      <c r="AA209" s="239" t="n"/>
      <c r="AB209" s="239" t="n"/>
      <c r="AC209" s="239" t="n"/>
      <c r="AD209" s="239" t="n"/>
      <c r="AE209" s="239" t="n"/>
      <c r="AF209" s="239" t="n"/>
      <c r="AG209" s="239" t="n"/>
      <c r="AH209" s="239" t="n"/>
      <c r="AI209" s="239" t="n"/>
      <c r="AJ209" s="239" t="n"/>
      <c r="AK209" s="239" t="n"/>
      <c r="AL209" s="239" t="n"/>
      <c r="AM209" s="239" t="n"/>
      <c r="AN209" s="239" t="n"/>
      <c r="AO209" s="239" t="n"/>
    </row>
    <row r="210">
      <c r="A210" s="256" t="n"/>
      <c r="B210" s="256" t="n"/>
      <c r="C210" s="256" t="n"/>
      <c r="D210" s="256" t="n"/>
      <c r="E210" s="256" t="n"/>
      <c r="F210" s="256" t="n"/>
      <c r="G210" s="256" t="n"/>
      <c r="H210" s="256" t="n"/>
      <c r="I210" s="256" t="n"/>
      <c r="J210" s="256" t="n"/>
      <c r="K210" s="256" t="n"/>
      <c r="L210" s="256" t="n"/>
      <c r="M210" s="256" t="n"/>
      <c r="N210" s="256" t="n"/>
      <c r="O210" s="256" t="n"/>
      <c r="P210" s="256" t="n"/>
      <c r="Q210" s="256" t="n"/>
      <c r="R210" s="256" t="n"/>
      <c r="S210" s="256" t="n"/>
      <c r="T210" s="256" t="n"/>
      <c r="U210" s="256" t="n"/>
      <c r="V210" s="256" t="n"/>
      <c r="W210" s="256" t="n"/>
      <c r="X210" s="256" t="n"/>
      <c r="Y210" s="256" t="n"/>
      <c r="Z210" s="256" t="n"/>
      <c r="AA210" s="256" t="n"/>
      <c r="AB210" s="256" t="n"/>
      <c r="AC210" s="256" t="n"/>
      <c r="AD210" s="256" t="n"/>
      <c r="AE210" s="256" t="n"/>
      <c r="AF210" s="256" t="n"/>
      <c r="AG210" s="256" t="n"/>
      <c r="AH210" s="256" t="n"/>
      <c r="AI210" s="256" t="n"/>
      <c r="AJ210" s="256" t="n"/>
      <c r="AK210" s="256" t="n"/>
      <c r="AL210" s="256" t="n"/>
      <c r="AM210" s="256" t="n"/>
      <c r="AN210" s="256" t="n"/>
      <c r="AO210" s="256" t="n"/>
    </row>
    <row r="211">
      <c r="A211" s="239" t="n"/>
      <c r="B211" s="239" t="n"/>
      <c r="C211" s="239" t="n"/>
      <c r="D211" s="239" t="n"/>
      <c r="E211" s="239" t="n"/>
      <c r="F211" s="239" t="n"/>
      <c r="G211" s="239" t="n"/>
      <c r="H211" s="239" t="n"/>
      <c r="I211" s="239" t="n"/>
      <c r="J211" s="239" t="n"/>
      <c r="K211" s="239" t="n"/>
      <c r="L211" s="239" t="n"/>
      <c r="M211" s="239" t="n"/>
      <c r="N211" s="239" t="n"/>
      <c r="O211" s="239" t="n"/>
      <c r="P211" s="239" t="n"/>
      <c r="Q211" s="239" t="n"/>
      <c r="R211" s="239" t="n"/>
      <c r="S211" s="239" t="n"/>
      <c r="T211" s="239" t="n"/>
      <c r="U211" s="239" t="n"/>
      <c r="V211" s="239" t="n"/>
      <c r="W211" s="239" t="n"/>
      <c r="X211" s="239" t="n"/>
      <c r="Y211" s="239" t="n"/>
      <c r="Z211" s="239" t="n"/>
      <c r="AA211" s="239" t="n"/>
      <c r="AB211" s="239" t="n"/>
      <c r="AC211" s="239" t="n"/>
      <c r="AD211" s="239" t="n"/>
      <c r="AE211" s="239" t="n"/>
      <c r="AF211" s="239" t="n"/>
      <c r="AG211" s="239" t="n"/>
      <c r="AH211" s="239" t="n"/>
      <c r="AI211" s="239" t="n"/>
      <c r="AJ211" s="239" t="n"/>
      <c r="AK211" s="239" t="n"/>
      <c r="AL211" s="239" t="n"/>
      <c r="AM211" s="239" t="n"/>
      <c r="AN211" s="239" t="n"/>
      <c r="AO211" s="239" t="n"/>
    </row>
    <row r="212">
      <c r="A212" s="256" t="n"/>
      <c r="B212" s="256" t="n"/>
      <c r="C212" s="256" t="n"/>
      <c r="D212" s="256" t="n"/>
      <c r="E212" s="256" t="n"/>
      <c r="F212" s="256" t="n"/>
      <c r="G212" s="256" t="n"/>
      <c r="H212" s="256" t="n"/>
      <c r="I212" s="256" t="n"/>
      <c r="J212" s="256" t="n"/>
      <c r="K212" s="256" t="n"/>
      <c r="L212" s="256" t="n"/>
      <c r="M212" s="256" t="n"/>
      <c r="N212" s="256" t="n"/>
      <c r="O212" s="256" t="n"/>
      <c r="P212" s="256" t="n"/>
      <c r="Q212" s="256" t="n"/>
      <c r="R212" s="256" t="n"/>
      <c r="S212" s="256" t="n"/>
      <c r="T212" s="256" t="n"/>
      <c r="U212" s="256" t="n"/>
      <c r="V212" s="256" t="n"/>
      <c r="W212" s="256" t="n"/>
      <c r="X212" s="256" t="n"/>
      <c r="Y212" s="256" t="n"/>
      <c r="Z212" s="256" t="n"/>
      <c r="AA212" s="256" t="n"/>
      <c r="AB212" s="256" t="n"/>
      <c r="AC212" s="256" t="n"/>
      <c r="AD212" s="256" t="n"/>
      <c r="AE212" s="256" t="n"/>
      <c r="AF212" s="256" t="n"/>
      <c r="AG212" s="256" t="n"/>
      <c r="AH212" s="256" t="n"/>
      <c r="AI212" s="256" t="n"/>
      <c r="AJ212" s="256" t="n"/>
      <c r="AK212" s="256" t="n"/>
      <c r="AL212" s="256" t="n"/>
      <c r="AM212" s="256" t="n"/>
      <c r="AN212" s="256" t="n"/>
      <c r="AO212" s="256" t="n"/>
    </row>
    <row r="213">
      <c r="A213" s="239" t="n"/>
      <c r="B213" s="239" t="n"/>
      <c r="C213" s="239" t="n"/>
      <c r="D213" s="239" t="n"/>
      <c r="E213" s="239" t="n"/>
      <c r="F213" s="239" t="n"/>
      <c r="G213" s="239" t="n"/>
      <c r="H213" s="239" t="n"/>
      <c r="I213" s="239" t="n"/>
      <c r="J213" s="239" t="n"/>
      <c r="K213" s="239" t="n"/>
      <c r="L213" s="239" t="n"/>
      <c r="M213" s="239" t="n"/>
      <c r="N213" s="239" t="n"/>
      <c r="O213" s="239" t="n"/>
      <c r="P213" s="239" t="n"/>
      <c r="Q213" s="239" t="n"/>
      <c r="R213" s="239" t="n"/>
      <c r="S213" s="239" t="n"/>
      <c r="T213" s="239" t="n"/>
      <c r="U213" s="239" t="n"/>
      <c r="V213" s="239" t="n"/>
      <c r="W213" s="239" t="n"/>
      <c r="X213" s="239" t="n"/>
      <c r="Y213" s="239" t="n"/>
      <c r="Z213" s="239" t="n"/>
      <c r="AA213" s="239" t="n"/>
      <c r="AB213" s="239" t="n"/>
      <c r="AC213" s="239" t="n"/>
      <c r="AD213" s="239" t="n"/>
      <c r="AE213" s="239" t="n"/>
      <c r="AF213" s="239" t="n"/>
      <c r="AG213" s="239" t="n"/>
      <c r="AH213" s="239" t="n"/>
      <c r="AI213" s="239" t="n"/>
      <c r="AJ213" s="239" t="n"/>
      <c r="AK213" s="239" t="n"/>
      <c r="AL213" s="239" t="n"/>
      <c r="AM213" s="239" t="n"/>
      <c r="AN213" s="239" t="n"/>
      <c r="AO213" s="239" t="n"/>
    </row>
    <row r="214">
      <c r="A214" s="256" t="n"/>
      <c r="B214" s="256" t="n"/>
      <c r="C214" s="256" t="n"/>
      <c r="D214" s="256" t="n"/>
      <c r="E214" s="256" t="n"/>
      <c r="F214" s="256" t="n"/>
      <c r="G214" s="256" t="n"/>
      <c r="H214" s="256" t="n"/>
      <c r="I214" s="256" t="n"/>
      <c r="J214" s="256" t="n"/>
      <c r="K214" s="256" t="n"/>
      <c r="L214" s="256" t="n"/>
      <c r="M214" s="256" t="n"/>
      <c r="N214" s="256" t="n"/>
      <c r="O214" s="256" t="n"/>
      <c r="P214" s="256" t="n"/>
      <c r="Q214" s="256" t="n"/>
      <c r="R214" s="256" t="n"/>
      <c r="S214" s="256" t="n"/>
      <c r="T214" s="256" t="n"/>
      <c r="U214" s="256" t="n"/>
      <c r="V214" s="256" t="n"/>
      <c r="W214" s="256" t="n"/>
      <c r="X214" s="256" t="n"/>
      <c r="Y214" s="256" t="n"/>
      <c r="Z214" s="256" t="n"/>
      <c r="AA214" s="256" t="n"/>
      <c r="AB214" s="256" t="n"/>
      <c r="AC214" s="256" t="n"/>
      <c r="AD214" s="256" t="n"/>
      <c r="AE214" s="256" t="n"/>
      <c r="AF214" s="256" t="n"/>
      <c r="AG214" s="256" t="n"/>
      <c r="AH214" s="256" t="n"/>
      <c r="AI214" s="256" t="n"/>
      <c r="AJ214" s="256" t="n"/>
      <c r="AK214" s="256" t="n"/>
      <c r="AL214" s="256" t="n"/>
      <c r="AM214" s="256" t="n"/>
      <c r="AN214" s="256" t="n"/>
      <c r="AO214" s="256" t="n"/>
    </row>
    <row r="215">
      <c r="A215" s="239" t="n"/>
      <c r="B215" s="239" t="n"/>
      <c r="C215" s="239" t="n"/>
      <c r="D215" s="239" t="n"/>
      <c r="E215" s="239" t="n"/>
      <c r="F215" s="239" t="n"/>
      <c r="G215" s="239" t="n"/>
      <c r="H215" s="239" t="n"/>
      <c r="I215" s="239" t="n"/>
      <c r="J215" s="239" t="n"/>
      <c r="K215" s="239" t="n"/>
      <c r="L215" s="239" t="n"/>
      <c r="M215" s="239" t="n"/>
      <c r="N215" s="239" t="n"/>
      <c r="O215" s="239" t="n"/>
      <c r="P215" s="239" t="n"/>
      <c r="Q215" s="239" t="n"/>
      <c r="R215" s="239" t="n"/>
      <c r="S215" s="239" t="n"/>
      <c r="T215" s="239" t="n"/>
      <c r="U215" s="239" t="n"/>
      <c r="V215" s="239" t="n"/>
      <c r="W215" s="239" t="n"/>
      <c r="X215" s="239" t="n"/>
      <c r="Y215" s="239" t="n"/>
      <c r="Z215" s="239" t="n"/>
      <c r="AA215" s="239" t="n"/>
      <c r="AB215" s="239" t="n"/>
      <c r="AC215" s="239" t="n"/>
      <c r="AD215" s="239" t="n"/>
      <c r="AE215" s="239" t="n"/>
      <c r="AF215" s="239" t="n"/>
      <c r="AG215" s="239" t="n"/>
      <c r="AH215" s="239" t="n"/>
      <c r="AI215" s="239" t="n"/>
      <c r="AJ215" s="239" t="n"/>
      <c r="AK215" s="239" t="n"/>
      <c r="AL215" s="239" t="n"/>
      <c r="AM215" s="239" t="n"/>
      <c r="AN215" s="239" t="n"/>
      <c r="AO215" s="239" t="n"/>
    </row>
    <row r="216">
      <c r="A216" s="256" t="n"/>
      <c r="B216" s="256" t="n"/>
      <c r="C216" s="256" t="n"/>
      <c r="D216" s="256" t="n"/>
      <c r="E216" s="256" t="n"/>
      <c r="F216" s="256" t="n"/>
      <c r="G216" s="256" t="n"/>
      <c r="H216" s="256" t="n"/>
      <c r="I216" s="256" t="n"/>
      <c r="J216" s="256" t="n"/>
      <c r="K216" s="256" t="n"/>
      <c r="L216" s="256" t="n"/>
      <c r="M216" s="256" t="n"/>
      <c r="N216" s="256" t="n"/>
      <c r="O216" s="256" t="n"/>
      <c r="P216" s="256" t="n"/>
      <c r="Q216" s="256" t="n"/>
      <c r="R216" s="256" t="n"/>
      <c r="S216" s="256" t="n"/>
      <c r="T216" s="256" t="n"/>
      <c r="U216" s="256" t="n"/>
      <c r="V216" s="256" t="n"/>
      <c r="W216" s="256" t="n"/>
      <c r="X216" s="256" t="n"/>
      <c r="Y216" s="256" t="n"/>
      <c r="Z216" s="256" t="n"/>
      <c r="AA216" s="256" t="n"/>
      <c r="AB216" s="256" t="n"/>
      <c r="AC216" s="256" t="n"/>
      <c r="AD216" s="256" t="n"/>
      <c r="AE216" s="256" t="n"/>
      <c r="AF216" s="256" t="n"/>
      <c r="AG216" s="256" t="n"/>
      <c r="AH216" s="256" t="n"/>
      <c r="AI216" s="256" t="n"/>
      <c r="AJ216" s="256" t="n"/>
      <c r="AK216" s="256" t="n"/>
      <c r="AL216" s="256" t="n"/>
      <c r="AM216" s="256" t="n"/>
      <c r="AN216" s="256" t="n"/>
      <c r="AO216" s="256" t="n"/>
    </row>
    <row r="217">
      <c r="A217" s="239" t="n"/>
      <c r="B217" s="239" t="n"/>
      <c r="C217" s="239" t="n"/>
      <c r="D217" s="239" t="n"/>
      <c r="E217" s="239" t="n"/>
      <c r="F217" s="239" t="n"/>
      <c r="G217" s="239" t="n"/>
      <c r="H217" s="239" t="n"/>
      <c r="I217" s="239" t="n"/>
      <c r="J217" s="239" t="n"/>
      <c r="K217" s="239" t="n"/>
      <c r="L217" s="239" t="n"/>
      <c r="M217" s="239" t="n"/>
      <c r="N217" s="239" t="n"/>
      <c r="O217" s="239" t="n"/>
      <c r="P217" s="239" t="n"/>
      <c r="Q217" s="239" t="n"/>
      <c r="R217" s="239" t="n"/>
      <c r="S217" s="239" t="n"/>
      <c r="T217" s="239" t="n"/>
      <c r="U217" s="239" t="n"/>
      <c r="V217" s="239" t="n"/>
      <c r="W217" s="239" t="n"/>
      <c r="X217" s="239" t="n"/>
      <c r="Y217" s="239" t="n"/>
      <c r="Z217" s="239" t="n"/>
      <c r="AA217" s="239" t="n"/>
      <c r="AB217" s="239" t="n"/>
      <c r="AC217" s="239" t="n"/>
      <c r="AD217" s="239" t="n"/>
      <c r="AE217" s="239" t="n"/>
      <c r="AF217" s="239" t="n"/>
      <c r="AG217" s="239" t="n"/>
      <c r="AH217" s="239" t="n"/>
      <c r="AI217" s="239" t="n"/>
      <c r="AJ217" s="239" t="n"/>
      <c r="AK217" s="239" t="n"/>
      <c r="AL217" s="239" t="n"/>
      <c r="AM217" s="239" t="n"/>
      <c r="AN217" s="239" t="n"/>
      <c r="AO217" s="239" t="n"/>
    </row>
    <row r="218">
      <c r="A218" s="256" t="n"/>
      <c r="B218" s="256" t="n"/>
      <c r="C218" s="256" t="n"/>
      <c r="D218" s="256" t="n"/>
      <c r="E218" s="256" t="n"/>
      <c r="F218" s="256" t="n"/>
      <c r="G218" s="256" t="n"/>
      <c r="H218" s="256" t="n"/>
      <c r="I218" s="256" t="n"/>
      <c r="J218" s="256" t="n"/>
      <c r="K218" s="256" t="n"/>
      <c r="L218" s="256" t="n"/>
      <c r="M218" s="256" t="n"/>
      <c r="N218" s="256" t="n"/>
      <c r="O218" s="256" t="n"/>
      <c r="P218" s="256" t="n"/>
      <c r="Q218" s="256" t="n"/>
      <c r="R218" s="256" t="n"/>
      <c r="S218" s="256" t="n"/>
      <c r="T218" s="256" t="n"/>
      <c r="U218" s="256" t="n"/>
      <c r="V218" s="256" t="n"/>
      <c r="W218" s="256" t="n"/>
      <c r="X218" s="256" t="n"/>
      <c r="Y218" s="256" t="n"/>
      <c r="Z218" s="256" t="n"/>
      <c r="AA218" s="256" t="n"/>
      <c r="AB218" s="256" t="n"/>
      <c r="AC218" s="256" t="n"/>
      <c r="AD218" s="256" t="n"/>
      <c r="AE218" s="256" t="n"/>
      <c r="AF218" s="256" t="n"/>
      <c r="AG218" s="256" t="n"/>
      <c r="AH218" s="256" t="n"/>
      <c r="AI218" s="256" t="n"/>
      <c r="AJ218" s="256" t="n"/>
      <c r="AK218" s="256" t="n"/>
      <c r="AL218" s="256" t="n"/>
      <c r="AM218" s="256" t="n"/>
      <c r="AN218" s="256" t="n"/>
      <c r="AO218" s="256" t="n"/>
    </row>
    <row r="219">
      <c r="A219" s="239" t="n"/>
      <c r="B219" s="239" t="n"/>
      <c r="C219" s="239" t="n"/>
      <c r="D219" s="239" t="n"/>
      <c r="E219" s="239" t="n"/>
      <c r="F219" s="239" t="n"/>
      <c r="G219" s="239" t="n"/>
      <c r="H219" s="239" t="n"/>
      <c r="I219" s="239" t="n"/>
      <c r="J219" s="239" t="n"/>
      <c r="K219" s="239" t="n"/>
      <c r="L219" s="239" t="n"/>
      <c r="M219" s="239" t="n"/>
      <c r="N219" s="239" t="n"/>
      <c r="O219" s="239" t="n"/>
      <c r="P219" s="239" t="n"/>
      <c r="Q219" s="239" t="n"/>
      <c r="R219" s="239" t="n"/>
      <c r="S219" s="239" t="n"/>
      <c r="T219" s="239" t="n"/>
      <c r="U219" s="239" t="n"/>
      <c r="V219" s="239" t="n"/>
      <c r="W219" s="239" t="n"/>
      <c r="X219" s="239" t="n"/>
      <c r="Y219" s="239" t="n"/>
      <c r="Z219" s="239" t="n"/>
      <c r="AA219" s="239" t="n"/>
      <c r="AB219" s="239" t="n"/>
      <c r="AC219" s="239" t="n"/>
      <c r="AD219" s="239" t="n"/>
      <c r="AE219" s="239" t="n"/>
      <c r="AF219" s="239" t="n"/>
      <c r="AG219" s="239" t="n"/>
      <c r="AH219" s="239" t="n"/>
      <c r="AI219" s="239" t="n"/>
      <c r="AJ219" s="239" t="n"/>
      <c r="AK219" s="239" t="n"/>
      <c r="AL219" s="239" t="n"/>
      <c r="AM219" s="239" t="n"/>
      <c r="AN219" s="239" t="n"/>
      <c r="AO219" s="239" t="n"/>
    </row>
    <row r="220">
      <c r="A220" s="256" t="n"/>
      <c r="B220" s="256" t="n"/>
      <c r="C220" s="256" t="n"/>
      <c r="D220" s="256" t="n"/>
      <c r="E220" s="256" t="n"/>
      <c r="F220" s="256" t="n"/>
      <c r="G220" s="256" t="n"/>
      <c r="H220" s="256" t="n"/>
      <c r="I220" s="256" t="n"/>
      <c r="J220" s="256" t="n"/>
      <c r="K220" s="256" t="n"/>
      <c r="L220" s="256" t="n"/>
      <c r="M220" s="256" t="n"/>
      <c r="N220" s="256" t="n"/>
      <c r="O220" s="256" t="n"/>
      <c r="P220" s="256" t="n"/>
      <c r="Q220" s="256" t="n"/>
      <c r="R220" s="256" t="n"/>
      <c r="S220" s="256" t="n"/>
      <c r="T220" s="256" t="n"/>
      <c r="U220" s="256" t="n"/>
      <c r="V220" s="256" t="n"/>
      <c r="W220" s="256" t="n"/>
      <c r="X220" s="256" t="n"/>
      <c r="Y220" s="256" t="n"/>
      <c r="Z220" s="256" t="n"/>
      <c r="AA220" s="256" t="n"/>
      <c r="AB220" s="256" t="n"/>
      <c r="AC220" s="256" t="n"/>
      <c r="AD220" s="256" t="n"/>
      <c r="AE220" s="256" t="n"/>
      <c r="AF220" s="256" t="n"/>
      <c r="AG220" s="256" t="n"/>
      <c r="AH220" s="256" t="n"/>
      <c r="AI220" s="256" t="n"/>
      <c r="AJ220" s="256" t="n"/>
      <c r="AK220" s="256" t="n"/>
      <c r="AL220" s="256" t="n"/>
      <c r="AM220" s="256" t="n"/>
      <c r="AN220" s="256" t="n"/>
      <c r="AO220" s="256" t="n"/>
    </row>
    <row r="221">
      <c r="A221" s="239" t="n"/>
      <c r="B221" s="239" t="n"/>
      <c r="C221" s="239" t="n"/>
      <c r="D221" s="239" t="n"/>
      <c r="E221" s="239" t="n"/>
      <c r="F221" s="239" t="n"/>
      <c r="G221" s="239" t="n"/>
      <c r="H221" s="239" t="n"/>
      <c r="I221" s="239" t="n"/>
      <c r="J221" s="239" t="n"/>
      <c r="K221" s="239" t="n"/>
      <c r="L221" s="239" t="n"/>
      <c r="M221" s="239" t="n"/>
      <c r="N221" s="239" t="n"/>
      <c r="O221" s="239" t="n"/>
      <c r="P221" s="239" t="n"/>
      <c r="Q221" s="239" t="n"/>
      <c r="R221" s="239" t="n"/>
      <c r="S221" s="239" t="n"/>
      <c r="T221" s="239" t="n"/>
      <c r="U221" s="239" t="n"/>
      <c r="V221" s="239" t="n"/>
      <c r="W221" s="239" t="n"/>
      <c r="X221" s="239" t="n"/>
      <c r="Y221" s="239" t="n"/>
      <c r="Z221" s="239" t="n"/>
      <c r="AA221" s="239" t="n"/>
      <c r="AB221" s="239" t="n"/>
      <c r="AC221" s="239" t="n"/>
      <c r="AD221" s="239" t="n"/>
      <c r="AE221" s="239" t="n"/>
      <c r="AF221" s="239" t="n"/>
      <c r="AG221" s="239" t="n"/>
      <c r="AH221" s="239" t="n"/>
      <c r="AI221" s="239" t="n"/>
      <c r="AJ221" s="239" t="n"/>
      <c r="AK221" s="239" t="n"/>
      <c r="AL221" s="239" t="n"/>
      <c r="AM221" s="239" t="n"/>
      <c r="AN221" s="239" t="n"/>
      <c r="AO221" s="239" t="n"/>
    </row>
    <row r="222">
      <c r="A222" s="256" t="n"/>
      <c r="B222" s="256" t="n"/>
      <c r="C222" s="256" t="n"/>
      <c r="D222" s="256" t="n"/>
      <c r="E222" s="256" t="n"/>
      <c r="F222" s="256" t="n"/>
      <c r="G222" s="256" t="n"/>
      <c r="H222" s="256" t="n"/>
      <c r="I222" s="256" t="n"/>
      <c r="J222" s="256" t="n"/>
      <c r="K222" s="256" t="n"/>
      <c r="L222" s="256" t="n"/>
      <c r="M222" s="256" t="n"/>
      <c r="N222" s="256" t="n"/>
      <c r="O222" s="256" t="n"/>
      <c r="P222" s="256" t="n"/>
      <c r="Q222" s="256" t="n"/>
      <c r="R222" s="256" t="n"/>
      <c r="S222" s="256" t="n"/>
      <c r="T222" s="256" t="n"/>
      <c r="U222" s="256" t="n"/>
      <c r="V222" s="256" t="n"/>
      <c r="W222" s="256" t="n"/>
      <c r="X222" s="256" t="n"/>
      <c r="Y222" s="256" t="n"/>
      <c r="Z222" s="256" t="n"/>
      <c r="AA222" s="256" t="n"/>
      <c r="AB222" s="256" t="n"/>
      <c r="AC222" s="256" t="n"/>
      <c r="AD222" s="256" t="n"/>
      <c r="AE222" s="256" t="n"/>
      <c r="AF222" s="256" t="n"/>
      <c r="AG222" s="256" t="n"/>
      <c r="AH222" s="256" t="n"/>
      <c r="AI222" s="256" t="n"/>
      <c r="AJ222" s="256" t="n"/>
      <c r="AK222" s="256" t="n"/>
      <c r="AL222" s="256" t="n"/>
      <c r="AM222" s="256" t="n"/>
      <c r="AN222" s="256" t="n"/>
      <c r="AO222" s="256" t="n"/>
    </row>
    <row r="223">
      <c r="A223" s="239" t="n"/>
      <c r="B223" s="239" t="n"/>
      <c r="C223" s="239" t="n"/>
      <c r="D223" s="239" t="n"/>
      <c r="E223" s="239" t="n"/>
      <c r="F223" s="239" t="n"/>
      <c r="G223" s="239" t="n"/>
      <c r="H223" s="239" t="n"/>
      <c r="I223" s="239" t="n"/>
      <c r="J223" s="239" t="n"/>
      <c r="K223" s="239" t="n"/>
      <c r="L223" s="239" t="n"/>
      <c r="M223" s="239" t="n"/>
      <c r="N223" s="239" t="n"/>
      <c r="O223" s="239" t="n"/>
      <c r="P223" s="239" t="n"/>
      <c r="Q223" s="239" t="n"/>
      <c r="R223" s="239" t="n"/>
      <c r="S223" s="239" t="n"/>
      <c r="T223" s="239" t="n"/>
      <c r="U223" s="239" t="n"/>
      <c r="V223" s="239" t="n"/>
      <c r="W223" s="239" t="n"/>
      <c r="X223" s="239" t="n"/>
      <c r="Y223" s="239" t="n"/>
      <c r="Z223" s="239" t="n"/>
      <c r="AA223" s="239" t="n"/>
      <c r="AB223" s="239" t="n"/>
      <c r="AC223" s="239" t="n"/>
      <c r="AD223" s="239" t="n"/>
      <c r="AE223" s="239" t="n"/>
      <c r="AF223" s="239" t="n"/>
      <c r="AG223" s="239" t="n"/>
      <c r="AH223" s="239" t="n"/>
      <c r="AI223" s="239" t="n"/>
      <c r="AJ223" s="239" t="n"/>
      <c r="AK223" s="239" t="n"/>
      <c r="AL223" s="239" t="n"/>
      <c r="AM223" s="239" t="n"/>
      <c r="AN223" s="239" t="n"/>
      <c r="AO223" s="239" t="n"/>
    </row>
    <row r="224">
      <c r="A224" s="256" t="n"/>
      <c r="B224" s="256" t="n"/>
      <c r="C224" s="256" t="n"/>
      <c r="D224" s="256" t="n"/>
      <c r="E224" s="256" t="n"/>
      <c r="F224" s="256" t="n"/>
      <c r="G224" s="256" t="n"/>
      <c r="H224" s="256" t="n"/>
      <c r="I224" s="256" t="n"/>
      <c r="J224" s="256" t="n"/>
      <c r="K224" s="256" t="n"/>
      <c r="L224" s="256" t="n"/>
      <c r="M224" s="256" t="n"/>
      <c r="N224" s="256" t="n"/>
      <c r="O224" s="256" t="n"/>
      <c r="P224" s="256" t="n"/>
      <c r="Q224" s="256" t="n"/>
      <c r="R224" s="256" t="n"/>
      <c r="S224" s="256" t="n"/>
      <c r="T224" s="256" t="n"/>
      <c r="U224" s="256" t="n"/>
      <c r="V224" s="256" t="n"/>
      <c r="W224" s="256" t="n"/>
      <c r="X224" s="256" t="n"/>
      <c r="Y224" s="256" t="n"/>
      <c r="Z224" s="256" t="n"/>
      <c r="AA224" s="256" t="n"/>
      <c r="AB224" s="256" t="n"/>
      <c r="AC224" s="256" t="n"/>
      <c r="AD224" s="256" t="n"/>
      <c r="AE224" s="256" t="n"/>
      <c r="AF224" s="256" t="n"/>
      <c r="AG224" s="256" t="n"/>
      <c r="AH224" s="256" t="n"/>
      <c r="AI224" s="256" t="n"/>
      <c r="AJ224" s="256" t="n"/>
      <c r="AK224" s="256" t="n"/>
      <c r="AL224" s="256" t="n"/>
      <c r="AM224" s="256" t="n"/>
      <c r="AN224" s="256" t="n"/>
      <c r="AO224" s="256" t="n"/>
    </row>
    <row r="225">
      <c r="A225" s="239" t="n"/>
      <c r="B225" s="239" t="n"/>
      <c r="C225" s="239" t="n"/>
      <c r="D225" s="239" t="n"/>
      <c r="E225" s="239" t="n"/>
      <c r="F225" s="239" t="n"/>
      <c r="G225" s="239" t="n"/>
      <c r="H225" s="239" t="n"/>
      <c r="I225" s="239" t="n"/>
      <c r="J225" s="239" t="n"/>
      <c r="K225" s="239" t="n"/>
      <c r="L225" s="239" t="n"/>
      <c r="M225" s="239" t="n"/>
      <c r="N225" s="239" t="n"/>
      <c r="O225" s="239" t="n"/>
      <c r="P225" s="239" t="n"/>
      <c r="Q225" s="239" t="n"/>
      <c r="R225" s="239" t="n"/>
      <c r="S225" s="239" t="n"/>
      <c r="T225" s="239" t="n"/>
      <c r="U225" s="239" t="n"/>
      <c r="V225" s="239" t="n"/>
      <c r="W225" s="239" t="n"/>
      <c r="X225" s="239" t="n"/>
      <c r="Y225" s="239" t="n"/>
      <c r="Z225" s="239" t="n"/>
      <c r="AA225" s="239" t="n"/>
      <c r="AB225" s="239" t="n"/>
      <c r="AC225" s="239" t="n"/>
      <c r="AD225" s="239" t="n"/>
      <c r="AE225" s="239" t="n"/>
      <c r="AF225" s="239" t="n"/>
      <c r="AG225" s="239" t="n"/>
      <c r="AH225" s="239" t="n"/>
      <c r="AI225" s="239" t="n"/>
      <c r="AJ225" s="239" t="n"/>
      <c r="AK225" s="239" t="n"/>
      <c r="AL225" s="239" t="n"/>
      <c r="AM225" s="239" t="n"/>
      <c r="AN225" s="239" t="n"/>
      <c r="AO225" s="239" t="n"/>
    </row>
    <row r="226">
      <c r="A226" s="256" t="n"/>
      <c r="B226" s="256" t="n"/>
      <c r="C226" s="256" t="n"/>
      <c r="D226" s="256" t="n"/>
      <c r="E226" s="256" t="n"/>
      <c r="F226" s="256" t="n"/>
      <c r="G226" s="256" t="n"/>
      <c r="H226" s="256" t="n"/>
      <c r="I226" s="256" t="n"/>
      <c r="J226" s="256" t="n"/>
      <c r="K226" s="256" t="n"/>
      <c r="L226" s="256" t="n"/>
      <c r="M226" s="256" t="n"/>
      <c r="N226" s="256" t="n"/>
      <c r="O226" s="256" t="n"/>
      <c r="P226" s="256" t="n"/>
      <c r="Q226" s="256" t="n"/>
      <c r="R226" s="256" t="n"/>
      <c r="S226" s="256" t="n"/>
      <c r="T226" s="256" t="n"/>
      <c r="U226" s="256" t="n"/>
      <c r="V226" s="256" t="n"/>
      <c r="W226" s="256" t="n"/>
      <c r="X226" s="256" t="n"/>
      <c r="Y226" s="256" t="n"/>
      <c r="Z226" s="256" t="n"/>
      <c r="AA226" s="256" t="n"/>
      <c r="AB226" s="256" t="n"/>
      <c r="AC226" s="256" t="n"/>
      <c r="AD226" s="256" t="n"/>
      <c r="AE226" s="256" t="n"/>
      <c r="AF226" s="256" t="n"/>
      <c r="AG226" s="256" t="n"/>
      <c r="AH226" s="256" t="n"/>
      <c r="AI226" s="256" t="n"/>
      <c r="AJ226" s="256" t="n"/>
      <c r="AK226" s="256" t="n"/>
      <c r="AL226" s="256" t="n"/>
      <c r="AM226" s="256" t="n"/>
      <c r="AN226" s="256" t="n"/>
      <c r="AO226" s="256" t="n"/>
    </row>
    <row r="227">
      <c r="A227" s="239" t="n"/>
      <c r="B227" s="239" t="n"/>
      <c r="C227" s="239" t="n"/>
      <c r="D227" s="239" t="n"/>
      <c r="E227" s="239" t="n"/>
      <c r="F227" s="239" t="n"/>
      <c r="G227" s="239" t="n"/>
      <c r="H227" s="239" t="n"/>
      <c r="I227" s="239" t="n"/>
      <c r="J227" s="239" t="n"/>
      <c r="K227" s="239" t="n"/>
      <c r="L227" s="239" t="n"/>
      <c r="M227" s="239" t="n"/>
      <c r="N227" s="239" t="n"/>
      <c r="O227" s="239" t="n"/>
      <c r="P227" s="239" t="n"/>
      <c r="Q227" s="239" t="n"/>
      <c r="R227" s="239" t="n"/>
      <c r="S227" s="239" t="n"/>
      <c r="T227" s="239" t="n"/>
      <c r="U227" s="239" t="n"/>
      <c r="V227" s="239" t="n"/>
      <c r="W227" s="239" t="n"/>
      <c r="X227" s="239" t="n"/>
      <c r="Y227" s="239" t="n"/>
      <c r="Z227" s="239" t="n"/>
      <c r="AA227" s="239" t="n"/>
      <c r="AB227" s="239" t="n"/>
      <c r="AC227" s="239" t="n"/>
      <c r="AD227" s="239" t="n"/>
      <c r="AE227" s="239" t="n"/>
      <c r="AF227" s="239" t="n"/>
      <c r="AG227" s="239" t="n"/>
      <c r="AH227" s="239" t="n"/>
      <c r="AI227" s="239" t="n"/>
      <c r="AJ227" s="239" t="n"/>
      <c r="AK227" s="239" t="n"/>
      <c r="AL227" s="239" t="n"/>
      <c r="AM227" s="239" t="n"/>
      <c r="AN227" s="239" t="n"/>
      <c r="AO227" s="239" t="n"/>
    </row>
    <row r="228">
      <c r="A228" s="256" t="n"/>
      <c r="B228" s="256" t="n"/>
      <c r="C228" s="256" t="n"/>
      <c r="D228" s="256" t="n"/>
      <c r="E228" s="256" t="n"/>
      <c r="F228" s="256" t="n"/>
      <c r="G228" s="256" t="n"/>
      <c r="H228" s="256" t="n"/>
      <c r="I228" s="256" t="n"/>
      <c r="J228" s="256" t="n"/>
      <c r="K228" s="256" t="n"/>
      <c r="L228" s="256" t="n"/>
      <c r="M228" s="256" t="n"/>
      <c r="N228" s="256" t="n"/>
      <c r="O228" s="256" t="n"/>
      <c r="P228" s="256" t="n"/>
      <c r="Q228" s="256" t="n"/>
      <c r="R228" s="256" t="n"/>
      <c r="S228" s="256" t="n"/>
      <c r="T228" s="256" t="n"/>
      <c r="U228" s="256" t="n"/>
      <c r="V228" s="256" t="n"/>
      <c r="W228" s="256" t="n"/>
      <c r="X228" s="256" t="n"/>
      <c r="Y228" s="256" t="n"/>
      <c r="Z228" s="256" t="n"/>
      <c r="AA228" s="256" t="n"/>
      <c r="AB228" s="256" t="n"/>
      <c r="AC228" s="256" t="n"/>
      <c r="AD228" s="256" t="n"/>
      <c r="AE228" s="256" t="n"/>
      <c r="AF228" s="256" t="n"/>
      <c r="AG228" s="256" t="n"/>
      <c r="AH228" s="256" t="n"/>
      <c r="AI228" s="256" t="n"/>
      <c r="AJ228" s="256" t="n"/>
      <c r="AK228" s="256" t="n"/>
      <c r="AL228" s="256" t="n"/>
      <c r="AM228" s="256" t="n"/>
      <c r="AN228" s="256" t="n"/>
      <c r="AO228" s="256" t="n"/>
    </row>
    <row r="229">
      <c r="A229" s="239" t="n"/>
      <c r="B229" s="239" t="n"/>
      <c r="C229" s="239" t="n"/>
      <c r="D229" s="239" t="n"/>
      <c r="E229" s="239" t="n"/>
      <c r="F229" s="239" t="n"/>
      <c r="G229" s="239" t="n"/>
      <c r="H229" s="239" t="n"/>
      <c r="I229" s="239" t="n"/>
      <c r="J229" s="239" t="n"/>
      <c r="K229" s="239" t="n"/>
      <c r="L229" s="239" t="n"/>
      <c r="M229" s="239" t="n"/>
      <c r="N229" s="239" t="n"/>
      <c r="O229" s="239" t="n"/>
      <c r="P229" s="239" t="n"/>
      <c r="Q229" s="239" t="n"/>
      <c r="R229" s="239" t="n"/>
      <c r="S229" s="239" t="n"/>
      <c r="T229" s="239" t="n"/>
      <c r="U229" s="239" t="n"/>
      <c r="V229" s="239" t="n"/>
      <c r="W229" s="239" t="n"/>
      <c r="X229" s="239" t="n"/>
      <c r="Y229" s="239" t="n"/>
      <c r="Z229" s="239" t="n"/>
      <c r="AA229" s="239" t="n"/>
      <c r="AB229" s="239" t="n"/>
      <c r="AC229" s="239" t="n"/>
      <c r="AD229" s="239" t="n"/>
      <c r="AE229" s="239" t="n"/>
      <c r="AF229" s="239" t="n"/>
      <c r="AG229" s="239" t="n"/>
      <c r="AH229" s="239" t="n"/>
      <c r="AI229" s="239" t="n"/>
      <c r="AJ229" s="239" t="n"/>
      <c r="AK229" s="239" t="n"/>
      <c r="AL229" s="239" t="n"/>
      <c r="AM229" s="239" t="n"/>
      <c r="AN229" s="239" t="n"/>
      <c r="AO229" s="239" t="n"/>
    </row>
    <row r="230">
      <c r="A230" s="256" t="n"/>
      <c r="B230" s="256" t="n"/>
      <c r="C230" s="256" t="n"/>
      <c r="D230" s="256" t="n"/>
      <c r="E230" s="256" t="n"/>
      <c r="F230" s="256" t="n"/>
      <c r="G230" s="256" t="n"/>
      <c r="H230" s="256" t="n"/>
      <c r="I230" s="256" t="n"/>
      <c r="J230" s="256" t="n"/>
      <c r="K230" s="256" t="n"/>
      <c r="L230" s="256" t="n"/>
      <c r="M230" s="256" t="n"/>
      <c r="N230" s="256" t="n"/>
      <c r="O230" s="256" t="n"/>
      <c r="P230" s="256" t="n"/>
      <c r="Q230" s="256" t="n"/>
      <c r="R230" s="256" t="n"/>
      <c r="S230" s="256" t="n"/>
      <c r="T230" s="256" t="n"/>
      <c r="U230" s="256" t="n"/>
      <c r="V230" s="256" t="n"/>
      <c r="W230" s="256" t="n"/>
      <c r="X230" s="256" t="n"/>
      <c r="Y230" s="256" t="n"/>
      <c r="Z230" s="256" t="n"/>
      <c r="AA230" s="256" t="n"/>
      <c r="AB230" s="256" t="n"/>
      <c r="AC230" s="256" t="n"/>
      <c r="AD230" s="256" t="n"/>
      <c r="AE230" s="256" t="n"/>
      <c r="AF230" s="256" t="n"/>
      <c r="AG230" s="256" t="n"/>
      <c r="AH230" s="256" t="n"/>
      <c r="AI230" s="256" t="n"/>
      <c r="AJ230" s="256" t="n"/>
      <c r="AK230" s="256" t="n"/>
      <c r="AL230" s="256" t="n"/>
      <c r="AM230" s="256" t="n"/>
      <c r="AN230" s="256" t="n"/>
      <c r="AO230" s="256" t="n"/>
    </row>
    <row r="231">
      <c r="A231" s="239" t="n"/>
      <c r="B231" s="239" t="n"/>
      <c r="C231" s="239" t="n"/>
      <c r="D231" s="239" t="n"/>
      <c r="E231" s="239" t="n"/>
      <c r="F231" s="239" t="n"/>
      <c r="G231" s="239" t="n"/>
      <c r="H231" s="239" t="n"/>
      <c r="I231" s="239" t="n"/>
      <c r="J231" s="239" t="n"/>
      <c r="K231" s="239" t="n"/>
      <c r="L231" s="239" t="n"/>
      <c r="M231" s="239" t="n"/>
      <c r="N231" s="239" t="n"/>
      <c r="O231" s="239" t="n"/>
      <c r="P231" s="239" t="n"/>
      <c r="Q231" s="239" t="n"/>
      <c r="R231" s="239" t="n"/>
      <c r="S231" s="239" t="n"/>
      <c r="T231" s="239" t="n"/>
      <c r="U231" s="239" t="n"/>
      <c r="V231" s="239" t="n"/>
      <c r="W231" s="239" t="n"/>
      <c r="X231" s="239" t="n"/>
      <c r="Y231" s="239" t="n"/>
      <c r="Z231" s="239" t="n"/>
      <c r="AA231" s="239" t="n"/>
      <c r="AB231" s="239" t="n"/>
      <c r="AC231" s="239" t="n"/>
      <c r="AD231" s="239" t="n"/>
      <c r="AE231" s="239" t="n"/>
      <c r="AF231" s="239" t="n"/>
      <c r="AG231" s="239" t="n"/>
      <c r="AH231" s="239" t="n"/>
      <c r="AI231" s="239" t="n"/>
      <c r="AJ231" s="239" t="n"/>
      <c r="AK231" s="239" t="n"/>
      <c r="AL231" s="239" t="n"/>
      <c r="AM231" s="239" t="n"/>
      <c r="AN231" s="239" t="n"/>
      <c r="AO231" s="239" t="n"/>
    </row>
    <row r="232">
      <c r="A232" s="256" t="n"/>
      <c r="B232" s="256" t="n"/>
      <c r="C232" s="256" t="n"/>
      <c r="D232" s="256" t="n"/>
      <c r="E232" s="256" t="n"/>
      <c r="F232" s="256" t="n"/>
      <c r="G232" s="256" t="n"/>
      <c r="H232" s="256" t="n"/>
      <c r="I232" s="256" t="n"/>
      <c r="J232" s="256" t="n"/>
      <c r="K232" s="256" t="n"/>
      <c r="L232" s="256" t="n"/>
      <c r="M232" s="256" t="n"/>
      <c r="N232" s="256" t="n"/>
      <c r="O232" s="256" t="n"/>
      <c r="P232" s="256" t="n"/>
      <c r="Q232" s="256" t="n"/>
      <c r="R232" s="256" t="n"/>
      <c r="S232" s="256" t="n"/>
      <c r="T232" s="256" t="n"/>
      <c r="U232" s="256" t="n"/>
      <c r="V232" s="256" t="n"/>
      <c r="W232" s="256" t="n"/>
      <c r="X232" s="256" t="n"/>
      <c r="Y232" s="256" t="n"/>
      <c r="Z232" s="256" t="n"/>
      <c r="AA232" s="256" t="n"/>
      <c r="AB232" s="256" t="n"/>
      <c r="AC232" s="256" t="n"/>
      <c r="AD232" s="256" t="n"/>
      <c r="AE232" s="256" t="n"/>
      <c r="AF232" s="256" t="n"/>
      <c r="AG232" s="256" t="n"/>
      <c r="AH232" s="256" t="n"/>
      <c r="AI232" s="256" t="n"/>
      <c r="AJ232" s="256" t="n"/>
      <c r="AK232" s="256" t="n"/>
      <c r="AL232" s="256" t="n"/>
      <c r="AM232" s="256" t="n"/>
      <c r="AN232" s="256" t="n"/>
      <c r="AO232" s="256" t="n"/>
    </row>
    <row r="233">
      <c r="A233" s="239" t="n"/>
      <c r="B233" s="239" t="n"/>
      <c r="C233" s="239" t="n"/>
      <c r="D233" s="239" t="n"/>
      <c r="E233" s="239" t="n"/>
      <c r="F233" s="239" t="n"/>
      <c r="G233" s="239" t="n"/>
      <c r="H233" s="239" t="n"/>
      <c r="I233" s="239" t="n"/>
      <c r="J233" s="239" t="n"/>
      <c r="K233" s="239" t="n"/>
      <c r="L233" s="239" t="n"/>
      <c r="M233" s="239" t="n"/>
      <c r="N233" s="239" t="n"/>
      <c r="O233" s="239" t="n"/>
      <c r="P233" s="239" t="n"/>
      <c r="Q233" s="239" t="n"/>
      <c r="R233" s="239" t="n"/>
      <c r="S233" s="239" t="n"/>
      <c r="T233" s="239" t="n"/>
      <c r="U233" s="239" t="n"/>
      <c r="V233" s="239" t="n"/>
      <c r="W233" s="239" t="n"/>
      <c r="X233" s="239" t="n"/>
      <c r="Y233" s="239" t="n"/>
      <c r="Z233" s="239" t="n"/>
      <c r="AA233" s="239" t="n"/>
      <c r="AB233" s="239" t="n"/>
      <c r="AC233" s="239" t="n"/>
      <c r="AD233" s="239" t="n"/>
      <c r="AE233" s="239" t="n"/>
      <c r="AF233" s="239" t="n"/>
      <c r="AG233" s="239" t="n"/>
      <c r="AH233" s="239" t="n"/>
      <c r="AI233" s="239" t="n"/>
      <c r="AJ233" s="239" t="n"/>
      <c r="AK233" s="239" t="n"/>
      <c r="AL233" s="239" t="n"/>
      <c r="AM233" s="239" t="n"/>
      <c r="AN233" s="239" t="n"/>
      <c r="AO233" s="239" t="n"/>
    </row>
    <row r="234">
      <c r="A234" s="256" t="n"/>
      <c r="B234" s="256" t="n"/>
      <c r="C234" s="256" t="n"/>
      <c r="D234" s="256" t="n"/>
      <c r="E234" s="256" t="n"/>
      <c r="F234" s="256" t="n"/>
      <c r="G234" s="256" t="n"/>
      <c r="H234" s="256" t="n"/>
      <c r="I234" s="256" t="n"/>
      <c r="J234" s="256" t="n"/>
      <c r="K234" s="256" t="n"/>
      <c r="L234" s="256" t="n"/>
      <c r="M234" s="256" t="n"/>
      <c r="N234" s="256" t="n"/>
      <c r="O234" s="256" t="n"/>
      <c r="P234" s="256" t="n"/>
      <c r="Q234" s="256" t="n"/>
      <c r="R234" s="256" t="n"/>
      <c r="S234" s="256" t="n"/>
      <c r="T234" s="256" t="n"/>
      <c r="U234" s="256" t="n"/>
      <c r="V234" s="256" t="n"/>
      <c r="W234" s="256" t="n"/>
      <c r="X234" s="256" t="n"/>
      <c r="Y234" s="256" t="n"/>
      <c r="Z234" s="256" t="n"/>
      <c r="AA234" s="256" t="n"/>
      <c r="AB234" s="256" t="n"/>
      <c r="AC234" s="256" t="n"/>
      <c r="AD234" s="256" t="n"/>
      <c r="AE234" s="256" t="n"/>
      <c r="AF234" s="256" t="n"/>
      <c r="AG234" s="256" t="n"/>
      <c r="AH234" s="256" t="n"/>
      <c r="AI234" s="256" t="n"/>
      <c r="AJ234" s="256" t="n"/>
      <c r="AK234" s="256" t="n"/>
      <c r="AL234" s="256" t="n"/>
      <c r="AM234" s="256" t="n"/>
      <c r="AN234" s="256" t="n"/>
      <c r="AO234" s="256" t="n"/>
    </row>
    <row r="235">
      <c r="A235" s="239" t="n"/>
      <c r="B235" s="239" t="n"/>
      <c r="C235" s="239" t="n"/>
      <c r="D235" s="239" t="n"/>
      <c r="E235" s="239" t="n"/>
      <c r="F235" s="239" t="n"/>
      <c r="G235" s="239" t="n"/>
      <c r="H235" s="239" t="n"/>
      <c r="I235" s="239" t="n"/>
      <c r="J235" s="239" t="n"/>
      <c r="K235" s="239" t="n"/>
      <c r="L235" s="239" t="n"/>
      <c r="M235" s="239" t="n"/>
      <c r="N235" s="239" t="n"/>
      <c r="O235" s="239" t="n"/>
      <c r="P235" s="239" t="n"/>
      <c r="Q235" s="239" t="n"/>
      <c r="R235" s="239" t="n"/>
      <c r="S235" s="239" t="n"/>
      <c r="T235" s="239" t="n"/>
      <c r="U235" s="239" t="n"/>
      <c r="V235" s="239" t="n"/>
      <c r="W235" s="239" t="n"/>
      <c r="X235" s="239" t="n"/>
      <c r="Y235" s="239" t="n"/>
      <c r="Z235" s="239" t="n"/>
      <c r="AA235" s="239" t="n"/>
      <c r="AB235" s="239" t="n"/>
      <c r="AC235" s="239" t="n"/>
      <c r="AD235" s="239" t="n"/>
      <c r="AE235" s="239" t="n"/>
      <c r="AF235" s="239" t="n"/>
      <c r="AG235" s="239" t="n"/>
      <c r="AH235" s="239" t="n"/>
      <c r="AI235" s="239" t="n"/>
      <c r="AJ235" s="239" t="n"/>
      <c r="AK235" s="239" t="n"/>
      <c r="AL235" s="239" t="n"/>
      <c r="AM235" s="239" t="n"/>
      <c r="AN235" s="239" t="n"/>
      <c r="AO235" s="239" t="n"/>
    </row>
    <row r="236">
      <c r="A236" s="256" t="n"/>
      <c r="B236" s="256" t="n"/>
      <c r="C236" s="256" t="n"/>
      <c r="D236" s="256" t="n"/>
      <c r="E236" s="256" t="n"/>
      <c r="F236" s="256" t="n"/>
      <c r="G236" s="256" t="n"/>
      <c r="H236" s="256" t="n"/>
      <c r="I236" s="256" t="n"/>
      <c r="J236" s="256" t="n"/>
      <c r="K236" s="256" t="n"/>
      <c r="L236" s="256" t="n"/>
      <c r="M236" s="256" t="n"/>
      <c r="N236" s="256" t="n"/>
      <c r="O236" s="256" t="n"/>
      <c r="P236" s="256" t="n"/>
      <c r="Q236" s="256" t="n"/>
      <c r="R236" s="256" t="n"/>
      <c r="S236" s="256" t="n"/>
      <c r="T236" s="256" t="n"/>
      <c r="U236" s="256" t="n"/>
      <c r="V236" s="256" t="n"/>
      <c r="W236" s="256" t="n"/>
      <c r="X236" s="256" t="n"/>
      <c r="Y236" s="256" t="n"/>
      <c r="Z236" s="256" t="n"/>
      <c r="AA236" s="256" t="n"/>
      <c r="AB236" s="256" t="n"/>
      <c r="AC236" s="256" t="n"/>
      <c r="AD236" s="256" t="n"/>
      <c r="AE236" s="256" t="n"/>
      <c r="AF236" s="256" t="n"/>
      <c r="AG236" s="256" t="n"/>
      <c r="AH236" s="256" t="n"/>
      <c r="AI236" s="256" t="n"/>
      <c r="AJ236" s="256" t="n"/>
      <c r="AK236" s="256" t="n"/>
      <c r="AL236" s="256" t="n"/>
      <c r="AM236" s="256" t="n"/>
      <c r="AN236" s="256" t="n"/>
      <c r="AO236" s="256" t="n"/>
    </row>
    <row r="237">
      <c r="A237" s="239" t="n"/>
      <c r="B237" s="239" t="n"/>
      <c r="C237" s="239" t="n"/>
      <c r="D237" s="239" t="n"/>
      <c r="E237" s="239" t="n"/>
      <c r="F237" s="239" t="n"/>
      <c r="G237" s="239" t="n"/>
      <c r="H237" s="239" t="n"/>
      <c r="I237" s="239" t="n"/>
      <c r="J237" s="239" t="n"/>
      <c r="K237" s="239" t="n"/>
      <c r="L237" s="239" t="n"/>
      <c r="M237" s="239" t="n"/>
      <c r="N237" s="239" t="n"/>
      <c r="O237" s="239" t="n"/>
      <c r="P237" s="239" t="n"/>
      <c r="Q237" s="239" t="n"/>
      <c r="R237" s="239" t="n"/>
      <c r="S237" s="239" t="n"/>
      <c r="T237" s="239" t="n"/>
      <c r="U237" s="239" t="n"/>
      <c r="V237" s="239" t="n"/>
      <c r="W237" s="239" t="n"/>
      <c r="X237" s="239" t="n"/>
      <c r="Y237" s="239" t="n"/>
      <c r="Z237" s="239" t="n"/>
      <c r="AA237" s="239" t="n"/>
      <c r="AB237" s="239" t="n"/>
      <c r="AC237" s="239" t="n"/>
      <c r="AD237" s="239" t="n"/>
      <c r="AE237" s="239" t="n"/>
      <c r="AF237" s="239" t="n"/>
      <c r="AG237" s="239" t="n"/>
      <c r="AH237" s="239" t="n"/>
      <c r="AI237" s="239" t="n"/>
      <c r="AJ237" s="239" t="n"/>
      <c r="AK237" s="239" t="n"/>
      <c r="AL237" s="239" t="n"/>
      <c r="AM237" s="239" t="n"/>
      <c r="AN237" s="239" t="n"/>
      <c r="AO237" s="239" t="n"/>
    </row>
    <row r="238">
      <c r="A238" s="256" t="n"/>
      <c r="B238" s="256" t="n"/>
      <c r="C238" s="256" t="n"/>
      <c r="D238" s="256" t="n"/>
      <c r="E238" s="256" t="n"/>
      <c r="F238" s="256" t="n"/>
      <c r="G238" s="256" t="n"/>
      <c r="H238" s="256" t="n"/>
      <c r="I238" s="256" t="n"/>
      <c r="J238" s="256" t="n"/>
      <c r="K238" s="256" t="n"/>
      <c r="L238" s="256" t="n"/>
      <c r="M238" s="256" t="n"/>
      <c r="N238" s="256" t="n"/>
      <c r="O238" s="256" t="n"/>
      <c r="P238" s="256" t="n"/>
      <c r="Q238" s="256" t="n"/>
      <c r="R238" s="256" t="n"/>
      <c r="S238" s="256" t="n"/>
      <c r="T238" s="256" t="n"/>
      <c r="U238" s="256" t="n"/>
      <c r="V238" s="256" t="n"/>
      <c r="W238" s="256" t="n"/>
      <c r="X238" s="256" t="n"/>
      <c r="Y238" s="256" t="n"/>
      <c r="Z238" s="256" t="n"/>
      <c r="AA238" s="256" t="n"/>
      <c r="AB238" s="256" t="n"/>
      <c r="AC238" s="256" t="n"/>
      <c r="AD238" s="256" t="n"/>
      <c r="AE238" s="256" t="n"/>
      <c r="AF238" s="256" t="n"/>
      <c r="AG238" s="256" t="n"/>
      <c r="AH238" s="256" t="n"/>
      <c r="AI238" s="256" t="n"/>
      <c r="AJ238" s="256" t="n"/>
      <c r="AK238" s="256" t="n"/>
      <c r="AL238" s="256" t="n"/>
      <c r="AM238" s="256" t="n"/>
      <c r="AN238" s="256" t="n"/>
      <c r="AO238" s="256" t="n"/>
    </row>
    <row r="239">
      <c r="A239" s="239" t="n"/>
      <c r="B239" s="239" t="n"/>
      <c r="C239" s="239" t="n"/>
      <c r="D239" s="239" t="n"/>
      <c r="E239" s="239" t="n"/>
      <c r="F239" s="239" t="n"/>
      <c r="G239" s="239" t="n"/>
      <c r="H239" s="239" t="n"/>
      <c r="I239" s="239" t="n"/>
      <c r="J239" s="239" t="n"/>
      <c r="K239" s="239" t="n"/>
      <c r="L239" s="239" t="n"/>
      <c r="M239" s="239" t="n"/>
      <c r="N239" s="239" t="n"/>
      <c r="O239" s="239" t="n"/>
      <c r="P239" s="239" t="n"/>
      <c r="Q239" s="239" t="n"/>
      <c r="R239" s="239" t="n"/>
      <c r="S239" s="239" t="n"/>
      <c r="T239" s="239" t="n"/>
      <c r="U239" s="239" t="n"/>
      <c r="V239" s="239" t="n"/>
      <c r="W239" s="239" t="n"/>
      <c r="X239" s="239" t="n"/>
      <c r="Y239" s="239" t="n"/>
      <c r="Z239" s="239" t="n"/>
      <c r="AA239" s="239" t="n"/>
      <c r="AB239" s="239" t="n"/>
      <c r="AC239" s="239" t="n"/>
      <c r="AD239" s="239" t="n"/>
      <c r="AE239" s="239" t="n"/>
      <c r="AF239" s="239" t="n"/>
      <c r="AG239" s="239" t="n"/>
      <c r="AH239" s="239" t="n"/>
      <c r="AI239" s="239" t="n"/>
      <c r="AJ239" s="239" t="n"/>
      <c r="AK239" s="239" t="n"/>
      <c r="AL239" s="239" t="n"/>
      <c r="AM239" s="239" t="n"/>
      <c r="AN239" s="239" t="n"/>
      <c r="AO239" s="239" t="n"/>
    </row>
    <row r="240">
      <c r="A240" s="256" t="n"/>
      <c r="B240" s="256" t="n"/>
      <c r="C240" s="256" t="n"/>
      <c r="D240" s="256" t="n"/>
      <c r="E240" s="256" t="n"/>
      <c r="F240" s="256" t="n"/>
      <c r="G240" s="256" t="n"/>
      <c r="H240" s="256" t="n"/>
      <c r="I240" s="256" t="n"/>
      <c r="J240" s="256" t="n"/>
      <c r="K240" s="256" t="n"/>
      <c r="L240" s="256" t="n"/>
      <c r="M240" s="256" t="n"/>
      <c r="N240" s="256" t="n"/>
      <c r="O240" s="256" t="n"/>
      <c r="P240" s="256" t="n"/>
      <c r="Q240" s="256" t="n"/>
      <c r="R240" s="256" t="n"/>
      <c r="S240" s="256" t="n"/>
      <c r="T240" s="256" t="n"/>
      <c r="U240" s="256" t="n"/>
      <c r="V240" s="256" t="n"/>
      <c r="W240" s="256" t="n"/>
      <c r="X240" s="256" t="n"/>
      <c r="Y240" s="256" t="n"/>
      <c r="Z240" s="256" t="n"/>
      <c r="AA240" s="256" t="n"/>
      <c r="AB240" s="256" t="n"/>
      <c r="AC240" s="256" t="n"/>
      <c r="AD240" s="256" t="n"/>
      <c r="AE240" s="256" t="n"/>
      <c r="AF240" s="256" t="n"/>
      <c r="AG240" s="256" t="n"/>
      <c r="AH240" s="256" t="n"/>
      <c r="AI240" s="256" t="n"/>
      <c r="AJ240" s="256" t="n"/>
      <c r="AK240" s="256" t="n"/>
      <c r="AL240" s="256" t="n"/>
      <c r="AM240" s="256" t="n"/>
      <c r="AN240" s="256" t="n"/>
      <c r="AO240" s="256" t="n"/>
    </row>
    <row r="241">
      <c r="A241" s="239" t="n"/>
      <c r="B241" s="239" t="n"/>
      <c r="C241" s="239" t="n"/>
      <c r="D241" s="239" t="n"/>
      <c r="E241" s="239" t="n"/>
      <c r="F241" s="239" t="n"/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239" t="n"/>
      <c r="S241" s="239" t="n"/>
      <c r="T241" s="239" t="n"/>
      <c r="U241" s="239" t="n"/>
      <c r="V241" s="239" t="n"/>
      <c r="W241" s="239" t="n"/>
      <c r="X241" s="239" t="n"/>
      <c r="Y241" s="239" t="n"/>
      <c r="Z241" s="239" t="n"/>
      <c r="AA241" s="239" t="n"/>
      <c r="AB241" s="239" t="n"/>
      <c r="AC241" s="239" t="n"/>
      <c r="AD241" s="239" t="n"/>
      <c r="AE241" s="239" t="n"/>
      <c r="AF241" s="239" t="n"/>
      <c r="AG241" s="239" t="n"/>
      <c r="AH241" s="239" t="n"/>
      <c r="AI241" s="239" t="n"/>
      <c r="AJ241" s="239" t="n"/>
      <c r="AK241" s="239" t="n"/>
      <c r="AL241" s="239" t="n"/>
      <c r="AM241" s="239" t="n"/>
      <c r="AN241" s="239" t="n"/>
      <c r="AO241" s="239" t="n"/>
    </row>
    <row r="242">
      <c r="A242" s="256" t="n"/>
      <c r="B242" s="256" t="n"/>
      <c r="C242" s="256" t="n"/>
      <c r="D242" s="256" t="n"/>
      <c r="E242" s="256" t="n"/>
      <c r="F242" s="256" t="n"/>
      <c r="G242" s="256" t="n"/>
      <c r="H242" s="256" t="n"/>
      <c r="I242" s="256" t="n"/>
      <c r="J242" s="256" t="n"/>
      <c r="K242" s="256" t="n"/>
      <c r="L242" s="256" t="n"/>
      <c r="M242" s="256" t="n"/>
      <c r="N242" s="256" t="n"/>
      <c r="O242" s="256" t="n"/>
      <c r="P242" s="256" t="n"/>
      <c r="Q242" s="256" t="n"/>
      <c r="R242" s="256" t="n"/>
      <c r="S242" s="256" t="n"/>
      <c r="T242" s="256" t="n"/>
      <c r="U242" s="256" t="n"/>
      <c r="V242" s="256" t="n"/>
      <c r="W242" s="256" t="n"/>
      <c r="X242" s="256" t="n"/>
      <c r="Y242" s="256" t="n"/>
      <c r="Z242" s="256" t="n"/>
      <c r="AA242" s="256" t="n"/>
      <c r="AB242" s="256" t="n"/>
      <c r="AC242" s="256" t="n"/>
      <c r="AD242" s="256" t="n"/>
      <c r="AE242" s="256" t="n"/>
      <c r="AF242" s="256" t="n"/>
      <c r="AG242" s="256" t="n"/>
      <c r="AH242" s="256" t="n"/>
      <c r="AI242" s="256" t="n"/>
      <c r="AJ242" s="256" t="n"/>
      <c r="AK242" s="256" t="n"/>
      <c r="AL242" s="256" t="n"/>
      <c r="AM242" s="256" t="n"/>
      <c r="AN242" s="256" t="n"/>
      <c r="AO242" s="256" t="n"/>
    </row>
    <row r="243">
      <c r="A243" s="239" t="n"/>
      <c r="B243" s="239" t="n"/>
      <c r="C243" s="239" t="n"/>
      <c r="D243" s="239" t="n"/>
      <c r="E243" s="239" t="n"/>
      <c r="F243" s="239" t="n"/>
      <c r="G243" s="239" t="n"/>
      <c r="H243" s="239" t="n"/>
      <c r="I243" s="239" t="n"/>
      <c r="J243" s="239" t="n"/>
      <c r="K243" s="239" t="n"/>
      <c r="L243" s="239" t="n"/>
      <c r="M243" s="239" t="n"/>
      <c r="N243" s="239" t="n"/>
      <c r="O243" s="239" t="n"/>
      <c r="P243" s="239" t="n"/>
      <c r="Q243" s="239" t="n"/>
      <c r="R243" s="239" t="n"/>
      <c r="S243" s="239" t="n"/>
      <c r="T243" s="239" t="n"/>
      <c r="U243" s="239" t="n"/>
      <c r="V243" s="239" t="n"/>
      <c r="W243" s="239" t="n"/>
      <c r="X243" s="239" t="n"/>
      <c r="Y243" s="239" t="n"/>
      <c r="Z243" s="239" t="n"/>
      <c r="AA243" s="239" t="n"/>
      <c r="AB243" s="239" t="n"/>
      <c r="AC243" s="239" t="n"/>
      <c r="AD243" s="239" t="n"/>
      <c r="AE243" s="239" t="n"/>
      <c r="AF243" s="239" t="n"/>
      <c r="AG243" s="239" t="n"/>
      <c r="AH243" s="239" t="n"/>
      <c r="AI243" s="239" t="n"/>
      <c r="AJ243" s="239" t="n"/>
      <c r="AK243" s="239" t="n"/>
      <c r="AL243" s="239" t="n"/>
      <c r="AM243" s="239" t="n"/>
      <c r="AN243" s="239" t="n"/>
      <c r="AO243" s="239" t="n"/>
    </row>
    <row r="244">
      <c r="A244" s="256" t="n"/>
      <c r="B244" s="256" t="n"/>
      <c r="C244" s="256" t="n"/>
      <c r="D244" s="256" t="n"/>
      <c r="E244" s="256" t="n"/>
      <c r="F244" s="256" t="n"/>
      <c r="G244" s="256" t="n"/>
      <c r="H244" s="256" t="n"/>
      <c r="I244" s="256" t="n"/>
      <c r="J244" s="256" t="n"/>
      <c r="K244" s="256" t="n"/>
      <c r="L244" s="256" t="n"/>
      <c r="M244" s="256" t="n"/>
      <c r="N244" s="256" t="n"/>
      <c r="O244" s="256" t="n"/>
      <c r="P244" s="256" t="n"/>
      <c r="Q244" s="256" t="n"/>
      <c r="R244" s="256" t="n"/>
      <c r="S244" s="256" t="n"/>
      <c r="T244" s="256" t="n"/>
      <c r="U244" s="256" t="n"/>
      <c r="V244" s="256" t="n"/>
      <c r="W244" s="256" t="n"/>
      <c r="X244" s="256" t="n"/>
      <c r="Y244" s="256" t="n"/>
      <c r="Z244" s="256" t="n"/>
      <c r="AA244" s="256" t="n"/>
      <c r="AB244" s="256" t="n"/>
      <c r="AC244" s="256" t="n"/>
      <c r="AD244" s="256" t="n"/>
      <c r="AE244" s="256" t="n"/>
      <c r="AF244" s="256" t="n"/>
      <c r="AG244" s="256" t="n"/>
      <c r="AH244" s="256" t="n"/>
      <c r="AI244" s="256" t="n"/>
      <c r="AJ244" s="256" t="n"/>
      <c r="AK244" s="256" t="n"/>
      <c r="AL244" s="256" t="n"/>
      <c r="AM244" s="256" t="n"/>
      <c r="AN244" s="256" t="n"/>
      <c r="AO244" s="256" t="n"/>
    </row>
    <row r="245">
      <c r="A245" s="239" t="n"/>
      <c r="B245" s="239" t="n"/>
      <c r="C245" s="239" t="n"/>
      <c r="D245" s="239" t="n"/>
      <c r="E245" s="239" t="n"/>
      <c r="F245" s="239" t="n"/>
      <c r="G245" s="239" t="n"/>
      <c r="H245" s="239" t="n"/>
      <c r="I245" s="239" t="n"/>
      <c r="J245" s="239" t="n"/>
      <c r="K245" s="239" t="n"/>
      <c r="L245" s="239" t="n"/>
      <c r="M245" s="239" t="n"/>
      <c r="N245" s="239" t="n"/>
      <c r="O245" s="239" t="n"/>
      <c r="P245" s="239" t="n"/>
      <c r="Q245" s="239" t="n"/>
      <c r="R245" s="239" t="n"/>
      <c r="S245" s="239" t="n"/>
      <c r="T245" s="239" t="n"/>
      <c r="U245" s="239" t="n"/>
      <c r="V245" s="239" t="n"/>
      <c r="W245" s="239" t="n"/>
      <c r="X245" s="239" t="n"/>
      <c r="Y245" s="239" t="n"/>
      <c r="Z245" s="239" t="n"/>
      <c r="AA245" s="239" t="n"/>
      <c r="AB245" s="239" t="n"/>
      <c r="AC245" s="239" t="n"/>
      <c r="AD245" s="239" t="n"/>
      <c r="AE245" s="239" t="n"/>
      <c r="AF245" s="239" t="n"/>
      <c r="AG245" s="239" t="n"/>
      <c r="AH245" s="239" t="n"/>
      <c r="AI245" s="239" t="n"/>
      <c r="AJ245" s="239" t="n"/>
      <c r="AK245" s="239" t="n"/>
      <c r="AL245" s="239" t="n"/>
      <c r="AM245" s="239" t="n"/>
      <c r="AN245" s="239" t="n"/>
      <c r="AO245" s="239" t="n"/>
    </row>
    <row r="246">
      <c r="A246" s="256" t="n"/>
      <c r="B246" s="256" t="n"/>
      <c r="C246" s="256" t="n"/>
      <c r="D246" s="256" t="n"/>
      <c r="E246" s="256" t="n"/>
      <c r="F246" s="256" t="n"/>
      <c r="G246" s="256" t="n"/>
      <c r="H246" s="256" t="n"/>
      <c r="I246" s="256" t="n"/>
      <c r="J246" s="256" t="n"/>
      <c r="K246" s="256" t="n"/>
      <c r="L246" s="256" t="n"/>
      <c r="M246" s="256" t="n"/>
      <c r="N246" s="256" t="n"/>
      <c r="O246" s="256" t="n"/>
      <c r="P246" s="256" t="n"/>
      <c r="Q246" s="256" t="n"/>
      <c r="R246" s="256" t="n"/>
      <c r="S246" s="256" t="n"/>
      <c r="T246" s="256" t="n"/>
      <c r="U246" s="256" t="n"/>
      <c r="V246" s="256" t="n"/>
      <c r="W246" s="256" t="n"/>
      <c r="X246" s="256" t="n"/>
      <c r="Y246" s="256" t="n"/>
      <c r="Z246" s="256" t="n"/>
      <c r="AA246" s="256" t="n"/>
      <c r="AB246" s="256" t="n"/>
      <c r="AC246" s="256" t="n"/>
      <c r="AD246" s="256" t="n"/>
      <c r="AE246" s="256" t="n"/>
      <c r="AF246" s="256" t="n"/>
      <c r="AG246" s="256" t="n"/>
      <c r="AH246" s="256" t="n"/>
      <c r="AI246" s="256" t="n"/>
      <c r="AJ246" s="256" t="n"/>
      <c r="AK246" s="256" t="n"/>
      <c r="AL246" s="256" t="n"/>
      <c r="AM246" s="256" t="n"/>
      <c r="AN246" s="256" t="n"/>
      <c r="AO246" s="256" t="n"/>
    </row>
    <row r="247">
      <c r="A247" s="239" t="n"/>
      <c r="B247" s="239" t="n"/>
      <c r="C247" s="239" t="n"/>
      <c r="D247" s="239" t="n"/>
      <c r="E247" s="239" t="n"/>
      <c r="F247" s="239" t="n"/>
      <c r="G247" s="239" t="n"/>
      <c r="H247" s="239" t="n"/>
      <c r="I247" s="239" t="n"/>
      <c r="J247" s="239" t="n"/>
      <c r="K247" s="239" t="n"/>
      <c r="L247" s="239" t="n"/>
      <c r="M247" s="239" t="n"/>
      <c r="N247" s="239" t="n"/>
      <c r="O247" s="239" t="n"/>
      <c r="P247" s="239" t="n"/>
      <c r="Q247" s="239" t="n"/>
      <c r="R247" s="239" t="n"/>
      <c r="S247" s="239" t="n"/>
      <c r="T247" s="239" t="n"/>
      <c r="U247" s="239" t="n"/>
      <c r="V247" s="239" t="n"/>
      <c r="W247" s="239" t="n"/>
      <c r="X247" s="239" t="n"/>
      <c r="Y247" s="239" t="n"/>
      <c r="Z247" s="239" t="n"/>
      <c r="AA247" s="239" t="n"/>
      <c r="AB247" s="239" t="n"/>
      <c r="AC247" s="239" t="n"/>
      <c r="AD247" s="239" t="n"/>
      <c r="AE247" s="239" t="n"/>
      <c r="AF247" s="239" t="n"/>
      <c r="AG247" s="239" t="n"/>
      <c r="AH247" s="239" t="n"/>
      <c r="AI247" s="239" t="n"/>
      <c r="AJ247" s="239" t="n"/>
      <c r="AK247" s="239" t="n"/>
      <c r="AL247" s="239" t="n"/>
      <c r="AM247" s="239" t="n"/>
      <c r="AN247" s="239" t="n"/>
      <c r="AO247" s="239" t="n"/>
    </row>
    <row r="248">
      <c r="A248" s="256" t="n"/>
      <c r="B248" s="256" t="n"/>
      <c r="C248" s="256" t="n"/>
      <c r="D248" s="256" t="n"/>
      <c r="E248" s="256" t="n"/>
      <c r="F248" s="256" t="n"/>
      <c r="G248" s="256" t="n"/>
      <c r="H248" s="256" t="n"/>
      <c r="I248" s="256" t="n"/>
      <c r="J248" s="256" t="n"/>
      <c r="K248" s="256" t="n"/>
      <c r="L248" s="256" t="n"/>
      <c r="M248" s="256" t="n"/>
      <c r="N248" s="256" t="n"/>
      <c r="O248" s="256" t="n"/>
      <c r="P248" s="256" t="n"/>
      <c r="Q248" s="256" t="n"/>
      <c r="R248" s="256" t="n"/>
      <c r="S248" s="256" t="n"/>
      <c r="T248" s="256" t="n"/>
      <c r="U248" s="256" t="n"/>
      <c r="V248" s="256" t="n"/>
      <c r="W248" s="256" t="n"/>
      <c r="X248" s="256" t="n"/>
      <c r="Y248" s="256" t="n"/>
      <c r="Z248" s="256" t="n"/>
      <c r="AA248" s="256" t="n"/>
      <c r="AB248" s="256" t="n"/>
      <c r="AC248" s="256" t="n"/>
      <c r="AD248" s="256" t="n"/>
      <c r="AE248" s="256" t="n"/>
      <c r="AF248" s="256" t="n"/>
      <c r="AG248" s="256" t="n"/>
      <c r="AH248" s="256" t="n"/>
      <c r="AI248" s="256" t="n"/>
      <c r="AJ248" s="256" t="n"/>
      <c r="AK248" s="256" t="n"/>
      <c r="AL248" s="256" t="n"/>
      <c r="AM248" s="256" t="n"/>
      <c r="AN248" s="256" t="n"/>
      <c r="AO248" s="256" t="n"/>
    </row>
    <row r="249">
      <c r="A249" s="239" t="n"/>
      <c r="B249" s="239" t="n"/>
      <c r="C249" s="239" t="n"/>
      <c r="D249" s="239" t="n"/>
      <c r="E249" s="239" t="n"/>
      <c r="F249" s="239" t="n"/>
      <c r="G249" s="239" t="n"/>
      <c r="H249" s="239" t="n"/>
      <c r="I249" s="239" t="n"/>
      <c r="J249" s="239" t="n"/>
      <c r="K249" s="239" t="n"/>
      <c r="L249" s="239" t="n"/>
      <c r="M249" s="239" t="n"/>
      <c r="N249" s="239" t="n"/>
      <c r="O249" s="239" t="n"/>
      <c r="P249" s="239" t="n"/>
      <c r="Q249" s="239" t="n"/>
      <c r="R249" s="239" t="n"/>
      <c r="S249" s="239" t="n"/>
      <c r="T249" s="239" t="n"/>
      <c r="U249" s="239" t="n"/>
      <c r="V249" s="239" t="n"/>
      <c r="W249" s="239" t="n"/>
      <c r="X249" s="239" t="n"/>
      <c r="Y249" s="239" t="n"/>
      <c r="Z249" s="239" t="n"/>
      <c r="AA249" s="239" t="n"/>
      <c r="AB249" s="239" t="n"/>
      <c r="AC249" s="239" t="n"/>
      <c r="AD249" s="239" t="n"/>
      <c r="AE249" s="239" t="n"/>
      <c r="AF249" s="239" t="n"/>
      <c r="AG249" s="239" t="n"/>
      <c r="AH249" s="239" t="n"/>
      <c r="AI249" s="239" t="n"/>
      <c r="AJ249" s="239" t="n"/>
      <c r="AK249" s="239" t="n"/>
      <c r="AL249" s="239" t="n"/>
      <c r="AM249" s="239" t="n"/>
      <c r="AN249" s="239" t="n"/>
      <c r="AO249" s="239" t="n"/>
    </row>
    <row r="250">
      <c r="A250" s="256" t="n"/>
      <c r="B250" s="256" t="n"/>
      <c r="C250" s="256" t="n"/>
      <c r="D250" s="256" t="n"/>
      <c r="E250" s="256" t="n"/>
      <c r="F250" s="256" t="n"/>
      <c r="G250" s="256" t="n"/>
      <c r="H250" s="256" t="n"/>
      <c r="I250" s="256" t="n"/>
      <c r="J250" s="256" t="n"/>
      <c r="K250" s="256" t="n"/>
      <c r="L250" s="256" t="n"/>
      <c r="M250" s="256" t="n"/>
      <c r="N250" s="256" t="n"/>
      <c r="O250" s="256" t="n"/>
      <c r="P250" s="256" t="n"/>
      <c r="Q250" s="256" t="n"/>
      <c r="R250" s="256" t="n"/>
      <c r="S250" s="256" t="n"/>
      <c r="T250" s="256" t="n"/>
      <c r="U250" s="256" t="n"/>
      <c r="V250" s="256" t="n"/>
      <c r="W250" s="256" t="n"/>
      <c r="X250" s="256" t="n"/>
      <c r="Y250" s="256" t="n"/>
      <c r="Z250" s="256" t="n"/>
      <c r="AA250" s="256" t="n"/>
      <c r="AB250" s="256" t="n"/>
      <c r="AC250" s="256" t="n"/>
      <c r="AD250" s="256" t="n"/>
      <c r="AE250" s="256" t="n"/>
      <c r="AF250" s="256" t="n"/>
      <c r="AG250" s="256" t="n"/>
      <c r="AH250" s="256" t="n"/>
      <c r="AI250" s="256" t="n"/>
      <c r="AJ250" s="256" t="n"/>
      <c r="AK250" s="256" t="n"/>
      <c r="AL250" s="256" t="n"/>
      <c r="AM250" s="256" t="n"/>
      <c r="AN250" s="256" t="n"/>
      <c r="AO250" s="256" t="n"/>
    </row>
    <row r="251">
      <c r="A251" s="239" t="n"/>
      <c r="B251" s="239" t="n"/>
      <c r="C251" s="239" t="n"/>
      <c r="D251" s="239" t="n"/>
      <c r="E251" s="239" t="n"/>
      <c r="F251" s="239" t="n"/>
      <c r="G251" s="239" t="n"/>
      <c r="H251" s="239" t="n"/>
      <c r="I251" s="239" t="n"/>
      <c r="J251" s="239" t="n"/>
      <c r="K251" s="239" t="n"/>
      <c r="L251" s="239" t="n"/>
      <c r="M251" s="239" t="n"/>
      <c r="N251" s="239" t="n"/>
      <c r="O251" s="239" t="n"/>
      <c r="P251" s="239" t="n"/>
      <c r="Q251" s="239" t="n"/>
      <c r="R251" s="239" t="n"/>
      <c r="S251" s="239" t="n"/>
      <c r="T251" s="239" t="n"/>
      <c r="U251" s="239" t="n"/>
      <c r="V251" s="239" t="n"/>
      <c r="W251" s="239" t="n"/>
      <c r="X251" s="239" t="n"/>
      <c r="Y251" s="239" t="n"/>
      <c r="Z251" s="239" t="n"/>
      <c r="AA251" s="239" t="n"/>
      <c r="AB251" s="239" t="n"/>
      <c r="AC251" s="239" t="n"/>
      <c r="AD251" s="239" t="n"/>
      <c r="AE251" s="239" t="n"/>
      <c r="AF251" s="239" t="n"/>
      <c r="AG251" s="239" t="n"/>
      <c r="AH251" s="239" t="n"/>
      <c r="AI251" s="239" t="n"/>
      <c r="AJ251" s="239" t="n"/>
      <c r="AK251" s="239" t="n"/>
      <c r="AL251" s="239" t="n"/>
      <c r="AM251" s="239" t="n"/>
      <c r="AN251" s="239" t="n"/>
      <c r="AO251" s="239" t="n"/>
    </row>
    <row r="252">
      <c r="A252" s="256" t="n"/>
      <c r="B252" s="256" t="n"/>
      <c r="C252" s="256" t="n"/>
      <c r="D252" s="256" t="n"/>
      <c r="E252" s="256" t="n"/>
      <c r="F252" s="256" t="n"/>
      <c r="G252" s="256" t="n"/>
      <c r="H252" s="256" t="n"/>
      <c r="I252" s="256" t="n"/>
      <c r="J252" s="256" t="n"/>
      <c r="K252" s="256" t="n"/>
      <c r="L252" s="256" t="n"/>
      <c r="M252" s="256" t="n"/>
      <c r="N252" s="256" t="n"/>
      <c r="O252" s="256" t="n"/>
      <c r="P252" s="256" t="n"/>
      <c r="Q252" s="256" t="n"/>
      <c r="R252" s="256" t="n"/>
      <c r="S252" s="256" t="n"/>
      <c r="T252" s="256" t="n"/>
      <c r="U252" s="256" t="n"/>
      <c r="V252" s="256" t="n"/>
      <c r="W252" s="256" t="n"/>
      <c r="X252" s="256" t="n"/>
      <c r="Y252" s="256" t="n"/>
      <c r="Z252" s="256" t="n"/>
      <c r="AA252" s="256" t="n"/>
      <c r="AB252" s="256" t="n"/>
      <c r="AC252" s="256" t="n"/>
      <c r="AD252" s="256" t="n"/>
      <c r="AE252" s="256" t="n"/>
      <c r="AF252" s="256" t="n"/>
      <c r="AG252" s="256" t="n"/>
      <c r="AH252" s="256" t="n"/>
      <c r="AI252" s="256" t="n"/>
      <c r="AJ252" s="256" t="n"/>
      <c r="AK252" s="256" t="n"/>
      <c r="AL252" s="256" t="n"/>
      <c r="AM252" s="256" t="n"/>
      <c r="AN252" s="256" t="n"/>
      <c r="AO252" s="256" t="n"/>
    </row>
    <row r="253">
      <c r="A253" s="239" t="n"/>
      <c r="B253" s="239" t="n"/>
      <c r="C253" s="239" t="n"/>
      <c r="D253" s="239" t="n"/>
      <c r="E253" s="239" t="n"/>
      <c r="F253" s="239" t="n"/>
      <c r="G253" s="239" t="n"/>
      <c r="H253" s="239" t="n"/>
      <c r="I253" s="239" t="n"/>
      <c r="J253" s="239" t="n"/>
      <c r="K253" s="239" t="n"/>
      <c r="L253" s="239" t="n"/>
      <c r="M253" s="239" t="n"/>
      <c r="N253" s="239" t="n"/>
      <c r="O253" s="239" t="n"/>
      <c r="P253" s="239" t="n"/>
      <c r="Q253" s="239" t="n"/>
      <c r="R253" s="239" t="n"/>
      <c r="S253" s="239" t="n"/>
      <c r="T253" s="239" t="n"/>
      <c r="U253" s="239" t="n"/>
      <c r="V253" s="239" t="n"/>
      <c r="W253" s="239" t="n"/>
      <c r="X253" s="239" t="n"/>
      <c r="Y253" s="239" t="n"/>
      <c r="Z253" s="239" t="n"/>
      <c r="AA253" s="239" t="n"/>
      <c r="AB253" s="239" t="n"/>
      <c r="AC253" s="239" t="n"/>
      <c r="AD253" s="239" t="n"/>
      <c r="AE253" s="239" t="n"/>
      <c r="AF253" s="239" t="n"/>
      <c r="AG253" s="239" t="n"/>
      <c r="AH253" s="239" t="n"/>
      <c r="AI253" s="239" t="n"/>
      <c r="AJ253" s="239" t="n"/>
      <c r="AK253" s="239" t="n"/>
      <c r="AL253" s="239" t="n"/>
      <c r="AM253" s="239" t="n"/>
      <c r="AN253" s="239" t="n"/>
      <c r="AO253" s="239" t="n"/>
    </row>
    <row r="254">
      <c r="A254" s="256" t="n"/>
      <c r="B254" s="256" t="n"/>
      <c r="C254" s="256" t="n"/>
      <c r="D254" s="256" t="n"/>
      <c r="E254" s="256" t="n"/>
      <c r="F254" s="256" t="n"/>
      <c r="G254" s="256" t="n"/>
      <c r="H254" s="256" t="n"/>
      <c r="I254" s="256" t="n"/>
      <c r="J254" s="256" t="n"/>
      <c r="K254" s="256" t="n"/>
      <c r="L254" s="256" t="n"/>
      <c r="M254" s="256" t="n"/>
      <c r="N254" s="256" t="n"/>
      <c r="O254" s="256" t="n"/>
      <c r="P254" s="256" t="n"/>
      <c r="Q254" s="256" t="n"/>
      <c r="R254" s="256" t="n"/>
      <c r="S254" s="256" t="n"/>
      <c r="T254" s="256" t="n"/>
      <c r="U254" s="256" t="n"/>
      <c r="V254" s="256" t="n"/>
      <c r="W254" s="256" t="n"/>
      <c r="X254" s="256" t="n"/>
      <c r="Y254" s="256" t="n"/>
      <c r="Z254" s="256" t="n"/>
      <c r="AA254" s="256" t="n"/>
      <c r="AB254" s="256" t="n"/>
      <c r="AC254" s="256" t="n"/>
      <c r="AD254" s="256" t="n"/>
      <c r="AE254" s="256" t="n"/>
      <c r="AF254" s="256" t="n"/>
      <c r="AG254" s="256" t="n"/>
      <c r="AH254" s="256" t="n"/>
      <c r="AI254" s="256" t="n"/>
      <c r="AJ254" s="256" t="n"/>
      <c r="AK254" s="256" t="n"/>
      <c r="AL254" s="256" t="n"/>
      <c r="AM254" s="256" t="n"/>
      <c r="AN254" s="256" t="n"/>
      <c r="AO254" s="256" t="n"/>
    </row>
    <row r="255">
      <c r="A255" s="239" t="n"/>
      <c r="B255" s="239" t="n"/>
      <c r="C255" s="239" t="n"/>
      <c r="D255" s="239" t="n"/>
      <c r="E255" s="239" t="n"/>
      <c r="F255" s="239" t="n"/>
      <c r="G255" s="239" t="n"/>
      <c r="H255" s="239" t="n"/>
      <c r="I255" s="239" t="n"/>
      <c r="J255" s="239" t="n"/>
      <c r="K255" s="239" t="n"/>
      <c r="L255" s="239" t="n"/>
      <c r="M255" s="239" t="n"/>
      <c r="N255" s="239" t="n"/>
      <c r="O255" s="239" t="n"/>
      <c r="P255" s="239" t="n"/>
      <c r="Q255" s="239" t="n"/>
      <c r="R255" s="239" t="n"/>
      <c r="S255" s="239" t="n"/>
      <c r="T255" s="239" t="n"/>
      <c r="U255" s="239" t="n"/>
      <c r="V255" s="239" t="n"/>
      <c r="W255" s="239" t="n"/>
      <c r="X255" s="239" t="n"/>
      <c r="Y255" s="239" t="n"/>
      <c r="Z255" s="239" t="n"/>
      <c r="AA255" s="239" t="n"/>
      <c r="AB255" s="239" t="n"/>
      <c r="AC255" s="239" t="n"/>
      <c r="AD255" s="239" t="n"/>
      <c r="AE255" s="239" t="n"/>
      <c r="AF255" s="239" t="n"/>
      <c r="AG255" s="239" t="n"/>
      <c r="AH255" s="239" t="n"/>
      <c r="AI255" s="239" t="n"/>
      <c r="AJ255" s="239" t="n"/>
      <c r="AK255" s="239" t="n"/>
      <c r="AL255" s="239" t="n"/>
      <c r="AM255" s="239" t="n"/>
      <c r="AN255" s="239" t="n"/>
      <c r="AO255" s="239" t="n"/>
    </row>
    <row r="256">
      <c r="A256" s="256" t="n"/>
      <c r="B256" s="256" t="n"/>
      <c r="C256" s="256" t="n"/>
      <c r="D256" s="256" t="n"/>
      <c r="E256" s="256" t="n"/>
      <c r="F256" s="256" t="n"/>
      <c r="G256" s="256" t="n"/>
      <c r="H256" s="256" t="n"/>
      <c r="I256" s="256" t="n"/>
      <c r="J256" s="256" t="n"/>
      <c r="K256" s="256" t="n"/>
      <c r="L256" s="256" t="n"/>
      <c r="M256" s="256" t="n"/>
      <c r="N256" s="256" t="n"/>
      <c r="O256" s="256" t="n"/>
      <c r="P256" s="256" t="n"/>
      <c r="Q256" s="256" t="n"/>
      <c r="R256" s="256" t="n"/>
      <c r="S256" s="256" t="n"/>
      <c r="T256" s="256" t="n"/>
      <c r="U256" s="256" t="n"/>
      <c r="V256" s="256" t="n"/>
      <c r="W256" s="256" t="n"/>
      <c r="X256" s="256" t="n"/>
      <c r="Y256" s="256" t="n"/>
      <c r="Z256" s="256" t="n"/>
      <c r="AA256" s="256" t="n"/>
      <c r="AB256" s="256" t="n"/>
      <c r="AC256" s="256" t="n"/>
      <c r="AD256" s="256" t="n"/>
      <c r="AE256" s="256" t="n"/>
      <c r="AF256" s="256" t="n"/>
      <c r="AG256" s="256" t="n"/>
      <c r="AH256" s="256" t="n"/>
      <c r="AI256" s="256" t="n"/>
      <c r="AJ256" s="256" t="n"/>
      <c r="AK256" s="256" t="n"/>
      <c r="AL256" s="256" t="n"/>
      <c r="AM256" s="256" t="n"/>
      <c r="AN256" s="256" t="n"/>
      <c r="AO256" s="256" t="n"/>
    </row>
    <row r="257">
      <c r="A257" s="239" t="n"/>
      <c r="B257" s="239" t="n"/>
      <c r="C257" s="239" t="n"/>
      <c r="D257" s="239" t="n"/>
      <c r="E257" s="239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239" t="n"/>
      <c r="Q257" s="239" t="n"/>
      <c r="R257" s="239" t="n"/>
      <c r="S257" s="239" t="n"/>
      <c r="T257" s="239" t="n"/>
      <c r="U257" s="239" t="n"/>
      <c r="V257" s="239" t="n"/>
      <c r="W257" s="239" t="n"/>
      <c r="X257" s="239" t="n"/>
      <c r="Y257" s="239" t="n"/>
      <c r="Z257" s="239" t="n"/>
      <c r="AA257" s="239" t="n"/>
      <c r="AB257" s="239" t="n"/>
      <c r="AC257" s="239" t="n"/>
      <c r="AD257" s="239" t="n"/>
      <c r="AE257" s="239" t="n"/>
      <c r="AF257" s="239" t="n"/>
      <c r="AG257" s="239" t="n"/>
      <c r="AH257" s="239" t="n"/>
      <c r="AI257" s="239" t="n"/>
      <c r="AJ257" s="239" t="n"/>
      <c r="AK257" s="239" t="n"/>
      <c r="AL257" s="239" t="n"/>
      <c r="AM257" s="239" t="n"/>
      <c r="AN257" s="239" t="n"/>
      <c r="AO257" s="239" t="n"/>
    </row>
    <row r="258">
      <c r="A258" s="256" t="n"/>
      <c r="B258" s="256" t="n"/>
      <c r="C258" s="256" t="n"/>
      <c r="D258" s="256" t="n"/>
      <c r="E258" s="256" t="n"/>
      <c r="F258" s="256" t="n"/>
      <c r="G258" s="256" t="n"/>
      <c r="H258" s="256" t="n"/>
      <c r="I258" s="256" t="n"/>
      <c r="J258" s="256" t="n"/>
      <c r="K258" s="256" t="n"/>
      <c r="L258" s="256" t="n"/>
      <c r="M258" s="256" t="n"/>
      <c r="N258" s="256" t="n"/>
      <c r="O258" s="256" t="n"/>
      <c r="P258" s="256" t="n"/>
      <c r="Q258" s="256" t="n"/>
      <c r="R258" s="256" t="n"/>
      <c r="S258" s="256" t="n"/>
      <c r="T258" s="256" t="n"/>
      <c r="U258" s="256" t="n"/>
      <c r="V258" s="256" t="n"/>
      <c r="W258" s="256" t="n"/>
      <c r="X258" s="256" t="n"/>
      <c r="Y258" s="256" t="n"/>
      <c r="Z258" s="256" t="n"/>
      <c r="AA258" s="256" t="n"/>
      <c r="AB258" s="256" t="n"/>
      <c r="AC258" s="256" t="n"/>
      <c r="AD258" s="256" t="n"/>
      <c r="AE258" s="256" t="n"/>
      <c r="AF258" s="256" t="n"/>
      <c r="AG258" s="256" t="n"/>
      <c r="AH258" s="256" t="n"/>
      <c r="AI258" s="256" t="n"/>
      <c r="AJ258" s="256" t="n"/>
      <c r="AK258" s="256" t="n"/>
      <c r="AL258" s="256" t="n"/>
      <c r="AM258" s="256" t="n"/>
      <c r="AN258" s="256" t="n"/>
      <c r="AO258" s="256" t="n"/>
    </row>
    <row r="259">
      <c r="A259" s="239" t="n"/>
      <c r="B259" s="239" t="n"/>
      <c r="C259" s="239" t="n"/>
      <c r="D259" s="239" t="n"/>
      <c r="E259" s="239" t="n"/>
      <c r="F259" s="239" t="n"/>
      <c r="G259" s="239" t="n"/>
      <c r="H259" s="239" t="n"/>
      <c r="I259" s="239" t="n"/>
      <c r="J259" s="239" t="n"/>
      <c r="K259" s="239" t="n"/>
      <c r="L259" s="239" t="n"/>
      <c r="M259" s="239" t="n"/>
      <c r="N259" s="239" t="n"/>
      <c r="O259" s="239" t="n"/>
      <c r="P259" s="239" t="n"/>
      <c r="Q259" s="239" t="n"/>
      <c r="R259" s="239" t="n"/>
      <c r="S259" s="239" t="n"/>
      <c r="T259" s="239" t="n"/>
      <c r="U259" s="239" t="n"/>
      <c r="V259" s="239" t="n"/>
      <c r="W259" s="239" t="n"/>
      <c r="X259" s="239" t="n"/>
      <c r="Y259" s="239" t="n"/>
      <c r="Z259" s="239" t="n"/>
      <c r="AA259" s="239" t="n"/>
      <c r="AB259" s="239" t="n"/>
      <c r="AC259" s="239" t="n"/>
      <c r="AD259" s="239" t="n"/>
      <c r="AE259" s="239" t="n"/>
      <c r="AF259" s="239" t="n"/>
      <c r="AG259" s="239" t="n"/>
      <c r="AH259" s="239" t="n"/>
      <c r="AI259" s="239" t="n"/>
      <c r="AJ259" s="239" t="n"/>
      <c r="AK259" s="239" t="n"/>
      <c r="AL259" s="239" t="n"/>
      <c r="AM259" s="239" t="n"/>
      <c r="AN259" s="239" t="n"/>
      <c r="AO259" s="239" t="n"/>
    </row>
    <row r="260">
      <c r="A260" s="256" t="n"/>
      <c r="B260" s="256" t="n"/>
      <c r="C260" s="256" t="n"/>
      <c r="D260" s="256" t="n"/>
      <c r="E260" s="256" t="n"/>
      <c r="F260" s="256" t="n"/>
      <c r="G260" s="256" t="n"/>
      <c r="H260" s="256" t="n"/>
      <c r="I260" s="256" t="n"/>
      <c r="J260" s="256" t="n"/>
      <c r="K260" s="256" t="n"/>
      <c r="L260" s="256" t="n"/>
      <c r="M260" s="256" t="n"/>
      <c r="N260" s="256" t="n"/>
      <c r="O260" s="256" t="n"/>
      <c r="P260" s="256" t="n"/>
      <c r="Q260" s="256" t="n"/>
      <c r="R260" s="256" t="n"/>
      <c r="S260" s="256" t="n"/>
      <c r="T260" s="256" t="n"/>
      <c r="U260" s="256" t="n"/>
      <c r="V260" s="256" t="n"/>
      <c r="W260" s="256" t="n"/>
      <c r="X260" s="256" t="n"/>
      <c r="Y260" s="256" t="n"/>
      <c r="Z260" s="256" t="n"/>
      <c r="AA260" s="256" t="n"/>
      <c r="AB260" s="256" t="n"/>
      <c r="AC260" s="256" t="n"/>
      <c r="AD260" s="256" t="n"/>
      <c r="AE260" s="256" t="n"/>
      <c r="AF260" s="256" t="n"/>
      <c r="AG260" s="256" t="n"/>
      <c r="AH260" s="256" t="n"/>
      <c r="AI260" s="256" t="n"/>
      <c r="AJ260" s="256" t="n"/>
      <c r="AK260" s="256" t="n"/>
      <c r="AL260" s="256" t="n"/>
      <c r="AM260" s="256" t="n"/>
      <c r="AN260" s="256" t="n"/>
      <c r="AO260" s="256" t="n"/>
    </row>
    <row r="261">
      <c r="A261" s="239" t="n"/>
      <c r="B261" s="239" t="n"/>
      <c r="C261" s="239" t="n"/>
      <c r="D261" s="239" t="n"/>
      <c r="E261" s="239" t="n"/>
      <c r="F261" s="239" t="n"/>
      <c r="G261" s="239" t="n"/>
      <c r="H261" s="239" t="n"/>
      <c r="I261" s="239" t="n"/>
      <c r="J261" s="239" t="n"/>
      <c r="K261" s="239" t="n"/>
      <c r="L261" s="239" t="n"/>
      <c r="M261" s="239" t="n"/>
      <c r="N261" s="239" t="n"/>
      <c r="O261" s="239" t="n"/>
      <c r="P261" s="239" t="n"/>
      <c r="Q261" s="239" t="n"/>
      <c r="R261" s="239" t="n"/>
      <c r="S261" s="239" t="n"/>
      <c r="T261" s="239" t="n"/>
      <c r="U261" s="239" t="n"/>
      <c r="V261" s="239" t="n"/>
      <c r="W261" s="239" t="n"/>
      <c r="X261" s="239" t="n"/>
      <c r="Y261" s="239" t="n"/>
      <c r="Z261" s="239" t="n"/>
      <c r="AA261" s="239" t="n"/>
      <c r="AB261" s="239" t="n"/>
      <c r="AC261" s="239" t="n"/>
      <c r="AD261" s="239" t="n"/>
      <c r="AE261" s="239" t="n"/>
      <c r="AF261" s="239" t="n"/>
      <c r="AG261" s="239" t="n"/>
      <c r="AH261" s="239" t="n"/>
      <c r="AI261" s="239" t="n"/>
      <c r="AJ261" s="239" t="n"/>
      <c r="AK261" s="239" t="n"/>
      <c r="AL261" s="239" t="n"/>
      <c r="AM261" s="239" t="n"/>
      <c r="AN261" s="239" t="n"/>
      <c r="AO261" s="239" t="n"/>
    </row>
    <row r="262">
      <c r="A262" s="256" t="n"/>
      <c r="B262" s="256" t="n"/>
      <c r="C262" s="256" t="n"/>
      <c r="D262" s="256" t="n"/>
      <c r="E262" s="256" t="n"/>
      <c r="F262" s="256" t="n"/>
      <c r="G262" s="256" t="n"/>
      <c r="H262" s="256" t="n"/>
      <c r="I262" s="256" t="n"/>
      <c r="J262" s="256" t="n"/>
      <c r="K262" s="256" t="n"/>
      <c r="L262" s="256" t="n"/>
      <c r="M262" s="256" t="n"/>
      <c r="N262" s="256" t="n"/>
      <c r="O262" s="256" t="n"/>
      <c r="P262" s="256" t="n"/>
      <c r="Q262" s="256" t="n"/>
      <c r="R262" s="256" t="n"/>
      <c r="S262" s="256" t="n"/>
      <c r="T262" s="256" t="n"/>
      <c r="U262" s="256" t="n"/>
      <c r="V262" s="256" t="n"/>
      <c r="W262" s="256" t="n"/>
      <c r="X262" s="256" t="n"/>
      <c r="Y262" s="256" t="n"/>
      <c r="Z262" s="256" t="n"/>
      <c r="AA262" s="256" t="n"/>
      <c r="AB262" s="256" t="n"/>
      <c r="AC262" s="256" t="n"/>
      <c r="AD262" s="256" t="n"/>
      <c r="AE262" s="256" t="n"/>
      <c r="AF262" s="256" t="n"/>
      <c r="AG262" s="256" t="n"/>
      <c r="AH262" s="256" t="n"/>
      <c r="AI262" s="256" t="n"/>
      <c r="AJ262" s="256" t="n"/>
      <c r="AK262" s="256" t="n"/>
      <c r="AL262" s="256" t="n"/>
      <c r="AM262" s="256" t="n"/>
      <c r="AN262" s="256" t="n"/>
      <c r="AO262" s="256" t="n"/>
    </row>
    <row r="263">
      <c r="A263" s="239" t="n"/>
      <c r="B263" s="239" t="n"/>
      <c r="C263" s="239" t="n"/>
      <c r="D263" s="239" t="n"/>
      <c r="E263" s="239" t="n"/>
      <c r="F263" s="239" t="n"/>
      <c r="G263" s="239" t="n"/>
      <c r="H263" s="239" t="n"/>
      <c r="I263" s="239" t="n"/>
      <c r="J263" s="239" t="n"/>
      <c r="K263" s="239" t="n"/>
      <c r="L263" s="239" t="n"/>
      <c r="M263" s="239" t="n"/>
      <c r="N263" s="239" t="n"/>
      <c r="O263" s="239" t="n"/>
      <c r="P263" s="239" t="n"/>
      <c r="Q263" s="239" t="n"/>
      <c r="R263" s="239" t="n"/>
      <c r="S263" s="239" t="n"/>
      <c r="T263" s="239" t="n"/>
      <c r="U263" s="239" t="n"/>
      <c r="V263" s="239" t="n"/>
      <c r="W263" s="239" t="n"/>
      <c r="X263" s="239" t="n"/>
      <c r="Y263" s="239" t="n"/>
      <c r="Z263" s="239" t="n"/>
      <c r="AA263" s="239" t="n"/>
      <c r="AB263" s="239" t="n"/>
      <c r="AC263" s="239" t="n"/>
      <c r="AD263" s="239" t="n"/>
      <c r="AE263" s="239" t="n"/>
      <c r="AF263" s="239" t="n"/>
      <c r="AG263" s="239" t="n"/>
      <c r="AH263" s="239" t="n"/>
      <c r="AI263" s="239" t="n"/>
      <c r="AJ263" s="239" t="n"/>
      <c r="AK263" s="239" t="n"/>
      <c r="AL263" s="239" t="n"/>
      <c r="AM263" s="239" t="n"/>
      <c r="AN263" s="239" t="n"/>
      <c r="AO263" s="239" t="n"/>
    </row>
    <row r="264">
      <c r="A264" s="256" t="n"/>
      <c r="B264" s="256" t="n"/>
      <c r="C264" s="256" t="n"/>
      <c r="D264" s="256" t="n"/>
      <c r="E264" s="256" t="n"/>
      <c r="F264" s="256" t="n"/>
      <c r="G264" s="256" t="n"/>
      <c r="H264" s="256" t="n"/>
      <c r="I264" s="256" t="n"/>
      <c r="J264" s="256" t="n"/>
      <c r="K264" s="256" t="n"/>
      <c r="L264" s="256" t="n"/>
      <c r="M264" s="256" t="n"/>
      <c r="N264" s="256" t="n"/>
      <c r="O264" s="256" t="n"/>
      <c r="P264" s="256" t="n"/>
      <c r="Q264" s="256" t="n"/>
      <c r="R264" s="256" t="n"/>
      <c r="S264" s="256" t="n"/>
      <c r="T264" s="256" t="n"/>
      <c r="U264" s="256" t="n"/>
      <c r="V264" s="256" t="n"/>
      <c r="W264" s="256" t="n"/>
      <c r="X264" s="256" t="n"/>
      <c r="Y264" s="256" t="n"/>
      <c r="Z264" s="256" t="n"/>
      <c r="AA264" s="256" t="n"/>
      <c r="AB264" s="256" t="n"/>
      <c r="AC264" s="256" t="n"/>
      <c r="AD264" s="256" t="n"/>
      <c r="AE264" s="256" t="n"/>
      <c r="AF264" s="256" t="n"/>
      <c r="AG264" s="256" t="n"/>
      <c r="AH264" s="256" t="n"/>
      <c r="AI264" s="256" t="n"/>
      <c r="AJ264" s="256" t="n"/>
      <c r="AK264" s="256" t="n"/>
      <c r="AL264" s="256" t="n"/>
      <c r="AM264" s="256" t="n"/>
      <c r="AN264" s="256" t="n"/>
      <c r="AO264" s="256" t="n"/>
    </row>
    <row r="265">
      <c r="A265" s="239" t="n"/>
      <c r="B265" s="239" t="n"/>
      <c r="C265" s="239" t="n"/>
      <c r="D265" s="239" t="n"/>
      <c r="E265" s="239" t="n"/>
      <c r="F265" s="239" t="n"/>
      <c r="G265" s="239" t="n"/>
      <c r="H265" s="239" t="n"/>
      <c r="I265" s="239" t="n"/>
      <c r="J265" s="239" t="n"/>
      <c r="K265" s="239" t="n"/>
      <c r="L265" s="239" t="n"/>
      <c r="M265" s="239" t="n"/>
      <c r="N265" s="239" t="n"/>
      <c r="O265" s="239" t="n"/>
      <c r="P265" s="239" t="n"/>
      <c r="Q265" s="239" t="n"/>
      <c r="R265" s="239" t="n"/>
      <c r="S265" s="239" t="n"/>
      <c r="T265" s="239" t="n"/>
      <c r="U265" s="239" t="n"/>
      <c r="V265" s="239" t="n"/>
      <c r="W265" s="239" t="n"/>
      <c r="X265" s="239" t="n"/>
      <c r="Y265" s="239" t="n"/>
      <c r="Z265" s="239" t="n"/>
      <c r="AA265" s="239" t="n"/>
      <c r="AB265" s="239" t="n"/>
      <c r="AC265" s="239" t="n"/>
      <c r="AD265" s="239" t="n"/>
      <c r="AE265" s="239" t="n"/>
      <c r="AF265" s="239" t="n"/>
      <c r="AG265" s="239" t="n"/>
      <c r="AH265" s="239" t="n"/>
      <c r="AI265" s="239" t="n"/>
      <c r="AJ265" s="239" t="n"/>
      <c r="AK265" s="239" t="n"/>
      <c r="AL265" s="239" t="n"/>
      <c r="AM265" s="239" t="n"/>
      <c r="AN265" s="239" t="n"/>
      <c r="AO265" s="239" t="n"/>
    </row>
    <row r="266">
      <c r="A266" s="256" t="n"/>
      <c r="B266" s="256" t="n"/>
      <c r="C266" s="256" t="n"/>
      <c r="D266" s="256" t="n"/>
      <c r="E266" s="256" t="n"/>
      <c r="F266" s="256" t="n"/>
      <c r="G266" s="256" t="n"/>
      <c r="H266" s="256" t="n"/>
      <c r="I266" s="256" t="n"/>
      <c r="J266" s="256" t="n"/>
      <c r="K266" s="256" t="n"/>
      <c r="L266" s="256" t="n"/>
      <c r="M266" s="256" t="n"/>
      <c r="N266" s="256" t="n"/>
      <c r="O266" s="256" t="n"/>
      <c r="P266" s="256" t="n"/>
      <c r="Q266" s="256" t="n"/>
      <c r="R266" s="256" t="n"/>
      <c r="S266" s="256" t="n"/>
      <c r="T266" s="256" t="n"/>
      <c r="U266" s="256" t="n"/>
      <c r="V266" s="256" t="n"/>
      <c r="W266" s="256" t="n"/>
      <c r="X266" s="256" t="n"/>
      <c r="Y266" s="256" t="n"/>
      <c r="Z266" s="256" t="n"/>
      <c r="AA266" s="256" t="n"/>
      <c r="AB266" s="256" t="n"/>
      <c r="AC266" s="256" t="n"/>
      <c r="AD266" s="256" t="n"/>
      <c r="AE266" s="256" t="n"/>
      <c r="AF266" s="256" t="n"/>
      <c r="AG266" s="256" t="n"/>
      <c r="AH266" s="256" t="n"/>
      <c r="AI266" s="256" t="n"/>
      <c r="AJ266" s="256" t="n"/>
      <c r="AK266" s="256" t="n"/>
      <c r="AL266" s="256" t="n"/>
      <c r="AM266" s="256" t="n"/>
      <c r="AN266" s="256" t="n"/>
      <c r="AO266" s="256" t="n"/>
    </row>
    <row r="267">
      <c r="A267" s="239" t="n"/>
      <c r="B267" s="239" t="n"/>
      <c r="C267" s="239" t="n"/>
      <c r="D267" s="239" t="n"/>
      <c r="E267" s="239" t="n"/>
      <c r="F267" s="239" t="n"/>
      <c r="G267" s="239" t="n"/>
      <c r="H267" s="239" t="n"/>
      <c r="I267" s="239" t="n"/>
      <c r="J267" s="239" t="n"/>
      <c r="K267" s="239" t="n"/>
      <c r="L267" s="239" t="n"/>
      <c r="M267" s="239" t="n"/>
      <c r="N267" s="239" t="n"/>
      <c r="O267" s="239" t="n"/>
      <c r="P267" s="239" t="n"/>
      <c r="Q267" s="239" t="n"/>
      <c r="R267" s="239" t="n"/>
      <c r="S267" s="239" t="n"/>
      <c r="T267" s="239" t="n"/>
      <c r="U267" s="239" t="n"/>
      <c r="V267" s="239" t="n"/>
      <c r="W267" s="239" t="n"/>
      <c r="X267" s="239" t="n"/>
      <c r="Y267" s="239" t="n"/>
      <c r="Z267" s="239" t="n"/>
      <c r="AA267" s="239" t="n"/>
      <c r="AB267" s="239" t="n"/>
      <c r="AC267" s="239" t="n"/>
      <c r="AD267" s="239" t="n"/>
      <c r="AE267" s="239" t="n"/>
      <c r="AF267" s="239" t="n"/>
      <c r="AG267" s="239" t="n"/>
      <c r="AH267" s="239" t="n"/>
      <c r="AI267" s="239" t="n"/>
      <c r="AJ267" s="239" t="n"/>
      <c r="AK267" s="239" t="n"/>
      <c r="AL267" s="239" t="n"/>
      <c r="AM267" s="239" t="n"/>
      <c r="AN267" s="239" t="n"/>
      <c r="AO267" s="239" t="n"/>
    </row>
    <row r="268">
      <c r="A268" s="256" t="n"/>
      <c r="B268" s="256" t="n"/>
      <c r="C268" s="256" t="n"/>
      <c r="D268" s="256" t="n"/>
      <c r="E268" s="256" t="n"/>
      <c r="F268" s="256" t="n"/>
      <c r="G268" s="256" t="n"/>
      <c r="H268" s="256" t="n"/>
      <c r="I268" s="256" t="n"/>
      <c r="J268" s="256" t="n"/>
      <c r="K268" s="256" t="n"/>
      <c r="L268" s="256" t="n"/>
      <c r="M268" s="256" t="n"/>
      <c r="N268" s="256" t="n"/>
      <c r="O268" s="256" t="n"/>
      <c r="P268" s="256" t="n"/>
      <c r="Q268" s="256" t="n"/>
      <c r="R268" s="256" t="n"/>
      <c r="S268" s="256" t="n"/>
      <c r="T268" s="256" t="n"/>
      <c r="U268" s="256" t="n"/>
      <c r="V268" s="256" t="n"/>
      <c r="W268" s="256" t="n"/>
      <c r="X268" s="256" t="n"/>
      <c r="Y268" s="256" t="n"/>
      <c r="Z268" s="256" t="n"/>
      <c r="AA268" s="256" t="n"/>
      <c r="AB268" s="256" t="n"/>
      <c r="AC268" s="256" t="n"/>
      <c r="AD268" s="256" t="n"/>
      <c r="AE268" s="256" t="n"/>
      <c r="AF268" s="256" t="n"/>
      <c r="AG268" s="256" t="n"/>
      <c r="AH268" s="256" t="n"/>
      <c r="AI268" s="256" t="n"/>
      <c r="AJ268" s="256" t="n"/>
      <c r="AK268" s="256" t="n"/>
      <c r="AL268" s="256" t="n"/>
      <c r="AM268" s="256" t="n"/>
      <c r="AN268" s="256" t="n"/>
      <c r="AO268" s="256" t="n"/>
    </row>
    <row r="269">
      <c r="A269" s="239" t="n"/>
      <c r="B269" s="239" t="n"/>
      <c r="C269" s="239" t="n"/>
      <c r="D269" s="239" t="n"/>
      <c r="E269" s="239" t="n"/>
      <c r="F269" s="239" t="n"/>
      <c r="G269" s="239" t="n"/>
      <c r="H269" s="239" t="n"/>
      <c r="I269" s="239" t="n"/>
      <c r="J269" s="239" t="n"/>
      <c r="K269" s="239" t="n"/>
      <c r="L269" s="239" t="n"/>
      <c r="M269" s="239" t="n"/>
      <c r="N269" s="239" t="n"/>
      <c r="O269" s="239" t="n"/>
      <c r="P269" s="239" t="n"/>
      <c r="Q269" s="239" t="n"/>
      <c r="R269" s="239" t="n"/>
      <c r="S269" s="239" t="n"/>
      <c r="T269" s="239" t="n"/>
      <c r="U269" s="239" t="n"/>
      <c r="V269" s="239" t="n"/>
      <c r="W269" s="239" t="n"/>
      <c r="X269" s="239" t="n"/>
      <c r="Y269" s="239" t="n"/>
      <c r="Z269" s="239" t="n"/>
      <c r="AA269" s="239" t="n"/>
      <c r="AB269" s="239" t="n"/>
      <c r="AC269" s="239" t="n"/>
      <c r="AD269" s="239" t="n"/>
      <c r="AE269" s="239" t="n"/>
      <c r="AF269" s="239" t="n"/>
      <c r="AG269" s="239" t="n"/>
      <c r="AH269" s="239" t="n"/>
      <c r="AI269" s="239" t="n"/>
      <c r="AJ269" s="239" t="n"/>
      <c r="AK269" s="239" t="n"/>
      <c r="AL269" s="239" t="n"/>
      <c r="AM269" s="239" t="n"/>
      <c r="AN269" s="239" t="n"/>
      <c r="AO269" s="239" t="n"/>
    </row>
    <row r="270">
      <c r="A270" s="256" t="n"/>
      <c r="B270" s="256" t="n"/>
      <c r="C270" s="256" t="n"/>
      <c r="D270" s="256" t="n"/>
      <c r="E270" s="256" t="n"/>
      <c r="F270" s="256" t="n"/>
      <c r="G270" s="256" t="n"/>
      <c r="H270" s="256" t="n"/>
      <c r="I270" s="256" t="n"/>
      <c r="J270" s="256" t="n"/>
      <c r="K270" s="256" t="n"/>
      <c r="L270" s="256" t="n"/>
      <c r="M270" s="256" t="n"/>
      <c r="N270" s="256" t="n"/>
      <c r="O270" s="256" t="n"/>
      <c r="P270" s="256" t="n"/>
      <c r="Q270" s="256" t="n"/>
      <c r="R270" s="256" t="n"/>
      <c r="S270" s="256" t="n"/>
      <c r="T270" s="256" t="n"/>
      <c r="U270" s="256" t="n"/>
      <c r="V270" s="256" t="n"/>
      <c r="W270" s="256" t="n"/>
      <c r="X270" s="256" t="n"/>
      <c r="Y270" s="256" t="n"/>
      <c r="Z270" s="256" t="n"/>
      <c r="AA270" s="256" t="n"/>
      <c r="AB270" s="256" t="n"/>
      <c r="AC270" s="256" t="n"/>
      <c r="AD270" s="256" t="n"/>
      <c r="AE270" s="256" t="n"/>
      <c r="AF270" s="256" t="n"/>
      <c r="AG270" s="256" t="n"/>
      <c r="AH270" s="256" t="n"/>
      <c r="AI270" s="256" t="n"/>
      <c r="AJ270" s="256" t="n"/>
      <c r="AK270" s="256" t="n"/>
      <c r="AL270" s="256" t="n"/>
      <c r="AM270" s="256" t="n"/>
      <c r="AN270" s="256" t="n"/>
      <c r="AO270" s="256" t="n"/>
    </row>
    <row r="271">
      <c r="A271" s="239" t="n"/>
      <c r="B271" s="239" t="n"/>
      <c r="C271" s="239" t="n"/>
      <c r="D271" s="239" t="n"/>
      <c r="E271" s="239" t="n"/>
      <c r="F271" s="239" t="n"/>
      <c r="G271" s="239" t="n"/>
      <c r="H271" s="239" t="n"/>
      <c r="I271" s="239" t="n"/>
      <c r="J271" s="239" t="n"/>
      <c r="K271" s="239" t="n"/>
      <c r="L271" s="239" t="n"/>
      <c r="M271" s="239" t="n"/>
      <c r="N271" s="239" t="n"/>
      <c r="O271" s="239" t="n"/>
      <c r="P271" s="239" t="n"/>
      <c r="Q271" s="239" t="n"/>
      <c r="R271" s="239" t="n"/>
      <c r="S271" s="239" t="n"/>
      <c r="T271" s="239" t="n"/>
      <c r="U271" s="239" t="n"/>
      <c r="V271" s="239" t="n"/>
      <c r="W271" s="239" t="n"/>
      <c r="X271" s="239" t="n"/>
      <c r="Y271" s="239" t="n"/>
      <c r="Z271" s="239" t="n"/>
      <c r="AA271" s="239" t="n"/>
      <c r="AB271" s="239" t="n"/>
      <c r="AC271" s="239" t="n"/>
      <c r="AD271" s="239" t="n"/>
      <c r="AE271" s="239" t="n"/>
      <c r="AF271" s="239" t="n"/>
      <c r="AG271" s="239" t="n"/>
      <c r="AH271" s="239" t="n"/>
      <c r="AI271" s="239" t="n"/>
      <c r="AJ271" s="239" t="n"/>
      <c r="AK271" s="239" t="n"/>
      <c r="AL271" s="239" t="n"/>
      <c r="AM271" s="239" t="n"/>
      <c r="AN271" s="239" t="n"/>
      <c r="AO271" s="239" t="n"/>
    </row>
    <row r="272">
      <c r="A272" s="256" t="n"/>
      <c r="B272" s="256" t="n"/>
      <c r="C272" s="256" t="n"/>
      <c r="D272" s="256" t="n"/>
      <c r="E272" s="256" t="n"/>
      <c r="F272" s="256" t="n"/>
      <c r="G272" s="256" t="n"/>
      <c r="H272" s="256" t="n"/>
      <c r="I272" s="256" t="n"/>
      <c r="J272" s="256" t="n"/>
      <c r="K272" s="256" t="n"/>
      <c r="L272" s="256" t="n"/>
      <c r="M272" s="256" t="n"/>
      <c r="N272" s="256" t="n"/>
      <c r="O272" s="256" t="n"/>
      <c r="P272" s="256" t="n"/>
      <c r="Q272" s="256" t="n"/>
      <c r="R272" s="256" t="n"/>
      <c r="S272" s="256" t="n"/>
      <c r="T272" s="256" t="n"/>
      <c r="U272" s="256" t="n"/>
      <c r="V272" s="256" t="n"/>
      <c r="W272" s="256" t="n"/>
      <c r="X272" s="256" t="n"/>
      <c r="Y272" s="256" t="n"/>
      <c r="Z272" s="256" t="n"/>
      <c r="AA272" s="256" t="n"/>
      <c r="AB272" s="256" t="n"/>
      <c r="AC272" s="256" t="n"/>
      <c r="AD272" s="256" t="n"/>
      <c r="AE272" s="256" t="n"/>
      <c r="AF272" s="256" t="n"/>
      <c r="AG272" s="256" t="n"/>
      <c r="AH272" s="256" t="n"/>
      <c r="AI272" s="256" t="n"/>
      <c r="AJ272" s="256" t="n"/>
      <c r="AK272" s="256" t="n"/>
      <c r="AL272" s="256" t="n"/>
      <c r="AM272" s="256" t="n"/>
      <c r="AN272" s="256" t="n"/>
      <c r="AO272" s="256" t="n"/>
    </row>
    <row r="273">
      <c r="A273" s="239" t="n"/>
      <c r="B273" s="239" t="n"/>
      <c r="C273" s="239" t="n"/>
      <c r="D273" s="239" t="n"/>
      <c r="E273" s="239" t="n"/>
      <c r="F273" s="239" t="n"/>
      <c r="G273" s="239" t="n"/>
      <c r="H273" s="239" t="n"/>
      <c r="I273" s="239" t="n"/>
      <c r="J273" s="239" t="n"/>
      <c r="K273" s="239" t="n"/>
      <c r="L273" s="239" t="n"/>
      <c r="M273" s="239" t="n"/>
      <c r="N273" s="239" t="n"/>
      <c r="O273" s="239" t="n"/>
      <c r="P273" s="239" t="n"/>
      <c r="Q273" s="239" t="n"/>
      <c r="R273" s="239" t="n"/>
      <c r="S273" s="239" t="n"/>
      <c r="T273" s="239" t="n"/>
      <c r="U273" s="239" t="n"/>
      <c r="V273" s="239" t="n"/>
      <c r="W273" s="239" t="n"/>
      <c r="X273" s="239" t="n"/>
      <c r="Y273" s="239" t="n"/>
      <c r="Z273" s="239" t="n"/>
      <c r="AA273" s="239" t="n"/>
      <c r="AB273" s="239" t="n"/>
      <c r="AC273" s="239" t="n"/>
      <c r="AD273" s="239" t="n"/>
      <c r="AE273" s="239" t="n"/>
      <c r="AF273" s="239" t="n"/>
      <c r="AG273" s="239" t="n"/>
      <c r="AH273" s="239" t="n"/>
      <c r="AI273" s="239" t="n"/>
      <c r="AJ273" s="239" t="n"/>
      <c r="AK273" s="239" t="n"/>
      <c r="AL273" s="239" t="n"/>
      <c r="AM273" s="239" t="n"/>
      <c r="AN273" s="239" t="n"/>
      <c r="AO273" s="239" t="n"/>
    </row>
    <row r="274">
      <c r="A274" s="256" t="n"/>
      <c r="B274" s="256" t="n"/>
      <c r="C274" s="256" t="n"/>
      <c r="D274" s="256" t="n"/>
      <c r="E274" s="256" t="n"/>
      <c r="F274" s="256" t="n"/>
      <c r="G274" s="256" t="n"/>
      <c r="H274" s="256" t="n"/>
      <c r="I274" s="256" t="n"/>
      <c r="J274" s="256" t="n"/>
      <c r="K274" s="256" t="n"/>
      <c r="L274" s="256" t="n"/>
      <c r="M274" s="256" t="n"/>
      <c r="N274" s="256" t="n"/>
      <c r="O274" s="256" t="n"/>
      <c r="P274" s="256" t="n"/>
      <c r="Q274" s="256" t="n"/>
      <c r="R274" s="256" t="n"/>
      <c r="S274" s="256" t="n"/>
      <c r="T274" s="256" t="n"/>
      <c r="U274" s="256" t="n"/>
      <c r="V274" s="256" t="n"/>
      <c r="W274" s="256" t="n"/>
      <c r="X274" s="256" t="n"/>
      <c r="Y274" s="256" t="n"/>
      <c r="Z274" s="256" t="n"/>
      <c r="AA274" s="256" t="n"/>
      <c r="AB274" s="256" t="n"/>
      <c r="AC274" s="256" t="n"/>
      <c r="AD274" s="256" t="n"/>
      <c r="AE274" s="256" t="n"/>
      <c r="AF274" s="256" t="n"/>
      <c r="AG274" s="256" t="n"/>
      <c r="AH274" s="256" t="n"/>
      <c r="AI274" s="256" t="n"/>
      <c r="AJ274" s="256" t="n"/>
      <c r="AK274" s="256" t="n"/>
      <c r="AL274" s="256" t="n"/>
      <c r="AM274" s="256" t="n"/>
      <c r="AN274" s="256" t="n"/>
      <c r="AO274" s="256" t="n"/>
    </row>
    <row r="275">
      <c r="A275" s="239" t="n"/>
      <c r="B275" s="239" t="n"/>
      <c r="C275" s="239" t="n"/>
      <c r="D275" s="239" t="n"/>
      <c r="E275" s="239" t="n"/>
      <c r="F275" s="239" t="n"/>
      <c r="G275" s="239" t="n"/>
      <c r="H275" s="239" t="n"/>
      <c r="I275" s="239" t="n"/>
      <c r="J275" s="239" t="n"/>
      <c r="K275" s="239" t="n"/>
      <c r="L275" s="239" t="n"/>
      <c r="M275" s="239" t="n"/>
      <c r="N275" s="239" t="n"/>
      <c r="O275" s="239" t="n"/>
      <c r="P275" s="239" t="n"/>
      <c r="Q275" s="239" t="n"/>
      <c r="R275" s="239" t="n"/>
      <c r="S275" s="239" t="n"/>
      <c r="T275" s="239" t="n"/>
      <c r="U275" s="239" t="n"/>
      <c r="V275" s="239" t="n"/>
      <c r="W275" s="239" t="n"/>
      <c r="X275" s="239" t="n"/>
      <c r="Y275" s="239" t="n"/>
      <c r="Z275" s="239" t="n"/>
      <c r="AA275" s="239" t="n"/>
      <c r="AB275" s="239" t="n"/>
      <c r="AC275" s="239" t="n"/>
      <c r="AD275" s="239" t="n"/>
      <c r="AE275" s="239" t="n"/>
      <c r="AF275" s="239" t="n"/>
      <c r="AG275" s="239" t="n"/>
      <c r="AH275" s="239" t="n"/>
      <c r="AI275" s="239" t="n"/>
      <c r="AJ275" s="239" t="n"/>
      <c r="AK275" s="239" t="n"/>
      <c r="AL275" s="239" t="n"/>
      <c r="AM275" s="239" t="n"/>
      <c r="AN275" s="239" t="n"/>
      <c r="AO275" s="239" t="n"/>
    </row>
    <row r="276">
      <c r="A276" s="256" t="n"/>
      <c r="B276" s="256" t="n"/>
      <c r="C276" s="256" t="n"/>
      <c r="D276" s="256" t="n"/>
      <c r="E276" s="256" t="n"/>
      <c r="F276" s="256" t="n"/>
      <c r="G276" s="256" t="n"/>
      <c r="H276" s="256" t="n"/>
      <c r="I276" s="256" t="n"/>
      <c r="J276" s="256" t="n"/>
      <c r="K276" s="256" t="n"/>
      <c r="L276" s="256" t="n"/>
      <c r="M276" s="256" t="n"/>
      <c r="N276" s="256" t="n"/>
      <c r="O276" s="256" t="n"/>
      <c r="P276" s="256" t="n"/>
      <c r="Q276" s="256" t="n"/>
      <c r="R276" s="256" t="n"/>
      <c r="S276" s="256" t="n"/>
      <c r="T276" s="256" t="n"/>
      <c r="U276" s="256" t="n"/>
      <c r="V276" s="256" t="n"/>
      <c r="W276" s="256" t="n"/>
      <c r="X276" s="256" t="n"/>
      <c r="Y276" s="256" t="n"/>
      <c r="Z276" s="256" t="n"/>
      <c r="AA276" s="256" t="n"/>
      <c r="AB276" s="256" t="n"/>
      <c r="AC276" s="256" t="n"/>
      <c r="AD276" s="256" t="n"/>
      <c r="AE276" s="256" t="n"/>
      <c r="AF276" s="256" t="n"/>
      <c r="AG276" s="256" t="n"/>
      <c r="AH276" s="256" t="n"/>
      <c r="AI276" s="256" t="n"/>
      <c r="AJ276" s="256" t="n"/>
      <c r="AK276" s="256" t="n"/>
      <c r="AL276" s="256" t="n"/>
      <c r="AM276" s="256" t="n"/>
      <c r="AN276" s="256" t="n"/>
      <c r="AO276" s="256" t="n"/>
    </row>
    <row r="277">
      <c r="A277" s="239" t="n"/>
      <c r="B277" s="239" t="n"/>
      <c r="C277" s="239" t="n"/>
      <c r="D277" s="239" t="n"/>
      <c r="E277" s="239" t="n"/>
      <c r="F277" s="239" t="n"/>
      <c r="G277" s="239" t="n"/>
      <c r="H277" s="239" t="n"/>
      <c r="I277" s="239" t="n"/>
      <c r="J277" s="239" t="n"/>
      <c r="K277" s="239" t="n"/>
      <c r="L277" s="239" t="n"/>
      <c r="M277" s="239" t="n"/>
      <c r="N277" s="239" t="n"/>
      <c r="O277" s="239" t="n"/>
      <c r="P277" s="239" t="n"/>
      <c r="Q277" s="239" t="n"/>
      <c r="R277" s="239" t="n"/>
      <c r="S277" s="239" t="n"/>
      <c r="T277" s="239" t="n"/>
      <c r="U277" s="239" t="n"/>
      <c r="V277" s="239" t="n"/>
      <c r="W277" s="239" t="n"/>
      <c r="X277" s="239" t="n"/>
      <c r="Y277" s="239" t="n"/>
      <c r="Z277" s="239" t="n"/>
      <c r="AA277" s="239" t="n"/>
      <c r="AB277" s="239" t="n"/>
      <c r="AC277" s="239" t="n"/>
      <c r="AD277" s="239" t="n"/>
      <c r="AE277" s="239" t="n"/>
      <c r="AF277" s="239" t="n"/>
      <c r="AG277" s="239" t="n"/>
      <c r="AH277" s="239" t="n"/>
      <c r="AI277" s="239" t="n"/>
      <c r="AJ277" s="239" t="n"/>
      <c r="AK277" s="239" t="n"/>
      <c r="AL277" s="239" t="n"/>
      <c r="AM277" s="239" t="n"/>
      <c r="AN277" s="239" t="n"/>
      <c r="AO277" s="239" t="n"/>
    </row>
    <row r="278">
      <c r="A278" s="256" t="n"/>
      <c r="B278" s="256" t="n"/>
      <c r="C278" s="256" t="n"/>
      <c r="D278" s="256" t="n"/>
      <c r="E278" s="256" t="n"/>
      <c r="F278" s="256" t="n"/>
      <c r="G278" s="256" t="n"/>
      <c r="H278" s="256" t="n"/>
      <c r="I278" s="256" t="n"/>
      <c r="J278" s="256" t="n"/>
      <c r="K278" s="256" t="n"/>
      <c r="L278" s="256" t="n"/>
      <c r="M278" s="256" t="n"/>
      <c r="N278" s="256" t="n"/>
      <c r="O278" s="256" t="n"/>
      <c r="P278" s="256" t="n"/>
      <c r="Q278" s="256" t="n"/>
      <c r="R278" s="256" t="n"/>
      <c r="S278" s="256" t="n"/>
      <c r="T278" s="256" t="n"/>
      <c r="U278" s="256" t="n"/>
      <c r="V278" s="256" t="n"/>
      <c r="W278" s="256" t="n"/>
      <c r="X278" s="256" t="n"/>
      <c r="Y278" s="256" t="n"/>
      <c r="Z278" s="256" t="n"/>
      <c r="AA278" s="256" t="n"/>
      <c r="AB278" s="256" t="n"/>
      <c r="AC278" s="256" t="n"/>
      <c r="AD278" s="256" t="n"/>
      <c r="AE278" s="256" t="n"/>
      <c r="AF278" s="256" t="n"/>
      <c r="AG278" s="256" t="n"/>
      <c r="AH278" s="256" t="n"/>
      <c r="AI278" s="256" t="n"/>
      <c r="AJ278" s="256" t="n"/>
      <c r="AK278" s="256" t="n"/>
      <c r="AL278" s="256" t="n"/>
      <c r="AM278" s="256" t="n"/>
      <c r="AN278" s="256" t="n"/>
      <c r="AO278" s="256" t="n"/>
    </row>
    <row r="279">
      <c r="A279" s="239" t="n"/>
      <c r="B279" s="239" t="n"/>
      <c r="C279" s="239" t="n"/>
      <c r="D279" s="239" t="n"/>
      <c r="E279" s="239" t="n"/>
      <c r="F279" s="239" t="n"/>
      <c r="G279" s="239" t="n"/>
      <c r="H279" s="239" t="n"/>
      <c r="I279" s="239" t="n"/>
      <c r="J279" s="239" t="n"/>
      <c r="K279" s="239" t="n"/>
      <c r="L279" s="239" t="n"/>
      <c r="M279" s="239" t="n"/>
      <c r="N279" s="239" t="n"/>
      <c r="O279" s="239" t="n"/>
      <c r="P279" s="239" t="n"/>
      <c r="Q279" s="239" t="n"/>
      <c r="R279" s="239" t="n"/>
      <c r="S279" s="239" t="n"/>
      <c r="T279" s="239" t="n"/>
      <c r="U279" s="239" t="n"/>
      <c r="V279" s="239" t="n"/>
      <c r="W279" s="239" t="n"/>
      <c r="X279" s="239" t="n"/>
      <c r="Y279" s="239" t="n"/>
      <c r="Z279" s="239" t="n"/>
      <c r="AA279" s="239" t="n"/>
      <c r="AB279" s="239" t="n"/>
      <c r="AC279" s="239" t="n"/>
      <c r="AD279" s="239" t="n"/>
      <c r="AE279" s="239" t="n"/>
      <c r="AF279" s="239" t="n"/>
      <c r="AG279" s="239" t="n"/>
      <c r="AH279" s="239" t="n"/>
      <c r="AI279" s="239" t="n"/>
      <c r="AJ279" s="239" t="n"/>
      <c r="AK279" s="239" t="n"/>
      <c r="AL279" s="239" t="n"/>
      <c r="AM279" s="239" t="n"/>
      <c r="AN279" s="239" t="n"/>
      <c r="AO279" s="239" t="n"/>
    </row>
    <row r="280">
      <c r="A280" s="256" t="n"/>
      <c r="B280" s="256" t="n"/>
      <c r="C280" s="256" t="n"/>
      <c r="D280" s="256" t="n"/>
      <c r="E280" s="256" t="n"/>
      <c r="F280" s="256" t="n"/>
      <c r="G280" s="256" t="n"/>
      <c r="H280" s="256" t="n"/>
      <c r="I280" s="256" t="n"/>
      <c r="J280" s="256" t="n"/>
      <c r="K280" s="256" t="n"/>
      <c r="L280" s="256" t="n"/>
      <c r="M280" s="256" t="n"/>
      <c r="N280" s="256" t="n"/>
      <c r="O280" s="256" t="n"/>
      <c r="P280" s="256" t="n"/>
      <c r="Q280" s="256" t="n"/>
      <c r="R280" s="256" t="n"/>
      <c r="S280" s="256" t="n"/>
      <c r="T280" s="256" t="n"/>
      <c r="U280" s="256" t="n"/>
      <c r="V280" s="256" t="n"/>
      <c r="W280" s="256" t="n"/>
      <c r="X280" s="256" t="n"/>
      <c r="Y280" s="256" t="n"/>
      <c r="Z280" s="256" t="n"/>
      <c r="AA280" s="256" t="n"/>
      <c r="AB280" s="256" t="n"/>
      <c r="AC280" s="256" t="n"/>
      <c r="AD280" s="256" t="n"/>
      <c r="AE280" s="256" t="n"/>
      <c r="AF280" s="256" t="n"/>
      <c r="AG280" s="256" t="n"/>
      <c r="AH280" s="256" t="n"/>
      <c r="AI280" s="256" t="n"/>
      <c r="AJ280" s="256" t="n"/>
      <c r="AK280" s="256" t="n"/>
      <c r="AL280" s="256" t="n"/>
      <c r="AM280" s="256" t="n"/>
      <c r="AN280" s="256" t="n"/>
      <c r="AO280" s="256" t="n"/>
    </row>
    <row r="281">
      <c r="A281" s="239" t="n"/>
      <c r="B281" s="239" t="n"/>
      <c r="C281" s="239" t="n"/>
      <c r="D281" s="239" t="n"/>
      <c r="E281" s="239" t="n"/>
      <c r="F281" s="239" t="n"/>
      <c r="G281" s="239" t="n"/>
      <c r="H281" s="239" t="n"/>
      <c r="I281" s="239" t="n"/>
      <c r="J281" s="239" t="n"/>
      <c r="K281" s="239" t="n"/>
      <c r="L281" s="239" t="n"/>
      <c r="M281" s="239" t="n"/>
      <c r="N281" s="239" t="n"/>
      <c r="O281" s="239" t="n"/>
      <c r="P281" s="239" t="n"/>
      <c r="Q281" s="239" t="n"/>
      <c r="R281" s="239" t="n"/>
      <c r="S281" s="239" t="n"/>
      <c r="T281" s="239" t="n"/>
      <c r="U281" s="239" t="n"/>
      <c r="V281" s="239" t="n"/>
      <c r="W281" s="239" t="n"/>
      <c r="X281" s="239" t="n"/>
      <c r="Y281" s="239" t="n"/>
      <c r="Z281" s="239" t="n"/>
      <c r="AA281" s="239" t="n"/>
      <c r="AB281" s="239" t="n"/>
      <c r="AC281" s="239" t="n"/>
      <c r="AD281" s="239" t="n"/>
      <c r="AE281" s="239" t="n"/>
      <c r="AF281" s="239" t="n"/>
      <c r="AG281" s="239" t="n"/>
      <c r="AH281" s="239" t="n"/>
      <c r="AI281" s="239" t="n"/>
      <c r="AJ281" s="239" t="n"/>
      <c r="AK281" s="239" t="n"/>
      <c r="AL281" s="239" t="n"/>
      <c r="AM281" s="239" t="n"/>
      <c r="AN281" s="239" t="n"/>
      <c r="AO281" s="239" t="n"/>
    </row>
    <row r="282">
      <c r="A282" s="256" t="n"/>
      <c r="B282" s="256" t="n"/>
      <c r="C282" s="256" t="n"/>
      <c r="D282" s="256" t="n"/>
      <c r="E282" s="256" t="n"/>
      <c r="F282" s="256" t="n"/>
      <c r="G282" s="256" t="n"/>
      <c r="H282" s="256" t="n"/>
      <c r="I282" s="256" t="n"/>
      <c r="J282" s="256" t="n"/>
      <c r="K282" s="256" t="n"/>
      <c r="L282" s="256" t="n"/>
      <c r="M282" s="256" t="n"/>
      <c r="N282" s="256" t="n"/>
      <c r="O282" s="256" t="n"/>
      <c r="P282" s="256" t="n"/>
      <c r="Q282" s="256" t="n"/>
      <c r="R282" s="256" t="n"/>
      <c r="S282" s="256" t="n"/>
      <c r="T282" s="256" t="n"/>
      <c r="U282" s="256" t="n"/>
      <c r="V282" s="256" t="n"/>
      <c r="W282" s="256" t="n"/>
      <c r="X282" s="256" t="n"/>
      <c r="Y282" s="256" t="n"/>
      <c r="Z282" s="256" t="n"/>
      <c r="AA282" s="256" t="n"/>
      <c r="AB282" s="256" t="n"/>
      <c r="AC282" s="256" t="n"/>
      <c r="AD282" s="256" t="n"/>
      <c r="AE282" s="256" t="n"/>
      <c r="AF282" s="256" t="n"/>
      <c r="AG282" s="256" t="n"/>
      <c r="AH282" s="256" t="n"/>
      <c r="AI282" s="256" t="n"/>
      <c r="AJ282" s="256" t="n"/>
      <c r="AK282" s="256" t="n"/>
      <c r="AL282" s="256" t="n"/>
      <c r="AM282" s="256" t="n"/>
      <c r="AN282" s="256" t="n"/>
      <c r="AO282" s="256" t="n"/>
    </row>
    <row r="283">
      <c r="A283" s="239" t="n"/>
      <c r="B283" s="239" t="n"/>
      <c r="C283" s="239" t="n"/>
      <c r="D283" s="239" t="n"/>
      <c r="E283" s="239" t="n"/>
      <c r="F283" s="239" t="n"/>
      <c r="G283" s="239" t="n"/>
      <c r="H283" s="239" t="n"/>
      <c r="I283" s="239" t="n"/>
      <c r="J283" s="239" t="n"/>
      <c r="K283" s="239" t="n"/>
      <c r="L283" s="239" t="n"/>
      <c r="M283" s="239" t="n"/>
      <c r="N283" s="239" t="n"/>
      <c r="O283" s="239" t="n"/>
      <c r="P283" s="239" t="n"/>
      <c r="Q283" s="239" t="n"/>
      <c r="R283" s="239" t="n"/>
      <c r="S283" s="239" t="n"/>
      <c r="T283" s="239" t="n"/>
      <c r="U283" s="239" t="n"/>
      <c r="V283" s="239" t="n"/>
      <c r="W283" s="239" t="n"/>
      <c r="X283" s="239" t="n"/>
      <c r="Y283" s="239" t="n"/>
      <c r="Z283" s="239" t="n"/>
      <c r="AA283" s="239" t="n"/>
      <c r="AB283" s="239" t="n"/>
      <c r="AC283" s="239" t="n"/>
      <c r="AD283" s="239" t="n"/>
      <c r="AE283" s="239" t="n"/>
      <c r="AF283" s="239" t="n"/>
      <c r="AG283" s="239" t="n"/>
      <c r="AH283" s="239" t="n"/>
      <c r="AI283" s="239" t="n"/>
      <c r="AJ283" s="239" t="n"/>
      <c r="AK283" s="239" t="n"/>
      <c r="AL283" s="239" t="n"/>
      <c r="AM283" s="239" t="n"/>
      <c r="AN283" s="239" t="n"/>
      <c r="AO283" s="239" t="n"/>
    </row>
    <row r="284">
      <c r="A284" s="256" t="n"/>
      <c r="B284" s="256" t="n"/>
      <c r="C284" s="256" t="n"/>
      <c r="D284" s="256" t="n"/>
      <c r="E284" s="256" t="n"/>
      <c r="F284" s="256" t="n"/>
      <c r="G284" s="256" t="n"/>
      <c r="H284" s="256" t="n"/>
      <c r="I284" s="256" t="n"/>
      <c r="J284" s="256" t="n"/>
      <c r="K284" s="256" t="n"/>
      <c r="L284" s="256" t="n"/>
      <c r="M284" s="256" t="n"/>
      <c r="N284" s="256" t="n"/>
      <c r="O284" s="256" t="n"/>
      <c r="P284" s="256" t="n"/>
      <c r="Q284" s="256" t="n"/>
      <c r="R284" s="256" t="n"/>
      <c r="S284" s="256" t="n"/>
      <c r="T284" s="256" t="n"/>
      <c r="U284" s="256" t="n"/>
      <c r="V284" s="256" t="n"/>
      <c r="W284" s="256" t="n"/>
      <c r="X284" s="256" t="n"/>
      <c r="Y284" s="256" t="n"/>
      <c r="Z284" s="256" t="n"/>
      <c r="AA284" s="256" t="n"/>
      <c r="AB284" s="256" t="n"/>
      <c r="AC284" s="256" t="n"/>
      <c r="AD284" s="256" t="n"/>
      <c r="AE284" s="256" t="n"/>
      <c r="AF284" s="256" t="n"/>
      <c r="AG284" s="256" t="n"/>
      <c r="AH284" s="256" t="n"/>
      <c r="AI284" s="256" t="n"/>
      <c r="AJ284" s="256" t="n"/>
      <c r="AK284" s="256" t="n"/>
      <c r="AL284" s="256" t="n"/>
      <c r="AM284" s="256" t="n"/>
      <c r="AN284" s="256" t="n"/>
      <c r="AO284" s="256" t="n"/>
    </row>
    <row r="285">
      <c r="A285" s="239" t="n"/>
      <c r="B285" s="239" t="n"/>
      <c r="C285" s="239" t="n"/>
      <c r="D285" s="239" t="n"/>
      <c r="E285" s="239" t="n"/>
      <c r="F285" s="239" t="n"/>
      <c r="G285" s="239" t="n"/>
      <c r="H285" s="239" t="n"/>
      <c r="I285" s="239" t="n"/>
      <c r="J285" s="239" t="n"/>
      <c r="K285" s="239" t="n"/>
      <c r="L285" s="239" t="n"/>
      <c r="M285" s="239" t="n"/>
      <c r="N285" s="239" t="n"/>
      <c r="O285" s="239" t="n"/>
      <c r="P285" s="239" t="n"/>
      <c r="Q285" s="239" t="n"/>
      <c r="R285" s="239" t="n"/>
      <c r="S285" s="239" t="n"/>
      <c r="T285" s="239" t="n"/>
      <c r="U285" s="239" t="n"/>
      <c r="V285" s="239" t="n"/>
      <c r="W285" s="239" t="n"/>
      <c r="X285" s="239" t="n"/>
      <c r="Y285" s="239" t="n"/>
      <c r="Z285" s="239" t="n"/>
      <c r="AA285" s="239" t="n"/>
      <c r="AB285" s="239" t="n"/>
      <c r="AC285" s="239" t="n"/>
      <c r="AD285" s="239" t="n"/>
      <c r="AE285" s="239" t="n"/>
      <c r="AF285" s="239" t="n"/>
      <c r="AG285" s="239" t="n"/>
      <c r="AH285" s="239" t="n"/>
      <c r="AI285" s="239" t="n"/>
      <c r="AJ285" s="239" t="n"/>
      <c r="AK285" s="239" t="n"/>
      <c r="AL285" s="239" t="n"/>
      <c r="AM285" s="239" t="n"/>
      <c r="AN285" s="239" t="n"/>
      <c r="AO285" s="239" t="n"/>
    </row>
    <row r="286">
      <c r="A286" s="256" t="n"/>
      <c r="B286" s="256" t="n"/>
      <c r="C286" s="256" t="n"/>
      <c r="D286" s="256" t="n"/>
      <c r="E286" s="256" t="n"/>
      <c r="F286" s="256" t="n"/>
      <c r="G286" s="256" t="n"/>
      <c r="H286" s="256" t="n"/>
      <c r="I286" s="256" t="n"/>
      <c r="J286" s="256" t="n"/>
      <c r="K286" s="256" t="n"/>
      <c r="L286" s="256" t="n"/>
      <c r="M286" s="256" t="n"/>
      <c r="N286" s="256" t="n"/>
      <c r="O286" s="256" t="n"/>
      <c r="P286" s="256" t="n"/>
      <c r="Q286" s="256" t="n"/>
      <c r="R286" s="256" t="n"/>
      <c r="S286" s="256" t="n"/>
      <c r="T286" s="256" t="n"/>
      <c r="U286" s="256" t="n"/>
      <c r="V286" s="256" t="n"/>
      <c r="W286" s="256" t="n"/>
      <c r="X286" s="256" t="n"/>
      <c r="Y286" s="256" t="n"/>
      <c r="Z286" s="256" t="n"/>
      <c r="AA286" s="256" t="n"/>
      <c r="AB286" s="256" t="n"/>
      <c r="AC286" s="256" t="n"/>
      <c r="AD286" s="256" t="n"/>
      <c r="AE286" s="256" t="n"/>
      <c r="AF286" s="256" t="n"/>
      <c r="AG286" s="256" t="n"/>
      <c r="AH286" s="256" t="n"/>
      <c r="AI286" s="256" t="n"/>
      <c r="AJ286" s="256" t="n"/>
      <c r="AK286" s="256" t="n"/>
      <c r="AL286" s="256" t="n"/>
      <c r="AM286" s="256" t="n"/>
      <c r="AN286" s="256" t="n"/>
      <c r="AO286" s="256" t="n"/>
    </row>
    <row r="287">
      <c r="A287" s="239" t="n"/>
      <c r="B287" s="239" t="n"/>
      <c r="C287" s="239" t="n"/>
      <c r="D287" s="239" t="n"/>
      <c r="E287" s="239" t="n"/>
      <c r="F287" s="239" t="n"/>
      <c r="G287" s="239" t="n"/>
      <c r="H287" s="239" t="n"/>
      <c r="I287" s="239" t="n"/>
      <c r="J287" s="239" t="n"/>
      <c r="K287" s="239" t="n"/>
      <c r="L287" s="239" t="n"/>
      <c r="M287" s="239" t="n"/>
      <c r="N287" s="239" t="n"/>
      <c r="O287" s="239" t="n"/>
      <c r="P287" s="239" t="n"/>
      <c r="Q287" s="239" t="n"/>
      <c r="R287" s="239" t="n"/>
      <c r="S287" s="239" t="n"/>
      <c r="T287" s="239" t="n"/>
      <c r="U287" s="239" t="n"/>
      <c r="V287" s="239" t="n"/>
      <c r="W287" s="239" t="n"/>
      <c r="X287" s="239" t="n"/>
      <c r="Y287" s="239" t="n"/>
      <c r="Z287" s="239" t="n"/>
      <c r="AA287" s="239" t="n"/>
      <c r="AB287" s="239" t="n"/>
      <c r="AC287" s="239" t="n"/>
      <c r="AD287" s="239" t="n"/>
      <c r="AE287" s="239" t="n"/>
      <c r="AF287" s="239" t="n"/>
      <c r="AG287" s="239" t="n"/>
      <c r="AH287" s="239" t="n"/>
      <c r="AI287" s="239" t="n"/>
      <c r="AJ287" s="239" t="n"/>
      <c r="AK287" s="239" t="n"/>
      <c r="AL287" s="239" t="n"/>
      <c r="AM287" s="239" t="n"/>
      <c r="AN287" s="239" t="n"/>
      <c r="AO287" s="239" t="n"/>
    </row>
    <row r="288">
      <c r="A288" s="256" t="n"/>
      <c r="B288" s="256" t="n"/>
      <c r="C288" s="256" t="n"/>
      <c r="D288" s="256" t="n"/>
      <c r="E288" s="256" t="n"/>
      <c r="F288" s="256" t="n"/>
      <c r="G288" s="256" t="n"/>
      <c r="H288" s="256" t="n"/>
      <c r="I288" s="256" t="n"/>
      <c r="J288" s="256" t="n"/>
      <c r="K288" s="256" t="n"/>
      <c r="L288" s="256" t="n"/>
      <c r="M288" s="256" t="n"/>
      <c r="N288" s="256" t="n"/>
      <c r="O288" s="256" t="n"/>
      <c r="P288" s="256" t="n"/>
      <c r="Q288" s="256" t="n"/>
      <c r="R288" s="256" t="n"/>
      <c r="S288" s="256" t="n"/>
      <c r="T288" s="256" t="n"/>
      <c r="U288" s="256" t="n"/>
      <c r="V288" s="256" t="n"/>
      <c r="W288" s="256" t="n"/>
      <c r="X288" s="256" t="n"/>
      <c r="Y288" s="256" t="n"/>
      <c r="Z288" s="256" t="n"/>
      <c r="AA288" s="256" t="n"/>
      <c r="AB288" s="256" t="n"/>
      <c r="AC288" s="256" t="n"/>
      <c r="AD288" s="256" t="n"/>
      <c r="AE288" s="256" t="n"/>
      <c r="AF288" s="256" t="n"/>
      <c r="AG288" s="256" t="n"/>
      <c r="AH288" s="256" t="n"/>
      <c r="AI288" s="256" t="n"/>
      <c r="AJ288" s="256" t="n"/>
      <c r="AK288" s="256" t="n"/>
      <c r="AL288" s="256" t="n"/>
      <c r="AM288" s="256" t="n"/>
      <c r="AN288" s="256" t="n"/>
      <c r="AO288" s="256" t="n"/>
    </row>
    <row r="289">
      <c r="A289" s="239" t="n"/>
      <c r="B289" s="239" t="n"/>
      <c r="C289" s="239" t="n"/>
      <c r="D289" s="239" t="n"/>
      <c r="E289" s="239" t="n"/>
      <c r="F289" s="239" t="n"/>
      <c r="G289" s="239" t="n"/>
      <c r="H289" s="239" t="n"/>
      <c r="I289" s="239" t="n"/>
      <c r="J289" s="239" t="n"/>
      <c r="K289" s="239" t="n"/>
      <c r="L289" s="239" t="n"/>
      <c r="M289" s="239" t="n"/>
      <c r="N289" s="239" t="n"/>
      <c r="O289" s="239" t="n"/>
      <c r="P289" s="239" t="n"/>
      <c r="Q289" s="239" t="n"/>
      <c r="R289" s="239" t="n"/>
      <c r="S289" s="239" t="n"/>
      <c r="T289" s="239" t="n"/>
      <c r="U289" s="239" t="n"/>
      <c r="V289" s="239" t="n"/>
      <c r="W289" s="239" t="n"/>
      <c r="X289" s="239" t="n"/>
      <c r="Y289" s="239" t="n"/>
      <c r="Z289" s="239" t="n"/>
      <c r="AA289" s="239" t="n"/>
      <c r="AB289" s="239" t="n"/>
      <c r="AC289" s="239" t="n"/>
      <c r="AD289" s="239" t="n"/>
      <c r="AE289" s="239" t="n"/>
      <c r="AF289" s="239" t="n"/>
      <c r="AG289" s="239" t="n"/>
      <c r="AH289" s="239" t="n"/>
      <c r="AI289" s="239" t="n"/>
      <c r="AJ289" s="239" t="n"/>
      <c r="AK289" s="239" t="n"/>
      <c r="AL289" s="239" t="n"/>
      <c r="AM289" s="239" t="n"/>
      <c r="AN289" s="239" t="n"/>
      <c r="AO289" s="239" t="n"/>
    </row>
    <row r="290">
      <c r="A290" s="256" t="n"/>
      <c r="B290" s="256" t="n"/>
      <c r="C290" s="256" t="n"/>
      <c r="D290" s="256" t="n"/>
      <c r="E290" s="256" t="n"/>
      <c r="F290" s="256" t="n"/>
      <c r="G290" s="256" t="n"/>
      <c r="H290" s="256" t="n"/>
      <c r="I290" s="256" t="n"/>
      <c r="J290" s="256" t="n"/>
      <c r="K290" s="256" t="n"/>
      <c r="L290" s="256" t="n"/>
      <c r="M290" s="256" t="n"/>
      <c r="N290" s="256" t="n"/>
      <c r="O290" s="256" t="n"/>
      <c r="P290" s="256" t="n"/>
      <c r="Q290" s="256" t="n"/>
      <c r="R290" s="256" t="n"/>
      <c r="S290" s="256" t="n"/>
      <c r="T290" s="256" t="n"/>
      <c r="U290" s="256" t="n"/>
      <c r="V290" s="256" t="n"/>
      <c r="W290" s="256" t="n"/>
      <c r="X290" s="256" t="n"/>
      <c r="Y290" s="256" t="n"/>
      <c r="Z290" s="256" t="n"/>
      <c r="AA290" s="256" t="n"/>
      <c r="AB290" s="256" t="n"/>
      <c r="AC290" s="256" t="n"/>
      <c r="AD290" s="256" t="n"/>
      <c r="AE290" s="256" t="n"/>
      <c r="AF290" s="256" t="n"/>
      <c r="AG290" s="256" t="n"/>
      <c r="AH290" s="256" t="n"/>
      <c r="AI290" s="256" t="n"/>
      <c r="AJ290" s="256" t="n"/>
      <c r="AK290" s="256" t="n"/>
      <c r="AL290" s="256" t="n"/>
      <c r="AM290" s="256" t="n"/>
      <c r="AN290" s="256" t="n"/>
      <c r="AO290" s="256" t="n"/>
    </row>
    <row r="291">
      <c r="A291" s="239" t="n"/>
      <c r="B291" s="239" t="n"/>
      <c r="C291" s="239" t="n"/>
      <c r="D291" s="239" t="n"/>
      <c r="E291" s="239" t="n"/>
      <c r="F291" s="239" t="n"/>
      <c r="G291" s="239" t="n"/>
      <c r="H291" s="239" t="n"/>
      <c r="I291" s="239" t="n"/>
      <c r="J291" s="239" t="n"/>
      <c r="K291" s="239" t="n"/>
      <c r="L291" s="239" t="n"/>
      <c r="M291" s="239" t="n"/>
      <c r="N291" s="239" t="n"/>
      <c r="O291" s="239" t="n"/>
      <c r="P291" s="239" t="n"/>
      <c r="Q291" s="239" t="n"/>
      <c r="R291" s="239" t="n"/>
      <c r="S291" s="239" t="n"/>
      <c r="T291" s="239" t="n"/>
      <c r="U291" s="239" t="n"/>
      <c r="V291" s="239" t="n"/>
      <c r="W291" s="239" t="n"/>
      <c r="X291" s="239" t="n"/>
      <c r="Y291" s="239" t="n"/>
      <c r="Z291" s="239" t="n"/>
      <c r="AA291" s="239" t="n"/>
      <c r="AB291" s="239" t="n"/>
      <c r="AC291" s="239" t="n"/>
      <c r="AD291" s="239" t="n"/>
      <c r="AE291" s="239" t="n"/>
      <c r="AF291" s="239" t="n"/>
      <c r="AG291" s="239" t="n"/>
      <c r="AH291" s="239" t="n"/>
      <c r="AI291" s="239" t="n"/>
      <c r="AJ291" s="239" t="n"/>
      <c r="AK291" s="239" t="n"/>
      <c r="AL291" s="239" t="n"/>
      <c r="AM291" s="239" t="n"/>
      <c r="AN291" s="239" t="n"/>
      <c r="AO291" s="239" t="n"/>
    </row>
    <row r="292">
      <c r="A292" s="256" t="n"/>
      <c r="B292" s="256" t="n"/>
      <c r="C292" s="256" t="n"/>
      <c r="D292" s="256" t="n"/>
      <c r="E292" s="256" t="n"/>
      <c r="F292" s="256" t="n"/>
      <c r="G292" s="256" t="n"/>
      <c r="H292" s="256" t="n"/>
      <c r="I292" s="256" t="n"/>
      <c r="J292" s="256" t="n"/>
      <c r="K292" s="256" t="n"/>
      <c r="L292" s="256" t="n"/>
      <c r="M292" s="256" t="n"/>
      <c r="N292" s="256" t="n"/>
      <c r="O292" s="256" t="n"/>
      <c r="P292" s="256" t="n"/>
      <c r="Q292" s="256" t="n"/>
      <c r="R292" s="256" t="n"/>
      <c r="S292" s="256" t="n"/>
      <c r="T292" s="256" t="n"/>
      <c r="U292" s="256" t="n"/>
      <c r="V292" s="256" t="n"/>
      <c r="W292" s="256" t="n"/>
      <c r="X292" s="256" t="n"/>
      <c r="Y292" s="256" t="n"/>
      <c r="Z292" s="256" t="n"/>
      <c r="AA292" s="256" t="n"/>
      <c r="AB292" s="256" t="n"/>
      <c r="AC292" s="256" t="n"/>
      <c r="AD292" s="256" t="n"/>
      <c r="AE292" s="256" t="n"/>
      <c r="AF292" s="256" t="n"/>
      <c r="AG292" s="256" t="n"/>
      <c r="AH292" s="256" t="n"/>
      <c r="AI292" s="256" t="n"/>
      <c r="AJ292" s="256" t="n"/>
      <c r="AK292" s="256" t="n"/>
      <c r="AL292" s="256" t="n"/>
      <c r="AM292" s="256" t="n"/>
      <c r="AN292" s="256" t="n"/>
      <c r="AO292" s="256" t="n"/>
    </row>
    <row r="293">
      <c r="A293" s="239" t="n"/>
      <c r="B293" s="239" t="n"/>
      <c r="C293" s="239" t="n"/>
      <c r="D293" s="239" t="n"/>
      <c r="E293" s="239" t="n"/>
      <c r="F293" s="239" t="n"/>
      <c r="G293" s="239" t="n"/>
      <c r="H293" s="239" t="n"/>
      <c r="I293" s="239" t="n"/>
      <c r="J293" s="239" t="n"/>
      <c r="K293" s="239" t="n"/>
      <c r="L293" s="239" t="n"/>
      <c r="M293" s="239" t="n"/>
      <c r="N293" s="239" t="n"/>
      <c r="O293" s="239" t="n"/>
      <c r="P293" s="239" t="n"/>
      <c r="Q293" s="239" t="n"/>
      <c r="R293" s="239" t="n"/>
      <c r="S293" s="239" t="n"/>
      <c r="T293" s="239" t="n"/>
      <c r="U293" s="239" t="n"/>
      <c r="V293" s="239" t="n"/>
      <c r="W293" s="239" t="n"/>
      <c r="X293" s="239" t="n"/>
      <c r="Y293" s="239" t="n"/>
      <c r="Z293" s="239" t="n"/>
      <c r="AA293" s="239" t="n"/>
      <c r="AB293" s="239" t="n"/>
      <c r="AC293" s="239" t="n"/>
      <c r="AD293" s="239" t="n"/>
      <c r="AE293" s="239" t="n"/>
      <c r="AF293" s="239" t="n"/>
      <c r="AG293" s="239" t="n"/>
      <c r="AH293" s="239" t="n"/>
      <c r="AI293" s="239" t="n"/>
      <c r="AJ293" s="239" t="n"/>
      <c r="AK293" s="239" t="n"/>
      <c r="AL293" s="239" t="n"/>
      <c r="AM293" s="239" t="n"/>
      <c r="AN293" s="239" t="n"/>
      <c r="AO293" s="239" t="n"/>
    </row>
    <row r="294">
      <c r="A294" s="256" t="n"/>
      <c r="B294" s="256" t="n"/>
      <c r="C294" s="256" t="n"/>
      <c r="D294" s="256" t="n"/>
      <c r="E294" s="256" t="n"/>
      <c r="F294" s="256" t="n"/>
      <c r="G294" s="256" t="n"/>
      <c r="H294" s="256" t="n"/>
      <c r="I294" s="256" t="n"/>
      <c r="J294" s="256" t="n"/>
      <c r="K294" s="256" t="n"/>
      <c r="L294" s="256" t="n"/>
      <c r="M294" s="256" t="n"/>
      <c r="N294" s="256" t="n"/>
      <c r="O294" s="256" t="n"/>
      <c r="P294" s="256" t="n"/>
      <c r="Q294" s="256" t="n"/>
      <c r="R294" s="256" t="n"/>
      <c r="S294" s="256" t="n"/>
      <c r="T294" s="256" t="n"/>
      <c r="U294" s="256" t="n"/>
      <c r="V294" s="256" t="n"/>
      <c r="W294" s="256" t="n"/>
      <c r="X294" s="256" t="n"/>
      <c r="Y294" s="256" t="n"/>
      <c r="Z294" s="256" t="n"/>
      <c r="AA294" s="256" t="n"/>
      <c r="AB294" s="256" t="n"/>
      <c r="AC294" s="256" t="n"/>
      <c r="AD294" s="256" t="n"/>
      <c r="AE294" s="256" t="n"/>
      <c r="AF294" s="256" t="n"/>
      <c r="AG294" s="256" t="n"/>
      <c r="AH294" s="256" t="n"/>
      <c r="AI294" s="256" t="n"/>
      <c r="AJ294" s="256" t="n"/>
      <c r="AK294" s="256" t="n"/>
      <c r="AL294" s="256" t="n"/>
      <c r="AM294" s="256" t="n"/>
      <c r="AN294" s="256" t="n"/>
      <c r="AO294" s="256" t="n"/>
    </row>
    <row r="295">
      <c r="A295" s="239" t="n"/>
      <c r="B295" s="239" t="n"/>
      <c r="C295" s="239" t="n"/>
      <c r="D295" s="239" t="n"/>
      <c r="E295" s="239" t="n"/>
      <c r="F295" s="239" t="n"/>
      <c r="G295" s="239" t="n"/>
      <c r="H295" s="239" t="n"/>
      <c r="I295" s="239" t="n"/>
      <c r="J295" s="239" t="n"/>
      <c r="K295" s="239" t="n"/>
      <c r="L295" s="239" t="n"/>
      <c r="M295" s="239" t="n"/>
      <c r="N295" s="239" t="n"/>
      <c r="O295" s="239" t="n"/>
      <c r="P295" s="239" t="n"/>
      <c r="Q295" s="239" t="n"/>
      <c r="R295" s="239" t="n"/>
      <c r="S295" s="239" t="n"/>
      <c r="T295" s="239" t="n"/>
      <c r="U295" s="239" t="n"/>
      <c r="V295" s="239" t="n"/>
      <c r="W295" s="239" t="n"/>
      <c r="X295" s="239" t="n"/>
      <c r="Y295" s="239" t="n"/>
      <c r="Z295" s="239" t="n"/>
      <c r="AA295" s="239" t="n"/>
      <c r="AB295" s="239" t="n"/>
      <c r="AC295" s="239" t="n"/>
      <c r="AD295" s="239" t="n"/>
      <c r="AE295" s="239" t="n"/>
      <c r="AF295" s="239" t="n"/>
      <c r="AG295" s="239" t="n"/>
      <c r="AH295" s="239" t="n"/>
      <c r="AI295" s="239" t="n"/>
      <c r="AJ295" s="239" t="n"/>
      <c r="AK295" s="239" t="n"/>
      <c r="AL295" s="239" t="n"/>
      <c r="AM295" s="239" t="n"/>
      <c r="AN295" s="239" t="n"/>
      <c r="AO295" s="239" t="n"/>
    </row>
    <row r="296">
      <c r="A296" s="256" t="n"/>
      <c r="B296" s="256" t="n"/>
      <c r="C296" s="256" t="n"/>
      <c r="D296" s="256" t="n"/>
      <c r="E296" s="256" t="n"/>
      <c r="F296" s="256" t="n"/>
      <c r="G296" s="256" t="n"/>
      <c r="H296" s="256" t="n"/>
      <c r="I296" s="256" t="n"/>
      <c r="J296" s="256" t="n"/>
      <c r="K296" s="256" t="n"/>
      <c r="L296" s="256" t="n"/>
      <c r="M296" s="256" t="n"/>
      <c r="N296" s="256" t="n"/>
      <c r="O296" s="256" t="n"/>
      <c r="P296" s="256" t="n"/>
      <c r="Q296" s="256" t="n"/>
      <c r="R296" s="256" t="n"/>
      <c r="S296" s="256" t="n"/>
      <c r="T296" s="256" t="n"/>
      <c r="U296" s="256" t="n"/>
      <c r="V296" s="256" t="n"/>
      <c r="W296" s="256" t="n"/>
      <c r="X296" s="256" t="n"/>
      <c r="Y296" s="256" t="n"/>
      <c r="Z296" s="256" t="n"/>
      <c r="AA296" s="256" t="n"/>
      <c r="AB296" s="256" t="n"/>
      <c r="AC296" s="256" t="n"/>
      <c r="AD296" s="256" t="n"/>
      <c r="AE296" s="256" t="n"/>
      <c r="AF296" s="256" t="n"/>
      <c r="AG296" s="256" t="n"/>
      <c r="AH296" s="256" t="n"/>
      <c r="AI296" s="256" t="n"/>
      <c r="AJ296" s="256" t="n"/>
      <c r="AK296" s="256" t="n"/>
      <c r="AL296" s="256" t="n"/>
      <c r="AM296" s="256" t="n"/>
      <c r="AN296" s="256" t="n"/>
      <c r="AO296" s="256" t="n"/>
    </row>
    <row r="297">
      <c r="A297" s="239" t="n"/>
      <c r="B297" s="239" t="n"/>
      <c r="C297" s="239" t="n"/>
      <c r="D297" s="239" t="n"/>
      <c r="E297" s="239" t="n"/>
      <c r="F297" s="239" t="n"/>
      <c r="G297" s="239" t="n"/>
      <c r="H297" s="239" t="n"/>
      <c r="I297" s="239" t="n"/>
      <c r="J297" s="239" t="n"/>
      <c r="K297" s="239" t="n"/>
      <c r="L297" s="239" t="n"/>
      <c r="M297" s="239" t="n"/>
      <c r="N297" s="239" t="n"/>
      <c r="O297" s="239" t="n"/>
      <c r="P297" s="239" t="n"/>
      <c r="Q297" s="239" t="n"/>
      <c r="R297" s="239" t="n"/>
      <c r="S297" s="239" t="n"/>
      <c r="T297" s="239" t="n"/>
      <c r="U297" s="239" t="n"/>
      <c r="V297" s="239" t="n"/>
      <c r="W297" s="239" t="n"/>
      <c r="X297" s="239" t="n"/>
      <c r="Y297" s="239" t="n"/>
      <c r="Z297" s="239" t="n"/>
      <c r="AA297" s="239" t="n"/>
      <c r="AB297" s="239" t="n"/>
      <c r="AC297" s="239" t="n"/>
      <c r="AD297" s="239" t="n"/>
      <c r="AE297" s="239" t="n"/>
      <c r="AF297" s="239" t="n"/>
      <c r="AG297" s="239" t="n"/>
      <c r="AH297" s="239" t="n"/>
      <c r="AI297" s="239" t="n"/>
      <c r="AJ297" s="239" t="n"/>
      <c r="AK297" s="239" t="n"/>
      <c r="AL297" s="239" t="n"/>
      <c r="AM297" s="239" t="n"/>
      <c r="AN297" s="239" t="n"/>
      <c r="AO297" s="239" t="n"/>
    </row>
    <row r="298">
      <c r="A298" s="256" t="n"/>
      <c r="B298" s="256" t="n"/>
      <c r="C298" s="256" t="n"/>
      <c r="D298" s="256" t="n"/>
      <c r="E298" s="256" t="n"/>
      <c r="F298" s="256" t="n"/>
      <c r="G298" s="256" t="n"/>
      <c r="H298" s="256" t="n"/>
      <c r="I298" s="256" t="n"/>
      <c r="J298" s="256" t="n"/>
      <c r="K298" s="256" t="n"/>
      <c r="L298" s="256" t="n"/>
      <c r="M298" s="256" t="n"/>
      <c r="N298" s="256" t="n"/>
      <c r="O298" s="256" t="n"/>
      <c r="P298" s="256" t="n"/>
      <c r="Q298" s="256" t="n"/>
      <c r="R298" s="256" t="n"/>
      <c r="S298" s="256" t="n"/>
      <c r="T298" s="256" t="n"/>
      <c r="U298" s="256" t="n"/>
      <c r="V298" s="256" t="n"/>
      <c r="W298" s="256" t="n"/>
      <c r="X298" s="256" t="n"/>
      <c r="Y298" s="256" t="n"/>
      <c r="Z298" s="256" t="n"/>
      <c r="AA298" s="256" t="n"/>
      <c r="AB298" s="256" t="n"/>
      <c r="AC298" s="256" t="n"/>
      <c r="AD298" s="256" t="n"/>
      <c r="AE298" s="256" t="n"/>
      <c r="AF298" s="256" t="n"/>
      <c r="AG298" s="256" t="n"/>
      <c r="AH298" s="256" t="n"/>
      <c r="AI298" s="256" t="n"/>
      <c r="AJ298" s="256" t="n"/>
      <c r="AK298" s="256" t="n"/>
      <c r="AL298" s="256" t="n"/>
      <c r="AM298" s="256" t="n"/>
      <c r="AN298" s="256" t="n"/>
      <c r="AO298" s="256" t="n"/>
    </row>
    <row r="299">
      <c r="A299" s="239" t="n"/>
      <c r="B299" s="239" t="n"/>
      <c r="C299" s="239" t="n"/>
      <c r="D299" s="239" t="n"/>
      <c r="E299" s="239" t="n"/>
      <c r="F299" s="239" t="n"/>
      <c r="G299" s="239" t="n"/>
      <c r="H299" s="239" t="n"/>
      <c r="I299" s="239" t="n"/>
      <c r="J299" s="239" t="n"/>
      <c r="K299" s="239" t="n"/>
      <c r="L299" s="239" t="n"/>
      <c r="M299" s="239" t="n"/>
      <c r="N299" s="239" t="n"/>
      <c r="O299" s="239" t="n"/>
      <c r="P299" s="239" t="n"/>
      <c r="Q299" s="239" t="n"/>
      <c r="R299" s="239" t="n"/>
      <c r="S299" s="239" t="n"/>
      <c r="T299" s="239" t="n"/>
      <c r="U299" s="239" t="n"/>
      <c r="V299" s="239" t="n"/>
      <c r="W299" s="239" t="n"/>
      <c r="X299" s="239" t="n"/>
      <c r="Y299" s="239" t="n"/>
      <c r="Z299" s="239" t="n"/>
      <c r="AA299" s="239" t="n"/>
      <c r="AB299" s="239" t="n"/>
      <c r="AC299" s="239" t="n"/>
      <c r="AD299" s="239" t="n"/>
      <c r="AE299" s="239" t="n"/>
      <c r="AF299" s="239" t="n"/>
      <c r="AG299" s="239" t="n"/>
      <c r="AH299" s="239" t="n"/>
      <c r="AI299" s="239" t="n"/>
      <c r="AJ299" s="239" t="n"/>
      <c r="AK299" s="239" t="n"/>
      <c r="AL299" s="239" t="n"/>
      <c r="AM299" s="239" t="n"/>
      <c r="AN299" s="239" t="n"/>
      <c r="AO299" s="239" t="n"/>
    </row>
    <row r="300">
      <c r="A300" s="256" t="n"/>
      <c r="B300" s="256" t="n"/>
      <c r="C300" s="256" t="n"/>
      <c r="D300" s="256" t="n"/>
      <c r="E300" s="256" t="n"/>
      <c r="F300" s="256" t="n"/>
      <c r="G300" s="256" t="n"/>
      <c r="H300" s="256" t="n"/>
      <c r="I300" s="256" t="n"/>
      <c r="J300" s="256" t="n"/>
      <c r="K300" s="256" t="n"/>
      <c r="L300" s="256" t="n"/>
      <c r="M300" s="256" t="n"/>
      <c r="N300" s="256" t="n"/>
      <c r="O300" s="256" t="n"/>
      <c r="P300" s="256" t="n"/>
      <c r="Q300" s="256" t="n"/>
      <c r="R300" s="256" t="n"/>
      <c r="S300" s="256" t="n"/>
      <c r="T300" s="256" t="n"/>
      <c r="U300" s="256" t="n"/>
      <c r="V300" s="256" t="n"/>
      <c r="W300" s="256" t="n"/>
      <c r="X300" s="256" t="n"/>
      <c r="Y300" s="256" t="n"/>
      <c r="Z300" s="256" t="n"/>
      <c r="AA300" s="256" t="n"/>
      <c r="AB300" s="256" t="n"/>
      <c r="AC300" s="256" t="n"/>
      <c r="AD300" s="256" t="n"/>
      <c r="AE300" s="256" t="n"/>
      <c r="AF300" s="256" t="n"/>
      <c r="AG300" s="256" t="n"/>
      <c r="AH300" s="256" t="n"/>
      <c r="AI300" s="256" t="n"/>
      <c r="AJ300" s="256" t="n"/>
      <c r="AK300" s="256" t="n"/>
      <c r="AL300" s="256" t="n"/>
      <c r="AM300" s="256" t="n"/>
      <c r="AN300" s="256" t="n"/>
      <c r="AO300" s="256" t="n"/>
    </row>
    <row r="301">
      <c r="A301" s="239" t="n"/>
      <c r="B301" s="239" t="n"/>
      <c r="C301" s="239" t="n"/>
      <c r="D301" s="239" t="n"/>
      <c r="E301" s="239" t="n"/>
      <c r="F301" s="239" t="n"/>
      <c r="G301" s="239" t="n"/>
      <c r="H301" s="239" t="n"/>
      <c r="I301" s="239" t="n"/>
      <c r="J301" s="239" t="n"/>
      <c r="K301" s="239" t="n"/>
      <c r="L301" s="239" t="n"/>
      <c r="M301" s="239" t="n"/>
      <c r="N301" s="239" t="n"/>
      <c r="O301" s="239" t="n"/>
      <c r="P301" s="239" t="n"/>
      <c r="Q301" s="239" t="n"/>
      <c r="R301" s="239" t="n"/>
      <c r="S301" s="239" t="n"/>
      <c r="T301" s="239" t="n"/>
      <c r="U301" s="239" t="n"/>
      <c r="V301" s="239" t="n"/>
      <c r="W301" s="239" t="n"/>
      <c r="X301" s="239" t="n"/>
      <c r="Y301" s="239" t="n"/>
      <c r="Z301" s="239" t="n"/>
      <c r="AA301" s="239" t="n"/>
      <c r="AB301" s="239" t="n"/>
      <c r="AC301" s="239" t="n"/>
      <c r="AD301" s="239" t="n"/>
      <c r="AE301" s="239" t="n"/>
      <c r="AF301" s="239" t="n"/>
      <c r="AG301" s="239" t="n"/>
      <c r="AH301" s="239" t="n"/>
      <c r="AI301" s="239" t="n"/>
      <c r="AJ301" s="239" t="n"/>
      <c r="AK301" s="239" t="n"/>
      <c r="AL301" s="239" t="n"/>
      <c r="AM301" s="239" t="n"/>
      <c r="AN301" s="239" t="n"/>
      <c r="AO301" s="239" t="n"/>
    </row>
    <row r="302">
      <c r="A302" s="256" t="n"/>
      <c r="B302" s="256" t="n"/>
      <c r="C302" s="256" t="n"/>
      <c r="D302" s="256" t="n"/>
      <c r="E302" s="256" t="n"/>
      <c r="F302" s="256" t="n"/>
      <c r="G302" s="256" t="n"/>
      <c r="H302" s="256" t="n"/>
      <c r="I302" s="256" t="n"/>
      <c r="J302" s="256" t="n"/>
      <c r="K302" s="256" t="n"/>
      <c r="L302" s="256" t="n"/>
      <c r="M302" s="256" t="n"/>
      <c r="N302" s="256" t="n"/>
      <c r="O302" s="256" t="n"/>
      <c r="P302" s="256" t="n"/>
      <c r="Q302" s="256" t="n"/>
      <c r="R302" s="256" t="n"/>
      <c r="S302" s="256" t="n"/>
      <c r="T302" s="256" t="n"/>
      <c r="U302" s="256" t="n"/>
      <c r="V302" s="256" t="n"/>
      <c r="W302" s="256" t="n"/>
      <c r="X302" s="256" t="n"/>
      <c r="Y302" s="256" t="n"/>
      <c r="Z302" s="256" t="n"/>
      <c r="AA302" s="256" t="n"/>
      <c r="AB302" s="256" t="n"/>
      <c r="AC302" s="256" t="n"/>
      <c r="AD302" s="256" t="n"/>
      <c r="AE302" s="256" t="n"/>
      <c r="AF302" s="256" t="n"/>
      <c r="AG302" s="256" t="n"/>
      <c r="AH302" s="256" t="n"/>
      <c r="AI302" s="256" t="n"/>
      <c r="AJ302" s="256" t="n"/>
      <c r="AK302" s="256" t="n"/>
      <c r="AL302" s="256" t="n"/>
      <c r="AM302" s="256" t="n"/>
      <c r="AN302" s="256" t="n"/>
      <c r="AO302" s="256" t="n"/>
    </row>
    <row r="303">
      <c r="A303" s="239" t="n"/>
      <c r="B303" s="239" t="n"/>
      <c r="C303" s="239" t="n"/>
      <c r="D303" s="239" t="n"/>
      <c r="E303" s="239" t="n"/>
      <c r="F303" s="239" t="n"/>
      <c r="G303" s="239" t="n"/>
      <c r="H303" s="239" t="n"/>
      <c r="I303" s="239" t="n"/>
      <c r="J303" s="239" t="n"/>
      <c r="K303" s="239" t="n"/>
      <c r="L303" s="239" t="n"/>
      <c r="M303" s="239" t="n"/>
      <c r="N303" s="239" t="n"/>
      <c r="O303" s="239" t="n"/>
      <c r="P303" s="239" t="n"/>
      <c r="Q303" s="239" t="n"/>
      <c r="R303" s="239" t="n"/>
      <c r="S303" s="239" t="n"/>
      <c r="T303" s="239" t="n"/>
      <c r="U303" s="239" t="n"/>
      <c r="V303" s="239" t="n"/>
      <c r="W303" s="239" t="n"/>
      <c r="X303" s="239" t="n"/>
      <c r="Y303" s="239" t="n"/>
      <c r="Z303" s="239" t="n"/>
      <c r="AA303" s="239" t="n"/>
      <c r="AB303" s="239" t="n"/>
      <c r="AC303" s="239" t="n"/>
      <c r="AD303" s="239" t="n"/>
      <c r="AE303" s="239" t="n"/>
      <c r="AF303" s="239" t="n"/>
      <c r="AG303" s="239" t="n"/>
      <c r="AH303" s="239" t="n"/>
      <c r="AI303" s="239" t="n"/>
      <c r="AJ303" s="239" t="n"/>
      <c r="AK303" s="239" t="n"/>
      <c r="AL303" s="239" t="n"/>
      <c r="AM303" s="239" t="n"/>
      <c r="AN303" s="239" t="n"/>
      <c r="AO303" s="239" t="n"/>
    </row>
    <row r="304">
      <c r="A304" s="256" t="n"/>
      <c r="B304" s="256" t="n"/>
      <c r="C304" s="256" t="n"/>
      <c r="D304" s="256" t="n"/>
      <c r="E304" s="256" t="n"/>
      <c r="F304" s="256" t="n"/>
      <c r="G304" s="256" t="n"/>
      <c r="H304" s="256" t="n"/>
      <c r="I304" s="256" t="n"/>
      <c r="J304" s="256" t="n"/>
      <c r="K304" s="256" t="n"/>
      <c r="L304" s="256" t="n"/>
      <c r="M304" s="256" t="n"/>
      <c r="N304" s="256" t="n"/>
      <c r="O304" s="256" t="n"/>
      <c r="P304" s="256" t="n"/>
      <c r="Q304" s="256" t="n"/>
      <c r="R304" s="256" t="n"/>
      <c r="S304" s="256" t="n"/>
      <c r="T304" s="256" t="n"/>
      <c r="U304" s="256" t="n"/>
      <c r="V304" s="256" t="n"/>
      <c r="W304" s="256" t="n"/>
      <c r="X304" s="256" t="n"/>
      <c r="Y304" s="256" t="n"/>
      <c r="Z304" s="256" t="n"/>
      <c r="AA304" s="256" t="n"/>
      <c r="AB304" s="256" t="n"/>
      <c r="AC304" s="256" t="n"/>
      <c r="AD304" s="256" t="n"/>
      <c r="AE304" s="256" t="n"/>
      <c r="AF304" s="256" t="n"/>
      <c r="AG304" s="256" t="n"/>
      <c r="AH304" s="256" t="n"/>
      <c r="AI304" s="256" t="n"/>
      <c r="AJ304" s="256" t="n"/>
      <c r="AK304" s="256" t="n"/>
      <c r="AL304" s="256" t="n"/>
      <c r="AM304" s="256" t="n"/>
      <c r="AN304" s="256" t="n"/>
      <c r="AO304" s="256" t="n"/>
    </row>
    <row r="305">
      <c r="A305" s="239" t="n"/>
      <c r="B305" s="239" t="n"/>
      <c r="C305" s="239" t="n"/>
      <c r="D305" s="239" t="n"/>
      <c r="E305" s="239" t="n"/>
      <c r="F305" s="239" t="n"/>
      <c r="G305" s="239" t="n"/>
      <c r="H305" s="239" t="n"/>
      <c r="I305" s="239" t="n"/>
      <c r="J305" s="239" t="n"/>
      <c r="K305" s="239" t="n"/>
      <c r="L305" s="239" t="n"/>
      <c r="M305" s="239" t="n"/>
      <c r="N305" s="239" t="n"/>
      <c r="O305" s="239" t="n"/>
      <c r="P305" s="239" t="n"/>
      <c r="Q305" s="239" t="n"/>
      <c r="R305" s="239" t="n"/>
      <c r="S305" s="239" t="n"/>
      <c r="T305" s="239" t="n"/>
      <c r="U305" s="239" t="n"/>
      <c r="V305" s="239" t="n"/>
      <c r="W305" s="239" t="n"/>
      <c r="X305" s="239" t="n"/>
      <c r="Y305" s="239" t="n"/>
      <c r="Z305" s="239" t="n"/>
      <c r="AA305" s="239" t="n"/>
      <c r="AB305" s="239" t="n"/>
      <c r="AC305" s="239" t="n"/>
      <c r="AD305" s="239" t="n"/>
      <c r="AE305" s="239" t="n"/>
      <c r="AF305" s="239" t="n"/>
      <c r="AG305" s="239" t="n"/>
      <c r="AH305" s="239" t="n"/>
      <c r="AI305" s="239" t="n"/>
      <c r="AJ305" s="239" t="n"/>
      <c r="AK305" s="239" t="n"/>
      <c r="AL305" s="239" t="n"/>
      <c r="AM305" s="239" t="n"/>
      <c r="AN305" s="239" t="n"/>
      <c r="AO305" s="239" t="n"/>
    </row>
    <row r="306">
      <c r="A306" s="256" t="n"/>
      <c r="B306" s="256" t="n"/>
      <c r="C306" s="256" t="n"/>
      <c r="D306" s="256" t="n"/>
      <c r="E306" s="256" t="n"/>
      <c r="F306" s="256" t="n"/>
      <c r="G306" s="256" t="n"/>
      <c r="H306" s="256" t="n"/>
      <c r="I306" s="256" t="n"/>
      <c r="J306" s="256" t="n"/>
      <c r="K306" s="256" t="n"/>
      <c r="L306" s="256" t="n"/>
      <c r="M306" s="256" t="n"/>
      <c r="N306" s="256" t="n"/>
      <c r="O306" s="256" t="n"/>
      <c r="P306" s="256" t="n"/>
      <c r="Q306" s="256" t="n"/>
      <c r="R306" s="256" t="n"/>
      <c r="S306" s="256" t="n"/>
      <c r="T306" s="256" t="n"/>
      <c r="U306" s="256" t="n"/>
      <c r="V306" s="256" t="n"/>
      <c r="W306" s="256" t="n"/>
      <c r="X306" s="256" t="n"/>
      <c r="Y306" s="256" t="n"/>
      <c r="Z306" s="256" t="n"/>
      <c r="AA306" s="256" t="n"/>
      <c r="AB306" s="256" t="n"/>
      <c r="AC306" s="256" t="n"/>
      <c r="AD306" s="256" t="n"/>
      <c r="AE306" s="256" t="n"/>
      <c r="AF306" s="256" t="n"/>
      <c r="AG306" s="256" t="n"/>
      <c r="AH306" s="256" t="n"/>
      <c r="AI306" s="256" t="n"/>
      <c r="AJ306" s="256" t="n"/>
      <c r="AK306" s="256" t="n"/>
      <c r="AL306" s="256" t="n"/>
      <c r="AM306" s="256" t="n"/>
      <c r="AN306" s="256" t="n"/>
      <c r="AO306" s="256" t="n"/>
    </row>
    <row r="307">
      <c r="A307" s="239" t="n"/>
      <c r="B307" s="239" t="n"/>
      <c r="C307" s="239" t="n"/>
      <c r="D307" s="239" t="n"/>
      <c r="E307" s="239" t="n"/>
      <c r="F307" s="239" t="n"/>
      <c r="G307" s="239" t="n"/>
      <c r="H307" s="239" t="n"/>
      <c r="I307" s="239" t="n"/>
      <c r="J307" s="239" t="n"/>
      <c r="K307" s="239" t="n"/>
      <c r="L307" s="239" t="n"/>
      <c r="M307" s="239" t="n"/>
      <c r="N307" s="239" t="n"/>
      <c r="O307" s="239" t="n"/>
      <c r="P307" s="239" t="n"/>
      <c r="Q307" s="239" t="n"/>
      <c r="R307" s="239" t="n"/>
      <c r="S307" s="239" t="n"/>
      <c r="T307" s="239" t="n"/>
      <c r="U307" s="239" t="n"/>
      <c r="V307" s="239" t="n"/>
      <c r="W307" s="239" t="n"/>
      <c r="X307" s="239" t="n"/>
      <c r="Y307" s="239" t="n"/>
      <c r="Z307" s="239" t="n"/>
      <c r="AA307" s="239" t="n"/>
      <c r="AB307" s="239" t="n"/>
      <c r="AC307" s="239" t="n"/>
      <c r="AD307" s="239" t="n"/>
      <c r="AE307" s="239" t="n"/>
      <c r="AF307" s="239" t="n"/>
      <c r="AG307" s="239" t="n"/>
      <c r="AH307" s="239" t="n"/>
      <c r="AI307" s="239" t="n"/>
      <c r="AJ307" s="239" t="n"/>
      <c r="AK307" s="239" t="n"/>
      <c r="AL307" s="239" t="n"/>
      <c r="AM307" s="239" t="n"/>
      <c r="AN307" s="239" t="n"/>
      <c r="AO307" s="239" t="n"/>
    </row>
    <row r="308">
      <c r="A308" s="256" t="n"/>
      <c r="B308" s="256" t="n"/>
      <c r="C308" s="256" t="n"/>
      <c r="D308" s="256" t="n"/>
      <c r="E308" s="256" t="n"/>
      <c r="F308" s="256" t="n"/>
      <c r="G308" s="256" t="n"/>
      <c r="H308" s="256" t="n"/>
      <c r="I308" s="256" t="n"/>
      <c r="J308" s="256" t="n"/>
      <c r="K308" s="256" t="n"/>
      <c r="L308" s="256" t="n"/>
      <c r="M308" s="256" t="n"/>
      <c r="N308" s="256" t="n"/>
      <c r="O308" s="256" t="n"/>
      <c r="P308" s="256" t="n"/>
      <c r="Q308" s="256" t="n"/>
      <c r="R308" s="256" t="n"/>
      <c r="S308" s="256" t="n"/>
      <c r="T308" s="256" t="n"/>
      <c r="U308" s="256" t="n"/>
      <c r="V308" s="256" t="n"/>
      <c r="W308" s="256" t="n"/>
      <c r="X308" s="256" t="n"/>
      <c r="Y308" s="256" t="n"/>
      <c r="Z308" s="256" t="n"/>
      <c r="AA308" s="256" t="n"/>
      <c r="AB308" s="256" t="n"/>
      <c r="AC308" s="256" t="n"/>
      <c r="AD308" s="256" t="n"/>
      <c r="AE308" s="256" t="n"/>
      <c r="AF308" s="256" t="n"/>
      <c r="AG308" s="256" t="n"/>
      <c r="AH308" s="256" t="n"/>
      <c r="AI308" s="256" t="n"/>
      <c r="AJ308" s="256" t="n"/>
      <c r="AK308" s="256" t="n"/>
      <c r="AL308" s="256" t="n"/>
      <c r="AM308" s="256" t="n"/>
      <c r="AN308" s="256" t="n"/>
      <c r="AO308" s="256" t="n"/>
    </row>
    <row r="309">
      <c r="A309" s="239" t="n"/>
      <c r="B309" s="239" t="n"/>
      <c r="C309" s="239" t="n"/>
      <c r="D309" s="239" t="n"/>
      <c r="E309" s="239" t="n"/>
      <c r="F309" s="239" t="n"/>
      <c r="G309" s="239" t="n"/>
      <c r="H309" s="239" t="n"/>
      <c r="I309" s="239" t="n"/>
      <c r="J309" s="239" t="n"/>
      <c r="K309" s="239" t="n"/>
      <c r="L309" s="239" t="n"/>
      <c r="M309" s="239" t="n"/>
      <c r="N309" s="239" t="n"/>
      <c r="O309" s="239" t="n"/>
      <c r="P309" s="239" t="n"/>
      <c r="Q309" s="239" t="n"/>
      <c r="R309" s="239" t="n"/>
      <c r="S309" s="239" t="n"/>
      <c r="T309" s="239" t="n"/>
      <c r="U309" s="239" t="n"/>
      <c r="V309" s="239" t="n"/>
      <c r="W309" s="239" t="n"/>
      <c r="X309" s="239" t="n"/>
      <c r="Y309" s="239" t="n"/>
      <c r="Z309" s="239" t="n"/>
      <c r="AA309" s="239" t="n"/>
      <c r="AB309" s="239" t="n"/>
      <c r="AC309" s="239" t="n"/>
      <c r="AD309" s="239" t="n"/>
      <c r="AE309" s="239" t="n"/>
      <c r="AF309" s="239" t="n"/>
      <c r="AG309" s="239" t="n"/>
      <c r="AH309" s="239" t="n"/>
      <c r="AI309" s="239" t="n"/>
      <c r="AJ309" s="239" t="n"/>
      <c r="AK309" s="239" t="n"/>
      <c r="AL309" s="239" t="n"/>
      <c r="AM309" s="239" t="n"/>
      <c r="AN309" s="239" t="n"/>
      <c r="AO309" s="239" t="n"/>
    </row>
    <row r="310">
      <c r="A310" s="256" t="n"/>
      <c r="B310" s="256" t="n"/>
      <c r="C310" s="256" t="n"/>
      <c r="D310" s="256" t="n"/>
      <c r="E310" s="256" t="n"/>
      <c r="F310" s="256" t="n"/>
      <c r="G310" s="256" t="n"/>
      <c r="H310" s="256" t="n"/>
      <c r="I310" s="256" t="n"/>
      <c r="J310" s="256" t="n"/>
      <c r="K310" s="256" t="n"/>
      <c r="L310" s="256" t="n"/>
      <c r="M310" s="256" t="n"/>
      <c r="N310" s="256" t="n"/>
      <c r="O310" s="256" t="n"/>
      <c r="P310" s="256" t="n"/>
      <c r="Q310" s="256" t="n"/>
      <c r="R310" s="256" t="n"/>
      <c r="S310" s="256" t="n"/>
      <c r="T310" s="256" t="n"/>
      <c r="U310" s="256" t="n"/>
      <c r="V310" s="256" t="n"/>
      <c r="W310" s="256" t="n"/>
      <c r="X310" s="256" t="n"/>
      <c r="Y310" s="256" t="n"/>
      <c r="Z310" s="256" t="n"/>
      <c r="AA310" s="256" t="n"/>
      <c r="AB310" s="256" t="n"/>
      <c r="AC310" s="256" t="n"/>
      <c r="AD310" s="256" t="n"/>
      <c r="AE310" s="256" t="n"/>
      <c r="AF310" s="256" t="n"/>
      <c r="AG310" s="256" t="n"/>
      <c r="AH310" s="256" t="n"/>
      <c r="AI310" s="256" t="n"/>
      <c r="AJ310" s="256" t="n"/>
      <c r="AK310" s="256" t="n"/>
      <c r="AL310" s="256" t="n"/>
      <c r="AM310" s="256" t="n"/>
      <c r="AN310" s="256" t="n"/>
      <c r="AO310" s="256" t="n"/>
    </row>
    <row r="311">
      <c r="A311" s="239" t="n"/>
      <c r="B311" s="239" t="n"/>
      <c r="C311" s="239" t="n"/>
      <c r="D311" s="239" t="n"/>
      <c r="E311" s="239" t="n"/>
      <c r="F311" s="239" t="n"/>
      <c r="G311" s="239" t="n"/>
      <c r="H311" s="239" t="n"/>
      <c r="I311" s="239" t="n"/>
      <c r="J311" s="239" t="n"/>
      <c r="K311" s="239" t="n"/>
      <c r="L311" s="239" t="n"/>
      <c r="M311" s="239" t="n"/>
      <c r="N311" s="239" t="n"/>
      <c r="O311" s="239" t="n"/>
      <c r="P311" s="239" t="n"/>
      <c r="Q311" s="239" t="n"/>
      <c r="R311" s="239" t="n"/>
      <c r="S311" s="239" t="n"/>
      <c r="T311" s="239" t="n"/>
      <c r="U311" s="239" t="n"/>
      <c r="V311" s="239" t="n"/>
      <c r="W311" s="239" t="n"/>
      <c r="X311" s="239" t="n"/>
      <c r="Y311" s="239" t="n"/>
      <c r="Z311" s="239" t="n"/>
      <c r="AA311" s="239" t="n"/>
      <c r="AB311" s="239" t="n"/>
      <c r="AC311" s="239" t="n"/>
      <c r="AD311" s="239" t="n"/>
      <c r="AE311" s="239" t="n"/>
      <c r="AF311" s="239" t="n"/>
      <c r="AG311" s="239" t="n"/>
      <c r="AH311" s="239" t="n"/>
      <c r="AI311" s="239" t="n"/>
      <c r="AJ311" s="239" t="n"/>
      <c r="AK311" s="239" t="n"/>
      <c r="AL311" s="239" t="n"/>
      <c r="AM311" s="239" t="n"/>
      <c r="AN311" s="239" t="n"/>
      <c r="AO311" s="239" t="n"/>
    </row>
    <row r="312">
      <c r="A312" s="256" t="n"/>
      <c r="B312" s="256" t="n"/>
      <c r="C312" s="256" t="n"/>
      <c r="D312" s="256" t="n"/>
      <c r="E312" s="256" t="n"/>
      <c r="F312" s="256" t="n"/>
      <c r="G312" s="256" t="n"/>
      <c r="H312" s="256" t="n"/>
      <c r="I312" s="256" t="n"/>
      <c r="J312" s="256" t="n"/>
      <c r="K312" s="256" t="n"/>
      <c r="L312" s="256" t="n"/>
      <c r="M312" s="256" t="n"/>
      <c r="N312" s="256" t="n"/>
      <c r="O312" s="256" t="n"/>
      <c r="P312" s="256" t="n"/>
      <c r="Q312" s="256" t="n"/>
      <c r="R312" s="256" t="n"/>
      <c r="S312" s="256" t="n"/>
      <c r="T312" s="256" t="n"/>
      <c r="U312" s="256" t="n"/>
      <c r="V312" s="256" t="n"/>
      <c r="W312" s="256" t="n"/>
      <c r="X312" s="256" t="n"/>
      <c r="Y312" s="256" t="n"/>
      <c r="Z312" s="256" t="n"/>
      <c r="AA312" s="256" t="n"/>
      <c r="AB312" s="256" t="n"/>
      <c r="AC312" s="256" t="n"/>
      <c r="AD312" s="256" t="n"/>
      <c r="AE312" s="256" t="n"/>
      <c r="AF312" s="256" t="n"/>
      <c r="AG312" s="256" t="n"/>
      <c r="AH312" s="256" t="n"/>
      <c r="AI312" s="256" t="n"/>
      <c r="AJ312" s="256" t="n"/>
      <c r="AK312" s="256" t="n"/>
      <c r="AL312" s="256" t="n"/>
      <c r="AM312" s="256" t="n"/>
      <c r="AN312" s="256" t="n"/>
      <c r="AO312" s="256" t="n"/>
    </row>
    <row r="313">
      <c r="A313" s="239" t="n"/>
      <c r="B313" s="239" t="n"/>
      <c r="C313" s="239" t="n"/>
      <c r="D313" s="239" t="n"/>
      <c r="E313" s="239" t="n"/>
      <c r="F313" s="239" t="n"/>
      <c r="G313" s="239" t="n"/>
      <c r="H313" s="239" t="n"/>
      <c r="I313" s="239" t="n"/>
      <c r="J313" s="239" t="n"/>
      <c r="K313" s="239" t="n"/>
      <c r="L313" s="239" t="n"/>
      <c r="M313" s="239" t="n"/>
      <c r="N313" s="239" t="n"/>
      <c r="O313" s="239" t="n"/>
      <c r="P313" s="239" t="n"/>
      <c r="Q313" s="239" t="n"/>
      <c r="R313" s="239" t="n"/>
      <c r="S313" s="239" t="n"/>
      <c r="T313" s="239" t="n"/>
      <c r="U313" s="239" t="n"/>
      <c r="V313" s="239" t="n"/>
      <c r="W313" s="239" t="n"/>
      <c r="X313" s="239" t="n"/>
      <c r="Y313" s="239" t="n"/>
      <c r="Z313" s="239" t="n"/>
      <c r="AA313" s="239" t="n"/>
      <c r="AB313" s="239" t="n"/>
      <c r="AC313" s="239" t="n"/>
      <c r="AD313" s="239" t="n"/>
      <c r="AE313" s="239" t="n"/>
      <c r="AF313" s="239" t="n"/>
      <c r="AG313" s="239" t="n"/>
      <c r="AH313" s="239" t="n"/>
      <c r="AI313" s="239" t="n"/>
      <c r="AJ313" s="239" t="n"/>
      <c r="AK313" s="239" t="n"/>
      <c r="AL313" s="239" t="n"/>
      <c r="AM313" s="239" t="n"/>
      <c r="AN313" s="239" t="n"/>
      <c r="AO313" s="239" t="n"/>
    </row>
    <row r="314">
      <c r="A314" s="256" t="n"/>
      <c r="B314" s="256" t="n"/>
      <c r="C314" s="256" t="n"/>
      <c r="D314" s="256" t="n"/>
      <c r="E314" s="256" t="n"/>
      <c r="F314" s="256" t="n"/>
      <c r="G314" s="256" t="n"/>
      <c r="H314" s="256" t="n"/>
      <c r="I314" s="256" t="n"/>
      <c r="J314" s="256" t="n"/>
      <c r="K314" s="256" t="n"/>
      <c r="L314" s="256" t="n"/>
      <c r="M314" s="256" t="n"/>
      <c r="N314" s="256" t="n"/>
      <c r="O314" s="256" t="n"/>
      <c r="P314" s="256" t="n"/>
      <c r="Q314" s="256" t="n"/>
      <c r="R314" s="256" t="n"/>
      <c r="S314" s="256" t="n"/>
      <c r="T314" s="256" t="n"/>
      <c r="U314" s="256" t="n"/>
      <c r="V314" s="256" t="n"/>
      <c r="W314" s="256" t="n"/>
      <c r="X314" s="256" t="n"/>
      <c r="Y314" s="256" t="n"/>
      <c r="Z314" s="256" t="n"/>
      <c r="AA314" s="256" t="n"/>
      <c r="AB314" s="256" t="n"/>
      <c r="AC314" s="256" t="n"/>
      <c r="AD314" s="256" t="n"/>
      <c r="AE314" s="256" t="n"/>
      <c r="AF314" s="256" t="n"/>
      <c r="AG314" s="256" t="n"/>
      <c r="AH314" s="256" t="n"/>
      <c r="AI314" s="256" t="n"/>
      <c r="AJ314" s="256" t="n"/>
      <c r="AK314" s="256" t="n"/>
      <c r="AL314" s="256" t="n"/>
      <c r="AM314" s="256" t="n"/>
      <c r="AN314" s="256" t="n"/>
      <c r="AO314" s="256" t="n"/>
    </row>
    <row r="315">
      <c r="A315" s="239" t="n"/>
      <c r="B315" s="239" t="n"/>
      <c r="C315" s="239" t="n"/>
      <c r="D315" s="239" t="n"/>
      <c r="E315" s="239" t="n"/>
      <c r="F315" s="239" t="n"/>
      <c r="G315" s="239" t="n"/>
      <c r="H315" s="239" t="n"/>
      <c r="I315" s="239" t="n"/>
      <c r="J315" s="239" t="n"/>
      <c r="K315" s="239" t="n"/>
      <c r="L315" s="239" t="n"/>
      <c r="M315" s="239" t="n"/>
      <c r="N315" s="239" t="n"/>
      <c r="O315" s="239" t="n"/>
      <c r="P315" s="239" t="n"/>
      <c r="Q315" s="239" t="n"/>
      <c r="R315" s="239" t="n"/>
      <c r="S315" s="239" t="n"/>
      <c r="T315" s="239" t="n"/>
      <c r="U315" s="239" t="n"/>
      <c r="V315" s="239" t="n"/>
      <c r="W315" s="239" t="n"/>
      <c r="X315" s="239" t="n"/>
      <c r="Y315" s="239" t="n"/>
      <c r="Z315" s="239" t="n"/>
      <c r="AA315" s="239" t="n"/>
      <c r="AB315" s="239" t="n"/>
      <c r="AC315" s="239" t="n"/>
      <c r="AD315" s="239" t="n"/>
      <c r="AE315" s="239" t="n"/>
      <c r="AF315" s="239" t="n"/>
      <c r="AG315" s="239" t="n"/>
      <c r="AH315" s="239" t="n"/>
      <c r="AI315" s="239" t="n"/>
      <c r="AJ315" s="239" t="n"/>
      <c r="AK315" s="239" t="n"/>
      <c r="AL315" s="239" t="n"/>
      <c r="AM315" s="239" t="n"/>
      <c r="AN315" s="239" t="n"/>
      <c r="AO315" s="239" t="n"/>
    </row>
    <row r="316">
      <c r="A316" s="256" t="n"/>
      <c r="B316" s="256" t="n"/>
      <c r="C316" s="256" t="n"/>
      <c r="D316" s="256" t="n"/>
      <c r="E316" s="256" t="n"/>
      <c r="F316" s="256" t="n"/>
      <c r="G316" s="256" t="n"/>
      <c r="H316" s="256" t="n"/>
      <c r="I316" s="256" t="n"/>
      <c r="J316" s="256" t="n"/>
      <c r="K316" s="256" t="n"/>
      <c r="L316" s="256" t="n"/>
      <c r="M316" s="256" t="n"/>
      <c r="N316" s="256" t="n"/>
      <c r="O316" s="256" t="n"/>
      <c r="P316" s="256" t="n"/>
      <c r="Q316" s="256" t="n"/>
      <c r="R316" s="256" t="n"/>
      <c r="S316" s="256" t="n"/>
      <c r="T316" s="256" t="n"/>
      <c r="U316" s="256" t="n"/>
      <c r="V316" s="256" t="n"/>
      <c r="W316" s="256" t="n"/>
      <c r="X316" s="256" t="n"/>
      <c r="Y316" s="256" t="n"/>
      <c r="Z316" s="256" t="n"/>
      <c r="AA316" s="256" t="n"/>
      <c r="AB316" s="256" t="n"/>
      <c r="AC316" s="256" t="n"/>
      <c r="AD316" s="256" t="n"/>
      <c r="AE316" s="256" t="n"/>
      <c r="AF316" s="256" t="n"/>
      <c r="AG316" s="256" t="n"/>
      <c r="AH316" s="256" t="n"/>
      <c r="AI316" s="256" t="n"/>
      <c r="AJ316" s="256" t="n"/>
      <c r="AK316" s="256" t="n"/>
      <c r="AL316" s="256" t="n"/>
      <c r="AM316" s="256" t="n"/>
      <c r="AN316" s="256" t="n"/>
      <c r="AO316" s="256" t="n"/>
    </row>
    <row r="317">
      <c r="A317" s="239" t="n"/>
      <c r="B317" s="239" t="n"/>
      <c r="C317" s="239" t="n"/>
      <c r="D317" s="239" t="n"/>
      <c r="E317" s="239" t="n"/>
      <c r="F317" s="239" t="n"/>
      <c r="G317" s="239" t="n"/>
      <c r="H317" s="239" t="n"/>
      <c r="I317" s="239" t="n"/>
      <c r="J317" s="239" t="n"/>
      <c r="K317" s="239" t="n"/>
      <c r="L317" s="239" t="n"/>
      <c r="M317" s="239" t="n"/>
      <c r="N317" s="239" t="n"/>
      <c r="O317" s="239" t="n"/>
      <c r="P317" s="239" t="n"/>
      <c r="Q317" s="239" t="n"/>
      <c r="R317" s="239" t="n"/>
      <c r="S317" s="239" t="n"/>
      <c r="T317" s="239" t="n"/>
      <c r="U317" s="239" t="n"/>
      <c r="V317" s="239" t="n"/>
      <c r="W317" s="239" t="n"/>
      <c r="X317" s="239" t="n"/>
      <c r="Y317" s="239" t="n"/>
      <c r="Z317" s="239" t="n"/>
      <c r="AA317" s="239" t="n"/>
      <c r="AB317" s="239" t="n"/>
      <c r="AC317" s="239" t="n"/>
      <c r="AD317" s="239" t="n"/>
      <c r="AE317" s="239" t="n"/>
      <c r="AF317" s="239" t="n"/>
      <c r="AG317" s="239" t="n"/>
      <c r="AH317" s="239" t="n"/>
      <c r="AI317" s="239" t="n"/>
      <c r="AJ317" s="239" t="n"/>
      <c r="AK317" s="239" t="n"/>
      <c r="AL317" s="239" t="n"/>
      <c r="AM317" s="239" t="n"/>
      <c r="AN317" s="239" t="n"/>
      <c r="AO317" s="239" t="n"/>
    </row>
    <row r="318">
      <c r="A318" s="256" t="n"/>
      <c r="B318" s="256" t="n"/>
      <c r="C318" s="256" t="n"/>
      <c r="D318" s="256" t="n"/>
      <c r="E318" s="256" t="n"/>
      <c r="F318" s="256" t="n"/>
      <c r="G318" s="256" t="n"/>
      <c r="H318" s="256" t="n"/>
      <c r="I318" s="256" t="n"/>
      <c r="J318" s="256" t="n"/>
      <c r="K318" s="256" t="n"/>
      <c r="L318" s="256" t="n"/>
      <c r="M318" s="256" t="n"/>
      <c r="N318" s="256" t="n"/>
      <c r="O318" s="256" t="n"/>
      <c r="P318" s="256" t="n"/>
      <c r="Q318" s="256" t="n"/>
      <c r="R318" s="256" t="n"/>
      <c r="S318" s="256" t="n"/>
      <c r="T318" s="256" t="n"/>
      <c r="U318" s="256" t="n"/>
      <c r="V318" s="256" t="n"/>
      <c r="W318" s="256" t="n"/>
      <c r="X318" s="256" t="n"/>
      <c r="Y318" s="256" t="n"/>
      <c r="Z318" s="256" t="n"/>
      <c r="AA318" s="256" t="n"/>
      <c r="AB318" s="256" t="n"/>
      <c r="AC318" s="256" t="n"/>
      <c r="AD318" s="256" t="n"/>
      <c r="AE318" s="256" t="n"/>
      <c r="AF318" s="256" t="n"/>
      <c r="AG318" s="256" t="n"/>
      <c r="AH318" s="256" t="n"/>
      <c r="AI318" s="256" t="n"/>
      <c r="AJ318" s="256" t="n"/>
      <c r="AK318" s="256" t="n"/>
      <c r="AL318" s="256" t="n"/>
      <c r="AM318" s="256" t="n"/>
      <c r="AN318" s="256" t="n"/>
      <c r="AO318" s="256" t="n"/>
    </row>
    <row r="319">
      <c r="A319" s="239" t="n"/>
      <c r="B319" s="239" t="n"/>
      <c r="C319" s="239" t="n"/>
      <c r="D319" s="239" t="n"/>
      <c r="E319" s="239" t="n"/>
      <c r="F319" s="239" t="n"/>
      <c r="G319" s="239" t="n"/>
      <c r="H319" s="239" t="n"/>
      <c r="I319" s="239" t="n"/>
      <c r="J319" s="239" t="n"/>
      <c r="K319" s="239" t="n"/>
      <c r="L319" s="239" t="n"/>
      <c r="M319" s="239" t="n"/>
      <c r="N319" s="239" t="n"/>
      <c r="O319" s="239" t="n"/>
      <c r="P319" s="239" t="n"/>
      <c r="Q319" s="239" t="n"/>
      <c r="R319" s="239" t="n"/>
      <c r="S319" s="239" t="n"/>
      <c r="T319" s="239" t="n"/>
      <c r="U319" s="239" t="n"/>
      <c r="V319" s="239" t="n"/>
      <c r="W319" s="239" t="n"/>
      <c r="X319" s="239" t="n"/>
      <c r="Y319" s="239" t="n"/>
      <c r="Z319" s="239" t="n"/>
      <c r="AA319" s="239" t="n"/>
      <c r="AB319" s="239" t="n"/>
      <c r="AC319" s="239" t="n"/>
      <c r="AD319" s="239" t="n"/>
      <c r="AE319" s="239" t="n"/>
      <c r="AF319" s="239" t="n"/>
      <c r="AG319" s="239" t="n"/>
      <c r="AH319" s="239" t="n"/>
      <c r="AI319" s="239" t="n"/>
      <c r="AJ319" s="239" t="n"/>
      <c r="AK319" s="239" t="n"/>
      <c r="AL319" s="239" t="n"/>
      <c r="AM319" s="239" t="n"/>
      <c r="AN319" s="239" t="n"/>
      <c r="AO319" s="239" t="n"/>
    </row>
    <row r="320">
      <c r="A320" s="256" t="n"/>
      <c r="B320" s="256" t="n"/>
      <c r="C320" s="256" t="n"/>
      <c r="D320" s="256" t="n"/>
      <c r="E320" s="256" t="n"/>
      <c r="F320" s="256" t="n"/>
      <c r="G320" s="256" t="n"/>
      <c r="H320" s="256" t="n"/>
      <c r="I320" s="256" t="n"/>
      <c r="J320" s="256" t="n"/>
      <c r="K320" s="256" t="n"/>
      <c r="L320" s="256" t="n"/>
      <c r="M320" s="256" t="n"/>
      <c r="N320" s="256" t="n"/>
      <c r="O320" s="256" t="n"/>
      <c r="P320" s="256" t="n"/>
      <c r="Q320" s="256" t="n"/>
      <c r="R320" s="256" t="n"/>
      <c r="S320" s="256" t="n"/>
      <c r="T320" s="256" t="n"/>
      <c r="U320" s="256" t="n"/>
      <c r="V320" s="256" t="n"/>
      <c r="W320" s="256" t="n"/>
      <c r="X320" s="256" t="n"/>
      <c r="Y320" s="256" t="n"/>
      <c r="Z320" s="256" t="n"/>
      <c r="AA320" s="256" t="n"/>
      <c r="AB320" s="256" t="n"/>
      <c r="AC320" s="256" t="n"/>
      <c r="AD320" s="256" t="n"/>
      <c r="AE320" s="256" t="n"/>
      <c r="AF320" s="256" t="n"/>
      <c r="AG320" s="256" t="n"/>
      <c r="AH320" s="256" t="n"/>
      <c r="AI320" s="256" t="n"/>
      <c r="AJ320" s="256" t="n"/>
      <c r="AK320" s="256" t="n"/>
      <c r="AL320" s="256" t="n"/>
      <c r="AM320" s="256" t="n"/>
      <c r="AN320" s="256" t="n"/>
      <c r="AO320" s="256" t="n"/>
    </row>
    <row r="321">
      <c r="A321" s="239" t="n"/>
      <c r="B321" s="239" t="n"/>
      <c r="C321" s="239" t="n"/>
      <c r="D321" s="239" t="n"/>
      <c r="E321" s="239" t="n"/>
      <c r="F321" s="239" t="n"/>
      <c r="G321" s="239" t="n"/>
      <c r="H321" s="239" t="n"/>
      <c r="I321" s="239" t="n"/>
      <c r="J321" s="239" t="n"/>
      <c r="K321" s="239" t="n"/>
      <c r="L321" s="239" t="n"/>
      <c r="M321" s="239" t="n"/>
      <c r="N321" s="239" t="n"/>
      <c r="O321" s="239" t="n"/>
      <c r="P321" s="239" t="n"/>
      <c r="Q321" s="239" t="n"/>
      <c r="R321" s="239" t="n"/>
      <c r="S321" s="239" t="n"/>
      <c r="T321" s="239" t="n"/>
      <c r="U321" s="239" t="n"/>
      <c r="V321" s="239" t="n"/>
      <c r="W321" s="239" t="n"/>
      <c r="X321" s="239" t="n"/>
      <c r="Y321" s="239" t="n"/>
      <c r="Z321" s="239" t="n"/>
      <c r="AA321" s="239" t="n"/>
      <c r="AB321" s="239" t="n"/>
      <c r="AC321" s="239" t="n"/>
      <c r="AD321" s="239" t="n"/>
      <c r="AE321" s="239" t="n"/>
      <c r="AF321" s="239" t="n"/>
      <c r="AG321" s="239" t="n"/>
      <c r="AH321" s="239" t="n"/>
      <c r="AI321" s="239" t="n"/>
      <c r="AJ321" s="239" t="n"/>
      <c r="AK321" s="239" t="n"/>
      <c r="AL321" s="239" t="n"/>
      <c r="AM321" s="239" t="n"/>
      <c r="AN321" s="239" t="n"/>
      <c r="AO321" s="239" t="n"/>
    </row>
    <row r="322">
      <c r="A322" s="256" t="n"/>
      <c r="B322" s="256" t="n"/>
      <c r="C322" s="256" t="n"/>
      <c r="D322" s="256" t="n"/>
      <c r="E322" s="256" t="n"/>
      <c r="F322" s="256" t="n"/>
      <c r="G322" s="256" t="n"/>
      <c r="H322" s="256" t="n"/>
      <c r="I322" s="256" t="n"/>
      <c r="J322" s="256" t="n"/>
      <c r="K322" s="256" t="n"/>
      <c r="L322" s="256" t="n"/>
      <c r="M322" s="256" t="n"/>
      <c r="N322" s="256" t="n"/>
      <c r="O322" s="256" t="n"/>
      <c r="P322" s="256" t="n"/>
      <c r="Q322" s="256" t="n"/>
      <c r="R322" s="256" t="n"/>
      <c r="S322" s="256" t="n"/>
      <c r="T322" s="256" t="n"/>
      <c r="U322" s="256" t="n"/>
      <c r="V322" s="256" t="n"/>
      <c r="W322" s="256" t="n"/>
      <c r="X322" s="256" t="n"/>
      <c r="Y322" s="256" t="n"/>
      <c r="Z322" s="256" t="n"/>
      <c r="AA322" s="256" t="n"/>
      <c r="AB322" s="256" t="n"/>
      <c r="AC322" s="256" t="n"/>
      <c r="AD322" s="256" t="n"/>
      <c r="AE322" s="256" t="n"/>
      <c r="AF322" s="256" t="n"/>
      <c r="AG322" s="256" t="n"/>
      <c r="AH322" s="256" t="n"/>
      <c r="AI322" s="256" t="n"/>
      <c r="AJ322" s="256" t="n"/>
      <c r="AK322" s="256" t="n"/>
      <c r="AL322" s="256" t="n"/>
      <c r="AM322" s="256" t="n"/>
      <c r="AN322" s="256" t="n"/>
      <c r="AO322" s="256" t="n"/>
    </row>
    <row r="323">
      <c r="A323" s="239" t="n"/>
      <c r="B323" s="239" t="n"/>
      <c r="C323" s="239" t="n"/>
      <c r="D323" s="239" t="n"/>
      <c r="E323" s="239" t="n"/>
      <c r="F323" s="239" t="n"/>
      <c r="G323" s="239" t="n"/>
      <c r="H323" s="239" t="n"/>
      <c r="I323" s="239" t="n"/>
      <c r="J323" s="239" t="n"/>
      <c r="K323" s="239" t="n"/>
      <c r="L323" s="239" t="n"/>
      <c r="M323" s="239" t="n"/>
      <c r="N323" s="239" t="n"/>
      <c r="O323" s="239" t="n"/>
      <c r="P323" s="239" t="n"/>
      <c r="Q323" s="239" t="n"/>
      <c r="R323" s="239" t="n"/>
      <c r="S323" s="239" t="n"/>
      <c r="T323" s="239" t="n"/>
      <c r="U323" s="239" t="n"/>
      <c r="V323" s="239" t="n"/>
      <c r="W323" s="239" t="n"/>
      <c r="X323" s="239" t="n"/>
      <c r="Y323" s="239" t="n"/>
      <c r="Z323" s="239" t="n"/>
      <c r="AA323" s="239" t="n"/>
      <c r="AB323" s="239" t="n"/>
      <c r="AC323" s="239" t="n"/>
      <c r="AD323" s="239" t="n"/>
      <c r="AE323" s="239" t="n"/>
      <c r="AF323" s="239" t="n"/>
      <c r="AG323" s="239" t="n"/>
      <c r="AH323" s="239" t="n"/>
      <c r="AI323" s="239" t="n"/>
      <c r="AJ323" s="239" t="n"/>
      <c r="AK323" s="239" t="n"/>
      <c r="AL323" s="239" t="n"/>
      <c r="AM323" s="239" t="n"/>
      <c r="AN323" s="239" t="n"/>
      <c r="AO323" s="239" t="n"/>
    </row>
    <row r="324">
      <c r="A324" s="256" t="n"/>
      <c r="B324" s="256" t="n"/>
      <c r="C324" s="256" t="n"/>
      <c r="D324" s="256" t="n"/>
      <c r="E324" s="256" t="n"/>
      <c r="F324" s="256" t="n"/>
      <c r="G324" s="256" t="n"/>
      <c r="H324" s="256" t="n"/>
      <c r="I324" s="256" t="n"/>
      <c r="J324" s="256" t="n"/>
      <c r="K324" s="256" t="n"/>
      <c r="L324" s="256" t="n"/>
      <c r="M324" s="256" t="n"/>
      <c r="N324" s="256" t="n"/>
      <c r="O324" s="256" t="n"/>
      <c r="P324" s="256" t="n"/>
      <c r="Q324" s="256" t="n"/>
      <c r="R324" s="256" t="n"/>
      <c r="S324" s="256" t="n"/>
      <c r="T324" s="256" t="n"/>
      <c r="U324" s="256" t="n"/>
      <c r="V324" s="256" t="n"/>
      <c r="W324" s="256" t="n"/>
      <c r="X324" s="256" t="n"/>
      <c r="Y324" s="256" t="n"/>
      <c r="Z324" s="256" t="n"/>
      <c r="AA324" s="256" t="n"/>
      <c r="AB324" s="256" t="n"/>
      <c r="AC324" s="256" t="n"/>
      <c r="AD324" s="256" t="n"/>
      <c r="AE324" s="256" t="n"/>
      <c r="AF324" s="256" t="n"/>
      <c r="AG324" s="256" t="n"/>
      <c r="AH324" s="256" t="n"/>
      <c r="AI324" s="256" t="n"/>
      <c r="AJ324" s="256" t="n"/>
      <c r="AK324" s="256" t="n"/>
      <c r="AL324" s="256" t="n"/>
      <c r="AM324" s="256" t="n"/>
      <c r="AN324" s="256" t="n"/>
      <c r="AO324" s="256" t="n"/>
    </row>
    <row r="325">
      <c r="A325" s="239" t="n"/>
      <c r="B325" s="239" t="n"/>
      <c r="C325" s="239" t="n"/>
      <c r="D325" s="239" t="n"/>
      <c r="E325" s="239" t="n"/>
      <c r="F325" s="239" t="n"/>
      <c r="G325" s="239" t="n"/>
      <c r="H325" s="239" t="n"/>
      <c r="I325" s="239" t="n"/>
      <c r="J325" s="239" t="n"/>
      <c r="K325" s="239" t="n"/>
      <c r="L325" s="239" t="n"/>
      <c r="M325" s="239" t="n"/>
      <c r="N325" s="239" t="n"/>
      <c r="O325" s="239" t="n"/>
      <c r="P325" s="239" t="n"/>
      <c r="Q325" s="239" t="n"/>
      <c r="R325" s="239" t="n"/>
      <c r="S325" s="239" t="n"/>
      <c r="T325" s="239" t="n"/>
      <c r="U325" s="239" t="n"/>
      <c r="V325" s="239" t="n"/>
      <c r="W325" s="239" t="n"/>
      <c r="X325" s="239" t="n"/>
      <c r="Y325" s="239" t="n"/>
      <c r="Z325" s="239" t="n"/>
      <c r="AA325" s="239" t="n"/>
      <c r="AB325" s="239" t="n"/>
      <c r="AC325" s="239" t="n"/>
      <c r="AD325" s="239" t="n"/>
      <c r="AE325" s="239" t="n"/>
      <c r="AF325" s="239" t="n"/>
      <c r="AG325" s="239" t="n"/>
      <c r="AH325" s="239" t="n"/>
      <c r="AI325" s="239" t="n"/>
      <c r="AJ325" s="239" t="n"/>
      <c r="AK325" s="239" t="n"/>
      <c r="AL325" s="239" t="n"/>
      <c r="AM325" s="239" t="n"/>
      <c r="AN325" s="239" t="n"/>
      <c r="AO325" s="239" t="n"/>
    </row>
    <row r="326">
      <c r="A326" s="256" t="n"/>
      <c r="B326" s="256" t="n"/>
      <c r="C326" s="256" t="n"/>
      <c r="D326" s="256" t="n"/>
      <c r="E326" s="256" t="n"/>
      <c r="F326" s="256" t="n"/>
      <c r="G326" s="256" t="n"/>
      <c r="H326" s="256" t="n"/>
      <c r="I326" s="256" t="n"/>
      <c r="J326" s="256" t="n"/>
      <c r="K326" s="256" t="n"/>
      <c r="L326" s="256" t="n"/>
      <c r="M326" s="256" t="n"/>
      <c r="N326" s="256" t="n"/>
      <c r="O326" s="256" t="n"/>
      <c r="P326" s="256" t="n"/>
      <c r="Q326" s="256" t="n"/>
      <c r="R326" s="256" t="n"/>
      <c r="S326" s="256" t="n"/>
      <c r="T326" s="256" t="n"/>
      <c r="U326" s="256" t="n"/>
      <c r="V326" s="256" t="n"/>
      <c r="W326" s="256" t="n"/>
      <c r="X326" s="256" t="n"/>
      <c r="Y326" s="256" t="n"/>
      <c r="Z326" s="256" t="n"/>
      <c r="AA326" s="256" t="n"/>
      <c r="AB326" s="256" t="n"/>
      <c r="AC326" s="256" t="n"/>
      <c r="AD326" s="256" t="n"/>
      <c r="AE326" s="256" t="n"/>
      <c r="AF326" s="256" t="n"/>
      <c r="AG326" s="256" t="n"/>
      <c r="AH326" s="256" t="n"/>
      <c r="AI326" s="256" t="n"/>
      <c r="AJ326" s="256" t="n"/>
      <c r="AK326" s="256" t="n"/>
      <c r="AL326" s="256" t="n"/>
      <c r="AM326" s="256" t="n"/>
      <c r="AN326" s="256" t="n"/>
      <c r="AO326" s="256" t="n"/>
    </row>
    <row r="327">
      <c r="A327" s="239" t="n"/>
      <c r="B327" s="239" t="n"/>
      <c r="C327" s="239" t="n"/>
      <c r="D327" s="239" t="n"/>
      <c r="E327" s="239" t="n"/>
      <c r="F327" s="239" t="n"/>
      <c r="G327" s="239" t="n"/>
      <c r="H327" s="239" t="n"/>
      <c r="I327" s="239" t="n"/>
      <c r="J327" s="239" t="n"/>
      <c r="K327" s="239" t="n"/>
      <c r="L327" s="239" t="n"/>
      <c r="M327" s="239" t="n"/>
      <c r="N327" s="239" t="n"/>
      <c r="O327" s="239" t="n"/>
      <c r="P327" s="239" t="n"/>
      <c r="Q327" s="239" t="n"/>
      <c r="R327" s="239" t="n"/>
      <c r="S327" s="239" t="n"/>
      <c r="T327" s="239" t="n"/>
      <c r="U327" s="239" t="n"/>
      <c r="V327" s="239" t="n"/>
      <c r="W327" s="239" t="n"/>
      <c r="X327" s="239" t="n"/>
      <c r="Y327" s="239" t="n"/>
      <c r="Z327" s="239" t="n"/>
      <c r="AA327" s="239" t="n"/>
      <c r="AB327" s="239" t="n"/>
      <c r="AC327" s="239" t="n"/>
      <c r="AD327" s="239" t="n"/>
      <c r="AE327" s="239" t="n"/>
      <c r="AF327" s="239" t="n"/>
      <c r="AG327" s="239" t="n"/>
      <c r="AH327" s="239" t="n"/>
      <c r="AI327" s="239" t="n"/>
      <c r="AJ327" s="239" t="n"/>
      <c r="AK327" s="239" t="n"/>
      <c r="AL327" s="239" t="n"/>
      <c r="AM327" s="239" t="n"/>
      <c r="AN327" s="239" t="n"/>
      <c r="AO327" s="239" t="n"/>
    </row>
    <row r="328">
      <c r="A328" s="256" t="n"/>
      <c r="B328" s="256" t="n"/>
      <c r="C328" s="256" t="n"/>
      <c r="D328" s="256" t="n"/>
      <c r="E328" s="256" t="n"/>
      <c r="F328" s="256" t="n"/>
      <c r="G328" s="256" t="n"/>
      <c r="H328" s="256" t="n"/>
      <c r="I328" s="256" t="n"/>
      <c r="J328" s="256" t="n"/>
      <c r="K328" s="256" t="n"/>
      <c r="L328" s="256" t="n"/>
      <c r="M328" s="256" t="n"/>
      <c r="N328" s="256" t="n"/>
      <c r="O328" s="256" t="n"/>
      <c r="P328" s="256" t="n"/>
      <c r="Q328" s="256" t="n"/>
      <c r="R328" s="256" t="n"/>
      <c r="S328" s="256" t="n"/>
      <c r="T328" s="256" t="n"/>
      <c r="U328" s="256" t="n"/>
      <c r="V328" s="256" t="n"/>
      <c r="W328" s="256" t="n"/>
      <c r="X328" s="256" t="n"/>
      <c r="Y328" s="256" t="n"/>
      <c r="Z328" s="256" t="n"/>
      <c r="AA328" s="256" t="n"/>
      <c r="AB328" s="256" t="n"/>
      <c r="AC328" s="256" t="n"/>
      <c r="AD328" s="256" t="n"/>
      <c r="AE328" s="256" t="n"/>
      <c r="AF328" s="256" t="n"/>
      <c r="AG328" s="256" t="n"/>
      <c r="AH328" s="256" t="n"/>
      <c r="AI328" s="256" t="n"/>
      <c r="AJ328" s="256" t="n"/>
      <c r="AK328" s="256" t="n"/>
      <c r="AL328" s="256" t="n"/>
      <c r="AM328" s="256" t="n"/>
      <c r="AN328" s="256" t="n"/>
      <c r="AO328" s="256" t="n"/>
    </row>
    <row r="329">
      <c r="A329" s="239" t="n"/>
      <c r="B329" s="239" t="n"/>
      <c r="C329" s="239" t="n"/>
      <c r="D329" s="239" t="n"/>
      <c r="E329" s="239" t="n"/>
      <c r="F329" s="239" t="n"/>
      <c r="G329" s="239" t="n"/>
      <c r="H329" s="239" t="n"/>
      <c r="I329" s="239" t="n"/>
      <c r="J329" s="239" t="n"/>
      <c r="K329" s="239" t="n"/>
      <c r="L329" s="239" t="n"/>
      <c r="M329" s="239" t="n"/>
      <c r="N329" s="239" t="n"/>
      <c r="O329" s="239" t="n"/>
      <c r="P329" s="239" t="n"/>
      <c r="Q329" s="239" t="n"/>
      <c r="R329" s="239" t="n"/>
      <c r="S329" s="239" t="n"/>
      <c r="T329" s="239" t="n"/>
      <c r="U329" s="239" t="n"/>
      <c r="V329" s="239" t="n"/>
      <c r="W329" s="239" t="n"/>
      <c r="X329" s="239" t="n"/>
      <c r="Y329" s="239" t="n"/>
      <c r="Z329" s="239" t="n"/>
      <c r="AA329" s="239" t="n"/>
      <c r="AB329" s="239" t="n"/>
      <c r="AC329" s="239" t="n"/>
      <c r="AD329" s="239" t="n"/>
      <c r="AE329" s="239" t="n"/>
      <c r="AF329" s="239" t="n"/>
      <c r="AG329" s="239" t="n"/>
      <c r="AH329" s="239" t="n"/>
      <c r="AI329" s="239" t="n"/>
      <c r="AJ329" s="239" t="n"/>
      <c r="AK329" s="239" t="n"/>
      <c r="AL329" s="239" t="n"/>
      <c r="AM329" s="239" t="n"/>
      <c r="AN329" s="239" t="n"/>
      <c r="AO329" s="239" t="n"/>
    </row>
    <row r="330">
      <c r="A330" s="256" t="n"/>
      <c r="B330" s="256" t="n"/>
      <c r="C330" s="256" t="n"/>
      <c r="D330" s="256" t="n"/>
      <c r="E330" s="256" t="n"/>
      <c r="F330" s="256" t="n"/>
      <c r="G330" s="256" t="n"/>
      <c r="H330" s="256" t="n"/>
      <c r="I330" s="256" t="n"/>
      <c r="J330" s="256" t="n"/>
      <c r="K330" s="256" t="n"/>
      <c r="L330" s="256" t="n"/>
      <c r="M330" s="256" t="n"/>
      <c r="N330" s="256" t="n"/>
      <c r="O330" s="256" t="n"/>
      <c r="P330" s="256" t="n"/>
      <c r="Q330" s="256" t="n"/>
      <c r="R330" s="256" t="n"/>
      <c r="S330" s="256" t="n"/>
      <c r="T330" s="256" t="n"/>
      <c r="U330" s="256" t="n"/>
      <c r="V330" s="256" t="n"/>
      <c r="W330" s="256" t="n"/>
      <c r="X330" s="256" t="n"/>
      <c r="Y330" s="256" t="n"/>
      <c r="Z330" s="256" t="n"/>
      <c r="AA330" s="256" t="n"/>
      <c r="AB330" s="256" t="n"/>
      <c r="AC330" s="256" t="n"/>
      <c r="AD330" s="256" t="n"/>
      <c r="AE330" s="256" t="n"/>
      <c r="AF330" s="256" t="n"/>
      <c r="AG330" s="256" t="n"/>
      <c r="AH330" s="256" t="n"/>
      <c r="AI330" s="256" t="n"/>
      <c r="AJ330" s="256" t="n"/>
      <c r="AK330" s="256" t="n"/>
      <c r="AL330" s="256" t="n"/>
      <c r="AM330" s="256" t="n"/>
      <c r="AN330" s="256" t="n"/>
      <c r="AO330" s="256" t="n"/>
    </row>
    <row r="331">
      <c r="A331" s="239" t="n"/>
      <c r="B331" s="239" t="n"/>
      <c r="C331" s="239" t="n"/>
      <c r="D331" s="239" t="n"/>
      <c r="E331" s="239" t="n"/>
      <c r="F331" s="239" t="n"/>
      <c r="G331" s="239" t="n"/>
      <c r="H331" s="239" t="n"/>
      <c r="I331" s="239" t="n"/>
      <c r="J331" s="239" t="n"/>
      <c r="K331" s="239" t="n"/>
      <c r="L331" s="239" t="n"/>
      <c r="M331" s="239" t="n"/>
      <c r="N331" s="239" t="n"/>
      <c r="O331" s="239" t="n"/>
      <c r="P331" s="239" t="n"/>
      <c r="Q331" s="239" t="n"/>
      <c r="R331" s="239" t="n"/>
      <c r="S331" s="239" t="n"/>
      <c r="T331" s="239" t="n"/>
      <c r="U331" s="239" t="n"/>
      <c r="V331" s="239" t="n"/>
      <c r="W331" s="239" t="n"/>
      <c r="X331" s="239" t="n"/>
      <c r="Y331" s="239" t="n"/>
      <c r="Z331" s="239" t="n"/>
      <c r="AA331" s="239" t="n"/>
      <c r="AB331" s="239" t="n"/>
      <c r="AC331" s="239" t="n"/>
      <c r="AD331" s="239" t="n"/>
      <c r="AE331" s="239" t="n"/>
      <c r="AF331" s="239" t="n"/>
      <c r="AG331" s="239" t="n"/>
      <c r="AH331" s="239" t="n"/>
      <c r="AI331" s="239" t="n"/>
      <c r="AJ331" s="239" t="n"/>
      <c r="AK331" s="239" t="n"/>
      <c r="AL331" s="239" t="n"/>
      <c r="AM331" s="239" t="n"/>
      <c r="AN331" s="239" t="n"/>
      <c r="AO331" s="239" t="n"/>
    </row>
    <row r="332">
      <c r="A332" s="256" t="n"/>
      <c r="B332" s="256" t="n"/>
      <c r="C332" s="256" t="n"/>
      <c r="D332" s="256" t="n"/>
      <c r="E332" s="256" t="n"/>
      <c r="F332" s="256" t="n"/>
      <c r="G332" s="256" t="n"/>
      <c r="H332" s="256" t="n"/>
      <c r="I332" s="256" t="n"/>
      <c r="J332" s="256" t="n"/>
      <c r="K332" s="256" t="n"/>
      <c r="L332" s="256" t="n"/>
      <c r="M332" s="256" t="n"/>
      <c r="N332" s="256" t="n"/>
      <c r="O332" s="256" t="n"/>
      <c r="P332" s="256" t="n"/>
      <c r="Q332" s="256" t="n"/>
      <c r="R332" s="256" t="n"/>
      <c r="S332" s="256" t="n"/>
      <c r="T332" s="256" t="n"/>
      <c r="U332" s="256" t="n"/>
      <c r="V332" s="256" t="n"/>
      <c r="W332" s="256" t="n"/>
      <c r="X332" s="256" t="n"/>
      <c r="Y332" s="256" t="n"/>
      <c r="Z332" s="256" t="n"/>
      <c r="AA332" s="256" t="n"/>
      <c r="AB332" s="256" t="n"/>
      <c r="AC332" s="256" t="n"/>
      <c r="AD332" s="256" t="n"/>
      <c r="AE332" s="256" t="n"/>
      <c r="AF332" s="256" t="n"/>
      <c r="AG332" s="256" t="n"/>
      <c r="AH332" s="256" t="n"/>
      <c r="AI332" s="256" t="n"/>
      <c r="AJ332" s="256" t="n"/>
      <c r="AK332" s="256" t="n"/>
      <c r="AL332" s="256" t="n"/>
      <c r="AM332" s="256" t="n"/>
      <c r="AN332" s="256" t="n"/>
      <c r="AO332" s="256" t="n"/>
    </row>
    <row r="333">
      <c r="A333" s="239" t="n"/>
      <c r="B333" s="239" t="n"/>
      <c r="C333" s="239" t="n"/>
      <c r="D333" s="239" t="n"/>
      <c r="E333" s="239" t="n"/>
      <c r="F333" s="239" t="n"/>
      <c r="G333" s="239" t="n"/>
      <c r="H333" s="239" t="n"/>
      <c r="I333" s="239" t="n"/>
      <c r="J333" s="239" t="n"/>
      <c r="K333" s="239" t="n"/>
      <c r="L333" s="239" t="n"/>
      <c r="M333" s="239" t="n"/>
      <c r="N333" s="239" t="n"/>
      <c r="O333" s="239" t="n"/>
      <c r="P333" s="239" t="n"/>
      <c r="Q333" s="239" t="n"/>
      <c r="R333" s="239" t="n"/>
      <c r="S333" s="239" t="n"/>
      <c r="T333" s="239" t="n"/>
      <c r="U333" s="239" t="n"/>
      <c r="V333" s="239" t="n"/>
      <c r="W333" s="239" t="n"/>
      <c r="X333" s="239" t="n"/>
      <c r="Y333" s="239" t="n"/>
      <c r="Z333" s="239" t="n"/>
      <c r="AA333" s="239" t="n"/>
      <c r="AB333" s="239" t="n"/>
      <c r="AC333" s="239" t="n"/>
      <c r="AD333" s="239" t="n"/>
      <c r="AE333" s="239" t="n"/>
      <c r="AF333" s="239" t="n"/>
      <c r="AG333" s="239" t="n"/>
      <c r="AH333" s="239" t="n"/>
      <c r="AI333" s="239" t="n"/>
      <c r="AJ333" s="239" t="n"/>
      <c r="AK333" s="239" t="n"/>
      <c r="AL333" s="239" t="n"/>
      <c r="AM333" s="239" t="n"/>
      <c r="AN333" s="239" t="n"/>
      <c r="AO333" s="239" t="n"/>
    </row>
    <row r="334">
      <c r="A334" s="256" t="n"/>
      <c r="B334" s="256" t="n"/>
      <c r="C334" s="256" t="n"/>
      <c r="D334" s="256" t="n"/>
      <c r="E334" s="256" t="n"/>
      <c r="F334" s="256" t="n"/>
      <c r="G334" s="256" t="n"/>
      <c r="H334" s="256" t="n"/>
      <c r="I334" s="256" t="n"/>
      <c r="J334" s="256" t="n"/>
      <c r="K334" s="256" t="n"/>
      <c r="L334" s="256" t="n"/>
      <c r="M334" s="256" t="n"/>
      <c r="N334" s="256" t="n"/>
      <c r="O334" s="256" t="n"/>
      <c r="P334" s="256" t="n"/>
      <c r="Q334" s="256" t="n"/>
      <c r="R334" s="256" t="n"/>
      <c r="S334" s="256" t="n"/>
      <c r="T334" s="256" t="n"/>
      <c r="U334" s="256" t="n"/>
      <c r="V334" s="256" t="n"/>
      <c r="W334" s="256" t="n"/>
      <c r="X334" s="256" t="n"/>
      <c r="Y334" s="256" t="n"/>
      <c r="Z334" s="256" t="n"/>
      <c r="AA334" s="256" t="n"/>
      <c r="AB334" s="256" t="n"/>
      <c r="AC334" s="256" t="n"/>
      <c r="AD334" s="256" t="n"/>
      <c r="AE334" s="256" t="n"/>
      <c r="AF334" s="256" t="n"/>
      <c r="AG334" s="256" t="n"/>
      <c r="AH334" s="256" t="n"/>
      <c r="AI334" s="256" t="n"/>
      <c r="AJ334" s="256" t="n"/>
      <c r="AK334" s="256" t="n"/>
      <c r="AL334" s="256" t="n"/>
      <c r="AM334" s="256" t="n"/>
      <c r="AN334" s="256" t="n"/>
      <c r="AO334" s="256" t="n"/>
    </row>
    <row r="335">
      <c r="A335" s="239" t="n"/>
      <c r="B335" s="239" t="n"/>
      <c r="C335" s="239" t="n"/>
      <c r="D335" s="239" t="n"/>
      <c r="E335" s="239" t="n"/>
      <c r="F335" s="239" t="n"/>
      <c r="G335" s="239" t="n"/>
      <c r="H335" s="239" t="n"/>
      <c r="I335" s="239" t="n"/>
      <c r="J335" s="239" t="n"/>
      <c r="K335" s="239" t="n"/>
      <c r="L335" s="239" t="n"/>
      <c r="M335" s="239" t="n"/>
      <c r="N335" s="239" t="n"/>
      <c r="O335" s="239" t="n"/>
      <c r="P335" s="239" t="n"/>
      <c r="Q335" s="239" t="n"/>
      <c r="R335" s="239" t="n"/>
      <c r="S335" s="239" t="n"/>
      <c r="T335" s="239" t="n"/>
      <c r="U335" s="239" t="n"/>
      <c r="V335" s="239" t="n"/>
      <c r="W335" s="239" t="n"/>
      <c r="X335" s="239" t="n"/>
      <c r="Y335" s="239" t="n"/>
      <c r="Z335" s="239" t="n"/>
      <c r="AA335" s="239" t="n"/>
      <c r="AB335" s="239" t="n"/>
      <c r="AC335" s="239" t="n"/>
      <c r="AD335" s="239" t="n"/>
      <c r="AE335" s="239" t="n"/>
      <c r="AF335" s="239" t="n"/>
      <c r="AG335" s="239" t="n"/>
      <c r="AH335" s="239" t="n"/>
      <c r="AI335" s="239" t="n"/>
      <c r="AJ335" s="239" t="n"/>
      <c r="AK335" s="239" t="n"/>
      <c r="AL335" s="239" t="n"/>
      <c r="AM335" s="239" t="n"/>
      <c r="AN335" s="239" t="n"/>
      <c r="AO335" s="239" t="n"/>
    </row>
    <row r="336">
      <c r="A336" s="256" t="n"/>
      <c r="B336" s="256" t="n"/>
      <c r="C336" s="256" t="n"/>
      <c r="D336" s="256" t="n"/>
      <c r="E336" s="256" t="n"/>
      <c r="F336" s="256" t="n"/>
      <c r="G336" s="256" t="n"/>
      <c r="H336" s="256" t="n"/>
      <c r="I336" s="256" t="n"/>
      <c r="J336" s="256" t="n"/>
      <c r="K336" s="256" t="n"/>
      <c r="L336" s="256" t="n"/>
      <c r="M336" s="256" t="n"/>
      <c r="N336" s="256" t="n"/>
      <c r="O336" s="256" t="n"/>
      <c r="P336" s="256" t="n"/>
      <c r="Q336" s="256" t="n"/>
      <c r="R336" s="256" t="n"/>
      <c r="S336" s="256" t="n"/>
      <c r="T336" s="256" t="n"/>
      <c r="U336" s="256" t="n"/>
      <c r="V336" s="256" t="n"/>
      <c r="W336" s="256" t="n"/>
      <c r="X336" s="256" t="n"/>
      <c r="Y336" s="256" t="n"/>
      <c r="Z336" s="256" t="n"/>
      <c r="AA336" s="256" t="n"/>
      <c r="AB336" s="256" t="n"/>
      <c r="AC336" s="256" t="n"/>
      <c r="AD336" s="256" t="n"/>
      <c r="AE336" s="256" t="n"/>
      <c r="AF336" s="256" t="n"/>
      <c r="AG336" s="256" t="n"/>
      <c r="AH336" s="256" t="n"/>
      <c r="AI336" s="256" t="n"/>
      <c r="AJ336" s="256" t="n"/>
      <c r="AK336" s="256" t="n"/>
      <c r="AL336" s="256" t="n"/>
      <c r="AM336" s="256" t="n"/>
      <c r="AN336" s="256" t="n"/>
      <c r="AO336" s="256" t="n"/>
    </row>
    <row r="337">
      <c r="A337" s="239" t="n"/>
      <c r="B337" s="239" t="n"/>
      <c r="C337" s="239" t="n"/>
      <c r="D337" s="239" t="n"/>
      <c r="E337" s="239" t="n"/>
      <c r="F337" s="239" t="n"/>
      <c r="G337" s="239" t="n"/>
      <c r="H337" s="239" t="n"/>
      <c r="I337" s="239" t="n"/>
      <c r="J337" s="239" t="n"/>
      <c r="K337" s="239" t="n"/>
      <c r="L337" s="239" t="n"/>
      <c r="M337" s="239" t="n"/>
      <c r="N337" s="239" t="n"/>
      <c r="O337" s="239" t="n"/>
      <c r="P337" s="239" t="n"/>
      <c r="Q337" s="239" t="n"/>
      <c r="R337" s="239" t="n"/>
      <c r="S337" s="239" t="n"/>
      <c r="T337" s="239" t="n"/>
      <c r="U337" s="239" t="n"/>
      <c r="V337" s="239" t="n"/>
      <c r="W337" s="239" t="n"/>
      <c r="X337" s="239" t="n"/>
      <c r="Y337" s="239" t="n"/>
      <c r="Z337" s="239" t="n"/>
      <c r="AA337" s="239" t="n"/>
      <c r="AB337" s="239" t="n"/>
      <c r="AC337" s="239" t="n"/>
      <c r="AD337" s="239" t="n"/>
      <c r="AE337" s="239" t="n"/>
      <c r="AF337" s="239" t="n"/>
      <c r="AG337" s="239" t="n"/>
      <c r="AH337" s="239" t="n"/>
      <c r="AI337" s="239" t="n"/>
      <c r="AJ337" s="239" t="n"/>
      <c r="AK337" s="239" t="n"/>
      <c r="AL337" s="239" t="n"/>
      <c r="AM337" s="239" t="n"/>
      <c r="AN337" s="239" t="n"/>
      <c r="AO337" s="239" t="n"/>
    </row>
    <row r="338">
      <c r="A338" s="256" t="n"/>
      <c r="B338" s="256" t="n"/>
      <c r="C338" s="256" t="n"/>
      <c r="D338" s="256" t="n"/>
      <c r="E338" s="256" t="n"/>
      <c r="F338" s="256" t="n"/>
      <c r="G338" s="256" t="n"/>
      <c r="H338" s="256" t="n"/>
      <c r="I338" s="256" t="n"/>
      <c r="J338" s="256" t="n"/>
      <c r="K338" s="256" t="n"/>
      <c r="L338" s="256" t="n"/>
      <c r="M338" s="256" t="n"/>
      <c r="N338" s="256" t="n"/>
      <c r="O338" s="256" t="n"/>
      <c r="P338" s="256" t="n"/>
      <c r="Q338" s="256" t="n"/>
      <c r="R338" s="256" t="n"/>
      <c r="S338" s="256" t="n"/>
      <c r="T338" s="256" t="n"/>
      <c r="U338" s="256" t="n"/>
      <c r="V338" s="256" t="n"/>
      <c r="W338" s="256" t="n"/>
      <c r="X338" s="256" t="n"/>
      <c r="Y338" s="256" t="n"/>
      <c r="Z338" s="256" t="n"/>
      <c r="AA338" s="256" t="n"/>
      <c r="AB338" s="256" t="n"/>
      <c r="AC338" s="256" t="n"/>
      <c r="AD338" s="256" t="n"/>
      <c r="AE338" s="256" t="n"/>
      <c r="AF338" s="256" t="n"/>
      <c r="AG338" s="256" t="n"/>
      <c r="AH338" s="256" t="n"/>
      <c r="AI338" s="256" t="n"/>
      <c r="AJ338" s="256" t="n"/>
      <c r="AK338" s="256" t="n"/>
      <c r="AL338" s="256" t="n"/>
      <c r="AM338" s="256" t="n"/>
      <c r="AN338" s="256" t="n"/>
      <c r="AO338" s="256" t="n"/>
    </row>
    <row r="339">
      <c r="A339" s="239" t="n"/>
      <c r="B339" s="239" t="n"/>
      <c r="C339" s="239" t="n"/>
      <c r="D339" s="239" t="n"/>
      <c r="E339" s="239" t="n"/>
      <c r="F339" s="239" t="n"/>
      <c r="G339" s="239" t="n"/>
      <c r="H339" s="239" t="n"/>
      <c r="I339" s="239" t="n"/>
      <c r="J339" s="239" t="n"/>
      <c r="K339" s="239" t="n"/>
      <c r="L339" s="239" t="n"/>
      <c r="M339" s="239" t="n"/>
      <c r="N339" s="239" t="n"/>
      <c r="O339" s="239" t="n"/>
      <c r="P339" s="239" t="n"/>
      <c r="Q339" s="239" t="n"/>
      <c r="R339" s="239" t="n"/>
      <c r="S339" s="239" t="n"/>
      <c r="T339" s="239" t="n"/>
      <c r="U339" s="239" t="n"/>
      <c r="V339" s="239" t="n"/>
      <c r="W339" s="239" t="n"/>
      <c r="X339" s="239" t="n"/>
      <c r="Y339" s="239" t="n"/>
      <c r="Z339" s="239" t="n"/>
      <c r="AA339" s="239" t="n"/>
      <c r="AB339" s="239" t="n"/>
      <c r="AC339" s="239" t="n"/>
      <c r="AD339" s="239" t="n"/>
      <c r="AE339" s="239" t="n"/>
      <c r="AF339" s="239" t="n"/>
      <c r="AG339" s="239" t="n"/>
      <c r="AH339" s="239" t="n"/>
      <c r="AI339" s="239" t="n"/>
      <c r="AJ339" s="239" t="n"/>
      <c r="AK339" s="239" t="n"/>
      <c r="AL339" s="239" t="n"/>
      <c r="AM339" s="239" t="n"/>
      <c r="AN339" s="239" t="n"/>
      <c r="AO339" s="239" t="n"/>
    </row>
    <row r="340">
      <c r="A340" s="256" t="n"/>
      <c r="B340" s="256" t="n"/>
      <c r="C340" s="256" t="n"/>
      <c r="D340" s="256" t="n"/>
      <c r="E340" s="256" t="n"/>
      <c r="F340" s="256" t="n"/>
      <c r="G340" s="256" t="n"/>
      <c r="H340" s="256" t="n"/>
      <c r="I340" s="256" t="n"/>
      <c r="J340" s="256" t="n"/>
      <c r="K340" s="256" t="n"/>
      <c r="L340" s="256" t="n"/>
      <c r="M340" s="256" t="n"/>
      <c r="N340" s="256" t="n"/>
      <c r="O340" s="256" t="n"/>
      <c r="P340" s="256" t="n"/>
      <c r="Q340" s="256" t="n"/>
      <c r="R340" s="256" t="n"/>
      <c r="S340" s="256" t="n"/>
      <c r="T340" s="256" t="n"/>
      <c r="U340" s="256" t="n"/>
      <c r="V340" s="256" t="n"/>
      <c r="W340" s="256" t="n"/>
      <c r="X340" s="256" t="n"/>
      <c r="Y340" s="256" t="n"/>
      <c r="Z340" s="256" t="n"/>
      <c r="AA340" s="256" t="n"/>
      <c r="AB340" s="256" t="n"/>
      <c r="AC340" s="256" t="n"/>
      <c r="AD340" s="256" t="n"/>
      <c r="AE340" s="256" t="n"/>
      <c r="AF340" s="256" t="n"/>
      <c r="AG340" s="256" t="n"/>
      <c r="AH340" s="256" t="n"/>
      <c r="AI340" s="256" t="n"/>
      <c r="AJ340" s="256" t="n"/>
      <c r="AK340" s="256" t="n"/>
      <c r="AL340" s="256" t="n"/>
      <c r="AM340" s="256" t="n"/>
      <c r="AN340" s="256" t="n"/>
      <c r="AO340" s="256" t="n"/>
    </row>
    <row r="341">
      <c r="A341" s="239" t="n"/>
      <c r="B341" s="239" t="n"/>
      <c r="C341" s="239" t="n"/>
      <c r="D341" s="239" t="n"/>
      <c r="E341" s="239" t="n"/>
      <c r="F341" s="239" t="n"/>
      <c r="G341" s="239" t="n"/>
      <c r="H341" s="239" t="n"/>
      <c r="I341" s="239" t="n"/>
      <c r="J341" s="239" t="n"/>
      <c r="K341" s="239" t="n"/>
      <c r="L341" s="239" t="n"/>
      <c r="M341" s="239" t="n"/>
      <c r="N341" s="239" t="n"/>
      <c r="O341" s="239" t="n"/>
      <c r="P341" s="239" t="n"/>
      <c r="Q341" s="239" t="n"/>
      <c r="R341" s="239" t="n"/>
      <c r="S341" s="239" t="n"/>
      <c r="T341" s="239" t="n"/>
      <c r="U341" s="239" t="n"/>
      <c r="V341" s="239" t="n"/>
      <c r="W341" s="239" t="n"/>
      <c r="X341" s="239" t="n"/>
      <c r="Y341" s="239" t="n"/>
      <c r="Z341" s="239" t="n"/>
      <c r="AA341" s="239" t="n"/>
      <c r="AB341" s="239" t="n"/>
      <c r="AC341" s="239" t="n"/>
      <c r="AD341" s="239" t="n"/>
      <c r="AE341" s="239" t="n"/>
      <c r="AF341" s="239" t="n"/>
      <c r="AG341" s="239" t="n"/>
      <c r="AH341" s="239" t="n"/>
      <c r="AI341" s="239" t="n"/>
      <c r="AJ341" s="239" t="n"/>
      <c r="AK341" s="239" t="n"/>
      <c r="AL341" s="239" t="n"/>
      <c r="AM341" s="239" t="n"/>
      <c r="AN341" s="239" t="n"/>
      <c r="AO341" s="239" t="n"/>
    </row>
    <row r="342">
      <c r="A342" s="256" t="n"/>
      <c r="B342" s="256" t="n"/>
      <c r="C342" s="256" t="n"/>
      <c r="D342" s="256" t="n"/>
      <c r="E342" s="256" t="n"/>
      <c r="F342" s="256" t="n"/>
      <c r="G342" s="256" t="n"/>
      <c r="H342" s="256" t="n"/>
      <c r="I342" s="256" t="n"/>
      <c r="J342" s="256" t="n"/>
      <c r="K342" s="256" t="n"/>
      <c r="L342" s="256" t="n"/>
      <c r="M342" s="256" t="n"/>
      <c r="N342" s="256" t="n"/>
      <c r="O342" s="256" t="n"/>
      <c r="P342" s="256" t="n"/>
      <c r="Q342" s="256" t="n"/>
      <c r="R342" s="256" t="n"/>
      <c r="S342" s="256" t="n"/>
      <c r="T342" s="256" t="n"/>
      <c r="U342" s="256" t="n"/>
      <c r="V342" s="256" t="n"/>
      <c r="W342" s="256" t="n"/>
      <c r="X342" s="256" t="n"/>
      <c r="Y342" s="256" t="n"/>
      <c r="Z342" s="256" t="n"/>
      <c r="AA342" s="256" t="n"/>
      <c r="AB342" s="256" t="n"/>
      <c r="AC342" s="256" t="n"/>
      <c r="AD342" s="256" t="n"/>
      <c r="AE342" s="256" t="n"/>
      <c r="AF342" s="256" t="n"/>
      <c r="AG342" s="256" t="n"/>
      <c r="AH342" s="256" t="n"/>
      <c r="AI342" s="256" t="n"/>
      <c r="AJ342" s="256" t="n"/>
      <c r="AK342" s="256" t="n"/>
      <c r="AL342" s="256" t="n"/>
      <c r="AM342" s="256" t="n"/>
      <c r="AN342" s="256" t="n"/>
      <c r="AO342" s="256" t="n"/>
    </row>
    <row r="343">
      <c r="A343" s="239" t="n"/>
      <c r="B343" s="239" t="n"/>
      <c r="C343" s="239" t="n"/>
      <c r="D343" s="239" t="n"/>
      <c r="E343" s="239" t="n"/>
      <c r="F343" s="239" t="n"/>
      <c r="G343" s="239" t="n"/>
      <c r="H343" s="239" t="n"/>
      <c r="I343" s="239" t="n"/>
      <c r="J343" s="239" t="n"/>
      <c r="K343" s="239" t="n"/>
      <c r="L343" s="239" t="n"/>
      <c r="M343" s="239" t="n"/>
      <c r="N343" s="239" t="n"/>
      <c r="O343" s="239" t="n"/>
      <c r="P343" s="239" t="n"/>
      <c r="Q343" s="239" t="n"/>
      <c r="R343" s="239" t="n"/>
      <c r="S343" s="239" t="n"/>
      <c r="T343" s="239" t="n"/>
      <c r="U343" s="239" t="n"/>
      <c r="V343" s="239" t="n"/>
      <c r="W343" s="239" t="n"/>
      <c r="X343" s="239" t="n"/>
      <c r="Y343" s="239" t="n"/>
      <c r="Z343" s="239" t="n"/>
      <c r="AA343" s="239" t="n"/>
      <c r="AB343" s="239" t="n"/>
      <c r="AC343" s="239" t="n"/>
      <c r="AD343" s="239" t="n"/>
      <c r="AE343" s="239" t="n"/>
      <c r="AF343" s="239" t="n"/>
      <c r="AG343" s="239" t="n"/>
      <c r="AH343" s="239" t="n"/>
      <c r="AI343" s="239" t="n"/>
      <c r="AJ343" s="239" t="n"/>
      <c r="AK343" s="239" t="n"/>
      <c r="AL343" s="239" t="n"/>
      <c r="AM343" s="239" t="n"/>
      <c r="AN343" s="239" t="n"/>
      <c r="AO343" s="239" t="n"/>
    </row>
    <row r="344">
      <c r="A344" s="256" t="n"/>
      <c r="B344" s="256" t="n"/>
      <c r="C344" s="256" t="n"/>
      <c r="D344" s="256" t="n"/>
      <c r="E344" s="256" t="n"/>
      <c r="F344" s="256" t="n"/>
      <c r="G344" s="256" t="n"/>
      <c r="H344" s="256" t="n"/>
      <c r="I344" s="256" t="n"/>
      <c r="J344" s="256" t="n"/>
      <c r="K344" s="256" t="n"/>
      <c r="L344" s="256" t="n"/>
      <c r="M344" s="256" t="n"/>
      <c r="N344" s="256" t="n"/>
      <c r="O344" s="256" t="n"/>
      <c r="P344" s="256" t="n"/>
      <c r="Q344" s="256" t="n"/>
      <c r="R344" s="256" t="n"/>
      <c r="S344" s="256" t="n"/>
      <c r="T344" s="256" t="n"/>
      <c r="U344" s="256" t="n"/>
      <c r="V344" s="256" t="n"/>
      <c r="W344" s="256" t="n"/>
      <c r="X344" s="256" t="n"/>
      <c r="Y344" s="256" t="n"/>
      <c r="Z344" s="256" t="n"/>
      <c r="AA344" s="256" t="n"/>
      <c r="AB344" s="256" t="n"/>
      <c r="AC344" s="256" t="n"/>
      <c r="AD344" s="256" t="n"/>
      <c r="AE344" s="256" t="n"/>
      <c r="AF344" s="256" t="n"/>
      <c r="AG344" s="256" t="n"/>
      <c r="AH344" s="256" t="n"/>
      <c r="AI344" s="256" t="n"/>
      <c r="AJ344" s="256" t="n"/>
      <c r="AK344" s="256" t="n"/>
      <c r="AL344" s="256" t="n"/>
      <c r="AM344" s="256" t="n"/>
      <c r="AN344" s="256" t="n"/>
      <c r="AO344" s="256" t="n"/>
    </row>
    <row r="345">
      <c r="A345" s="239" t="n"/>
      <c r="B345" s="239" t="n"/>
      <c r="C345" s="239" t="n"/>
      <c r="D345" s="239" t="n"/>
      <c r="E345" s="239" t="n"/>
      <c r="F345" s="239" t="n"/>
      <c r="G345" s="239" t="n"/>
      <c r="H345" s="239" t="n"/>
      <c r="I345" s="239" t="n"/>
      <c r="J345" s="239" t="n"/>
      <c r="K345" s="239" t="n"/>
      <c r="L345" s="239" t="n"/>
      <c r="M345" s="239" t="n"/>
      <c r="N345" s="239" t="n"/>
      <c r="O345" s="239" t="n"/>
      <c r="P345" s="239" t="n"/>
      <c r="Q345" s="239" t="n"/>
      <c r="R345" s="239" t="n"/>
      <c r="S345" s="239" t="n"/>
      <c r="T345" s="239" t="n"/>
      <c r="U345" s="239" t="n"/>
      <c r="V345" s="239" t="n"/>
      <c r="W345" s="239" t="n"/>
      <c r="X345" s="239" t="n"/>
      <c r="Y345" s="239" t="n"/>
      <c r="Z345" s="239" t="n"/>
      <c r="AA345" s="239" t="n"/>
      <c r="AB345" s="239" t="n"/>
      <c r="AC345" s="239" t="n"/>
      <c r="AD345" s="239" t="n"/>
      <c r="AE345" s="239" t="n"/>
      <c r="AF345" s="239" t="n"/>
      <c r="AG345" s="239" t="n"/>
      <c r="AH345" s="239" t="n"/>
      <c r="AI345" s="239" t="n"/>
      <c r="AJ345" s="239" t="n"/>
      <c r="AK345" s="239" t="n"/>
      <c r="AL345" s="239" t="n"/>
      <c r="AM345" s="239" t="n"/>
      <c r="AN345" s="239" t="n"/>
      <c r="AO345" s="239" t="n"/>
    </row>
    <row r="346">
      <c r="A346" s="256" t="n"/>
      <c r="B346" s="256" t="n"/>
      <c r="C346" s="256" t="n"/>
      <c r="D346" s="256" t="n"/>
      <c r="E346" s="256" t="n"/>
      <c r="F346" s="256" t="n"/>
      <c r="G346" s="256" t="n"/>
      <c r="H346" s="256" t="n"/>
      <c r="I346" s="256" t="n"/>
      <c r="J346" s="256" t="n"/>
      <c r="K346" s="256" t="n"/>
      <c r="L346" s="256" t="n"/>
      <c r="M346" s="256" t="n"/>
      <c r="N346" s="256" t="n"/>
      <c r="O346" s="256" t="n"/>
      <c r="P346" s="256" t="n"/>
      <c r="Q346" s="256" t="n"/>
      <c r="R346" s="256" t="n"/>
      <c r="S346" s="256" t="n"/>
      <c r="T346" s="256" t="n"/>
      <c r="U346" s="256" t="n"/>
      <c r="V346" s="256" t="n"/>
      <c r="W346" s="256" t="n"/>
      <c r="X346" s="256" t="n"/>
      <c r="Y346" s="256" t="n"/>
      <c r="Z346" s="256" t="n"/>
      <c r="AA346" s="256" t="n"/>
      <c r="AB346" s="256" t="n"/>
      <c r="AC346" s="256" t="n"/>
      <c r="AD346" s="256" t="n"/>
      <c r="AE346" s="256" t="n"/>
      <c r="AF346" s="256" t="n"/>
      <c r="AG346" s="256" t="n"/>
      <c r="AH346" s="256" t="n"/>
      <c r="AI346" s="256" t="n"/>
      <c r="AJ346" s="256" t="n"/>
      <c r="AK346" s="256" t="n"/>
      <c r="AL346" s="256" t="n"/>
      <c r="AM346" s="256" t="n"/>
      <c r="AN346" s="256" t="n"/>
      <c r="AO346" s="256" t="n"/>
    </row>
    <row r="347">
      <c r="A347" s="239" t="n"/>
      <c r="B347" s="239" t="n"/>
      <c r="C347" s="239" t="n"/>
      <c r="D347" s="239" t="n"/>
      <c r="E347" s="239" t="n"/>
      <c r="F347" s="239" t="n"/>
      <c r="G347" s="239" t="n"/>
      <c r="H347" s="239" t="n"/>
      <c r="I347" s="239" t="n"/>
      <c r="J347" s="239" t="n"/>
      <c r="K347" s="239" t="n"/>
      <c r="L347" s="239" t="n"/>
      <c r="M347" s="239" t="n"/>
      <c r="N347" s="239" t="n"/>
      <c r="O347" s="239" t="n"/>
      <c r="P347" s="239" t="n"/>
      <c r="Q347" s="239" t="n"/>
      <c r="R347" s="239" t="n"/>
      <c r="S347" s="239" t="n"/>
      <c r="T347" s="239" t="n"/>
      <c r="U347" s="239" t="n"/>
      <c r="V347" s="239" t="n"/>
      <c r="W347" s="239" t="n"/>
      <c r="X347" s="239" t="n"/>
      <c r="Y347" s="239" t="n"/>
      <c r="Z347" s="239" t="n"/>
      <c r="AA347" s="239" t="n"/>
      <c r="AB347" s="239" t="n"/>
      <c r="AC347" s="239" t="n"/>
      <c r="AD347" s="239" t="n"/>
      <c r="AE347" s="239" t="n"/>
      <c r="AF347" s="239" t="n"/>
      <c r="AG347" s="239" t="n"/>
      <c r="AH347" s="239" t="n"/>
      <c r="AI347" s="239" t="n"/>
      <c r="AJ347" s="239" t="n"/>
      <c r="AK347" s="239" t="n"/>
      <c r="AL347" s="239" t="n"/>
      <c r="AM347" s="239" t="n"/>
      <c r="AN347" s="239" t="n"/>
      <c r="AO347" s="239" t="n"/>
    </row>
    <row r="348">
      <c r="A348" s="256" t="n"/>
      <c r="B348" s="256" t="n"/>
      <c r="C348" s="256" t="n"/>
      <c r="D348" s="256" t="n"/>
      <c r="E348" s="256" t="n"/>
      <c r="F348" s="256" t="n"/>
      <c r="G348" s="256" t="n"/>
      <c r="H348" s="256" t="n"/>
      <c r="I348" s="256" t="n"/>
      <c r="J348" s="256" t="n"/>
      <c r="K348" s="256" t="n"/>
      <c r="L348" s="256" t="n"/>
      <c r="M348" s="256" t="n"/>
      <c r="N348" s="256" t="n"/>
      <c r="O348" s="256" t="n"/>
      <c r="P348" s="256" t="n"/>
      <c r="Q348" s="256" t="n"/>
      <c r="R348" s="256" t="n"/>
      <c r="S348" s="256" t="n"/>
      <c r="T348" s="256" t="n"/>
      <c r="U348" s="256" t="n"/>
      <c r="V348" s="256" t="n"/>
      <c r="W348" s="256" t="n"/>
      <c r="X348" s="256" t="n"/>
      <c r="Y348" s="256" t="n"/>
      <c r="Z348" s="256" t="n"/>
      <c r="AA348" s="256" t="n"/>
      <c r="AB348" s="256" t="n"/>
      <c r="AC348" s="256" t="n"/>
      <c r="AD348" s="256" t="n"/>
      <c r="AE348" s="256" t="n"/>
      <c r="AF348" s="256" t="n"/>
      <c r="AG348" s="256" t="n"/>
      <c r="AH348" s="256" t="n"/>
      <c r="AI348" s="256" t="n"/>
      <c r="AJ348" s="256" t="n"/>
      <c r="AK348" s="256" t="n"/>
      <c r="AL348" s="256" t="n"/>
      <c r="AM348" s="256" t="n"/>
      <c r="AN348" s="256" t="n"/>
      <c r="AO348" s="256" t="n"/>
    </row>
    <row r="349">
      <c r="A349" s="239" t="n"/>
      <c r="B349" s="239" t="n"/>
      <c r="C349" s="239" t="n"/>
      <c r="D349" s="239" t="n"/>
      <c r="E349" s="239" t="n"/>
      <c r="F349" s="239" t="n"/>
      <c r="G349" s="239" t="n"/>
      <c r="H349" s="239" t="n"/>
      <c r="I349" s="239" t="n"/>
      <c r="J349" s="239" t="n"/>
      <c r="K349" s="239" t="n"/>
      <c r="L349" s="239" t="n"/>
      <c r="M349" s="239" t="n"/>
      <c r="N349" s="239" t="n"/>
      <c r="O349" s="239" t="n"/>
      <c r="P349" s="239" t="n"/>
      <c r="Q349" s="239" t="n"/>
      <c r="R349" s="239" t="n"/>
      <c r="S349" s="239" t="n"/>
      <c r="T349" s="239" t="n"/>
      <c r="U349" s="239" t="n"/>
      <c r="V349" s="239" t="n"/>
      <c r="W349" s="239" t="n"/>
      <c r="X349" s="239" t="n"/>
      <c r="Y349" s="239" t="n"/>
      <c r="Z349" s="239" t="n"/>
      <c r="AA349" s="239" t="n"/>
      <c r="AB349" s="239" t="n"/>
      <c r="AC349" s="239" t="n"/>
      <c r="AD349" s="239" t="n"/>
      <c r="AE349" s="239" t="n"/>
      <c r="AF349" s="239" t="n"/>
      <c r="AG349" s="239" t="n"/>
      <c r="AH349" s="239" t="n"/>
      <c r="AI349" s="239" t="n"/>
      <c r="AJ349" s="239" t="n"/>
      <c r="AK349" s="239" t="n"/>
      <c r="AL349" s="239" t="n"/>
      <c r="AM349" s="239" t="n"/>
      <c r="AN349" s="239" t="n"/>
      <c r="AO349" s="239" t="n"/>
    </row>
    <row r="350">
      <c r="A350" s="256" t="n"/>
      <c r="B350" s="256" t="n"/>
      <c r="C350" s="256" t="n"/>
      <c r="D350" s="256" t="n"/>
      <c r="E350" s="256" t="n"/>
      <c r="F350" s="256" t="n"/>
      <c r="G350" s="256" t="n"/>
      <c r="H350" s="256" t="n"/>
      <c r="I350" s="256" t="n"/>
      <c r="J350" s="256" t="n"/>
      <c r="K350" s="256" t="n"/>
      <c r="L350" s="256" t="n"/>
      <c r="M350" s="256" t="n"/>
      <c r="N350" s="256" t="n"/>
      <c r="O350" s="256" t="n"/>
      <c r="P350" s="256" t="n"/>
      <c r="Q350" s="256" t="n"/>
      <c r="R350" s="256" t="n"/>
      <c r="S350" s="256" t="n"/>
      <c r="T350" s="256" t="n"/>
      <c r="U350" s="256" t="n"/>
      <c r="V350" s="256" t="n"/>
      <c r="W350" s="256" t="n"/>
      <c r="X350" s="256" t="n"/>
      <c r="Y350" s="256" t="n"/>
      <c r="Z350" s="256" t="n"/>
      <c r="AA350" s="256" t="n"/>
      <c r="AB350" s="256" t="n"/>
      <c r="AC350" s="256" t="n"/>
      <c r="AD350" s="256" t="n"/>
      <c r="AE350" s="256" t="n"/>
      <c r="AF350" s="256" t="n"/>
      <c r="AG350" s="256" t="n"/>
      <c r="AH350" s="256" t="n"/>
      <c r="AI350" s="256" t="n"/>
      <c r="AJ350" s="256" t="n"/>
      <c r="AK350" s="256" t="n"/>
      <c r="AL350" s="256" t="n"/>
      <c r="AM350" s="256" t="n"/>
      <c r="AN350" s="256" t="n"/>
      <c r="AO350" s="256" t="n"/>
    </row>
    <row r="351">
      <c r="A351" s="239" t="n"/>
      <c r="B351" s="239" t="n"/>
      <c r="C351" s="239" t="n"/>
      <c r="D351" s="239" t="n"/>
      <c r="E351" s="239" t="n"/>
      <c r="F351" s="239" t="n"/>
      <c r="G351" s="239" t="n"/>
      <c r="H351" s="239" t="n"/>
      <c r="I351" s="239" t="n"/>
      <c r="J351" s="239" t="n"/>
      <c r="K351" s="239" t="n"/>
      <c r="L351" s="239" t="n"/>
      <c r="M351" s="239" t="n"/>
      <c r="N351" s="239" t="n"/>
      <c r="O351" s="239" t="n"/>
      <c r="P351" s="239" t="n"/>
      <c r="Q351" s="239" t="n"/>
      <c r="R351" s="239" t="n"/>
      <c r="S351" s="239" t="n"/>
      <c r="T351" s="239" t="n"/>
      <c r="U351" s="239" t="n"/>
      <c r="V351" s="239" t="n"/>
      <c r="W351" s="239" t="n"/>
      <c r="X351" s="239" t="n"/>
      <c r="Y351" s="239" t="n"/>
      <c r="Z351" s="239" t="n"/>
      <c r="AA351" s="239" t="n"/>
      <c r="AB351" s="239" t="n"/>
      <c r="AC351" s="239" t="n"/>
      <c r="AD351" s="239" t="n"/>
      <c r="AE351" s="239" t="n"/>
      <c r="AF351" s="239" t="n"/>
      <c r="AG351" s="239" t="n"/>
      <c r="AH351" s="239" t="n"/>
      <c r="AI351" s="239" t="n"/>
      <c r="AJ351" s="239" t="n"/>
      <c r="AK351" s="239" t="n"/>
      <c r="AL351" s="239" t="n"/>
      <c r="AM351" s="239" t="n"/>
      <c r="AN351" s="239" t="n"/>
      <c r="AO351" s="239" t="n"/>
    </row>
    <row r="352">
      <c r="A352" s="256" t="n"/>
      <c r="B352" s="256" t="n"/>
      <c r="C352" s="256" t="n"/>
      <c r="D352" s="256" t="n"/>
      <c r="E352" s="256" t="n"/>
      <c r="F352" s="256" t="n"/>
      <c r="G352" s="256" t="n"/>
      <c r="H352" s="256" t="n"/>
      <c r="I352" s="256" t="n"/>
      <c r="J352" s="256" t="n"/>
      <c r="K352" s="256" t="n"/>
      <c r="L352" s="256" t="n"/>
      <c r="M352" s="256" t="n"/>
      <c r="N352" s="256" t="n"/>
      <c r="O352" s="256" t="n"/>
      <c r="P352" s="256" t="n"/>
      <c r="Q352" s="256" t="n"/>
      <c r="R352" s="256" t="n"/>
      <c r="S352" s="256" t="n"/>
      <c r="T352" s="256" t="n"/>
      <c r="U352" s="256" t="n"/>
      <c r="V352" s="256" t="n"/>
      <c r="W352" s="256" t="n"/>
      <c r="X352" s="256" t="n"/>
      <c r="Y352" s="256" t="n"/>
      <c r="Z352" s="256" t="n"/>
      <c r="AA352" s="256" t="n"/>
      <c r="AB352" s="256" t="n"/>
      <c r="AC352" s="256" t="n"/>
      <c r="AD352" s="256" t="n"/>
      <c r="AE352" s="256" t="n"/>
      <c r="AF352" s="256" t="n"/>
      <c r="AG352" s="256" t="n"/>
      <c r="AH352" s="256" t="n"/>
      <c r="AI352" s="256" t="n"/>
      <c r="AJ352" s="256" t="n"/>
      <c r="AK352" s="256" t="n"/>
      <c r="AL352" s="256" t="n"/>
      <c r="AM352" s="256" t="n"/>
      <c r="AN352" s="256" t="n"/>
      <c r="AO352" s="256" t="n"/>
    </row>
    <row r="353">
      <c r="A353" s="239" t="n"/>
      <c r="B353" s="239" t="n"/>
      <c r="C353" s="239" t="n"/>
      <c r="D353" s="239" t="n"/>
      <c r="E353" s="239" t="n"/>
      <c r="F353" s="239" t="n"/>
      <c r="G353" s="239" t="n"/>
      <c r="H353" s="239" t="n"/>
      <c r="I353" s="239" t="n"/>
      <c r="J353" s="239" t="n"/>
      <c r="K353" s="239" t="n"/>
      <c r="L353" s="239" t="n"/>
      <c r="M353" s="239" t="n"/>
      <c r="N353" s="239" t="n"/>
      <c r="O353" s="239" t="n"/>
      <c r="P353" s="239" t="n"/>
      <c r="Q353" s="239" t="n"/>
      <c r="R353" s="239" t="n"/>
      <c r="S353" s="239" t="n"/>
      <c r="T353" s="239" t="n"/>
      <c r="U353" s="239" t="n"/>
      <c r="V353" s="239" t="n"/>
      <c r="W353" s="239" t="n"/>
      <c r="X353" s="239" t="n"/>
      <c r="Y353" s="239" t="n"/>
      <c r="Z353" s="239" t="n"/>
      <c r="AA353" s="239" t="n"/>
      <c r="AB353" s="239" t="n"/>
      <c r="AC353" s="239" t="n"/>
      <c r="AD353" s="239" t="n"/>
      <c r="AE353" s="239" t="n"/>
      <c r="AF353" s="239" t="n"/>
      <c r="AG353" s="239" t="n"/>
      <c r="AH353" s="239" t="n"/>
      <c r="AI353" s="239" t="n"/>
      <c r="AJ353" s="239" t="n"/>
      <c r="AK353" s="239" t="n"/>
      <c r="AL353" s="239" t="n"/>
      <c r="AM353" s="239" t="n"/>
      <c r="AN353" s="239" t="n"/>
      <c r="AO353" s="239" t="n"/>
    </row>
    <row r="354">
      <c r="A354" s="256" t="n"/>
      <c r="B354" s="256" t="n"/>
      <c r="C354" s="256" t="n"/>
      <c r="D354" s="256" t="n"/>
      <c r="E354" s="256" t="n"/>
      <c r="F354" s="256" t="n"/>
      <c r="G354" s="256" t="n"/>
      <c r="H354" s="256" t="n"/>
      <c r="I354" s="256" t="n"/>
      <c r="J354" s="256" t="n"/>
      <c r="K354" s="256" t="n"/>
      <c r="L354" s="256" t="n"/>
      <c r="M354" s="256" t="n"/>
      <c r="N354" s="256" t="n"/>
      <c r="O354" s="256" t="n"/>
      <c r="P354" s="256" t="n"/>
      <c r="Q354" s="256" t="n"/>
      <c r="R354" s="256" t="n"/>
      <c r="S354" s="256" t="n"/>
      <c r="T354" s="256" t="n"/>
      <c r="U354" s="256" t="n"/>
      <c r="V354" s="256" t="n"/>
      <c r="W354" s="256" t="n"/>
      <c r="X354" s="256" t="n"/>
      <c r="Y354" s="256" t="n"/>
      <c r="Z354" s="256" t="n"/>
      <c r="AA354" s="256" t="n"/>
      <c r="AB354" s="256" t="n"/>
      <c r="AC354" s="256" t="n"/>
      <c r="AD354" s="256" t="n"/>
      <c r="AE354" s="256" t="n"/>
      <c r="AF354" s="256" t="n"/>
      <c r="AG354" s="256" t="n"/>
      <c r="AH354" s="256" t="n"/>
      <c r="AI354" s="256" t="n"/>
      <c r="AJ354" s="256" t="n"/>
      <c r="AK354" s="256" t="n"/>
      <c r="AL354" s="256" t="n"/>
      <c r="AM354" s="256" t="n"/>
      <c r="AN354" s="256" t="n"/>
      <c r="AO354" s="256" t="n"/>
    </row>
    <row r="355">
      <c r="A355" s="239" t="n"/>
      <c r="B355" s="239" t="n"/>
      <c r="C355" s="239" t="n"/>
      <c r="D355" s="239" t="n"/>
      <c r="E355" s="239" t="n"/>
      <c r="F355" s="239" t="n"/>
      <c r="G355" s="239" t="n"/>
      <c r="H355" s="239" t="n"/>
      <c r="I355" s="239" t="n"/>
      <c r="J355" s="239" t="n"/>
      <c r="K355" s="239" t="n"/>
      <c r="L355" s="239" t="n"/>
      <c r="M355" s="239" t="n"/>
      <c r="N355" s="239" t="n"/>
      <c r="O355" s="239" t="n"/>
      <c r="P355" s="239" t="n"/>
      <c r="Q355" s="239" t="n"/>
      <c r="R355" s="239" t="n"/>
      <c r="S355" s="239" t="n"/>
      <c r="T355" s="239" t="n"/>
      <c r="U355" s="239" t="n"/>
      <c r="V355" s="239" t="n"/>
      <c r="W355" s="239" t="n"/>
      <c r="X355" s="239" t="n"/>
      <c r="Y355" s="239" t="n"/>
      <c r="Z355" s="239" t="n"/>
      <c r="AA355" s="239" t="n"/>
      <c r="AB355" s="239" t="n"/>
      <c r="AC355" s="239" t="n"/>
      <c r="AD355" s="239" t="n"/>
      <c r="AE355" s="239" t="n"/>
      <c r="AF355" s="239" t="n"/>
      <c r="AG355" s="239" t="n"/>
      <c r="AH355" s="239" t="n"/>
      <c r="AI355" s="239" t="n"/>
      <c r="AJ355" s="239" t="n"/>
      <c r="AK355" s="239" t="n"/>
      <c r="AL355" s="239" t="n"/>
      <c r="AM355" s="239" t="n"/>
      <c r="AN355" s="239" t="n"/>
      <c r="AO355" s="239" t="n"/>
    </row>
    <row r="356">
      <c r="A356" s="256" t="n"/>
      <c r="B356" s="256" t="n"/>
      <c r="C356" s="256" t="n"/>
      <c r="D356" s="256" t="n"/>
      <c r="E356" s="256" t="n"/>
      <c r="F356" s="256" t="n"/>
      <c r="G356" s="256" t="n"/>
      <c r="H356" s="256" t="n"/>
      <c r="I356" s="256" t="n"/>
      <c r="J356" s="256" t="n"/>
      <c r="K356" s="256" t="n"/>
      <c r="L356" s="256" t="n"/>
      <c r="M356" s="256" t="n"/>
      <c r="N356" s="256" t="n"/>
      <c r="O356" s="256" t="n"/>
      <c r="P356" s="256" t="n"/>
      <c r="Q356" s="256" t="n"/>
      <c r="R356" s="256" t="n"/>
      <c r="S356" s="256" t="n"/>
      <c r="T356" s="256" t="n"/>
      <c r="U356" s="256" t="n"/>
      <c r="V356" s="256" t="n"/>
      <c r="W356" s="256" t="n"/>
      <c r="X356" s="256" t="n"/>
      <c r="Y356" s="256" t="n"/>
      <c r="Z356" s="256" t="n"/>
      <c r="AA356" s="256" t="n"/>
      <c r="AB356" s="256" t="n"/>
      <c r="AC356" s="256" t="n"/>
      <c r="AD356" s="256" t="n"/>
      <c r="AE356" s="256" t="n"/>
      <c r="AF356" s="256" t="n"/>
      <c r="AG356" s="256" t="n"/>
      <c r="AH356" s="256" t="n"/>
      <c r="AI356" s="256" t="n"/>
      <c r="AJ356" s="256" t="n"/>
      <c r="AK356" s="256" t="n"/>
      <c r="AL356" s="256" t="n"/>
      <c r="AM356" s="256" t="n"/>
      <c r="AN356" s="256" t="n"/>
      <c r="AO356" s="256" t="n"/>
    </row>
    <row r="357">
      <c r="A357" s="239" t="n"/>
      <c r="B357" s="239" t="n"/>
      <c r="C357" s="239" t="n"/>
      <c r="D357" s="239" t="n"/>
      <c r="E357" s="239" t="n"/>
      <c r="F357" s="239" t="n"/>
      <c r="G357" s="239" t="n"/>
      <c r="H357" s="239" t="n"/>
      <c r="I357" s="239" t="n"/>
      <c r="J357" s="239" t="n"/>
      <c r="K357" s="239" t="n"/>
      <c r="L357" s="239" t="n"/>
      <c r="M357" s="239" t="n"/>
      <c r="N357" s="239" t="n"/>
      <c r="O357" s="239" t="n"/>
      <c r="P357" s="239" t="n"/>
      <c r="Q357" s="239" t="n"/>
      <c r="R357" s="239" t="n"/>
      <c r="S357" s="239" t="n"/>
      <c r="T357" s="239" t="n"/>
      <c r="U357" s="239" t="n"/>
      <c r="V357" s="239" t="n"/>
      <c r="W357" s="239" t="n"/>
      <c r="X357" s="239" t="n"/>
      <c r="Y357" s="239" t="n"/>
      <c r="Z357" s="239" t="n"/>
      <c r="AA357" s="239" t="n"/>
      <c r="AB357" s="239" t="n"/>
      <c r="AC357" s="239" t="n"/>
      <c r="AD357" s="239" t="n"/>
      <c r="AE357" s="239" t="n"/>
      <c r="AF357" s="239" t="n"/>
      <c r="AG357" s="239" t="n"/>
      <c r="AH357" s="239" t="n"/>
      <c r="AI357" s="239" t="n"/>
      <c r="AJ357" s="239" t="n"/>
      <c r="AK357" s="239" t="n"/>
      <c r="AL357" s="239" t="n"/>
      <c r="AM357" s="239" t="n"/>
      <c r="AN357" s="239" t="n"/>
      <c r="AO357" s="239" t="n"/>
    </row>
    <row r="358">
      <c r="A358" s="256" t="n"/>
      <c r="B358" s="256" t="n"/>
      <c r="C358" s="256" t="n"/>
      <c r="D358" s="256" t="n"/>
      <c r="E358" s="256" t="n"/>
      <c r="F358" s="256" t="n"/>
      <c r="G358" s="256" t="n"/>
      <c r="H358" s="256" t="n"/>
      <c r="I358" s="256" t="n"/>
      <c r="J358" s="256" t="n"/>
      <c r="K358" s="256" t="n"/>
      <c r="L358" s="256" t="n"/>
      <c r="M358" s="256" t="n"/>
      <c r="N358" s="256" t="n"/>
      <c r="O358" s="256" t="n"/>
      <c r="P358" s="256" t="n"/>
      <c r="Q358" s="256" t="n"/>
      <c r="R358" s="256" t="n"/>
      <c r="S358" s="256" t="n"/>
      <c r="T358" s="256" t="n"/>
      <c r="U358" s="256" t="n"/>
      <c r="V358" s="256" t="n"/>
      <c r="W358" s="256" t="n"/>
      <c r="X358" s="256" t="n"/>
      <c r="Y358" s="256" t="n"/>
      <c r="Z358" s="256" t="n"/>
      <c r="AA358" s="256" t="n"/>
      <c r="AB358" s="256" t="n"/>
      <c r="AC358" s="256" t="n"/>
      <c r="AD358" s="256" t="n"/>
      <c r="AE358" s="256" t="n"/>
      <c r="AF358" s="256" t="n"/>
      <c r="AG358" s="256" t="n"/>
      <c r="AH358" s="256" t="n"/>
      <c r="AI358" s="256" t="n"/>
      <c r="AJ358" s="256" t="n"/>
      <c r="AK358" s="256" t="n"/>
      <c r="AL358" s="256" t="n"/>
      <c r="AM358" s="256" t="n"/>
      <c r="AN358" s="256" t="n"/>
      <c r="AO358" s="256" t="n"/>
    </row>
    <row r="359">
      <c r="A359" s="239" t="n"/>
      <c r="B359" s="239" t="n"/>
      <c r="C359" s="239" t="n"/>
      <c r="D359" s="239" t="n"/>
      <c r="E359" s="239" t="n"/>
      <c r="F359" s="239" t="n"/>
      <c r="G359" s="239" t="n"/>
      <c r="H359" s="239" t="n"/>
      <c r="I359" s="239" t="n"/>
      <c r="J359" s="239" t="n"/>
      <c r="K359" s="239" t="n"/>
      <c r="L359" s="239" t="n"/>
      <c r="M359" s="239" t="n"/>
      <c r="N359" s="239" t="n"/>
      <c r="O359" s="239" t="n"/>
      <c r="P359" s="239" t="n"/>
      <c r="Q359" s="239" t="n"/>
      <c r="R359" s="239" t="n"/>
      <c r="S359" s="239" t="n"/>
      <c r="T359" s="239" t="n"/>
      <c r="U359" s="239" t="n"/>
      <c r="V359" s="239" t="n"/>
      <c r="W359" s="239" t="n"/>
      <c r="X359" s="239" t="n"/>
      <c r="Y359" s="239" t="n"/>
      <c r="Z359" s="239" t="n"/>
      <c r="AA359" s="239" t="n"/>
      <c r="AB359" s="239" t="n"/>
      <c r="AC359" s="239" t="n"/>
      <c r="AD359" s="239" t="n"/>
      <c r="AE359" s="239" t="n"/>
      <c r="AF359" s="239" t="n"/>
      <c r="AG359" s="239" t="n"/>
      <c r="AH359" s="239" t="n"/>
      <c r="AI359" s="239" t="n"/>
      <c r="AJ359" s="239" t="n"/>
      <c r="AK359" s="239" t="n"/>
      <c r="AL359" s="239" t="n"/>
      <c r="AM359" s="239" t="n"/>
      <c r="AN359" s="239" t="n"/>
      <c r="AO359" s="239" t="n"/>
    </row>
    <row r="360">
      <c r="A360" s="256" t="n"/>
      <c r="B360" s="256" t="n"/>
      <c r="C360" s="256" t="n"/>
      <c r="D360" s="256" t="n"/>
      <c r="E360" s="256" t="n"/>
      <c r="F360" s="256" t="n"/>
      <c r="G360" s="256" t="n"/>
      <c r="H360" s="256" t="n"/>
      <c r="I360" s="256" t="n"/>
      <c r="J360" s="256" t="n"/>
      <c r="K360" s="256" t="n"/>
      <c r="L360" s="256" t="n"/>
      <c r="M360" s="256" t="n"/>
      <c r="N360" s="256" t="n"/>
      <c r="O360" s="256" t="n"/>
      <c r="P360" s="256" t="n"/>
      <c r="Q360" s="256" t="n"/>
      <c r="R360" s="256" t="n"/>
      <c r="S360" s="256" t="n"/>
      <c r="T360" s="256" t="n"/>
      <c r="U360" s="256" t="n"/>
      <c r="V360" s="256" t="n"/>
      <c r="W360" s="256" t="n"/>
      <c r="X360" s="256" t="n"/>
      <c r="Y360" s="256" t="n"/>
      <c r="Z360" s="256" t="n"/>
      <c r="AA360" s="256" t="n"/>
      <c r="AB360" s="256" t="n"/>
      <c r="AC360" s="256" t="n"/>
      <c r="AD360" s="256" t="n"/>
      <c r="AE360" s="256" t="n"/>
      <c r="AF360" s="256" t="n"/>
      <c r="AG360" s="256" t="n"/>
      <c r="AH360" s="256" t="n"/>
      <c r="AI360" s="256" t="n"/>
      <c r="AJ360" s="256" t="n"/>
      <c r="AK360" s="256" t="n"/>
      <c r="AL360" s="256" t="n"/>
      <c r="AM360" s="256" t="n"/>
      <c r="AN360" s="256" t="n"/>
      <c r="AO360" s="256" t="n"/>
    </row>
    <row r="361">
      <c r="A361" s="239" t="n"/>
      <c r="B361" s="239" t="n"/>
      <c r="C361" s="239" t="n"/>
      <c r="D361" s="239" t="n"/>
      <c r="E361" s="239" t="n"/>
      <c r="F361" s="239" t="n"/>
      <c r="G361" s="239" t="n"/>
      <c r="H361" s="239" t="n"/>
      <c r="I361" s="239" t="n"/>
      <c r="J361" s="239" t="n"/>
      <c r="K361" s="239" t="n"/>
      <c r="L361" s="239" t="n"/>
      <c r="M361" s="239" t="n"/>
      <c r="N361" s="239" t="n"/>
      <c r="O361" s="239" t="n"/>
      <c r="P361" s="239" t="n"/>
      <c r="Q361" s="239" t="n"/>
      <c r="R361" s="239" t="n"/>
      <c r="S361" s="239" t="n"/>
      <c r="T361" s="239" t="n"/>
      <c r="U361" s="239" t="n"/>
      <c r="V361" s="239" t="n"/>
      <c r="W361" s="239" t="n"/>
      <c r="X361" s="239" t="n"/>
      <c r="Y361" s="239" t="n"/>
      <c r="Z361" s="239" t="n"/>
      <c r="AA361" s="239" t="n"/>
      <c r="AB361" s="239" t="n"/>
      <c r="AC361" s="239" t="n"/>
      <c r="AD361" s="239" t="n"/>
      <c r="AE361" s="239" t="n"/>
      <c r="AF361" s="239" t="n"/>
      <c r="AG361" s="239" t="n"/>
      <c r="AH361" s="239" t="n"/>
      <c r="AI361" s="239" t="n"/>
      <c r="AJ361" s="239" t="n"/>
      <c r="AK361" s="239" t="n"/>
      <c r="AL361" s="239" t="n"/>
      <c r="AM361" s="239" t="n"/>
      <c r="AN361" s="239" t="n"/>
      <c r="AO361" s="239" t="n"/>
    </row>
    <row r="362">
      <c r="A362" s="256" t="n"/>
      <c r="B362" s="256" t="n"/>
      <c r="C362" s="256" t="n"/>
      <c r="D362" s="256" t="n"/>
      <c r="E362" s="256" t="n"/>
      <c r="F362" s="256" t="n"/>
      <c r="G362" s="256" t="n"/>
      <c r="H362" s="256" t="n"/>
      <c r="I362" s="256" t="n"/>
      <c r="J362" s="256" t="n"/>
      <c r="K362" s="256" t="n"/>
      <c r="L362" s="256" t="n"/>
      <c r="M362" s="256" t="n"/>
      <c r="N362" s="256" t="n"/>
      <c r="O362" s="256" t="n"/>
      <c r="P362" s="256" t="n"/>
      <c r="Q362" s="256" t="n"/>
      <c r="R362" s="256" t="n"/>
      <c r="S362" s="256" t="n"/>
      <c r="T362" s="256" t="n"/>
      <c r="U362" s="256" t="n"/>
      <c r="V362" s="256" t="n"/>
      <c r="W362" s="256" t="n"/>
      <c r="X362" s="256" t="n"/>
      <c r="Y362" s="256" t="n"/>
      <c r="Z362" s="256" t="n"/>
      <c r="AA362" s="256" t="n"/>
      <c r="AB362" s="256" t="n"/>
      <c r="AC362" s="256" t="n"/>
      <c r="AD362" s="256" t="n"/>
      <c r="AE362" s="256" t="n"/>
      <c r="AF362" s="256" t="n"/>
      <c r="AG362" s="256" t="n"/>
      <c r="AH362" s="256" t="n"/>
      <c r="AI362" s="256" t="n"/>
      <c r="AJ362" s="256" t="n"/>
      <c r="AK362" s="256" t="n"/>
      <c r="AL362" s="256" t="n"/>
      <c r="AM362" s="256" t="n"/>
      <c r="AN362" s="256" t="n"/>
      <c r="AO362" s="256" t="n"/>
    </row>
    <row r="363">
      <c r="A363" s="239" t="n"/>
      <c r="B363" s="239" t="n"/>
      <c r="C363" s="239" t="n"/>
      <c r="D363" s="239" t="n"/>
      <c r="E363" s="239" t="n"/>
      <c r="F363" s="239" t="n"/>
      <c r="G363" s="239" t="n"/>
      <c r="H363" s="239" t="n"/>
      <c r="I363" s="239" t="n"/>
      <c r="J363" s="239" t="n"/>
      <c r="K363" s="239" t="n"/>
      <c r="L363" s="239" t="n"/>
      <c r="M363" s="239" t="n"/>
      <c r="N363" s="239" t="n"/>
      <c r="O363" s="239" t="n"/>
      <c r="P363" s="239" t="n"/>
      <c r="Q363" s="239" t="n"/>
      <c r="R363" s="239" t="n"/>
      <c r="S363" s="239" t="n"/>
      <c r="T363" s="239" t="n"/>
      <c r="U363" s="239" t="n"/>
      <c r="V363" s="239" t="n"/>
      <c r="W363" s="239" t="n"/>
      <c r="X363" s="239" t="n"/>
      <c r="Y363" s="239" t="n"/>
      <c r="Z363" s="239" t="n"/>
      <c r="AA363" s="239" t="n"/>
      <c r="AB363" s="239" t="n"/>
      <c r="AC363" s="239" t="n"/>
      <c r="AD363" s="239" t="n"/>
      <c r="AE363" s="239" t="n"/>
      <c r="AF363" s="239" t="n"/>
      <c r="AG363" s="239" t="n"/>
      <c r="AH363" s="239" t="n"/>
      <c r="AI363" s="239" t="n"/>
      <c r="AJ363" s="239" t="n"/>
      <c r="AK363" s="239" t="n"/>
      <c r="AL363" s="239" t="n"/>
      <c r="AM363" s="239" t="n"/>
      <c r="AN363" s="239" t="n"/>
      <c r="AO363" s="239" t="n"/>
    </row>
    <row r="364">
      <c r="A364" s="256" t="n"/>
      <c r="B364" s="256" t="n"/>
      <c r="C364" s="256" t="n"/>
      <c r="D364" s="256" t="n"/>
      <c r="E364" s="256" t="n"/>
      <c r="F364" s="256" t="n"/>
      <c r="G364" s="256" t="n"/>
      <c r="H364" s="256" t="n"/>
      <c r="I364" s="256" t="n"/>
      <c r="J364" s="256" t="n"/>
      <c r="K364" s="256" t="n"/>
      <c r="L364" s="256" t="n"/>
      <c r="M364" s="256" t="n"/>
      <c r="N364" s="256" t="n"/>
      <c r="O364" s="256" t="n"/>
      <c r="P364" s="256" t="n"/>
      <c r="Q364" s="256" t="n"/>
      <c r="R364" s="256" t="n"/>
      <c r="S364" s="256" t="n"/>
      <c r="T364" s="256" t="n"/>
      <c r="U364" s="256" t="n"/>
      <c r="V364" s="256" t="n"/>
      <c r="W364" s="256" t="n"/>
      <c r="X364" s="256" t="n"/>
      <c r="Y364" s="256" t="n"/>
      <c r="Z364" s="256" t="n"/>
      <c r="AA364" s="256" t="n"/>
      <c r="AB364" s="256" t="n"/>
      <c r="AC364" s="256" t="n"/>
      <c r="AD364" s="256" t="n"/>
      <c r="AE364" s="256" t="n"/>
      <c r="AF364" s="256" t="n"/>
      <c r="AG364" s="256" t="n"/>
      <c r="AH364" s="256" t="n"/>
      <c r="AI364" s="256" t="n"/>
      <c r="AJ364" s="256" t="n"/>
      <c r="AK364" s="256" t="n"/>
      <c r="AL364" s="256" t="n"/>
      <c r="AM364" s="256" t="n"/>
      <c r="AN364" s="256" t="n"/>
      <c r="AO364" s="256" t="n"/>
    </row>
    <row r="365">
      <c r="A365" s="239" t="n"/>
      <c r="B365" s="239" t="n"/>
      <c r="C365" s="239" t="n"/>
      <c r="D365" s="239" t="n"/>
      <c r="E365" s="239" t="n"/>
      <c r="F365" s="239" t="n"/>
      <c r="G365" s="239" t="n"/>
      <c r="H365" s="239" t="n"/>
      <c r="I365" s="239" t="n"/>
      <c r="J365" s="239" t="n"/>
      <c r="K365" s="239" t="n"/>
      <c r="L365" s="239" t="n"/>
      <c r="M365" s="239" t="n"/>
      <c r="N365" s="239" t="n"/>
      <c r="O365" s="239" t="n"/>
      <c r="P365" s="239" t="n"/>
      <c r="Q365" s="239" t="n"/>
      <c r="R365" s="239" t="n"/>
      <c r="S365" s="239" t="n"/>
      <c r="T365" s="239" t="n"/>
      <c r="U365" s="239" t="n"/>
      <c r="V365" s="239" t="n"/>
      <c r="W365" s="239" t="n"/>
      <c r="X365" s="239" t="n"/>
      <c r="Y365" s="239" t="n"/>
      <c r="Z365" s="239" t="n"/>
      <c r="AA365" s="239" t="n"/>
      <c r="AB365" s="239" t="n"/>
      <c r="AC365" s="239" t="n"/>
      <c r="AD365" s="239" t="n"/>
      <c r="AE365" s="239" t="n"/>
      <c r="AF365" s="239" t="n"/>
      <c r="AG365" s="239" t="n"/>
      <c r="AH365" s="239" t="n"/>
      <c r="AI365" s="239" t="n"/>
      <c r="AJ365" s="239" t="n"/>
      <c r="AK365" s="239" t="n"/>
      <c r="AL365" s="239" t="n"/>
      <c r="AM365" s="239" t="n"/>
      <c r="AN365" s="239" t="n"/>
      <c r="AO365" s="239" t="n"/>
    </row>
    <row r="366">
      <c r="A366" s="256" t="n"/>
      <c r="B366" s="256" t="n"/>
      <c r="C366" s="256" t="n"/>
      <c r="D366" s="256" t="n"/>
      <c r="E366" s="256" t="n"/>
      <c r="F366" s="256" t="n"/>
      <c r="G366" s="256" t="n"/>
      <c r="H366" s="256" t="n"/>
      <c r="I366" s="256" t="n"/>
      <c r="J366" s="256" t="n"/>
      <c r="K366" s="256" t="n"/>
      <c r="L366" s="256" t="n"/>
      <c r="M366" s="256" t="n"/>
      <c r="N366" s="256" t="n"/>
      <c r="O366" s="256" t="n"/>
      <c r="P366" s="256" t="n"/>
      <c r="Q366" s="256" t="n"/>
      <c r="R366" s="256" t="n"/>
      <c r="S366" s="256" t="n"/>
      <c r="T366" s="256" t="n"/>
      <c r="U366" s="256" t="n"/>
      <c r="V366" s="256" t="n"/>
      <c r="W366" s="256" t="n"/>
      <c r="X366" s="256" t="n"/>
      <c r="Y366" s="256" t="n"/>
      <c r="Z366" s="256" t="n"/>
      <c r="AA366" s="256" t="n"/>
      <c r="AB366" s="256" t="n"/>
      <c r="AC366" s="256" t="n"/>
      <c r="AD366" s="256" t="n"/>
      <c r="AE366" s="256" t="n"/>
      <c r="AF366" s="256" t="n"/>
      <c r="AG366" s="256" t="n"/>
      <c r="AH366" s="256" t="n"/>
      <c r="AI366" s="256" t="n"/>
      <c r="AJ366" s="256" t="n"/>
      <c r="AK366" s="256" t="n"/>
      <c r="AL366" s="256" t="n"/>
      <c r="AM366" s="256" t="n"/>
      <c r="AN366" s="256" t="n"/>
      <c r="AO366" s="256" t="n"/>
    </row>
    <row r="367">
      <c r="A367" s="239" t="n"/>
      <c r="B367" s="239" t="n"/>
      <c r="C367" s="239" t="n"/>
      <c r="D367" s="239" t="n"/>
      <c r="E367" s="239" t="n"/>
      <c r="F367" s="239" t="n"/>
      <c r="G367" s="239" t="n"/>
      <c r="H367" s="239" t="n"/>
      <c r="I367" s="239" t="n"/>
      <c r="J367" s="239" t="n"/>
      <c r="K367" s="239" t="n"/>
      <c r="L367" s="239" t="n"/>
      <c r="M367" s="239" t="n"/>
      <c r="N367" s="239" t="n"/>
      <c r="O367" s="239" t="n"/>
      <c r="P367" s="239" t="n"/>
      <c r="Q367" s="239" t="n"/>
      <c r="R367" s="239" t="n"/>
      <c r="S367" s="239" t="n"/>
      <c r="T367" s="239" t="n"/>
      <c r="U367" s="239" t="n"/>
      <c r="V367" s="239" t="n"/>
      <c r="W367" s="239" t="n"/>
      <c r="X367" s="239" t="n"/>
      <c r="Y367" s="239" t="n"/>
      <c r="Z367" s="239" t="n"/>
      <c r="AA367" s="239" t="n"/>
      <c r="AB367" s="239" t="n"/>
      <c r="AC367" s="239" t="n"/>
      <c r="AD367" s="239" t="n"/>
      <c r="AE367" s="239" t="n"/>
      <c r="AF367" s="239" t="n"/>
      <c r="AG367" s="239" t="n"/>
      <c r="AH367" s="239" t="n"/>
      <c r="AI367" s="239" t="n"/>
      <c r="AJ367" s="239" t="n"/>
      <c r="AK367" s="239" t="n"/>
      <c r="AL367" s="239" t="n"/>
      <c r="AM367" s="239" t="n"/>
      <c r="AN367" s="239" t="n"/>
      <c r="AO367" s="239" t="n"/>
    </row>
    <row r="368">
      <c r="A368" s="256" t="n"/>
      <c r="B368" s="256" t="n"/>
      <c r="C368" s="256" t="n"/>
      <c r="D368" s="256" t="n"/>
      <c r="E368" s="256" t="n"/>
      <c r="F368" s="256" t="n"/>
      <c r="G368" s="256" t="n"/>
      <c r="H368" s="256" t="n"/>
      <c r="I368" s="256" t="n"/>
      <c r="J368" s="256" t="n"/>
      <c r="K368" s="256" t="n"/>
      <c r="L368" s="256" t="n"/>
      <c r="M368" s="256" t="n"/>
      <c r="N368" s="256" t="n"/>
      <c r="O368" s="256" t="n"/>
      <c r="P368" s="256" t="n"/>
      <c r="Q368" s="256" t="n"/>
      <c r="R368" s="256" t="n"/>
      <c r="S368" s="256" t="n"/>
      <c r="T368" s="256" t="n"/>
      <c r="U368" s="256" t="n"/>
      <c r="V368" s="256" t="n"/>
      <c r="W368" s="256" t="n"/>
      <c r="X368" s="256" t="n"/>
      <c r="Y368" s="256" t="n"/>
      <c r="Z368" s="256" t="n"/>
      <c r="AA368" s="256" t="n"/>
      <c r="AB368" s="256" t="n"/>
      <c r="AC368" s="256" t="n"/>
      <c r="AD368" s="256" t="n"/>
      <c r="AE368" s="256" t="n"/>
      <c r="AF368" s="256" t="n"/>
      <c r="AG368" s="256" t="n"/>
      <c r="AH368" s="256" t="n"/>
      <c r="AI368" s="256" t="n"/>
      <c r="AJ368" s="256" t="n"/>
      <c r="AK368" s="256" t="n"/>
      <c r="AL368" s="256" t="n"/>
      <c r="AM368" s="256" t="n"/>
      <c r="AN368" s="256" t="n"/>
      <c r="AO368" s="256" t="n"/>
    </row>
    <row r="369">
      <c r="A369" s="239" t="n"/>
      <c r="B369" s="239" t="n"/>
      <c r="C369" s="239" t="n"/>
      <c r="D369" s="239" t="n"/>
      <c r="E369" s="239" t="n"/>
      <c r="F369" s="239" t="n"/>
      <c r="G369" s="239" t="n"/>
      <c r="H369" s="239" t="n"/>
      <c r="I369" s="239" t="n"/>
      <c r="J369" s="239" t="n"/>
      <c r="K369" s="239" t="n"/>
      <c r="L369" s="239" t="n"/>
      <c r="M369" s="239" t="n"/>
      <c r="N369" s="239" t="n"/>
      <c r="O369" s="239" t="n"/>
      <c r="P369" s="239" t="n"/>
      <c r="Q369" s="239" t="n"/>
      <c r="R369" s="239" t="n"/>
      <c r="S369" s="239" t="n"/>
      <c r="T369" s="239" t="n"/>
      <c r="U369" s="239" t="n"/>
      <c r="V369" s="239" t="n"/>
      <c r="W369" s="239" t="n"/>
      <c r="X369" s="239" t="n"/>
      <c r="Y369" s="239" t="n"/>
      <c r="Z369" s="239" t="n"/>
      <c r="AA369" s="239" t="n"/>
      <c r="AB369" s="239" t="n"/>
      <c r="AC369" s="239" t="n"/>
      <c r="AD369" s="239" t="n"/>
      <c r="AE369" s="239" t="n"/>
      <c r="AF369" s="239" t="n"/>
      <c r="AG369" s="239" t="n"/>
      <c r="AH369" s="239" t="n"/>
      <c r="AI369" s="239" t="n"/>
      <c r="AJ369" s="239" t="n"/>
      <c r="AK369" s="239" t="n"/>
      <c r="AL369" s="239" t="n"/>
      <c r="AM369" s="239" t="n"/>
      <c r="AN369" s="239" t="n"/>
      <c r="AO369" s="239" t="n"/>
    </row>
    <row r="370">
      <c r="A370" s="256" t="n"/>
      <c r="B370" s="256" t="n"/>
      <c r="C370" s="256" t="n"/>
      <c r="D370" s="256" t="n"/>
      <c r="E370" s="256" t="n"/>
      <c r="F370" s="256" t="n"/>
      <c r="G370" s="256" t="n"/>
      <c r="H370" s="256" t="n"/>
      <c r="I370" s="256" t="n"/>
      <c r="J370" s="256" t="n"/>
      <c r="K370" s="256" t="n"/>
      <c r="L370" s="256" t="n"/>
      <c r="M370" s="256" t="n"/>
      <c r="N370" s="256" t="n"/>
      <c r="O370" s="256" t="n"/>
      <c r="P370" s="256" t="n"/>
      <c r="Q370" s="256" t="n"/>
      <c r="R370" s="256" t="n"/>
      <c r="S370" s="256" t="n"/>
      <c r="T370" s="256" t="n"/>
      <c r="U370" s="256" t="n"/>
      <c r="V370" s="256" t="n"/>
      <c r="W370" s="256" t="n"/>
      <c r="X370" s="256" t="n"/>
      <c r="Y370" s="256" t="n"/>
      <c r="Z370" s="256" t="n"/>
      <c r="AA370" s="256" t="n"/>
      <c r="AB370" s="256" t="n"/>
      <c r="AC370" s="256" t="n"/>
      <c r="AD370" s="256" t="n"/>
      <c r="AE370" s="256" t="n"/>
      <c r="AF370" s="256" t="n"/>
      <c r="AG370" s="256" t="n"/>
      <c r="AH370" s="256" t="n"/>
      <c r="AI370" s="256" t="n"/>
      <c r="AJ370" s="256" t="n"/>
      <c r="AK370" s="256" t="n"/>
      <c r="AL370" s="256" t="n"/>
      <c r="AM370" s="256" t="n"/>
      <c r="AN370" s="256" t="n"/>
      <c r="AO370" s="256" t="n"/>
    </row>
    <row r="371">
      <c r="A371" s="239" t="n"/>
      <c r="B371" s="239" t="n"/>
      <c r="C371" s="239" t="n"/>
      <c r="D371" s="239" t="n"/>
      <c r="E371" s="239" t="n"/>
      <c r="F371" s="239" t="n"/>
      <c r="G371" s="239" t="n"/>
      <c r="H371" s="239" t="n"/>
      <c r="I371" s="239" t="n"/>
      <c r="J371" s="239" t="n"/>
      <c r="K371" s="239" t="n"/>
      <c r="L371" s="239" t="n"/>
      <c r="M371" s="239" t="n"/>
      <c r="N371" s="239" t="n"/>
      <c r="O371" s="239" t="n"/>
      <c r="P371" s="239" t="n"/>
      <c r="Q371" s="239" t="n"/>
      <c r="R371" s="239" t="n"/>
      <c r="S371" s="239" t="n"/>
      <c r="T371" s="239" t="n"/>
      <c r="U371" s="239" t="n"/>
      <c r="V371" s="239" t="n"/>
      <c r="W371" s="239" t="n"/>
      <c r="X371" s="239" t="n"/>
      <c r="Y371" s="239" t="n"/>
      <c r="Z371" s="239" t="n"/>
      <c r="AA371" s="239" t="n"/>
      <c r="AB371" s="239" t="n"/>
      <c r="AC371" s="239" t="n"/>
      <c r="AD371" s="239" t="n"/>
      <c r="AE371" s="239" t="n"/>
      <c r="AF371" s="239" t="n"/>
      <c r="AG371" s="239" t="n"/>
      <c r="AH371" s="239" t="n"/>
      <c r="AI371" s="239" t="n"/>
      <c r="AJ371" s="239" t="n"/>
      <c r="AK371" s="239" t="n"/>
      <c r="AL371" s="239" t="n"/>
      <c r="AM371" s="239" t="n"/>
      <c r="AN371" s="239" t="n"/>
      <c r="AO371" s="239" t="n"/>
    </row>
    <row r="372">
      <c r="A372" s="256" t="n"/>
      <c r="B372" s="256" t="n"/>
      <c r="C372" s="256" t="n"/>
      <c r="D372" s="256" t="n"/>
      <c r="E372" s="256" t="n"/>
      <c r="F372" s="256" t="n"/>
      <c r="G372" s="256" t="n"/>
      <c r="H372" s="256" t="n"/>
      <c r="I372" s="256" t="n"/>
      <c r="J372" s="256" t="n"/>
      <c r="K372" s="256" t="n"/>
      <c r="L372" s="256" t="n"/>
      <c r="M372" s="256" t="n"/>
      <c r="N372" s="256" t="n"/>
      <c r="O372" s="256" t="n"/>
      <c r="P372" s="256" t="n"/>
      <c r="Q372" s="256" t="n"/>
      <c r="R372" s="256" t="n"/>
      <c r="S372" s="256" t="n"/>
      <c r="T372" s="256" t="n"/>
      <c r="U372" s="256" t="n"/>
      <c r="V372" s="256" t="n"/>
      <c r="W372" s="256" t="n"/>
      <c r="X372" s="256" t="n"/>
      <c r="Y372" s="256" t="n"/>
      <c r="Z372" s="256" t="n"/>
      <c r="AA372" s="256" t="n"/>
      <c r="AB372" s="256" t="n"/>
      <c r="AC372" s="256" t="n"/>
      <c r="AD372" s="256" t="n"/>
      <c r="AE372" s="256" t="n"/>
      <c r="AF372" s="256" t="n"/>
      <c r="AG372" s="256" t="n"/>
      <c r="AH372" s="256" t="n"/>
      <c r="AI372" s="256" t="n"/>
      <c r="AJ372" s="256" t="n"/>
      <c r="AK372" s="256" t="n"/>
      <c r="AL372" s="256" t="n"/>
      <c r="AM372" s="256" t="n"/>
      <c r="AN372" s="256" t="n"/>
      <c r="AO372" s="256" t="n"/>
    </row>
    <row r="373">
      <c r="A373" s="239" t="n"/>
      <c r="B373" s="239" t="n"/>
      <c r="C373" s="239" t="n"/>
      <c r="D373" s="239" t="n"/>
      <c r="E373" s="239" t="n"/>
      <c r="F373" s="239" t="n"/>
      <c r="G373" s="239" t="n"/>
      <c r="H373" s="239" t="n"/>
      <c r="I373" s="239" t="n"/>
      <c r="J373" s="239" t="n"/>
      <c r="K373" s="239" t="n"/>
      <c r="L373" s="239" t="n"/>
      <c r="M373" s="239" t="n"/>
      <c r="N373" s="239" t="n"/>
      <c r="O373" s="239" t="n"/>
      <c r="P373" s="239" t="n"/>
      <c r="Q373" s="239" t="n"/>
      <c r="R373" s="239" t="n"/>
      <c r="S373" s="239" t="n"/>
      <c r="T373" s="239" t="n"/>
      <c r="U373" s="239" t="n"/>
      <c r="V373" s="239" t="n"/>
      <c r="W373" s="239" t="n"/>
      <c r="X373" s="239" t="n"/>
      <c r="Y373" s="239" t="n"/>
      <c r="Z373" s="239" t="n"/>
      <c r="AA373" s="239" t="n"/>
      <c r="AB373" s="239" t="n"/>
      <c r="AC373" s="239" t="n"/>
      <c r="AD373" s="239" t="n"/>
      <c r="AE373" s="239" t="n"/>
      <c r="AF373" s="239" t="n"/>
      <c r="AG373" s="239" t="n"/>
      <c r="AH373" s="239" t="n"/>
      <c r="AI373" s="239" t="n"/>
      <c r="AJ373" s="239" t="n"/>
      <c r="AK373" s="239" t="n"/>
      <c r="AL373" s="239" t="n"/>
      <c r="AM373" s="239" t="n"/>
      <c r="AN373" s="239" t="n"/>
      <c r="AO373" s="239" t="n"/>
    </row>
    <row r="374">
      <c r="A374" s="256" t="n"/>
      <c r="B374" s="256" t="n"/>
      <c r="C374" s="256" t="n"/>
      <c r="D374" s="256" t="n"/>
      <c r="E374" s="256" t="n"/>
      <c r="F374" s="256" t="n"/>
      <c r="G374" s="256" t="n"/>
      <c r="H374" s="256" t="n"/>
      <c r="I374" s="256" t="n"/>
      <c r="J374" s="256" t="n"/>
      <c r="K374" s="256" t="n"/>
      <c r="L374" s="256" t="n"/>
      <c r="M374" s="256" t="n"/>
      <c r="N374" s="256" t="n"/>
      <c r="O374" s="256" t="n"/>
      <c r="P374" s="256" t="n"/>
      <c r="Q374" s="256" t="n"/>
      <c r="R374" s="256" t="n"/>
      <c r="S374" s="256" t="n"/>
      <c r="T374" s="256" t="n"/>
      <c r="U374" s="256" t="n"/>
      <c r="V374" s="256" t="n"/>
      <c r="W374" s="256" t="n"/>
      <c r="X374" s="256" t="n"/>
      <c r="Y374" s="256" t="n"/>
      <c r="Z374" s="256" t="n"/>
      <c r="AA374" s="256" t="n"/>
      <c r="AB374" s="256" t="n"/>
      <c r="AC374" s="256" t="n"/>
      <c r="AD374" s="256" t="n"/>
      <c r="AE374" s="256" t="n"/>
      <c r="AF374" s="256" t="n"/>
      <c r="AG374" s="256" t="n"/>
      <c r="AH374" s="256" t="n"/>
      <c r="AI374" s="256" t="n"/>
      <c r="AJ374" s="256" t="n"/>
      <c r="AK374" s="256" t="n"/>
      <c r="AL374" s="256" t="n"/>
      <c r="AM374" s="256" t="n"/>
      <c r="AN374" s="256" t="n"/>
      <c r="AO374" s="256" t="n"/>
    </row>
    <row r="375">
      <c r="A375" s="239" t="n"/>
      <c r="B375" s="239" t="n"/>
      <c r="C375" s="239" t="n"/>
      <c r="D375" s="239" t="n"/>
      <c r="E375" s="239" t="n"/>
      <c r="F375" s="239" t="n"/>
      <c r="G375" s="239" t="n"/>
      <c r="H375" s="239" t="n"/>
      <c r="I375" s="239" t="n"/>
      <c r="J375" s="239" t="n"/>
      <c r="K375" s="239" t="n"/>
      <c r="L375" s="239" t="n"/>
      <c r="M375" s="239" t="n"/>
      <c r="N375" s="239" t="n"/>
      <c r="O375" s="239" t="n"/>
      <c r="P375" s="239" t="n"/>
      <c r="Q375" s="239" t="n"/>
      <c r="R375" s="239" t="n"/>
      <c r="S375" s="239" t="n"/>
      <c r="T375" s="239" t="n"/>
      <c r="U375" s="239" t="n"/>
      <c r="V375" s="239" t="n"/>
      <c r="W375" s="239" t="n"/>
      <c r="X375" s="239" t="n"/>
      <c r="Y375" s="239" t="n"/>
      <c r="Z375" s="239" t="n"/>
      <c r="AA375" s="239" t="n"/>
      <c r="AB375" s="239" t="n"/>
      <c r="AC375" s="239" t="n"/>
      <c r="AD375" s="239" t="n"/>
      <c r="AE375" s="239" t="n"/>
      <c r="AF375" s="239" t="n"/>
      <c r="AG375" s="239" t="n"/>
      <c r="AH375" s="239" t="n"/>
      <c r="AI375" s="239" t="n"/>
      <c r="AJ375" s="239" t="n"/>
      <c r="AK375" s="239" t="n"/>
      <c r="AL375" s="239" t="n"/>
      <c r="AM375" s="239" t="n"/>
      <c r="AN375" s="239" t="n"/>
      <c r="AO375" s="239" t="n"/>
    </row>
    <row r="376">
      <c r="A376" s="256" t="n"/>
      <c r="B376" s="256" t="n"/>
      <c r="C376" s="256" t="n"/>
      <c r="D376" s="256" t="n"/>
      <c r="E376" s="256" t="n"/>
      <c r="F376" s="256" t="n"/>
      <c r="G376" s="256" t="n"/>
      <c r="H376" s="256" t="n"/>
      <c r="I376" s="256" t="n"/>
      <c r="J376" s="256" t="n"/>
      <c r="K376" s="256" t="n"/>
      <c r="L376" s="256" t="n"/>
      <c r="M376" s="256" t="n"/>
      <c r="N376" s="256" t="n"/>
      <c r="O376" s="256" t="n"/>
      <c r="P376" s="256" t="n"/>
      <c r="Q376" s="256" t="n"/>
      <c r="R376" s="256" t="n"/>
      <c r="S376" s="256" t="n"/>
      <c r="T376" s="256" t="n"/>
      <c r="U376" s="256" t="n"/>
      <c r="V376" s="256" t="n"/>
      <c r="W376" s="256" t="n"/>
      <c r="X376" s="256" t="n"/>
      <c r="Y376" s="256" t="n"/>
      <c r="Z376" s="256" t="n"/>
      <c r="AA376" s="256" t="n"/>
      <c r="AB376" s="256" t="n"/>
      <c r="AC376" s="256" t="n"/>
      <c r="AD376" s="256" t="n"/>
      <c r="AE376" s="256" t="n"/>
      <c r="AF376" s="256" t="n"/>
      <c r="AG376" s="256" t="n"/>
      <c r="AH376" s="256" t="n"/>
      <c r="AI376" s="256" t="n"/>
      <c r="AJ376" s="256" t="n"/>
      <c r="AK376" s="256" t="n"/>
      <c r="AL376" s="256" t="n"/>
      <c r="AM376" s="256" t="n"/>
      <c r="AN376" s="256" t="n"/>
      <c r="AO376" s="256" t="n"/>
    </row>
    <row r="377">
      <c r="A377" s="239" t="n"/>
      <c r="B377" s="239" t="n"/>
      <c r="C377" s="239" t="n"/>
      <c r="D377" s="239" t="n"/>
      <c r="E377" s="239" t="n"/>
      <c r="F377" s="239" t="n"/>
      <c r="G377" s="239" t="n"/>
      <c r="H377" s="239" t="n"/>
      <c r="I377" s="239" t="n"/>
      <c r="J377" s="239" t="n"/>
      <c r="K377" s="239" t="n"/>
      <c r="L377" s="239" t="n"/>
      <c r="M377" s="239" t="n"/>
      <c r="N377" s="239" t="n"/>
      <c r="O377" s="239" t="n"/>
      <c r="P377" s="239" t="n"/>
      <c r="Q377" s="239" t="n"/>
      <c r="R377" s="239" t="n"/>
      <c r="S377" s="239" t="n"/>
      <c r="T377" s="239" t="n"/>
      <c r="U377" s="239" t="n"/>
      <c r="V377" s="239" t="n"/>
      <c r="W377" s="239" t="n"/>
      <c r="X377" s="239" t="n"/>
      <c r="Y377" s="239" t="n"/>
      <c r="Z377" s="239" t="n"/>
      <c r="AA377" s="239" t="n"/>
      <c r="AB377" s="239" t="n"/>
      <c r="AC377" s="239" t="n"/>
      <c r="AD377" s="239" t="n"/>
      <c r="AE377" s="239" t="n"/>
      <c r="AF377" s="239" t="n"/>
      <c r="AG377" s="239" t="n"/>
      <c r="AH377" s="239" t="n"/>
      <c r="AI377" s="239" t="n"/>
      <c r="AJ377" s="239" t="n"/>
      <c r="AK377" s="239" t="n"/>
      <c r="AL377" s="239" t="n"/>
      <c r="AM377" s="239" t="n"/>
      <c r="AN377" s="239" t="n"/>
      <c r="AO377" s="239" t="n"/>
    </row>
    <row r="378">
      <c r="A378" s="256" t="n"/>
      <c r="B378" s="256" t="n"/>
      <c r="C378" s="256" t="n"/>
      <c r="D378" s="256" t="n"/>
      <c r="E378" s="256" t="n"/>
      <c r="F378" s="256" t="n"/>
      <c r="G378" s="256" t="n"/>
      <c r="H378" s="256" t="n"/>
      <c r="I378" s="256" t="n"/>
      <c r="J378" s="256" t="n"/>
      <c r="K378" s="256" t="n"/>
      <c r="L378" s="256" t="n"/>
      <c r="M378" s="256" t="n"/>
      <c r="N378" s="256" t="n"/>
      <c r="O378" s="256" t="n"/>
      <c r="P378" s="256" t="n"/>
      <c r="Q378" s="256" t="n"/>
      <c r="R378" s="256" t="n"/>
      <c r="S378" s="256" t="n"/>
      <c r="T378" s="256" t="n"/>
      <c r="U378" s="256" t="n"/>
      <c r="V378" s="256" t="n"/>
      <c r="W378" s="256" t="n"/>
      <c r="X378" s="256" t="n"/>
      <c r="Y378" s="256" t="n"/>
      <c r="Z378" s="256" t="n"/>
      <c r="AA378" s="256" t="n"/>
      <c r="AB378" s="256" t="n"/>
      <c r="AC378" s="256" t="n"/>
      <c r="AD378" s="256" t="n"/>
      <c r="AE378" s="256" t="n"/>
      <c r="AF378" s="256" t="n"/>
      <c r="AG378" s="256" t="n"/>
      <c r="AH378" s="256" t="n"/>
      <c r="AI378" s="256" t="n"/>
      <c r="AJ378" s="256" t="n"/>
      <c r="AK378" s="256" t="n"/>
      <c r="AL378" s="256" t="n"/>
      <c r="AM378" s="256" t="n"/>
      <c r="AN378" s="256" t="n"/>
      <c r="AO378" s="256" t="n"/>
    </row>
    <row r="379">
      <c r="A379" s="239" t="n"/>
      <c r="B379" s="239" t="n"/>
      <c r="C379" s="239" t="n"/>
      <c r="D379" s="239" t="n"/>
      <c r="E379" s="239" t="n"/>
      <c r="F379" s="239" t="n"/>
      <c r="G379" s="239" t="n"/>
      <c r="H379" s="239" t="n"/>
      <c r="I379" s="239" t="n"/>
      <c r="J379" s="239" t="n"/>
      <c r="K379" s="239" t="n"/>
      <c r="L379" s="239" t="n"/>
      <c r="M379" s="239" t="n"/>
      <c r="N379" s="239" t="n"/>
      <c r="O379" s="239" t="n"/>
      <c r="P379" s="239" t="n"/>
      <c r="Q379" s="239" t="n"/>
      <c r="R379" s="239" t="n"/>
      <c r="S379" s="239" t="n"/>
      <c r="T379" s="239" t="n"/>
      <c r="U379" s="239" t="n"/>
      <c r="V379" s="239" t="n"/>
      <c r="W379" s="239" t="n"/>
      <c r="X379" s="239" t="n"/>
      <c r="Y379" s="239" t="n"/>
      <c r="Z379" s="239" t="n"/>
      <c r="AA379" s="239" t="n"/>
      <c r="AB379" s="239" t="n"/>
      <c r="AC379" s="239" t="n"/>
      <c r="AD379" s="239" t="n"/>
      <c r="AE379" s="239" t="n"/>
      <c r="AF379" s="239" t="n"/>
      <c r="AG379" s="239" t="n"/>
      <c r="AH379" s="239" t="n"/>
      <c r="AI379" s="239" t="n"/>
      <c r="AJ379" s="239" t="n"/>
      <c r="AK379" s="239" t="n"/>
      <c r="AL379" s="239" t="n"/>
      <c r="AM379" s="239" t="n"/>
      <c r="AN379" s="239" t="n"/>
      <c r="AO379" s="239" t="n"/>
    </row>
    <row r="380">
      <c r="A380" s="256" t="n"/>
      <c r="B380" s="256" t="n"/>
      <c r="C380" s="256" t="n"/>
      <c r="D380" s="256" t="n"/>
      <c r="E380" s="256" t="n"/>
      <c r="F380" s="256" t="n"/>
      <c r="G380" s="256" t="n"/>
      <c r="H380" s="256" t="n"/>
      <c r="I380" s="256" t="n"/>
      <c r="J380" s="256" t="n"/>
      <c r="K380" s="256" t="n"/>
      <c r="L380" s="256" t="n"/>
      <c r="M380" s="256" t="n"/>
      <c r="N380" s="256" t="n"/>
      <c r="O380" s="256" t="n"/>
      <c r="P380" s="256" t="n"/>
      <c r="Q380" s="256" t="n"/>
      <c r="R380" s="256" t="n"/>
      <c r="S380" s="256" t="n"/>
      <c r="T380" s="256" t="n"/>
      <c r="U380" s="256" t="n"/>
      <c r="V380" s="256" t="n"/>
      <c r="W380" s="256" t="n"/>
      <c r="X380" s="256" t="n"/>
      <c r="Y380" s="256" t="n"/>
      <c r="Z380" s="256" t="n"/>
      <c r="AA380" s="256" t="n"/>
      <c r="AB380" s="256" t="n"/>
      <c r="AC380" s="256" t="n"/>
      <c r="AD380" s="256" t="n"/>
      <c r="AE380" s="256" t="n"/>
      <c r="AF380" s="256" t="n"/>
      <c r="AG380" s="256" t="n"/>
      <c r="AH380" s="256" t="n"/>
      <c r="AI380" s="256" t="n"/>
      <c r="AJ380" s="256" t="n"/>
      <c r="AK380" s="256" t="n"/>
      <c r="AL380" s="256" t="n"/>
      <c r="AM380" s="256" t="n"/>
      <c r="AN380" s="256" t="n"/>
      <c r="AO380" s="256" t="n"/>
    </row>
    <row r="381">
      <c r="A381" s="239" t="n"/>
      <c r="B381" s="239" t="n"/>
      <c r="C381" s="239" t="n"/>
      <c r="D381" s="239" t="n"/>
      <c r="E381" s="239" t="n"/>
      <c r="F381" s="239" t="n"/>
      <c r="G381" s="239" t="n"/>
      <c r="H381" s="239" t="n"/>
      <c r="I381" s="239" t="n"/>
      <c r="J381" s="239" t="n"/>
      <c r="K381" s="239" t="n"/>
      <c r="L381" s="239" t="n"/>
      <c r="M381" s="239" t="n"/>
      <c r="N381" s="239" t="n"/>
      <c r="O381" s="239" t="n"/>
      <c r="P381" s="239" t="n"/>
      <c r="Q381" s="239" t="n"/>
      <c r="R381" s="239" t="n"/>
      <c r="S381" s="239" t="n"/>
      <c r="T381" s="239" t="n"/>
      <c r="U381" s="239" t="n"/>
      <c r="V381" s="239" t="n"/>
      <c r="W381" s="239" t="n"/>
      <c r="X381" s="239" t="n"/>
      <c r="Y381" s="239" t="n"/>
      <c r="Z381" s="239" t="n"/>
      <c r="AA381" s="239" t="n"/>
      <c r="AB381" s="239" t="n"/>
      <c r="AC381" s="239" t="n"/>
      <c r="AD381" s="239" t="n"/>
      <c r="AE381" s="239" t="n"/>
      <c r="AF381" s="239" t="n"/>
      <c r="AG381" s="239" t="n"/>
      <c r="AH381" s="239" t="n"/>
      <c r="AI381" s="239" t="n"/>
      <c r="AJ381" s="239" t="n"/>
      <c r="AK381" s="239" t="n"/>
      <c r="AL381" s="239" t="n"/>
      <c r="AM381" s="239" t="n"/>
      <c r="AN381" s="239" t="n"/>
      <c r="AO381" s="239" t="n"/>
    </row>
    <row r="382">
      <c r="A382" s="256" t="n"/>
      <c r="B382" s="256" t="n"/>
      <c r="C382" s="256" t="n"/>
      <c r="D382" s="256" t="n"/>
      <c r="E382" s="256" t="n"/>
      <c r="F382" s="256" t="n"/>
      <c r="G382" s="256" t="n"/>
      <c r="H382" s="256" t="n"/>
      <c r="I382" s="256" t="n"/>
      <c r="J382" s="256" t="n"/>
      <c r="K382" s="256" t="n"/>
      <c r="L382" s="256" t="n"/>
      <c r="M382" s="256" t="n"/>
      <c r="N382" s="256" t="n"/>
      <c r="O382" s="256" t="n"/>
      <c r="P382" s="256" t="n"/>
      <c r="Q382" s="256" t="n"/>
      <c r="R382" s="256" t="n"/>
      <c r="S382" s="256" t="n"/>
      <c r="T382" s="256" t="n"/>
      <c r="U382" s="256" t="n"/>
      <c r="V382" s="256" t="n"/>
      <c r="W382" s="256" t="n"/>
      <c r="X382" s="256" t="n"/>
      <c r="Y382" s="256" t="n"/>
      <c r="Z382" s="256" t="n"/>
      <c r="AA382" s="256" t="n"/>
      <c r="AB382" s="256" t="n"/>
      <c r="AC382" s="256" t="n"/>
      <c r="AD382" s="256" t="n"/>
      <c r="AE382" s="256" t="n"/>
      <c r="AF382" s="256" t="n"/>
      <c r="AG382" s="256" t="n"/>
      <c r="AH382" s="256" t="n"/>
      <c r="AI382" s="256" t="n"/>
      <c r="AJ382" s="256" t="n"/>
      <c r="AK382" s="256" t="n"/>
      <c r="AL382" s="256" t="n"/>
      <c r="AM382" s="256" t="n"/>
      <c r="AN382" s="256" t="n"/>
      <c r="AO382" s="256" t="n"/>
    </row>
    <row r="383">
      <c r="A383" s="239" t="n"/>
      <c r="B383" s="239" t="n"/>
      <c r="C383" s="239" t="n"/>
      <c r="D383" s="239" t="n"/>
      <c r="E383" s="239" t="n"/>
      <c r="F383" s="239" t="n"/>
      <c r="G383" s="239" t="n"/>
      <c r="H383" s="239" t="n"/>
      <c r="I383" s="239" t="n"/>
      <c r="J383" s="239" t="n"/>
      <c r="K383" s="239" t="n"/>
      <c r="L383" s="239" t="n"/>
      <c r="M383" s="239" t="n"/>
      <c r="N383" s="239" t="n"/>
      <c r="O383" s="239" t="n"/>
      <c r="P383" s="239" t="n"/>
      <c r="Q383" s="239" t="n"/>
      <c r="R383" s="239" t="n"/>
      <c r="S383" s="239" t="n"/>
      <c r="T383" s="239" t="n"/>
      <c r="U383" s="239" t="n"/>
      <c r="V383" s="239" t="n"/>
      <c r="W383" s="239" t="n"/>
      <c r="X383" s="239" t="n"/>
      <c r="Y383" s="239" t="n"/>
      <c r="Z383" s="239" t="n"/>
      <c r="AA383" s="239" t="n"/>
      <c r="AB383" s="239" t="n"/>
      <c r="AC383" s="239" t="n"/>
      <c r="AD383" s="239" t="n"/>
      <c r="AE383" s="239" t="n"/>
      <c r="AF383" s="239" t="n"/>
      <c r="AG383" s="239" t="n"/>
      <c r="AH383" s="239" t="n"/>
      <c r="AI383" s="239" t="n"/>
      <c r="AJ383" s="239" t="n"/>
      <c r="AK383" s="239" t="n"/>
      <c r="AL383" s="239" t="n"/>
      <c r="AM383" s="239" t="n"/>
      <c r="AN383" s="239" t="n"/>
      <c r="AO383" s="239" t="n"/>
    </row>
    <row r="384">
      <c r="A384" s="256" t="n"/>
      <c r="B384" s="256" t="n"/>
      <c r="C384" s="256" t="n"/>
      <c r="D384" s="256" t="n"/>
      <c r="E384" s="256" t="n"/>
      <c r="F384" s="256" t="n"/>
      <c r="G384" s="256" t="n"/>
      <c r="H384" s="256" t="n"/>
      <c r="I384" s="256" t="n"/>
      <c r="J384" s="256" t="n"/>
      <c r="K384" s="256" t="n"/>
      <c r="L384" s="256" t="n"/>
      <c r="M384" s="256" t="n"/>
      <c r="N384" s="256" t="n"/>
      <c r="O384" s="256" t="n"/>
      <c r="P384" s="256" t="n"/>
      <c r="Q384" s="256" t="n"/>
      <c r="R384" s="256" t="n"/>
      <c r="S384" s="256" t="n"/>
      <c r="T384" s="256" t="n"/>
      <c r="U384" s="256" t="n"/>
      <c r="V384" s="256" t="n"/>
      <c r="W384" s="256" t="n"/>
      <c r="X384" s="256" t="n"/>
      <c r="Y384" s="256" t="n"/>
      <c r="Z384" s="256" t="n"/>
      <c r="AA384" s="256" t="n"/>
      <c r="AB384" s="256" t="n"/>
      <c r="AC384" s="256" t="n"/>
      <c r="AD384" s="256" t="n"/>
      <c r="AE384" s="256" t="n"/>
      <c r="AF384" s="256" t="n"/>
      <c r="AG384" s="256" t="n"/>
      <c r="AH384" s="256" t="n"/>
      <c r="AI384" s="256" t="n"/>
      <c r="AJ384" s="256" t="n"/>
      <c r="AK384" s="256" t="n"/>
      <c r="AL384" s="256" t="n"/>
      <c r="AM384" s="256" t="n"/>
      <c r="AN384" s="256" t="n"/>
      <c r="AO384" s="256" t="n"/>
    </row>
    <row r="385">
      <c r="A385" s="239" t="n"/>
      <c r="B385" s="239" t="n"/>
      <c r="C385" s="239" t="n"/>
      <c r="D385" s="239" t="n"/>
      <c r="E385" s="239" t="n"/>
      <c r="F385" s="239" t="n"/>
      <c r="G385" s="239" t="n"/>
      <c r="H385" s="239" t="n"/>
      <c r="I385" s="239" t="n"/>
      <c r="J385" s="239" t="n"/>
      <c r="K385" s="239" t="n"/>
      <c r="L385" s="239" t="n"/>
      <c r="M385" s="239" t="n"/>
      <c r="N385" s="239" t="n"/>
      <c r="O385" s="239" t="n"/>
      <c r="P385" s="239" t="n"/>
      <c r="Q385" s="239" t="n"/>
      <c r="R385" s="239" t="n"/>
      <c r="S385" s="239" t="n"/>
      <c r="T385" s="239" t="n"/>
      <c r="U385" s="239" t="n"/>
      <c r="V385" s="239" t="n"/>
      <c r="W385" s="239" t="n"/>
      <c r="X385" s="239" t="n"/>
      <c r="Y385" s="239" t="n"/>
      <c r="Z385" s="239" t="n"/>
      <c r="AA385" s="239" t="n"/>
      <c r="AB385" s="239" t="n"/>
      <c r="AC385" s="239" t="n"/>
      <c r="AD385" s="239" t="n"/>
      <c r="AE385" s="239" t="n"/>
      <c r="AF385" s="239" t="n"/>
      <c r="AG385" s="239" t="n"/>
      <c r="AH385" s="239" t="n"/>
      <c r="AI385" s="239" t="n"/>
      <c r="AJ385" s="239" t="n"/>
      <c r="AK385" s="239" t="n"/>
      <c r="AL385" s="239" t="n"/>
      <c r="AM385" s="239" t="n"/>
      <c r="AN385" s="239" t="n"/>
      <c r="AO385" s="239" t="n"/>
    </row>
    <row r="386">
      <c r="A386" s="256" t="n"/>
      <c r="B386" s="256" t="n"/>
      <c r="C386" s="256" t="n"/>
      <c r="D386" s="256" t="n"/>
      <c r="E386" s="256" t="n"/>
      <c r="F386" s="256" t="n"/>
      <c r="G386" s="256" t="n"/>
      <c r="H386" s="256" t="n"/>
      <c r="I386" s="256" t="n"/>
      <c r="J386" s="256" t="n"/>
      <c r="K386" s="256" t="n"/>
      <c r="L386" s="256" t="n"/>
      <c r="M386" s="256" t="n"/>
      <c r="N386" s="256" t="n"/>
      <c r="O386" s="256" t="n"/>
      <c r="P386" s="256" t="n"/>
      <c r="Q386" s="256" t="n"/>
      <c r="R386" s="256" t="n"/>
      <c r="S386" s="256" t="n"/>
      <c r="T386" s="256" t="n"/>
      <c r="U386" s="256" t="n"/>
      <c r="V386" s="256" t="n"/>
      <c r="W386" s="256" t="n"/>
      <c r="X386" s="256" t="n"/>
      <c r="Y386" s="256" t="n"/>
      <c r="Z386" s="256" t="n"/>
      <c r="AA386" s="256" t="n"/>
      <c r="AB386" s="256" t="n"/>
      <c r="AC386" s="256" t="n"/>
      <c r="AD386" s="256" t="n"/>
      <c r="AE386" s="256" t="n"/>
      <c r="AF386" s="256" t="n"/>
      <c r="AG386" s="256" t="n"/>
      <c r="AH386" s="256" t="n"/>
      <c r="AI386" s="256" t="n"/>
      <c r="AJ386" s="256" t="n"/>
      <c r="AK386" s="256" t="n"/>
      <c r="AL386" s="256" t="n"/>
      <c r="AM386" s="256" t="n"/>
      <c r="AN386" s="256" t="n"/>
      <c r="AO386" s="256" t="n"/>
    </row>
    <row r="387">
      <c r="A387" s="239" t="n"/>
      <c r="B387" s="239" t="n"/>
      <c r="C387" s="239" t="n"/>
      <c r="D387" s="239" t="n"/>
      <c r="E387" s="239" t="n"/>
      <c r="F387" s="239" t="n"/>
      <c r="G387" s="239" t="n"/>
      <c r="H387" s="239" t="n"/>
      <c r="I387" s="239" t="n"/>
      <c r="J387" s="239" t="n"/>
      <c r="K387" s="239" t="n"/>
      <c r="L387" s="239" t="n"/>
      <c r="M387" s="239" t="n"/>
      <c r="N387" s="239" t="n"/>
      <c r="O387" s="239" t="n"/>
      <c r="P387" s="239" t="n"/>
      <c r="Q387" s="239" t="n"/>
      <c r="R387" s="239" t="n"/>
      <c r="S387" s="239" t="n"/>
      <c r="T387" s="239" t="n"/>
      <c r="U387" s="239" t="n"/>
      <c r="V387" s="239" t="n"/>
      <c r="W387" s="239" t="n"/>
      <c r="X387" s="239" t="n"/>
      <c r="Y387" s="239" t="n"/>
      <c r="Z387" s="239" t="n"/>
      <c r="AA387" s="239" t="n"/>
      <c r="AB387" s="239" t="n"/>
      <c r="AC387" s="239" t="n"/>
      <c r="AD387" s="239" t="n"/>
      <c r="AE387" s="239" t="n"/>
      <c r="AF387" s="239" t="n"/>
      <c r="AG387" s="239" t="n"/>
      <c r="AH387" s="239" t="n"/>
      <c r="AI387" s="239" t="n"/>
      <c r="AJ387" s="239" t="n"/>
      <c r="AK387" s="239" t="n"/>
      <c r="AL387" s="239" t="n"/>
      <c r="AM387" s="239" t="n"/>
      <c r="AN387" s="239" t="n"/>
      <c r="AO387" s="239" t="n"/>
    </row>
    <row r="388">
      <c r="A388" s="256" t="n"/>
      <c r="B388" s="256" t="n"/>
      <c r="C388" s="256" t="n"/>
      <c r="D388" s="256" t="n"/>
      <c r="E388" s="256" t="n"/>
      <c r="F388" s="256" t="n"/>
      <c r="G388" s="256" t="n"/>
      <c r="H388" s="256" t="n"/>
      <c r="I388" s="256" t="n"/>
      <c r="J388" s="256" t="n"/>
      <c r="K388" s="256" t="n"/>
      <c r="L388" s="256" t="n"/>
      <c r="M388" s="256" t="n"/>
      <c r="N388" s="256" t="n"/>
      <c r="O388" s="256" t="n"/>
      <c r="P388" s="256" t="n"/>
      <c r="Q388" s="256" t="n"/>
      <c r="R388" s="256" t="n"/>
      <c r="S388" s="256" t="n"/>
      <c r="T388" s="256" t="n"/>
      <c r="U388" s="256" t="n"/>
      <c r="V388" s="256" t="n"/>
      <c r="W388" s="256" t="n"/>
      <c r="X388" s="256" t="n"/>
      <c r="Y388" s="256" t="n"/>
      <c r="Z388" s="256" t="n"/>
      <c r="AA388" s="256" t="n"/>
      <c r="AB388" s="256" t="n"/>
      <c r="AC388" s="256" t="n"/>
      <c r="AD388" s="256" t="n"/>
      <c r="AE388" s="256" t="n"/>
      <c r="AF388" s="256" t="n"/>
      <c r="AG388" s="256" t="n"/>
      <c r="AH388" s="256" t="n"/>
      <c r="AI388" s="256" t="n"/>
      <c r="AJ388" s="256" t="n"/>
      <c r="AK388" s="256" t="n"/>
      <c r="AL388" s="256" t="n"/>
      <c r="AM388" s="256" t="n"/>
      <c r="AN388" s="256" t="n"/>
      <c r="AO388" s="256" t="n"/>
    </row>
    <row r="389">
      <c r="A389" s="239" t="n"/>
      <c r="B389" s="239" t="n"/>
      <c r="C389" s="239" t="n"/>
      <c r="D389" s="239" t="n"/>
      <c r="E389" s="239" t="n"/>
      <c r="F389" s="239" t="n"/>
      <c r="G389" s="239" t="n"/>
      <c r="H389" s="239" t="n"/>
      <c r="I389" s="239" t="n"/>
      <c r="J389" s="239" t="n"/>
      <c r="K389" s="239" t="n"/>
      <c r="L389" s="239" t="n"/>
      <c r="M389" s="239" t="n"/>
      <c r="N389" s="239" t="n"/>
      <c r="O389" s="239" t="n"/>
      <c r="P389" s="239" t="n"/>
      <c r="Q389" s="239" t="n"/>
      <c r="R389" s="239" t="n"/>
      <c r="S389" s="239" t="n"/>
      <c r="T389" s="239" t="n"/>
      <c r="U389" s="239" t="n"/>
      <c r="V389" s="239" t="n"/>
      <c r="W389" s="239" t="n"/>
      <c r="X389" s="239" t="n"/>
      <c r="Y389" s="239" t="n"/>
      <c r="Z389" s="239" t="n"/>
      <c r="AA389" s="239" t="n"/>
      <c r="AB389" s="239" t="n"/>
      <c r="AC389" s="239" t="n"/>
      <c r="AD389" s="239" t="n"/>
      <c r="AE389" s="239" t="n"/>
      <c r="AF389" s="239" t="n"/>
      <c r="AG389" s="239" t="n"/>
      <c r="AH389" s="239" t="n"/>
      <c r="AI389" s="239" t="n"/>
      <c r="AJ389" s="239" t="n"/>
      <c r="AK389" s="239" t="n"/>
      <c r="AL389" s="239" t="n"/>
      <c r="AM389" s="239" t="n"/>
      <c r="AN389" s="239" t="n"/>
      <c r="AO389" s="239" t="n"/>
    </row>
    <row r="390">
      <c r="A390" s="256" t="n"/>
      <c r="B390" s="256" t="n"/>
      <c r="C390" s="256" t="n"/>
      <c r="D390" s="256" t="n"/>
      <c r="E390" s="256" t="n"/>
      <c r="F390" s="256" t="n"/>
      <c r="G390" s="256" t="n"/>
      <c r="H390" s="256" t="n"/>
      <c r="I390" s="256" t="n"/>
      <c r="J390" s="256" t="n"/>
      <c r="K390" s="256" t="n"/>
      <c r="L390" s="256" t="n"/>
      <c r="M390" s="256" t="n"/>
      <c r="N390" s="256" t="n"/>
      <c r="O390" s="256" t="n"/>
      <c r="P390" s="256" t="n"/>
      <c r="Q390" s="256" t="n"/>
      <c r="R390" s="256" t="n"/>
      <c r="S390" s="256" t="n"/>
      <c r="T390" s="256" t="n"/>
      <c r="U390" s="256" t="n"/>
      <c r="V390" s="256" t="n"/>
      <c r="W390" s="256" t="n"/>
      <c r="X390" s="256" t="n"/>
      <c r="Y390" s="256" t="n"/>
      <c r="Z390" s="256" t="n"/>
      <c r="AA390" s="256" t="n"/>
      <c r="AB390" s="256" t="n"/>
      <c r="AC390" s="256" t="n"/>
      <c r="AD390" s="256" t="n"/>
      <c r="AE390" s="256" t="n"/>
      <c r="AF390" s="256" t="n"/>
      <c r="AG390" s="256" t="n"/>
      <c r="AH390" s="256" t="n"/>
      <c r="AI390" s="256" t="n"/>
      <c r="AJ390" s="256" t="n"/>
      <c r="AK390" s="256" t="n"/>
      <c r="AL390" s="256" t="n"/>
      <c r="AM390" s="256" t="n"/>
      <c r="AN390" s="256" t="n"/>
      <c r="AO390" s="256" t="n"/>
    </row>
    <row r="391">
      <c r="A391" s="239" t="n"/>
      <c r="B391" s="239" t="n"/>
      <c r="C391" s="239" t="n"/>
      <c r="D391" s="239" t="n"/>
      <c r="E391" s="239" t="n"/>
      <c r="F391" s="239" t="n"/>
      <c r="G391" s="239" t="n"/>
      <c r="H391" s="239" t="n"/>
      <c r="I391" s="239" t="n"/>
      <c r="J391" s="239" t="n"/>
      <c r="K391" s="239" t="n"/>
      <c r="L391" s="239" t="n"/>
      <c r="M391" s="239" t="n"/>
      <c r="N391" s="239" t="n"/>
      <c r="O391" s="239" t="n"/>
      <c r="P391" s="239" t="n"/>
      <c r="Q391" s="239" t="n"/>
      <c r="R391" s="239" t="n"/>
      <c r="S391" s="239" t="n"/>
      <c r="T391" s="239" t="n"/>
      <c r="U391" s="239" t="n"/>
      <c r="V391" s="239" t="n"/>
      <c r="W391" s="239" t="n"/>
      <c r="X391" s="239" t="n"/>
      <c r="Y391" s="239" t="n"/>
      <c r="Z391" s="239" t="n"/>
      <c r="AA391" s="239" t="n"/>
      <c r="AB391" s="239" t="n"/>
      <c r="AC391" s="239" t="n"/>
      <c r="AD391" s="239" t="n"/>
      <c r="AE391" s="239" t="n"/>
      <c r="AF391" s="239" t="n"/>
      <c r="AG391" s="239" t="n"/>
      <c r="AH391" s="239" t="n"/>
      <c r="AI391" s="239" t="n"/>
      <c r="AJ391" s="239" t="n"/>
      <c r="AK391" s="239" t="n"/>
      <c r="AL391" s="239" t="n"/>
      <c r="AM391" s="239" t="n"/>
      <c r="AN391" s="239" t="n"/>
      <c r="AO391" s="239" t="n"/>
    </row>
    <row r="392">
      <c r="A392" s="256" t="n"/>
      <c r="B392" s="256" t="n"/>
      <c r="C392" s="256" t="n"/>
      <c r="D392" s="256" t="n"/>
      <c r="E392" s="256" t="n"/>
      <c r="F392" s="256" t="n"/>
      <c r="G392" s="256" t="n"/>
      <c r="H392" s="256" t="n"/>
      <c r="I392" s="256" t="n"/>
      <c r="J392" s="256" t="n"/>
      <c r="K392" s="256" t="n"/>
      <c r="L392" s="256" t="n"/>
      <c r="M392" s="256" t="n"/>
      <c r="N392" s="256" t="n"/>
      <c r="O392" s="256" t="n"/>
      <c r="P392" s="256" t="n"/>
      <c r="Q392" s="256" t="n"/>
      <c r="R392" s="256" t="n"/>
      <c r="S392" s="256" t="n"/>
      <c r="T392" s="256" t="n"/>
      <c r="U392" s="256" t="n"/>
      <c r="V392" s="256" t="n"/>
      <c r="W392" s="256" t="n"/>
      <c r="X392" s="256" t="n"/>
      <c r="Y392" s="256" t="n"/>
      <c r="Z392" s="256" t="n"/>
      <c r="AA392" s="256" t="n"/>
      <c r="AB392" s="256" t="n"/>
      <c r="AC392" s="256" t="n"/>
      <c r="AD392" s="256" t="n"/>
      <c r="AE392" s="256" t="n"/>
      <c r="AF392" s="256" t="n"/>
      <c r="AG392" s="256" t="n"/>
      <c r="AH392" s="256" t="n"/>
      <c r="AI392" s="256" t="n"/>
      <c r="AJ392" s="256" t="n"/>
      <c r="AK392" s="256" t="n"/>
      <c r="AL392" s="256" t="n"/>
      <c r="AM392" s="256" t="n"/>
      <c r="AN392" s="256" t="n"/>
      <c r="AO392" s="256" t="n"/>
    </row>
    <row r="393">
      <c r="A393" s="239" t="n"/>
      <c r="B393" s="239" t="n"/>
      <c r="C393" s="239" t="n"/>
      <c r="D393" s="239" t="n"/>
      <c r="E393" s="239" t="n"/>
      <c r="F393" s="239" t="n"/>
      <c r="G393" s="239" t="n"/>
      <c r="H393" s="239" t="n"/>
      <c r="I393" s="239" t="n"/>
      <c r="J393" s="239" t="n"/>
      <c r="K393" s="239" t="n"/>
      <c r="L393" s="239" t="n"/>
      <c r="M393" s="239" t="n"/>
      <c r="N393" s="239" t="n"/>
      <c r="O393" s="239" t="n"/>
      <c r="P393" s="239" t="n"/>
      <c r="Q393" s="239" t="n"/>
      <c r="R393" s="239" t="n"/>
      <c r="S393" s="239" t="n"/>
      <c r="T393" s="239" t="n"/>
      <c r="U393" s="239" t="n"/>
      <c r="V393" s="239" t="n"/>
      <c r="W393" s="239" t="n"/>
      <c r="X393" s="239" t="n"/>
      <c r="Y393" s="239" t="n"/>
      <c r="Z393" s="239" t="n"/>
      <c r="AA393" s="239" t="n"/>
      <c r="AB393" s="239" t="n"/>
      <c r="AC393" s="239" t="n"/>
      <c r="AD393" s="239" t="n"/>
      <c r="AE393" s="239" t="n"/>
      <c r="AF393" s="239" t="n"/>
      <c r="AG393" s="239" t="n"/>
      <c r="AH393" s="239" t="n"/>
      <c r="AI393" s="239" t="n"/>
      <c r="AJ393" s="239" t="n"/>
      <c r="AK393" s="239" t="n"/>
      <c r="AL393" s="239" t="n"/>
      <c r="AM393" s="239" t="n"/>
      <c r="AN393" s="239" t="n"/>
      <c r="AO393" s="239" t="n"/>
    </row>
    <row r="394">
      <c r="A394" s="256" t="n"/>
      <c r="B394" s="256" t="n"/>
      <c r="C394" s="256" t="n"/>
      <c r="D394" s="256" t="n"/>
      <c r="E394" s="256" t="n"/>
      <c r="F394" s="256" t="n"/>
      <c r="G394" s="256" t="n"/>
      <c r="H394" s="256" t="n"/>
      <c r="I394" s="256" t="n"/>
      <c r="J394" s="256" t="n"/>
      <c r="K394" s="256" t="n"/>
      <c r="L394" s="256" t="n"/>
      <c r="M394" s="256" t="n"/>
      <c r="N394" s="256" t="n"/>
      <c r="O394" s="256" t="n"/>
      <c r="P394" s="256" t="n"/>
      <c r="Q394" s="256" t="n"/>
      <c r="R394" s="256" t="n"/>
      <c r="S394" s="256" t="n"/>
      <c r="T394" s="256" t="n"/>
      <c r="U394" s="256" t="n"/>
      <c r="V394" s="256" t="n"/>
      <c r="W394" s="256" t="n"/>
      <c r="X394" s="256" t="n"/>
      <c r="Y394" s="256" t="n"/>
      <c r="Z394" s="256" t="n"/>
      <c r="AA394" s="256" t="n"/>
      <c r="AB394" s="256" t="n"/>
      <c r="AC394" s="256" t="n"/>
      <c r="AD394" s="256" t="n"/>
      <c r="AE394" s="256" t="n"/>
      <c r="AF394" s="256" t="n"/>
      <c r="AG394" s="256" t="n"/>
      <c r="AH394" s="256" t="n"/>
      <c r="AI394" s="256" t="n"/>
      <c r="AJ394" s="256" t="n"/>
      <c r="AK394" s="256" t="n"/>
      <c r="AL394" s="256" t="n"/>
      <c r="AM394" s="256" t="n"/>
      <c r="AN394" s="256" t="n"/>
      <c r="AO394" s="256" t="n"/>
    </row>
    <row r="395">
      <c r="A395" s="239" t="n"/>
      <c r="B395" s="239" t="n"/>
      <c r="C395" s="239" t="n"/>
      <c r="D395" s="239" t="n"/>
      <c r="E395" s="239" t="n"/>
      <c r="F395" s="239" t="n"/>
      <c r="G395" s="239" t="n"/>
      <c r="H395" s="239" t="n"/>
      <c r="I395" s="239" t="n"/>
      <c r="J395" s="239" t="n"/>
      <c r="K395" s="239" t="n"/>
      <c r="L395" s="239" t="n"/>
      <c r="M395" s="239" t="n"/>
      <c r="N395" s="239" t="n"/>
      <c r="O395" s="239" t="n"/>
      <c r="P395" s="239" t="n"/>
      <c r="Q395" s="239" t="n"/>
      <c r="R395" s="239" t="n"/>
      <c r="S395" s="239" t="n"/>
      <c r="T395" s="239" t="n"/>
      <c r="U395" s="239" t="n"/>
      <c r="V395" s="239" t="n"/>
      <c r="W395" s="239" t="n"/>
      <c r="X395" s="239" t="n"/>
      <c r="Y395" s="239" t="n"/>
      <c r="Z395" s="239" t="n"/>
      <c r="AA395" s="239" t="n"/>
      <c r="AB395" s="239" t="n"/>
      <c r="AC395" s="239" t="n"/>
      <c r="AD395" s="239" t="n"/>
      <c r="AE395" s="239" t="n"/>
      <c r="AF395" s="239" t="n"/>
      <c r="AG395" s="239" t="n"/>
      <c r="AH395" s="239" t="n"/>
      <c r="AI395" s="239" t="n"/>
      <c r="AJ395" s="239" t="n"/>
      <c r="AK395" s="239" t="n"/>
      <c r="AL395" s="239" t="n"/>
      <c r="AM395" s="239" t="n"/>
      <c r="AN395" s="239" t="n"/>
      <c r="AO395" s="239" t="n"/>
    </row>
    <row r="396">
      <c r="A396" s="256" t="n"/>
      <c r="B396" s="256" t="n"/>
      <c r="C396" s="256" t="n"/>
      <c r="D396" s="256" t="n"/>
      <c r="E396" s="256" t="n"/>
      <c r="F396" s="256" t="n"/>
      <c r="G396" s="256" t="n"/>
      <c r="H396" s="256" t="n"/>
      <c r="I396" s="256" t="n"/>
      <c r="J396" s="256" t="n"/>
      <c r="K396" s="256" t="n"/>
      <c r="L396" s="256" t="n"/>
      <c r="M396" s="256" t="n"/>
      <c r="N396" s="256" t="n"/>
      <c r="O396" s="256" t="n"/>
      <c r="P396" s="256" t="n"/>
      <c r="Q396" s="256" t="n"/>
      <c r="R396" s="256" t="n"/>
      <c r="S396" s="256" t="n"/>
      <c r="T396" s="256" t="n"/>
      <c r="U396" s="256" t="n"/>
      <c r="V396" s="256" t="n"/>
      <c r="W396" s="256" t="n"/>
      <c r="X396" s="256" t="n"/>
      <c r="Y396" s="256" t="n"/>
      <c r="Z396" s="256" t="n"/>
      <c r="AA396" s="256" t="n"/>
      <c r="AB396" s="256" t="n"/>
      <c r="AC396" s="256" t="n"/>
      <c r="AD396" s="256" t="n"/>
      <c r="AE396" s="256" t="n"/>
      <c r="AF396" s="256" t="n"/>
      <c r="AG396" s="256" t="n"/>
      <c r="AH396" s="256" t="n"/>
      <c r="AI396" s="256" t="n"/>
      <c r="AJ396" s="256" t="n"/>
      <c r="AK396" s="256" t="n"/>
      <c r="AL396" s="256" t="n"/>
      <c r="AM396" s="256" t="n"/>
      <c r="AN396" s="256" t="n"/>
      <c r="AO396" s="256" t="n"/>
    </row>
    <row r="397">
      <c r="A397" s="239" t="n"/>
      <c r="B397" s="239" t="n"/>
      <c r="C397" s="239" t="n"/>
      <c r="D397" s="239" t="n"/>
      <c r="E397" s="239" t="n"/>
      <c r="F397" s="239" t="n"/>
      <c r="G397" s="239" t="n"/>
      <c r="H397" s="239" t="n"/>
      <c r="I397" s="239" t="n"/>
      <c r="J397" s="239" t="n"/>
      <c r="K397" s="239" t="n"/>
      <c r="L397" s="239" t="n"/>
      <c r="M397" s="239" t="n"/>
      <c r="N397" s="239" t="n"/>
      <c r="O397" s="239" t="n"/>
      <c r="P397" s="239" t="n"/>
      <c r="Q397" s="239" t="n"/>
      <c r="R397" s="239" t="n"/>
      <c r="S397" s="239" t="n"/>
      <c r="T397" s="239" t="n"/>
      <c r="U397" s="239" t="n"/>
      <c r="V397" s="239" t="n"/>
      <c r="W397" s="239" t="n"/>
      <c r="X397" s="239" t="n"/>
      <c r="Y397" s="239" t="n"/>
      <c r="Z397" s="239" t="n"/>
      <c r="AA397" s="239" t="n"/>
      <c r="AB397" s="239" t="n"/>
      <c r="AC397" s="239" t="n"/>
      <c r="AD397" s="239" t="n"/>
      <c r="AE397" s="239" t="n"/>
      <c r="AF397" s="239" t="n"/>
      <c r="AG397" s="239" t="n"/>
      <c r="AH397" s="239" t="n"/>
      <c r="AI397" s="239" t="n"/>
      <c r="AJ397" s="239" t="n"/>
      <c r="AK397" s="239" t="n"/>
      <c r="AL397" s="239" t="n"/>
      <c r="AM397" s="239" t="n"/>
      <c r="AN397" s="239" t="n"/>
      <c r="AO397" s="239" t="n"/>
    </row>
    <row r="398">
      <c r="A398" s="256" t="n"/>
      <c r="B398" s="256" t="n"/>
      <c r="C398" s="256" t="n"/>
      <c r="D398" s="256" t="n"/>
      <c r="E398" s="256" t="n"/>
      <c r="F398" s="256" t="n"/>
      <c r="G398" s="256" t="n"/>
      <c r="H398" s="256" t="n"/>
      <c r="I398" s="256" t="n"/>
      <c r="J398" s="256" t="n"/>
      <c r="K398" s="256" t="n"/>
      <c r="L398" s="256" t="n"/>
      <c r="M398" s="256" t="n"/>
      <c r="N398" s="256" t="n"/>
      <c r="O398" s="256" t="n"/>
      <c r="P398" s="256" t="n"/>
      <c r="Q398" s="256" t="n"/>
      <c r="R398" s="256" t="n"/>
      <c r="S398" s="256" t="n"/>
      <c r="T398" s="256" t="n"/>
      <c r="U398" s="256" t="n"/>
      <c r="V398" s="256" t="n"/>
      <c r="W398" s="256" t="n"/>
      <c r="X398" s="256" t="n"/>
      <c r="Y398" s="256" t="n"/>
      <c r="Z398" s="256" t="n"/>
      <c r="AA398" s="256" t="n"/>
      <c r="AB398" s="256" t="n"/>
      <c r="AC398" s="256" t="n"/>
      <c r="AD398" s="256" t="n"/>
      <c r="AE398" s="256" t="n"/>
      <c r="AF398" s="256" t="n"/>
      <c r="AG398" s="256" t="n"/>
      <c r="AH398" s="256" t="n"/>
      <c r="AI398" s="256" t="n"/>
      <c r="AJ398" s="256" t="n"/>
      <c r="AK398" s="256" t="n"/>
      <c r="AL398" s="256" t="n"/>
      <c r="AM398" s="256" t="n"/>
      <c r="AN398" s="256" t="n"/>
      <c r="AO398" s="256" t="n"/>
    </row>
    <row r="399">
      <c r="A399" s="239" t="n"/>
      <c r="B399" s="239" t="n"/>
      <c r="C399" s="239" t="n"/>
      <c r="D399" s="239" t="n"/>
      <c r="E399" s="239" t="n"/>
      <c r="F399" s="239" t="n"/>
      <c r="G399" s="239" t="n"/>
      <c r="H399" s="239" t="n"/>
      <c r="I399" s="239" t="n"/>
      <c r="J399" s="239" t="n"/>
      <c r="K399" s="239" t="n"/>
      <c r="L399" s="239" t="n"/>
      <c r="M399" s="239" t="n"/>
      <c r="N399" s="239" t="n"/>
      <c r="O399" s="239" t="n"/>
      <c r="P399" s="239" t="n"/>
      <c r="Q399" s="239" t="n"/>
      <c r="R399" s="239" t="n"/>
      <c r="S399" s="239" t="n"/>
      <c r="T399" s="239" t="n"/>
      <c r="U399" s="239" t="n"/>
      <c r="V399" s="239" t="n"/>
      <c r="W399" s="239" t="n"/>
      <c r="X399" s="239" t="n"/>
      <c r="Y399" s="239" t="n"/>
      <c r="Z399" s="239" t="n"/>
      <c r="AA399" s="239" t="n"/>
      <c r="AB399" s="239" t="n"/>
      <c r="AC399" s="239" t="n"/>
      <c r="AD399" s="239" t="n"/>
      <c r="AE399" s="239" t="n"/>
      <c r="AF399" s="239" t="n"/>
      <c r="AG399" s="239" t="n"/>
      <c r="AH399" s="239" t="n"/>
      <c r="AI399" s="239" t="n"/>
      <c r="AJ399" s="239" t="n"/>
      <c r="AK399" s="239" t="n"/>
      <c r="AL399" s="239" t="n"/>
      <c r="AM399" s="239" t="n"/>
      <c r="AN399" s="239" t="n"/>
      <c r="AO399" s="239" t="n"/>
    </row>
    <row r="400">
      <c r="A400" s="256" t="n"/>
      <c r="B400" s="256" t="n"/>
      <c r="C400" s="256" t="n"/>
      <c r="D400" s="256" t="n"/>
      <c r="E400" s="256" t="n"/>
      <c r="F400" s="256" t="n"/>
      <c r="G400" s="256" t="n"/>
      <c r="H400" s="256" t="n"/>
      <c r="I400" s="256" t="n"/>
      <c r="J400" s="256" t="n"/>
      <c r="K400" s="256" t="n"/>
      <c r="L400" s="256" t="n"/>
      <c r="M400" s="256" t="n"/>
      <c r="N400" s="256" t="n"/>
      <c r="O400" s="256" t="n"/>
      <c r="P400" s="256" t="n"/>
      <c r="Q400" s="256" t="n"/>
      <c r="R400" s="256" t="n"/>
      <c r="S400" s="256" t="n"/>
      <c r="T400" s="256" t="n"/>
      <c r="U400" s="256" t="n"/>
      <c r="V400" s="256" t="n"/>
      <c r="W400" s="256" t="n"/>
      <c r="X400" s="256" t="n"/>
      <c r="Y400" s="256" t="n"/>
      <c r="Z400" s="256" t="n"/>
      <c r="AA400" s="256" t="n"/>
      <c r="AB400" s="256" t="n"/>
      <c r="AC400" s="256" t="n"/>
      <c r="AD400" s="256" t="n"/>
      <c r="AE400" s="256" t="n"/>
      <c r="AF400" s="256" t="n"/>
      <c r="AG400" s="256" t="n"/>
      <c r="AH400" s="256" t="n"/>
      <c r="AI400" s="256" t="n"/>
      <c r="AJ400" s="256" t="n"/>
      <c r="AK400" s="256" t="n"/>
      <c r="AL400" s="256" t="n"/>
      <c r="AM400" s="256" t="n"/>
      <c r="AN400" s="256" t="n"/>
      <c r="AO400" s="256" t="n"/>
    </row>
    <row r="401">
      <c r="A401" s="239" t="n"/>
      <c r="B401" s="239" t="n"/>
      <c r="C401" s="239" t="n"/>
      <c r="D401" s="239" t="n"/>
      <c r="E401" s="239" t="n"/>
      <c r="F401" s="239" t="n"/>
      <c r="G401" s="239" t="n"/>
      <c r="H401" s="239" t="n"/>
      <c r="I401" s="239" t="n"/>
      <c r="J401" s="239" t="n"/>
      <c r="K401" s="239" t="n"/>
      <c r="L401" s="239" t="n"/>
      <c r="M401" s="239" t="n"/>
      <c r="N401" s="239" t="n"/>
      <c r="O401" s="239" t="n"/>
      <c r="P401" s="239" t="n"/>
      <c r="Q401" s="239" t="n"/>
      <c r="R401" s="239" t="n"/>
      <c r="S401" s="239" t="n"/>
      <c r="T401" s="239" t="n"/>
      <c r="U401" s="239" t="n"/>
      <c r="V401" s="239" t="n"/>
      <c r="W401" s="239" t="n"/>
      <c r="X401" s="239" t="n"/>
      <c r="Y401" s="239" t="n"/>
      <c r="Z401" s="239" t="n"/>
      <c r="AA401" s="239" t="n"/>
      <c r="AB401" s="239" t="n"/>
      <c r="AC401" s="239" t="n"/>
      <c r="AD401" s="239" t="n"/>
      <c r="AE401" s="239" t="n"/>
      <c r="AF401" s="239" t="n"/>
      <c r="AG401" s="239" t="n"/>
      <c r="AH401" s="239" t="n"/>
      <c r="AI401" s="239" t="n"/>
      <c r="AJ401" s="239" t="n"/>
      <c r="AK401" s="239" t="n"/>
      <c r="AL401" s="239" t="n"/>
      <c r="AM401" s="239" t="n"/>
      <c r="AN401" s="239" t="n"/>
      <c r="AO401" s="239" t="n"/>
    </row>
    <row r="402">
      <c r="A402" s="256" t="n"/>
      <c r="B402" s="256" t="n"/>
      <c r="C402" s="256" t="n"/>
      <c r="D402" s="256" t="n"/>
      <c r="E402" s="256" t="n"/>
      <c r="F402" s="256" t="n"/>
      <c r="G402" s="256" t="n"/>
      <c r="H402" s="256" t="n"/>
      <c r="I402" s="256" t="n"/>
      <c r="J402" s="256" t="n"/>
      <c r="K402" s="256" t="n"/>
      <c r="L402" s="256" t="n"/>
      <c r="M402" s="256" t="n"/>
      <c r="N402" s="256" t="n"/>
      <c r="O402" s="256" t="n"/>
      <c r="P402" s="256" t="n"/>
      <c r="Q402" s="256" t="n"/>
      <c r="R402" s="256" t="n"/>
      <c r="S402" s="256" t="n"/>
      <c r="T402" s="256" t="n"/>
      <c r="U402" s="256" t="n"/>
      <c r="V402" s="256" t="n"/>
      <c r="W402" s="256" t="n"/>
      <c r="X402" s="256" t="n"/>
      <c r="Y402" s="256" t="n"/>
      <c r="Z402" s="256" t="n"/>
      <c r="AA402" s="256" t="n"/>
      <c r="AB402" s="256" t="n"/>
      <c r="AC402" s="256" t="n"/>
      <c r="AD402" s="256" t="n"/>
      <c r="AE402" s="256" t="n"/>
      <c r="AF402" s="256" t="n"/>
      <c r="AG402" s="256" t="n"/>
      <c r="AH402" s="256" t="n"/>
      <c r="AI402" s="256" t="n"/>
      <c r="AJ402" s="256" t="n"/>
      <c r="AK402" s="256" t="n"/>
      <c r="AL402" s="256" t="n"/>
      <c r="AM402" s="256" t="n"/>
      <c r="AN402" s="256" t="n"/>
      <c r="AO402" s="256" t="n"/>
    </row>
    <row r="403">
      <c r="A403" s="239" t="n"/>
      <c r="B403" s="239" t="n"/>
      <c r="C403" s="239" t="n"/>
      <c r="D403" s="239" t="n"/>
      <c r="E403" s="239" t="n"/>
      <c r="F403" s="239" t="n"/>
      <c r="G403" s="239" t="n"/>
      <c r="H403" s="239" t="n"/>
      <c r="I403" s="239" t="n"/>
      <c r="J403" s="239" t="n"/>
      <c r="K403" s="239" t="n"/>
      <c r="L403" s="239" t="n"/>
      <c r="M403" s="239" t="n"/>
      <c r="N403" s="239" t="n"/>
      <c r="O403" s="239" t="n"/>
      <c r="P403" s="239" t="n"/>
      <c r="Q403" s="239" t="n"/>
      <c r="R403" s="239" t="n"/>
      <c r="S403" s="239" t="n"/>
      <c r="T403" s="239" t="n"/>
      <c r="U403" s="239" t="n"/>
      <c r="V403" s="239" t="n"/>
      <c r="W403" s="239" t="n"/>
      <c r="X403" s="239" t="n"/>
      <c r="Y403" s="239" t="n"/>
      <c r="Z403" s="239" t="n"/>
      <c r="AA403" s="239" t="n"/>
      <c r="AB403" s="239" t="n"/>
      <c r="AC403" s="239" t="n"/>
      <c r="AD403" s="239" t="n"/>
      <c r="AE403" s="239" t="n"/>
      <c r="AF403" s="239" t="n"/>
      <c r="AG403" s="239" t="n"/>
      <c r="AH403" s="239" t="n"/>
      <c r="AI403" s="239" t="n"/>
      <c r="AJ403" s="239" t="n"/>
      <c r="AK403" s="239" t="n"/>
      <c r="AL403" s="239" t="n"/>
      <c r="AM403" s="239" t="n"/>
      <c r="AN403" s="239" t="n"/>
      <c r="AO403" s="239" t="n"/>
    </row>
    <row r="404">
      <c r="A404" s="256" t="n"/>
      <c r="B404" s="256" t="n"/>
      <c r="C404" s="256" t="n"/>
      <c r="D404" s="256" t="n"/>
      <c r="E404" s="256" t="n"/>
      <c r="F404" s="256" t="n"/>
      <c r="G404" s="256" t="n"/>
      <c r="H404" s="256" t="n"/>
      <c r="I404" s="256" t="n"/>
      <c r="J404" s="256" t="n"/>
      <c r="K404" s="256" t="n"/>
      <c r="L404" s="256" t="n"/>
      <c r="M404" s="256" t="n"/>
      <c r="N404" s="256" t="n"/>
      <c r="O404" s="256" t="n"/>
      <c r="P404" s="256" t="n"/>
      <c r="Q404" s="256" t="n"/>
      <c r="R404" s="256" t="n"/>
      <c r="S404" s="256" t="n"/>
      <c r="T404" s="256" t="n"/>
      <c r="U404" s="256" t="n"/>
      <c r="V404" s="256" t="n"/>
      <c r="W404" s="256" t="n"/>
      <c r="X404" s="256" t="n"/>
      <c r="Y404" s="256" t="n"/>
      <c r="Z404" s="256" t="n"/>
      <c r="AA404" s="256" t="n"/>
      <c r="AB404" s="256" t="n"/>
      <c r="AC404" s="256" t="n"/>
      <c r="AD404" s="256" t="n"/>
      <c r="AE404" s="256" t="n"/>
      <c r="AF404" s="256" t="n"/>
      <c r="AG404" s="256" t="n"/>
      <c r="AH404" s="256" t="n"/>
      <c r="AI404" s="256" t="n"/>
      <c r="AJ404" s="256" t="n"/>
      <c r="AK404" s="256" t="n"/>
      <c r="AL404" s="256" t="n"/>
      <c r="AM404" s="256" t="n"/>
      <c r="AN404" s="256" t="n"/>
      <c r="AO404" s="256" t="n"/>
    </row>
    <row r="405">
      <c r="A405" s="239" t="n"/>
      <c r="B405" s="239" t="n"/>
      <c r="C405" s="239" t="n"/>
      <c r="D405" s="239" t="n"/>
      <c r="E405" s="239" t="n"/>
      <c r="F405" s="239" t="n"/>
      <c r="G405" s="239" t="n"/>
      <c r="H405" s="239" t="n"/>
      <c r="I405" s="239" t="n"/>
      <c r="J405" s="239" t="n"/>
      <c r="K405" s="239" t="n"/>
      <c r="L405" s="239" t="n"/>
      <c r="M405" s="239" t="n"/>
      <c r="N405" s="239" t="n"/>
      <c r="O405" s="239" t="n"/>
      <c r="P405" s="239" t="n"/>
      <c r="Q405" s="239" t="n"/>
      <c r="R405" s="239" t="n"/>
      <c r="S405" s="239" t="n"/>
      <c r="T405" s="239" t="n"/>
      <c r="U405" s="239" t="n"/>
      <c r="V405" s="239" t="n"/>
      <c r="W405" s="239" t="n"/>
      <c r="X405" s="239" t="n"/>
      <c r="Y405" s="239" t="n"/>
      <c r="Z405" s="239" t="n"/>
      <c r="AA405" s="239" t="n"/>
      <c r="AB405" s="239" t="n"/>
      <c r="AC405" s="239" t="n"/>
      <c r="AD405" s="239" t="n"/>
      <c r="AE405" s="239" t="n"/>
      <c r="AF405" s="239" t="n"/>
      <c r="AG405" s="239" t="n"/>
      <c r="AH405" s="239" t="n"/>
      <c r="AI405" s="239" t="n"/>
      <c r="AJ405" s="239" t="n"/>
      <c r="AK405" s="239" t="n"/>
      <c r="AL405" s="239" t="n"/>
      <c r="AM405" s="239" t="n"/>
      <c r="AN405" s="239" t="n"/>
      <c r="AO405" s="239" t="n"/>
    </row>
    <row r="406">
      <c r="A406" s="256" t="n"/>
      <c r="B406" s="256" t="n"/>
      <c r="C406" s="256" t="n"/>
      <c r="D406" s="256" t="n"/>
      <c r="E406" s="256" t="n"/>
      <c r="F406" s="256" t="n"/>
      <c r="G406" s="256" t="n"/>
      <c r="H406" s="256" t="n"/>
      <c r="I406" s="256" t="n"/>
      <c r="J406" s="256" t="n"/>
      <c r="K406" s="256" t="n"/>
      <c r="L406" s="256" t="n"/>
      <c r="M406" s="256" t="n"/>
      <c r="N406" s="256" t="n"/>
      <c r="O406" s="256" t="n"/>
      <c r="P406" s="256" t="n"/>
      <c r="Q406" s="256" t="n"/>
      <c r="R406" s="256" t="n"/>
      <c r="S406" s="256" t="n"/>
      <c r="T406" s="256" t="n"/>
      <c r="U406" s="256" t="n"/>
      <c r="V406" s="256" t="n"/>
      <c r="W406" s="256" t="n"/>
      <c r="X406" s="256" t="n"/>
      <c r="Y406" s="256" t="n"/>
      <c r="Z406" s="256" t="n"/>
      <c r="AA406" s="256" t="n"/>
      <c r="AB406" s="256" t="n"/>
      <c r="AC406" s="256" t="n"/>
      <c r="AD406" s="256" t="n"/>
      <c r="AE406" s="256" t="n"/>
      <c r="AF406" s="256" t="n"/>
      <c r="AG406" s="256" t="n"/>
      <c r="AH406" s="256" t="n"/>
      <c r="AI406" s="256" t="n"/>
      <c r="AJ406" s="256" t="n"/>
      <c r="AK406" s="256" t="n"/>
      <c r="AL406" s="256" t="n"/>
      <c r="AM406" s="256" t="n"/>
      <c r="AN406" s="256" t="n"/>
      <c r="AO406" s="256" t="n"/>
    </row>
    <row r="407">
      <c r="A407" s="239" t="n"/>
      <c r="B407" s="239" t="n"/>
      <c r="C407" s="239" t="n"/>
      <c r="D407" s="239" t="n"/>
      <c r="E407" s="239" t="n"/>
      <c r="F407" s="239" t="n"/>
      <c r="G407" s="239" t="n"/>
      <c r="H407" s="239" t="n"/>
      <c r="I407" s="239" t="n"/>
      <c r="J407" s="239" t="n"/>
      <c r="K407" s="239" t="n"/>
      <c r="L407" s="239" t="n"/>
      <c r="M407" s="239" t="n"/>
      <c r="N407" s="239" t="n"/>
      <c r="O407" s="239" t="n"/>
      <c r="P407" s="239" t="n"/>
      <c r="Q407" s="239" t="n"/>
      <c r="R407" s="239" t="n"/>
      <c r="S407" s="239" t="n"/>
      <c r="T407" s="239" t="n"/>
      <c r="U407" s="239" t="n"/>
      <c r="V407" s="239" t="n"/>
      <c r="W407" s="239" t="n"/>
      <c r="X407" s="239" t="n"/>
      <c r="Y407" s="239" t="n"/>
      <c r="Z407" s="239" t="n"/>
      <c r="AA407" s="239" t="n"/>
      <c r="AB407" s="239" t="n"/>
      <c r="AC407" s="239" t="n"/>
      <c r="AD407" s="239" t="n"/>
      <c r="AE407" s="239" t="n"/>
      <c r="AF407" s="239" t="n"/>
      <c r="AG407" s="239" t="n"/>
      <c r="AH407" s="239" t="n"/>
      <c r="AI407" s="239" t="n"/>
      <c r="AJ407" s="239" t="n"/>
      <c r="AK407" s="239" t="n"/>
      <c r="AL407" s="239" t="n"/>
      <c r="AM407" s="239" t="n"/>
      <c r="AN407" s="239" t="n"/>
      <c r="AO407" s="239" t="n"/>
    </row>
    <row r="408">
      <c r="A408" s="256" t="n"/>
      <c r="B408" s="256" t="n"/>
      <c r="C408" s="256" t="n"/>
      <c r="D408" s="256" t="n"/>
      <c r="E408" s="256" t="n"/>
      <c r="F408" s="256" t="n"/>
      <c r="G408" s="256" t="n"/>
      <c r="H408" s="256" t="n"/>
      <c r="I408" s="256" t="n"/>
      <c r="J408" s="256" t="n"/>
      <c r="K408" s="256" t="n"/>
      <c r="L408" s="256" t="n"/>
      <c r="M408" s="256" t="n"/>
      <c r="N408" s="256" t="n"/>
      <c r="O408" s="256" t="n"/>
      <c r="P408" s="256" t="n"/>
      <c r="Q408" s="256" t="n"/>
      <c r="R408" s="256" t="n"/>
      <c r="S408" s="256" t="n"/>
      <c r="T408" s="256" t="n"/>
      <c r="U408" s="256" t="n"/>
      <c r="V408" s="256" t="n"/>
      <c r="W408" s="256" t="n"/>
      <c r="X408" s="256" t="n"/>
      <c r="Y408" s="256" t="n"/>
      <c r="Z408" s="256" t="n"/>
      <c r="AA408" s="256" t="n"/>
      <c r="AB408" s="256" t="n"/>
      <c r="AC408" s="256" t="n"/>
      <c r="AD408" s="256" t="n"/>
      <c r="AE408" s="256" t="n"/>
      <c r="AF408" s="256" t="n"/>
      <c r="AG408" s="256" t="n"/>
      <c r="AH408" s="256" t="n"/>
      <c r="AI408" s="256" t="n"/>
      <c r="AJ408" s="256" t="n"/>
      <c r="AK408" s="256" t="n"/>
      <c r="AL408" s="256" t="n"/>
      <c r="AM408" s="256" t="n"/>
      <c r="AN408" s="256" t="n"/>
      <c r="AO408" s="256" t="n"/>
    </row>
    <row r="409">
      <c r="A409" s="239" t="n"/>
      <c r="B409" s="239" t="n"/>
      <c r="C409" s="239" t="n"/>
      <c r="D409" s="239" t="n"/>
      <c r="E409" s="239" t="n"/>
      <c r="F409" s="239" t="n"/>
      <c r="G409" s="239" t="n"/>
      <c r="H409" s="239" t="n"/>
      <c r="I409" s="239" t="n"/>
      <c r="J409" s="239" t="n"/>
      <c r="K409" s="239" t="n"/>
      <c r="L409" s="239" t="n"/>
      <c r="M409" s="239" t="n"/>
      <c r="N409" s="239" t="n"/>
      <c r="O409" s="239" t="n"/>
      <c r="P409" s="239" t="n"/>
      <c r="Q409" s="239" t="n"/>
      <c r="R409" s="239" t="n"/>
      <c r="S409" s="239" t="n"/>
      <c r="T409" s="239" t="n"/>
      <c r="U409" s="239" t="n"/>
      <c r="V409" s="239" t="n"/>
      <c r="W409" s="239" t="n"/>
      <c r="X409" s="239" t="n"/>
      <c r="Y409" s="239" t="n"/>
      <c r="Z409" s="239" t="n"/>
      <c r="AA409" s="239" t="n"/>
      <c r="AB409" s="239" t="n"/>
      <c r="AC409" s="239" t="n"/>
      <c r="AD409" s="239" t="n"/>
      <c r="AE409" s="239" t="n"/>
      <c r="AF409" s="239" t="n"/>
      <c r="AG409" s="239" t="n"/>
      <c r="AH409" s="239" t="n"/>
      <c r="AI409" s="239" t="n"/>
      <c r="AJ409" s="239" t="n"/>
      <c r="AK409" s="239" t="n"/>
      <c r="AL409" s="239" t="n"/>
      <c r="AM409" s="239" t="n"/>
      <c r="AN409" s="239" t="n"/>
      <c r="AO409" s="239" t="n"/>
    </row>
    <row r="410">
      <c r="A410" s="256" t="n"/>
      <c r="B410" s="256" t="n"/>
      <c r="C410" s="256" t="n"/>
      <c r="D410" s="256" t="n"/>
      <c r="E410" s="256" t="n"/>
      <c r="F410" s="256" t="n"/>
      <c r="G410" s="256" t="n"/>
      <c r="H410" s="256" t="n"/>
      <c r="I410" s="256" t="n"/>
      <c r="J410" s="256" t="n"/>
      <c r="K410" s="256" t="n"/>
      <c r="L410" s="256" t="n"/>
      <c r="M410" s="256" t="n"/>
      <c r="N410" s="256" t="n"/>
      <c r="O410" s="256" t="n"/>
      <c r="P410" s="256" t="n"/>
      <c r="Q410" s="256" t="n"/>
      <c r="R410" s="256" t="n"/>
      <c r="S410" s="256" t="n"/>
      <c r="T410" s="256" t="n"/>
      <c r="U410" s="256" t="n"/>
      <c r="V410" s="256" t="n"/>
      <c r="W410" s="256" t="n"/>
      <c r="X410" s="256" t="n"/>
      <c r="Y410" s="256" t="n"/>
      <c r="Z410" s="256" t="n"/>
      <c r="AA410" s="256" t="n"/>
      <c r="AB410" s="256" t="n"/>
      <c r="AC410" s="256" t="n"/>
      <c r="AD410" s="256" t="n"/>
      <c r="AE410" s="256" t="n"/>
      <c r="AF410" s="256" t="n"/>
      <c r="AG410" s="256" t="n"/>
      <c r="AH410" s="256" t="n"/>
      <c r="AI410" s="256" t="n"/>
      <c r="AJ410" s="256" t="n"/>
      <c r="AK410" s="256" t="n"/>
      <c r="AL410" s="256" t="n"/>
      <c r="AM410" s="256" t="n"/>
      <c r="AN410" s="256" t="n"/>
      <c r="AO410" s="256" t="n"/>
    </row>
    <row r="411">
      <c r="A411" s="239" t="n"/>
      <c r="B411" s="239" t="n"/>
      <c r="C411" s="239" t="n"/>
      <c r="D411" s="239" t="n"/>
      <c r="E411" s="239" t="n"/>
      <c r="F411" s="239" t="n"/>
      <c r="G411" s="239" t="n"/>
      <c r="H411" s="239" t="n"/>
      <c r="I411" s="239" t="n"/>
      <c r="J411" s="239" t="n"/>
      <c r="K411" s="239" t="n"/>
      <c r="L411" s="239" t="n"/>
      <c r="M411" s="239" t="n"/>
      <c r="N411" s="239" t="n"/>
      <c r="O411" s="239" t="n"/>
      <c r="P411" s="239" t="n"/>
      <c r="Q411" s="239" t="n"/>
      <c r="R411" s="239" t="n"/>
      <c r="S411" s="239" t="n"/>
      <c r="T411" s="239" t="n"/>
      <c r="U411" s="239" t="n"/>
      <c r="V411" s="239" t="n"/>
      <c r="W411" s="239" t="n"/>
      <c r="X411" s="239" t="n"/>
      <c r="Y411" s="239" t="n"/>
      <c r="Z411" s="239" t="n"/>
      <c r="AA411" s="239" t="n"/>
      <c r="AB411" s="239" t="n"/>
      <c r="AC411" s="239" t="n"/>
      <c r="AD411" s="239" t="n"/>
      <c r="AE411" s="239" t="n"/>
      <c r="AF411" s="239" t="n"/>
      <c r="AG411" s="239" t="n"/>
      <c r="AH411" s="239" t="n"/>
      <c r="AI411" s="239" t="n"/>
      <c r="AJ411" s="239" t="n"/>
      <c r="AK411" s="239" t="n"/>
      <c r="AL411" s="239" t="n"/>
      <c r="AM411" s="239" t="n"/>
      <c r="AN411" s="239" t="n"/>
      <c r="AO411" s="239" t="n"/>
    </row>
    <row r="412">
      <c r="A412" s="256" t="n"/>
      <c r="B412" s="256" t="n"/>
      <c r="C412" s="256" t="n"/>
      <c r="D412" s="256" t="n"/>
      <c r="E412" s="256" t="n"/>
      <c r="F412" s="256" t="n"/>
      <c r="G412" s="256" t="n"/>
      <c r="H412" s="256" t="n"/>
      <c r="I412" s="256" t="n"/>
      <c r="J412" s="256" t="n"/>
      <c r="K412" s="256" t="n"/>
      <c r="L412" s="256" t="n"/>
      <c r="M412" s="256" t="n"/>
      <c r="N412" s="256" t="n"/>
      <c r="O412" s="256" t="n"/>
      <c r="P412" s="256" t="n"/>
      <c r="Q412" s="256" t="n"/>
      <c r="R412" s="256" t="n"/>
      <c r="S412" s="256" t="n"/>
      <c r="T412" s="256" t="n"/>
      <c r="U412" s="256" t="n"/>
      <c r="V412" s="256" t="n"/>
      <c r="W412" s="256" t="n"/>
      <c r="X412" s="256" t="n"/>
      <c r="Y412" s="256" t="n"/>
      <c r="Z412" s="256" t="n"/>
      <c r="AA412" s="256" t="n"/>
      <c r="AB412" s="256" t="n"/>
      <c r="AC412" s="256" t="n"/>
      <c r="AD412" s="256" t="n"/>
      <c r="AE412" s="256" t="n"/>
      <c r="AF412" s="256" t="n"/>
      <c r="AG412" s="256" t="n"/>
      <c r="AH412" s="256" t="n"/>
      <c r="AI412" s="256" t="n"/>
      <c r="AJ412" s="256" t="n"/>
      <c r="AK412" s="256" t="n"/>
      <c r="AL412" s="256" t="n"/>
      <c r="AM412" s="256" t="n"/>
      <c r="AN412" s="256" t="n"/>
      <c r="AO412" s="256" t="n"/>
    </row>
    <row r="413">
      <c r="A413" s="239" t="n"/>
      <c r="B413" s="239" t="n"/>
      <c r="C413" s="239" t="n"/>
      <c r="D413" s="239" t="n"/>
      <c r="E413" s="239" t="n"/>
      <c r="F413" s="239" t="n"/>
      <c r="G413" s="239" t="n"/>
      <c r="H413" s="239" t="n"/>
      <c r="I413" s="239" t="n"/>
      <c r="J413" s="239" t="n"/>
      <c r="K413" s="239" t="n"/>
      <c r="L413" s="239" t="n"/>
      <c r="M413" s="239" t="n"/>
      <c r="N413" s="239" t="n"/>
      <c r="O413" s="239" t="n"/>
      <c r="P413" s="239" t="n"/>
      <c r="Q413" s="239" t="n"/>
      <c r="R413" s="239" t="n"/>
      <c r="S413" s="239" t="n"/>
      <c r="T413" s="239" t="n"/>
      <c r="U413" s="239" t="n"/>
      <c r="V413" s="239" t="n"/>
      <c r="W413" s="239" t="n"/>
      <c r="X413" s="239" t="n"/>
      <c r="Y413" s="239" t="n"/>
      <c r="Z413" s="239" t="n"/>
      <c r="AA413" s="239" t="n"/>
      <c r="AB413" s="239" t="n"/>
      <c r="AC413" s="239" t="n"/>
      <c r="AD413" s="239" t="n"/>
      <c r="AE413" s="239" t="n"/>
      <c r="AF413" s="239" t="n"/>
      <c r="AG413" s="239" t="n"/>
      <c r="AH413" s="239" t="n"/>
      <c r="AI413" s="239" t="n"/>
      <c r="AJ413" s="239" t="n"/>
      <c r="AK413" s="239" t="n"/>
      <c r="AL413" s="239" t="n"/>
      <c r="AM413" s="239" t="n"/>
      <c r="AN413" s="239" t="n"/>
      <c r="AO413" s="239" t="n"/>
    </row>
    <row r="414">
      <c r="A414" s="256" t="n"/>
      <c r="B414" s="256" t="n"/>
      <c r="C414" s="256" t="n"/>
      <c r="D414" s="256" t="n"/>
      <c r="E414" s="256" t="n"/>
      <c r="F414" s="256" t="n"/>
      <c r="G414" s="256" t="n"/>
      <c r="H414" s="256" t="n"/>
      <c r="I414" s="256" t="n"/>
      <c r="J414" s="256" t="n"/>
      <c r="K414" s="256" t="n"/>
      <c r="L414" s="256" t="n"/>
      <c r="M414" s="256" t="n"/>
      <c r="N414" s="256" t="n"/>
      <c r="O414" s="256" t="n"/>
      <c r="P414" s="256" t="n"/>
      <c r="Q414" s="256" t="n"/>
      <c r="R414" s="256" t="n"/>
      <c r="S414" s="256" t="n"/>
      <c r="T414" s="256" t="n"/>
      <c r="U414" s="256" t="n"/>
      <c r="V414" s="256" t="n"/>
      <c r="W414" s="256" t="n"/>
      <c r="X414" s="256" t="n"/>
      <c r="Y414" s="256" t="n"/>
      <c r="Z414" s="256" t="n"/>
      <c r="AA414" s="256" t="n"/>
      <c r="AB414" s="256" t="n"/>
      <c r="AC414" s="256" t="n"/>
      <c r="AD414" s="256" t="n"/>
      <c r="AE414" s="256" t="n"/>
      <c r="AF414" s="256" t="n"/>
      <c r="AG414" s="256" t="n"/>
      <c r="AH414" s="256" t="n"/>
      <c r="AI414" s="256" t="n"/>
      <c r="AJ414" s="256" t="n"/>
      <c r="AK414" s="256" t="n"/>
      <c r="AL414" s="256" t="n"/>
      <c r="AM414" s="256" t="n"/>
      <c r="AN414" s="256" t="n"/>
      <c r="AO414" s="256" t="n"/>
    </row>
    <row r="415">
      <c r="A415" s="239" t="n"/>
      <c r="B415" s="239" t="n"/>
      <c r="C415" s="239" t="n"/>
      <c r="D415" s="239" t="n"/>
      <c r="E415" s="239" t="n"/>
      <c r="F415" s="239" t="n"/>
      <c r="G415" s="239" t="n"/>
      <c r="H415" s="239" t="n"/>
      <c r="I415" s="239" t="n"/>
      <c r="J415" s="239" t="n"/>
      <c r="K415" s="239" t="n"/>
      <c r="L415" s="239" t="n"/>
      <c r="M415" s="239" t="n"/>
      <c r="N415" s="239" t="n"/>
      <c r="O415" s="239" t="n"/>
      <c r="P415" s="239" t="n"/>
      <c r="Q415" s="239" t="n"/>
      <c r="R415" s="239" t="n"/>
      <c r="S415" s="239" t="n"/>
      <c r="T415" s="239" t="n"/>
      <c r="U415" s="239" t="n"/>
      <c r="V415" s="239" t="n"/>
      <c r="W415" s="239" t="n"/>
      <c r="X415" s="239" t="n"/>
      <c r="Y415" s="239" t="n"/>
      <c r="Z415" s="239" t="n"/>
      <c r="AA415" s="239" t="n"/>
      <c r="AB415" s="239" t="n"/>
      <c r="AC415" s="239" t="n"/>
      <c r="AD415" s="239" t="n"/>
      <c r="AE415" s="239" t="n"/>
      <c r="AF415" s="239" t="n"/>
      <c r="AG415" s="239" t="n"/>
      <c r="AH415" s="239" t="n"/>
      <c r="AI415" s="239" t="n"/>
      <c r="AJ415" s="239" t="n"/>
      <c r="AK415" s="239" t="n"/>
      <c r="AL415" s="239" t="n"/>
      <c r="AM415" s="239" t="n"/>
      <c r="AN415" s="239" t="n"/>
      <c r="AO415" s="239" t="n"/>
    </row>
    <row r="416">
      <c r="A416" s="256" t="n"/>
      <c r="B416" s="256" t="n"/>
      <c r="C416" s="256" t="n"/>
      <c r="D416" s="256" t="n"/>
      <c r="E416" s="256" t="n"/>
      <c r="F416" s="256" t="n"/>
      <c r="G416" s="256" t="n"/>
      <c r="H416" s="256" t="n"/>
      <c r="I416" s="256" t="n"/>
      <c r="J416" s="256" t="n"/>
      <c r="K416" s="256" t="n"/>
      <c r="L416" s="256" t="n"/>
      <c r="M416" s="256" t="n"/>
      <c r="N416" s="256" t="n"/>
      <c r="O416" s="256" t="n"/>
      <c r="P416" s="256" t="n"/>
      <c r="Q416" s="256" t="n"/>
      <c r="R416" s="256" t="n"/>
      <c r="S416" s="256" t="n"/>
      <c r="T416" s="256" t="n"/>
      <c r="U416" s="256" t="n"/>
      <c r="V416" s="256" t="n"/>
      <c r="W416" s="256" t="n"/>
      <c r="X416" s="256" t="n"/>
      <c r="Y416" s="256" t="n"/>
      <c r="Z416" s="256" t="n"/>
      <c r="AA416" s="256" t="n"/>
      <c r="AB416" s="256" t="n"/>
      <c r="AC416" s="256" t="n"/>
      <c r="AD416" s="256" t="n"/>
      <c r="AE416" s="256" t="n"/>
      <c r="AF416" s="256" t="n"/>
      <c r="AG416" s="256" t="n"/>
      <c r="AH416" s="256" t="n"/>
      <c r="AI416" s="256" t="n"/>
      <c r="AJ416" s="256" t="n"/>
      <c r="AK416" s="256" t="n"/>
      <c r="AL416" s="256" t="n"/>
      <c r="AM416" s="256" t="n"/>
      <c r="AN416" s="256" t="n"/>
      <c r="AO416" s="256" t="n"/>
    </row>
    <row r="417">
      <c r="A417" s="239" t="n"/>
      <c r="B417" s="239" t="n"/>
      <c r="C417" s="239" t="n"/>
      <c r="D417" s="239" t="n"/>
      <c r="E417" s="239" t="n"/>
      <c r="F417" s="239" t="n"/>
      <c r="G417" s="239" t="n"/>
      <c r="H417" s="239" t="n"/>
      <c r="I417" s="239" t="n"/>
      <c r="J417" s="239" t="n"/>
      <c r="K417" s="239" t="n"/>
      <c r="L417" s="239" t="n"/>
      <c r="M417" s="239" t="n"/>
      <c r="N417" s="239" t="n"/>
      <c r="O417" s="239" t="n"/>
      <c r="P417" s="239" t="n"/>
      <c r="Q417" s="239" t="n"/>
      <c r="R417" s="239" t="n"/>
      <c r="S417" s="239" t="n"/>
      <c r="T417" s="239" t="n"/>
      <c r="U417" s="239" t="n"/>
      <c r="V417" s="239" t="n"/>
      <c r="W417" s="239" t="n"/>
      <c r="X417" s="239" t="n"/>
      <c r="Y417" s="239" t="n"/>
      <c r="Z417" s="239" t="n"/>
      <c r="AA417" s="239" t="n"/>
      <c r="AB417" s="239" t="n"/>
      <c r="AC417" s="239" t="n"/>
      <c r="AD417" s="239" t="n"/>
      <c r="AE417" s="239" t="n"/>
      <c r="AF417" s="239" t="n"/>
      <c r="AG417" s="239" t="n"/>
      <c r="AH417" s="239" t="n"/>
      <c r="AI417" s="239" t="n"/>
      <c r="AJ417" s="239" t="n"/>
      <c r="AK417" s="239" t="n"/>
      <c r="AL417" s="239" t="n"/>
      <c r="AM417" s="239" t="n"/>
      <c r="AN417" s="239" t="n"/>
      <c r="AO417" s="239" t="n"/>
    </row>
    <row r="418">
      <c r="A418" s="256" t="n"/>
      <c r="B418" s="256" t="n"/>
      <c r="C418" s="256" t="n"/>
      <c r="D418" s="256" t="n"/>
      <c r="E418" s="256" t="n"/>
      <c r="F418" s="256" t="n"/>
      <c r="G418" s="256" t="n"/>
      <c r="H418" s="256" t="n"/>
      <c r="I418" s="256" t="n"/>
      <c r="J418" s="256" t="n"/>
      <c r="K418" s="256" t="n"/>
      <c r="L418" s="256" t="n"/>
      <c r="M418" s="256" t="n"/>
      <c r="N418" s="256" t="n"/>
      <c r="O418" s="256" t="n"/>
      <c r="P418" s="256" t="n"/>
      <c r="Q418" s="256" t="n"/>
      <c r="R418" s="256" t="n"/>
      <c r="S418" s="256" t="n"/>
      <c r="T418" s="256" t="n"/>
      <c r="U418" s="256" t="n"/>
      <c r="V418" s="256" t="n"/>
      <c r="W418" s="256" t="n"/>
      <c r="X418" s="256" t="n"/>
      <c r="Y418" s="256" t="n"/>
      <c r="Z418" s="256" t="n"/>
      <c r="AA418" s="256" t="n"/>
      <c r="AB418" s="256" t="n"/>
      <c r="AC418" s="256" t="n"/>
      <c r="AD418" s="256" t="n"/>
      <c r="AE418" s="256" t="n"/>
      <c r="AF418" s="256" t="n"/>
      <c r="AG418" s="256" t="n"/>
      <c r="AH418" s="256" t="n"/>
      <c r="AI418" s="256" t="n"/>
      <c r="AJ418" s="256" t="n"/>
      <c r="AK418" s="256" t="n"/>
      <c r="AL418" s="256" t="n"/>
      <c r="AM418" s="256" t="n"/>
      <c r="AN418" s="256" t="n"/>
      <c r="AO418" s="256" t="n"/>
    </row>
    <row r="419">
      <c r="A419" s="239" t="n"/>
      <c r="B419" s="239" t="n"/>
      <c r="C419" s="239" t="n"/>
      <c r="D419" s="239" t="n"/>
      <c r="E419" s="239" t="n"/>
      <c r="F419" s="239" t="n"/>
      <c r="G419" s="239" t="n"/>
      <c r="H419" s="239" t="n"/>
      <c r="I419" s="239" t="n"/>
      <c r="J419" s="239" t="n"/>
      <c r="K419" s="239" t="n"/>
      <c r="L419" s="239" t="n"/>
      <c r="M419" s="239" t="n"/>
      <c r="N419" s="239" t="n"/>
      <c r="O419" s="239" t="n"/>
      <c r="P419" s="239" t="n"/>
      <c r="Q419" s="239" t="n"/>
      <c r="R419" s="239" t="n"/>
      <c r="S419" s="239" t="n"/>
      <c r="T419" s="239" t="n"/>
      <c r="U419" s="239" t="n"/>
      <c r="V419" s="239" t="n"/>
      <c r="W419" s="239" t="n"/>
      <c r="X419" s="239" t="n"/>
      <c r="Y419" s="239" t="n"/>
      <c r="Z419" s="239" t="n"/>
      <c r="AA419" s="239" t="n"/>
      <c r="AB419" s="239" t="n"/>
      <c r="AC419" s="239" t="n"/>
      <c r="AD419" s="239" t="n"/>
      <c r="AE419" s="239" t="n"/>
      <c r="AF419" s="239" t="n"/>
      <c r="AG419" s="239" t="n"/>
      <c r="AH419" s="239" t="n"/>
      <c r="AI419" s="239" t="n"/>
      <c r="AJ419" s="239" t="n"/>
      <c r="AK419" s="239" t="n"/>
      <c r="AL419" s="239" t="n"/>
      <c r="AM419" s="239" t="n"/>
      <c r="AN419" s="239" t="n"/>
      <c r="AO419" s="239" t="n"/>
    </row>
    <row r="420">
      <c r="A420" s="256" t="n"/>
      <c r="B420" s="256" t="n"/>
      <c r="C420" s="256" t="n"/>
      <c r="D420" s="256" t="n"/>
      <c r="E420" s="256" t="n"/>
      <c r="F420" s="256" t="n"/>
      <c r="G420" s="256" t="n"/>
      <c r="H420" s="256" t="n"/>
      <c r="I420" s="256" t="n"/>
      <c r="J420" s="256" t="n"/>
      <c r="K420" s="256" t="n"/>
      <c r="L420" s="256" t="n"/>
      <c r="M420" s="256" t="n"/>
      <c r="N420" s="256" t="n"/>
      <c r="O420" s="256" t="n"/>
      <c r="P420" s="256" t="n"/>
      <c r="Q420" s="256" t="n"/>
      <c r="R420" s="256" t="n"/>
      <c r="S420" s="256" t="n"/>
      <c r="T420" s="256" t="n"/>
      <c r="U420" s="256" t="n"/>
      <c r="V420" s="256" t="n"/>
      <c r="W420" s="256" t="n"/>
      <c r="X420" s="256" t="n"/>
      <c r="Y420" s="256" t="n"/>
      <c r="Z420" s="256" t="n"/>
      <c r="AA420" s="256" t="n"/>
      <c r="AB420" s="256" t="n"/>
      <c r="AC420" s="256" t="n"/>
      <c r="AD420" s="256" t="n"/>
      <c r="AE420" s="256" t="n"/>
      <c r="AF420" s="256" t="n"/>
      <c r="AG420" s="256" t="n"/>
      <c r="AH420" s="256" t="n"/>
      <c r="AI420" s="256" t="n"/>
      <c r="AJ420" s="256" t="n"/>
      <c r="AK420" s="256" t="n"/>
      <c r="AL420" s="256" t="n"/>
      <c r="AM420" s="256" t="n"/>
      <c r="AN420" s="256" t="n"/>
      <c r="AO420" s="256" t="n"/>
    </row>
    <row r="421">
      <c r="A421" s="239" t="n"/>
      <c r="B421" s="239" t="n"/>
      <c r="C421" s="239" t="n"/>
      <c r="D421" s="239" t="n"/>
      <c r="E421" s="239" t="n"/>
      <c r="F421" s="239" t="n"/>
      <c r="G421" s="239" t="n"/>
      <c r="H421" s="239" t="n"/>
      <c r="I421" s="239" t="n"/>
      <c r="J421" s="239" t="n"/>
      <c r="K421" s="239" t="n"/>
      <c r="L421" s="239" t="n"/>
      <c r="M421" s="239" t="n"/>
      <c r="N421" s="239" t="n"/>
      <c r="O421" s="239" t="n"/>
      <c r="P421" s="239" t="n"/>
      <c r="Q421" s="239" t="n"/>
      <c r="R421" s="239" t="n"/>
      <c r="S421" s="239" t="n"/>
      <c r="T421" s="239" t="n"/>
      <c r="U421" s="239" t="n"/>
      <c r="V421" s="239" t="n"/>
      <c r="W421" s="239" t="n"/>
      <c r="X421" s="239" t="n"/>
      <c r="Y421" s="239" t="n"/>
      <c r="Z421" s="239" t="n"/>
      <c r="AA421" s="239" t="n"/>
      <c r="AB421" s="239" t="n"/>
      <c r="AC421" s="239" t="n"/>
      <c r="AD421" s="239" t="n"/>
      <c r="AE421" s="239" t="n"/>
      <c r="AF421" s="239" t="n"/>
      <c r="AG421" s="239" t="n"/>
      <c r="AH421" s="239" t="n"/>
      <c r="AI421" s="239" t="n"/>
      <c r="AJ421" s="239" t="n"/>
      <c r="AK421" s="239" t="n"/>
      <c r="AL421" s="239" t="n"/>
      <c r="AM421" s="239" t="n"/>
      <c r="AN421" s="239" t="n"/>
      <c r="AO421" s="239" t="n"/>
    </row>
    <row r="422">
      <c r="A422" s="256" t="n"/>
      <c r="B422" s="256" t="n"/>
      <c r="C422" s="256" t="n"/>
      <c r="D422" s="256" t="n"/>
      <c r="E422" s="256" t="n"/>
      <c r="F422" s="256" t="n"/>
      <c r="G422" s="256" t="n"/>
      <c r="H422" s="256" t="n"/>
      <c r="I422" s="256" t="n"/>
      <c r="J422" s="256" t="n"/>
      <c r="K422" s="256" t="n"/>
      <c r="L422" s="256" t="n"/>
      <c r="M422" s="256" t="n"/>
      <c r="N422" s="256" t="n"/>
      <c r="O422" s="256" t="n"/>
      <c r="P422" s="256" t="n"/>
      <c r="Q422" s="256" t="n"/>
      <c r="R422" s="256" t="n"/>
      <c r="S422" s="256" t="n"/>
      <c r="T422" s="256" t="n"/>
      <c r="U422" s="256" t="n"/>
      <c r="V422" s="256" t="n"/>
      <c r="W422" s="256" t="n"/>
      <c r="X422" s="256" t="n"/>
      <c r="Y422" s="256" t="n"/>
      <c r="Z422" s="256" t="n"/>
      <c r="AA422" s="256" t="n"/>
      <c r="AB422" s="256" t="n"/>
      <c r="AC422" s="256" t="n"/>
      <c r="AD422" s="256" t="n"/>
      <c r="AE422" s="256" t="n"/>
      <c r="AF422" s="256" t="n"/>
      <c r="AG422" s="256" t="n"/>
      <c r="AH422" s="256" t="n"/>
      <c r="AI422" s="256" t="n"/>
      <c r="AJ422" s="256" t="n"/>
      <c r="AK422" s="256" t="n"/>
      <c r="AL422" s="256" t="n"/>
      <c r="AM422" s="256" t="n"/>
      <c r="AN422" s="256" t="n"/>
      <c r="AO422" s="256" t="n"/>
    </row>
    <row r="423">
      <c r="A423" s="239" t="n"/>
      <c r="B423" s="239" t="n"/>
      <c r="C423" s="239" t="n"/>
      <c r="D423" s="239" t="n"/>
      <c r="E423" s="239" t="n"/>
      <c r="F423" s="239" t="n"/>
      <c r="G423" s="239" t="n"/>
      <c r="H423" s="239" t="n"/>
      <c r="I423" s="239" t="n"/>
      <c r="J423" s="239" t="n"/>
      <c r="K423" s="239" t="n"/>
      <c r="L423" s="239" t="n"/>
      <c r="M423" s="239" t="n"/>
      <c r="N423" s="239" t="n"/>
      <c r="O423" s="239" t="n"/>
      <c r="P423" s="239" t="n"/>
      <c r="Q423" s="239" t="n"/>
      <c r="R423" s="239" t="n"/>
      <c r="S423" s="239" t="n"/>
      <c r="T423" s="239" t="n"/>
      <c r="U423" s="239" t="n"/>
      <c r="V423" s="239" t="n"/>
      <c r="W423" s="239" t="n"/>
      <c r="X423" s="239" t="n"/>
      <c r="Y423" s="239" t="n"/>
      <c r="Z423" s="239" t="n"/>
      <c r="AA423" s="239" t="n"/>
      <c r="AB423" s="239" t="n"/>
      <c r="AC423" s="239" t="n"/>
      <c r="AD423" s="239" t="n"/>
      <c r="AE423" s="239" t="n"/>
      <c r="AF423" s="239" t="n"/>
      <c r="AG423" s="239" t="n"/>
      <c r="AH423" s="239" t="n"/>
      <c r="AI423" s="239" t="n"/>
      <c r="AJ423" s="239" t="n"/>
      <c r="AK423" s="239" t="n"/>
      <c r="AL423" s="239" t="n"/>
      <c r="AM423" s="239" t="n"/>
      <c r="AN423" s="239" t="n"/>
      <c r="AO423" s="239" t="n"/>
    </row>
    <row r="424">
      <c r="A424" s="256" t="n"/>
      <c r="B424" s="256" t="n"/>
      <c r="C424" s="256" t="n"/>
      <c r="D424" s="256" t="n"/>
      <c r="E424" s="256" t="n"/>
      <c r="F424" s="256" t="n"/>
      <c r="G424" s="256" t="n"/>
      <c r="H424" s="256" t="n"/>
      <c r="I424" s="256" t="n"/>
      <c r="J424" s="256" t="n"/>
      <c r="K424" s="256" t="n"/>
      <c r="L424" s="256" t="n"/>
      <c r="M424" s="256" t="n"/>
      <c r="N424" s="256" t="n"/>
      <c r="O424" s="256" t="n"/>
      <c r="P424" s="256" t="n"/>
      <c r="Q424" s="256" t="n"/>
      <c r="R424" s="256" t="n"/>
      <c r="S424" s="256" t="n"/>
      <c r="T424" s="256" t="n"/>
      <c r="U424" s="256" t="n"/>
      <c r="V424" s="256" t="n"/>
      <c r="W424" s="256" t="n"/>
      <c r="X424" s="256" t="n"/>
      <c r="Y424" s="256" t="n"/>
      <c r="Z424" s="256" t="n"/>
      <c r="AA424" s="256" t="n"/>
      <c r="AB424" s="256" t="n"/>
      <c r="AC424" s="256" t="n"/>
      <c r="AD424" s="256" t="n"/>
      <c r="AE424" s="256" t="n"/>
      <c r="AF424" s="256" t="n"/>
      <c r="AG424" s="256" t="n"/>
      <c r="AH424" s="256" t="n"/>
      <c r="AI424" s="256" t="n"/>
      <c r="AJ424" s="256" t="n"/>
      <c r="AK424" s="256" t="n"/>
      <c r="AL424" s="256" t="n"/>
      <c r="AM424" s="256" t="n"/>
      <c r="AN424" s="256" t="n"/>
      <c r="AO424" s="256" t="n"/>
    </row>
    <row r="425">
      <c r="A425" s="239" t="n"/>
      <c r="B425" s="239" t="n"/>
      <c r="C425" s="239" t="n"/>
      <c r="D425" s="239" t="n"/>
      <c r="E425" s="239" t="n"/>
      <c r="F425" s="239" t="n"/>
      <c r="G425" s="239" t="n"/>
      <c r="H425" s="239" t="n"/>
      <c r="I425" s="239" t="n"/>
      <c r="J425" s="239" t="n"/>
      <c r="K425" s="239" t="n"/>
      <c r="L425" s="239" t="n"/>
      <c r="M425" s="239" t="n"/>
      <c r="N425" s="239" t="n"/>
      <c r="O425" s="239" t="n"/>
      <c r="P425" s="239" t="n"/>
      <c r="Q425" s="239" t="n"/>
      <c r="R425" s="239" t="n"/>
      <c r="S425" s="239" t="n"/>
      <c r="T425" s="239" t="n"/>
      <c r="U425" s="239" t="n"/>
      <c r="V425" s="239" t="n"/>
      <c r="W425" s="239" t="n"/>
      <c r="X425" s="239" t="n"/>
      <c r="Y425" s="239" t="n"/>
      <c r="Z425" s="239" t="n"/>
      <c r="AA425" s="239" t="n"/>
      <c r="AB425" s="239" t="n"/>
      <c r="AC425" s="239" t="n"/>
      <c r="AD425" s="239" t="n"/>
      <c r="AE425" s="239" t="n"/>
      <c r="AF425" s="239" t="n"/>
      <c r="AG425" s="239" t="n"/>
      <c r="AH425" s="239" t="n"/>
      <c r="AI425" s="239" t="n"/>
      <c r="AJ425" s="239" t="n"/>
      <c r="AK425" s="239" t="n"/>
      <c r="AL425" s="239" t="n"/>
      <c r="AM425" s="239" t="n"/>
      <c r="AN425" s="239" t="n"/>
      <c r="AO425" s="239" t="n"/>
    </row>
    <row r="426">
      <c r="A426" s="256" t="n"/>
      <c r="B426" s="256" t="n"/>
      <c r="C426" s="256" t="n"/>
      <c r="D426" s="256" t="n"/>
      <c r="E426" s="256" t="n"/>
      <c r="F426" s="256" t="n"/>
      <c r="G426" s="256" t="n"/>
      <c r="H426" s="256" t="n"/>
      <c r="I426" s="256" t="n"/>
      <c r="J426" s="256" t="n"/>
      <c r="K426" s="256" t="n"/>
      <c r="L426" s="256" t="n"/>
      <c r="M426" s="256" t="n"/>
      <c r="N426" s="256" t="n"/>
      <c r="O426" s="256" t="n"/>
      <c r="P426" s="256" t="n"/>
      <c r="Q426" s="256" t="n"/>
      <c r="R426" s="256" t="n"/>
      <c r="S426" s="256" t="n"/>
      <c r="T426" s="256" t="n"/>
      <c r="U426" s="256" t="n"/>
      <c r="V426" s="256" t="n"/>
      <c r="W426" s="256" t="n"/>
      <c r="X426" s="256" t="n"/>
      <c r="Y426" s="256" t="n"/>
      <c r="Z426" s="256" t="n"/>
      <c r="AA426" s="256" t="n"/>
      <c r="AB426" s="256" t="n"/>
      <c r="AC426" s="256" t="n"/>
      <c r="AD426" s="256" t="n"/>
      <c r="AE426" s="256" t="n"/>
      <c r="AF426" s="256" t="n"/>
      <c r="AG426" s="256" t="n"/>
      <c r="AH426" s="256" t="n"/>
      <c r="AI426" s="256" t="n"/>
      <c r="AJ426" s="256" t="n"/>
      <c r="AK426" s="256" t="n"/>
      <c r="AL426" s="256" t="n"/>
      <c r="AM426" s="256" t="n"/>
      <c r="AN426" s="256" t="n"/>
      <c r="AO426" s="256" t="n"/>
    </row>
    <row r="427">
      <c r="A427" s="239" t="n"/>
      <c r="B427" s="239" t="n"/>
      <c r="C427" s="239" t="n"/>
      <c r="D427" s="239" t="n"/>
      <c r="E427" s="239" t="n"/>
      <c r="F427" s="239" t="n"/>
      <c r="G427" s="239" t="n"/>
      <c r="H427" s="239" t="n"/>
      <c r="I427" s="239" t="n"/>
      <c r="J427" s="239" t="n"/>
      <c r="K427" s="239" t="n"/>
      <c r="L427" s="239" t="n"/>
      <c r="M427" s="239" t="n"/>
      <c r="N427" s="239" t="n"/>
      <c r="O427" s="239" t="n"/>
      <c r="P427" s="239" t="n"/>
      <c r="Q427" s="239" t="n"/>
      <c r="R427" s="239" t="n"/>
      <c r="S427" s="239" t="n"/>
      <c r="T427" s="239" t="n"/>
      <c r="U427" s="239" t="n"/>
      <c r="V427" s="239" t="n"/>
      <c r="W427" s="239" t="n"/>
      <c r="X427" s="239" t="n"/>
      <c r="Y427" s="239" t="n"/>
      <c r="Z427" s="239" t="n"/>
      <c r="AA427" s="239" t="n"/>
      <c r="AB427" s="239" t="n"/>
      <c r="AC427" s="239" t="n"/>
      <c r="AD427" s="239" t="n"/>
      <c r="AE427" s="239" t="n"/>
      <c r="AF427" s="239" t="n"/>
      <c r="AG427" s="239" t="n"/>
      <c r="AH427" s="239" t="n"/>
      <c r="AI427" s="239" t="n"/>
      <c r="AJ427" s="239" t="n"/>
      <c r="AK427" s="239" t="n"/>
      <c r="AL427" s="239" t="n"/>
      <c r="AM427" s="239" t="n"/>
      <c r="AN427" s="239" t="n"/>
      <c r="AO427" s="239" t="n"/>
    </row>
    <row r="428">
      <c r="A428" s="256" t="n"/>
      <c r="B428" s="256" t="n"/>
      <c r="C428" s="256" t="n"/>
      <c r="D428" s="256" t="n"/>
      <c r="E428" s="256" t="n"/>
      <c r="F428" s="256" t="n"/>
      <c r="G428" s="256" t="n"/>
      <c r="H428" s="256" t="n"/>
      <c r="I428" s="256" t="n"/>
      <c r="J428" s="256" t="n"/>
      <c r="K428" s="256" t="n"/>
      <c r="L428" s="256" t="n"/>
      <c r="M428" s="256" t="n"/>
      <c r="N428" s="256" t="n"/>
      <c r="O428" s="256" t="n"/>
      <c r="P428" s="256" t="n"/>
      <c r="Q428" s="256" t="n"/>
      <c r="R428" s="256" t="n"/>
      <c r="S428" s="256" t="n"/>
      <c r="T428" s="256" t="n"/>
      <c r="U428" s="256" t="n"/>
      <c r="V428" s="256" t="n"/>
      <c r="W428" s="256" t="n"/>
      <c r="X428" s="256" t="n"/>
      <c r="Y428" s="256" t="n"/>
      <c r="Z428" s="256" t="n"/>
      <c r="AA428" s="256" t="n"/>
      <c r="AB428" s="256" t="n"/>
      <c r="AC428" s="256" t="n"/>
      <c r="AD428" s="256" t="n"/>
      <c r="AE428" s="256" t="n"/>
      <c r="AF428" s="256" t="n"/>
      <c r="AG428" s="256" t="n"/>
      <c r="AH428" s="256" t="n"/>
      <c r="AI428" s="256" t="n"/>
      <c r="AJ428" s="256" t="n"/>
      <c r="AK428" s="256" t="n"/>
      <c r="AL428" s="256" t="n"/>
      <c r="AM428" s="256" t="n"/>
      <c r="AN428" s="256" t="n"/>
      <c r="AO428" s="256" t="n"/>
    </row>
    <row r="429">
      <c r="A429" s="239" t="n"/>
      <c r="B429" s="239" t="n"/>
      <c r="C429" s="239" t="n"/>
      <c r="D429" s="239" t="n"/>
      <c r="E429" s="239" t="n"/>
      <c r="F429" s="239" t="n"/>
      <c r="G429" s="239" t="n"/>
      <c r="H429" s="239" t="n"/>
      <c r="I429" s="239" t="n"/>
      <c r="J429" s="239" t="n"/>
      <c r="K429" s="239" t="n"/>
      <c r="L429" s="239" t="n"/>
      <c r="M429" s="239" t="n"/>
      <c r="N429" s="239" t="n"/>
      <c r="O429" s="239" t="n"/>
      <c r="P429" s="239" t="n"/>
      <c r="Q429" s="239" t="n"/>
      <c r="R429" s="239" t="n"/>
      <c r="S429" s="239" t="n"/>
      <c r="T429" s="239" t="n"/>
      <c r="U429" s="239" t="n"/>
      <c r="V429" s="239" t="n"/>
      <c r="W429" s="239" t="n"/>
      <c r="X429" s="239" t="n"/>
      <c r="Y429" s="239" t="n"/>
      <c r="Z429" s="239" t="n"/>
      <c r="AA429" s="239" t="n"/>
      <c r="AB429" s="239" t="n"/>
      <c r="AC429" s="239" t="n"/>
      <c r="AD429" s="239" t="n"/>
      <c r="AE429" s="239" t="n"/>
      <c r="AF429" s="239" t="n"/>
      <c r="AG429" s="239" t="n"/>
      <c r="AH429" s="239" t="n"/>
      <c r="AI429" s="239" t="n"/>
      <c r="AJ429" s="239" t="n"/>
      <c r="AK429" s="239" t="n"/>
      <c r="AL429" s="239" t="n"/>
      <c r="AM429" s="239" t="n"/>
      <c r="AN429" s="239" t="n"/>
      <c r="AO429" s="239" t="n"/>
    </row>
    <row r="430">
      <c r="A430" s="256" t="n"/>
      <c r="B430" s="256" t="n"/>
      <c r="C430" s="256" t="n"/>
      <c r="D430" s="256" t="n"/>
      <c r="E430" s="256" t="n"/>
      <c r="F430" s="256" t="n"/>
      <c r="G430" s="256" t="n"/>
      <c r="H430" s="256" t="n"/>
      <c r="I430" s="256" t="n"/>
      <c r="J430" s="256" t="n"/>
      <c r="K430" s="256" t="n"/>
      <c r="L430" s="256" t="n"/>
      <c r="M430" s="256" t="n"/>
      <c r="N430" s="256" t="n"/>
      <c r="O430" s="256" t="n"/>
      <c r="P430" s="256" t="n"/>
      <c r="Q430" s="256" t="n"/>
      <c r="R430" s="256" t="n"/>
      <c r="S430" s="256" t="n"/>
      <c r="T430" s="256" t="n"/>
      <c r="U430" s="256" t="n"/>
      <c r="V430" s="256" t="n"/>
      <c r="W430" s="256" t="n"/>
      <c r="X430" s="256" t="n"/>
      <c r="Y430" s="256" t="n"/>
      <c r="Z430" s="256" t="n"/>
      <c r="AA430" s="256" t="n"/>
      <c r="AB430" s="256" t="n"/>
      <c r="AC430" s="256" t="n"/>
      <c r="AD430" s="256" t="n"/>
      <c r="AE430" s="256" t="n"/>
      <c r="AF430" s="256" t="n"/>
      <c r="AG430" s="256" t="n"/>
      <c r="AH430" s="256" t="n"/>
      <c r="AI430" s="256" t="n"/>
      <c r="AJ430" s="256" t="n"/>
      <c r="AK430" s="256" t="n"/>
      <c r="AL430" s="256" t="n"/>
      <c r="AM430" s="256" t="n"/>
      <c r="AN430" s="256" t="n"/>
      <c r="AO430" s="256" t="n"/>
    </row>
    <row r="431">
      <c r="A431" s="239" t="n"/>
      <c r="B431" s="239" t="n"/>
      <c r="C431" s="239" t="n"/>
      <c r="D431" s="239" t="n"/>
      <c r="E431" s="239" t="n"/>
      <c r="F431" s="239" t="n"/>
      <c r="G431" s="239" t="n"/>
      <c r="H431" s="239" t="n"/>
      <c r="I431" s="239" t="n"/>
      <c r="J431" s="239" t="n"/>
      <c r="K431" s="239" t="n"/>
      <c r="L431" s="239" t="n"/>
      <c r="M431" s="239" t="n"/>
      <c r="N431" s="239" t="n"/>
      <c r="O431" s="239" t="n"/>
      <c r="P431" s="239" t="n"/>
      <c r="Q431" s="239" t="n"/>
      <c r="R431" s="239" t="n"/>
      <c r="S431" s="239" t="n"/>
      <c r="T431" s="239" t="n"/>
      <c r="U431" s="239" t="n"/>
      <c r="V431" s="239" t="n"/>
      <c r="W431" s="239" t="n"/>
      <c r="X431" s="239" t="n"/>
      <c r="Y431" s="239" t="n"/>
      <c r="Z431" s="239" t="n"/>
      <c r="AA431" s="239" t="n"/>
      <c r="AB431" s="239" t="n"/>
      <c r="AC431" s="239" t="n"/>
      <c r="AD431" s="239" t="n"/>
      <c r="AE431" s="239" t="n"/>
      <c r="AF431" s="239" t="n"/>
      <c r="AG431" s="239" t="n"/>
      <c r="AH431" s="239" t="n"/>
      <c r="AI431" s="239" t="n"/>
      <c r="AJ431" s="239" t="n"/>
      <c r="AK431" s="239" t="n"/>
      <c r="AL431" s="239" t="n"/>
      <c r="AM431" s="239" t="n"/>
      <c r="AN431" s="239" t="n"/>
      <c r="AO431" s="239" t="n"/>
    </row>
    <row r="432">
      <c r="A432" s="256" t="n"/>
      <c r="B432" s="256" t="n"/>
      <c r="C432" s="256" t="n"/>
      <c r="D432" s="256" t="n"/>
      <c r="E432" s="256" t="n"/>
      <c r="F432" s="256" t="n"/>
      <c r="G432" s="256" t="n"/>
      <c r="H432" s="256" t="n"/>
      <c r="I432" s="256" t="n"/>
      <c r="J432" s="256" t="n"/>
      <c r="K432" s="256" t="n"/>
      <c r="L432" s="256" t="n"/>
      <c r="M432" s="256" t="n"/>
      <c r="N432" s="256" t="n"/>
      <c r="O432" s="256" t="n"/>
      <c r="P432" s="256" t="n"/>
      <c r="Q432" s="256" t="n"/>
      <c r="R432" s="256" t="n"/>
      <c r="S432" s="256" t="n"/>
      <c r="T432" s="256" t="n"/>
      <c r="U432" s="256" t="n"/>
      <c r="V432" s="256" t="n"/>
      <c r="W432" s="256" t="n"/>
      <c r="X432" s="256" t="n"/>
      <c r="Y432" s="256" t="n"/>
      <c r="Z432" s="256" t="n"/>
      <c r="AA432" s="256" t="n"/>
      <c r="AB432" s="256" t="n"/>
      <c r="AC432" s="256" t="n"/>
      <c r="AD432" s="256" t="n"/>
      <c r="AE432" s="256" t="n"/>
      <c r="AF432" s="256" t="n"/>
      <c r="AG432" s="256" t="n"/>
      <c r="AH432" s="256" t="n"/>
      <c r="AI432" s="256" t="n"/>
      <c r="AJ432" s="256" t="n"/>
      <c r="AK432" s="256" t="n"/>
      <c r="AL432" s="256" t="n"/>
      <c r="AM432" s="256" t="n"/>
      <c r="AN432" s="256" t="n"/>
      <c r="AO432" s="256" t="n"/>
    </row>
    <row r="433">
      <c r="A433" s="239" t="n"/>
      <c r="B433" s="239" t="n"/>
      <c r="C433" s="239" t="n"/>
      <c r="D433" s="239" t="n"/>
      <c r="E433" s="239" t="n"/>
      <c r="F433" s="239" t="n"/>
      <c r="G433" s="239" t="n"/>
      <c r="H433" s="239" t="n"/>
      <c r="I433" s="239" t="n"/>
      <c r="J433" s="239" t="n"/>
      <c r="K433" s="239" t="n"/>
      <c r="L433" s="239" t="n"/>
      <c r="M433" s="239" t="n"/>
      <c r="N433" s="239" t="n"/>
      <c r="O433" s="239" t="n"/>
      <c r="P433" s="239" t="n"/>
      <c r="Q433" s="239" t="n"/>
      <c r="R433" s="239" t="n"/>
      <c r="S433" s="239" t="n"/>
      <c r="T433" s="239" t="n"/>
      <c r="U433" s="239" t="n"/>
      <c r="V433" s="239" t="n"/>
      <c r="W433" s="239" t="n"/>
      <c r="X433" s="239" t="n"/>
      <c r="Y433" s="239" t="n"/>
      <c r="Z433" s="239" t="n"/>
      <c r="AA433" s="239" t="n"/>
      <c r="AB433" s="239" t="n"/>
      <c r="AC433" s="239" t="n"/>
      <c r="AD433" s="239" t="n"/>
      <c r="AE433" s="239" t="n"/>
      <c r="AF433" s="239" t="n"/>
      <c r="AG433" s="239" t="n"/>
      <c r="AH433" s="239" t="n"/>
      <c r="AI433" s="239" t="n"/>
      <c r="AJ433" s="239" t="n"/>
      <c r="AK433" s="239" t="n"/>
      <c r="AL433" s="239" t="n"/>
      <c r="AM433" s="239" t="n"/>
      <c r="AN433" s="239" t="n"/>
      <c r="AO433" s="239" t="n"/>
    </row>
    <row r="434">
      <c r="A434" s="256" t="n"/>
      <c r="B434" s="256" t="n"/>
      <c r="C434" s="256" t="n"/>
      <c r="D434" s="256" t="n"/>
      <c r="E434" s="256" t="n"/>
      <c r="F434" s="256" t="n"/>
      <c r="G434" s="256" t="n"/>
      <c r="H434" s="256" t="n"/>
      <c r="I434" s="256" t="n"/>
      <c r="J434" s="256" t="n"/>
      <c r="K434" s="256" t="n"/>
      <c r="L434" s="256" t="n"/>
      <c r="M434" s="256" t="n"/>
      <c r="N434" s="256" t="n"/>
      <c r="O434" s="256" t="n"/>
      <c r="P434" s="256" t="n"/>
      <c r="Q434" s="256" t="n"/>
      <c r="R434" s="256" t="n"/>
      <c r="S434" s="256" t="n"/>
      <c r="T434" s="256" t="n"/>
      <c r="U434" s="256" t="n"/>
      <c r="V434" s="256" t="n"/>
      <c r="W434" s="256" t="n"/>
      <c r="X434" s="256" t="n"/>
      <c r="Y434" s="256" t="n"/>
      <c r="Z434" s="256" t="n"/>
      <c r="AA434" s="256" t="n"/>
      <c r="AB434" s="256" t="n"/>
      <c r="AC434" s="256" t="n"/>
      <c r="AD434" s="256" t="n"/>
      <c r="AE434" s="256" t="n"/>
      <c r="AF434" s="256" t="n"/>
      <c r="AG434" s="256" t="n"/>
      <c r="AH434" s="256" t="n"/>
      <c r="AI434" s="256" t="n"/>
      <c r="AJ434" s="256" t="n"/>
      <c r="AK434" s="256" t="n"/>
      <c r="AL434" s="256" t="n"/>
      <c r="AM434" s="256" t="n"/>
      <c r="AN434" s="256" t="n"/>
      <c r="AO434" s="256" t="n"/>
    </row>
    <row r="435">
      <c r="A435" s="239" t="n"/>
      <c r="B435" s="239" t="n"/>
      <c r="C435" s="239" t="n"/>
      <c r="D435" s="239" t="n"/>
      <c r="E435" s="239" t="n"/>
      <c r="F435" s="239" t="n"/>
      <c r="G435" s="239" t="n"/>
      <c r="H435" s="239" t="n"/>
      <c r="I435" s="239" t="n"/>
      <c r="J435" s="239" t="n"/>
      <c r="K435" s="239" t="n"/>
      <c r="L435" s="239" t="n"/>
      <c r="M435" s="239" t="n"/>
      <c r="N435" s="239" t="n"/>
      <c r="O435" s="239" t="n"/>
      <c r="P435" s="239" t="n"/>
      <c r="Q435" s="239" t="n"/>
      <c r="R435" s="239" t="n"/>
      <c r="S435" s="239" t="n"/>
      <c r="T435" s="239" t="n"/>
      <c r="U435" s="239" t="n"/>
      <c r="V435" s="239" t="n"/>
      <c r="W435" s="239" t="n"/>
      <c r="X435" s="239" t="n"/>
      <c r="Y435" s="239" t="n"/>
      <c r="Z435" s="239" t="n"/>
      <c r="AA435" s="239" t="n"/>
      <c r="AB435" s="239" t="n"/>
      <c r="AC435" s="239" t="n"/>
      <c r="AD435" s="239" t="n"/>
      <c r="AE435" s="239" t="n"/>
      <c r="AF435" s="239" t="n"/>
      <c r="AG435" s="239" t="n"/>
      <c r="AH435" s="239" t="n"/>
      <c r="AI435" s="239" t="n"/>
      <c r="AJ435" s="239" t="n"/>
      <c r="AK435" s="239" t="n"/>
      <c r="AL435" s="239" t="n"/>
      <c r="AM435" s="239" t="n"/>
      <c r="AN435" s="239" t="n"/>
      <c r="AO435" s="239" t="n"/>
    </row>
    <row r="436">
      <c r="A436" s="256" t="n"/>
      <c r="B436" s="256" t="n"/>
      <c r="C436" s="256" t="n"/>
      <c r="D436" s="256" t="n"/>
      <c r="E436" s="256" t="n"/>
      <c r="F436" s="256" t="n"/>
      <c r="G436" s="256" t="n"/>
      <c r="H436" s="256" t="n"/>
      <c r="I436" s="256" t="n"/>
      <c r="J436" s="256" t="n"/>
      <c r="K436" s="256" t="n"/>
      <c r="L436" s="256" t="n"/>
      <c r="M436" s="256" t="n"/>
      <c r="N436" s="256" t="n"/>
      <c r="O436" s="256" t="n"/>
      <c r="P436" s="256" t="n"/>
      <c r="Q436" s="256" t="n"/>
      <c r="R436" s="256" t="n"/>
      <c r="S436" s="256" t="n"/>
      <c r="T436" s="256" t="n"/>
      <c r="U436" s="256" t="n"/>
      <c r="V436" s="256" t="n"/>
      <c r="W436" s="256" t="n"/>
      <c r="X436" s="256" t="n"/>
      <c r="Y436" s="256" t="n"/>
      <c r="Z436" s="256" t="n"/>
      <c r="AA436" s="256" t="n"/>
      <c r="AB436" s="256" t="n"/>
      <c r="AC436" s="256" t="n"/>
      <c r="AD436" s="256" t="n"/>
      <c r="AE436" s="256" t="n"/>
      <c r="AF436" s="256" t="n"/>
      <c r="AG436" s="256" t="n"/>
      <c r="AH436" s="256" t="n"/>
      <c r="AI436" s="256" t="n"/>
      <c r="AJ436" s="256" t="n"/>
      <c r="AK436" s="256" t="n"/>
      <c r="AL436" s="256" t="n"/>
      <c r="AM436" s="256" t="n"/>
      <c r="AN436" s="256" t="n"/>
      <c r="AO436" s="256" t="n"/>
    </row>
    <row r="437">
      <c r="A437" s="239" t="n"/>
      <c r="B437" s="239" t="n"/>
      <c r="C437" s="239" t="n"/>
      <c r="D437" s="239" t="n"/>
      <c r="E437" s="239" t="n"/>
      <c r="F437" s="239" t="n"/>
      <c r="G437" s="239" t="n"/>
      <c r="H437" s="239" t="n"/>
      <c r="I437" s="239" t="n"/>
      <c r="J437" s="239" t="n"/>
      <c r="K437" s="239" t="n"/>
      <c r="L437" s="239" t="n"/>
      <c r="M437" s="239" t="n"/>
      <c r="N437" s="239" t="n"/>
      <c r="O437" s="239" t="n"/>
      <c r="P437" s="239" t="n"/>
      <c r="Q437" s="239" t="n"/>
      <c r="R437" s="239" t="n"/>
      <c r="S437" s="239" t="n"/>
      <c r="T437" s="239" t="n"/>
      <c r="U437" s="239" t="n"/>
      <c r="V437" s="239" t="n"/>
      <c r="W437" s="239" t="n"/>
      <c r="X437" s="239" t="n"/>
      <c r="Y437" s="239" t="n"/>
      <c r="Z437" s="239" t="n"/>
      <c r="AA437" s="239" t="n"/>
      <c r="AB437" s="239" t="n"/>
      <c r="AC437" s="239" t="n"/>
      <c r="AD437" s="239" t="n"/>
      <c r="AE437" s="239" t="n"/>
      <c r="AF437" s="239" t="n"/>
      <c r="AG437" s="239" t="n"/>
      <c r="AH437" s="239" t="n"/>
      <c r="AI437" s="239" t="n"/>
      <c r="AJ437" s="239" t="n"/>
      <c r="AK437" s="239" t="n"/>
      <c r="AL437" s="239" t="n"/>
      <c r="AM437" s="239" t="n"/>
      <c r="AN437" s="239" t="n"/>
      <c r="AO437" s="239" t="n"/>
    </row>
    <row r="438">
      <c r="A438" s="256" t="n"/>
      <c r="B438" s="256" t="n"/>
      <c r="C438" s="256" t="n"/>
      <c r="D438" s="256" t="n"/>
      <c r="E438" s="256" t="n"/>
      <c r="F438" s="256" t="n"/>
      <c r="G438" s="256" t="n"/>
      <c r="H438" s="256" t="n"/>
      <c r="I438" s="256" t="n"/>
      <c r="J438" s="256" t="n"/>
      <c r="K438" s="256" t="n"/>
      <c r="L438" s="256" t="n"/>
      <c r="M438" s="256" t="n"/>
      <c r="N438" s="256" t="n"/>
      <c r="O438" s="256" t="n"/>
      <c r="P438" s="256" t="n"/>
      <c r="Q438" s="256" t="n"/>
      <c r="R438" s="256" t="n"/>
      <c r="S438" s="256" t="n"/>
      <c r="T438" s="256" t="n"/>
      <c r="U438" s="256" t="n"/>
      <c r="V438" s="256" t="n"/>
      <c r="W438" s="256" t="n"/>
      <c r="X438" s="256" t="n"/>
      <c r="Y438" s="256" t="n"/>
      <c r="Z438" s="256" t="n"/>
      <c r="AA438" s="256" t="n"/>
      <c r="AB438" s="256" t="n"/>
      <c r="AC438" s="256" t="n"/>
      <c r="AD438" s="256" t="n"/>
      <c r="AE438" s="256" t="n"/>
      <c r="AF438" s="256" t="n"/>
      <c r="AG438" s="256" t="n"/>
      <c r="AH438" s="256" t="n"/>
      <c r="AI438" s="256" t="n"/>
      <c r="AJ438" s="256" t="n"/>
      <c r="AK438" s="256" t="n"/>
      <c r="AL438" s="256" t="n"/>
      <c r="AM438" s="256" t="n"/>
      <c r="AN438" s="256" t="n"/>
      <c r="AO438" s="256" t="n"/>
    </row>
    <row r="439">
      <c r="A439" s="239" t="n"/>
      <c r="B439" s="239" t="n"/>
      <c r="C439" s="239" t="n"/>
      <c r="D439" s="239" t="n"/>
      <c r="E439" s="239" t="n"/>
      <c r="F439" s="239" t="n"/>
      <c r="G439" s="239" t="n"/>
      <c r="H439" s="239" t="n"/>
      <c r="I439" s="239" t="n"/>
      <c r="J439" s="239" t="n"/>
      <c r="K439" s="239" t="n"/>
      <c r="L439" s="239" t="n"/>
      <c r="M439" s="239" t="n"/>
      <c r="N439" s="239" t="n"/>
      <c r="O439" s="239" t="n"/>
      <c r="P439" s="239" t="n"/>
      <c r="Q439" s="239" t="n"/>
      <c r="R439" s="239" t="n"/>
      <c r="S439" s="239" t="n"/>
      <c r="T439" s="239" t="n"/>
      <c r="U439" s="239" t="n"/>
      <c r="V439" s="239" t="n"/>
      <c r="W439" s="239" t="n"/>
      <c r="X439" s="239" t="n"/>
      <c r="Y439" s="239" t="n"/>
      <c r="Z439" s="239" t="n"/>
      <c r="AA439" s="239" t="n"/>
      <c r="AB439" s="239" t="n"/>
      <c r="AC439" s="239" t="n"/>
      <c r="AD439" s="239" t="n"/>
      <c r="AE439" s="239" t="n"/>
      <c r="AF439" s="239" t="n"/>
      <c r="AG439" s="239" t="n"/>
      <c r="AH439" s="239" t="n"/>
      <c r="AI439" s="239" t="n"/>
      <c r="AJ439" s="239" t="n"/>
      <c r="AK439" s="239" t="n"/>
      <c r="AL439" s="239" t="n"/>
      <c r="AM439" s="239" t="n"/>
      <c r="AN439" s="239" t="n"/>
      <c r="AO439" s="239" t="n"/>
    </row>
    <row r="440">
      <c r="A440" s="256" t="n"/>
      <c r="B440" s="256" t="n"/>
      <c r="C440" s="256" t="n"/>
      <c r="D440" s="256" t="n"/>
      <c r="E440" s="256" t="n"/>
      <c r="F440" s="256" t="n"/>
      <c r="G440" s="256" t="n"/>
      <c r="H440" s="256" t="n"/>
      <c r="I440" s="256" t="n"/>
      <c r="J440" s="256" t="n"/>
      <c r="K440" s="256" t="n"/>
      <c r="L440" s="256" t="n"/>
      <c r="M440" s="256" t="n"/>
      <c r="N440" s="256" t="n"/>
      <c r="O440" s="256" t="n"/>
      <c r="P440" s="256" t="n"/>
      <c r="Q440" s="256" t="n"/>
      <c r="R440" s="256" t="n"/>
      <c r="S440" s="256" t="n"/>
      <c r="T440" s="256" t="n"/>
      <c r="U440" s="256" t="n"/>
      <c r="V440" s="256" t="n"/>
      <c r="W440" s="256" t="n"/>
      <c r="X440" s="256" t="n"/>
      <c r="Y440" s="256" t="n"/>
      <c r="Z440" s="256" t="n"/>
      <c r="AA440" s="256" t="n"/>
      <c r="AB440" s="256" t="n"/>
      <c r="AC440" s="256" t="n"/>
      <c r="AD440" s="256" t="n"/>
      <c r="AE440" s="256" t="n"/>
      <c r="AF440" s="256" t="n"/>
      <c r="AG440" s="256" t="n"/>
      <c r="AH440" s="256" t="n"/>
      <c r="AI440" s="256" t="n"/>
      <c r="AJ440" s="256" t="n"/>
      <c r="AK440" s="256" t="n"/>
      <c r="AL440" s="256" t="n"/>
      <c r="AM440" s="256" t="n"/>
      <c r="AN440" s="256" t="n"/>
      <c r="AO440" s="256" t="n"/>
    </row>
    <row r="441">
      <c r="A441" s="239" t="n"/>
      <c r="B441" s="239" t="n"/>
      <c r="C441" s="239" t="n"/>
      <c r="D441" s="239" t="n"/>
      <c r="E441" s="239" t="n"/>
      <c r="F441" s="239" t="n"/>
      <c r="G441" s="239" t="n"/>
      <c r="H441" s="239" t="n"/>
      <c r="I441" s="239" t="n"/>
      <c r="J441" s="239" t="n"/>
      <c r="K441" s="239" t="n"/>
      <c r="L441" s="239" t="n"/>
      <c r="M441" s="239" t="n"/>
      <c r="N441" s="239" t="n"/>
      <c r="O441" s="239" t="n"/>
      <c r="P441" s="239" t="n"/>
      <c r="Q441" s="239" t="n"/>
      <c r="R441" s="239" t="n"/>
      <c r="S441" s="239" t="n"/>
      <c r="T441" s="239" t="n"/>
      <c r="U441" s="239" t="n"/>
      <c r="V441" s="239" t="n"/>
      <c r="W441" s="239" t="n"/>
      <c r="X441" s="239" t="n"/>
      <c r="Y441" s="239" t="n"/>
      <c r="Z441" s="239" t="n"/>
      <c r="AA441" s="239" t="n"/>
      <c r="AB441" s="239" t="n"/>
      <c r="AC441" s="239" t="n"/>
      <c r="AD441" s="239" t="n"/>
      <c r="AE441" s="239" t="n"/>
      <c r="AF441" s="239" t="n"/>
      <c r="AG441" s="239" t="n"/>
      <c r="AH441" s="239" t="n"/>
      <c r="AI441" s="239" t="n"/>
      <c r="AJ441" s="239" t="n"/>
      <c r="AK441" s="239" t="n"/>
      <c r="AL441" s="239" t="n"/>
      <c r="AM441" s="239" t="n"/>
      <c r="AN441" s="239" t="n"/>
      <c r="AO441" s="239" t="n"/>
    </row>
    <row r="442">
      <c r="A442" s="256" t="n"/>
      <c r="B442" s="256" t="n"/>
      <c r="C442" s="256" t="n"/>
      <c r="D442" s="256" t="n"/>
      <c r="E442" s="256" t="n"/>
      <c r="F442" s="256" t="n"/>
      <c r="G442" s="256" t="n"/>
      <c r="H442" s="256" t="n"/>
      <c r="I442" s="256" t="n"/>
      <c r="J442" s="256" t="n"/>
      <c r="K442" s="256" t="n"/>
      <c r="L442" s="256" t="n"/>
      <c r="M442" s="256" t="n"/>
      <c r="N442" s="256" t="n"/>
      <c r="O442" s="256" t="n"/>
      <c r="P442" s="256" t="n"/>
      <c r="Q442" s="256" t="n"/>
      <c r="R442" s="256" t="n"/>
      <c r="S442" s="256" t="n"/>
      <c r="T442" s="256" t="n"/>
      <c r="U442" s="256" t="n"/>
      <c r="V442" s="256" t="n"/>
      <c r="W442" s="256" t="n"/>
      <c r="X442" s="256" t="n"/>
      <c r="Y442" s="256" t="n"/>
      <c r="Z442" s="256" t="n"/>
      <c r="AA442" s="256" t="n"/>
      <c r="AB442" s="256" t="n"/>
      <c r="AC442" s="256" t="n"/>
      <c r="AD442" s="256" t="n"/>
      <c r="AE442" s="256" t="n"/>
      <c r="AF442" s="256" t="n"/>
      <c r="AG442" s="256" t="n"/>
      <c r="AH442" s="256" t="n"/>
      <c r="AI442" s="256" t="n"/>
      <c r="AJ442" s="256" t="n"/>
      <c r="AK442" s="256" t="n"/>
      <c r="AL442" s="256" t="n"/>
      <c r="AM442" s="256" t="n"/>
      <c r="AN442" s="256" t="n"/>
      <c r="AO442" s="256" t="n"/>
    </row>
    <row r="443">
      <c r="A443" s="239" t="n"/>
      <c r="B443" s="239" t="n"/>
      <c r="C443" s="239" t="n"/>
      <c r="D443" s="239" t="n"/>
      <c r="E443" s="239" t="n"/>
      <c r="F443" s="239" t="n"/>
      <c r="G443" s="239" t="n"/>
      <c r="H443" s="239" t="n"/>
      <c r="I443" s="239" t="n"/>
      <c r="J443" s="239" t="n"/>
      <c r="K443" s="239" t="n"/>
      <c r="L443" s="239" t="n"/>
      <c r="M443" s="239" t="n"/>
      <c r="N443" s="239" t="n"/>
      <c r="O443" s="239" t="n"/>
      <c r="P443" s="239" t="n"/>
      <c r="Q443" s="239" t="n"/>
      <c r="R443" s="239" t="n"/>
      <c r="S443" s="239" t="n"/>
      <c r="T443" s="239" t="n"/>
      <c r="U443" s="239" t="n"/>
      <c r="V443" s="239" t="n"/>
      <c r="W443" s="239" t="n"/>
      <c r="X443" s="239" t="n"/>
      <c r="Y443" s="239" t="n"/>
      <c r="Z443" s="239" t="n"/>
      <c r="AA443" s="239" t="n"/>
      <c r="AB443" s="239" t="n"/>
      <c r="AC443" s="239" t="n"/>
      <c r="AD443" s="239" t="n"/>
      <c r="AE443" s="239" t="n"/>
      <c r="AF443" s="239" t="n"/>
      <c r="AG443" s="239" t="n"/>
      <c r="AH443" s="239" t="n"/>
      <c r="AI443" s="239" t="n"/>
      <c r="AJ443" s="239" t="n"/>
      <c r="AK443" s="239" t="n"/>
      <c r="AL443" s="239" t="n"/>
      <c r="AM443" s="239" t="n"/>
      <c r="AN443" s="239" t="n"/>
      <c r="AO443" s="239" t="n"/>
    </row>
    <row r="444">
      <c r="A444" s="256" t="n"/>
      <c r="B444" s="256" t="n"/>
      <c r="C444" s="256" t="n"/>
      <c r="D444" s="256" t="n"/>
      <c r="E444" s="256" t="n"/>
      <c r="F444" s="256" t="n"/>
      <c r="G444" s="256" t="n"/>
      <c r="H444" s="256" t="n"/>
      <c r="I444" s="256" t="n"/>
      <c r="J444" s="256" t="n"/>
      <c r="K444" s="256" t="n"/>
      <c r="L444" s="256" t="n"/>
      <c r="M444" s="256" t="n"/>
      <c r="N444" s="256" t="n"/>
      <c r="O444" s="256" t="n"/>
      <c r="P444" s="256" t="n"/>
      <c r="Q444" s="256" t="n"/>
      <c r="R444" s="256" t="n"/>
      <c r="S444" s="256" t="n"/>
      <c r="T444" s="256" t="n"/>
      <c r="U444" s="256" t="n"/>
      <c r="V444" s="256" t="n"/>
      <c r="W444" s="256" t="n"/>
      <c r="X444" s="256" t="n"/>
      <c r="Y444" s="256" t="n"/>
      <c r="Z444" s="256" t="n"/>
      <c r="AA444" s="256" t="n"/>
      <c r="AB444" s="256" t="n"/>
      <c r="AC444" s="256" t="n"/>
      <c r="AD444" s="256" t="n"/>
      <c r="AE444" s="256" t="n"/>
      <c r="AF444" s="256" t="n"/>
      <c r="AG444" s="256" t="n"/>
      <c r="AH444" s="256" t="n"/>
      <c r="AI444" s="256" t="n"/>
      <c r="AJ444" s="256" t="n"/>
      <c r="AK444" s="256" t="n"/>
      <c r="AL444" s="256" t="n"/>
      <c r="AM444" s="256" t="n"/>
      <c r="AN444" s="256" t="n"/>
      <c r="AO444" s="256" t="n"/>
    </row>
    <row r="445">
      <c r="A445" s="239" t="n"/>
      <c r="B445" s="239" t="n"/>
      <c r="C445" s="239" t="n"/>
      <c r="D445" s="239" t="n"/>
      <c r="E445" s="239" t="n"/>
      <c r="F445" s="239" t="n"/>
      <c r="G445" s="239" t="n"/>
      <c r="H445" s="239" t="n"/>
      <c r="I445" s="239" t="n"/>
      <c r="J445" s="239" t="n"/>
      <c r="K445" s="239" t="n"/>
      <c r="L445" s="239" t="n"/>
      <c r="M445" s="239" t="n"/>
      <c r="N445" s="239" t="n"/>
      <c r="O445" s="239" t="n"/>
      <c r="P445" s="239" t="n"/>
      <c r="Q445" s="239" t="n"/>
      <c r="R445" s="239" t="n"/>
      <c r="S445" s="239" t="n"/>
      <c r="T445" s="239" t="n"/>
      <c r="U445" s="239" t="n"/>
      <c r="V445" s="239" t="n"/>
      <c r="W445" s="239" t="n"/>
      <c r="X445" s="239" t="n"/>
      <c r="Y445" s="239" t="n"/>
      <c r="Z445" s="239" t="n"/>
      <c r="AA445" s="239" t="n"/>
      <c r="AB445" s="239" t="n"/>
      <c r="AC445" s="239" t="n"/>
      <c r="AD445" s="239" t="n"/>
      <c r="AE445" s="239" t="n"/>
      <c r="AF445" s="239" t="n"/>
      <c r="AG445" s="239" t="n"/>
      <c r="AH445" s="239" t="n"/>
      <c r="AI445" s="239" t="n"/>
      <c r="AJ445" s="239" t="n"/>
      <c r="AK445" s="239" t="n"/>
      <c r="AL445" s="239" t="n"/>
      <c r="AM445" s="239" t="n"/>
      <c r="AN445" s="239" t="n"/>
      <c r="AO445" s="239" t="n"/>
    </row>
    <row r="446">
      <c r="A446" s="256" t="n"/>
      <c r="B446" s="256" t="n"/>
      <c r="C446" s="256" t="n"/>
      <c r="D446" s="256" t="n"/>
      <c r="E446" s="256" t="n"/>
      <c r="F446" s="256" t="n"/>
      <c r="G446" s="256" t="n"/>
      <c r="H446" s="256" t="n"/>
      <c r="I446" s="256" t="n"/>
      <c r="J446" s="256" t="n"/>
      <c r="K446" s="256" t="n"/>
      <c r="L446" s="256" t="n"/>
      <c r="M446" s="256" t="n"/>
      <c r="N446" s="256" t="n"/>
      <c r="O446" s="256" t="n"/>
      <c r="P446" s="256" t="n"/>
      <c r="Q446" s="256" t="n"/>
      <c r="R446" s="256" t="n"/>
      <c r="S446" s="256" t="n"/>
      <c r="T446" s="256" t="n"/>
      <c r="U446" s="256" t="n"/>
      <c r="V446" s="256" t="n"/>
      <c r="W446" s="256" t="n"/>
      <c r="X446" s="256" t="n"/>
      <c r="Y446" s="256" t="n"/>
      <c r="Z446" s="256" t="n"/>
      <c r="AA446" s="256" t="n"/>
      <c r="AB446" s="256" t="n"/>
      <c r="AC446" s="256" t="n"/>
      <c r="AD446" s="256" t="n"/>
      <c r="AE446" s="256" t="n"/>
      <c r="AF446" s="256" t="n"/>
      <c r="AG446" s="256" t="n"/>
      <c r="AH446" s="256" t="n"/>
      <c r="AI446" s="256" t="n"/>
      <c r="AJ446" s="256" t="n"/>
      <c r="AK446" s="256" t="n"/>
      <c r="AL446" s="256" t="n"/>
      <c r="AM446" s="256" t="n"/>
      <c r="AN446" s="256" t="n"/>
      <c r="AO446" s="256" t="n"/>
    </row>
    <row r="447">
      <c r="A447" s="239" t="n"/>
      <c r="B447" s="239" t="n"/>
      <c r="C447" s="239" t="n"/>
      <c r="D447" s="239" t="n"/>
      <c r="E447" s="239" t="n"/>
      <c r="F447" s="239" t="n"/>
      <c r="G447" s="239" t="n"/>
      <c r="H447" s="239" t="n"/>
      <c r="I447" s="239" t="n"/>
      <c r="J447" s="239" t="n"/>
      <c r="K447" s="239" t="n"/>
      <c r="L447" s="239" t="n"/>
      <c r="M447" s="239" t="n"/>
      <c r="N447" s="239" t="n"/>
      <c r="O447" s="239" t="n"/>
      <c r="P447" s="239" t="n"/>
      <c r="Q447" s="239" t="n"/>
      <c r="R447" s="239" t="n"/>
      <c r="S447" s="239" t="n"/>
      <c r="T447" s="239" t="n"/>
      <c r="U447" s="239" t="n"/>
      <c r="V447" s="239" t="n"/>
      <c r="W447" s="239" t="n"/>
      <c r="X447" s="239" t="n"/>
      <c r="Y447" s="239" t="n"/>
      <c r="Z447" s="239" t="n"/>
      <c r="AA447" s="239" t="n"/>
      <c r="AB447" s="239" t="n"/>
      <c r="AC447" s="239" t="n"/>
      <c r="AD447" s="239" t="n"/>
      <c r="AE447" s="239" t="n"/>
      <c r="AF447" s="239" t="n"/>
      <c r="AG447" s="239" t="n"/>
      <c r="AH447" s="239" t="n"/>
      <c r="AI447" s="239" t="n"/>
      <c r="AJ447" s="239" t="n"/>
      <c r="AK447" s="239" t="n"/>
      <c r="AL447" s="239" t="n"/>
      <c r="AM447" s="239" t="n"/>
      <c r="AN447" s="239" t="n"/>
      <c r="AO447" s="239" t="n"/>
    </row>
    <row r="448">
      <c r="A448" s="256" t="n"/>
      <c r="B448" s="256" t="n"/>
      <c r="C448" s="256" t="n"/>
      <c r="D448" s="256" t="n"/>
      <c r="E448" s="256" t="n"/>
      <c r="F448" s="256" t="n"/>
      <c r="G448" s="256" t="n"/>
      <c r="H448" s="256" t="n"/>
      <c r="I448" s="256" t="n"/>
      <c r="J448" s="256" t="n"/>
      <c r="K448" s="256" t="n"/>
      <c r="L448" s="256" t="n"/>
      <c r="M448" s="256" t="n"/>
      <c r="N448" s="256" t="n"/>
      <c r="O448" s="256" t="n"/>
      <c r="P448" s="256" t="n"/>
      <c r="Q448" s="256" t="n"/>
      <c r="R448" s="256" t="n"/>
      <c r="S448" s="256" t="n"/>
      <c r="T448" s="256" t="n"/>
      <c r="U448" s="256" t="n"/>
      <c r="V448" s="256" t="n"/>
      <c r="W448" s="256" t="n"/>
      <c r="X448" s="256" t="n"/>
      <c r="Y448" s="256" t="n"/>
      <c r="Z448" s="256" t="n"/>
      <c r="AA448" s="256" t="n"/>
      <c r="AB448" s="256" t="n"/>
      <c r="AC448" s="256" t="n"/>
      <c r="AD448" s="256" t="n"/>
      <c r="AE448" s="256" t="n"/>
      <c r="AF448" s="256" t="n"/>
      <c r="AG448" s="256" t="n"/>
      <c r="AH448" s="256" t="n"/>
      <c r="AI448" s="256" t="n"/>
      <c r="AJ448" s="256" t="n"/>
      <c r="AK448" s="256" t="n"/>
      <c r="AL448" s="256" t="n"/>
      <c r="AM448" s="256" t="n"/>
      <c r="AN448" s="256" t="n"/>
      <c r="AO448" s="256" t="n"/>
    </row>
    <row r="449">
      <c r="A449" s="239" t="n"/>
      <c r="B449" s="239" t="n"/>
      <c r="C449" s="239" t="n"/>
      <c r="D449" s="239" t="n"/>
      <c r="E449" s="239" t="n"/>
      <c r="F449" s="239" t="n"/>
      <c r="G449" s="239" t="n"/>
      <c r="H449" s="239" t="n"/>
      <c r="I449" s="239" t="n"/>
      <c r="J449" s="239" t="n"/>
      <c r="K449" s="239" t="n"/>
      <c r="L449" s="239" t="n"/>
      <c r="M449" s="239" t="n"/>
      <c r="N449" s="239" t="n"/>
      <c r="O449" s="239" t="n"/>
      <c r="P449" s="239" t="n"/>
      <c r="Q449" s="239" t="n"/>
      <c r="R449" s="239" t="n"/>
      <c r="S449" s="239" t="n"/>
      <c r="T449" s="239" t="n"/>
      <c r="U449" s="239" t="n"/>
      <c r="V449" s="239" t="n"/>
      <c r="W449" s="239" t="n"/>
      <c r="X449" s="239" t="n"/>
      <c r="Y449" s="239" t="n"/>
      <c r="Z449" s="239" t="n"/>
      <c r="AA449" s="239" t="n"/>
      <c r="AB449" s="239" t="n"/>
      <c r="AC449" s="239" t="n"/>
      <c r="AD449" s="239" t="n"/>
      <c r="AE449" s="239" t="n"/>
      <c r="AF449" s="239" t="n"/>
      <c r="AG449" s="239" t="n"/>
      <c r="AH449" s="239" t="n"/>
      <c r="AI449" s="239" t="n"/>
      <c r="AJ449" s="239" t="n"/>
      <c r="AK449" s="239" t="n"/>
      <c r="AL449" s="239" t="n"/>
      <c r="AM449" s="239" t="n"/>
      <c r="AN449" s="239" t="n"/>
      <c r="AO449" s="239" t="n"/>
    </row>
    <row r="450">
      <c r="A450" s="256" t="n"/>
      <c r="B450" s="256" t="n"/>
      <c r="C450" s="256" t="n"/>
      <c r="D450" s="256" t="n"/>
      <c r="E450" s="256" t="n"/>
      <c r="F450" s="256" t="n"/>
      <c r="G450" s="256" t="n"/>
      <c r="H450" s="256" t="n"/>
      <c r="I450" s="256" t="n"/>
      <c r="J450" s="256" t="n"/>
      <c r="K450" s="256" t="n"/>
      <c r="L450" s="256" t="n"/>
      <c r="M450" s="256" t="n"/>
      <c r="N450" s="256" t="n"/>
      <c r="O450" s="256" t="n"/>
      <c r="P450" s="256" t="n"/>
      <c r="Q450" s="256" t="n"/>
      <c r="R450" s="256" t="n"/>
      <c r="S450" s="256" t="n"/>
      <c r="T450" s="256" t="n"/>
      <c r="U450" s="256" t="n"/>
      <c r="V450" s="256" t="n"/>
      <c r="W450" s="256" t="n"/>
      <c r="X450" s="256" t="n"/>
      <c r="Y450" s="256" t="n"/>
      <c r="Z450" s="256" t="n"/>
      <c r="AA450" s="256" t="n"/>
      <c r="AB450" s="256" t="n"/>
      <c r="AC450" s="256" t="n"/>
      <c r="AD450" s="256" t="n"/>
      <c r="AE450" s="256" t="n"/>
      <c r="AF450" s="256" t="n"/>
      <c r="AG450" s="256" t="n"/>
      <c r="AH450" s="256" t="n"/>
      <c r="AI450" s="256" t="n"/>
      <c r="AJ450" s="256" t="n"/>
      <c r="AK450" s="256" t="n"/>
      <c r="AL450" s="256" t="n"/>
      <c r="AM450" s="256" t="n"/>
      <c r="AN450" s="256" t="n"/>
      <c r="AO450" s="256" t="n"/>
    </row>
    <row r="451">
      <c r="A451" s="239" t="n"/>
      <c r="B451" s="239" t="n"/>
      <c r="C451" s="239" t="n"/>
      <c r="D451" s="239" t="n"/>
      <c r="E451" s="239" t="n"/>
      <c r="F451" s="239" t="n"/>
      <c r="G451" s="239" t="n"/>
      <c r="H451" s="239" t="n"/>
      <c r="I451" s="239" t="n"/>
      <c r="J451" s="239" t="n"/>
      <c r="K451" s="239" t="n"/>
      <c r="L451" s="239" t="n"/>
      <c r="M451" s="239" t="n"/>
      <c r="N451" s="239" t="n"/>
      <c r="O451" s="239" t="n"/>
      <c r="P451" s="239" t="n"/>
      <c r="Q451" s="239" t="n"/>
      <c r="R451" s="239" t="n"/>
      <c r="S451" s="239" t="n"/>
      <c r="T451" s="239" t="n"/>
      <c r="U451" s="239" t="n"/>
      <c r="V451" s="239" t="n"/>
      <c r="W451" s="239" t="n"/>
      <c r="X451" s="239" t="n"/>
      <c r="Y451" s="239" t="n"/>
      <c r="Z451" s="239" t="n"/>
      <c r="AA451" s="239" t="n"/>
      <c r="AB451" s="239" t="n"/>
      <c r="AC451" s="239" t="n"/>
      <c r="AD451" s="239" t="n"/>
      <c r="AE451" s="239" t="n"/>
      <c r="AF451" s="239" t="n"/>
      <c r="AG451" s="239" t="n"/>
      <c r="AH451" s="239" t="n"/>
      <c r="AI451" s="239" t="n"/>
      <c r="AJ451" s="239" t="n"/>
      <c r="AK451" s="239" t="n"/>
      <c r="AL451" s="239" t="n"/>
      <c r="AM451" s="239" t="n"/>
      <c r="AN451" s="239" t="n"/>
      <c r="AO451" s="239" t="n"/>
    </row>
    <row r="452">
      <c r="A452" s="256" t="n"/>
      <c r="B452" s="256" t="n"/>
      <c r="C452" s="256" t="n"/>
      <c r="D452" s="256" t="n"/>
      <c r="E452" s="256" t="n"/>
      <c r="F452" s="256" t="n"/>
      <c r="G452" s="256" t="n"/>
      <c r="H452" s="256" t="n"/>
      <c r="I452" s="256" t="n"/>
      <c r="J452" s="256" t="n"/>
      <c r="K452" s="256" t="n"/>
      <c r="L452" s="256" t="n"/>
      <c r="M452" s="256" t="n"/>
      <c r="N452" s="256" t="n"/>
      <c r="O452" s="256" t="n"/>
      <c r="P452" s="256" t="n"/>
      <c r="Q452" s="256" t="n"/>
      <c r="R452" s="256" t="n"/>
      <c r="S452" s="256" t="n"/>
      <c r="T452" s="256" t="n"/>
      <c r="U452" s="256" t="n"/>
      <c r="V452" s="256" t="n"/>
      <c r="W452" s="256" t="n"/>
      <c r="X452" s="256" t="n"/>
      <c r="Y452" s="256" t="n"/>
      <c r="Z452" s="256" t="n"/>
      <c r="AA452" s="256" t="n"/>
      <c r="AB452" s="256" t="n"/>
      <c r="AC452" s="256" t="n"/>
      <c r="AD452" s="256" t="n"/>
      <c r="AE452" s="256" t="n"/>
      <c r="AF452" s="256" t="n"/>
      <c r="AG452" s="256" t="n"/>
      <c r="AH452" s="256" t="n"/>
      <c r="AI452" s="256" t="n"/>
      <c r="AJ452" s="256" t="n"/>
      <c r="AK452" s="256" t="n"/>
      <c r="AL452" s="256" t="n"/>
      <c r="AM452" s="256" t="n"/>
      <c r="AN452" s="256" t="n"/>
      <c r="AO452" s="256" t="n"/>
    </row>
    <row r="453">
      <c r="A453" s="239" t="n"/>
      <c r="B453" s="239" t="n"/>
      <c r="C453" s="239" t="n"/>
      <c r="D453" s="239" t="n"/>
      <c r="E453" s="239" t="n"/>
      <c r="F453" s="239" t="n"/>
      <c r="G453" s="239" t="n"/>
      <c r="H453" s="239" t="n"/>
      <c r="I453" s="239" t="n"/>
      <c r="J453" s="239" t="n"/>
      <c r="K453" s="239" t="n"/>
      <c r="L453" s="239" t="n"/>
      <c r="M453" s="239" t="n"/>
      <c r="N453" s="239" t="n"/>
      <c r="O453" s="239" t="n"/>
      <c r="P453" s="239" t="n"/>
      <c r="Q453" s="239" t="n"/>
      <c r="R453" s="239" t="n"/>
      <c r="S453" s="239" t="n"/>
      <c r="T453" s="239" t="n"/>
      <c r="U453" s="239" t="n"/>
      <c r="V453" s="239" t="n"/>
      <c r="W453" s="239" t="n"/>
      <c r="X453" s="239" t="n"/>
      <c r="Y453" s="239" t="n"/>
      <c r="Z453" s="239" t="n"/>
      <c r="AA453" s="239" t="n"/>
      <c r="AB453" s="239" t="n"/>
      <c r="AC453" s="239" t="n"/>
      <c r="AD453" s="239" t="n"/>
      <c r="AE453" s="239" t="n"/>
      <c r="AF453" s="239" t="n"/>
      <c r="AG453" s="239" t="n"/>
      <c r="AH453" s="239" t="n"/>
      <c r="AI453" s="239" t="n"/>
      <c r="AJ453" s="239" t="n"/>
      <c r="AK453" s="239" t="n"/>
      <c r="AL453" s="239" t="n"/>
      <c r="AM453" s="239" t="n"/>
      <c r="AN453" s="239" t="n"/>
      <c r="AO453" s="239" t="n"/>
    </row>
    <row r="454">
      <c r="A454" s="256" t="n"/>
      <c r="B454" s="256" t="n"/>
      <c r="C454" s="256" t="n"/>
      <c r="D454" s="256" t="n"/>
      <c r="E454" s="256" t="n"/>
      <c r="F454" s="256" t="n"/>
      <c r="G454" s="256" t="n"/>
      <c r="H454" s="256" t="n"/>
      <c r="I454" s="256" t="n"/>
      <c r="J454" s="256" t="n"/>
      <c r="K454" s="256" t="n"/>
      <c r="L454" s="256" t="n"/>
      <c r="M454" s="256" t="n"/>
      <c r="N454" s="256" t="n"/>
      <c r="O454" s="256" t="n"/>
      <c r="P454" s="256" t="n"/>
      <c r="Q454" s="256" t="n"/>
      <c r="R454" s="256" t="n"/>
      <c r="S454" s="256" t="n"/>
      <c r="T454" s="256" t="n"/>
      <c r="U454" s="256" t="n"/>
      <c r="V454" s="256" t="n"/>
      <c r="W454" s="256" t="n"/>
      <c r="X454" s="256" t="n"/>
      <c r="Y454" s="256" t="n"/>
      <c r="Z454" s="256" t="n"/>
      <c r="AA454" s="256" t="n"/>
      <c r="AB454" s="256" t="n"/>
      <c r="AC454" s="256" t="n"/>
      <c r="AD454" s="256" t="n"/>
      <c r="AE454" s="256" t="n"/>
      <c r="AF454" s="256" t="n"/>
      <c r="AG454" s="256" t="n"/>
      <c r="AH454" s="256" t="n"/>
      <c r="AI454" s="256" t="n"/>
      <c r="AJ454" s="256" t="n"/>
      <c r="AK454" s="256" t="n"/>
      <c r="AL454" s="256" t="n"/>
      <c r="AM454" s="256" t="n"/>
      <c r="AN454" s="256" t="n"/>
      <c r="AO454" s="256" t="n"/>
    </row>
    <row r="455">
      <c r="A455" s="239" t="n"/>
      <c r="B455" s="239" t="n"/>
      <c r="C455" s="239" t="n"/>
      <c r="D455" s="239" t="n"/>
      <c r="E455" s="239" t="n"/>
      <c r="F455" s="239" t="n"/>
      <c r="G455" s="239" t="n"/>
      <c r="H455" s="239" t="n"/>
      <c r="I455" s="239" t="n"/>
      <c r="J455" s="239" t="n"/>
      <c r="K455" s="239" t="n"/>
      <c r="L455" s="239" t="n"/>
      <c r="M455" s="239" t="n"/>
      <c r="N455" s="239" t="n"/>
      <c r="O455" s="239" t="n"/>
      <c r="P455" s="239" t="n"/>
      <c r="Q455" s="239" t="n"/>
      <c r="R455" s="239" t="n"/>
      <c r="S455" s="239" t="n"/>
      <c r="T455" s="239" t="n"/>
      <c r="U455" s="239" t="n"/>
      <c r="V455" s="239" t="n"/>
      <c r="W455" s="239" t="n"/>
      <c r="X455" s="239" t="n"/>
      <c r="Y455" s="239" t="n"/>
      <c r="Z455" s="239" t="n"/>
      <c r="AA455" s="239" t="n"/>
      <c r="AB455" s="239" t="n"/>
      <c r="AC455" s="239" t="n"/>
      <c r="AD455" s="239" t="n"/>
      <c r="AE455" s="239" t="n"/>
      <c r="AF455" s="239" t="n"/>
      <c r="AG455" s="239" t="n"/>
      <c r="AH455" s="239" t="n"/>
      <c r="AI455" s="239" t="n"/>
      <c r="AJ455" s="239" t="n"/>
      <c r="AK455" s="239" t="n"/>
      <c r="AL455" s="239" t="n"/>
      <c r="AM455" s="239" t="n"/>
      <c r="AN455" s="239" t="n"/>
      <c r="AO455" s="239" t="n"/>
    </row>
    <row r="456">
      <c r="A456" s="256" t="n"/>
      <c r="B456" s="256" t="n"/>
      <c r="C456" s="256" t="n"/>
      <c r="D456" s="256" t="n"/>
      <c r="E456" s="256" t="n"/>
      <c r="F456" s="256" t="n"/>
      <c r="G456" s="256" t="n"/>
      <c r="H456" s="256" t="n"/>
      <c r="I456" s="256" t="n"/>
      <c r="J456" s="256" t="n"/>
      <c r="K456" s="256" t="n"/>
      <c r="L456" s="256" t="n"/>
      <c r="M456" s="256" t="n"/>
      <c r="N456" s="256" t="n"/>
      <c r="O456" s="256" t="n"/>
      <c r="P456" s="256" t="n"/>
      <c r="Q456" s="256" t="n"/>
      <c r="R456" s="256" t="n"/>
      <c r="S456" s="256" t="n"/>
      <c r="T456" s="256" t="n"/>
      <c r="U456" s="256" t="n"/>
      <c r="V456" s="256" t="n"/>
      <c r="W456" s="256" t="n"/>
      <c r="X456" s="256" t="n"/>
      <c r="Y456" s="256" t="n"/>
      <c r="Z456" s="256" t="n"/>
      <c r="AA456" s="256" t="n"/>
      <c r="AB456" s="256" t="n"/>
      <c r="AC456" s="256" t="n"/>
      <c r="AD456" s="256" t="n"/>
      <c r="AE456" s="256" t="n"/>
      <c r="AF456" s="256" t="n"/>
      <c r="AG456" s="256" t="n"/>
      <c r="AH456" s="256" t="n"/>
      <c r="AI456" s="256" t="n"/>
      <c r="AJ456" s="256" t="n"/>
      <c r="AK456" s="256" t="n"/>
      <c r="AL456" s="256" t="n"/>
      <c r="AM456" s="256" t="n"/>
      <c r="AN456" s="256" t="n"/>
      <c r="AO456" s="256" t="n"/>
    </row>
    <row r="457">
      <c r="A457" s="239" t="n"/>
      <c r="B457" s="239" t="n"/>
      <c r="C457" s="239" t="n"/>
      <c r="D457" s="239" t="n"/>
      <c r="E457" s="239" t="n"/>
      <c r="F457" s="239" t="n"/>
      <c r="G457" s="239" t="n"/>
      <c r="H457" s="239" t="n"/>
      <c r="I457" s="239" t="n"/>
      <c r="J457" s="239" t="n"/>
      <c r="K457" s="239" t="n"/>
      <c r="L457" s="239" t="n"/>
      <c r="M457" s="239" t="n"/>
      <c r="N457" s="239" t="n"/>
      <c r="O457" s="239" t="n"/>
      <c r="P457" s="239" t="n"/>
      <c r="Q457" s="239" t="n"/>
      <c r="R457" s="239" t="n"/>
      <c r="S457" s="239" t="n"/>
      <c r="T457" s="239" t="n"/>
      <c r="U457" s="239" t="n"/>
      <c r="V457" s="239" t="n"/>
      <c r="W457" s="239" t="n"/>
      <c r="X457" s="239" t="n"/>
      <c r="Y457" s="239" t="n"/>
      <c r="Z457" s="239" t="n"/>
      <c r="AA457" s="239" t="n"/>
      <c r="AB457" s="239" t="n"/>
      <c r="AC457" s="239" t="n"/>
      <c r="AD457" s="239" t="n"/>
      <c r="AE457" s="239" t="n"/>
      <c r="AF457" s="239" t="n"/>
      <c r="AG457" s="239" t="n"/>
      <c r="AH457" s="239" t="n"/>
      <c r="AI457" s="239" t="n"/>
      <c r="AJ457" s="239" t="n"/>
      <c r="AK457" s="239" t="n"/>
      <c r="AL457" s="239" t="n"/>
      <c r="AM457" s="239" t="n"/>
      <c r="AN457" s="239" t="n"/>
      <c r="AO457" s="239" t="n"/>
    </row>
    <row r="458">
      <c r="A458" s="256" t="n"/>
      <c r="B458" s="256" t="n"/>
      <c r="C458" s="256" t="n"/>
      <c r="D458" s="256" t="n"/>
      <c r="E458" s="256" t="n"/>
      <c r="F458" s="256" t="n"/>
      <c r="G458" s="256" t="n"/>
      <c r="H458" s="256" t="n"/>
      <c r="I458" s="256" t="n"/>
      <c r="J458" s="256" t="n"/>
      <c r="K458" s="256" t="n"/>
      <c r="L458" s="256" t="n"/>
      <c r="M458" s="256" t="n"/>
      <c r="N458" s="256" t="n"/>
      <c r="O458" s="256" t="n"/>
      <c r="P458" s="256" t="n"/>
      <c r="Q458" s="256" t="n"/>
      <c r="R458" s="256" t="n"/>
      <c r="S458" s="256" t="n"/>
      <c r="T458" s="256" t="n"/>
      <c r="U458" s="256" t="n"/>
      <c r="V458" s="256" t="n"/>
      <c r="W458" s="256" t="n"/>
      <c r="X458" s="256" t="n"/>
      <c r="Y458" s="256" t="n"/>
      <c r="Z458" s="256" t="n"/>
      <c r="AA458" s="256" t="n"/>
      <c r="AB458" s="256" t="n"/>
      <c r="AC458" s="256" t="n"/>
      <c r="AD458" s="256" t="n"/>
      <c r="AE458" s="256" t="n"/>
      <c r="AF458" s="256" t="n"/>
      <c r="AG458" s="256" t="n"/>
      <c r="AH458" s="256" t="n"/>
      <c r="AI458" s="256" t="n"/>
      <c r="AJ458" s="256" t="n"/>
      <c r="AK458" s="256" t="n"/>
      <c r="AL458" s="256" t="n"/>
      <c r="AM458" s="256" t="n"/>
      <c r="AN458" s="256" t="n"/>
      <c r="AO458" s="256" t="n"/>
    </row>
    <row r="459">
      <c r="A459" s="239" t="n"/>
      <c r="B459" s="239" t="n"/>
      <c r="C459" s="239" t="n"/>
      <c r="D459" s="239" t="n"/>
      <c r="E459" s="239" t="n"/>
      <c r="F459" s="239" t="n"/>
      <c r="G459" s="239" t="n"/>
      <c r="H459" s="239" t="n"/>
      <c r="I459" s="239" t="n"/>
      <c r="J459" s="239" t="n"/>
      <c r="K459" s="239" t="n"/>
      <c r="L459" s="239" t="n"/>
      <c r="M459" s="239" t="n"/>
      <c r="N459" s="239" t="n"/>
      <c r="O459" s="239" t="n"/>
      <c r="P459" s="239" t="n"/>
      <c r="Q459" s="239" t="n"/>
      <c r="R459" s="239" t="n"/>
      <c r="S459" s="239" t="n"/>
      <c r="T459" s="239" t="n"/>
      <c r="U459" s="239" t="n"/>
      <c r="V459" s="239" t="n"/>
      <c r="W459" s="239" t="n"/>
      <c r="X459" s="239" t="n"/>
      <c r="Y459" s="239" t="n"/>
      <c r="Z459" s="239" t="n"/>
      <c r="AA459" s="239" t="n"/>
      <c r="AB459" s="239" t="n"/>
      <c r="AC459" s="239" t="n"/>
      <c r="AD459" s="239" t="n"/>
      <c r="AE459" s="239" t="n"/>
      <c r="AF459" s="239" t="n"/>
      <c r="AG459" s="239" t="n"/>
      <c r="AH459" s="239" t="n"/>
      <c r="AI459" s="239" t="n"/>
      <c r="AJ459" s="239" t="n"/>
      <c r="AK459" s="239" t="n"/>
      <c r="AL459" s="239" t="n"/>
      <c r="AM459" s="239" t="n"/>
      <c r="AN459" s="239" t="n"/>
      <c r="AO459" s="239" t="n"/>
    </row>
    <row r="460">
      <c r="A460" s="256" t="n"/>
      <c r="B460" s="256" t="n"/>
      <c r="C460" s="256" t="n"/>
      <c r="D460" s="256" t="n"/>
      <c r="E460" s="256" t="n"/>
      <c r="F460" s="256" t="n"/>
      <c r="G460" s="256" t="n"/>
      <c r="H460" s="256" t="n"/>
      <c r="I460" s="256" t="n"/>
      <c r="J460" s="256" t="n"/>
      <c r="K460" s="256" t="n"/>
      <c r="L460" s="256" t="n"/>
      <c r="M460" s="256" t="n"/>
      <c r="N460" s="256" t="n"/>
      <c r="O460" s="256" t="n"/>
      <c r="P460" s="256" t="n"/>
      <c r="Q460" s="256" t="n"/>
      <c r="R460" s="256" t="n"/>
      <c r="S460" s="256" t="n"/>
      <c r="T460" s="256" t="n"/>
      <c r="U460" s="256" t="n"/>
      <c r="V460" s="256" t="n"/>
      <c r="W460" s="256" t="n"/>
      <c r="X460" s="256" t="n"/>
      <c r="Y460" s="256" t="n"/>
      <c r="Z460" s="256" t="n"/>
      <c r="AA460" s="256" t="n"/>
      <c r="AB460" s="256" t="n"/>
      <c r="AC460" s="256" t="n"/>
      <c r="AD460" s="256" t="n"/>
      <c r="AE460" s="256" t="n"/>
      <c r="AF460" s="256" t="n"/>
      <c r="AG460" s="256" t="n"/>
      <c r="AH460" s="256" t="n"/>
      <c r="AI460" s="256" t="n"/>
      <c r="AJ460" s="256" t="n"/>
      <c r="AK460" s="256" t="n"/>
      <c r="AL460" s="256" t="n"/>
      <c r="AM460" s="256" t="n"/>
      <c r="AN460" s="256" t="n"/>
      <c r="AO460" s="256" t="n"/>
    </row>
    <row r="461">
      <c r="A461" s="239" t="n"/>
      <c r="B461" s="239" t="n"/>
      <c r="C461" s="239" t="n"/>
      <c r="D461" s="239" t="n"/>
      <c r="E461" s="239" t="n"/>
      <c r="F461" s="239" t="n"/>
      <c r="G461" s="239" t="n"/>
      <c r="H461" s="239" t="n"/>
      <c r="I461" s="239" t="n"/>
      <c r="J461" s="239" t="n"/>
      <c r="K461" s="239" t="n"/>
      <c r="L461" s="239" t="n"/>
      <c r="M461" s="239" t="n"/>
      <c r="N461" s="239" t="n"/>
      <c r="O461" s="239" t="n"/>
      <c r="P461" s="239" t="n"/>
      <c r="Q461" s="239" t="n"/>
      <c r="R461" s="239" t="n"/>
      <c r="S461" s="239" t="n"/>
      <c r="T461" s="239" t="n"/>
      <c r="U461" s="239" t="n"/>
      <c r="V461" s="239" t="n"/>
      <c r="W461" s="239" t="n"/>
      <c r="X461" s="239" t="n"/>
      <c r="Y461" s="239" t="n"/>
      <c r="Z461" s="239" t="n"/>
      <c r="AA461" s="239" t="n"/>
      <c r="AB461" s="239" t="n"/>
      <c r="AC461" s="239" t="n"/>
      <c r="AD461" s="239" t="n"/>
      <c r="AE461" s="239" t="n"/>
      <c r="AF461" s="239" t="n"/>
      <c r="AG461" s="239" t="n"/>
      <c r="AH461" s="239" t="n"/>
      <c r="AI461" s="239" t="n"/>
      <c r="AJ461" s="239" t="n"/>
      <c r="AK461" s="239" t="n"/>
      <c r="AL461" s="239" t="n"/>
      <c r="AM461" s="239" t="n"/>
      <c r="AN461" s="239" t="n"/>
      <c r="AO461" s="239" t="n"/>
    </row>
    <row r="462">
      <c r="A462" s="256" t="n"/>
      <c r="B462" s="256" t="n"/>
      <c r="C462" s="256" t="n"/>
      <c r="D462" s="256" t="n"/>
      <c r="E462" s="256" t="n"/>
      <c r="F462" s="256" t="n"/>
      <c r="G462" s="256" t="n"/>
      <c r="H462" s="256" t="n"/>
      <c r="I462" s="256" t="n"/>
      <c r="J462" s="256" t="n"/>
      <c r="K462" s="256" t="n"/>
      <c r="L462" s="256" t="n"/>
      <c r="M462" s="256" t="n"/>
      <c r="N462" s="256" t="n"/>
      <c r="O462" s="256" t="n"/>
      <c r="P462" s="256" t="n"/>
      <c r="Q462" s="256" t="n"/>
      <c r="R462" s="256" t="n"/>
      <c r="S462" s="256" t="n"/>
      <c r="T462" s="256" t="n"/>
      <c r="U462" s="256" t="n"/>
      <c r="V462" s="256" t="n"/>
      <c r="W462" s="256" t="n"/>
      <c r="X462" s="256" t="n"/>
      <c r="Y462" s="256" t="n"/>
      <c r="Z462" s="256" t="n"/>
      <c r="AA462" s="256" t="n"/>
      <c r="AB462" s="256" t="n"/>
      <c r="AC462" s="256" t="n"/>
      <c r="AD462" s="256" t="n"/>
      <c r="AE462" s="256" t="n"/>
      <c r="AF462" s="256" t="n"/>
      <c r="AG462" s="256" t="n"/>
      <c r="AH462" s="256" t="n"/>
      <c r="AI462" s="256" t="n"/>
      <c r="AJ462" s="256" t="n"/>
      <c r="AK462" s="256" t="n"/>
      <c r="AL462" s="256" t="n"/>
      <c r="AM462" s="256" t="n"/>
      <c r="AN462" s="256" t="n"/>
      <c r="AO462" s="256" t="n"/>
    </row>
    <row r="463">
      <c r="A463" s="239" t="n"/>
      <c r="B463" s="239" t="n"/>
      <c r="C463" s="239" t="n"/>
      <c r="D463" s="239" t="n"/>
      <c r="E463" s="239" t="n"/>
      <c r="F463" s="239" t="n"/>
      <c r="G463" s="239" t="n"/>
      <c r="H463" s="239" t="n"/>
      <c r="I463" s="239" t="n"/>
      <c r="J463" s="239" t="n"/>
      <c r="K463" s="239" t="n"/>
      <c r="L463" s="239" t="n"/>
      <c r="M463" s="239" t="n"/>
      <c r="N463" s="239" t="n"/>
      <c r="O463" s="239" t="n"/>
      <c r="P463" s="239" t="n"/>
      <c r="Q463" s="239" t="n"/>
      <c r="R463" s="239" t="n"/>
      <c r="S463" s="239" t="n"/>
      <c r="T463" s="239" t="n"/>
      <c r="U463" s="239" t="n"/>
      <c r="V463" s="239" t="n"/>
      <c r="W463" s="239" t="n"/>
      <c r="X463" s="239" t="n"/>
      <c r="Y463" s="239" t="n"/>
      <c r="Z463" s="239" t="n"/>
      <c r="AA463" s="239" t="n"/>
      <c r="AB463" s="239" t="n"/>
      <c r="AC463" s="239" t="n"/>
      <c r="AD463" s="239" t="n"/>
      <c r="AE463" s="239" t="n"/>
      <c r="AF463" s="239" t="n"/>
      <c r="AG463" s="239" t="n"/>
      <c r="AH463" s="239" t="n"/>
      <c r="AI463" s="239" t="n"/>
      <c r="AJ463" s="239" t="n"/>
      <c r="AK463" s="239" t="n"/>
      <c r="AL463" s="239" t="n"/>
      <c r="AM463" s="239" t="n"/>
      <c r="AN463" s="239" t="n"/>
      <c r="AO463" s="239" t="n"/>
    </row>
    <row r="464">
      <c r="A464" s="256" t="n"/>
      <c r="B464" s="256" t="n"/>
      <c r="C464" s="256" t="n"/>
      <c r="D464" s="256" t="n"/>
      <c r="E464" s="256" t="n"/>
      <c r="F464" s="256" t="n"/>
      <c r="G464" s="256" t="n"/>
      <c r="H464" s="256" t="n"/>
      <c r="I464" s="256" t="n"/>
      <c r="J464" s="256" t="n"/>
      <c r="K464" s="256" t="n"/>
      <c r="L464" s="256" t="n"/>
      <c r="M464" s="256" t="n"/>
      <c r="N464" s="256" t="n"/>
      <c r="O464" s="256" t="n"/>
      <c r="P464" s="256" t="n"/>
      <c r="Q464" s="256" t="n"/>
      <c r="R464" s="256" t="n"/>
      <c r="S464" s="256" t="n"/>
      <c r="T464" s="256" t="n"/>
      <c r="U464" s="256" t="n"/>
      <c r="V464" s="256" t="n"/>
      <c r="W464" s="256" t="n"/>
      <c r="X464" s="256" t="n"/>
      <c r="Y464" s="256" t="n"/>
      <c r="Z464" s="256" t="n"/>
      <c r="AA464" s="256" t="n"/>
      <c r="AB464" s="256" t="n"/>
      <c r="AC464" s="256" t="n"/>
      <c r="AD464" s="256" t="n"/>
      <c r="AE464" s="256" t="n"/>
      <c r="AF464" s="256" t="n"/>
      <c r="AG464" s="256" t="n"/>
      <c r="AH464" s="256" t="n"/>
      <c r="AI464" s="256" t="n"/>
      <c r="AJ464" s="256" t="n"/>
      <c r="AK464" s="256" t="n"/>
      <c r="AL464" s="256" t="n"/>
      <c r="AM464" s="256" t="n"/>
      <c r="AN464" s="256" t="n"/>
      <c r="AO464" s="256" t="n"/>
    </row>
    <row r="465">
      <c r="A465" s="239" t="n"/>
      <c r="B465" s="239" t="n"/>
      <c r="C465" s="239" t="n"/>
      <c r="D465" s="239" t="n"/>
      <c r="E465" s="239" t="n"/>
      <c r="F465" s="239" t="n"/>
      <c r="G465" s="239" t="n"/>
      <c r="H465" s="239" t="n"/>
      <c r="I465" s="239" t="n"/>
      <c r="J465" s="239" t="n"/>
      <c r="K465" s="239" t="n"/>
      <c r="L465" s="239" t="n"/>
      <c r="M465" s="239" t="n"/>
      <c r="N465" s="239" t="n"/>
      <c r="O465" s="239" t="n"/>
      <c r="P465" s="239" t="n"/>
      <c r="Q465" s="239" t="n"/>
      <c r="R465" s="239" t="n"/>
      <c r="S465" s="239" t="n"/>
      <c r="T465" s="239" t="n"/>
      <c r="U465" s="239" t="n"/>
      <c r="V465" s="239" t="n"/>
      <c r="W465" s="239" t="n"/>
      <c r="X465" s="239" t="n"/>
      <c r="Y465" s="239" t="n"/>
      <c r="Z465" s="239" t="n"/>
      <c r="AA465" s="239" t="n"/>
      <c r="AB465" s="239" t="n"/>
      <c r="AC465" s="239" t="n"/>
      <c r="AD465" s="239" t="n"/>
      <c r="AE465" s="239" t="n"/>
      <c r="AF465" s="239" t="n"/>
      <c r="AG465" s="239" t="n"/>
      <c r="AH465" s="239" t="n"/>
      <c r="AI465" s="239" t="n"/>
      <c r="AJ465" s="239" t="n"/>
      <c r="AK465" s="239" t="n"/>
      <c r="AL465" s="239" t="n"/>
      <c r="AM465" s="239" t="n"/>
      <c r="AN465" s="239" t="n"/>
      <c r="AO465" s="239" t="n"/>
    </row>
    <row r="466">
      <c r="A466" s="256" t="n"/>
      <c r="B466" s="256" t="n"/>
      <c r="C466" s="256" t="n"/>
      <c r="D466" s="256" t="n"/>
      <c r="E466" s="256" t="n"/>
      <c r="F466" s="256" t="n"/>
      <c r="G466" s="256" t="n"/>
      <c r="H466" s="256" t="n"/>
      <c r="I466" s="256" t="n"/>
      <c r="J466" s="256" t="n"/>
      <c r="K466" s="256" t="n"/>
      <c r="L466" s="256" t="n"/>
      <c r="M466" s="256" t="n"/>
      <c r="N466" s="256" t="n"/>
      <c r="O466" s="256" t="n"/>
      <c r="P466" s="256" t="n"/>
      <c r="Q466" s="256" t="n"/>
      <c r="R466" s="256" t="n"/>
      <c r="S466" s="256" t="n"/>
      <c r="T466" s="256" t="n"/>
      <c r="U466" s="256" t="n"/>
      <c r="V466" s="256" t="n"/>
      <c r="W466" s="256" t="n"/>
      <c r="X466" s="256" t="n"/>
      <c r="Y466" s="256" t="n"/>
      <c r="Z466" s="256" t="n"/>
      <c r="AA466" s="256" t="n"/>
      <c r="AB466" s="256" t="n"/>
      <c r="AC466" s="256" t="n"/>
      <c r="AD466" s="256" t="n"/>
      <c r="AE466" s="256" t="n"/>
      <c r="AF466" s="256" t="n"/>
      <c r="AG466" s="256" t="n"/>
      <c r="AH466" s="256" t="n"/>
      <c r="AI466" s="256" t="n"/>
      <c r="AJ466" s="256" t="n"/>
      <c r="AK466" s="256" t="n"/>
      <c r="AL466" s="256" t="n"/>
      <c r="AM466" s="256" t="n"/>
      <c r="AN466" s="256" t="n"/>
      <c r="AO466" s="256" t="n"/>
    </row>
    <row r="467">
      <c r="A467" s="239" t="n"/>
      <c r="B467" s="239" t="n"/>
      <c r="C467" s="239" t="n"/>
      <c r="D467" s="239" t="n"/>
      <c r="E467" s="239" t="n"/>
      <c r="F467" s="239" t="n"/>
      <c r="G467" s="239" t="n"/>
      <c r="H467" s="239" t="n"/>
      <c r="I467" s="239" t="n"/>
      <c r="J467" s="239" t="n"/>
      <c r="K467" s="239" t="n"/>
      <c r="L467" s="239" t="n"/>
      <c r="M467" s="239" t="n"/>
      <c r="N467" s="239" t="n"/>
      <c r="O467" s="239" t="n"/>
      <c r="P467" s="239" t="n"/>
      <c r="Q467" s="239" t="n"/>
      <c r="R467" s="239" t="n"/>
      <c r="S467" s="239" t="n"/>
      <c r="T467" s="239" t="n"/>
      <c r="U467" s="239" t="n"/>
      <c r="V467" s="239" t="n"/>
      <c r="W467" s="239" t="n"/>
      <c r="X467" s="239" t="n"/>
      <c r="Y467" s="239" t="n"/>
      <c r="Z467" s="239" t="n"/>
      <c r="AA467" s="239" t="n"/>
      <c r="AB467" s="239" t="n"/>
      <c r="AC467" s="239" t="n"/>
      <c r="AD467" s="239" t="n"/>
      <c r="AE467" s="239" t="n"/>
      <c r="AF467" s="239" t="n"/>
      <c r="AG467" s="239" t="n"/>
      <c r="AH467" s="239" t="n"/>
      <c r="AI467" s="239" t="n"/>
      <c r="AJ467" s="239" t="n"/>
      <c r="AK467" s="239" t="n"/>
      <c r="AL467" s="239" t="n"/>
      <c r="AM467" s="239" t="n"/>
      <c r="AN467" s="239" t="n"/>
      <c r="AO467" s="239" t="n"/>
    </row>
    <row r="468">
      <c r="A468" s="256" t="n"/>
      <c r="B468" s="256" t="n"/>
      <c r="C468" s="256" t="n"/>
      <c r="D468" s="256" t="n"/>
      <c r="E468" s="256" t="n"/>
      <c r="F468" s="256" t="n"/>
      <c r="G468" s="256" t="n"/>
      <c r="H468" s="256" t="n"/>
      <c r="I468" s="256" t="n"/>
      <c r="J468" s="256" t="n"/>
      <c r="K468" s="256" t="n"/>
      <c r="L468" s="256" t="n"/>
      <c r="M468" s="256" t="n"/>
      <c r="N468" s="256" t="n"/>
      <c r="O468" s="256" t="n"/>
      <c r="P468" s="256" t="n"/>
      <c r="Q468" s="256" t="n"/>
      <c r="R468" s="256" t="n"/>
      <c r="S468" s="256" t="n"/>
      <c r="T468" s="256" t="n"/>
      <c r="U468" s="256" t="n"/>
      <c r="V468" s="256" t="n"/>
      <c r="W468" s="256" t="n"/>
      <c r="X468" s="256" t="n"/>
      <c r="Y468" s="256" t="n"/>
      <c r="Z468" s="256" t="n"/>
      <c r="AA468" s="256" t="n"/>
      <c r="AB468" s="256" t="n"/>
      <c r="AC468" s="256" t="n"/>
      <c r="AD468" s="256" t="n"/>
      <c r="AE468" s="256" t="n"/>
      <c r="AF468" s="256" t="n"/>
      <c r="AG468" s="256" t="n"/>
      <c r="AH468" s="256" t="n"/>
      <c r="AI468" s="256" t="n"/>
      <c r="AJ468" s="256" t="n"/>
      <c r="AK468" s="256" t="n"/>
      <c r="AL468" s="256" t="n"/>
      <c r="AM468" s="256" t="n"/>
      <c r="AN468" s="256" t="n"/>
      <c r="AO468" s="256" t="n"/>
    </row>
    <row r="469">
      <c r="A469" s="239" t="n"/>
      <c r="B469" s="239" t="n"/>
      <c r="C469" s="239" t="n"/>
      <c r="D469" s="239" t="n"/>
      <c r="E469" s="239" t="n"/>
      <c r="F469" s="239" t="n"/>
      <c r="G469" s="239" t="n"/>
      <c r="H469" s="239" t="n"/>
      <c r="I469" s="239" t="n"/>
      <c r="J469" s="239" t="n"/>
      <c r="K469" s="239" t="n"/>
      <c r="L469" s="239" t="n"/>
      <c r="M469" s="239" t="n"/>
      <c r="N469" s="239" t="n"/>
      <c r="O469" s="239" t="n"/>
      <c r="P469" s="239" t="n"/>
      <c r="Q469" s="239" t="n"/>
      <c r="R469" s="239" t="n"/>
      <c r="S469" s="239" t="n"/>
      <c r="T469" s="239" t="n"/>
      <c r="U469" s="239" t="n"/>
      <c r="V469" s="239" t="n"/>
      <c r="W469" s="239" t="n"/>
      <c r="X469" s="239" t="n"/>
      <c r="Y469" s="239" t="n"/>
      <c r="Z469" s="239" t="n"/>
      <c r="AA469" s="239" t="n"/>
      <c r="AB469" s="239" t="n"/>
      <c r="AC469" s="239" t="n"/>
      <c r="AD469" s="239" t="n"/>
      <c r="AE469" s="239" t="n"/>
      <c r="AF469" s="239" t="n"/>
      <c r="AG469" s="239" t="n"/>
      <c r="AH469" s="239" t="n"/>
      <c r="AI469" s="239" t="n"/>
      <c r="AJ469" s="239" t="n"/>
      <c r="AK469" s="239" t="n"/>
      <c r="AL469" s="239" t="n"/>
      <c r="AM469" s="239" t="n"/>
      <c r="AN469" s="239" t="n"/>
      <c r="AO469" s="239" t="n"/>
    </row>
    <row r="470">
      <c r="A470" s="256" t="n"/>
      <c r="B470" s="256" t="n"/>
      <c r="C470" s="256" t="n"/>
      <c r="D470" s="256" t="n"/>
      <c r="E470" s="256" t="n"/>
      <c r="F470" s="256" t="n"/>
      <c r="G470" s="256" t="n"/>
      <c r="H470" s="256" t="n"/>
      <c r="I470" s="256" t="n"/>
      <c r="J470" s="256" t="n"/>
      <c r="K470" s="256" t="n"/>
      <c r="L470" s="256" t="n"/>
      <c r="M470" s="256" t="n"/>
      <c r="N470" s="256" t="n"/>
      <c r="O470" s="256" t="n"/>
      <c r="P470" s="256" t="n"/>
      <c r="Q470" s="256" t="n"/>
      <c r="R470" s="256" t="n"/>
      <c r="S470" s="256" t="n"/>
      <c r="T470" s="256" t="n"/>
      <c r="U470" s="256" t="n"/>
      <c r="V470" s="256" t="n"/>
      <c r="W470" s="256" t="n"/>
      <c r="X470" s="256" t="n"/>
      <c r="Y470" s="256" t="n"/>
      <c r="Z470" s="256" t="n"/>
      <c r="AA470" s="256" t="n"/>
      <c r="AB470" s="256" t="n"/>
      <c r="AC470" s="256" t="n"/>
      <c r="AD470" s="256" t="n"/>
      <c r="AE470" s="256" t="n"/>
      <c r="AF470" s="256" t="n"/>
      <c r="AG470" s="256" t="n"/>
      <c r="AH470" s="256" t="n"/>
      <c r="AI470" s="256" t="n"/>
      <c r="AJ470" s="256" t="n"/>
      <c r="AK470" s="256" t="n"/>
      <c r="AL470" s="256" t="n"/>
      <c r="AM470" s="256" t="n"/>
      <c r="AN470" s="256" t="n"/>
      <c r="AO470" s="256" t="n"/>
    </row>
    <row r="471">
      <c r="A471" s="239" t="n"/>
      <c r="B471" s="239" t="n"/>
      <c r="C471" s="239" t="n"/>
      <c r="D471" s="239" t="n"/>
      <c r="E471" s="239" t="n"/>
      <c r="F471" s="239" t="n"/>
      <c r="G471" s="239" t="n"/>
      <c r="H471" s="239" t="n"/>
      <c r="I471" s="239" t="n"/>
      <c r="J471" s="239" t="n"/>
      <c r="K471" s="239" t="n"/>
      <c r="L471" s="239" t="n"/>
      <c r="M471" s="239" t="n"/>
      <c r="N471" s="239" t="n"/>
      <c r="O471" s="239" t="n"/>
      <c r="P471" s="239" t="n"/>
      <c r="Q471" s="239" t="n"/>
      <c r="R471" s="239" t="n"/>
      <c r="S471" s="239" t="n"/>
      <c r="T471" s="239" t="n"/>
      <c r="U471" s="239" t="n"/>
      <c r="V471" s="239" t="n"/>
      <c r="W471" s="239" t="n"/>
      <c r="X471" s="239" t="n"/>
      <c r="Y471" s="239" t="n"/>
      <c r="Z471" s="239" t="n"/>
      <c r="AA471" s="239" t="n"/>
      <c r="AB471" s="239" t="n"/>
      <c r="AC471" s="239" t="n"/>
      <c r="AD471" s="239" t="n"/>
      <c r="AE471" s="239" t="n"/>
      <c r="AF471" s="239" t="n"/>
      <c r="AG471" s="239" t="n"/>
      <c r="AH471" s="239" t="n"/>
      <c r="AI471" s="239" t="n"/>
      <c r="AJ471" s="239" t="n"/>
      <c r="AK471" s="239" t="n"/>
      <c r="AL471" s="239" t="n"/>
      <c r="AM471" s="239" t="n"/>
      <c r="AN471" s="239" t="n"/>
      <c r="AO471" s="239" t="n"/>
    </row>
    <row r="472">
      <c r="A472" s="256" t="n"/>
      <c r="B472" s="256" t="n"/>
      <c r="C472" s="256" t="n"/>
      <c r="D472" s="256" t="n"/>
      <c r="E472" s="256" t="n"/>
      <c r="F472" s="256" t="n"/>
      <c r="G472" s="256" t="n"/>
      <c r="H472" s="256" t="n"/>
      <c r="I472" s="256" t="n"/>
      <c r="J472" s="256" t="n"/>
      <c r="K472" s="256" t="n"/>
      <c r="L472" s="256" t="n"/>
      <c r="M472" s="256" t="n"/>
      <c r="N472" s="256" t="n"/>
      <c r="O472" s="256" t="n"/>
      <c r="P472" s="256" t="n"/>
      <c r="Q472" s="256" t="n"/>
      <c r="R472" s="256" t="n"/>
      <c r="S472" s="256" t="n"/>
      <c r="T472" s="256" t="n"/>
      <c r="U472" s="256" t="n"/>
      <c r="V472" s="256" t="n"/>
      <c r="W472" s="256" t="n"/>
      <c r="X472" s="256" t="n"/>
      <c r="Y472" s="256" t="n"/>
      <c r="Z472" s="256" t="n"/>
      <c r="AA472" s="256" t="n"/>
      <c r="AB472" s="256" t="n"/>
      <c r="AC472" s="256" t="n"/>
      <c r="AD472" s="256" t="n"/>
      <c r="AE472" s="256" t="n"/>
      <c r="AF472" s="256" t="n"/>
      <c r="AG472" s="256" t="n"/>
      <c r="AH472" s="256" t="n"/>
      <c r="AI472" s="256" t="n"/>
      <c r="AJ472" s="256" t="n"/>
      <c r="AK472" s="256" t="n"/>
      <c r="AL472" s="256" t="n"/>
      <c r="AM472" s="256" t="n"/>
      <c r="AN472" s="256" t="n"/>
      <c r="AO472" s="256" t="n"/>
    </row>
    <row r="473">
      <c r="A473" s="239" t="n"/>
      <c r="B473" s="239" t="n"/>
      <c r="C473" s="239" t="n"/>
      <c r="D473" s="239" t="n"/>
      <c r="E473" s="239" t="n"/>
      <c r="F473" s="239" t="n"/>
      <c r="G473" s="239" t="n"/>
      <c r="H473" s="239" t="n"/>
      <c r="I473" s="239" t="n"/>
      <c r="J473" s="239" t="n"/>
      <c r="K473" s="239" t="n"/>
      <c r="L473" s="239" t="n"/>
      <c r="M473" s="239" t="n"/>
      <c r="N473" s="239" t="n"/>
      <c r="O473" s="239" t="n"/>
      <c r="P473" s="239" t="n"/>
      <c r="Q473" s="239" t="n"/>
      <c r="R473" s="239" t="n"/>
      <c r="S473" s="239" t="n"/>
      <c r="T473" s="239" t="n"/>
      <c r="U473" s="239" t="n"/>
      <c r="V473" s="239" t="n"/>
      <c r="W473" s="239" t="n"/>
      <c r="X473" s="239" t="n"/>
      <c r="Y473" s="239" t="n"/>
      <c r="Z473" s="239" t="n"/>
      <c r="AA473" s="239" t="n"/>
      <c r="AB473" s="239" t="n"/>
      <c r="AC473" s="239" t="n"/>
      <c r="AD473" s="239" t="n"/>
      <c r="AE473" s="239" t="n"/>
      <c r="AF473" s="239" t="n"/>
      <c r="AG473" s="239" t="n"/>
      <c r="AH473" s="239" t="n"/>
      <c r="AI473" s="239" t="n"/>
      <c r="AJ473" s="239" t="n"/>
      <c r="AK473" s="239" t="n"/>
      <c r="AL473" s="239" t="n"/>
      <c r="AM473" s="239" t="n"/>
      <c r="AN473" s="239" t="n"/>
      <c r="AO473" s="239" t="n"/>
    </row>
    <row r="474">
      <c r="A474" s="256" t="n"/>
      <c r="B474" s="256" t="n"/>
      <c r="C474" s="256" t="n"/>
      <c r="D474" s="256" t="n"/>
      <c r="E474" s="256" t="n"/>
      <c r="F474" s="256" t="n"/>
      <c r="G474" s="256" t="n"/>
      <c r="H474" s="256" t="n"/>
      <c r="I474" s="256" t="n"/>
      <c r="J474" s="256" t="n"/>
      <c r="K474" s="256" t="n"/>
      <c r="L474" s="256" t="n"/>
      <c r="M474" s="256" t="n"/>
      <c r="N474" s="256" t="n"/>
      <c r="O474" s="256" t="n"/>
      <c r="P474" s="256" t="n"/>
      <c r="Q474" s="256" t="n"/>
      <c r="R474" s="256" t="n"/>
      <c r="S474" s="256" t="n"/>
      <c r="T474" s="256" t="n"/>
      <c r="U474" s="256" t="n"/>
      <c r="V474" s="256" t="n"/>
      <c r="W474" s="256" t="n"/>
      <c r="X474" s="256" t="n"/>
      <c r="Y474" s="256" t="n"/>
      <c r="Z474" s="256" t="n"/>
      <c r="AA474" s="256" t="n"/>
      <c r="AB474" s="256" t="n"/>
      <c r="AC474" s="256" t="n"/>
      <c r="AD474" s="256" t="n"/>
      <c r="AE474" s="256" t="n"/>
      <c r="AF474" s="256" t="n"/>
      <c r="AG474" s="256" t="n"/>
      <c r="AH474" s="256" t="n"/>
      <c r="AI474" s="256" t="n"/>
      <c r="AJ474" s="256" t="n"/>
      <c r="AK474" s="256" t="n"/>
      <c r="AL474" s="256" t="n"/>
      <c r="AM474" s="256" t="n"/>
      <c r="AN474" s="256" t="n"/>
      <c r="AO474" s="256" t="n"/>
    </row>
    <row r="475">
      <c r="A475" s="239" t="n"/>
      <c r="B475" s="239" t="n"/>
      <c r="C475" s="239" t="n"/>
      <c r="D475" s="239" t="n"/>
      <c r="E475" s="239" t="n"/>
      <c r="F475" s="239" t="n"/>
      <c r="G475" s="239" t="n"/>
      <c r="H475" s="239" t="n"/>
      <c r="I475" s="239" t="n"/>
      <c r="J475" s="239" t="n"/>
      <c r="K475" s="239" t="n"/>
      <c r="L475" s="239" t="n"/>
      <c r="M475" s="239" t="n"/>
      <c r="N475" s="239" t="n"/>
      <c r="O475" s="239" t="n"/>
      <c r="P475" s="239" t="n"/>
      <c r="Q475" s="239" t="n"/>
      <c r="R475" s="239" t="n"/>
      <c r="S475" s="239" t="n"/>
      <c r="T475" s="239" t="n"/>
      <c r="U475" s="239" t="n"/>
      <c r="V475" s="239" t="n"/>
      <c r="W475" s="239" t="n"/>
      <c r="X475" s="239" t="n"/>
      <c r="Y475" s="239" t="n"/>
      <c r="Z475" s="239" t="n"/>
      <c r="AA475" s="239" t="n"/>
      <c r="AB475" s="239" t="n"/>
      <c r="AC475" s="239" t="n"/>
      <c r="AD475" s="239" t="n"/>
      <c r="AE475" s="239" t="n"/>
      <c r="AF475" s="239" t="n"/>
      <c r="AG475" s="239" t="n"/>
      <c r="AH475" s="239" t="n"/>
      <c r="AI475" s="239" t="n"/>
      <c r="AJ475" s="239" t="n"/>
      <c r="AK475" s="239" t="n"/>
      <c r="AL475" s="239" t="n"/>
      <c r="AM475" s="239" t="n"/>
      <c r="AN475" s="239" t="n"/>
      <c r="AO475" s="239" t="n"/>
    </row>
    <row r="476">
      <c r="A476" s="256" t="n"/>
      <c r="B476" s="256" t="n"/>
      <c r="C476" s="256" t="n"/>
      <c r="D476" s="256" t="n"/>
      <c r="E476" s="256" t="n"/>
      <c r="F476" s="256" t="n"/>
      <c r="G476" s="256" t="n"/>
      <c r="H476" s="256" t="n"/>
      <c r="I476" s="256" t="n"/>
      <c r="J476" s="256" t="n"/>
      <c r="K476" s="256" t="n"/>
      <c r="L476" s="256" t="n"/>
      <c r="M476" s="256" t="n"/>
      <c r="N476" s="256" t="n"/>
      <c r="O476" s="256" t="n"/>
      <c r="P476" s="256" t="n"/>
      <c r="Q476" s="256" t="n"/>
      <c r="R476" s="256" t="n"/>
      <c r="S476" s="256" t="n"/>
      <c r="T476" s="256" t="n"/>
      <c r="U476" s="256" t="n"/>
      <c r="V476" s="256" t="n"/>
      <c r="W476" s="256" t="n"/>
      <c r="X476" s="256" t="n"/>
      <c r="Y476" s="256" t="n"/>
      <c r="Z476" s="256" t="n"/>
      <c r="AA476" s="256" t="n"/>
      <c r="AB476" s="256" t="n"/>
      <c r="AC476" s="256" t="n"/>
      <c r="AD476" s="256" t="n"/>
      <c r="AE476" s="256" t="n"/>
      <c r="AF476" s="256" t="n"/>
      <c r="AG476" s="256" t="n"/>
      <c r="AH476" s="256" t="n"/>
      <c r="AI476" s="256" t="n"/>
      <c r="AJ476" s="256" t="n"/>
      <c r="AK476" s="256" t="n"/>
      <c r="AL476" s="256" t="n"/>
      <c r="AM476" s="256" t="n"/>
      <c r="AN476" s="256" t="n"/>
      <c r="AO476" s="256" t="n"/>
    </row>
    <row r="477">
      <c r="A477" s="239" t="n"/>
      <c r="B477" s="239" t="n"/>
      <c r="C477" s="239" t="n"/>
      <c r="D477" s="239" t="n"/>
      <c r="E477" s="239" t="n"/>
      <c r="F477" s="239" t="n"/>
      <c r="G477" s="239" t="n"/>
      <c r="H477" s="239" t="n"/>
      <c r="I477" s="239" t="n"/>
      <c r="J477" s="239" t="n"/>
      <c r="K477" s="239" t="n"/>
      <c r="L477" s="239" t="n"/>
      <c r="M477" s="239" t="n"/>
      <c r="N477" s="239" t="n"/>
      <c r="O477" s="239" t="n"/>
      <c r="P477" s="239" t="n"/>
      <c r="Q477" s="239" t="n"/>
      <c r="R477" s="239" t="n"/>
      <c r="S477" s="239" t="n"/>
      <c r="T477" s="239" t="n"/>
      <c r="U477" s="239" t="n"/>
      <c r="V477" s="239" t="n"/>
      <c r="W477" s="239" t="n"/>
      <c r="X477" s="239" t="n"/>
      <c r="Y477" s="239" t="n"/>
      <c r="Z477" s="239" t="n"/>
      <c r="AA477" s="239" t="n"/>
      <c r="AB477" s="239" t="n"/>
      <c r="AC477" s="239" t="n"/>
      <c r="AD477" s="239" t="n"/>
      <c r="AE477" s="239" t="n"/>
      <c r="AF477" s="239" t="n"/>
      <c r="AG477" s="239" t="n"/>
      <c r="AH477" s="239" t="n"/>
      <c r="AI477" s="239" t="n"/>
      <c r="AJ477" s="239" t="n"/>
      <c r="AK477" s="239" t="n"/>
      <c r="AL477" s="239" t="n"/>
      <c r="AM477" s="239" t="n"/>
      <c r="AN477" s="239" t="n"/>
      <c r="AO477" s="239" t="n"/>
    </row>
    <row r="478">
      <c r="A478" s="256" t="n"/>
      <c r="B478" s="256" t="n"/>
      <c r="C478" s="256" t="n"/>
      <c r="D478" s="256" t="n"/>
      <c r="E478" s="256" t="n"/>
      <c r="F478" s="256" t="n"/>
      <c r="G478" s="256" t="n"/>
      <c r="H478" s="256" t="n"/>
      <c r="I478" s="256" t="n"/>
      <c r="J478" s="256" t="n"/>
      <c r="K478" s="256" t="n"/>
      <c r="L478" s="256" t="n"/>
      <c r="M478" s="256" t="n"/>
      <c r="N478" s="256" t="n"/>
      <c r="O478" s="256" t="n"/>
      <c r="P478" s="256" t="n"/>
      <c r="Q478" s="256" t="n"/>
      <c r="R478" s="256" t="n"/>
      <c r="S478" s="256" t="n"/>
      <c r="T478" s="256" t="n"/>
      <c r="U478" s="256" t="n"/>
      <c r="V478" s="256" t="n"/>
      <c r="W478" s="256" t="n"/>
      <c r="X478" s="256" t="n"/>
      <c r="Y478" s="256" t="n"/>
      <c r="Z478" s="256" t="n"/>
      <c r="AA478" s="256" t="n"/>
      <c r="AB478" s="256" t="n"/>
      <c r="AC478" s="256" t="n"/>
      <c r="AD478" s="256" t="n"/>
      <c r="AE478" s="256" t="n"/>
      <c r="AF478" s="256" t="n"/>
      <c r="AG478" s="256" t="n"/>
      <c r="AH478" s="256" t="n"/>
      <c r="AI478" s="256" t="n"/>
      <c r="AJ478" s="256" t="n"/>
      <c r="AK478" s="256" t="n"/>
      <c r="AL478" s="256" t="n"/>
      <c r="AM478" s="256" t="n"/>
      <c r="AN478" s="256" t="n"/>
      <c r="AO478" s="256" t="n"/>
    </row>
    <row r="479">
      <c r="A479" s="239" t="n"/>
      <c r="B479" s="239" t="n"/>
      <c r="C479" s="239" t="n"/>
      <c r="D479" s="239" t="n"/>
      <c r="E479" s="239" t="n"/>
      <c r="F479" s="239" t="n"/>
      <c r="G479" s="239" t="n"/>
      <c r="H479" s="239" t="n"/>
      <c r="I479" s="239" t="n"/>
      <c r="J479" s="239" t="n"/>
      <c r="K479" s="239" t="n"/>
      <c r="L479" s="239" t="n"/>
      <c r="M479" s="239" t="n"/>
      <c r="N479" s="239" t="n"/>
      <c r="O479" s="239" t="n"/>
      <c r="P479" s="239" t="n"/>
      <c r="Q479" s="239" t="n"/>
      <c r="R479" s="239" t="n"/>
      <c r="S479" s="239" t="n"/>
      <c r="T479" s="239" t="n"/>
      <c r="U479" s="239" t="n"/>
      <c r="V479" s="239" t="n"/>
      <c r="W479" s="239" t="n"/>
      <c r="X479" s="239" t="n"/>
      <c r="Y479" s="239" t="n"/>
      <c r="Z479" s="239" t="n"/>
      <c r="AA479" s="239" t="n"/>
      <c r="AB479" s="239" t="n"/>
      <c r="AC479" s="239" t="n"/>
      <c r="AD479" s="239" t="n"/>
      <c r="AE479" s="239" t="n"/>
      <c r="AF479" s="239" t="n"/>
      <c r="AG479" s="239" t="n"/>
      <c r="AH479" s="239" t="n"/>
      <c r="AI479" s="239" t="n"/>
      <c r="AJ479" s="239" t="n"/>
      <c r="AK479" s="239" t="n"/>
      <c r="AL479" s="239" t="n"/>
      <c r="AM479" s="239" t="n"/>
      <c r="AN479" s="239" t="n"/>
      <c r="AO479" s="239" t="n"/>
    </row>
    <row r="480">
      <c r="A480" s="256" t="n"/>
      <c r="B480" s="256" t="n"/>
      <c r="C480" s="256" t="n"/>
      <c r="D480" s="256" t="n"/>
      <c r="E480" s="256" t="n"/>
      <c r="F480" s="256" t="n"/>
      <c r="G480" s="256" t="n"/>
      <c r="H480" s="256" t="n"/>
      <c r="I480" s="256" t="n"/>
      <c r="J480" s="256" t="n"/>
      <c r="K480" s="256" t="n"/>
      <c r="L480" s="256" t="n"/>
      <c r="M480" s="256" t="n"/>
      <c r="N480" s="256" t="n"/>
      <c r="O480" s="256" t="n"/>
      <c r="P480" s="256" t="n"/>
      <c r="Q480" s="256" t="n"/>
      <c r="R480" s="256" t="n"/>
      <c r="S480" s="256" t="n"/>
      <c r="T480" s="256" t="n"/>
      <c r="U480" s="256" t="n"/>
      <c r="V480" s="256" t="n"/>
      <c r="W480" s="256" t="n"/>
      <c r="X480" s="256" t="n"/>
      <c r="Y480" s="256" t="n"/>
      <c r="Z480" s="256" t="n"/>
      <c r="AA480" s="256" t="n"/>
      <c r="AB480" s="256" t="n"/>
      <c r="AC480" s="256" t="n"/>
      <c r="AD480" s="256" t="n"/>
      <c r="AE480" s="256" t="n"/>
      <c r="AF480" s="256" t="n"/>
      <c r="AG480" s="256" t="n"/>
      <c r="AH480" s="256" t="n"/>
      <c r="AI480" s="256" t="n"/>
      <c r="AJ480" s="256" t="n"/>
      <c r="AK480" s="256" t="n"/>
      <c r="AL480" s="256" t="n"/>
      <c r="AM480" s="256" t="n"/>
      <c r="AN480" s="256" t="n"/>
      <c r="AO480" s="256" t="n"/>
    </row>
    <row r="481">
      <c r="A481" s="239" t="n"/>
      <c r="B481" s="239" t="n"/>
      <c r="C481" s="239" t="n"/>
      <c r="D481" s="239" t="n"/>
      <c r="E481" s="239" t="n"/>
      <c r="F481" s="239" t="n"/>
      <c r="G481" s="239" t="n"/>
      <c r="H481" s="239" t="n"/>
      <c r="I481" s="239" t="n"/>
      <c r="J481" s="239" t="n"/>
      <c r="K481" s="239" t="n"/>
      <c r="L481" s="239" t="n"/>
      <c r="M481" s="239" t="n"/>
      <c r="N481" s="239" t="n"/>
      <c r="O481" s="239" t="n"/>
      <c r="P481" s="239" t="n"/>
      <c r="Q481" s="239" t="n"/>
      <c r="R481" s="239" t="n"/>
      <c r="S481" s="239" t="n"/>
      <c r="T481" s="239" t="n"/>
      <c r="U481" s="239" t="n"/>
      <c r="V481" s="239" t="n"/>
      <c r="W481" s="239" t="n"/>
      <c r="X481" s="239" t="n"/>
      <c r="Y481" s="239" t="n"/>
      <c r="Z481" s="239" t="n"/>
      <c r="AA481" s="239" t="n"/>
      <c r="AB481" s="239" t="n"/>
      <c r="AC481" s="239" t="n"/>
      <c r="AD481" s="239" t="n"/>
      <c r="AE481" s="239" t="n"/>
      <c r="AF481" s="239" t="n"/>
      <c r="AG481" s="239" t="n"/>
      <c r="AH481" s="239" t="n"/>
      <c r="AI481" s="239" t="n"/>
      <c r="AJ481" s="239" t="n"/>
      <c r="AK481" s="239" t="n"/>
      <c r="AL481" s="239" t="n"/>
      <c r="AM481" s="239" t="n"/>
      <c r="AN481" s="239" t="n"/>
      <c r="AO481" s="239" t="n"/>
    </row>
    <row r="482">
      <c r="A482" s="256" t="n"/>
      <c r="B482" s="256" t="n"/>
      <c r="C482" s="256" t="n"/>
      <c r="D482" s="256" t="n"/>
      <c r="E482" s="256" t="n"/>
      <c r="F482" s="256" t="n"/>
      <c r="G482" s="256" t="n"/>
      <c r="H482" s="256" t="n"/>
      <c r="I482" s="256" t="n"/>
      <c r="J482" s="256" t="n"/>
      <c r="K482" s="256" t="n"/>
      <c r="L482" s="256" t="n"/>
      <c r="M482" s="256" t="n"/>
      <c r="N482" s="256" t="n"/>
      <c r="O482" s="256" t="n"/>
      <c r="P482" s="256" t="n"/>
      <c r="Q482" s="256" t="n"/>
      <c r="R482" s="256" t="n"/>
      <c r="S482" s="256" t="n"/>
      <c r="T482" s="256" t="n"/>
      <c r="U482" s="256" t="n"/>
      <c r="V482" s="256" t="n"/>
      <c r="W482" s="256" t="n"/>
      <c r="X482" s="256" t="n"/>
      <c r="Y482" s="256" t="n"/>
      <c r="Z482" s="256" t="n"/>
      <c r="AA482" s="256" t="n"/>
      <c r="AB482" s="256" t="n"/>
      <c r="AC482" s="256" t="n"/>
      <c r="AD482" s="256" t="n"/>
      <c r="AE482" s="256" t="n"/>
      <c r="AF482" s="256" t="n"/>
      <c r="AG482" s="256" t="n"/>
      <c r="AH482" s="256" t="n"/>
      <c r="AI482" s="256" t="n"/>
      <c r="AJ482" s="256" t="n"/>
      <c r="AK482" s="256" t="n"/>
      <c r="AL482" s="256" t="n"/>
      <c r="AM482" s="256" t="n"/>
      <c r="AN482" s="256" t="n"/>
      <c r="AO482" s="256" t="n"/>
    </row>
    <row r="483">
      <c r="A483" s="239" t="n"/>
      <c r="B483" s="239" t="n"/>
      <c r="C483" s="239" t="n"/>
      <c r="D483" s="239" t="n"/>
      <c r="E483" s="239" t="n"/>
      <c r="F483" s="239" t="n"/>
      <c r="G483" s="239" t="n"/>
      <c r="H483" s="239" t="n"/>
      <c r="I483" s="239" t="n"/>
      <c r="J483" s="239" t="n"/>
      <c r="K483" s="239" t="n"/>
      <c r="L483" s="239" t="n"/>
      <c r="M483" s="239" t="n"/>
      <c r="N483" s="239" t="n"/>
      <c r="O483" s="239" t="n"/>
      <c r="P483" s="239" t="n"/>
      <c r="Q483" s="239" t="n"/>
      <c r="R483" s="239" t="n"/>
      <c r="S483" s="239" t="n"/>
      <c r="T483" s="239" t="n"/>
      <c r="U483" s="239" t="n"/>
      <c r="V483" s="239" t="n"/>
      <c r="W483" s="239" t="n"/>
      <c r="X483" s="239" t="n"/>
      <c r="Y483" s="239" t="n"/>
      <c r="Z483" s="239" t="n"/>
      <c r="AA483" s="239" t="n"/>
      <c r="AB483" s="239" t="n"/>
      <c r="AC483" s="239" t="n"/>
      <c r="AD483" s="239" t="n"/>
      <c r="AE483" s="239" t="n"/>
      <c r="AF483" s="239" t="n"/>
      <c r="AG483" s="239" t="n"/>
      <c r="AH483" s="239" t="n"/>
      <c r="AI483" s="239" t="n"/>
      <c r="AJ483" s="239" t="n"/>
      <c r="AK483" s="239" t="n"/>
      <c r="AL483" s="239" t="n"/>
      <c r="AM483" s="239" t="n"/>
      <c r="AN483" s="239" t="n"/>
      <c r="AO483" s="239" t="n"/>
    </row>
    <row r="484">
      <c r="A484" s="256" t="n"/>
      <c r="B484" s="256" t="n"/>
      <c r="C484" s="256" t="n"/>
      <c r="D484" s="256" t="n"/>
      <c r="E484" s="256" t="n"/>
      <c r="F484" s="256" t="n"/>
      <c r="G484" s="256" t="n"/>
      <c r="H484" s="256" t="n"/>
      <c r="I484" s="256" t="n"/>
      <c r="J484" s="256" t="n"/>
      <c r="K484" s="256" t="n"/>
      <c r="L484" s="256" t="n"/>
      <c r="M484" s="256" t="n"/>
      <c r="N484" s="256" t="n"/>
      <c r="O484" s="256" t="n"/>
      <c r="P484" s="256" t="n"/>
      <c r="Q484" s="256" t="n"/>
      <c r="R484" s="256" t="n"/>
      <c r="S484" s="256" t="n"/>
      <c r="T484" s="256" t="n"/>
      <c r="U484" s="256" t="n"/>
      <c r="V484" s="256" t="n"/>
      <c r="W484" s="256" t="n"/>
      <c r="X484" s="256" t="n"/>
      <c r="Y484" s="256" t="n"/>
      <c r="Z484" s="256" t="n"/>
      <c r="AA484" s="256" t="n"/>
      <c r="AB484" s="256" t="n"/>
      <c r="AC484" s="256" t="n"/>
      <c r="AD484" s="256" t="n"/>
      <c r="AE484" s="256" t="n"/>
      <c r="AF484" s="256" t="n"/>
      <c r="AG484" s="256" t="n"/>
      <c r="AH484" s="256" t="n"/>
      <c r="AI484" s="256" t="n"/>
      <c r="AJ484" s="256" t="n"/>
      <c r="AK484" s="256" t="n"/>
      <c r="AL484" s="256" t="n"/>
      <c r="AM484" s="256" t="n"/>
      <c r="AN484" s="256" t="n"/>
      <c r="AO484" s="256" t="n"/>
    </row>
    <row r="485">
      <c r="A485" s="239" t="n"/>
      <c r="B485" s="239" t="n"/>
      <c r="C485" s="239" t="n"/>
      <c r="D485" s="239" t="n"/>
      <c r="E485" s="239" t="n"/>
      <c r="F485" s="239" t="n"/>
      <c r="G485" s="239" t="n"/>
      <c r="H485" s="239" t="n"/>
      <c r="I485" s="239" t="n"/>
      <c r="J485" s="239" t="n"/>
      <c r="K485" s="239" t="n"/>
      <c r="L485" s="239" t="n"/>
      <c r="M485" s="239" t="n"/>
      <c r="N485" s="239" t="n"/>
      <c r="O485" s="239" t="n"/>
      <c r="P485" s="239" t="n"/>
      <c r="Q485" s="239" t="n"/>
      <c r="R485" s="239" t="n"/>
      <c r="S485" s="239" t="n"/>
      <c r="T485" s="239" t="n"/>
      <c r="U485" s="239" t="n"/>
      <c r="V485" s="239" t="n"/>
      <c r="W485" s="239" t="n"/>
      <c r="X485" s="239" t="n"/>
      <c r="Y485" s="239" t="n"/>
      <c r="Z485" s="239" t="n"/>
      <c r="AA485" s="239" t="n"/>
      <c r="AB485" s="239" t="n"/>
      <c r="AC485" s="239" t="n"/>
      <c r="AD485" s="239" t="n"/>
      <c r="AE485" s="239" t="n"/>
      <c r="AF485" s="239" t="n"/>
      <c r="AG485" s="239" t="n"/>
      <c r="AH485" s="239" t="n"/>
      <c r="AI485" s="239" t="n"/>
      <c r="AJ485" s="239" t="n"/>
      <c r="AK485" s="239" t="n"/>
      <c r="AL485" s="239" t="n"/>
      <c r="AM485" s="239" t="n"/>
      <c r="AN485" s="239" t="n"/>
      <c r="AO485" s="239" t="n"/>
    </row>
    <row r="486">
      <c r="A486" s="256" t="n"/>
      <c r="B486" s="256" t="n"/>
      <c r="C486" s="256" t="n"/>
      <c r="D486" s="256" t="n"/>
      <c r="E486" s="256" t="n"/>
      <c r="F486" s="256" t="n"/>
      <c r="G486" s="256" t="n"/>
      <c r="H486" s="256" t="n"/>
      <c r="I486" s="256" t="n"/>
      <c r="J486" s="256" t="n"/>
      <c r="K486" s="256" t="n"/>
      <c r="L486" s="256" t="n"/>
      <c r="M486" s="256" t="n"/>
      <c r="N486" s="256" t="n"/>
      <c r="O486" s="256" t="n"/>
      <c r="P486" s="256" t="n"/>
      <c r="Q486" s="256" t="n"/>
      <c r="R486" s="256" t="n"/>
      <c r="S486" s="256" t="n"/>
      <c r="T486" s="256" t="n"/>
      <c r="U486" s="256" t="n"/>
      <c r="V486" s="256" t="n"/>
      <c r="W486" s="256" t="n"/>
      <c r="X486" s="256" t="n"/>
      <c r="Y486" s="256" t="n"/>
      <c r="Z486" s="256" t="n"/>
      <c r="AA486" s="256" t="n"/>
      <c r="AB486" s="256" t="n"/>
      <c r="AC486" s="256" t="n"/>
      <c r="AD486" s="256" t="n"/>
      <c r="AE486" s="256" t="n"/>
      <c r="AF486" s="256" t="n"/>
      <c r="AG486" s="256" t="n"/>
      <c r="AH486" s="256" t="n"/>
      <c r="AI486" s="256" t="n"/>
      <c r="AJ486" s="256" t="n"/>
      <c r="AK486" s="256" t="n"/>
      <c r="AL486" s="256" t="n"/>
      <c r="AM486" s="256" t="n"/>
      <c r="AN486" s="256" t="n"/>
      <c r="AO486" s="256" t="n"/>
    </row>
    <row r="487">
      <c r="A487" s="239" t="n"/>
      <c r="B487" s="239" t="n"/>
      <c r="C487" s="239" t="n"/>
      <c r="D487" s="239" t="n"/>
      <c r="E487" s="239" t="n"/>
      <c r="F487" s="239" t="n"/>
      <c r="G487" s="239" t="n"/>
      <c r="H487" s="239" t="n"/>
      <c r="I487" s="239" t="n"/>
      <c r="J487" s="239" t="n"/>
      <c r="K487" s="239" t="n"/>
      <c r="L487" s="239" t="n"/>
      <c r="M487" s="239" t="n"/>
      <c r="N487" s="239" t="n"/>
      <c r="O487" s="239" t="n"/>
      <c r="P487" s="239" t="n"/>
      <c r="Q487" s="239" t="n"/>
      <c r="R487" s="239" t="n"/>
      <c r="S487" s="239" t="n"/>
      <c r="T487" s="239" t="n"/>
      <c r="U487" s="239" t="n"/>
      <c r="V487" s="239" t="n"/>
      <c r="W487" s="239" t="n"/>
      <c r="X487" s="239" t="n"/>
      <c r="Y487" s="239" t="n"/>
      <c r="Z487" s="239" t="n"/>
      <c r="AA487" s="239" t="n"/>
      <c r="AB487" s="239" t="n"/>
      <c r="AC487" s="239" t="n"/>
      <c r="AD487" s="239" t="n"/>
      <c r="AE487" s="239" t="n"/>
      <c r="AF487" s="239" t="n"/>
      <c r="AG487" s="239" t="n"/>
      <c r="AH487" s="239" t="n"/>
      <c r="AI487" s="239" t="n"/>
      <c r="AJ487" s="239" t="n"/>
      <c r="AK487" s="239" t="n"/>
      <c r="AL487" s="239" t="n"/>
      <c r="AM487" s="239" t="n"/>
      <c r="AN487" s="239" t="n"/>
      <c r="AO487" s="239" t="n"/>
    </row>
    <row r="488">
      <c r="A488" s="256" t="n"/>
      <c r="B488" s="256" t="n"/>
      <c r="C488" s="256" t="n"/>
      <c r="D488" s="256" t="n"/>
      <c r="E488" s="256" t="n"/>
      <c r="F488" s="256" t="n"/>
      <c r="G488" s="256" t="n"/>
      <c r="H488" s="256" t="n"/>
      <c r="I488" s="256" t="n"/>
      <c r="J488" s="256" t="n"/>
      <c r="K488" s="256" t="n"/>
      <c r="L488" s="256" t="n"/>
      <c r="M488" s="256" t="n"/>
      <c r="N488" s="256" t="n"/>
      <c r="O488" s="256" t="n"/>
      <c r="P488" s="256" t="n"/>
      <c r="Q488" s="256" t="n"/>
      <c r="R488" s="256" t="n"/>
      <c r="S488" s="256" t="n"/>
      <c r="T488" s="256" t="n"/>
      <c r="U488" s="256" t="n"/>
      <c r="V488" s="256" t="n"/>
      <c r="W488" s="256" t="n"/>
      <c r="X488" s="256" t="n"/>
      <c r="Y488" s="256" t="n"/>
      <c r="Z488" s="256" t="n"/>
      <c r="AA488" s="256" t="n"/>
      <c r="AB488" s="256" t="n"/>
      <c r="AC488" s="256" t="n"/>
      <c r="AD488" s="256" t="n"/>
      <c r="AE488" s="256" t="n"/>
      <c r="AF488" s="256" t="n"/>
      <c r="AG488" s="256" t="n"/>
      <c r="AH488" s="256" t="n"/>
      <c r="AI488" s="256" t="n"/>
      <c r="AJ488" s="256" t="n"/>
      <c r="AK488" s="256" t="n"/>
      <c r="AL488" s="256" t="n"/>
      <c r="AM488" s="256" t="n"/>
      <c r="AN488" s="256" t="n"/>
      <c r="AO488" s="256" t="n"/>
    </row>
    <row r="489">
      <c r="A489" s="239" t="n"/>
      <c r="B489" s="239" t="n"/>
      <c r="C489" s="239" t="n"/>
      <c r="D489" s="239" t="n"/>
      <c r="E489" s="239" t="n"/>
      <c r="F489" s="239" t="n"/>
      <c r="G489" s="239" t="n"/>
      <c r="H489" s="239" t="n"/>
      <c r="I489" s="239" t="n"/>
      <c r="J489" s="239" t="n"/>
      <c r="K489" s="239" t="n"/>
      <c r="L489" s="239" t="n"/>
      <c r="M489" s="239" t="n"/>
      <c r="N489" s="239" t="n"/>
      <c r="O489" s="239" t="n"/>
      <c r="P489" s="239" t="n"/>
      <c r="Q489" s="239" t="n"/>
      <c r="R489" s="239" t="n"/>
      <c r="S489" s="239" t="n"/>
      <c r="T489" s="239" t="n"/>
      <c r="U489" s="239" t="n"/>
      <c r="V489" s="239" t="n"/>
      <c r="W489" s="239" t="n"/>
      <c r="X489" s="239" t="n"/>
      <c r="Y489" s="239" t="n"/>
      <c r="Z489" s="239" t="n"/>
      <c r="AA489" s="239" t="n"/>
      <c r="AB489" s="239" t="n"/>
      <c r="AC489" s="239" t="n"/>
      <c r="AD489" s="239" t="n"/>
      <c r="AE489" s="239" t="n"/>
      <c r="AF489" s="239" t="n"/>
      <c r="AG489" s="239" t="n"/>
      <c r="AH489" s="239" t="n"/>
      <c r="AI489" s="239" t="n"/>
      <c r="AJ489" s="239" t="n"/>
      <c r="AK489" s="239" t="n"/>
      <c r="AL489" s="239" t="n"/>
      <c r="AM489" s="239" t="n"/>
      <c r="AN489" s="239" t="n"/>
      <c r="AO489" s="239" t="n"/>
    </row>
    <row r="490">
      <c r="A490" s="256" t="n"/>
      <c r="B490" s="256" t="n"/>
      <c r="C490" s="256" t="n"/>
      <c r="D490" s="256" t="n"/>
      <c r="E490" s="256" t="n"/>
      <c r="F490" s="256" t="n"/>
      <c r="G490" s="256" t="n"/>
      <c r="H490" s="256" t="n"/>
      <c r="I490" s="256" t="n"/>
      <c r="J490" s="256" t="n"/>
      <c r="K490" s="256" t="n"/>
      <c r="L490" s="256" t="n"/>
      <c r="M490" s="256" t="n"/>
      <c r="N490" s="256" t="n"/>
      <c r="O490" s="256" t="n"/>
      <c r="P490" s="256" t="n"/>
      <c r="Q490" s="256" t="n"/>
      <c r="R490" s="256" t="n"/>
      <c r="S490" s="256" t="n"/>
      <c r="T490" s="256" t="n"/>
      <c r="U490" s="256" t="n"/>
      <c r="V490" s="256" t="n"/>
      <c r="W490" s="256" t="n"/>
      <c r="X490" s="256" t="n"/>
      <c r="Y490" s="256" t="n"/>
      <c r="Z490" s="256" t="n"/>
      <c r="AA490" s="256" t="n"/>
      <c r="AB490" s="256" t="n"/>
      <c r="AC490" s="256" t="n"/>
      <c r="AD490" s="256" t="n"/>
      <c r="AE490" s="256" t="n"/>
      <c r="AF490" s="256" t="n"/>
      <c r="AG490" s="256" t="n"/>
      <c r="AH490" s="256" t="n"/>
      <c r="AI490" s="256" t="n"/>
      <c r="AJ490" s="256" t="n"/>
      <c r="AK490" s="256" t="n"/>
      <c r="AL490" s="256" t="n"/>
      <c r="AM490" s="256" t="n"/>
      <c r="AN490" s="256" t="n"/>
      <c r="AO490" s="256" t="n"/>
    </row>
    <row r="491">
      <c r="A491" s="239" t="n"/>
      <c r="B491" s="239" t="n"/>
      <c r="C491" s="239" t="n"/>
      <c r="D491" s="239" t="n"/>
      <c r="E491" s="239" t="n"/>
      <c r="F491" s="239" t="n"/>
      <c r="G491" s="239" t="n"/>
      <c r="H491" s="239" t="n"/>
      <c r="I491" s="239" t="n"/>
      <c r="J491" s="239" t="n"/>
      <c r="K491" s="239" t="n"/>
      <c r="L491" s="239" t="n"/>
      <c r="M491" s="239" t="n"/>
      <c r="N491" s="239" t="n"/>
      <c r="O491" s="239" t="n"/>
      <c r="P491" s="239" t="n"/>
      <c r="Q491" s="239" t="n"/>
      <c r="R491" s="239" t="n"/>
      <c r="S491" s="239" t="n"/>
      <c r="T491" s="239" t="n"/>
      <c r="U491" s="239" t="n"/>
      <c r="V491" s="239" t="n"/>
      <c r="W491" s="239" t="n"/>
      <c r="X491" s="239" t="n"/>
      <c r="Y491" s="239" t="n"/>
      <c r="Z491" s="239" t="n"/>
      <c r="AA491" s="239" t="n"/>
      <c r="AB491" s="239" t="n"/>
      <c r="AC491" s="239" t="n"/>
      <c r="AD491" s="239" t="n"/>
      <c r="AE491" s="239" t="n"/>
      <c r="AF491" s="239" t="n"/>
      <c r="AG491" s="239" t="n"/>
      <c r="AH491" s="239" t="n"/>
      <c r="AI491" s="239" t="n"/>
      <c r="AJ491" s="239" t="n"/>
      <c r="AK491" s="239" t="n"/>
      <c r="AL491" s="239" t="n"/>
      <c r="AM491" s="239" t="n"/>
      <c r="AN491" s="239" t="n"/>
      <c r="AO491" s="239" t="n"/>
    </row>
    <row r="492">
      <c r="A492" s="256" t="n"/>
      <c r="B492" s="256" t="n"/>
      <c r="C492" s="256" t="n"/>
      <c r="D492" s="256" t="n"/>
      <c r="E492" s="256" t="n"/>
      <c r="F492" s="256" t="n"/>
      <c r="G492" s="256" t="n"/>
      <c r="H492" s="256" t="n"/>
      <c r="I492" s="256" t="n"/>
      <c r="J492" s="256" t="n"/>
      <c r="K492" s="256" t="n"/>
      <c r="L492" s="256" t="n"/>
      <c r="M492" s="256" t="n"/>
      <c r="N492" s="256" t="n"/>
      <c r="O492" s="256" t="n"/>
      <c r="P492" s="256" t="n"/>
      <c r="Q492" s="256" t="n"/>
      <c r="R492" s="256" t="n"/>
      <c r="S492" s="256" t="n"/>
      <c r="T492" s="256" t="n"/>
      <c r="U492" s="256" t="n"/>
      <c r="V492" s="256" t="n"/>
      <c r="W492" s="256" t="n"/>
      <c r="X492" s="256" t="n"/>
      <c r="Y492" s="256" t="n"/>
      <c r="Z492" s="256" t="n"/>
      <c r="AA492" s="256" t="n"/>
      <c r="AB492" s="256" t="n"/>
      <c r="AC492" s="256" t="n"/>
      <c r="AD492" s="256" t="n"/>
      <c r="AE492" s="256" t="n"/>
      <c r="AF492" s="256" t="n"/>
      <c r="AG492" s="256" t="n"/>
      <c r="AH492" s="256" t="n"/>
      <c r="AI492" s="256" t="n"/>
      <c r="AJ492" s="256" t="n"/>
      <c r="AK492" s="256" t="n"/>
      <c r="AL492" s="256" t="n"/>
      <c r="AM492" s="256" t="n"/>
      <c r="AN492" s="256" t="n"/>
      <c r="AO492" s="256" t="n"/>
    </row>
    <row r="493">
      <c r="A493" s="239" t="n"/>
      <c r="B493" s="239" t="n"/>
      <c r="C493" s="239" t="n"/>
      <c r="D493" s="239" t="n"/>
      <c r="E493" s="239" t="n"/>
      <c r="F493" s="239" t="n"/>
      <c r="G493" s="239" t="n"/>
      <c r="H493" s="239" t="n"/>
      <c r="I493" s="239" t="n"/>
      <c r="J493" s="239" t="n"/>
      <c r="K493" s="239" t="n"/>
      <c r="L493" s="239" t="n"/>
      <c r="M493" s="239" t="n"/>
      <c r="N493" s="239" t="n"/>
      <c r="O493" s="239" t="n"/>
      <c r="P493" s="239" t="n"/>
      <c r="Q493" s="239" t="n"/>
      <c r="R493" s="239" t="n"/>
      <c r="S493" s="239" t="n"/>
      <c r="T493" s="239" t="n"/>
      <c r="U493" s="239" t="n"/>
      <c r="V493" s="239" t="n"/>
      <c r="W493" s="239" t="n"/>
      <c r="X493" s="239" t="n"/>
      <c r="Y493" s="239" t="n"/>
      <c r="Z493" s="239" t="n"/>
      <c r="AA493" s="239" t="n"/>
      <c r="AB493" s="239" t="n"/>
      <c r="AC493" s="239" t="n"/>
      <c r="AD493" s="239" t="n"/>
      <c r="AE493" s="239" t="n"/>
      <c r="AF493" s="239" t="n"/>
      <c r="AG493" s="239" t="n"/>
      <c r="AH493" s="239" t="n"/>
      <c r="AI493" s="239" t="n"/>
      <c r="AJ493" s="239" t="n"/>
      <c r="AK493" s="239" t="n"/>
      <c r="AL493" s="239" t="n"/>
      <c r="AM493" s="239" t="n"/>
      <c r="AN493" s="239" t="n"/>
      <c r="AO493" s="239" t="n"/>
    </row>
    <row r="494">
      <c r="A494" s="256" t="n"/>
      <c r="B494" s="256" t="n"/>
      <c r="C494" s="256" t="n"/>
      <c r="D494" s="256" t="n"/>
      <c r="E494" s="256" t="n"/>
      <c r="F494" s="256" t="n"/>
      <c r="G494" s="256" t="n"/>
      <c r="H494" s="256" t="n"/>
      <c r="I494" s="256" t="n"/>
      <c r="J494" s="256" t="n"/>
      <c r="K494" s="256" t="n"/>
      <c r="L494" s="256" t="n"/>
      <c r="M494" s="256" t="n"/>
      <c r="N494" s="256" t="n"/>
      <c r="O494" s="256" t="n"/>
      <c r="P494" s="256" t="n"/>
      <c r="Q494" s="256" t="n"/>
      <c r="R494" s="256" t="n"/>
      <c r="S494" s="256" t="n"/>
      <c r="T494" s="256" t="n"/>
      <c r="U494" s="256" t="n"/>
      <c r="V494" s="256" t="n"/>
      <c r="W494" s="256" t="n"/>
      <c r="X494" s="256" t="n"/>
      <c r="Y494" s="256" t="n"/>
      <c r="Z494" s="256" t="n"/>
      <c r="AA494" s="256" t="n"/>
      <c r="AB494" s="256" t="n"/>
      <c r="AC494" s="256" t="n"/>
      <c r="AD494" s="256" t="n"/>
      <c r="AE494" s="256" t="n"/>
      <c r="AF494" s="256" t="n"/>
      <c r="AG494" s="256" t="n"/>
      <c r="AH494" s="256" t="n"/>
      <c r="AI494" s="256" t="n"/>
      <c r="AJ494" s="256" t="n"/>
      <c r="AK494" s="256" t="n"/>
      <c r="AL494" s="256" t="n"/>
      <c r="AM494" s="256" t="n"/>
      <c r="AN494" s="256" t="n"/>
      <c r="AO494" s="256" t="n"/>
    </row>
    <row r="495">
      <c r="A495" s="239" t="n"/>
      <c r="B495" s="239" t="n"/>
      <c r="C495" s="239" t="n"/>
      <c r="D495" s="239" t="n"/>
      <c r="E495" s="239" t="n"/>
      <c r="F495" s="239" t="n"/>
      <c r="G495" s="239" t="n"/>
      <c r="H495" s="239" t="n"/>
      <c r="I495" s="239" t="n"/>
      <c r="J495" s="239" t="n"/>
      <c r="K495" s="239" t="n"/>
      <c r="L495" s="239" t="n"/>
      <c r="M495" s="239" t="n"/>
      <c r="N495" s="239" t="n"/>
      <c r="O495" s="239" t="n"/>
      <c r="P495" s="239" t="n"/>
      <c r="Q495" s="239" t="n"/>
      <c r="R495" s="239" t="n"/>
      <c r="S495" s="239" t="n"/>
      <c r="T495" s="239" t="n"/>
      <c r="U495" s="239" t="n"/>
      <c r="V495" s="239" t="n"/>
      <c r="W495" s="239" t="n"/>
      <c r="X495" s="239" t="n"/>
      <c r="Y495" s="239" t="n"/>
      <c r="Z495" s="239" t="n"/>
      <c r="AA495" s="239" t="n"/>
      <c r="AB495" s="239" t="n"/>
      <c r="AC495" s="239" t="n"/>
      <c r="AD495" s="239" t="n"/>
      <c r="AE495" s="239" t="n"/>
      <c r="AF495" s="239" t="n"/>
      <c r="AG495" s="239" t="n"/>
      <c r="AH495" s="239" t="n"/>
      <c r="AI495" s="239" t="n"/>
      <c r="AJ495" s="239" t="n"/>
      <c r="AK495" s="239" t="n"/>
      <c r="AL495" s="239" t="n"/>
      <c r="AM495" s="239" t="n"/>
      <c r="AN495" s="239" t="n"/>
      <c r="AO495" s="239" t="n"/>
    </row>
    <row r="496">
      <c r="A496" s="256" t="n"/>
      <c r="B496" s="256" t="n"/>
      <c r="C496" s="256" t="n"/>
      <c r="D496" s="256" t="n"/>
      <c r="E496" s="256" t="n"/>
      <c r="F496" s="256" t="n"/>
      <c r="G496" s="256" t="n"/>
      <c r="H496" s="256" t="n"/>
      <c r="I496" s="256" t="n"/>
      <c r="J496" s="256" t="n"/>
      <c r="K496" s="256" t="n"/>
      <c r="L496" s="256" t="n"/>
      <c r="M496" s="256" t="n"/>
      <c r="N496" s="256" t="n"/>
      <c r="O496" s="256" t="n"/>
      <c r="P496" s="256" t="n"/>
      <c r="Q496" s="256" t="n"/>
      <c r="R496" s="256" t="n"/>
      <c r="S496" s="256" t="n"/>
      <c r="T496" s="256" t="n"/>
      <c r="U496" s="256" t="n"/>
      <c r="V496" s="256" t="n"/>
      <c r="W496" s="256" t="n"/>
      <c r="X496" s="256" t="n"/>
      <c r="Y496" s="256" t="n"/>
      <c r="Z496" s="256" t="n"/>
      <c r="AA496" s="256" t="n"/>
      <c r="AB496" s="256" t="n"/>
      <c r="AC496" s="256" t="n"/>
      <c r="AD496" s="256" t="n"/>
      <c r="AE496" s="256" t="n"/>
      <c r="AF496" s="256" t="n"/>
      <c r="AG496" s="256" t="n"/>
      <c r="AH496" s="256" t="n"/>
      <c r="AI496" s="256" t="n"/>
      <c r="AJ496" s="256" t="n"/>
      <c r="AK496" s="256" t="n"/>
      <c r="AL496" s="256" t="n"/>
      <c r="AM496" s="256" t="n"/>
      <c r="AN496" s="256" t="n"/>
      <c r="AO496" s="256" t="n"/>
    </row>
    <row r="497">
      <c r="A497" s="239" t="n"/>
      <c r="B497" s="239" t="n"/>
      <c r="C497" s="239" t="n"/>
      <c r="D497" s="239" t="n"/>
      <c r="E497" s="239" t="n"/>
      <c r="F497" s="239" t="n"/>
      <c r="G497" s="239" t="n"/>
      <c r="H497" s="239" t="n"/>
      <c r="I497" s="239" t="n"/>
      <c r="J497" s="239" t="n"/>
      <c r="K497" s="239" t="n"/>
      <c r="L497" s="239" t="n"/>
      <c r="M497" s="239" t="n"/>
      <c r="N497" s="239" t="n"/>
      <c r="O497" s="239" t="n"/>
      <c r="P497" s="239" t="n"/>
      <c r="Q497" s="239" t="n"/>
      <c r="R497" s="239" t="n"/>
      <c r="S497" s="239" t="n"/>
      <c r="T497" s="239" t="n"/>
      <c r="U497" s="239" t="n"/>
      <c r="V497" s="239" t="n"/>
      <c r="W497" s="239" t="n"/>
      <c r="X497" s="239" t="n"/>
      <c r="Y497" s="239" t="n"/>
      <c r="Z497" s="239" t="n"/>
      <c r="AA497" s="239" t="n"/>
      <c r="AB497" s="239" t="n"/>
      <c r="AC497" s="239" t="n"/>
      <c r="AD497" s="239" t="n"/>
      <c r="AE497" s="239" t="n"/>
      <c r="AF497" s="239" t="n"/>
      <c r="AG497" s="239" t="n"/>
      <c r="AH497" s="239" t="n"/>
      <c r="AI497" s="239" t="n"/>
      <c r="AJ497" s="239" t="n"/>
      <c r="AK497" s="239" t="n"/>
      <c r="AL497" s="239" t="n"/>
      <c r="AM497" s="239" t="n"/>
      <c r="AN497" s="239" t="n"/>
      <c r="AO497" s="239" t="n"/>
    </row>
    <row r="498">
      <c r="A498" s="256" t="n"/>
      <c r="B498" s="256" t="n"/>
      <c r="C498" s="256" t="n"/>
      <c r="D498" s="256" t="n"/>
      <c r="E498" s="256" t="n"/>
      <c r="F498" s="256" t="n"/>
      <c r="G498" s="256" t="n"/>
      <c r="H498" s="256" t="n"/>
      <c r="I498" s="256" t="n"/>
      <c r="J498" s="256" t="n"/>
      <c r="K498" s="256" t="n"/>
      <c r="L498" s="256" t="n"/>
      <c r="M498" s="256" t="n"/>
      <c r="N498" s="256" t="n"/>
      <c r="O498" s="256" t="n"/>
      <c r="P498" s="256" t="n"/>
      <c r="Q498" s="256" t="n"/>
      <c r="R498" s="256" t="n"/>
      <c r="S498" s="256" t="n"/>
      <c r="T498" s="256" t="n"/>
      <c r="U498" s="256" t="n"/>
      <c r="V498" s="256" t="n"/>
      <c r="W498" s="256" t="n"/>
      <c r="X498" s="256" t="n"/>
      <c r="Y498" s="256" t="n"/>
      <c r="Z498" s="256" t="n"/>
      <c r="AA498" s="256" t="n"/>
      <c r="AB498" s="256" t="n"/>
      <c r="AC498" s="256" t="n"/>
      <c r="AD498" s="256" t="n"/>
      <c r="AE498" s="256" t="n"/>
      <c r="AF498" s="256" t="n"/>
      <c r="AG498" s="256" t="n"/>
      <c r="AH498" s="256" t="n"/>
      <c r="AI498" s="256" t="n"/>
      <c r="AJ498" s="256" t="n"/>
      <c r="AK498" s="256" t="n"/>
      <c r="AL498" s="256" t="n"/>
      <c r="AM498" s="256" t="n"/>
      <c r="AN498" s="256" t="n"/>
      <c r="AO498" s="256" t="n"/>
    </row>
    <row r="499">
      <c r="A499" s="239" t="n"/>
      <c r="B499" s="239" t="n"/>
      <c r="C499" s="239" t="n"/>
      <c r="D499" s="239" t="n"/>
      <c r="E499" s="239" t="n"/>
      <c r="F499" s="239" t="n"/>
      <c r="G499" s="239" t="n"/>
      <c r="H499" s="239" t="n"/>
      <c r="I499" s="239" t="n"/>
      <c r="J499" s="239" t="n"/>
      <c r="K499" s="239" t="n"/>
      <c r="L499" s="239" t="n"/>
      <c r="M499" s="239" t="n"/>
      <c r="N499" s="239" t="n"/>
      <c r="O499" s="239" t="n"/>
      <c r="P499" s="239" t="n"/>
      <c r="Q499" s="239" t="n"/>
      <c r="R499" s="239" t="n"/>
      <c r="S499" s="239" t="n"/>
      <c r="T499" s="239" t="n"/>
      <c r="U499" s="239" t="n"/>
      <c r="V499" s="239" t="n"/>
      <c r="W499" s="239" t="n"/>
      <c r="X499" s="239" t="n"/>
      <c r="Y499" s="239" t="n"/>
      <c r="Z499" s="239" t="n"/>
      <c r="AA499" s="239" t="n"/>
      <c r="AB499" s="239" t="n"/>
      <c r="AC499" s="239" t="n"/>
      <c r="AD499" s="239" t="n"/>
      <c r="AE499" s="239" t="n"/>
      <c r="AF499" s="239" t="n"/>
      <c r="AG499" s="239" t="n"/>
      <c r="AH499" s="239" t="n"/>
      <c r="AI499" s="239" t="n"/>
      <c r="AJ499" s="239" t="n"/>
      <c r="AK499" s="239" t="n"/>
      <c r="AL499" s="239" t="n"/>
      <c r="AM499" s="239" t="n"/>
      <c r="AN499" s="239" t="n"/>
      <c r="AO499" s="239" t="n"/>
    </row>
    <row r="500">
      <c r="A500" s="256" t="n"/>
      <c r="B500" s="256" t="n"/>
      <c r="C500" s="256" t="n"/>
      <c r="D500" s="256" t="n"/>
      <c r="E500" s="256" t="n"/>
      <c r="F500" s="256" t="n"/>
      <c r="G500" s="256" t="n"/>
      <c r="H500" s="256" t="n"/>
      <c r="I500" s="256" t="n"/>
      <c r="J500" s="256" t="n"/>
      <c r="K500" s="256" t="n"/>
      <c r="L500" s="256" t="n"/>
      <c r="M500" s="256" t="n"/>
      <c r="N500" s="256" t="n"/>
      <c r="O500" s="256" t="n"/>
      <c r="P500" s="256" t="n"/>
      <c r="Q500" s="256" t="n"/>
      <c r="R500" s="256" t="n"/>
      <c r="S500" s="256" t="n"/>
      <c r="T500" s="256" t="n"/>
      <c r="U500" s="256" t="n"/>
      <c r="V500" s="256" t="n"/>
      <c r="W500" s="256" t="n"/>
      <c r="X500" s="256" t="n"/>
      <c r="Y500" s="256" t="n"/>
      <c r="Z500" s="256" t="n"/>
      <c r="AA500" s="256" t="n"/>
      <c r="AB500" s="256" t="n"/>
      <c r="AC500" s="256" t="n"/>
      <c r="AD500" s="256" t="n"/>
      <c r="AE500" s="256" t="n"/>
      <c r="AF500" s="256" t="n"/>
      <c r="AG500" s="256" t="n"/>
      <c r="AH500" s="256" t="n"/>
      <c r="AI500" s="256" t="n"/>
      <c r="AJ500" s="256" t="n"/>
      <c r="AK500" s="256" t="n"/>
      <c r="AL500" s="256" t="n"/>
      <c r="AM500" s="256" t="n"/>
      <c r="AN500" s="256" t="n"/>
      <c r="AO500" s="256" t="n"/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T10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16" min="1" max="1"/>
    <col width="18" customWidth="1" style="116" min="2" max="2"/>
    <col width="22" customWidth="1" style="116" min="3" max="3"/>
    <col width="18" customWidth="1" style="116" min="4" max="4"/>
    <col width="5" customWidth="1" style="116" min="5" max="5"/>
    <col width="16" customWidth="1" style="116" min="6" max="6"/>
    <col width="12" customWidth="1" style="116" min="7" max="7"/>
    <col width="10" customWidth="1" style="116" min="8" max="9"/>
    <col width="14" customWidth="1" style="116" min="10" max="10"/>
    <col width="10" customWidth="1" style="116" min="11" max="11"/>
    <col width="28" customWidth="1" style="116" min="12" max="12"/>
    <col width="22" customWidth="1" style="116" min="13" max="13"/>
    <col width="30" customWidth="1" style="116" min="14" max="14"/>
    <col width="12" customWidth="1" style="116" min="15" max="15"/>
    <col width="14" customWidth="1" style="116" min="16" max="18"/>
    <col width="10" customWidth="1" style="116" min="19" max="19"/>
    <col width="30" customWidth="1" style="116" min="20" max="20"/>
  </cols>
  <sheetData>
    <row r="1" ht="23.25" customHeight="1" s="117">
      <c r="A1" s="180" t="inlineStr">
        <is>
          <t>DATA</t>
        </is>
      </c>
      <c r="B1" s="180" t="inlineStr">
        <is>
          <t>CONSULTOR</t>
        </is>
      </c>
      <c r="C1" s="180" t="inlineStr">
        <is>
          <t>NOME FANTASIA</t>
        </is>
      </c>
      <c r="D1" s="180" t="inlineStr">
        <is>
          <t>CNPJ</t>
        </is>
      </c>
      <c r="E1" s="180" t="inlineStr">
        <is>
          <t>UF</t>
        </is>
      </c>
      <c r="F1" s="180" t="inlineStr">
        <is>
          <t>REDE / REGIONAL</t>
        </is>
      </c>
      <c r="G1" s="180" t="inlineStr">
        <is>
          <t>SITUAÇÃO</t>
        </is>
      </c>
      <c r="H1" s="181" t="inlineStr">
        <is>
          <t>WHATSAPP</t>
        </is>
      </c>
      <c r="I1" s="181" t="inlineStr">
        <is>
          <t>LIGAÇÃO</t>
        </is>
      </c>
      <c r="J1" s="181" t="inlineStr">
        <is>
          <t>LIGAÇÃO ATENDIDA</t>
        </is>
      </c>
      <c r="K1" s="181" t="inlineStr">
        <is>
          <t>TIPO AÇÃO</t>
        </is>
      </c>
      <c r="L1" s="182" t="inlineStr">
        <is>
          <t>TIPO DO CONTATO</t>
        </is>
      </c>
      <c r="M1" s="182" t="inlineStr">
        <is>
          <t>RESULTADO</t>
        </is>
      </c>
      <c r="N1" s="182" t="inlineStr">
        <is>
          <t>MOTIVO</t>
        </is>
      </c>
      <c r="O1" s="183" t="inlineStr">
        <is>
          <t>FOLLOW-UP</t>
        </is>
      </c>
      <c r="P1" s="183" t="inlineStr">
        <is>
          <t>AÇÃO</t>
        </is>
      </c>
      <c r="Q1" s="184" t="inlineStr">
        <is>
          <t>MERCOS ATUALIZADO</t>
        </is>
      </c>
      <c r="R1" s="184" t="inlineStr">
        <is>
          <t>FASE</t>
        </is>
      </c>
      <c r="S1" s="184" t="inlineStr">
        <is>
          <t>TENTATIVA</t>
        </is>
      </c>
      <c r="T1" s="184" t="inlineStr">
        <is>
          <t>NOTA DO DIA / AÇÃO</t>
        </is>
      </c>
    </row>
    <row r="2" ht="15" customHeight="1" s="117">
      <c r="A2" s="185" t="n">
        <v>46056</v>
      </c>
      <c r="B2" s="116" t="inlineStr">
        <is>
          <t>MANU DITZEL</t>
        </is>
      </c>
      <c r="C2" s="116" t="inlineStr">
        <is>
          <t>DIVINA TERRA CWB</t>
        </is>
      </c>
      <c r="D2" s="116" t="inlineStr">
        <is>
          <t>32828171000108</t>
        </is>
      </c>
      <c r="E2" s="116" t="inlineStr">
        <is>
          <t>PR</t>
        </is>
      </c>
      <c r="F2" s="116" t="inlineStr">
        <is>
          <t>DIVINA TERRA</t>
        </is>
      </c>
      <c r="G2" s="116" t="inlineStr">
        <is>
          <t>ATIVO</t>
        </is>
      </c>
      <c r="H2" s="116" t="inlineStr">
        <is>
          <t>SIM</t>
        </is>
      </c>
      <c r="I2" s="116" t="inlineStr">
        <is>
          <t>SIM</t>
        </is>
      </c>
      <c r="J2" s="116" t="inlineStr">
        <is>
          <t>SIM</t>
        </is>
      </c>
      <c r="K2" s="116" t="inlineStr">
        <is>
          <t>ATIVO</t>
        </is>
      </c>
      <c r="L2" s="116" t="inlineStr">
        <is>
          <t>ATEND. CLIENTES ATIVOS</t>
        </is>
      </c>
      <c r="M2" s="116" t="inlineStr">
        <is>
          <t>VENDA / PEDIDO</t>
        </is>
      </c>
      <c r="N2" s="116" t="inlineStr">
        <is>
          <t>PRIMEIRO CONTATO / SEM RESPOSTA</t>
        </is>
      </c>
      <c r="O2" s="186">
        <f>IF(M2="","",(IF(OR(M2="SUPORTE",M2="PERDA / FECHOU LOJA"),"SEM",A2+VLOOKUP(M2,REGRAS!$B$2:$C$13,2,FALSE()))))</f>
        <v/>
      </c>
      <c r="P2" s="116" t="inlineStr">
        <is>
          <t>RECOMPRA</t>
        </is>
      </c>
      <c r="Q2" s="116" t="inlineStr">
        <is>
          <t>SIM</t>
        </is>
      </c>
      <c r="R2" s="116" t="inlineStr">
        <is>
          <t>CS</t>
        </is>
      </c>
      <c r="S2" s="116" t="inlineStr">
        <is>
          <t>T1</t>
        </is>
      </c>
      <c r="T2" s="116" t="inlineStr">
        <is>
          <t>Pedido confirmado</t>
        </is>
      </c>
    </row>
    <row r="3" ht="15" customHeight="1" s="117">
      <c r="A3" s="185" t="n">
        <v>46056</v>
      </c>
      <c r="B3" s="116" t="inlineStr">
        <is>
          <t>LARISSA PADILHA</t>
        </is>
      </c>
      <c r="C3" s="116" t="inlineStr">
        <is>
          <t>BIO MUNDO SP</t>
        </is>
      </c>
      <c r="D3" s="116" t="inlineStr">
        <is>
          <t>41626544000140</t>
        </is>
      </c>
      <c r="E3" s="116" t="inlineStr">
        <is>
          <t>SP</t>
        </is>
      </c>
      <c r="F3" s="116" t="inlineStr">
        <is>
          <t>BIOMUNDO</t>
        </is>
      </c>
      <c r="G3" s="116" t="inlineStr">
        <is>
          <t>INAT.REC</t>
        </is>
      </c>
      <c r="H3" s="116" t="inlineStr">
        <is>
          <t>SIM</t>
        </is>
      </c>
      <c r="I3" s="116" t="inlineStr">
        <is>
          <t>NÃO</t>
        </is>
      </c>
      <c r="J3" s="116" t="inlineStr">
        <is>
          <t>N/A</t>
        </is>
      </c>
      <c r="K3" s="116" t="inlineStr">
        <is>
          <t>ATIVO</t>
        </is>
      </c>
      <c r="L3" s="116" t="inlineStr">
        <is>
          <t>ATEND. CLIENTES INATIVOS</t>
        </is>
      </c>
      <c r="M3" s="116" t="inlineStr">
        <is>
          <t>NÃO RESPONDE</t>
        </is>
      </c>
      <c r="N3" s="116" t="inlineStr">
        <is>
          <t>SEM INTERESSE NO MOMENTO</t>
        </is>
      </c>
      <c r="O3" s="186">
        <f>IF(M3="","",(IF(OR(M3="SUPORTE",M3="PERDA / FECHOU LOJA"),"SEM",A3+VLOOKUP(M3,REGRAS!$B$2:$C$13,2,FALSE()))))</f>
        <v/>
      </c>
      <c r="P3" s="116" t="inlineStr">
        <is>
          <t>SALVAMENTO</t>
        </is>
      </c>
      <c r="Q3" s="116" t="inlineStr">
        <is>
          <t>NÃO</t>
        </is>
      </c>
      <c r="R3" s="116" t="inlineStr">
        <is>
          <t>RECUPERAÇÃO</t>
        </is>
      </c>
      <c r="S3" s="116" t="inlineStr">
        <is>
          <t>T1</t>
        </is>
      </c>
      <c r="T3" s="116" t="inlineStr">
        <is>
          <t>Sem resposta WhatsApp</t>
        </is>
      </c>
    </row>
    <row r="4" ht="15" customHeight="1" s="117">
      <c r="A4" s="185" t="n">
        <v>46057</v>
      </c>
      <c r="B4" s="116" t="inlineStr">
        <is>
          <t>JULIO GADRET</t>
        </is>
      </c>
      <c r="C4" s="116" t="inlineStr">
        <is>
          <t>CIA SAUDE CURITIBA</t>
        </is>
      </c>
      <c r="D4" s="116" t="inlineStr">
        <is>
          <t>12345678000199</t>
        </is>
      </c>
      <c r="E4" s="116" t="inlineStr">
        <is>
          <t>PR</t>
        </is>
      </c>
      <c r="F4" s="116" t="inlineStr">
        <is>
          <t>CIA DA SAUDE</t>
        </is>
      </c>
      <c r="G4" s="116" t="inlineStr">
        <is>
          <t>ATIVO</t>
        </is>
      </c>
      <c r="H4" s="116" t="inlineStr">
        <is>
          <t>SIM</t>
        </is>
      </c>
      <c r="I4" s="116" t="inlineStr">
        <is>
          <t>SIM</t>
        </is>
      </c>
      <c r="J4" s="116" t="inlineStr">
        <is>
          <t>SIM</t>
        </is>
      </c>
      <c r="K4" s="116" t="inlineStr">
        <is>
          <t>RECEPTIVO</t>
        </is>
      </c>
      <c r="L4" s="116" t="inlineStr">
        <is>
          <t>NEGOCIAÇÃO</t>
        </is>
      </c>
      <c r="M4" s="116" t="inlineStr">
        <is>
          <t>ORÇAMENTO</t>
        </is>
      </c>
      <c r="N4" s="116" t="inlineStr">
        <is>
          <t>PRIMEIRO CONTATO / SEM RESPOSTA</t>
        </is>
      </c>
      <c r="O4" s="186">
        <f>IF(M4="","",(IF(OR(M4="SUPORTE",M4="PERDA / FECHOU LOJA"),"SEM",A4+VLOOKUP(M4,REGRAS!$B$2:$C$13,2,FALSE()))))</f>
        <v/>
      </c>
      <c r="P4" s="116" t="inlineStr">
        <is>
          <t>PÓS-VENDA</t>
        </is>
      </c>
      <c r="Q4" s="116" t="inlineStr">
        <is>
          <t>SIM</t>
        </is>
      </c>
      <c r="R4" s="116" t="inlineStr">
        <is>
          <t>PÓS-VENDA</t>
        </is>
      </c>
      <c r="S4" s="116" t="inlineStr">
        <is>
          <t>T1</t>
        </is>
      </c>
      <c r="T4" s="116" t="inlineStr">
        <is>
          <t>Enviou orçamento</t>
        </is>
      </c>
    </row>
    <row r="5" ht="15" customHeight="1" s="117">
      <c r="A5" s="185" t="n">
        <v>46058</v>
      </c>
      <c r="B5" s="116" t="inlineStr">
        <is>
          <t>DAIANE STAVICKI</t>
        </is>
      </c>
      <c r="C5" s="116" t="inlineStr">
        <is>
          <t>MUNDO VERDE RJ</t>
        </is>
      </c>
      <c r="D5" s="116" t="inlineStr">
        <is>
          <t>98765432000188</t>
        </is>
      </c>
      <c r="E5" s="116" t="inlineStr">
        <is>
          <t>RJ</t>
        </is>
      </c>
      <c r="F5" s="116" t="inlineStr">
        <is>
          <t>MUNDO VERDE</t>
        </is>
      </c>
      <c r="G5" s="116" t="inlineStr">
        <is>
          <t>ATIVO</t>
        </is>
      </c>
      <c r="H5" s="116" t="inlineStr">
        <is>
          <t>NÃO</t>
        </is>
      </c>
      <c r="I5" s="116" t="inlineStr">
        <is>
          <t>SIM</t>
        </is>
      </c>
      <c r="J5" s="116" t="inlineStr">
        <is>
          <t>SIM</t>
        </is>
      </c>
      <c r="K5" s="116" t="inlineStr">
        <is>
          <t>ATIVO</t>
        </is>
      </c>
      <c r="L5" s="116" t="inlineStr">
        <is>
          <t>PÓS-VENDA / RELACIONAMENTO</t>
        </is>
      </c>
      <c r="M5" s="116" t="inlineStr">
        <is>
          <t>RELACIONAMENTO</t>
        </is>
      </c>
      <c r="N5" s="116" t="inlineStr">
        <is>
          <t>AINDA TEM ESTOQUE</t>
        </is>
      </c>
      <c r="O5" s="186">
        <f>IF(M5="","",(IF(OR(M5="SUPORTE",M5="PERDA / FECHOU LOJA"),"SEM",A5+VLOOKUP(M5,REGRAS!$B$2:$C$13,2,FALSE()))))</f>
        <v/>
      </c>
      <c r="P5" s="116" t="inlineStr">
        <is>
          <t>CS</t>
        </is>
      </c>
      <c r="Q5" s="116" t="inlineStr">
        <is>
          <t>SIM</t>
        </is>
      </c>
      <c r="R5" s="116" t="inlineStr">
        <is>
          <t>CS</t>
        </is>
      </c>
      <c r="S5" s="116" t="inlineStr">
        <is>
          <t>T1</t>
        </is>
      </c>
      <c r="T5" s="116" t="inlineStr">
        <is>
          <t>Cliente satisfeito</t>
        </is>
      </c>
    </row>
    <row r="6" ht="15" customHeight="1" s="117">
      <c r="A6" s="185" t="n">
        <v>46058</v>
      </c>
      <c r="B6" s="116" t="inlineStr">
        <is>
          <t>MANU DITZEL</t>
        </is>
      </c>
      <c r="C6" s="116" t="inlineStr">
        <is>
          <t>DIVINA TERRA CWB</t>
        </is>
      </c>
      <c r="D6" s="116" t="inlineStr">
        <is>
          <t>32828171000108</t>
        </is>
      </c>
      <c r="E6" s="116" t="inlineStr">
        <is>
          <t>PR</t>
        </is>
      </c>
      <c r="F6" s="116" t="inlineStr">
        <is>
          <t>DIVINA TERRA</t>
        </is>
      </c>
      <c r="G6" s="116" t="inlineStr">
        <is>
          <t>ATIVO</t>
        </is>
      </c>
      <c r="H6" s="116" t="inlineStr">
        <is>
          <t>SIM</t>
        </is>
      </c>
      <c r="I6" s="116" t="inlineStr">
        <is>
          <t>NÃO</t>
        </is>
      </c>
      <c r="J6" s="116" t="inlineStr">
        <is>
          <t>N/A</t>
        </is>
      </c>
      <c r="K6" s="116" t="inlineStr">
        <is>
          <t>ATIVO</t>
        </is>
      </c>
      <c r="L6" s="116" t="inlineStr">
        <is>
          <t>FOLLOW UP</t>
        </is>
      </c>
      <c r="M6" s="116" t="inlineStr">
        <is>
          <t>FOLLOW UP 7</t>
        </is>
      </c>
      <c r="N6" s="116" t="inlineStr">
        <is>
          <t>PRIMEIRO CONTATO / SEM RESPOSTA</t>
        </is>
      </c>
      <c r="O6" s="186">
        <f>IF(M6="","",(IF(OR(M6="SUPORTE",M6="PERDA / FECHOU LOJA"),"SEM",A6+VLOOKUP(M6,REGRAS!$B$2:$C$13,2,FALSE()))))</f>
        <v/>
      </c>
      <c r="P6" s="116" t="inlineStr">
        <is>
          <t>RECOMPRA</t>
        </is>
      </c>
      <c r="Q6" s="116" t="inlineStr">
        <is>
          <t>SIM</t>
        </is>
      </c>
      <c r="R6" s="116" t="inlineStr">
        <is>
          <t>RECOMPRA</t>
        </is>
      </c>
      <c r="S6" s="116" t="inlineStr">
        <is>
          <t>T1</t>
        </is>
      </c>
      <c r="T6" s="116" t="inlineStr">
        <is>
          <t>Acompanhamento pós-venda</t>
        </is>
      </c>
    </row>
    <row r="7" ht="15" customHeight="1" s="117">
      <c r="A7" s="185" t="n">
        <v>46059</v>
      </c>
      <c r="B7" s="116" t="inlineStr">
        <is>
          <t>LARISSA PADILHA</t>
        </is>
      </c>
      <c r="C7" s="116" t="inlineStr">
        <is>
          <t>BIO MUNDO SP</t>
        </is>
      </c>
      <c r="D7" s="116" t="inlineStr">
        <is>
          <t>41626544000140</t>
        </is>
      </c>
      <c r="E7" s="116" t="inlineStr">
        <is>
          <t>SP</t>
        </is>
      </c>
      <c r="F7" s="116" t="inlineStr">
        <is>
          <t>BIOMUNDO</t>
        </is>
      </c>
      <c r="G7" s="116" t="inlineStr">
        <is>
          <t>INAT.REC</t>
        </is>
      </c>
      <c r="H7" s="116" t="inlineStr">
        <is>
          <t>NÃO</t>
        </is>
      </c>
      <c r="I7" s="116" t="inlineStr">
        <is>
          <t>SIM</t>
        </is>
      </c>
      <c r="J7" s="116" t="inlineStr">
        <is>
          <t>NÃO</t>
        </is>
      </c>
      <c r="K7" s="116" t="inlineStr">
        <is>
          <t>ATIVO</t>
        </is>
      </c>
      <c r="L7" s="116" t="inlineStr">
        <is>
          <t>ATEND. CLIENTES INATIVOS</t>
        </is>
      </c>
      <c r="M7" s="116" t="inlineStr">
        <is>
          <t>NÃO ATENDE</t>
        </is>
      </c>
      <c r="N7" s="116" t="inlineStr">
        <is>
          <t>SEM INTERESSE NO MOMENTO</t>
        </is>
      </c>
      <c r="O7" s="186">
        <f>IF(M7="","",(IF(OR(M7="SUPORTE",M7="PERDA / FECHOU LOJA"),"SEM",A7+VLOOKUP(M7,REGRAS!$B$2:$C$13,2,FALSE()))))</f>
        <v/>
      </c>
      <c r="P7" s="116" t="inlineStr">
        <is>
          <t>SALVAMENTO</t>
        </is>
      </c>
      <c r="Q7" s="116" t="inlineStr">
        <is>
          <t>NÃO</t>
        </is>
      </c>
      <c r="R7" s="116" t="inlineStr">
        <is>
          <t>RECUPERAÇÃO</t>
        </is>
      </c>
      <c r="S7" s="116" t="inlineStr">
        <is>
          <t>T2</t>
        </is>
      </c>
      <c r="T7" s="116" t="inlineStr">
        <is>
          <t>Ligou mas não atendeu</t>
        </is>
      </c>
    </row>
    <row r="8" ht="15" customHeight="1" s="117">
      <c r="A8" s="185" t="n">
        <v>46059</v>
      </c>
      <c r="B8" s="116" t="inlineStr">
        <is>
          <t>JULIO GADRET</t>
        </is>
      </c>
      <c r="C8" s="116" t="inlineStr">
        <is>
          <t>CIA SAUDE CURITIBA</t>
        </is>
      </c>
      <c r="D8" s="116" t="inlineStr">
        <is>
          <t>12345678000199</t>
        </is>
      </c>
      <c r="E8" s="116" t="inlineStr">
        <is>
          <t>PR</t>
        </is>
      </c>
      <c r="F8" s="116" t="inlineStr">
        <is>
          <t>CIA DA SAUDE</t>
        </is>
      </c>
      <c r="G8" s="116" t="inlineStr">
        <is>
          <t>ATIVO</t>
        </is>
      </c>
      <c r="H8" s="116" t="inlineStr">
        <is>
          <t>SIM</t>
        </is>
      </c>
      <c r="I8" s="116" t="inlineStr">
        <is>
          <t>SIM</t>
        </is>
      </c>
      <c r="J8" s="116" t="inlineStr">
        <is>
          <t>SIM</t>
        </is>
      </c>
      <c r="K8" s="116" t="inlineStr">
        <is>
          <t>ATIVO</t>
        </is>
      </c>
      <c r="L8" s="116" t="inlineStr">
        <is>
          <t>NEGOCIAÇÃO</t>
        </is>
      </c>
      <c r="M8" s="116" t="inlineStr">
        <is>
          <t>VENDA / PEDIDO</t>
        </is>
      </c>
      <c r="N8" s="116" t="inlineStr">
        <is>
          <t>PRIMEIRO CONTATO / SEM RESPOSTA</t>
        </is>
      </c>
      <c r="O8" s="186">
        <f>IF(M8="","",(IF(OR(M8="SUPORTE",M8="PERDA / FECHOU LOJA"),"SEM",A8+VLOOKUP(M8,REGRAS!$B$2:$C$13,2,FALSE()))))</f>
        <v/>
      </c>
      <c r="P8" s="116" t="inlineStr">
        <is>
          <t>PÓS-VENDA</t>
        </is>
      </c>
      <c r="Q8" s="116" t="inlineStr">
        <is>
          <t>SIM</t>
        </is>
      </c>
      <c r="R8" s="116" t="inlineStr">
        <is>
          <t>PÓS-VENDA</t>
        </is>
      </c>
      <c r="S8" s="116" t="inlineStr">
        <is>
          <t>T1</t>
        </is>
      </c>
      <c r="T8" s="116" t="inlineStr">
        <is>
          <t>Fechou pedido!</t>
        </is>
      </c>
    </row>
    <row r="9" ht="15" customHeight="1" s="117">
      <c r="A9" s="185" t="n">
        <v>46060</v>
      </c>
      <c r="B9" s="116" t="inlineStr">
        <is>
          <t>MANU DITZEL</t>
        </is>
      </c>
      <c r="C9" s="116" t="inlineStr">
        <is>
          <t>PROSPECT NOVO</t>
        </is>
      </c>
      <c r="D9" s="116" t="inlineStr">
        <is>
          <t>55566677000122</t>
        </is>
      </c>
      <c r="E9" s="116" t="inlineStr">
        <is>
          <t>MG</t>
        </is>
      </c>
      <c r="G9" s="116" t="inlineStr">
        <is>
          <t>PROSPECT</t>
        </is>
      </c>
      <c r="H9" s="116" t="inlineStr">
        <is>
          <t>SIM</t>
        </is>
      </c>
      <c r="I9" s="116" t="inlineStr">
        <is>
          <t>NÃO</t>
        </is>
      </c>
      <c r="J9" s="116" t="inlineStr">
        <is>
          <t>N/A</t>
        </is>
      </c>
      <c r="K9" s="116" t="inlineStr">
        <is>
          <t>ATIVO</t>
        </is>
      </c>
      <c r="L9" s="116" t="inlineStr">
        <is>
          <t>PROSPECÇÃO</t>
        </is>
      </c>
      <c r="M9" s="116" t="inlineStr">
        <is>
          <t>EM ATENDIMENTO</t>
        </is>
      </c>
      <c r="N9" s="116" t="inlineStr">
        <is>
          <t>PRIMEIRO CONTATO / SEM RESPOSTA</t>
        </is>
      </c>
      <c r="O9" s="186">
        <f>IF(M9="","",(IF(OR(M9="SUPORTE",M9="PERDA / FECHOU LOJA"),"SEM",A9+VLOOKUP(M9,REGRAS!$B$2:$C$13,2,FALSE()))))</f>
        <v/>
      </c>
      <c r="P9" s="116" t="inlineStr">
        <is>
          <t>PROSPECÇÃO</t>
        </is>
      </c>
      <c r="Q9" s="116" t="inlineStr">
        <is>
          <t>NÃO</t>
        </is>
      </c>
      <c r="R9" s="116" t="inlineStr">
        <is>
          <t>PROSPECÇÃO</t>
        </is>
      </c>
      <c r="S9" s="116" t="inlineStr">
        <is>
          <t>T1</t>
        </is>
      </c>
      <c r="T9" s="116" t="inlineStr">
        <is>
          <t>1º contato WhatsApp</t>
        </is>
      </c>
    </row>
    <row r="10" ht="15" customHeight="1" s="117">
      <c r="H10" s="116" t="n"/>
      <c r="I10" s="116" t="n"/>
      <c r="J10" s="116" t="n"/>
      <c r="K10" s="116" t="n"/>
      <c r="L10" s="116" t="n"/>
      <c r="M10" s="116" t="n"/>
      <c r="N10" s="116" t="n"/>
      <c r="P10" s="116" t="n"/>
      <c r="Q10" s="116" t="n"/>
    </row>
    <row r="11" ht="15" customHeight="1" s="117">
      <c r="H11" s="116" t="n"/>
      <c r="I11" s="116" t="n"/>
      <c r="J11" s="116" t="n"/>
      <c r="K11" s="116" t="n"/>
      <c r="L11" s="116" t="n"/>
      <c r="M11" s="116" t="n"/>
      <c r="N11" s="116" t="n"/>
      <c r="P11" s="116" t="n"/>
      <c r="Q11" s="116" t="n"/>
    </row>
    <row r="12" ht="15" customHeight="1" s="117">
      <c r="H12" s="116" t="n"/>
      <c r="I12" s="116" t="n"/>
      <c r="J12" s="116" t="n"/>
      <c r="K12" s="116" t="n"/>
      <c r="L12" s="116" t="n"/>
      <c r="M12" s="116" t="n"/>
      <c r="N12" s="116" t="n"/>
      <c r="P12" s="116" t="n"/>
      <c r="Q12" s="116" t="n"/>
    </row>
    <row r="13" ht="15" customHeight="1" s="117">
      <c r="H13" s="116" t="n"/>
      <c r="I13" s="116" t="n"/>
      <c r="J13" s="116" t="n"/>
      <c r="K13" s="116" t="n"/>
      <c r="L13" s="116" t="n"/>
      <c r="M13" s="116" t="n"/>
      <c r="N13" s="116" t="n"/>
      <c r="P13" s="116" t="n"/>
      <c r="Q13" s="116" t="n"/>
    </row>
    <row r="14" ht="15" customHeight="1" s="117">
      <c r="H14" s="116" t="n"/>
      <c r="I14" s="116" t="n"/>
      <c r="J14" s="116" t="n"/>
      <c r="K14" s="116" t="n"/>
      <c r="L14" s="116" t="n"/>
      <c r="M14" s="116" t="n"/>
      <c r="N14" s="116" t="n"/>
      <c r="P14" s="116" t="n"/>
      <c r="Q14" s="116" t="n"/>
    </row>
    <row r="15" ht="15" customHeight="1" s="117">
      <c r="H15" s="116" t="n"/>
      <c r="I15" s="116" t="n"/>
      <c r="J15" s="116" t="n"/>
      <c r="K15" s="116" t="n"/>
      <c r="L15" s="116" t="n"/>
      <c r="M15" s="116" t="n"/>
      <c r="N15" s="116" t="n"/>
      <c r="P15" s="116" t="n"/>
      <c r="Q15" s="116" t="n"/>
    </row>
    <row r="16" ht="15" customHeight="1" s="117">
      <c r="H16" s="116" t="n"/>
      <c r="I16" s="116" t="n"/>
      <c r="J16" s="116" t="n"/>
      <c r="K16" s="116" t="n"/>
      <c r="L16" s="116" t="n"/>
      <c r="M16" s="116" t="n"/>
      <c r="N16" s="116" t="n"/>
      <c r="P16" s="116" t="n"/>
      <c r="Q16" s="116" t="n"/>
    </row>
    <row r="17" ht="15" customHeight="1" s="117">
      <c r="H17" s="116" t="n"/>
      <c r="I17" s="116" t="n"/>
      <c r="J17" s="116" t="n"/>
      <c r="K17" s="116" t="n"/>
      <c r="L17" s="116" t="n"/>
      <c r="M17" s="116" t="n"/>
      <c r="N17" s="116" t="n"/>
      <c r="P17" s="116" t="n"/>
      <c r="Q17" s="116" t="n"/>
    </row>
    <row r="18" ht="15" customHeight="1" s="117">
      <c r="H18" s="116" t="n"/>
      <c r="I18" s="116" t="n"/>
      <c r="J18" s="116" t="n"/>
      <c r="K18" s="116" t="n"/>
      <c r="L18" s="116" t="n"/>
      <c r="M18" s="116" t="n"/>
      <c r="N18" s="116" t="n"/>
      <c r="P18" s="116" t="n"/>
      <c r="Q18" s="116" t="n"/>
    </row>
    <row r="19" ht="15" customHeight="1" s="117">
      <c r="H19" s="116" t="n"/>
      <c r="I19" s="116" t="n"/>
      <c r="J19" s="116" t="n"/>
      <c r="K19" s="116" t="n"/>
      <c r="L19" s="116" t="n"/>
      <c r="M19" s="116" t="n"/>
      <c r="N19" s="116" t="n"/>
      <c r="P19" s="116" t="n"/>
      <c r="Q19" s="116" t="n"/>
    </row>
    <row r="20" ht="15" customHeight="1" s="117">
      <c r="H20" s="116" t="n"/>
      <c r="I20" s="116" t="n"/>
      <c r="J20" s="116" t="n"/>
      <c r="K20" s="116" t="n"/>
      <c r="L20" s="116" t="n"/>
      <c r="M20" s="116" t="n"/>
      <c r="N20" s="116" t="n"/>
      <c r="P20" s="116" t="n"/>
      <c r="Q20" s="116" t="n"/>
    </row>
    <row r="21" ht="15" customHeight="1" s="117">
      <c r="H21" s="116" t="n"/>
      <c r="I21" s="116" t="n"/>
      <c r="J21" s="116" t="n"/>
      <c r="K21" s="116" t="n"/>
      <c r="L21" s="116" t="n"/>
      <c r="M21" s="116" t="n"/>
      <c r="N21" s="116" t="n"/>
      <c r="P21" s="116" t="n"/>
      <c r="Q21" s="116" t="n"/>
    </row>
    <row r="22" ht="15" customHeight="1" s="117">
      <c r="H22" s="116" t="n"/>
      <c r="I22" s="116" t="n"/>
      <c r="J22" s="116" t="n"/>
      <c r="K22" s="116" t="n"/>
      <c r="L22" s="116" t="n"/>
      <c r="M22" s="116" t="n"/>
      <c r="N22" s="116" t="n"/>
      <c r="P22" s="116" t="n"/>
      <c r="Q22" s="116" t="n"/>
    </row>
    <row r="23" ht="15" customHeight="1" s="117">
      <c r="H23" s="116" t="n"/>
      <c r="I23" s="116" t="n"/>
      <c r="J23" s="116" t="n"/>
      <c r="K23" s="116" t="n"/>
      <c r="L23" s="116" t="n"/>
      <c r="M23" s="116" t="n"/>
      <c r="N23" s="116" t="n"/>
      <c r="P23" s="116" t="n"/>
      <c r="Q23" s="116" t="n"/>
    </row>
    <row r="24" ht="15" customHeight="1" s="117">
      <c r="H24" s="116" t="n"/>
      <c r="I24" s="116" t="n"/>
      <c r="J24" s="116" t="n"/>
      <c r="K24" s="116" t="n"/>
      <c r="L24" s="116" t="n"/>
      <c r="M24" s="116" t="n"/>
      <c r="N24" s="116" t="n"/>
      <c r="P24" s="116" t="n"/>
      <c r="Q24" s="116" t="n"/>
    </row>
    <row r="25" ht="15" customHeight="1" s="117">
      <c r="H25" s="116" t="n"/>
      <c r="I25" s="116" t="n"/>
      <c r="J25" s="116" t="n"/>
      <c r="K25" s="116" t="n"/>
      <c r="L25" s="116" t="n"/>
      <c r="M25" s="116" t="n"/>
      <c r="N25" s="116" t="n"/>
      <c r="P25" s="116" t="n"/>
      <c r="Q25" s="116" t="n"/>
    </row>
    <row r="26" ht="15" customHeight="1" s="117">
      <c r="H26" s="116" t="n"/>
      <c r="I26" s="116" t="n"/>
      <c r="J26" s="116" t="n"/>
      <c r="K26" s="116" t="n"/>
      <c r="L26" s="116" t="n"/>
      <c r="M26" s="116" t="n"/>
      <c r="N26" s="116" t="n"/>
      <c r="P26" s="116" t="n"/>
      <c r="Q26" s="116" t="n"/>
    </row>
    <row r="27" ht="15" customHeight="1" s="117">
      <c r="H27" s="116" t="n"/>
      <c r="I27" s="116" t="n"/>
      <c r="J27" s="116" t="n"/>
      <c r="K27" s="116" t="n"/>
      <c r="L27" s="116" t="n"/>
      <c r="M27" s="116" t="n"/>
      <c r="N27" s="116" t="n"/>
      <c r="P27" s="116" t="n"/>
      <c r="Q27" s="116" t="n"/>
    </row>
    <row r="28" ht="15" customHeight="1" s="117">
      <c r="H28" s="116" t="n"/>
      <c r="I28" s="116" t="n"/>
      <c r="J28" s="116" t="n"/>
      <c r="K28" s="116" t="n"/>
      <c r="L28" s="116" t="n"/>
      <c r="M28" s="116" t="n"/>
      <c r="N28" s="116" t="n"/>
      <c r="P28" s="116" t="n"/>
      <c r="Q28" s="116" t="n"/>
    </row>
    <row r="29" ht="15" customHeight="1" s="117">
      <c r="H29" s="116" t="n"/>
      <c r="I29" s="116" t="n"/>
      <c r="J29" s="116" t="n"/>
      <c r="K29" s="116" t="n"/>
      <c r="L29" s="116" t="n"/>
      <c r="M29" s="116" t="n"/>
      <c r="N29" s="116" t="n"/>
      <c r="P29" s="116" t="n"/>
      <c r="Q29" s="116" t="n"/>
    </row>
    <row r="30" ht="15" customHeight="1" s="117">
      <c r="H30" s="116" t="n"/>
      <c r="I30" s="116" t="n"/>
      <c r="J30" s="116" t="n"/>
      <c r="K30" s="116" t="n"/>
      <c r="L30" s="116" t="n"/>
      <c r="M30" s="116" t="n"/>
      <c r="N30" s="116" t="n"/>
      <c r="P30" s="116" t="n"/>
      <c r="Q30" s="116" t="n"/>
    </row>
    <row r="31" ht="15" customHeight="1" s="117">
      <c r="H31" s="116" t="n"/>
      <c r="I31" s="116" t="n"/>
      <c r="J31" s="116" t="n"/>
      <c r="K31" s="116" t="n"/>
      <c r="L31" s="116" t="n"/>
      <c r="M31" s="116" t="n"/>
      <c r="N31" s="116" t="n"/>
      <c r="P31" s="116" t="n"/>
      <c r="Q31" s="116" t="n"/>
    </row>
    <row r="32" ht="15" customHeight="1" s="117">
      <c r="H32" s="116" t="n"/>
      <c r="I32" s="116" t="n"/>
      <c r="J32" s="116" t="n"/>
      <c r="K32" s="116" t="n"/>
      <c r="L32" s="116" t="n"/>
      <c r="M32" s="116" t="n"/>
      <c r="N32" s="116" t="n"/>
      <c r="P32" s="116" t="n"/>
      <c r="Q32" s="116" t="n"/>
    </row>
    <row r="33" ht="15" customHeight="1" s="117">
      <c r="H33" s="116" t="n"/>
      <c r="I33" s="116" t="n"/>
      <c r="J33" s="116" t="n"/>
      <c r="K33" s="116" t="n"/>
      <c r="L33" s="116" t="n"/>
      <c r="M33" s="116" t="n"/>
      <c r="N33" s="116" t="n"/>
      <c r="P33" s="116" t="n"/>
      <c r="Q33" s="116" t="n"/>
    </row>
    <row r="34" ht="15" customHeight="1" s="117">
      <c r="H34" s="116" t="n"/>
      <c r="I34" s="116" t="n"/>
      <c r="J34" s="116" t="n"/>
      <c r="K34" s="116" t="n"/>
      <c r="L34" s="116" t="n"/>
      <c r="M34" s="116" t="n"/>
      <c r="N34" s="116" t="n"/>
      <c r="P34" s="116" t="n"/>
      <c r="Q34" s="116" t="n"/>
    </row>
    <row r="35" ht="15" customHeight="1" s="117">
      <c r="H35" s="116" t="n"/>
      <c r="I35" s="116" t="n"/>
      <c r="J35" s="116" t="n"/>
      <c r="K35" s="116" t="n"/>
      <c r="L35" s="116" t="n"/>
      <c r="M35" s="116" t="n"/>
      <c r="N35" s="116" t="n"/>
      <c r="P35" s="116" t="n"/>
      <c r="Q35" s="116" t="n"/>
    </row>
    <row r="36" ht="15" customHeight="1" s="117">
      <c r="H36" s="116" t="n"/>
      <c r="I36" s="116" t="n"/>
      <c r="J36" s="116" t="n"/>
      <c r="K36" s="116" t="n"/>
      <c r="L36" s="116" t="n"/>
      <c r="M36" s="116" t="n"/>
      <c r="N36" s="116" t="n"/>
      <c r="P36" s="116" t="n"/>
      <c r="Q36" s="116" t="n"/>
    </row>
    <row r="37" ht="15" customHeight="1" s="117">
      <c r="H37" s="116" t="n"/>
      <c r="I37" s="116" t="n"/>
      <c r="J37" s="116" t="n"/>
      <c r="K37" s="116" t="n"/>
      <c r="L37" s="116" t="n"/>
      <c r="M37" s="116" t="n"/>
      <c r="N37" s="116" t="n"/>
      <c r="P37" s="116" t="n"/>
      <c r="Q37" s="116" t="n"/>
    </row>
    <row r="38" ht="15" customHeight="1" s="117">
      <c r="H38" s="116" t="n"/>
      <c r="I38" s="116" t="n"/>
      <c r="J38" s="116" t="n"/>
      <c r="K38" s="116" t="n"/>
      <c r="L38" s="116" t="n"/>
      <c r="M38" s="116" t="n"/>
      <c r="N38" s="116" t="n"/>
      <c r="P38" s="116" t="n"/>
      <c r="Q38" s="116" t="n"/>
    </row>
    <row r="39" ht="15" customHeight="1" s="117">
      <c r="H39" s="116" t="n"/>
      <c r="I39" s="116" t="n"/>
      <c r="J39" s="116" t="n"/>
      <c r="K39" s="116" t="n"/>
      <c r="L39" s="116" t="n"/>
      <c r="M39" s="116" t="n"/>
      <c r="N39" s="116" t="n"/>
      <c r="P39" s="116" t="n"/>
      <c r="Q39" s="116" t="n"/>
    </row>
    <row r="40" ht="15" customHeight="1" s="117">
      <c r="H40" s="116" t="n"/>
      <c r="I40" s="116" t="n"/>
      <c r="J40" s="116" t="n"/>
      <c r="K40" s="116" t="n"/>
      <c r="L40" s="116" t="n"/>
      <c r="M40" s="116" t="n"/>
      <c r="N40" s="116" t="n"/>
      <c r="P40" s="116" t="n"/>
      <c r="Q40" s="116" t="n"/>
    </row>
    <row r="41" ht="15" customHeight="1" s="117">
      <c r="H41" s="116" t="n"/>
      <c r="I41" s="116" t="n"/>
      <c r="J41" s="116" t="n"/>
      <c r="K41" s="116" t="n"/>
      <c r="L41" s="116" t="n"/>
      <c r="M41" s="116" t="n"/>
      <c r="N41" s="116" t="n"/>
      <c r="P41" s="116" t="n"/>
      <c r="Q41" s="116" t="n"/>
    </row>
    <row r="42" ht="15" customHeight="1" s="117">
      <c r="H42" s="116" t="n"/>
      <c r="I42" s="116" t="n"/>
      <c r="J42" s="116" t="n"/>
      <c r="K42" s="116" t="n"/>
      <c r="L42" s="116" t="n"/>
      <c r="M42" s="116" t="n"/>
      <c r="N42" s="116" t="n"/>
      <c r="P42" s="116" t="n"/>
      <c r="Q42" s="116" t="n"/>
    </row>
    <row r="43" ht="15" customHeight="1" s="117">
      <c r="H43" s="116" t="n"/>
      <c r="I43" s="116" t="n"/>
      <c r="J43" s="116" t="n"/>
      <c r="K43" s="116" t="n"/>
      <c r="L43" s="116" t="n"/>
      <c r="M43" s="116" t="n"/>
      <c r="N43" s="116" t="n"/>
      <c r="P43" s="116" t="n"/>
      <c r="Q43" s="116" t="n"/>
    </row>
    <row r="44" ht="15" customHeight="1" s="117">
      <c r="H44" s="116" t="n"/>
      <c r="I44" s="116" t="n"/>
      <c r="J44" s="116" t="n"/>
      <c r="K44" s="116" t="n"/>
      <c r="L44" s="116" t="n"/>
      <c r="M44" s="116" t="n"/>
      <c r="N44" s="116" t="n"/>
      <c r="P44" s="116" t="n"/>
      <c r="Q44" s="116" t="n"/>
    </row>
    <row r="45" ht="15" customHeight="1" s="117">
      <c r="H45" s="116" t="n"/>
      <c r="I45" s="116" t="n"/>
      <c r="J45" s="116" t="n"/>
      <c r="K45" s="116" t="n"/>
      <c r="L45" s="116" t="n"/>
      <c r="M45" s="116" t="n"/>
      <c r="N45" s="116" t="n"/>
      <c r="P45" s="116" t="n"/>
      <c r="Q45" s="116" t="n"/>
    </row>
    <row r="46" ht="15" customHeight="1" s="117">
      <c r="H46" s="116" t="n"/>
      <c r="I46" s="116" t="n"/>
      <c r="J46" s="116" t="n"/>
      <c r="K46" s="116" t="n"/>
      <c r="L46" s="116" t="n"/>
      <c r="M46" s="116" t="n"/>
      <c r="N46" s="116" t="n"/>
      <c r="P46" s="116" t="n"/>
      <c r="Q46" s="116" t="n"/>
    </row>
    <row r="47" ht="15" customHeight="1" s="117">
      <c r="H47" s="116" t="n"/>
      <c r="I47" s="116" t="n"/>
      <c r="J47" s="116" t="n"/>
      <c r="K47" s="116" t="n"/>
      <c r="L47" s="116" t="n"/>
      <c r="M47" s="116" t="n"/>
      <c r="N47" s="116" t="n"/>
      <c r="P47" s="116" t="n"/>
      <c r="Q47" s="116" t="n"/>
    </row>
    <row r="48" ht="15" customHeight="1" s="117">
      <c r="H48" s="116" t="n"/>
      <c r="I48" s="116" t="n"/>
      <c r="J48" s="116" t="n"/>
      <c r="K48" s="116" t="n"/>
      <c r="L48" s="116" t="n"/>
      <c r="M48" s="116" t="n"/>
      <c r="N48" s="116" t="n"/>
      <c r="P48" s="116" t="n"/>
      <c r="Q48" s="116" t="n"/>
    </row>
    <row r="49" ht="15" customHeight="1" s="117">
      <c r="H49" s="116" t="n"/>
      <c r="I49" s="116" t="n"/>
      <c r="J49" s="116" t="n"/>
      <c r="K49" s="116" t="n"/>
      <c r="L49" s="116" t="n"/>
      <c r="M49" s="116" t="n"/>
      <c r="N49" s="116" t="n"/>
      <c r="P49" s="116" t="n"/>
      <c r="Q49" s="116" t="n"/>
    </row>
    <row r="50" ht="15" customHeight="1" s="117">
      <c r="H50" s="116" t="n"/>
      <c r="I50" s="116" t="n"/>
      <c r="J50" s="116" t="n"/>
      <c r="K50" s="116" t="n"/>
      <c r="L50" s="116" t="n"/>
      <c r="M50" s="116" t="n"/>
      <c r="N50" s="116" t="n"/>
      <c r="P50" s="116" t="n"/>
      <c r="Q50" s="116" t="n"/>
    </row>
    <row r="51" ht="15" customHeight="1" s="117">
      <c r="H51" s="116" t="n"/>
      <c r="I51" s="116" t="n"/>
      <c r="J51" s="116" t="n"/>
      <c r="K51" s="116" t="n"/>
      <c r="L51" s="116" t="n"/>
      <c r="M51" s="116" t="n"/>
      <c r="N51" s="116" t="n"/>
      <c r="P51" s="116" t="n"/>
      <c r="Q51" s="116" t="n"/>
    </row>
    <row r="52" ht="15" customHeight="1" s="117">
      <c r="H52" s="116" t="n"/>
      <c r="I52" s="116" t="n"/>
      <c r="J52" s="116" t="n"/>
      <c r="K52" s="116" t="n"/>
      <c r="L52" s="116" t="n"/>
      <c r="M52" s="116" t="n"/>
      <c r="N52" s="116" t="n"/>
      <c r="P52" s="116" t="n"/>
      <c r="Q52" s="116" t="n"/>
    </row>
    <row r="53" ht="15" customHeight="1" s="117">
      <c r="H53" s="116" t="n"/>
      <c r="I53" s="116" t="n"/>
      <c r="J53" s="116" t="n"/>
      <c r="K53" s="116" t="n"/>
      <c r="L53" s="116" t="n"/>
      <c r="M53" s="116" t="n"/>
      <c r="N53" s="116" t="n"/>
      <c r="P53" s="116" t="n"/>
      <c r="Q53" s="116" t="n"/>
    </row>
    <row r="54" ht="15" customHeight="1" s="117">
      <c r="H54" s="116" t="n"/>
      <c r="I54" s="116" t="n"/>
      <c r="J54" s="116" t="n"/>
      <c r="K54" s="116" t="n"/>
      <c r="L54" s="116" t="n"/>
      <c r="M54" s="116" t="n"/>
      <c r="N54" s="116" t="n"/>
      <c r="P54" s="116" t="n"/>
      <c r="Q54" s="116" t="n"/>
    </row>
    <row r="55" ht="15" customHeight="1" s="117">
      <c r="H55" s="116" t="n"/>
      <c r="I55" s="116" t="n"/>
      <c r="J55" s="116" t="n"/>
      <c r="K55" s="116" t="n"/>
      <c r="L55" s="116" t="n"/>
      <c r="M55" s="116" t="n"/>
      <c r="N55" s="116" t="n"/>
      <c r="P55" s="116" t="n"/>
      <c r="Q55" s="116" t="n"/>
    </row>
    <row r="56" ht="15" customHeight="1" s="117">
      <c r="H56" s="116" t="n"/>
      <c r="I56" s="116" t="n"/>
      <c r="J56" s="116" t="n"/>
      <c r="K56" s="116" t="n"/>
      <c r="L56" s="116" t="n"/>
      <c r="M56" s="116" t="n"/>
      <c r="N56" s="116" t="n"/>
      <c r="P56" s="116" t="n"/>
      <c r="Q56" s="116" t="n"/>
    </row>
    <row r="57" ht="15" customHeight="1" s="117">
      <c r="H57" s="116" t="n"/>
      <c r="I57" s="116" t="n"/>
      <c r="J57" s="116" t="n"/>
      <c r="K57" s="116" t="n"/>
      <c r="L57" s="116" t="n"/>
      <c r="M57" s="116" t="n"/>
      <c r="N57" s="116" t="n"/>
      <c r="P57" s="116" t="n"/>
      <c r="Q57" s="116" t="n"/>
    </row>
    <row r="58" ht="15" customHeight="1" s="117">
      <c r="H58" s="116" t="n"/>
      <c r="I58" s="116" t="n"/>
      <c r="J58" s="116" t="n"/>
      <c r="K58" s="116" t="n"/>
      <c r="L58" s="116" t="n"/>
      <c r="M58" s="116" t="n"/>
      <c r="N58" s="116" t="n"/>
      <c r="P58" s="116" t="n"/>
      <c r="Q58" s="116" t="n"/>
    </row>
    <row r="59" ht="15" customHeight="1" s="117">
      <c r="H59" s="116" t="n"/>
      <c r="I59" s="116" t="n"/>
      <c r="J59" s="116" t="n"/>
      <c r="K59" s="116" t="n"/>
      <c r="L59" s="116" t="n"/>
      <c r="M59" s="116" t="n"/>
      <c r="N59" s="116" t="n"/>
      <c r="P59" s="116" t="n"/>
      <c r="Q59" s="116" t="n"/>
    </row>
    <row r="60" ht="15" customHeight="1" s="117">
      <c r="H60" s="116" t="n"/>
      <c r="I60" s="116" t="n"/>
      <c r="J60" s="116" t="n"/>
      <c r="K60" s="116" t="n"/>
      <c r="L60" s="116" t="n"/>
      <c r="M60" s="116" t="n"/>
      <c r="N60" s="116" t="n"/>
      <c r="P60" s="116" t="n"/>
      <c r="Q60" s="116" t="n"/>
    </row>
    <row r="61" ht="15" customHeight="1" s="117">
      <c r="H61" s="116" t="n"/>
      <c r="I61" s="116" t="n"/>
      <c r="J61" s="116" t="n"/>
      <c r="K61" s="116" t="n"/>
      <c r="L61" s="116" t="n"/>
      <c r="M61" s="116" t="n"/>
      <c r="N61" s="116" t="n"/>
      <c r="P61" s="116" t="n"/>
      <c r="Q61" s="116" t="n"/>
    </row>
    <row r="62" ht="15" customHeight="1" s="117">
      <c r="H62" s="116" t="n"/>
      <c r="I62" s="116" t="n"/>
      <c r="J62" s="116" t="n"/>
      <c r="K62" s="116" t="n"/>
      <c r="L62" s="116" t="n"/>
      <c r="M62" s="116" t="n"/>
      <c r="N62" s="116" t="n"/>
      <c r="P62" s="116" t="n"/>
      <c r="Q62" s="116" t="n"/>
    </row>
    <row r="63" ht="15" customHeight="1" s="117">
      <c r="H63" s="116" t="n"/>
      <c r="I63" s="116" t="n"/>
      <c r="J63" s="116" t="n"/>
      <c r="K63" s="116" t="n"/>
      <c r="L63" s="116" t="n"/>
      <c r="M63" s="116" t="n"/>
      <c r="N63" s="116" t="n"/>
      <c r="P63" s="116" t="n"/>
      <c r="Q63" s="116" t="n"/>
    </row>
    <row r="64" ht="15" customHeight="1" s="117">
      <c r="H64" s="116" t="n"/>
      <c r="I64" s="116" t="n"/>
      <c r="J64" s="116" t="n"/>
      <c r="K64" s="116" t="n"/>
      <c r="L64" s="116" t="n"/>
      <c r="M64" s="116" t="n"/>
      <c r="N64" s="116" t="n"/>
      <c r="P64" s="116" t="n"/>
      <c r="Q64" s="116" t="n"/>
    </row>
    <row r="65" ht="15" customHeight="1" s="117">
      <c r="H65" s="116" t="n"/>
      <c r="I65" s="116" t="n"/>
      <c r="J65" s="116" t="n"/>
      <c r="K65" s="116" t="n"/>
      <c r="L65" s="116" t="n"/>
      <c r="M65" s="116" t="n"/>
      <c r="N65" s="116" t="n"/>
      <c r="P65" s="116" t="n"/>
      <c r="Q65" s="116" t="n"/>
    </row>
    <row r="66" ht="15" customHeight="1" s="117">
      <c r="H66" s="116" t="n"/>
      <c r="I66" s="116" t="n"/>
      <c r="J66" s="116" t="n"/>
      <c r="K66" s="116" t="n"/>
      <c r="L66" s="116" t="n"/>
      <c r="M66" s="116" t="n"/>
      <c r="N66" s="116" t="n"/>
      <c r="P66" s="116" t="n"/>
      <c r="Q66" s="116" t="n"/>
    </row>
    <row r="67" ht="15" customHeight="1" s="117">
      <c r="H67" s="116" t="n"/>
      <c r="I67" s="116" t="n"/>
      <c r="J67" s="116" t="n"/>
      <c r="K67" s="116" t="n"/>
      <c r="L67" s="116" t="n"/>
      <c r="M67" s="116" t="n"/>
      <c r="N67" s="116" t="n"/>
      <c r="P67" s="116" t="n"/>
      <c r="Q67" s="116" t="n"/>
    </row>
    <row r="68" ht="15" customHeight="1" s="117">
      <c r="H68" s="116" t="n"/>
      <c r="I68" s="116" t="n"/>
      <c r="J68" s="116" t="n"/>
      <c r="K68" s="116" t="n"/>
      <c r="L68" s="116" t="n"/>
      <c r="M68" s="116" t="n"/>
      <c r="N68" s="116" t="n"/>
      <c r="P68" s="116" t="n"/>
      <c r="Q68" s="116" t="n"/>
    </row>
    <row r="69" ht="15" customHeight="1" s="117">
      <c r="H69" s="116" t="n"/>
      <c r="I69" s="116" t="n"/>
      <c r="J69" s="116" t="n"/>
      <c r="K69" s="116" t="n"/>
      <c r="L69" s="116" t="n"/>
      <c r="M69" s="116" t="n"/>
      <c r="N69" s="116" t="n"/>
      <c r="P69" s="116" t="n"/>
      <c r="Q69" s="116" t="n"/>
    </row>
    <row r="70" ht="15" customHeight="1" s="117">
      <c r="H70" s="116" t="n"/>
      <c r="I70" s="116" t="n"/>
      <c r="J70" s="116" t="n"/>
      <c r="K70" s="116" t="n"/>
      <c r="L70" s="116" t="n"/>
      <c r="M70" s="116" t="n"/>
      <c r="N70" s="116" t="n"/>
      <c r="P70" s="116" t="n"/>
      <c r="Q70" s="116" t="n"/>
    </row>
    <row r="71" ht="15" customHeight="1" s="117">
      <c r="H71" s="116" t="n"/>
      <c r="I71" s="116" t="n"/>
      <c r="J71" s="116" t="n"/>
      <c r="K71" s="116" t="n"/>
      <c r="L71" s="116" t="n"/>
      <c r="M71" s="116" t="n"/>
      <c r="N71" s="116" t="n"/>
      <c r="P71" s="116" t="n"/>
      <c r="Q71" s="116" t="n"/>
    </row>
    <row r="72" ht="15" customHeight="1" s="117">
      <c r="H72" s="116" t="n"/>
      <c r="I72" s="116" t="n"/>
      <c r="J72" s="116" t="n"/>
      <c r="K72" s="116" t="n"/>
      <c r="L72" s="116" t="n"/>
      <c r="M72" s="116" t="n"/>
      <c r="N72" s="116" t="n"/>
      <c r="P72" s="116" t="n"/>
      <c r="Q72" s="116" t="n"/>
    </row>
    <row r="73" ht="15" customHeight="1" s="117">
      <c r="H73" s="116" t="n"/>
      <c r="I73" s="116" t="n"/>
      <c r="J73" s="116" t="n"/>
      <c r="K73" s="116" t="n"/>
      <c r="L73" s="116" t="n"/>
      <c r="M73" s="116" t="n"/>
      <c r="N73" s="116" t="n"/>
      <c r="P73" s="116" t="n"/>
      <c r="Q73" s="116" t="n"/>
    </row>
    <row r="74" ht="15" customHeight="1" s="117">
      <c r="H74" s="116" t="n"/>
      <c r="I74" s="116" t="n"/>
      <c r="J74" s="116" t="n"/>
      <c r="K74" s="116" t="n"/>
      <c r="L74" s="116" t="n"/>
      <c r="M74" s="116" t="n"/>
      <c r="N74" s="116" t="n"/>
      <c r="P74" s="116" t="n"/>
      <c r="Q74" s="116" t="n"/>
    </row>
    <row r="75" ht="15" customHeight="1" s="117">
      <c r="H75" s="116" t="n"/>
      <c r="I75" s="116" t="n"/>
      <c r="J75" s="116" t="n"/>
      <c r="K75" s="116" t="n"/>
      <c r="L75" s="116" t="n"/>
      <c r="M75" s="116" t="n"/>
      <c r="N75" s="116" t="n"/>
      <c r="P75" s="116" t="n"/>
      <c r="Q75" s="116" t="n"/>
    </row>
    <row r="76" ht="15" customHeight="1" s="117">
      <c r="H76" s="116" t="n"/>
      <c r="I76" s="116" t="n"/>
      <c r="J76" s="116" t="n"/>
      <c r="K76" s="116" t="n"/>
      <c r="L76" s="116" t="n"/>
      <c r="M76" s="116" t="n"/>
      <c r="N76" s="116" t="n"/>
      <c r="P76" s="116" t="n"/>
      <c r="Q76" s="116" t="n"/>
    </row>
    <row r="77" ht="15" customHeight="1" s="117">
      <c r="H77" s="116" t="n"/>
      <c r="I77" s="116" t="n"/>
      <c r="J77" s="116" t="n"/>
      <c r="K77" s="116" t="n"/>
      <c r="L77" s="116" t="n"/>
      <c r="M77" s="116" t="n"/>
      <c r="N77" s="116" t="n"/>
      <c r="P77" s="116" t="n"/>
      <c r="Q77" s="116" t="n"/>
    </row>
    <row r="78" ht="15" customHeight="1" s="117">
      <c r="H78" s="116" t="n"/>
      <c r="I78" s="116" t="n"/>
      <c r="J78" s="116" t="n"/>
      <c r="K78" s="116" t="n"/>
      <c r="L78" s="116" t="n"/>
      <c r="M78" s="116" t="n"/>
      <c r="N78" s="116" t="n"/>
      <c r="P78" s="116" t="n"/>
      <c r="Q78" s="116" t="n"/>
    </row>
    <row r="79" ht="15" customHeight="1" s="117">
      <c r="H79" s="116" t="n"/>
      <c r="I79" s="116" t="n"/>
      <c r="J79" s="116" t="n"/>
      <c r="K79" s="116" t="n"/>
      <c r="L79" s="116" t="n"/>
      <c r="M79" s="116" t="n"/>
      <c r="N79" s="116" t="n"/>
      <c r="P79" s="116" t="n"/>
      <c r="Q79" s="116" t="n"/>
    </row>
    <row r="80" ht="15" customHeight="1" s="117">
      <c r="H80" s="116" t="n"/>
      <c r="I80" s="116" t="n"/>
      <c r="J80" s="116" t="n"/>
      <c r="K80" s="116" t="n"/>
      <c r="L80" s="116" t="n"/>
      <c r="M80" s="116" t="n"/>
      <c r="N80" s="116" t="n"/>
      <c r="P80" s="116" t="n"/>
      <c r="Q80" s="116" t="n"/>
    </row>
    <row r="81" ht="15" customHeight="1" s="117">
      <c r="H81" s="116" t="n"/>
      <c r="I81" s="116" t="n"/>
      <c r="J81" s="116" t="n"/>
      <c r="K81" s="116" t="n"/>
      <c r="L81" s="116" t="n"/>
      <c r="M81" s="116" t="n"/>
      <c r="N81" s="116" t="n"/>
      <c r="P81" s="116" t="n"/>
      <c r="Q81" s="116" t="n"/>
    </row>
    <row r="82" ht="15" customHeight="1" s="117">
      <c r="H82" s="116" t="n"/>
      <c r="I82" s="116" t="n"/>
      <c r="J82" s="116" t="n"/>
      <c r="K82" s="116" t="n"/>
      <c r="L82" s="116" t="n"/>
      <c r="M82" s="116" t="n"/>
      <c r="N82" s="116" t="n"/>
      <c r="P82" s="116" t="n"/>
      <c r="Q82" s="116" t="n"/>
    </row>
    <row r="83" ht="15" customHeight="1" s="117">
      <c r="H83" s="116" t="n"/>
      <c r="I83" s="116" t="n"/>
      <c r="J83" s="116" t="n"/>
      <c r="K83" s="116" t="n"/>
      <c r="L83" s="116" t="n"/>
      <c r="M83" s="116" t="n"/>
      <c r="N83" s="116" t="n"/>
      <c r="P83" s="116" t="n"/>
      <c r="Q83" s="116" t="n"/>
    </row>
    <row r="84" ht="15" customHeight="1" s="117">
      <c r="H84" s="116" t="n"/>
      <c r="I84" s="116" t="n"/>
      <c r="J84" s="116" t="n"/>
      <c r="K84" s="116" t="n"/>
      <c r="L84" s="116" t="n"/>
      <c r="M84" s="116" t="n"/>
      <c r="N84" s="116" t="n"/>
      <c r="P84" s="116" t="n"/>
      <c r="Q84" s="116" t="n"/>
    </row>
    <row r="85" ht="15" customHeight="1" s="117">
      <c r="H85" s="116" t="n"/>
      <c r="I85" s="116" t="n"/>
      <c r="J85" s="116" t="n"/>
      <c r="K85" s="116" t="n"/>
      <c r="L85" s="116" t="n"/>
      <c r="M85" s="116" t="n"/>
      <c r="N85" s="116" t="n"/>
      <c r="P85" s="116" t="n"/>
      <c r="Q85" s="116" t="n"/>
    </row>
    <row r="86" ht="15" customHeight="1" s="117">
      <c r="H86" s="116" t="n"/>
      <c r="I86" s="116" t="n"/>
      <c r="J86" s="116" t="n"/>
      <c r="K86" s="116" t="n"/>
      <c r="L86" s="116" t="n"/>
      <c r="M86" s="116" t="n"/>
      <c r="N86" s="116" t="n"/>
      <c r="P86" s="116" t="n"/>
      <c r="Q86" s="116" t="n"/>
    </row>
    <row r="87" ht="15" customHeight="1" s="117">
      <c r="H87" s="116" t="n"/>
      <c r="I87" s="116" t="n"/>
      <c r="J87" s="116" t="n"/>
      <c r="K87" s="116" t="n"/>
      <c r="L87" s="116" t="n"/>
      <c r="M87" s="116" t="n"/>
      <c r="N87" s="116" t="n"/>
      <c r="P87" s="116" t="n"/>
      <c r="Q87" s="116" t="n"/>
    </row>
    <row r="88" ht="15" customHeight="1" s="117">
      <c r="H88" s="116" t="n"/>
      <c r="I88" s="116" t="n"/>
      <c r="J88" s="116" t="n"/>
      <c r="K88" s="116" t="n"/>
      <c r="L88" s="116" t="n"/>
      <c r="M88" s="116" t="n"/>
      <c r="N88" s="116" t="n"/>
      <c r="P88" s="116" t="n"/>
      <c r="Q88" s="116" t="n"/>
    </row>
    <row r="89" ht="15" customHeight="1" s="117">
      <c r="H89" s="116" t="n"/>
      <c r="I89" s="116" t="n"/>
      <c r="J89" s="116" t="n"/>
      <c r="K89" s="116" t="n"/>
      <c r="L89" s="116" t="n"/>
      <c r="M89" s="116" t="n"/>
      <c r="N89" s="116" t="n"/>
      <c r="P89" s="116" t="n"/>
      <c r="Q89" s="116" t="n"/>
    </row>
    <row r="90" ht="15" customHeight="1" s="117">
      <c r="H90" s="116" t="n"/>
      <c r="I90" s="116" t="n"/>
      <c r="J90" s="116" t="n"/>
      <c r="K90" s="116" t="n"/>
      <c r="L90" s="116" t="n"/>
      <c r="M90" s="116" t="n"/>
      <c r="N90" s="116" t="n"/>
      <c r="P90" s="116" t="n"/>
      <c r="Q90" s="116" t="n"/>
    </row>
    <row r="91" ht="15" customHeight="1" s="117">
      <c r="H91" s="116" t="n"/>
      <c r="I91" s="116" t="n"/>
      <c r="J91" s="116" t="n"/>
      <c r="K91" s="116" t="n"/>
      <c r="L91" s="116" t="n"/>
      <c r="M91" s="116" t="n"/>
      <c r="N91" s="116" t="n"/>
      <c r="P91" s="116" t="n"/>
      <c r="Q91" s="116" t="n"/>
    </row>
    <row r="92" ht="15" customHeight="1" s="117">
      <c r="H92" s="116" t="n"/>
      <c r="I92" s="116" t="n"/>
      <c r="J92" s="116" t="n"/>
      <c r="K92" s="116" t="n"/>
      <c r="L92" s="116" t="n"/>
      <c r="M92" s="116" t="n"/>
      <c r="N92" s="116" t="n"/>
      <c r="P92" s="116" t="n"/>
      <c r="Q92" s="116" t="n"/>
    </row>
    <row r="93" ht="15" customHeight="1" s="117">
      <c r="H93" s="116" t="n"/>
      <c r="I93" s="116" t="n"/>
      <c r="J93" s="116" t="n"/>
      <c r="K93" s="116" t="n"/>
      <c r="L93" s="116" t="n"/>
      <c r="M93" s="116" t="n"/>
      <c r="N93" s="116" t="n"/>
      <c r="P93" s="116" t="n"/>
      <c r="Q93" s="116" t="n"/>
    </row>
    <row r="94" ht="15" customHeight="1" s="117">
      <c r="H94" s="116" t="n"/>
      <c r="I94" s="116" t="n"/>
      <c r="J94" s="116" t="n"/>
      <c r="K94" s="116" t="n"/>
      <c r="L94" s="116" t="n"/>
      <c r="M94" s="116" t="n"/>
      <c r="N94" s="116" t="n"/>
      <c r="P94" s="116" t="n"/>
      <c r="Q94" s="116" t="n"/>
    </row>
    <row r="95" ht="15" customHeight="1" s="117">
      <c r="H95" s="116" t="n"/>
      <c r="I95" s="116" t="n"/>
      <c r="J95" s="116" t="n"/>
      <c r="K95" s="116" t="n"/>
      <c r="L95" s="116" t="n"/>
      <c r="M95" s="116" t="n"/>
      <c r="N95" s="116" t="n"/>
      <c r="P95" s="116" t="n"/>
      <c r="Q95" s="116" t="n"/>
    </row>
    <row r="96" ht="15" customHeight="1" s="117">
      <c r="H96" s="116" t="n"/>
      <c r="I96" s="116" t="n"/>
      <c r="J96" s="116" t="n"/>
      <c r="K96" s="116" t="n"/>
      <c r="L96" s="116" t="n"/>
      <c r="M96" s="116" t="n"/>
      <c r="N96" s="116" t="n"/>
      <c r="P96" s="116" t="n"/>
      <c r="Q96" s="116" t="n"/>
    </row>
    <row r="97" ht="15" customHeight="1" s="117">
      <c r="H97" s="116" t="n"/>
      <c r="I97" s="116" t="n"/>
      <c r="J97" s="116" t="n"/>
      <c r="K97" s="116" t="n"/>
      <c r="L97" s="116" t="n"/>
      <c r="M97" s="116" t="n"/>
      <c r="N97" s="116" t="n"/>
      <c r="P97" s="116" t="n"/>
      <c r="Q97" s="116" t="n"/>
    </row>
    <row r="98" ht="15" customHeight="1" s="117">
      <c r="H98" s="116" t="n"/>
      <c r="I98" s="116" t="n"/>
      <c r="J98" s="116" t="n"/>
      <c r="K98" s="116" t="n"/>
      <c r="L98" s="116" t="n"/>
      <c r="M98" s="116" t="n"/>
      <c r="N98" s="116" t="n"/>
      <c r="P98" s="116" t="n"/>
      <c r="Q98" s="116" t="n"/>
    </row>
    <row r="99" ht="15" customHeight="1" s="117">
      <c r="H99" s="116" t="n"/>
      <c r="I99" s="116" t="n"/>
      <c r="J99" s="116" t="n"/>
      <c r="K99" s="116" t="n"/>
      <c r="L99" s="116" t="n"/>
      <c r="M99" s="116" t="n"/>
      <c r="N99" s="116" t="n"/>
      <c r="P99" s="116" t="n"/>
      <c r="Q99" s="116" t="n"/>
    </row>
    <row r="100" ht="15" customHeight="1" s="117">
      <c r="H100" s="116" t="n"/>
      <c r="I100" s="116" t="n"/>
      <c r="J100" s="116" t="n"/>
      <c r="K100" s="116" t="n"/>
      <c r="L100" s="116" t="n"/>
      <c r="M100" s="116" t="n"/>
      <c r="N100" s="116" t="n"/>
      <c r="P100" s="116" t="n"/>
      <c r="Q100" s="116" t="n"/>
    </row>
    <row r="101" ht="15" customHeight="1" s="117">
      <c r="H101" s="116" t="n"/>
      <c r="I101" s="116" t="n"/>
      <c r="J101" s="116" t="n"/>
      <c r="K101" s="116" t="n"/>
      <c r="L101" s="116" t="n"/>
      <c r="M101" s="116" t="n"/>
      <c r="N101" s="116" t="n"/>
      <c r="P101" s="116" t="n"/>
      <c r="Q101" s="116" t="n"/>
    </row>
    <row r="102" ht="15" customHeight="1" s="117">
      <c r="H102" s="116" t="n"/>
      <c r="I102" s="116" t="n"/>
      <c r="J102" s="116" t="n"/>
      <c r="K102" s="116" t="n"/>
      <c r="L102" s="116" t="n"/>
      <c r="M102" s="116" t="n"/>
      <c r="N102" s="116" t="n"/>
      <c r="P102" s="116" t="n"/>
      <c r="Q102" s="116" t="n"/>
    </row>
    <row r="103" ht="15" customHeight="1" s="117">
      <c r="H103" s="116" t="n"/>
      <c r="I103" s="116" t="n"/>
      <c r="J103" s="116" t="n"/>
      <c r="K103" s="116" t="n"/>
      <c r="L103" s="116" t="n"/>
      <c r="M103" s="116" t="n"/>
      <c r="N103" s="116" t="n"/>
      <c r="P103" s="116" t="n"/>
      <c r="Q103" s="116" t="n"/>
    </row>
    <row r="104" ht="15" customHeight="1" s="117">
      <c r="H104" s="116" t="n"/>
      <c r="I104" s="116" t="n"/>
      <c r="J104" s="116" t="n"/>
      <c r="K104" s="116" t="n"/>
      <c r="L104" s="116" t="n"/>
      <c r="M104" s="116" t="n"/>
      <c r="N104" s="116" t="n"/>
      <c r="P104" s="116" t="n"/>
      <c r="Q104" s="116" t="n"/>
    </row>
    <row r="105" ht="15" customHeight="1" s="117">
      <c r="H105" s="116" t="n"/>
      <c r="I105" s="116" t="n"/>
      <c r="J105" s="116" t="n"/>
      <c r="K105" s="116" t="n"/>
      <c r="L105" s="116" t="n"/>
      <c r="M105" s="116" t="n"/>
      <c r="N105" s="116" t="n"/>
      <c r="P105" s="116" t="n"/>
      <c r="Q105" s="116" t="n"/>
    </row>
    <row r="106" ht="15" customHeight="1" s="117">
      <c r="H106" s="116" t="n"/>
      <c r="I106" s="116" t="n"/>
      <c r="J106" s="116" t="n"/>
      <c r="K106" s="116" t="n"/>
      <c r="L106" s="116" t="n"/>
      <c r="M106" s="116" t="n"/>
      <c r="N106" s="116" t="n"/>
      <c r="P106" s="116" t="n"/>
      <c r="Q106" s="116" t="n"/>
    </row>
    <row r="107" ht="15" customHeight="1" s="117">
      <c r="H107" s="116" t="n"/>
      <c r="I107" s="116" t="n"/>
      <c r="J107" s="116" t="n"/>
      <c r="K107" s="116" t="n"/>
      <c r="L107" s="116" t="n"/>
      <c r="M107" s="116" t="n"/>
      <c r="N107" s="116" t="n"/>
      <c r="P107" s="116" t="n"/>
      <c r="Q107" s="116" t="n"/>
    </row>
    <row r="108" ht="15" customHeight="1" s="117">
      <c r="H108" s="116" t="n"/>
      <c r="I108" s="116" t="n"/>
      <c r="J108" s="116" t="n"/>
      <c r="K108" s="116" t="n"/>
      <c r="L108" s="116" t="n"/>
      <c r="M108" s="116" t="n"/>
      <c r="N108" s="116" t="n"/>
      <c r="P108" s="116" t="n"/>
      <c r="Q108" s="116" t="n"/>
    </row>
    <row r="109" ht="15" customHeight="1" s="117">
      <c r="H109" s="116" t="n"/>
      <c r="I109" s="116" t="n"/>
      <c r="J109" s="116" t="n"/>
      <c r="K109" s="116" t="n"/>
      <c r="L109" s="116" t="n"/>
      <c r="M109" s="116" t="n"/>
      <c r="N109" s="116" t="n"/>
      <c r="P109" s="116" t="n"/>
      <c r="Q109" s="116" t="n"/>
    </row>
    <row r="110" ht="15" customHeight="1" s="117">
      <c r="H110" s="116" t="n"/>
      <c r="I110" s="116" t="n"/>
      <c r="J110" s="116" t="n"/>
      <c r="K110" s="116" t="n"/>
      <c r="L110" s="116" t="n"/>
      <c r="M110" s="116" t="n"/>
      <c r="N110" s="116" t="n"/>
      <c r="P110" s="116" t="n"/>
      <c r="Q110" s="116" t="n"/>
    </row>
    <row r="111" ht="15" customHeight="1" s="117">
      <c r="H111" s="116" t="n"/>
      <c r="I111" s="116" t="n"/>
      <c r="J111" s="116" t="n"/>
      <c r="K111" s="116" t="n"/>
      <c r="L111" s="116" t="n"/>
      <c r="M111" s="116" t="n"/>
      <c r="N111" s="116" t="n"/>
      <c r="P111" s="116" t="n"/>
      <c r="Q111" s="116" t="n"/>
    </row>
    <row r="112" ht="15" customHeight="1" s="117">
      <c r="H112" s="116" t="n"/>
      <c r="I112" s="116" t="n"/>
      <c r="J112" s="116" t="n"/>
      <c r="K112" s="116" t="n"/>
      <c r="L112" s="116" t="n"/>
      <c r="M112" s="116" t="n"/>
      <c r="N112" s="116" t="n"/>
      <c r="P112" s="116" t="n"/>
      <c r="Q112" s="116" t="n"/>
    </row>
    <row r="113" ht="15" customHeight="1" s="117">
      <c r="H113" s="116" t="n"/>
      <c r="I113" s="116" t="n"/>
      <c r="J113" s="116" t="n"/>
      <c r="K113" s="116" t="n"/>
      <c r="L113" s="116" t="n"/>
      <c r="M113" s="116" t="n"/>
      <c r="N113" s="116" t="n"/>
      <c r="P113" s="116" t="n"/>
      <c r="Q113" s="116" t="n"/>
    </row>
    <row r="114" ht="15" customHeight="1" s="117">
      <c r="H114" s="116" t="n"/>
      <c r="I114" s="116" t="n"/>
      <c r="J114" s="116" t="n"/>
      <c r="K114" s="116" t="n"/>
      <c r="L114" s="116" t="n"/>
      <c r="M114" s="116" t="n"/>
      <c r="N114" s="116" t="n"/>
      <c r="P114" s="116" t="n"/>
      <c r="Q114" s="116" t="n"/>
    </row>
    <row r="115" ht="15" customHeight="1" s="117">
      <c r="H115" s="116" t="n"/>
      <c r="I115" s="116" t="n"/>
      <c r="J115" s="116" t="n"/>
      <c r="K115" s="116" t="n"/>
      <c r="L115" s="116" t="n"/>
      <c r="M115" s="116" t="n"/>
      <c r="N115" s="116" t="n"/>
      <c r="P115" s="116" t="n"/>
      <c r="Q115" s="116" t="n"/>
    </row>
    <row r="116" ht="15" customHeight="1" s="117">
      <c r="H116" s="116" t="n"/>
      <c r="I116" s="116" t="n"/>
      <c r="J116" s="116" t="n"/>
      <c r="K116" s="116" t="n"/>
      <c r="L116" s="116" t="n"/>
      <c r="M116" s="116" t="n"/>
      <c r="N116" s="116" t="n"/>
      <c r="P116" s="116" t="n"/>
      <c r="Q116" s="116" t="n"/>
    </row>
    <row r="117" ht="15" customHeight="1" s="117">
      <c r="H117" s="116" t="n"/>
      <c r="I117" s="116" t="n"/>
      <c r="J117" s="116" t="n"/>
      <c r="K117" s="116" t="n"/>
      <c r="L117" s="116" t="n"/>
      <c r="M117" s="116" t="n"/>
      <c r="N117" s="116" t="n"/>
      <c r="P117" s="116" t="n"/>
      <c r="Q117" s="116" t="n"/>
    </row>
    <row r="118" ht="15" customHeight="1" s="117">
      <c r="H118" s="116" t="n"/>
      <c r="I118" s="116" t="n"/>
      <c r="J118" s="116" t="n"/>
      <c r="K118" s="116" t="n"/>
      <c r="L118" s="116" t="n"/>
      <c r="M118" s="116" t="n"/>
      <c r="N118" s="116" t="n"/>
      <c r="P118" s="116" t="n"/>
      <c r="Q118" s="116" t="n"/>
    </row>
    <row r="119" ht="15" customHeight="1" s="117">
      <c r="H119" s="116" t="n"/>
      <c r="I119" s="116" t="n"/>
      <c r="J119" s="116" t="n"/>
      <c r="K119" s="116" t="n"/>
      <c r="L119" s="116" t="n"/>
      <c r="M119" s="116" t="n"/>
      <c r="N119" s="116" t="n"/>
      <c r="P119" s="116" t="n"/>
      <c r="Q119" s="116" t="n"/>
    </row>
    <row r="120" ht="15" customHeight="1" s="117">
      <c r="H120" s="116" t="n"/>
      <c r="I120" s="116" t="n"/>
      <c r="J120" s="116" t="n"/>
      <c r="K120" s="116" t="n"/>
      <c r="L120" s="116" t="n"/>
      <c r="M120" s="116" t="n"/>
      <c r="N120" s="116" t="n"/>
      <c r="P120" s="116" t="n"/>
      <c r="Q120" s="116" t="n"/>
    </row>
    <row r="121" ht="15" customHeight="1" s="117">
      <c r="H121" s="116" t="n"/>
      <c r="I121" s="116" t="n"/>
      <c r="J121" s="116" t="n"/>
      <c r="K121" s="116" t="n"/>
      <c r="L121" s="116" t="n"/>
      <c r="M121" s="116" t="n"/>
      <c r="N121" s="116" t="n"/>
      <c r="P121" s="116" t="n"/>
      <c r="Q121" s="116" t="n"/>
    </row>
    <row r="122" ht="15" customHeight="1" s="117">
      <c r="H122" s="116" t="n"/>
      <c r="I122" s="116" t="n"/>
      <c r="J122" s="116" t="n"/>
      <c r="K122" s="116" t="n"/>
      <c r="L122" s="116" t="n"/>
      <c r="M122" s="116" t="n"/>
      <c r="N122" s="116" t="n"/>
      <c r="P122" s="116" t="n"/>
      <c r="Q122" s="116" t="n"/>
    </row>
    <row r="123" ht="15" customHeight="1" s="117">
      <c r="H123" s="116" t="n"/>
      <c r="I123" s="116" t="n"/>
      <c r="J123" s="116" t="n"/>
      <c r="K123" s="116" t="n"/>
      <c r="L123" s="116" t="n"/>
      <c r="M123" s="116" t="n"/>
      <c r="N123" s="116" t="n"/>
      <c r="P123" s="116" t="n"/>
      <c r="Q123" s="116" t="n"/>
    </row>
    <row r="124" ht="15" customHeight="1" s="117">
      <c r="H124" s="116" t="n"/>
      <c r="I124" s="116" t="n"/>
      <c r="J124" s="116" t="n"/>
      <c r="K124" s="116" t="n"/>
      <c r="L124" s="116" t="n"/>
      <c r="M124" s="116" t="n"/>
      <c r="N124" s="116" t="n"/>
      <c r="P124" s="116" t="n"/>
      <c r="Q124" s="116" t="n"/>
    </row>
    <row r="125" ht="15" customHeight="1" s="117">
      <c r="H125" s="116" t="n"/>
      <c r="I125" s="116" t="n"/>
      <c r="J125" s="116" t="n"/>
      <c r="K125" s="116" t="n"/>
      <c r="L125" s="116" t="n"/>
      <c r="M125" s="116" t="n"/>
      <c r="N125" s="116" t="n"/>
      <c r="P125" s="116" t="n"/>
      <c r="Q125" s="116" t="n"/>
    </row>
    <row r="126" ht="15" customHeight="1" s="117">
      <c r="H126" s="116" t="n"/>
      <c r="I126" s="116" t="n"/>
      <c r="J126" s="116" t="n"/>
      <c r="K126" s="116" t="n"/>
      <c r="L126" s="116" t="n"/>
      <c r="M126" s="116" t="n"/>
      <c r="N126" s="116" t="n"/>
      <c r="P126" s="116" t="n"/>
      <c r="Q126" s="116" t="n"/>
    </row>
    <row r="127" ht="15" customHeight="1" s="117">
      <c r="H127" s="116" t="n"/>
      <c r="I127" s="116" t="n"/>
      <c r="J127" s="116" t="n"/>
      <c r="K127" s="116" t="n"/>
      <c r="L127" s="116" t="n"/>
      <c r="M127" s="116" t="n"/>
      <c r="N127" s="116" t="n"/>
      <c r="P127" s="116" t="n"/>
      <c r="Q127" s="116" t="n"/>
    </row>
    <row r="128" ht="15" customHeight="1" s="117">
      <c r="H128" s="116" t="n"/>
      <c r="I128" s="116" t="n"/>
      <c r="J128" s="116" t="n"/>
      <c r="K128" s="116" t="n"/>
      <c r="L128" s="116" t="n"/>
      <c r="M128" s="116" t="n"/>
      <c r="N128" s="116" t="n"/>
      <c r="P128" s="116" t="n"/>
      <c r="Q128" s="116" t="n"/>
    </row>
    <row r="129" ht="15" customHeight="1" s="117">
      <c r="H129" s="116" t="n"/>
      <c r="I129" s="116" t="n"/>
      <c r="J129" s="116" t="n"/>
      <c r="K129" s="116" t="n"/>
      <c r="L129" s="116" t="n"/>
      <c r="M129" s="116" t="n"/>
      <c r="N129" s="116" t="n"/>
      <c r="P129" s="116" t="n"/>
      <c r="Q129" s="116" t="n"/>
    </row>
    <row r="130" ht="15" customHeight="1" s="117">
      <c r="H130" s="116" t="n"/>
      <c r="I130" s="116" t="n"/>
      <c r="J130" s="116" t="n"/>
      <c r="K130" s="116" t="n"/>
      <c r="L130" s="116" t="n"/>
      <c r="M130" s="116" t="n"/>
      <c r="N130" s="116" t="n"/>
      <c r="P130" s="116" t="n"/>
      <c r="Q130" s="116" t="n"/>
    </row>
    <row r="131" ht="15" customHeight="1" s="117">
      <c r="H131" s="116" t="n"/>
      <c r="I131" s="116" t="n"/>
      <c r="J131" s="116" t="n"/>
      <c r="K131" s="116" t="n"/>
      <c r="L131" s="116" t="n"/>
      <c r="M131" s="116" t="n"/>
      <c r="N131" s="116" t="n"/>
      <c r="P131" s="116" t="n"/>
      <c r="Q131" s="116" t="n"/>
    </row>
    <row r="132" ht="15" customHeight="1" s="117">
      <c r="H132" s="116" t="n"/>
      <c r="I132" s="116" t="n"/>
      <c r="J132" s="116" t="n"/>
      <c r="K132" s="116" t="n"/>
      <c r="L132" s="116" t="n"/>
      <c r="M132" s="116" t="n"/>
      <c r="N132" s="116" t="n"/>
      <c r="P132" s="116" t="n"/>
      <c r="Q132" s="116" t="n"/>
    </row>
    <row r="133" ht="15" customHeight="1" s="117">
      <c r="H133" s="116" t="n"/>
      <c r="I133" s="116" t="n"/>
      <c r="J133" s="116" t="n"/>
      <c r="K133" s="116" t="n"/>
      <c r="L133" s="116" t="n"/>
      <c r="M133" s="116" t="n"/>
      <c r="N133" s="116" t="n"/>
      <c r="P133" s="116" t="n"/>
      <c r="Q133" s="116" t="n"/>
    </row>
    <row r="134" ht="15" customHeight="1" s="117">
      <c r="H134" s="116" t="n"/>
      <c r="I134" s="116" t="n"/>
      <c r="J134" s="116" t="n"/>
      <c r="K134" s="116" t="n"/>
      <c r="L134" s="116" t="n"/>
      <c r="M134" s="116" t="n"/>
      <c r="N134" s="116" t="n"/>
      <c r="P134" s="116" t="n"/>
      <c r="Q134" s="116" t="n"/>
    </row>
    <row r="135" ht="15" customHeight="1" s="117">
      <c r="H135" s="116" t="n"/>
      <c r="I135" s="116" t="n"/>
      <c r="J135" s="116" t="n"/>
      <c r="K135" s="116" t="n"/>
      <c r="L135" s="116" t="n"/>
      <c r="M135" s="116" t="n"/>
      <c r="N135" s="116" t="n"/>
      <c r="P135" s="116" t="n"/>
      <c r="Q135" s="116" t="n"/>
    </row>
    <row r="136" ht="15" customHeight="1" s="117">
      <c r="H136" s="116" t="n"/>
      <c r="I136" s="116" t="n"/>
      <c r="J136" s="116" t="n"/>
      <c r="K136" s="116" t="n"/>
      <c r="L136" s="116" t="n"/>
      <c r="M136" s="116" t="n"/>
      <c r="N136" s="116" t="n"/>
      <c r="P136" s="116" t="n"/>
      <c r="Q136" s="116" t="n"/>
    </row>
    <row r="137" ht="15" customHeight="1" s="117">
      <c r="H137" s="116" t="n"/>
      <c r="I137" s="116" t="n"/>
      <c r="J137" s="116" t="n"/>
      <c r="K137" s="116" t="n"/>
      <c r="L137" s="116" t="n"/>
      <c r="M137" s="116" t="n"/>
      <c r="N137" s="116" t="n"/>
      <c r="P137" s="116" t="n"/>
      <c r="Q137" s="116" t="n"/>
    </row>
    <row r="138" ht="15" customHeight="1" s="117">
      <c r="H138" s="116" t="n"/>
      <c r="I138" s="116" t="n"/>
      <c r="J138" s="116" t="n"/>
      <c r="K138" s="116" t="n"/>
      <c r="L138" s="116" t="n"/>
      <c r="M138" s="116" t="n"/>
      <c r="N138" s="116" t="n"/>
      <c r="P138" s="116" t="n"/>
      <c r="Q138" s="116" t="n"/>
    </row>
    <row r="139" ht="15" customHeight="1" s="117">
      <c r="H139" s="116" t="n"/>
      <c r="I139" s="116" t="n"/>
      <c r="J139" s="116" t="n"/>
      <c r="K139" s="116" t="n"/>
      <c r="L139" s="116" t="n"/>
      <c r="M139" s="116" t="n"/>
      <c r="N139" s="116" t="n"/>
      <c r="P139" s="116" t="n"/>
      <c r="Q139" s="116" t="n"/>
    </row>
    <row r="140" ht="15" customHeight="1" s="117">
      <c r="H140" s="116" t="n"/>
      <c r="I140" s="116" t="n"/>
      <c r="J140" s="116" t="n"/>
      <c r="K140" s="116" t="n"/>
      <c r="L140" s="116" t="n"/>
      <c r="M140" s="116" t="n"/>
      <c r="N140" s="116" t="n"/>
      <c r="P140" s="116" t="n"/>
      <c r="Q140" s="116" t="n"/>
    </row>
    <row r="141" ht="15" customHeight="1" s="117">
      <c r="H141" s="116" t="n"/>
      <c r="I141" s="116" t="n"/>
      <c r="J141" s="116" t="n"/>
      <c r="K141" s="116" t="n"/>
      <c r="L141" s="116" t="n"/>
      <c r="M141" s="116" t="n"/>
      <c r="N141" s="116" t="n"/>
      <c r="P141" s="116" t="n"/>
      <c r="Q141" s="116" t="n"/>
    </row>
    <row r="142" ht="15" customHeight="1" s="117">
      <c r="H142" s="116" t="n"/>
      <c r="I142" s="116" t="n"/>
      <c r="J142" s="116" t="n"/>
      <c r="K142" s="116" t="n"/>
      <c r="L142" s="116" t="n"/>
      <c r="M142" s="116" t="n"/>
      <c r="N142" s="116" t="n"/>
      <c r="P142" s="116" t="n"/>
      <c r="Q142" s="116" t="n"/>
    </row>
    <row r="143" ht="15" customHeight="1" s="117">
      <c r="H143" s="116" t="n"/>
      <c r="I143" s="116" t="n"/>
      <c r="J143" s="116" t="n"/>
      <c r="K143" s="116" t="n"/>
      <c r="L143" s="116" t="n"/>
      <c r="M143" s="116" t="n"/>
      <c r="N143" s="116" t="n"/>
      <c r="P143" s="116" t="n"/>
      <c r="Q143" s="116" t="n"/>
    </row>
    <row r="144" ht="15" customHeight="1" s="117">
      <c r="H144" s="116" t="n"/>
      <c r="I144" s="116" t="n"/>
      <c r="J144" s="116" t="n"/>
      <c r="K144" s="116" t="n"/>
      <c r="L144" s="116" t="n"/>
      <c r="M144" s="116" t="n"/>
      <c r="N144" s="116" t="n"/>
      <c r="P144" s="116" t="n"/>
      <c r="Q144" s="116" t="n"/>
    </row>
    <row r="145" ht="15" customHeight="1" s="117">
      <c r="H145" s="116" t="n"/>
      <c r="I145" s="116" t="n"/>
      <c r="J145" s="116" t="n"/>
      <c r="K145" s="116" t="n"/>
      <c r="L145" s="116" t="n"/>
      <c r="M145" s="116" t="n"/>
      <c r="N145" s="116" t="n"/>
      <c r="P145" s="116" t="n"/>
      <c r="Q145" s="116" t="n"/>
    </row>
    <row r="146" ht="15" customHeight="1" s="117">
      <c r="H146" s="116" t="n"/>
      <c r="I146" s="116" t="n"/>
      <c r="J146" s="116" t="n"/>
      <c r="K146" s="116" t="n"/>
      <c r="L146" s="116" t="n"/>
      <c r="M146" s="116" t="n"/>
      <c r="N146" s="116" t="n"/>
      <c r="P146" s="116" t="n"/>
      <c r="Q146" s="116" t="n"/>
    </row>
    <row r="147" ht="15" customHeight="1" s="117">
      <c r="H147" s="116" t="n"/>
      <c r="I147" s="116" t="n"/>
      <c r="J147" s="116" t="n"/>
      <c r="K147" s="116" t="n"/>
      <c r="L147" s="116" t="n"/>
      <c r="M147" s="116" t="n"/>
      <c r="N147" s="116" t="n"/>
      <c r="P147" s="116" t="n"/>
      <c r="Q147" s="116" t="n"/>
    </row>
    <row r="148" ht="15" customHeight="1" s="117">
      <c r="H148" s="116" t="n"/>
      <c r="I148" s="116" t="n"/>
      <c r="J148" s="116" t="n"/>
      <c r="K148" s="116" t="n"/>
      <c r="L148" s="116" t="n"/>
      <c r="M148" s="116" t="n"/>
      <c r="N148" s="116" t="n"/>
      <c r="P148" s="116" t="n"/>
      <c r="Q148" s="116" t="n"/>
    </row>
    <row r="149" ht="15" customHeight="1" s="117">
      <c r="H149" s="116" t="n"/>
      <c r="I149" s="116" t="n"/>
      <c r="J149" s="116" t="n"/>
      <c r="K149" s="116" t="n"/>
      <c r="L149" s="116" t="n"/>
      <c r="M149" s="116" t="n"/>
      <c r="N149" s="116" t="n"/>
      <c r="P149" s="116" t="n"/>
      <c r="Q149" s="116" t="n"/>
    </row>
    <row r="150" ht="15" customHeight="1" s="117">
      <c r="H150" s="116" t="n"/>
      <c r="I150" s="116" t="n"/>
      <c r="J150" s="116" t="n"/>
      <c r="K150" s="116" t="n"/>
      <c r="L150" s="116" t="n"/>
      <c r="M150" s="116" t="n"/>
      <c r="N150" s="116" t="n"/>
      <c r="P150" s="116" t="n"/>
      <c r="Q150" s="116" t="n"/>
    </row>
    <row r="151" ht="15" customHeight="1" s="117">
      <c r="H151" s="116" t="n"/>
      <c r="I151" s="116" t="n"/>
      <c r="J151" s="116" t="n"/>
      <c r="K151" s="116" t="n"/>
      <c r="L151" s="116" t="n"/>
      <c r="M151" s="116" t="n"/>
      <c r="N151" s="116" t="n"/>
      <c r="P151" s="116" t="n"/>
      <c r="Q151" s="116" t="n"/>
    </row>
    <row r="152" ht="15" customHeight="1" s="117">
      <c r="H152" s="116" t="n"/>
      <c r="I152" s="116" t="n"/>
      <c r="J152" s="116" t="n"/>
      <c r="K152" s="116" t="n"/>
      <c r="L152" s="116" t="n"/>
      <c r="M152" s="116" t="n"/>
      <c r="N152" s="116" t="n"/>
      <c r="P152" s="116" t="n"/>
      <c r="Q152" s="116" t="n"/>
    </row>
    <row r="153" ht="15" customHeight="1" s="117">
      <c r="H153" s="116" t="n"/>
      <c r="I153" s="116" t="n"/>
      <c r="J153" s="116" t="n"/>
      <c r="K153" s="116" t="n"/>
      <c r="L153" s="116" t="n"/>
      <c r="M153" s="116" t="n"/>
      <c r="N153" s="116" t="n"/>
      <c r="P153" s="116" t="n"/>
      <c r="Q153" s="116" t="n"/>
    </row>
    <row r="154" ht="15" customHeight="1" s="117">
      <c r="H154" s="116" t="n"/>
      <c r="I154" s="116" t="n"/>
      <c r="J154" s="116" t="n"/>
      <c r="K154" s="116" t="n"/>
      <c r="L154" s="116" t="n"/>
      <c r="M154" s="116" t="n"/>
      <c r="N154" s="116" t="n"/>
      <c r="P154" s="116" t="n"/>
      <c r="Q154" s="116" t="n"/>
    </row>
    <row r="155" ht="15" customHeight="1" s="117">
      <c r="H155" s="116" t="n"/>
      <c r="I155" s="116" t="n"/>
      <c r="J155" s="116" t="n"/>
      <c r="K155" s="116" t="n"/>
      <c r="L155" s="116" t="n"/>
      <c r="M155" s="116" t="n"/>
      <c r="N155" s="116" t="n"/>
      <c r="P155" s="116" t="n"/>
      <c r="Q155" s="116" t="n"/>
    </row>
    <row r="156" ht="15" customHeight="1" s="117">
      <c r="H156" s="116" t="n"/>
      <c r="I156" s="116" t="n"/>
      <c r="J156" s="116" t="n"/>
      <c r="K156" s="116" t="n"/>
      <c r="L156" s="116" t="n"/>
      <c r="M156" s="116" t="n"/>
      <c r="N156" s="116" t="n"/>
      <c r="P156" s="116" t="n"/>
      <c r="Q156" s="116" t="n"/>
    </row>
    <row r="157" ht="15" customHeight="1" s="117">
      <c r="H157" s="116" t="n"/>
      <c r="I157" s="116" t="n"/>
      <c r="J157" s="116" t="n"/>
      <c r="K157" s="116" t="n"/>
      <c r="L157" s="116" t="n"/>
      <c r="M157" s="116" t="n"/>
      <c r="N157" s="116" t="n"/>
      <c r="P157" s="116" t="n"/>
      <c r="Q157" s="116" t="n"/>
    </row>
    <row r="158" ht="15" customHeight="1" s="117">
      <c r="H158" s="116" t="n"/>
      <c r="I158" s="116" t="n"/>
      <c r="J158" s="116" t="n"/>
      <c r="K158" s="116" t="n"/>
      <c r="L158" s="116" t="n"/>
      <c r="M158" s="116" t="n"/>
      <c r="N158" s="116" t="n"/>
      <c r="P158" s="116" t="n"/>
      <c r="Q158" s="116" t="n"/>
    </row>
    <row r="159" ht="15" customHeight="1" s="117">
      <c r="H159" s="116" t="n"/>
      <c r="I159" s="116" t="n"/>
      <c r="J159" s="116" t="n"/>
      <c r="K159" s="116" t="n"/>
      <c r="L159" s="116" t="n"/>
      <c r="M159" s="116" t="n"/>
      <c r="N159" s="116" t="n"/>
      <c r="P159" s="116" t="n"/>
      <c r="Q159" s="116" t="n"/>
    </row>
    <row r="160" ht="15" customHeight="1" s="117">
      <c r="H160" s="116" t="n"/>
      <c r="I160" s="116" t="n"/>
      <c r="J160" s="116" t="n"/>
      <c r="K160" s="116" t="n"/>
      <c r="L160" s="116" t="n"/>
      <c r="M160" s="116" t="n"/>
      <c r="N160" s="116" t="n"/>
      <c r="P160" s="116" t="n"/>
      <c r="Q160" s="116" t="n"/>
    </row>
    <row r="161" ht="15" customHeight="1" s="117">
      <c r="H161" s="116" t="n"/>
      <c r="I161" s="116" t="n"/>
      <c r="J161" s="116" t="n"/>
      <c r="K161" s="116" t="n"/>
      <c r="L161" s="116" t="n"/>
      <c r="M161" s="116" t="n"/>
      <c r="N161" s="116" t="n"/>
      <c r="P161" s="116" t="n"/>
      <c r="Q161" s="116" t="n"/>
    </row>
    <row r="162" ht="15" customHeight="1" s="117">
      <c r="H162" s="116" t="n"/>
      <c r="I162" s="116" t="n"/>
      <c r="J162" s="116" t="n"/>
      <c r="K162" s="116" t="n"/>
      <c r="L162" s="116" t="n"/>
      <c r="M162" s="116" t="n"/>
      <c r="N162" s="116" t="n"/>
      <c r="P162" s="116" t="n"/>
      <c r="Q162" s="116" t="n"/>
    </row>
    <row r="163" ht="15" customHeight="1" s="117">
      <c r="H163" s="116" t="n"/>
      <c r="I163" s="116" t="n"/>
      <c r="J163" s="116" t="n"/>
      <c r="K163" s="116" t="n"/>
      <c r="L163" s="116" t="n"/>
      <c r="M163" s="116" t="n"/>
      <c r="N163" s="116" t="n"/>
      <c r="P163" s="116" t="n"/>
      <c r="Q163" s="116" t="n"/>
    </row>
    <row r="164" ht="15" customHeight="1" s="117">
      <c r="H164" s="116" t="n"/>
      <c r="I164" s="116" t="n"/>
      <c r="J164" s="116" t="n"/>
      <c r="K164" s="116" t="n"/>
      <c r="L164" s="116" t="n"/>
      <c r="M164" s="116" t="n"/>
      <c r="N164" s="116" t="n"/>
      <c r="P164" s="116" t="n"/>
      <c r="Q164" s="116" t="n"/>
    </row>
    <row r="165" ht="15" customHeight="1" s="117">
      <c r="H165" s="116" t="n"/>
      <c r="I165" s="116" t="n"/>
      <c r="J165" s="116" t="n"/>
      <c r="K165" s="116" t="n"/>
      <c r="L165" s="116" t="n"/>
      <c r="M165" s="116" t="n"/>
      <c r="N165" s="116" t="n"/>
      <c r="P165" s="116" t="n"/>
      <c r="Q165" s="116" t="n"/>
    </row>
    <row r="166" ht="15" customHeight="1" s="117">
      <c r="H166" s="116" t="n"/>
      <c r="I166" s="116" t="n"/>
      <c r="J166" s="116" t="n"/>
      <c r="K166" s="116" t="n"/>
      <c r="L166" s="116" t="n"/>
      <c r="M166" s="116" t="n"/>
      <c r="N166" s="116" t="n"/>
      <c r="P166" s="116" t="n"/>
      <c r="Q166" s="116" t="n"/>
    </row>
    <row r="167" ht="15" customHeight="1" s="117">
      <c r="H167" s="116" t="n"/>
      <c r="I167" s="116" t="n"/>
      <c r="J167" s="116" t="n"/>
      <c r="K167" s="116" t="n"/>
      <c r="L167" s="116" t="n"/>
      <c r="M167" s="116" t="n"/>
      <c r="N167" s="116" t="n"/>
      <c r="P167" s="116" t="n"/>
      <c r="Q167" s="116" t="n"/>
    </row>
    <row r="168" ht="15" customHeight="1" s="117">
      <c r="H168" s="116" t="n"/>
      <c r="I168" s="116" t="n"/>
      <c r="J168" s="116" t="n"/>
      <c r="K168" s="116" t="n"/>
      <c r="L168" s="116" t="n"/>
      <c r="M168" s="116" t="n"/>
      <c r="N168" s="116" t="n"/>
      <c r="P168" s="116" t="n"/>
      <c r="Q168" s="116" t="n"/>
    </row>
    <row r="169" ht="15" customHeight="1" s="117">
      <c r="H169" s="116" t="n"/>
      <c r="I169" s="116" t="n"/>
      <c r="J169" s="116" t="n"/>
      <c r="K169" s="116" t="n"/>
      <c r="L169" s="116" t="n"/>
      <c r="M169" s="116" t="n"/>
      <c r="N169" s="116" t="n"/>
      <c r="P169" s="116" t="n"/>
      <c r="Q169" s="116" t="n"/>
    </row>
    <row r="170" ht="15" customHeight="1" s="117">
      <c r="H170" s="116" t="n"/>
      <c r="I170" s="116" t="n"/>
      <c r="J170" s="116" t="n"/>
      <c r="K170" s="116" t="n"/>
      <c r="L170" s="116" t="n"/>
      <c r="M170" s="116" t="n"/>
      <c r="N170" s="116" t="n"/>
      <c r="P170" s="116" t="n"/>
      <c r="Q170" s="116" t="n"/>
    </row>
    <row r="171" ht="15" customHeight="1" s="117">
      <c r="H171" s="116" t="n"/>
      <c r="I171" s="116" t="n"/>
      <c r="J171" s="116" t="n"/>
      <c r="K171" s="116" t="n"/>
      <c r="L171" s="116" t="n"/>
      <c r="M171" s="116" t="n"/>
      <c r="N171" s="116" t="n"/>
      <c r="P171" s="116" t="n"/>
      <c r="Q171" s="116" t="n"/>
    </row>
    <row r="172" ht="15" customHeight="1" s="117">
      <c r="H172" s="116" t="n"/>
      <c r="I172" s="116" t="n"/>
      <c r="J172" s="116" t="n"/>
      <c r="K172" s="116" t="n"/>
      <c r="L172" s="116" t="n"/>
      <c r="M172" s="116" t="n"/>
      <c r="N172" s="116" t="n"/>
      <c r="P172" s="116" t="n"/>
      <c r="Q172" s="116" t="n"/>
    </row>
    <row r="173" ht="15" customHeight="1" s="117">
      <c r="H173" s="116" t="n"/>
      <c r="I173" s="116" t="n"/>
      <c r="J173" s="116" t="n"/>
      <c r="K173" s="116" t="n"/>
      <c r="L173" s="116" t="n"/>
      <c r="M173" s="116" t="n"/>
      <c r="N173" s="116" t="n"/>
      <c r="P173" s="116" t="n"/>
      <c r="Q173" s="116" t="n"/>
    </row>
    <row r="174" ht="15" customHeight="1" s="117">
      <c r="H174" s="116" t="n"/>
      <c r="I174" s="116" t="n"/>
      <c r="J174" s="116" t="n"/>
      <c r="K174" s="116" t="n"/>
      <c r="L174" s="116" t="n"/>
      <c r="M174" s="116" t="n"/>
      <c r="N174" s="116" t="n"/>
      <c r="P174" s="116" t="n"/>
      <c r="Q174" s="116" t="n"/>
    </row>
    <row r="175" ht="15" customHeight="1" s="117">
      <c r="H175" s="116" t="n"/>
      <c r="I175" s="116" t="n"/>
      <c r="J175" s="116" t="n"/>
      <c r="K175" s="116" t="n"/>
      <c r="L175" s="116" t="n"/>
      <c r="M175" s="116" t="n"/>
      <c r="N175" s="116" t="n"/>
      <c r="P175" s="116" t="n"/>
      <c r="Q175" s="116" t="n"/>
    </row>
    <row r="176" ht="15" customHeight="1" s="117">
      <c r="H176" s="116" t="n"/>
      <c r="I176" s="116" t="n"/>
      <c r="J176" s="116" t="n"/>
      <c r="K176" s="116" t="n"/>
      <c r="L176" s="116" t="n"/>
      <c r="M176" s="116" t="n"/>
      <c r="N176" s="116" t="n"/>
      <c r="P176" s="116" t="n"/>
      <c r="Q176" s="116" t="n"/>
    </row>
    <row r="177" ht="15" customHeight="1" s="117">
      <c r="H177" s="116" t="n"/>
      <c r="I177" s="116" t="n"/>
      <c r="J177" s="116" t="n"/>
      <c r="K177" s="116" t="n"/>
      <c r="L177" s="116" t="n"/>
      <c r="M177" s="116" t="n"/>
      <c r="N177" s="116" t="n"/>
      <c r="P177" s="116" t="n"/>
      <c r="Q177" s="116" t="n"/>
    </row>
    <row r="178" ht="15" customHeight="1" s="117">
      <c r="H178" s="116" t="n"/>
      <c r="I178" s="116" t="n"/>
      <c r="J178" s="116" t="n"/>
      <c r="K178" s="116" t="n"/>
      <c r="L178" s="116" t="n"/>
      <c r="M178" s="116" t="n"/>
      <c r="N178" s="116" t="n"/>
      <c r="P178" s="116" t="n"/>
      <c r="Q178" s="116" t="n"/>
    </row>
    <row r="179" ht="15" customHeight="1" s="117">
      <c r="H179" s="116" t="n"/>
      <c r="I179" s="116" t="n"/>
      <c r="J179" s="116" t="n"/>
      <c r="K179" s="116" t="n"/>
      <c r="L179" s="116" t="n"/>
      <c r="M179" s="116" t="n"/>
      <c r="N179" s="116" t="n"/>
      <c r="P179" s="116" t="n"/>
      <c r="Q179" s="116" t="n"/>
    </row>
    <row r="180" ht="15" customHeight="1" s="117">
      <c r="H180" s="116" t="n"/>
      <c r="I180" s="116" t="n"/>
      <c r="J180" s="116" t="n"/>
      <c r="K180" s="116" t="n"/>
      <c r="L180" s="116" t="n"/>
      <c r="M180" s="116" t="n"/>
      <c r="N180" s="116" t="n"/>
      <c r="P180" s="116" t="n"/>
      <c r="Q180" s="116" t="n"/>
    </row>
    <row r="181" ht="15" customHeight="1" s="117">
      <c r="H181" s="116" t="n"/>
      <c r="I181" s="116" t="n"/>
      <c r="J181" s="116" t="n"/>
      <c r="K181" s="116" t="n"/>
      <c r="L181" s="116" t="n"/>
      <c r="M181" s="116" t="n"/>
      <c r="N181" s="116" t="n"/>
      <c r="P181" s="116" t="n"/>
      <c r="Q181" s="116" t="n"/>
    </row>
    <row r="182" ht="15" customHeight="1" s="117">
      <c r="H182" s="116" t="n"/>
      <c r="I182" s="116" t="n"/>
      <c r="J182" s="116" t="n"/>
      <c r="K182" s="116" t="n"/>
      <c r="L182" s="116" t="n"/>
      <c r="M182" s="116" t="n"/>
      <c r="N182" s="116" t="n"/>
      <c r="P182" s="116" t="n"/>
      <c r="Q182" s="116" t="n"/>
    </row>
    <row r="183" ht="15" customHeight="1" s="117">
      <c r="H183" s="116" t="n"/>
      <c r="I183" s="116" t="n"/>
      <c r="J183" s="116" t="n"/>
      <c r="K183" s="116" t="n"/>
      <c r="L183" s="116" t="n"/>
      <c r="M183" s="116" t="n"/>
      <c r="N183" s="116" t="n"/>
      <c r="P183" s="116" t="n"/>
      <c r="Q183" s="116" t="n"/>
    </row>
    <row r="184" ht="15" customHeight="1" s="117">
      <c r="H184" s="116" t="n"/>
      <c r="I184" s="116" t="n"/>
      <c r="J184" s="116" t="n"/>
      <c r="K184" s="116" t="n"/>
      <c r="L184" s="116" t="n"/>
      <c r="M184" s="116" t="n"/>
      <c r="N184" s="116" t="n"/>
      <c r="P184" s="116" t="n"/>
      <c r="Q184" s="116" t="n"/>
    </row>
    <row r="185" ht="15" customHeight="1" s="117">
      <c r="H185" s="116" t="n"/>
      <c r="I185" s="116" t="n"/>
      <c r="J185" s="116" t="n"/>
      <c r="K185" s="116" t="n"/>
      <c r="L185" s="116" t="n"/>
      <c r="M185" s="116" t="n"/>
      <c r="N185" s="116" t="n"/>
      <c r="P185" s="116" t="n"/>
      <c r="Q185" s="116" t="n"/>
    </row>
    <row r="186" ht="15" customHeight="1" s="117">
      <c r="H186" s="116" t="n"/>
      <c r="I186" s="116" t="n"/>
      <c r="J186" s="116" t="n"/>
      <c r="K186" s="116" t="n"/>
      <c r="L186" s="116" t="n"/>
      <c r="M186" s="116" t="n"/>
      <c r="N186" s="116" t="n"/>
      <c r="P186" s="116" t="n"/>
      <c r="Q186" s="116" t="n"/>
    </row>
    <row r="187" ht="15" customHeight="1" s="117">
      <c r="H187" s="116" t="n"/>
      <c r="I187" s="116" t="n"/>
      <c r="J187" s="116" t="n"/>
      <c r="K187" s="116" t="n"/>
      <c r="L187" s="116" t="n"/>
      <c r="M187" s="116" t="n"/>
      <c r="N187" s="116" t="n"/>
      <c r="P187" s="116" t="n"/>
      <c r="Q187" s="116" t="n"/>
    </row>
    <row r="188" ht="15" customHeight="1" s="117">
      <c r="H188" s="116" t="n"/>
      <c r="I188" s="116" t="n"/>
      <c r="J188" s="116" t="n"/>
      <c r="K188" s="116" t="n"/>
      <c r="L188" s="116" t="n"/>
      <c r="M188" s="116" t="n"/>
      <c r="N188" s="116" t="n"/>
      <c r="P188" s="116" t="n"/>
      <c r="Q188" s="116" t="n"/>
    </row>
    <row r="189" ht="15" customHeight="1" s="117">
      <c r="H189" s="116" t="n"/>
      <c r="I189" s="116" t="n"/>
      <c r="J189" s="116" t="n"/>
      <c r="K189" s="116" t="n"/>
      <c r="L189" s="116" t="n"/>
      <c r="M189" s="116" t="n"/>
      <c r="N189" s="116" t="n"/>
      <c r="P189" s="116" t="n"/>
      <c r="Q189" s="116" t="n"/>
    </row>
    <row r="190" ht="15" customHeight="1" s="117">
      <c r="H190" s="116" t="n"/>
      <c r="I190" s="116" t="n"/>
      <c r="J190" s="116" t="n"/>
      <c r="K190" s="116" t="n"/>
      <c r="L190" s="116" t="n"/>
      <c r="M190" s="116" t="n"/>
      <c r="N190" s="116" t="n"/>
      <c r="P190" s="116" t="n"/>
      <c r="Q190" s="116" t="n"/>
    </row>
    <row r="191" ht="15" customHeight="1" s="117">
      <c r="H191" s="116" t="n"/>
      <c r="I191" s="116" t="n"/>
      <c r="J191" s="116" t="n"/>
      <c r="K191" s="116" t="n"/>
      <c r="L191" s="116" t="n"/>
      <c r="M191" s="116" t="n"/>
      <c r="N191" s="116" t="n"/>
      <c r="P191" s="116" t="n"/>
      <c r="Q191" s="116" t="n"/>
    </row>
    <row r="192" ht="15" customHeight="1" s="117">
      <c r="H192" s="116" t="n"/>
      <c r="I192" s="116" t="n"/>
      <c r="J192" s="116" t="n"/>
      <c r="K192" s="116" t="n"/>
      <c r="L192" s="116" t="n"/>
      <c r="M192" s="116" t="n"/>
      <c r="N192" s="116" t="n"/>
      <c r="P192" s="116" t="n"/>
      <c r="Q192" s="116" t="n"/>
    </row>
    <row r="193" ht="15" customHeight="1" s="117">
      <c r="H193" s="116" t="n"/>
      <c r="I193" s="116" t="n"/>
      <c r="J193" s="116" t="n"/>
      <c r="K193" s="116" t="n"/>
      <c r="L193" s="116" t="n"/>
      <c r="M193" s="116" t="n"/>
      <c r="N193" s="116" t="n"/>
      <c r="P193" s="116" t="n"/>
      <c r="Q193" s="116" t="n"/>
    </row>
    <row r="194" ht="15" customHeight="1" s="117">
      <c r="H194" s="116" t="n"/>
      <c r="I194" s="116" t="n"/>
      <c r="J194" s="116" t="n"/>
      <c r="K194" s="116" t="n"/>
      <c r="L194" s="116" t="n"/>
      <c r="M194" s="116" t="n"/>
      <c r="N194" s="116" t="n"/>
      <c r="P194" s="116" t="n"/>
      <c r="Q194" s="116" t="n"/>
    </row>
    <row r="195" ht="15" customHeight="1" s="117">
      <c r="H195" s="116" t="n"/>
      <c r="I195" s="116" t="n"/>
      <c r="J195" s="116" t="n"/>
      <c r="K195" s="116" t="n"/>
      <c r="L195" s="116" t="n"/>
      <c r="M195" s="116" t="n"/>
      <c r="N195" s="116" t="n"/>
      <c r="P195" s="116" t="n"/>
      <c r="Q195" s="116" t="n"/>
    </row>
    <row r="196" ht="15" customHeight="1" s="117">
      <c r="H196" s="116" t="n"/>
      <c r="I196" s="116" t="n"/>
      <c r="J196" s="116" t="n"/>
      <c r="K196" s="116" t="n"/>
      <c r="L196" s="116" t="n"/>
      <c r="M196" s="116" t="n"/>
      <c r="N196" s="116" t="n"/>
      <c r="P196" s="116" t="n"/>
      <c r="Q196" s="116" t="n"/>
    </row>
    <row r="197" ht="15" customHeight="1" s="117">
      <c r="H197" s="116" t="n"/>
      <c r="I197" s="116" t="n"/>
      <c r="J197" s="116" t="n"/>
      <c r="K197" s="116" t="n"/>
      <c r="L197" s="116" t="n"/>
      <c r="M197" s="116" t="n"/>
      <c r="N197" s="116" t="n"/>
      <c r="P197" s="116" t="n"/>
      <c r="Q197" s="116" t="n"/>
    </row>
    <row r="198" ht="15" customHeight="1" s="117">
      <c r="H198" s="116" t="n"/>
      <c r="I198" s="116" t="n"/>
      <c r="J198" s="116" t="n"/>
      <c r="K198" s="116" t="n"/>
      <c r="L198" s="116" t="n"/>
      <c r="M198" s="116" t="n"/>
      <c r="N198" s="116" t="n"/>
      <c r="P198" s="116" t="n"/>
      <c r="Q198" s="116" t="n"/>
    </row>
    <row r="199" ht="15" customHeight="1" s="117">
      <c r="H199" s="116" t="n"/>
      <c r="I199" s="116" t="n"/>
      <c r="J199" s="116" t="n"/>
      <c r="K199" s="116" t="n"/>
      <c r="L199" s="116" t="n"/>
      <c r="M199" s="116" t="n"/>
      <c r="N199" s="116" t="n"/>
      <c r="P199" s="116" t="n"/>
      <c r="Q199" s="116" t="n"/>
    </row>
    <row r="200" ht="15" customHeight="1" s="117">
      <c r="H200" s="116" t="n"/>
      <c r="I200" s="116" t="n"/>
      <c r="J200" s="116" t="n"/>
      <c r="K200" s="116" t="n"/>
      <c r="L200" s="116" t="n"/>
      <c r="M200" s="116" t="n"/>
      <c r="N200" s="116" t="n"/>
      <c r="P200" s="116" t="n"/>
      <c r="Q200" s="116" t="n"/>
    </row>
    <row r="201" ht="15" customHeight="1" s="117">
      <c r="H201" s="116" t="n"/>
      <c r="I201" s="116" t="n"/>
      <c r="J201" s="116" t="n"/>
      <c r="K201" s="116" t="n"/>
      <c r="L201" s="116" t="n"/>
      <c r="M201" s="116" t="n"/>
      <c r="N201" s="116" t="n"/>
      <c r="P201" s="116" t="n"/>
      <c r="Q201" s="116" t="n"/>
    </row>
    <row r="202" ht="15" customHeight="1" s="117">
      <c r="H202" s="116" t="n"/>
      <c r="I202" s="116" t="n"/>
      <c r="J202" s="116" t="n"/>
      <c r="K202" s="116" t="n"/>
      <c r="L202" s="116" t="n"/>
      <c r="M202" s="116" t="n"/>
      <c r="N202" s="116" t="n"/>
      <c r="P202" s="116" t="n"/>
      <c r="Q202" s="116" t="n"/>
    </row>
    <row r="203" ht="15" customHeight="1" s="117">
      <c r="H203" s="116" t="n"/>
      <c r="I203" s="116" t="n"/>
      <c r="J203" s="116" t="n"/>
      <c r="K203" s="116" t="n"/>
      <c r="L203" s="116" t="n"/>
      <c r="M203" s="116" t="n"/>
      <c r="N203" s="116" t="n"/>
      <c r="P203" s="116" t="n"/>
      <c r="Q203" s="116" t="n"/>
    </row>
    <row r="204" ht="15" customHeight="1" s="117">
      <c r="H204" s="116" t="n"/>
      <c r="I204" s="116" t="n"/>
      <c r="J204" s="116" t="n"/>
      <c r="K204" s="116" t="n"/>
      <c r="L204" s="116" t="n"/>
      <c r="M204" s="116" t="n"/>
      <c r="N204" s="116" t="n"/>
      <c r="P204" s="116" t="n"/>
      <c r="Q204" s="116" t="n"/>
    </row>
    <row r="205" ht="15" customHeight="1" s="117">
      <c r="H205" s="116" t="n"/>
      <c r="I205" s="116" t="n"/>
      <c r="J205" s="116" t="n"/>
      <c r="K205" s="116" t="n"/>
      <c r="L205" s="116" t="n"/>
      <c r="M205" s="116" t="n"/>
      <c r="N205" s="116" t="n"/>
      <c r="P205" s="116" t="n"/>
      <c r="Q205" s="116" t="n"/>
    </row>
    <row r="206" ht="15" customHeight="1" s="117">
      <c r="H206" s="116" t="n"/>
      <c r="I206" s="116" t="n"/>
      <c r="J206" s="116" t="n"/>
      <c r="K206" s="116" t="n"/>
      <c r="L206" s="116" t="n"/>
      <c r="M206" s="116" t="n"/>
      <c r="N206" s="116" t="n"/>
      <c r="P206" s="116" t="n"/>
      <c r="Q206" s="116" t="n"/>
    </row>
    <row r="207" ht="15" customHeight="1" s="117">
      <c r="H207" s="116" t="n"/>
      <c r="I207" s="116" t="n"/>
      <c r="J207" s="116" t="n"/>
      <c r="K207" s="116" t="n"/>
      <c r="L207" s="116" t="n"/>
      <c r="M207" s="116" t="n"/>
      <c r="N207" s="116" t="n"/>
      <c r="P207" s="116" t="n"/>
      <c r="Q207" s="116" t="n"/>
    </row>
    <row r="208" ht="15" customHeight="1" s="117">
      <c r="H208" s="116" t="n"/>
      <c r="I208" s="116" t="n"/>
      <c r="J208" s="116" t="n"/>
      <c r="K208" s="116" t="n"/>
      <c r="L208" s="116" t="n"/>
      <c r="M208" s="116" t="n"/>
      <c r="N208" s="116" t="n"/>
      <c r="P208" s="116" t="n"/>
      <c r="Q208" s="116" t="n"/>
    </row>
    <row r="209" ht="15" customHeight="1" s="117">
      <c r="H209" s="116" t="n"/>
      <c r="I209" s="116" t="n"/>
      <c r="J209" s="116" t="n"/>
      <c r="K209" s="116" t="n"/>
      <c r="L209" s="116" t="n"/>
      <c r="M209" s="116" t="n"/>
      <c r="N209" s="116" t="n"/>
      <c r="P209" s="116" t="n"/>
      <c r="Q209" s="116" t="n"/>
    </row>
    <row r="210" ht="15" customHeight="1" s="117">
      <c r="H210" s="116" t="n"/>
      <c r="I210" s="116" t="n"/>
      <c r="J210" s="116" t="n"/>
      <c r="K210" s="116" t="n"/>
      <c r="L210" s="116" t="n"/>
      <c r="M210" s="116" t="n"/>
      <c r="N210" s="116" t="n"/>
      <c r="P210" s="116" t="n"/>
      <c r="Q210" s="116" t="n"/>
    </row>
    <row r="211" ht="15" customHeight="1" s="117">
      <c r="H211" s="116" t="n"/>
      <c r="I211" s="116" t="n"/>
      <c r="J211" s="116" t="n"/>
      <c r="K211" s="116" t="n"/>
      <c r="L211" s="116" t="n"/>
      <c r="M211" s="116" t="n"/>
      <c r="N211" s="116" t="n"/>
      <c r="P211" s="116" t="n"/>
      <c r="Q211" s="116" t="n"/>
    </row>
    <row r="212" ht="15" customHeight="1" s="117">
      <c r="H212" s="116" t="n"/>
      <c r="I212" s="116" t="n"/>
      <c r="J212" s="116" t="n"/>
      <c r="K212" s="116" t="n"/>
      <c r="L212" s="116" t="n"/>
      <c r="M212" s="116" t="n"/>
      <c r="N212" s="116" t="n"/>
      <c r="P212" s="116" t="n"/>
      <c r="Q212" s="116" t="n"/>
    </row>
    <row r="213" ht="15" customHeight="1" s="117">
      <c r="H213" s="116" t="n"/>
      <c r="I213" s="116" t="n"/>
      <c r="J213" s="116" t="n"/>
      <c r="K213" s="116" t="n"/>
      <c r="L213" s="116" t="n"/>
      <c r="M213" s="116" t="n"/>
      <c r="N213" s="116" t="n"/>
      <c r="P213" s="116" t="n"/>
      <c r="Q213" s="116" t="n"/>
    </row>
    <row r="214" ht="15" customHeight="1" s="117">
      <c r="H214" s="116" t="n"/>
      <c r="I214" s="116" t="n"/>
      <c r="J214" s="116" t="n"/>
      <c r="K214" s="116" t="n"/>
      <c r="L214" s="116" t="n"/>
      <c r="M214" s="116" t="n"/>
      <c r="N214" s="116" t="n"/>
      <c r="P214" s="116" t="n"/>
      <c r="Q214" s="116" t="n"/>
    </row>
    <row r="215" ht="15" customHeight="1" s="117">
      <c r="H215" s="116" t="n"/>
      <c r="I215" s="116" t="n"/>
      <c r="J215" s="116" t="n"/>
      <c r="K215" s="116" t="n"/>
      <c r="L215" s="116" t="n"/>
      <c r="M215" s="116" t="n"/>
      <c r="N215" s="116" t="n"/>
      <c r="P215" s="116" t="n"/>
      <c r="Q215" s="116" t="n"/>
    </row>
    <row r="216" ht="15" customHeight="1" s="117">
      <c r="H216" s="116" t="n"/>
      <c r="I216" s="116" t="n"/>
      <c r="J216" s="116" t="n"/>
      <c r="K216" s="116" t="n"/>
      <c r="L216" s="116" t="n"/>
      <c r="M216" s="116" t="n"/>
      <c r="N216" s="116" t="n"/>
      <c r="P216" s="116" t="n"/>
      <c r="Q216" s="116" t="n"/>
    </row>
    <row r="217" ht="15" customHeight="1" s="117">
      <c r="H217" s="116" t="n"/>
      <c r="I217" s="116" t="n"/>
      <c r="J217" s="116" t="n"/>
      <c r="K217" s="116" t="n"/>
      <c r="L217" s="116" t="n"/>
      <c r="M217" s="116" t="n"/>
      <c r="N217" s="116" t="n"/>
      <c r="P217" s="116" t="n"/>
      <c r="Q217" s="116" t="n"/>
    </row>
    <row r="218" ht="15" customHeight="1" s="117">
      <c r="H218" s="116" t="n"/>
      <c r="I218" s="116" t="n"/>
      <c r="J218" s="116" t="n"/>
      <c r="K218" s="116" t="n"/>
      <c r="L218" s="116" t="n"/>
      <c r="M218" s="116" t="n"/>
      <c r="N218" s="116" t="n"/>
      <c r="P218" s="116" t="n"/>
      <c r="Q218" s="116" t="n"/>
    </row>
    <row r="219" ht="15" customHeight="1" s="117">
      <c r="H219" s="116" t="n"/>
      <c r="I219" s="116" t="n"/>
      <c r="J219" s="116" t="n"/>
      <c r="K219" s="116" t="n"/>
      <c r="L219" s="116" t="n"/>
      <c r="M219" s="116" t="n"/>
      <c r="N219" s="116" t="n"/>
      <c r="P219" s="116" t="n"/>
      <c r="Q219" s="116" t="n"/>
    </row>
    <row r="220" ht="15" customHeight="1" s="117">
      <c r="H220" s="116" t="n"/>
      <c r="I220" s="116" t="n"/>
      <c r="J220" s="116" t="n"/>
      <c r="K220" s="116" t="n"/>
      <c r="L220" s="116" t="n"/>
      <c r="M220" s="116" t="n"/>
      <c r="N220" s="116" t="n"/>
      <c r="P220" s="116" t="n"/>
      <c r="Q220" s="116" t="n"/>
    </row>
    <row r="221" ht="15" customHeight="1" s="117">
      <c r="H221" s="116" t="n"/>
      <c r="I221" s="116" t="n"/>
      <c r="J221" s="116" t="n"/>
      <c r="K221" s="116" t="n"/>
      <c r="L221" s="116" t="n"/>
      <c r="M221" s="116" t="n"/>
      <c r="N221" s="116" t="n"/>
      <c r="P221" s="116" t="n"/>
      <c r="Q221" s="116" t="n"/>
    </row>
    <row r="222" ht="15" customHeight="1" s="117">
      <c r="H222" s="116" t="n"/>
      <c r="I222" s="116" t="n"/>
      <c r="J222" s="116" t="n"/>
      <c r="K222" s="116" t="n"/>
      <c r="L222" s="116" t="n"/>
      <c r="M222" s="116" t="n"/>
      <c r="N222" s="116" t="n"/>
      <c r="P222" s="116" t="n"/>
      <c r="Q222" s="116" t="n"/>
    </row>
    <row r="223" ht="15" customHeight="1" s="117">
      <c r="H223" s="116" t="n"/>
      <c r="I223" s="116" t="n"/>
      <c r="J223" s="116" t="n"/>
      <c r="K223" s="116" t="n"/>
      <c r="L223" s="116" t="n"/>
      <c r="M223" s="116" t="n"/>
      <c r="N223" s="116" t="n"/>
      <c r="P223" s="116" t="n"/>
      <c r="Q223" s="116" t="n"/>
    </row>
    <row r="224" ht="15" customHeight="1" s="117">
      <c r="H224" s="116" t="n"/>
      <c r="I224" s="116" t="n"/>
      <c r="J224" s="116" t="n"/>
      <c r="K224" s="116" t="n"/>
      <c r="L224" s="116" t="n"/>
      <c r="M224" s="116" t="n"/>
      <c r="N224" s="116" t="n"/>
      <c r="P224" s="116" t="n"/>
      <c r="Q224" s="116" t="n"/>
    </row>
    <row r="225" ht="15" customHeight="1" s="117">
      <c r="H225" s="116" t="n"/>
      <c r="I225" s="116" t="n"/>
      <c r="J225" s="116" t="n"/>
      <c r="K225" s="116" t="n"/>
      <c r="L225" s="116" t="n"/>
      <c r="M225" s="116" t="n"/>
      <c r="N225" s="116" t="n"/>
      <c r="P225" s="116" t="n"/>
      <c r="Q225" s="116" t="n"/>
    </row>
    <row r="226" ht="15" customHeight="1" s="117">
      <c r="H226" s="116" t="n"/>
      <c r="I226" s="116" t="n"/>
      <c r="J226" s="116" t="n"/>
      <c r="K226" s="116" t="n"/>
      <c r="L226" s="116" t="n"/>
      <c r="M226" s="116" t="n"/>
      <c r="N226" s="116" t="n"/>
      <c r="P226" s="116" t="n"/>
      <c r="Q226" s="116" t="n"/>
    </row>
    <row r="227" ht="15" customHeight="1" s="117">
      <c r="H227" s="116" t="n"/>
      <c r="I227" s="116" t="n"/>
      <c r="J227" s="116" t="n"/>
      <c r="K227" s="116" t="n"/>
      <c r="L227" s="116" t="n"/>
      <c r="M227" s="116" t="n"/>
      <c r="N227" s="116" t="n"/>
      <c r="P227" s="116" t="n"/>
      <c r="Q227" s="116" t="n"/>
    </row>
    <row r="228" ht="15" customHeight="1" s="117">
      <c r="H228" s="116" t="n"/>
      <c r="I228" s="116" t="n"/>
      <c r="J228" s="116" t="n"/>
      <c r="K228" s="116" t="n"/>
      <c r="L228" s="116" t="n"/>
      <c r="M228" s="116" t="n"/>
      <c r="N228" s="116" t="n"/>
      <c r="P228" s="116" t="n"/>
      <c r="Q228" s="116" t="n"/>
    </row>
    <row r="229" ht="15" customHeight="1" s="117">
      <c r="H229" s="116" t="n"/>
      <c r="I229" s="116" t="n"/>
      <c r="J229" s="116" t="n"/>
      <c r="K229" s="116" t="n"/>
      <c r="L229" s="116" t="n"/>
      <c r="M229" s="116" t="n"/>
      <c r="N229" s="116" t="n"/>
      <c r="P229" s="116" t="n"/>
      <c r="Q229" s="116" t="n"/>
    </row>
    <row r="230" ht="15" customHeight="1" s="117">
      <c r="H230" s="116" t="n"/>
      <c r="I230" s="116" t="n"/>
      <c r="J230" s="116" t="n"/>
      <c r="K230" s="116" t="n"/>
      <c r="L230" s="116" t="n"/>
      <c r="M230" s="116" t="n"/>
      <c r="N230" s="116" t="n"/>
      <c r="P230" s="116" t="n"/>
      <c r="Q230" s="116" t="n"/>
    </row>
    <row r="231" ht="15" customHeight="1" s="117">
      <c r="H231" s="116" t="n"/>
      <c r="I231" s="116" t="n"/>
      <c r="J231" s="116" t="n"/>
      <c r="K231" s="116" t="n"/>
      <c r="L231" s="116" t="n"/>
      <c r="M231" s="116" t="n"/>
      <c r="N231" s="116" t="n"/>
      <c r="P231" s="116" t="n"/>
      <c r="Q231" s="116" t="n"/>
    </row>
    <row r="232" ht="15" customHeight="1" s="117">
      <c r="H232" s="116" t="n"/>
      <c r="I232" s="116" t="n"/>
      <c r="J232" s="116" t="n"/>
      <c r="K232" s="116" t="n"/>
      <c r="L232" s="116" t="n"/>
      <c r="M232" s="116" t="n"/>
      <c r="N232" s="116" t="n"/>
      <c r="P232" s="116" t="n"/>
      <c r="Q232" s="116" t="n"/>
    </row>
    <row r="233" ht="15" customHeight="1" s="117">
      <c r="H233" s="116" t="n"/>
      <c r="I233" s="116" t="n"/>
      <c r="J233" s="116" t="n"/>
      <c r="K233" s="116" t="n"/>
      <c r="L233" s="116" t="n"/>
      <c r="M233" s="116" t="n"/>
      <c r="N233" s="116" t="n"/>
      <c r="P233" s="116" t="n"/>
      <c r="Q233" s="116" t="n"/>
    </row>
    <row r="234" ht="15" customHeight="1" s="117">
      <c r="H234" s="116" t="n"/>
      <c r="I234" s="116" t="n"/>
      <c r="J234" s="116" t="n"/>
      <c r="K234" s="116" t="n"/>
      <c r="L234" s="116" t="n"/>
      <c r="M234" s="116" t="n"/>
      <c r="N234" s="116" t="n"/>
      <c r="P234" s="116" t="n"/>
      <c r="Q234" s="116" t="n"/>
    </row>
    <row r="235" ht="15" customHeight="1" s="117">
      <c r="H235" s="116" t="n"/>
      <c r="I235" s="116" t="n"/>
      <c r="J235" s="116" t="n"/>
      <c r="K235" s="116" t="n"/>
      <c r="L235" s="116" t="n"/>
      <c r="M235" s="116" t="n"/>
      <c r="N235" s="116" t="n"/>
      <c r="P235" s="116" t="n"/>
      <c r="Q235" s="116" t="n"/>
    </row>
    <row r="236" ht="15" customHeight="1" s="117">
      <c r="H236" s="116" t="n"/>
      <c r="I236" s="116" t="n"/>
      <c r="J236" s="116" t="n"/>
      <c r="K236" s="116" t="n"/>
      <c r="L236" s="116" t="n"/>
      <c r="M236" s="116" t="n"/>
      <c r="N236" s="116" t="n"/>
      <c r="P236" s="116" t="n"/>
      <c r="Q236" s="116" t="n"/>
    </row>
    <row r="237" ht="15" customHeight="1" s="117">
      <c r="H237" s="116" t="n"/>
      <c r="I237" s="116" t="n"/>
      <c r="J237" s="116" t="n"/>
      <c r="K237" s="116" t="n"/>
      <c r="L237" s="116" t="n"/>
      <c r="M237" s="116" t="n"/>
      <c r="N237" s="116" t="n"/>
      <c r="P237" s="116" t="n"/>
      <c r="Q237" s="116" t="n"/>
    </row>
    <row r="238" ht="15" customHeight="1" s="117">
      <c r="H238" s="116" t="n"/>
      <c r="I238" s="116" t="n"/>
      <c r="J238" s="116" t="n"/>
      <c r="K238" s="116" t="n"/>
      <c r="L238" s="116" t="n"/>
      <c r="M238" s="116" t="n"/>
      <c r="N238" s="116" t="n"/>
      <c r="P238" s="116" t="n"/>
      <c r="Q238" s="116" t="n"/>
    </row>
    <row r="239" ht="15" customHeight="1" s="117">
      <c r="H239" s="116" t="n"/>
      <c r="I239" s="116" t="n"/>
      <c r="J239" s="116" t="n"/>
      <c r="K239" s="116" t="n"/>
      <c r="L239" s="116" t="n"/>
      <c r="M239" s="116" t="n"/>
      <c r="N239" s="116" t="n"/>
      <c r="P239" s="116" t="n"/>
      <c r="Q239" s="116" t="n"/>
    </row>
    <row r="240" ht="15" customHeight="1" s="117">
      <c r="H240" s="116" t="n"/>
      <c r="I240" s="116" t="n"/>
      <c r="J240" s="116" t="n"/>
      <c r="K240" s="116" t="n"/>
      <c r="L240" s="116" t="n"/>
      <c r="M240" s="116" t="n"/>
      <c r="N240" s="116" t="n"/>
      <c r="P240" s="116" t="n"/>
      <c r="Q240" s="116" t="n"/>
    </row>
    <row r="241" ht="15" customHeight="1" s="117">
      <c r="H241" s="116" t="n"/>
      <c r="I241" s="116" t="n"/>
      <c r="J241" s="116" t="n"/>
      <c r="K241" s="116" t="n"/>
      <c r="L241" s="116" t="n"/>
      <c r="M241" s="116" t="n"/>
      <c r="N241" s="116" t="n"/>
      <c r="P241" s="116" t="n"/>
      <c r="Q241" s="116" t="n"/>
    </row>
    <row r="242" ht="15" customHeight="1" s="117">
      <c r="H242" s="116" t="n"/>
      <c r="I242" s="116" t="n"/>
      <c r="J242" s="116" t="n"/>
      <c r="K242" s="116" t="n"/>
      <c r="L242" s="116" t="n"/>
      <c r="M242" s="116" t="n"/>
      <c r="N242" s="116" t="n"/>
      <c r="P242" s="116" t="n"/>
      <c r="Q242" s="116" t="n"/>
    </row>
    <row r="243" ht="15" customHeight="1" s="117">
      <c r="H243" s="116" t="n"/>
      <c r="I243" s="116" t="n"/>
      <c r="J243" s="116" t="n"/>
      <c r="K243" s="116" t="n"/>
      <c r="L243" s="116" t="n"/>
      <c r="M243" s="116" t="n"/>
      <c r="N243" s="116" t="n"/>
      <c r="P243" s="116" t="n"/>
      <c r="Q243" s="116" t="n"/>
    </row>
    <row r="244" ht="15" customHeight="1" s="117">
      <c r="H244" s="116" t="n"/>
      <c r="I244" s="116" t="n"/>
      <c r="J244" s="116" t="n"/>
      <c r="K244" s="116" t="n"/>
      <c r="L244" s="116" t="n"/>
      <c r="M244" s="116" t="n"/>
      <c r="N244" s="116" t="n"/>
      <c r="P244" s="116" t="n"/>
      <c r="Q244" s="116" t="n"/>
    </row>
    <row r="245" ht="15" customHeight="1" s="117">
      <c r="H245" s="116" t="n"/>
      <c r="I245" s="116" t="n"/>
      <c r="J245" s="116" t="n"/>
      <c r="K245" s="116" t="n"/>
      <c r="L245" s="116" t="n"/>
      <c r="M245" s="116" t="n"/>
      <c r="N245" s="116" t="n"/>
      <c r="P245" s="116" t="n"/>
      <c r="Q245" s="116" t="n"/>
    </row>
    <row r="246" ht="15" customHeight="1" s="117">
      <c r="H246" s="116" t="n"/>
      <c r="I246" s="116" t="n"/>
      <c r="J246" s="116" t="n"/>
      <c r="K246" s="116" t="n"/>
      <c r="L246" s="116" t="n"/>
      <c r="M246" s="116" t="n"/>
      <c r="N246" s="116" t="n"/>
      <c r="P246" s="116" t="n"/>
      <c r="Q246" s="116" t="n"/>
    </row>
    <row r="247" ht="15" customHeight="1" s="117">
      <c r="H247" s="116" t="n"/>
      <c r="I247" s="116" t="n"/>
      <c r="J247" s="116" t="n"/>
      <c r="K247" s="116" t="n"/>
      <c r="L247" s="116" t="n"/>
      <c r="M247" s="116" t="n"/>
      <c r="N247" s="116" t="n"/>
      <c r="P247" s="116" t="n"/>
      <c r="Q247" s="116" t="n"/>
    </row>
    <row r="248" ht="15" customHeight="1" s="117">
      <c r="H248" s="116" t="n"/>
      <c r="I248" s="116" t="n"/>
      <c r="J248" s="116" t="n"/>
      <c r="K248" s="116" t="n"/>
      <c r="L248" s="116" t="n"/>
      <c r="M248" s="116" t="n"/>
      <c r="N248" s="116" t="n"/>
      <c r="P248" s="116" t="n"/>
      <c r="Q248" s="116" t="n"/>
    </row>
    <row r="249" ht="15" customHeight="1" s="117">
      <c r="H249" s="116" t="n"/>
      <c r="I249" s="116" t="n"/>
      <c r="J249" s="116" t="n"/>
      <c r="K249" s="116" t="n"/>
      <c r="L249" s="116" t="n"/>
      <c r="M249" s="116" t="n"/>
      <c r="N249" s="116" t="n"/>
      <c r="P249" s="116" t="n"/>
      <c r="Q249" s="116" t="n"/>
    </row>
    <row r="250" ht="15" customHeight="1" s="117">
      <c r="H250" s="116" t="n"/>
      <c r="I250" s="116" t="n"/>
      <c r="J250" s="116" t="n"/>
      <c r="K250" s="116" t="n"/>
      <c r="L250" s="116" t="n"/>
      <c r="M250" s="116" t="n"/>
      <c r="N250" s="116" t="n"/>
      <c r="P250" s="116" t="n"/>
      <c r="Q250" s="116" t="n"/>
    </row>
    <row r="251" ht="15" customHeight="1" s="117">
      <c r="H251" s="116" t="n"/>
      <c r="I251" s="116" t="n"/>
      <c r="J251" s="116" t="n"/>
      <c r="K251" s="116" t="n"/>
      <c r="L251" s="116" t="n"/>
      <c r="M251" s="116" t="n"/>
      <c r="N251" s="116" t="n"/>
      <c r="P251" s="116" t="n"/>
      <c r="Q251" s="116" t="n"/>
    </row>
    <row r="252" ht="15" customHeight="1" s="117">
      <c r="H252" s="116" t="n"/>
      <c r="I252" s="116" t="n"/>
      <c r="J252" s="116" t="n"/>
      <c r="K252" s="116" t="n"/>
      <c r="L252" s="116" t="n"/>
      <c r="M252" s="116" t="n"/>
      <c r="N252" s="116" t="n"/>
      <c r="P252" s="116" t="n"/>
      <c r="Q252" s="116" t="n"/>
    </row>
    <row r="253" ht="15" customHeight="1" s="117">
      <c r="H253" s="116" t="n"/>
      <c r="I253" s="116" t="n"/>
      <c r="J253" s="116" t="n"/>
      <c r="K253" s="116" t="n"/>
      <c r="L253" s="116" t="n"/>
      <c r="M253" s="116" t="n"/>
      <c r="N253" s="116" t="n"/>
      <c r="P253" s="116" t="n"/>
      <c r="Q253" s="116" t="n"/>
    </row>
    <row r="254" ht="15" customHeight="1" s="117">
      <c r="H254" s="116" t="n"/>
      <c r="I254" s="116" t="n"/>
      <c r="J254" s="116" t="n"/>
      <c r="K254" s="116" t="n"/>
      <c r="L254" s="116" t="n"/>
      <c r="M254" s="116" t="n"/>
      <c r="N254" s="116" t="n"/>
      <c r="P254" s="116" t="n"/>
      <c r="Q254" s="116" t="n"/>
    </row>
    <row r="255" ht="15" customHeight="1" s="117">
      <c r="H255" s="116" t="n"/>
      <c r="I255" s="116" t="n"/>
      <c r="J255" s="116" t="n"/>
      <c r="K255" s="116" t="n"/>
      <c r="L255" s="116" t="n"/>
      <c r="M255" s="116" t="n"/>
      <c r="N255" s="116" t="n"/>
      <c r="P255" s="116" t="n"/>
      <c r="Q255" s="116" t="n"/>
    </row>
    <row r="256" ht="15" customHeight="1" s="117">
      <c r="H256" s="116" t="n"/>
      <c r="I256" s="116" t="n"/>
      <c r="J256" s="116" t="n"/>
      <c r="K256" s="116" t="n"/>
      <c r="L256" s="116" t="n"/>
      <c r="M256" s="116" t="n"/>
      <c r="N256" s="116" t="n"/>
      <c r="P256" s="116" t="n"/>
      <c r="Q256" s="116" t="n"/>
    </row>
    <row r="257" ht="15" customHeight="1" s="117">
      <c r="H257" s="116" t="n"/>
      <c r="I257" s="116" t="n"/>
      <c r="J257" s="116" t="n"/>
      <c r="K257" s="116" t="n"/>
      <c r="L257" s="116" t="n"/>
      <c r="M257" s="116" t="n"/>
      <c r="N257" s="116" t="n"/>
      <c r="P257" s="116" t="n"/>
      <c r="Q257" s="116" t="n"/>
    </row>
    <row r="258" ht="15" customHeight="1" s="117">
      <c r="H258" s="116" t="n"/>
      <c r="I258" s="116" t="n"/>
      <c r="J258" s="116" t="n"/>
      <c r="K258" s="116" t="n"/>
      <c r="L258" s="116" t="n"/>
      <c r="M258" s="116" t="n"/>
      <c r="N258" s="116" t="n"/>
      <c r="P258" s="116" t="n"/>
      <c r="Q258" s="116" t="n"/>
    </row>
    <row r="259" ht="15" customHeight="1" s="117">
      <c r="H259" s="116" t="n"/>
      <c r="I259" s="116" t="n"/>
      <c r="J259" s="116" t="n"/>
      <c r="K259" s="116" t="n"/>
      <c r="L259" s="116" t="n"/>
      <c r="M259" s="116" t="n"/>
      <c r="N259" s="116" t="n"/>
      <c r="P259" s="116" t="n"/>
      <c r="Q259" s="116" t="n"/>
    </row>
    <row r="260" ht="15" customHeight="1" s="117">
      <c r="H260" s="116" t="n"/>
      <c r="I260" s="116" t="n"/>
      <c r="J260" s="116" t="n"/>
      <c r="K260" s="116" t="n"/>
      <c r="L260" s="116" t="n"/>
      <c r="M260" s="116" t="n"/>
      <c r="N260" s="116" t="n"/>
      <c r="P260" s="116" t="n"/>
      <c r="Q260" s="116" t="n"/>
    </row>
    <row r="261" ht="15" customHeight="1" s="117">
      <c r="H261" s="116" t="n"/>
      <c r="I261" s="116" t="n"/>
      <c r="J261" s="116" t="n"/>
      <c r="K261" s="116" t="n"/>
      <c r="L261" s="116" t="n"/>
      <c r="M261" s="116" t="n"/>
      <c r="N261" s="116" t="n"/>
      <c r="P261" s="116" t="n"/>
      <c r="Q261" s="116" t="n"/>
    </row>
    <row r="262" ht="15" customHeight="1" s="117">
      <c r="H262" s="116" t="n"/>
      <c r="I262" s="116" t="n"/>
      <c r="J262" s="116" t="n"/>
      <c r="K262" s="116" t="n"/>
      <c r="L262" s="116" t="n"/>
      <c r="M262" s="116" t="n"/>
      <c r="N262" s="116" t="n"/>
      <c r="P262" s="116" t="n"/>
      <c r="Q262" s="116" t="n"/>
    </row>
    <row r="263" ht="15" customHeight="1" s="117">
      <c r="H263" s="116" t="n"/>
      <c r="I263" s="116" t="n"/>
      <c r="J263" s="116" t="n"/>
      <c r="K263" s="116" t="n"/>
      <c r="L263" s="116" t="n"/>
      <c r="M263" s="116" t="n"/>
      <c r="N263" s="116" t="n"/>
      <c r="P263" s="116" t="n"/>
      <c r="Q263" s="116" t="n"/>
    </row>
    <row r="264" ht="15" customHeight="1" s="117">
      <c r="H264" s="116" t="n"/>
      <c r="I264" s="116" t="n"/>
      <c r="J264" s="116" t="n"/>
      <c r="K264" s="116" t="n"/>
      <c r="L264" s="116" t="n"/>
      <c r="M264" s="116" t="n"/>
      <c r="N264" s="116" t="n"/>
      <c r="P264" s="116" t="n"/>
      <c r="Q264" s="116" t="n"/>
    </row>
    <row r="265" ht="15" customHeight="1" s="117">
      <c r="H265" s="116" t="n"/>
      <c r="I265" s="116" t="n"/>
      <c r="J265" s="116" t="n"/>
      <c r="K265" s="116" t="n"/>
      <c r="L265" s="116" t="n"/>
      <c r="M265" s="116" t="n"/>
      <c r="N265" s="116" t="n"/>
      <c r="P265" s="116" t="n"/>
      <c r="Q265" s="116" t="n"/>
    </row>
    <row r="266" ht="15" customHeight="1" s="117">
      <c r="H266" s="116" t="n"/>
      <c r="I266" s="116" t="n"/>
      <c r="J266" s="116" t="n"/>
      <c r="K266" s="116" t="n"/>
      <c r="L266" s="116" t="n"/>
      <c r="M266" s="116" t="n"/>
      <c r="N266" s="116" t="n"/>
      <c r="P266" s="116" t="n"/>
      <c r="Q266" s="116" t="n"/>
    </row>
    <row r="267" ht="15" customHeight="1" s="117">
      <c r="H267" s="116" t="n"/>
      <c r="I267" s="116" t="n"/>
      <c r="J267" s="116" t="n"/>
      <c r="K267" s="116" t="n"/>
      <c r="L267" s="116" t="n"/>
      <c r="M267" s="116" t="n"/>
      <c r="N267" s="116" t="n"/>
      <c r="P267" s="116" t="n"/>
      <c r="Q267" s="116" t="n"/>
    </row>
    <row r="268" ht="15" customHeight="1" s="117">
      <c r="H268" s="116" t="n"/>
      <c r="I268" s="116" t="n"/>
      <c r="J268" s="116" t="n"/>
      <c r="K268" s="116" t="n"/>
      <c r="L268" s="116" t="n"/>
      <c r="M268" s="116" t="n"/>
      <c r="N268" s="116" t="n"/>
      <c r="P268" s="116" t="n"/>
      <c r="Q268" s="116" t="n"/>
    </row>
    <row r="269" ht="15" customHeight="1" s="117">
      <c r="H269" s="116" t="n"/>
      <c r="I269" s="116" t="n"/>
      <c r="J269" s="116" t="n"/>
      <c r="K269" s="116" t="n"/>
      <c r="L269" s="116" t="n"/>
      <c r="M269" s="116" t="n"/>
      <c r="N269" s="116" t="n"/>
      <c r="P269" s="116" t="n"/>
      <c r="Q269" s="116" t="n"/>
    </row>
    <row r="270" ht="15" customHeight="1" s="117">
      <c r="H270" s="116" t="n"/>
      <c r="I270" s="116" t="n"/>
      <c r="J270" s="116" t="n"/>
      <c r="K270" s="116" t="n"/>
      <c r="L270" s="116" t="n"/>
      <c r="M270" s="116" t="n"/>
      <c r="N270" s="116" t="n"/>
      <c r="P270" s="116" t="n"/>
      <c r="Q270" s="116" t="n"/>
    </row>
    <row r="271" ht="15" customHeight="1" s="117">
      <c r="H271" s="116" t="n"/>
      <c r="I271" s="116" t="n"/>
      <c r="J271" s="116" t="n"/>
      <c r="K271" s="116" t="n"/>
      <c r="L271" s="116" t="n"/>
      <c r="M271" s="116" t="n"/>
      <c r="N271" s="116" t="n"/>
      <c r="P271" s="116" t="n"/>
      <c r="Q271" s="116" t="n"/>
    </row>
    <row r="272" ht="15" customHeight="1" s="117">
      <c r="H272" s="116" t="n"/>
      <c r="I272" s="116" t="n"/>
      <c r="J272" s="116" t="n"/>
      <c r="K272" s="116" t="n"/>
      <c r="L272" s="116" t="n"/>
      <c r="M272" s="116" t="n"/>
      <c r="N272" s="116" t="n"/>
      <c r="P272" s="116" t="n"/>
      <c r="Q272" s="116" t="n"/>
    </row>
    <row r="273" ht="15" customHeight="1" s="117">
      <c r="H273" s="116" t="n"/>
      <c r="I273" s="116" t="n"/>
      <c r="J273" s="116" t="n"/>
      <c r="K273" s="116" t="n"/>
      <c r="L273" s="116" t="n"/>
      <c r="M273" s="116" t="n"/>
      <c r="N273" s="116" t="n"/>
      <c r="P273" s="116" t="n"/>
      <c r="Q273" s="116" t="n"/>
    </row>
    <row r="274" ht="15" customHeight="1" s="117">
      <c r="H274" s="116" t="n"/>
      <c r="I274" s="116" t="n"/>
      <c r="J274" s="116" t="n"/>
      <c r="K274" s="116" t="n"/>
      <c r="L274" s="116" t="n"/>
      <c r="M274" s="116" t="n"/>
      <c r="N274" s="116" t="n"/>
      <c r="P274" s="116" t="n"/>
      <c r="Q274" s="116" t="n"/>
    </row>
    <row r="275" ht="15" customHeight="1" s="117">
      <c r="H275" s="116" t="n"/>
      <c r="I275" s="116" t="n"/>
      <c r="J275" s="116" t="n"/>
      <c r="K275" s="116" t="n"/>
      <c r="L275" s="116" t="n"/>
      <c r="M275" s="116" t="n"/>
      <c r="N275" s="116" t="n"/>
      <c r="P275" s="116" t="n"/>
      <c r="Q275" s="116" t="n"/>
    </row>
    <row r="276" ht="15" customHeight="1" s="117">
      <c r="H276" s="116" t="n"/>
      <c r="I276" s="116" t="n"/>
      <c r="J276" s="116" t="n"/>
      <c r="K276" s="116" t="n"/>
      <c r="L276" s="116" t="n"/>
      <c r="M276" s="116" t="n"/>
      <c r="N276" s="116" t="n"/>
      <c r="P276" s="116" t="n"/>
      <c r="Q276" s="116" t="n"/>
    </row>
    <row r="277" ht="15" customHeight="1" s="117">
      <c r="H277" s="116" t="n"/>
      <c r="I277" s="116" t="n"/>
      <c r="J277" s="116" t="n"/>
      <c r="K277" s="116" t="n"/>
      <c r="L277" s="116" t="n"/>
      <c r="M277" s="116" t="n"/>
      <c r="N277" s="116" t="n"/>
      <c r="P277" s="116" t="n"/>
      <c r="Q277" s="116" t="n"/>
    </row>
    <row r="278" ht="15" customHeight="1" s="117">
      <c r="H278" s="116" t="n"/>
      <c r="I278" s="116" t="n"/>
      <c r="J278" s="116" t="n"/>
      <c r="K278" s="116" t="n"/>
      <c r="L278" s="116" t="n"/>
      <c r="M278" s="116" t="n"/>
      <c r="N278" s="116" t="n"/>
      <c r="P278" s="116" t="n"/>
      <c r="Q278" s="116" t="n"/>
    </row>
    <row r="279" ht="15" customHeight="1" s="117">
      <c r="H279" s="116" t="n"/>
      <c r="I279" s="116" t="n"/>
      <c r="J279" s="116" t="n"/>
      <c r="K279" s="116" t="n"/>
      <c r="L279" s="116" t="n"/>
      <c r="M279" s="116" t="n"/>
      <c r="N279" s="116" t="n"/>
      <c r="P279" s="116" t="n"/>
      <c r="Q279" s="116" t="n"/>
    </row>
    <row r="280" ht="15" customHeight="1" s="117">
      <c r="H280" s="116" t="n"/>
      <c r="I280" s="116" t="n"/>
      <c r="J280" s="116" t="n"/>
      <c r="K280" s="116" t="n"/>
      <c r="L280" s="116" t="n"/>
      <c r="M280" s="116" t="n"/>
      <c r="N280" s="116" t="n"/>
      <c r="P280" s="116" t="n"/>
      <c r="Q280" s="116" t="n"/>
    </row>
    <row r="281" ht="15" customHeight="1" s="117">
      <c r="H281" s="116" t="n"/>
      <c r="I281" s="116" t="n"/>
      <c r="J281" s="116" t="n"/>
      <c r="K281" s="116" t="n"/>
      <c r="L281" s="116" t="n"/>
      <c r="M281" s="116" t="n"/>
      <c r="N281" s="116" t="n"/>
      <c r="P281" s="116" t="n"/>
      <c r="Q281" s="116" t="n"/>
    </row>
    <row r="282" ht="15" customHeight="1" s="117">
      <c r="H282" s="116" t="n"/>
      <c r="I282" s="116" t="n"/>
      <c r="J282" s="116" t="n"/>
      <c r="K282" s="116" t="n"/>
      <c r="L282" s="116" t="n"/>
      <c r="M282" s="116" t="n"/>
      <c r="N282" s="116" t="n"/>
      <c r="P282" s="116" t="n"/>
      <c r="Q282" s="116" t="n"/>
    </row>
    <row r="283" ht="15" customHeight="1" s="117">
      <c r="H283" s="116" t="n"/>
      <c r="I283" s="116" t="n"/>
      <c r="J283" s="116" t="n"/>
      <c r="K283" s="116" t="n"/>
      <c r="L283" s="116" t="n"/>
      <c r="M283" s="116" t="n"/>
      <c r="N283" s="116" t="n"/>
      <c r="P283" s="116" t="n"/>
      <c r="Q283" s="116" t="n"/>
    </row>
    <row r="284" ht="15" customHeight="1" s="117">
      <c r="H284" s="116" t="n"/>
      <c r="I284" s="116" t="n"/>
      <c r="J284" s="116" t="n"/>
      <c r="K284" s="116" t="n"/>
      <c r="L284" s="116" t="n"/>
      <c r="M284" s="116" t="n"/>
      <c r="N284" s="116" t="n"/>
      <c r="P284" s="116" t="n"/>
      <c r="Q284" s="116" t="n"/>
    </row>
    <row r="285" ht="15" customHeight="1" s="117">
      <c r="H285" s="116" t="n"/>
      <c r="I285" s="116" t="n"/>
      <c r="J285" s="116" t="n"/>
      <c r="K285" s="116" t="n"/>
      <c r="L285" s="116" t="n"/>
      <c r="M285" s="116" t="n"/>
      <c r="N285" s="116" t="n"/>
      <c r="P285" s="116" t="n"/>
      <c r="Q285" s="116" t="n"/>
    </row>
    <row r="286" ht="15" customHeight="1" s="117">
      <c r="H286" s="116" t="n"/>
      <c r="I286" s="116" t="n"/>
      <c r="J286" s="116" t="n"/>
      <c r="K286" s="116" t="n"/>
      <c r="L286" s="116" t="n"/>
      <c r="M286" s="116" t="n"/>
      <c r="N286" s="116" t="n"/>
      <c r="P286" s="116" t="n"/>
      <c r="Q286" s="116" t="n"/>
    </row>
    <row r="287" ht="15" customHeight="1" s="117">
      <c r="H287" s="116" t="n"/>
      <c r="I287" s="116" t="n"/>
      <c r="J287" s="116" t="n"/>
      <c r="K287" s="116" t="n"/>
      <c r="L287" s="116" t="n"/>
      <c r="M287" s="116" t="n"/>
      <c r="N287" s="116" t="n"/>
      <c r="P287" s="116" t="n"/>
      <c r="Q287" s="116" t="n"/>
    </row>
    <row r="288" ht="15" customHeight="1" s="117">
      <c r="H288" s="116" t="n"/>
      <c r="I288" s="116" t="n"/>
      <c r="J288" s="116" t="n"/>
      <c r="K288" s="116" t="n"/>
      <c r="L288" s="116" t="n"/>
      <c r="M288" s="116" t="n"/>
      <c r="N288" s="116" t="n"/>
      <c r="P288" s="116" t="n"/>
      <c r="Q288" s="116" t="n"/>
    </row>
    <row r="289" ht="15" customHeight="1" s="117">
      <c r="H289" s="116" t="n"/>
      <c r="I289" s="116" t="n"/>
      <c r="J289" s="116" t="n"/>
      <c r="K289" s="116" t="n"/>
      <c r="L289" s="116" t="n"/>
      <c r="M289" s="116" t="n"/>
      <c r="N289" s="116" t="n"/>
      <c r="P289" s="116" t="n"/>
      <c r="Q289" s="116" t="n"/>
    </row>
    <row r="290" ht="15" customHeight="1" s="117">
      <c r="H290" s="116" t="n"/>
      <c r="I290" s="116" t="n"/>
      <c r="J290" s="116" t="n"/>
      <c r="K290" s="116" t="n"/>
      <c r="L290" s="116" t="n"/>
      <c r="M290" s="116" t="n"/>
      <c r="N290" s="116" t="n"/>
      <c r="P290" s="116" t="n"/>
      <c r="Q290" s="116" t="n"/>
    </row>
    <row r="291" ht="15" customHeight="1" s="117">
      <c r="H291" s="116" t="n"/>
      <c r="I291" s="116" t="n"/>
      <c r="J291" s="116" t="n"/>
      <c r="K291" s="116" t="n"/>
      <c r="L291" s="116" t="n"/>
      <c r="M291" s="116" t="n"/>
      <c r="N291" s="116" t="n"/>
      <c r="P291" s="116" t="n"/>
      <c r="Q291" s="116" t="n"/>
    </row>
    <row r="292" ht="15" customHeight="1" s="117">
      <c r="H292" s="116" t="n"/>
      <c r="I292" s="116" t="n"/>
      <c r="J292" s="116" t="n"/>
      <c r="K292" s="116" t="n"/>
      <c r="L292" s="116" t="n"/>
      <c r="M292" s="116" t="n"/>
      <c r="N292" s="116" t="n"/>
      <c r="P292" s="116" t="n"/>
      <c r="Q292" s="116" t="n"/>
    </row>
    <row r="293" ht="15" customHeight="1" s="117">
      <c r="H293" s="116" t="n"/>
      <c r="I293" s="116" t="n"/>
      <c r="J293" s="116" t="n"/>
      <c r="K293" s="116" t="n"/>
      <c r="L293" s="116" t="n"/>
      <c r="M293" s="116" t="n"/>
      <c r="N293" s="116" t="n"/>
      <c r="P293" s="116" t="n"/>
      <c r="Q293" s="116" t="n"/>
    </row>
    <row r="294" ht="15" customHeight="1" s="117">
      <c r="H294" s="116" t="n"/>
      <c r="I294" s="116" t="n"/>
      <c r="J294" s="116" t="n"/>
      <c r="K294" s="116" t="n"/>
      <c r="L294" s="116" t="n"/>
      <c r="M294" s="116" t="n"/>
      <c r="N294" s="116" t="n"/>
      <c r="P294" s="116" t="n"/>
      <c r="Q294" s="116" t="n"/>
    </row>
    <row r="295" ht="15" customHeight="1" s="117">
      <c r="H295" s="116" t="n"/>
      <c r="I295" s="116" t="n"/>
      <c r="J295" s="116" t="n"/>
      <c r="K295" s="116" t="n"/>
      <c r="L295" s="116" t="n"/>
      <c r="M295" s="116" t="n"/>
      <c r="N295" s="116" t="n"/>
      <c r="P295" s="116" t="n"/>
      <c r="Q295" s="116" t="n"/>
    </row>
    <row r="296" ht="15" customHeight="1" s="117">
      <c r="H296" s="116" t="n"/>
      <c r="I296" s="116" t="n"/>
      <c r="J296" s="116" t="n"/>
      <c r="K296" s="116" t="n"/>
      <c r="L296" s="116" t="n"/>
      <c r="M296" s="116" t="n"/>
      <c r="N296" s="116" t="n"/>
      <c r="P296" s="116" t="n"/>
      <c r="Q296" s="116" t="n"/>
    </row>
    <row r="297" ht="15" customHeight="1" s="117">
      <c r="H297" s="116" t="n"/>
      <c r="I297" s="116" t="n"/>
      <c r="J297" s="116" t="n"/>
      <c r="K297" s="116" t="n"/>
      <c r="L297" s="116" t="n"/>
      <c r="M297" s="116" t="n"/>
      <c r="N297" s="116" t="n"/>
      <c r="P297" s="116" t="n"/>
      <c r="Q297" s="116" t="n"/>
    </row>
    <row r="298" ht="15" customHeight="1" s="117">
      <c r="H298" s="116" t="n"/>
      <c r="I298" s="116" t="n"/>
      <c r="J298" s="116" t="n"/>
      <c r="K298" s="116" t="n"/>
      <c r="L298" s="116" t="n"/>
      <c r="M298" s="116" t="n"/>
      <c r="N298" s="116" t="n"/>
      <c r="P298" s="116" t="n"/>
      <c r="Q298" s="116" t="n"/>
    </row>
    <row r="299" ht="15" customHeight="1" s="117">
      <c r="H299" s="116" t="n"/>
      <c r="I299" s="116" t="n"/>
      <c r="J299" s="116" t="n"/>
      <c r="K299" s="116" t="n"/>
      <c r="L299" s="116" t="n"/>
      <c r="M299" s="116" t="n"/>
      <c r="N299" s="116" t="n"/>
      <c r="P299" s="116" t="n"/>
      <c r="Q299" s="116" t="n"/>
    </row>
    <row r="300" ht="15" customHeight="1" s="117">
      <c r="H300" s="116" t="n"/>
      <c r="I300" s="116" t="n"/>
      <c r="J300" s="116" t="n"/>
      <c r="K300" s="116" t="n"/>
      <c r="L300" s="116" t="n"/>
      <c r="M300" s="116" t="n"/>
      <c r="N300" s="116" t="n"/>
      <c r="P300" s="116" t="n"/>
      <c r="Q300" s="116" t="n"/>
    </row>
    <row r="301" ht="15" customHeight="1" s="117">
      <c r="H301" s="116" t="n"/>
      <c r="I301" s="116" t="n"/>
      <c r="J301" s="116" t="n"/>
      <c r="K301" s="116" t="n"/>
      <c r="L301" s="116" t="n"/>
      <c r="M301" s="116" t="n"/>
      <c r="N301" s="116" t="n"/>
      <c r="P301" s="116" t="n"/>
      <c r="Q301" s="116" t="n"/>
    </row>
    <row r="302" ht="15" customHeight="1" s="117">
      <c r="H302" s="116" t="n"/>
      <c r="I302" s="116" t="n"/>
      <c r="J302" s="116" t="n"/>
      <c r="K302" s="116" t="n"/>
      <c r="L302" s="116" t="n"/>
      <c r="M302" s="116" t="n"/>
      <c r="N302" s="116" t="n"/>
      <c r="P302" s="116" t="n"/>
      <c r="Q302" s="116" t="n"/>
    </row>
    <row r="303" ht="15" customHeight="1" s="117">
      <c r="H303" s="116" t="n"/>
      <c r="I303" s="116" t="n"/>
      <c r="J303" s="116" t="n"/>
      <c r="K303" s="116" t="n"/>
      <c r="L303" s="116" t="n"/>
      <c r="M303" s="116" t="n"/>
      <c r="N303" s="116" t="n"/>
      <c r="P303" s="116" t="n"/>
      <c r="Q303" s="116" t="n"/>
    </row>
    <row r="304" ht="15" customHeight="1" s="117">
      <c r="H304" s="116" t="n"/>
      <c r="I304" s="116" t="n"/>
      <c r="J304" s="116" t="n"/>
      <c r="K304" s="116" t="n"/>
      <c r="L304" s="116" t="n"/>
      <c r="M304" s="116" t="n"/>
      <c r="N304" s="116" t="n"/>
      <c r="P304" s="116" t="n"/>
      <c r="Q304" s="116" t="n"/>
    </row>
    <row r="305" ht="15" customHeight="1" s="117">
      <c r="H305" s="116" t="n"/>
      <c r="I305" s="116" t="n"/>
      <c r="J305" s="116" t="n"/>
      <c r="K305" s="116" t="n"/>
      <c r="L305" s="116" t="n"/>
      <c r="M305" s="116" t="n"/>
      <c r="N305" s="116" t="n"/>
      <c r="P305" s="116" t="n"/>
      <c r="Q305" s="116" t="n"/>
    </row>
    <row r="306" ht="15" customHeight="1" s="117">
      <c r="H306" s="116" t="n"/>
      <c r="I306" s="116" t="n"/>
      <c r="J306" s="116" t="n"/>
      <c r="K306" s="116" t="n"/>
      <c r="L306" s="116" t="n"/>
      <c r="M306" s="116" t="n"/>
      <c r="N306" s="116" t="n"/>
      <c r="P306" s="116" t="n"/>
      <c r="Q306" s="116" t="n"/>
    </row>
    <row r="307" ht="15" customHeight="1" s="117">
      <c r="H307" s="116" t="n"/>
      <c r="I307" s="116" t="n"/>
      <c r="J307" s="116" t="n"/>
      <c r="K307" s="116" t="n"/>
      <c r="L307" s="116" t="n"/>
      <c r="M307" s="116" t="n"/>
      <c r="N307" s="116" t="n"/>
      <c r="P307" s="116" t="n"/>
      <c r="Q307" s="116" t="n"/>
    </row>
    <row r="308" ht="15" customHeight="1" s="117">
      <c r="H308" s="116" t="n"/>
      <c r="I308" s="116" t="n"/>
      <c r="J308" s="116" t="n"/>
      <c r="K308" s="116" t="n"/>
      <c r="L308" s="116" t="n"/>
      <c r="M308" s="116" t="n"/>
      <c r="N308" s="116" t="n"/>
      <c r="P308" s="116" t="n"/>
      <c r="Q308" s="116" t="n"/>
    </row>
    <row r="309" ht="15" customHeight="1" s="117">
      <c r="H309" s="116" t="n"/>
      <c r="I309" s="116" t="n"/>
      <c r="J309" s="116" t="n"/>
      <c r="K309" s="116" t="n"/>
      <c r="L309" s="116" t="n"/>
      <c r="M309" s="116" t="n"/>
      <c r="N309" s="116" t="n"/>
      <c r="P309" s="116" t="n"/>
      <c r="Q309" s="116" t="n"/>
    </row>
    <row r="310" ht="15" customHeight="1" s="117">
      <c r="H310" s="116" t="n"/>
      <c r="I310" s="116" t="n"/>
      <c r="J310" s="116" t="n"/>
      <c r="K310" s="116" t="n"/>
      <c r="L310" s="116" t="n"/>
      <c r="M310" s="116" t="n"/>
      <c r="N310" s="116" t="n"/>
      <c r="P310" s="116" t="n"/>
      <c r="Q310" s="116" t="n"/>
    </row>
    <row r="311" ht="15" customHeight="1" s="117">
      <c r="H311" s="116" t="n"/>
      <c r="I311" s="116" t="n"/>
      <c r="J311" s="116" t="n"/>
      <c r="K311" s="116" t="n"/>
      <c r="L311" s="116" t="n"/>
      <c r="M311" s="116" t="n"/>
      <c r="N311" s="116" t="n"/>
      <c r="P311" s="116" t="n"/>
      <c r="Q311" s="116" t="n"/>
    </row>
    <row r="312" ht="15" customHeight="1" s="117">
      <c r="H312" s="116" t="n"/>
      <c r="I312" s="116" t="n"/>
      <c r="J312" s="116" t="n"/>
      <c r="K312" s="116" t="n"/>
      <c r="L312" s="116" t="n"/>
      <c r="M312" s="116" t="n"/>
      <c r="N312" s="116" t="n"/>
      <c r="P312" s="116" t="n"/>
      <c r="Q312" s="116" t="n"/>
    </row>
    <row r="313" ht="15" customHeight="1" s="117">
      <c r="H313" s="116" t="n"/>
      <c r="I313" s="116" t="n"/>
      <c r="J313" s="116" t="n"/>
      <c r="K313" s="116" t="n"/>
      <c r="L313" s="116" t="n"/>
      <c r="M313" s="116" t="n"/>
      <c r="N313" s="116" t="n"/>
      <c r="P313" s="116" t="n"/>
      <c r="Q313" s="116" t="n"/>
    </row>
    <row r="314" ht="15" customHeight="1" s="117">
      <c r="H314" s="116" t="n"/>
      <c r="I314" s="116" t="n"/>
      <c r="J314" s="116" t="n"/>
      <c r="K314" s="116" t="n"/>
      <c r="L314" s="116" t="n"/>
      <c r="M314" s="116" t="n"/>
      <c r="N314" s="116" t="n"/>
      <c r="P314" s="116" t="n"/>
      <c r="Q314" s="116" t="n"/>
    </row>
    <row r="315" ht="15" customHeight="1" s="117">
      <c r="H315" s="116" t="n"/>
      <c r="I315" s="116" t="n"/>
      <c r="J315" s="116" t="n"/>
      <c r="K315" s="116" t="n"/>
      <c r="L315" s="116" t="n"/>
      <c r="M315" s="116" t="n"/>
      <c r="N315" s="116" t="n"/>
      <c r="P315" s="116" t="n"/>
      <c r="Q315" s="116" t="n"/>
    </row>
    <row r="316" ht="15" customHeight="1" s="117">
      <c r="H316" s="116" t="n"/>
      <c r="I316" s="116" t="n"/>
      <c r="J316" s="116" t="n"/>
      <c r="K316" s="116" t="n"/>
      <c r="L316" s="116" t="n"/>
      <c r="M316" s="116" t="n"/>
      <c r="N316" s="116" t="n"/>
      <c r="P316" s="116" t="n"/>
      <c r="Q316" s="116" t="n"/>
    </row>
    <row r="317" ht="15" customHeight="1" s="117">
      <c r="H317" s="116" t="n"/>
      <c r="I317" s="116" t="n"/>
      <c r="J317" s="116" t="n"/>
      <c r="K317" s="116" t="n"/>
      <c r="L317" s="116" t="n"/>
      <c r="M317" s="116" t="n"/>
      <c r="N317" s="116" t="n"/>
      <c r="P317" s="116" t="n"/>
      <c r="Q317" s="116" t="n"/>
    </row>
    <row r="318" ht="15" customHeight="1" s="117">
      <c r="H318" s="116" t="n"/>
      <c r="I318" s="116" t="n"/>
      <c r="J318" s="116" t="n"/>
      <c r="K318" s="116" t="n"/>
      <c r="L318" s="116" t="n"/>
      <c r="M318" s="116" t="n"/>
      <c r="N318" s="116" t="n"/>
      <c r="P318" s="116" t="n"/>
      <c r="Q318" s="116" t="n"/>
    </row>
    <row r="319" ht="15" customHeight="1" s="117">
      <c r="H319" s="116" t="n"/>
      <c r="I319" s="116" t="n"/>
      <c r="J319" s="116" t="n"/>
      <c r="K319" s="116" t="n"/>
      <c r="L319" s="116" t="n"/>
      <c r="M319" s="116" t="n"/>
      <c r="N319" s="116" t="n"/>
      <c r="P319" s="116" t="n"/>
      <c r="Q319" s="116" t="n"/>
    </row>
    <row r="320" ht="15" customHeight="1" s="117">
      <c r="H320" s="116" t="n"/>
      <c r="I320" s="116" t="n"/>
      <c r="J320" s="116" t="n"/>
      <c r="K320" s="116" t="n"/>
      <c r="L320" s="116" t="n"/>
      <c r="M320" s="116" t="n"/>
      <c r="N320" s="116" t="n"/>
      <c r="P320" s="116" t="n"/>
      <c r="Q320" s="116" t="n"/>
    </row>
    <row r="321" ht="15" customHeight="1" s="117">
      <c r="H321" s="116" t="n"/>
      <c r="I321" s="116" t="n"/>
      <c r="J321" s="116" t="n"/>
      <c r="K321" s="116" t="n"/>
      <c r="L321" s="116" t="n"/>
      <c r="M321" s="116" t="n"/>
      <c r="N321" s="116" t="n"/>
      <c r="P321" s="116" t="n"/>
      <c r="Q321" s="116" t="n"/>
    </row>
    <row r="322" ht="15" customHeight="1" s="117">
      <c r="H322" s="116" t="n"/>
      <c r="I322" s="116" t="n"/>
      <c r="J322" s="116" t="n"/>
      <c r="K322" s="116" t="n"/>
      <c r="L322" s="116" t="n"/>
      <c r="M322" s="116" t="n"/>
      <c r="N322" s="116" t="n"/>
      <c r="P322" s="116" t="n"/>
      <c r="Q322" s="116" t="n"/>
    </row>
    <row r="323" ht="15" customHeight="1" s="117">
      <c r="H323" s="116" t="n"/>
      <c r="I323" s="116" t="n"/>
      <c r="J323" s="116" t="n"/>
      <c r="K323" s="116" t="n"/>
      <c r="L323" s="116" t="n"/>
      <c r="M323" s="116" t="n"/>
      <c r="N323" s="116" t="n"/>
      <c r="P323" s="116" t="n"/>
      <c r="Q323" s="116" t="n"/>
    </row>
    <row r="324" ht="15" customHeight="1" s="117">
      <c r="H324" s="116" t="n"/>
      <c r="I324" s="116" t="n"/>
      <c r="J324" s="116" t="n"/>
      <c r="K324" s="116" t="n"/>
      <c r="L324" s="116" t="n"/>
      <c r="M324" s="116" t="n"/>
      <c r="N324" s="116" t="n"/>
      <c r="P324" s="116" t="n"/>
      <c r="Q324" s="116" t="n"/>
    </row>
    <row r="325" ht="15" customHeight="1" s="117">
      <c r="H325" s="116" t="n"/>
      <c r="I325" s="116" t="n"/>
      <c r="J325" s="116" t="n"/>
      <c r="K325" s="116" t="n"/>
      <c r="L325" s="116" t="n"/>
      <c r="M325" s="116" t="n"/>
      <c r="N325" s="116" t="n"/>
      <c r="P325" s="116" t="n"/>
      <c r="Q325" s="116" t="n"/>
    </row>
    <row r="326" ht="15" customHeight="1" s="117">
      <c r="H326" s="116" t="n"/>
      <c r="I326" s="116" t="n"/>
      <c r="J326" s="116" t="n"/>
      <c r="K326" s="116" t="n"/>
      <c r="L326" s="116" t="n"/>
      <c r="M326" s="116" t="n"/>
      <c r="N326" s="116" t="n"/>
      <c r="P326" s="116" t="n"/>
      <c r="Q326" s="116" t="n"/>
    </row>
    <row r="327" ht="15" customHeight="1" s="117">
      <c r="H327" s="116" t="n"/>
      <c r="I327" s="116" t="n"/>
      <c r="J327" s="116" t="n"/>
      <c r="K327" s="116" t="n"/>
      <c r="L327" s="116" t="n"/>
      <c r="M327" s="116" t="n"/>
      <c r="N327" s="116" t="n"/>
      <c r="P327" s="116" t="n"/>
      <c r="Q327" s="116" t="n"/>
    </row>
    <row r="328" ht="15" customHeight="1" s="117">
      <c r="H328" s="116" t="n"/>
      <c r="I328" s="116" t="n"/>
      <c r="J328" s="116" t="n"/>
      <c r="K328" s="116" t="n"/>
      <c r="L328" s="116" t="n"/>
      <c r="M328" s="116" t="n"/>
      <c r="N328" s="116" t="n"/>
      <c r="P328" s="116" t="n"/>
      <c r="Q328" s="116" t="n"/>
    </row>
    <row r="329" ht="15" customHeight="1" s="117">
      <c r="H329" s="116" t="n"/>
      <c r="I329" s="116" t="n"/>
      <c r="J329" s="116" t="n"/>
      <c r="K329" s="116" t="n"/>
      <c r="L329" s="116" t="n"/>
      <c r="M329" s="116" t="n"/>
      <c r="N329" s="116" t="n"/>
      <c r="P329" s="116" t="n"/>
      <c r="Q329" s="116" t="n"/>
    </row>
    <row r="330" ht="15" customHeight="1" s="117">
      <c r="H330" s="116" t="n"/>
      <c r="I330" s="116" t="n"/>
      <c r="J330" s="116" t="n"/>
      <c r="K330" s="116" t="n"/>
      <c r="L330" s="116" t="n"/>
      <c r="M330" s="116" t="n"/>
      <c r="N330" s="116" t="n"/>
      <c r="P330" s="116" t="n"/>
      <c r="Q330" s="116" t="n"/>
    </row>
    <row r="331" ht="15" customHeight="1" s="117">
      <c r="H331" s="116" t="n"/>
      <c r="I331" s="116" t="n"/>
      <c r="J331" s="116" t="n"/>
      <c r="K331" s="116" t="n"/>
      <c r="L331" s="116" t="n"/>
      <c r="M331" s="116" t="n"/>
      <c r="N331" s="116" t="n"/>
      <c r="P331" s="116" t="n"/>
      <c r="Q331" s="116" t="n"/>
    </row>
    <row r="332" ht="15" customHeight="1" s="117">
      <c r="H332" s="116" t="n"/>
      <c r="I332" s="116" t="n"/>
      <c r="J332" s="116" t="n"/>
      <c r="K332" s="116" t="n"/>
      <c r="L332" s="116" t="n"/>
      <c r="M332" s="116" t="n"/>
      <c r="N332" s="116" t="n"/>
      <c r="P332" s="116" t="n"/>
      <c r="Q332" s="116" t="n"/>
    </row>
    <row r="333" ht="15" customHeight="1" s="117">
      <c r="H333" s="116" t="n"/>
      <c r="I333" s="116" t="n"/>
      <c r="J333" s="116" t="n"/>
      <c r="K333" s="116" t="n"/>
      <c r="L333" s="116" t="n"/>
      <c r="M333" s="116" t="n"/>
      <c r="N333" s="116" t="n"/>
      <c r="P333" s="116" t="n"/>
      <c r="Q333" s="116" t="n"/>
    </row>
    <row r="334" ht="15" customHeight="1" s="117">
      <c r="H334" s="116" t="n"/>
      <c r="I334" s="116" t="n"/>
      <c r="J334" s="116" t="n"/>
      <c r="K334" s="116" t="n"/>
      <c r="L334" s="116" t="n"/>
      <c r="M334" s="116" t="n"/>
      <c r="N334" s="116" t="n"/>
      <c r="P334" s="116" t="n"/>
      <c r="Q334" s="116" t="n"/>
    </row>
    <row r="335" ht="15" customHeight="1" s="117">
      <c r="H335" s="116" t="n"/>
      <c r="I335" s="116" t="n"/>
      <c r="J335" s="116" t="n"/>
      <c r="K335" s="116" t="n"/>
      <c r="L335" s="116" t="n"/>
      <c r="M335" s="116" t="n"/>
      <c r="N335" s="116" t="n"/>
      <c r="P335" s="116" t="n"/>
      <c r="Q335" s="116" t="n"/>
    </row>
    <row r="336" ht="15" customHeight="1" s="117">
      <c r="H336" s="116" t="n"/>
      <c r="I336" s="116" t="n"/>
      <c r="J336" s="116" t="n"/>
      <c r="K336" s="116" t="n"/>
      <c r="L336" s="116" t="n"/>
      <c r="M336" s="116" t="n"/>
      <c r="N336" s="116" t="n"/>
      <c r="P336" s="116" t="n"/>
      <c r="Q336" s="116" t="n"/>
    </row>
    <row r="337" ht="15" customHeight="1" s="117">
      <c r="H337" s="116" t="n"/>
      <c r="I337" s="116" t="n"/>
      <c r="J337" s="116" t="n"/>
      <c r="K337" s="116" t="n"/>
      <c r="L337" s="116" t="n"/>
      <c r="M337" s="116" t="n"/>
      <c r="N337" s="116" t="n"/>
      <c r="P337" s="116" t="n"/>
      <c r="Q337" s="116" t="n"/>
    </row>
    <row r="338" ht="15" customHeight="1" s="117">
      <c r="H338" s="116" t="n"/>
      <c r="I338" s="116" t="n"/>
      <c r="J338" s="116" t="n"/>
      <c r="K338" s="116" t="n"/>
      <c r="L338" s="116" t="n"/>
      <c r="M338" s="116" t="n"/>
      <c r="N338" s="116" t="n"/>
      <c r="P338" s="116" t="n"/>
      <c r="Q338" s="116" t="n"/>
    </row>
    <row r="339" ht="15" customHeight="1" s="117">
      <c r="H339" s="116" t="n"/>
      <c r="I339" s="116" t="n"/>
      <c r="J339" s="116" t="n"/>
      <c r="K339" s="116" t="n"/>
      <c r="L339" s="116" t="n"/>
      <c r="M339" s="116" t="n"/>
      <c r="N339" s="116" t="n"/>
      <c r="P339" s="116" t="n"/>
      <c r="Q339" s="116" t="n"/>
    </row>
    <row r="340" ht="15" customHeight="1" s="117">
      <c r="H340" s="116" t="n"/>
      <c r="I340" s="116" t="n"/>
      <c r="J340" s="116" t="n"/>
      <c r="K340" s="116" t="n"/>
      <c r="L340" s="116" t="n"/>
      <c r="M340" s="116" t="n"/>
      <c r="N340" s="116" t="n"/>
      <c r="P340" s="116" t="n"/>
      <c r="Q340" s="116" t="n"/>
    </row>
    <row r="341" ht="15" customHeight="1" s="117">
      <c r="H341" s="116" t="n"/>
      <c r="I341" s="116" t="n"/>
      <c r="J341" s="116" t="n"/>
      <c r="K341" s="116" t="n"/>
      <c r="L341" s="116" t="n"/>
      <c r="M341" s="116" t="n"/>
      <c r="N341" s="116" t="n"/>
      <c r="P341" s="116" t="n"/>
      <c r="Q341" s="116" t="n"/>
    </row>
    <row r="342" ht="15" customHeight="1" s="117">
      <c r="H342" s="116" t="n"/>
      <c r="I342" s="116" t="n"/>
      <c r="J342" s="116" t="n"/>
      <c r="K342" s="116" t="n"/>
      <c r="L342" s="116" t="n"/>
      <c r="M342" s="116" t="n"/>
      <c r="N342" s="116" t="n"/>
      <c r="P342" s="116" t="n"/>
      <c r="Q342" s="116" t="n"/>
    </row>
    <row r="343" ht="15" customHeight="1" s="117">
      <c r="H343" s="116" t="n"/>
      <c r="I343" s="116" t="n"/>
      <c r="J343" s="116" t="n"/>
      <c r="K343" s="116" t="n"/>
      <c r="L343" s="116" t="n"/>
      <c r="M343" s="116" t="n"/>
      <c r="N343" s="116" t="n"/>
      <c r="P343" s="116" t="n"/>
      <c r="Q343" s="116" t="n"/>
    </row>
    <row r="344" ht="15" customHeight="1" s="117">
      <c r="H344" s="116" t="n"/>
      <c r="I344" s="116" t="n"/>
      <c r="J344" s="116" t="n"/>
      <c r="K344" s="116" t="n"/>
      <c r="L344" s="116" t="n"/>
      <c r="M344" s="116" t="n"/>
      <c r="N344" s="116" t="n"/>
      <c r="P344" s="116" t="n"/>
      <c r="Q344" s="116" t="n"/>
    </row>
    <row r="345" ht="15" customHeight="1" s="117">
      <c r="H345" s="116" t="n"/>
      <c r="I345" s="116" t="n"/>
      <c r="J345" s="116" t="n"/>
      <c r="K345" s="116" t="n"/>
      <c r="L345" s="116" t="n"/>
      <c r="M345" s="116" t="n"/>
      <c r="N345" s="116" t="n"/>
      <c r="P345" s="116" t="n"/>
      <c r="Q345" s="116" t="n"/>
    </row>
    <row r="346" ht="15" customHeight="1" s="117">
      <c r="H346" s="116" t="n"/>
      <c r="I346" s="116" t="n"/>
      <c r="J346" s="116" t="n"/>
      <c r="K346" s="116" t="n"/>
      <c r="L346" s="116" t="n"/>
      <c r="M346" s="116" t="n"/>
      <c r="N346" s="116" t="n"/>
      <c r="P346" s="116" t="n"/>
      <c r="Q346" s="116" t="n"/>
    </row>
    <row r="347" ht="15" customHeight="1" s="117">
      <c r="H347" s="116" t="n"/>
      <c r="I347" s="116" t="n"/>
      <c r="J347" s="116" t="n"/>
      <c r="K347" s="116" t="n"/>
      <c r="L347" s="116" t="n"/>
      <c r="M347" s="116" t="n"/>
      <c r="N347" s="116" t="n"/>
      <c r="P347" s="116" t="n"/>
      <c r="Q347" s="116" t="n"/>
    </row>
    <row r="348" ht="15" customHeight="1" s="117">
      <c r="H348" s="116" t="n"/>
      <c r="I348" s="116" t="n"/>
      <c r="J348" s="116" t="n"/>
      <c r="K348" s="116" t="n"/>
      <c r="L348" s="116" t="n"/>
      <c r="M348" s="116" t="n"/>
      <c r="N348" s="116" t="n"/>
      <c r="P348" s="116" t="n"/>
      <c r="Q348" s="116" t="n"/>
    </row>
    <row r="349" ht="15" customHeight="1" s="117">
      <c r="H349" s="116" t="n"/>
      <c r="I349" s="116" t="n"/>
      <c r="J349" s="116" t="n"/>
      <c r="K349" s="116" t="n"/>
      <c r="L349" s="116" t="n"/>
      <c r="M349" s="116" t="n"/>
      <c r="N349" s="116" t="n"/>
      <c r="P349" s="116" t="n"/>
      <c r="Q349" s="116" t="n"/>
    </row>
    <row r="350" ht="15" customHeight="1" s="117">
      <c r="H350" s="116" t="n"/>
      <c r="I350" s="116" t="n"/>
      <c r="J350" s="116" t="n"/>
      <c r="K350" s="116" t="n"/>
      <c r="L350" s="116" t="n"/>
      <c r="M350" s="116" t="n"/>
      <c r="N350" s="116" t="n"/>
      <c r="P350" s="116" t="n"/>
      <c r="Q350" s="116" t="n"/>
    </row>
    <row r="351" ht="15" customHeight="1" s="117">
      <c r="H351" s="116" t="n"/>
      <c r="I351" s="116" t="n"/>
      <c r="J351" s="116" t="n"/>
      <c r="K351" s="116" t="n"/>
      <c r="L351" s="116" t="n"/>
      <c r="M351" s="116" t="n"/>
      <c r="N351" s="116" t="n"/>
      <c r="P351" s="116" t="n"/>
      <c r="Q351" s="116" t="n"/>
    </row>
    <row r="352" ht="15" customHeight="1" s="117">
      <c r="H352" s="116" t="n"/>
      <c r="I352" s="116" t="n"/>
      <c r="J352" s="116" t="n"/>
      <c r="K352" s="116" t="n"/>
      <c r="L352" s="116" t="n"/>
      <c r="M352" s="116" t="n"/>
      <c r="N352" s="116" t="n"/>
      <c r="P352" s="116" t="n"/>
      <c r="Q352" s="116" t="n"/>
    </row>
    <row r="353" ht="15" customHeight="1" s="117">
      <c r="H353" s="116" t="n"/>
      <c r="I353" s="116" t="n"/>
      <c r="J353" s="116" t="n"/>
      <c r="K353" s="116" t="n"/>
      <c r="L353" s="116" t="n"/>
      <c r="M353" s="116" t="n"/>
      <c r="N353" s="116" t="n"/>
      <c r="P353" s="116" t="n"/>
      <c r="Q353" s="116" t="n"/>
    </row>
    <row r="354" ht="15" customHeight="1" s="117">
      <c r="H354" s="116" t="n"/>
      <c r="I354" s="116" t="n"/>
      <c r="J354" s="116" t="n"/>
      <c r="K354" s="116" t="n"/>
      <c r="L354" s="116" t="n"/>
      <c r="M354" s="116" t="n"/>
      <c r="N354" s="116" t="n"/>
      <c r="P354" s="116" t="n"/>
      <c r="Q354" s="116" t="n"/>
    </row>
    <row r="355" ht="15" customHeight="1" s="117">
      <c r="H355" s="116" t="n"/>
      <c r="I355" s="116" t="n"/>
      <c r="J355" s="116" t="n"/>
      <c r="K355" s="116" t="n"/>
      <c r="L355" s="116" t="n"/>
      <c r="M355" s="116" t="n"/>
      <c r="N355" s="116" t="n"/>
      <c r="P355" s="116" t="n"/>
      <c r="Q355" s="116" t="n"/>
    </row>
    <row r="356" ht="15" customHeight="1" s="117">
      <c r="H356" s="116" t="n"/>
      <c r="I356" s="116" t="n"/>
      <c r="J356" s="116" t="n"/>
      <c r="K356" s="116" t="n"/>
      <c r="L356" s="116" t="n"/>
      <c r="M356" s="116" t="n"/>
      <c r="N356" s="116" t="n"/>
      <c r="P356" s="116" t="n"/>
      <c r="Q356" s="116" t="n"/>
    </row>
    <row r="357" ht="15" customHeight="1" s="117">
      <c r="H357" s="116" t="n"/>
      <c r="I357" s="116" t="n"/>
      <c r="J357" s="116" t="n"/>
      <c r="K357" s="116" t="n"/>
      <c r="L357" s="116" t="n"/>
      <c r="M357" s="116" t="n"/>
      <c r="N357" s="116" t="n"/>
      <c r="P357" s="116" t="n"/>
      <c r="Q357" s="116" t="n"/>
    </row>
    <row r="358" ht="15" customHeight="1" s="117">
      <c r="H358" s="116" t="n"/>
      <c r="I358" s="116" t="n"/>
      <c r="J358" s="116" t="n"/>
      <c r="K358" s="116" t="n"/>
      <c r="L358" s="116" t="n"/>
      <c r="M358" s="116" t="n"/>
      <c r="N358" s="116" t="n"/>
      <c r="P358" s="116" t="n"/>
      <c r="Q358" s="116" t="n"/>
    </row>
    <row r="359" ht="15" customHeight="1" s="117">
      <c r="H359" s="116" t="n"/>
      <c r="I359" s="116" t="n"/>
      <c r="J359" s="116" t="n"/>
      <c r="K359" s="116" t="n"/>
      <c r="L359" s="116" t="n"/>
      <c r="M359" s="116" t="n"/>
      <c r="N359" s="116" t="n"/>
      <c r="P359" s="116" t="n"/>
      <c r="Q359" s="116" t="n"/>
    </row>
    <row r="360" ht="15" customHeight="1" s="117">
      <c r="H360" s="116" t="n"/>
      <c r="I360" s="116" t="n"/>
      <c r="J360" s="116" t="n"/>
      <c r="K360" s="116" t="n"/>
      <c r="L360" s="116" t="n"/>
      <c r="M360" s="116" t="n"/>
      <c r="N360" s="116" t="n"/>
      <c r="P360" s="116" t="n"/>
      <c r="Q360" s="116" t="n"/>
    </row>
    <row r="361" ht="15" customHeight="1" s="117">
      <c r="H361" s="116" t="n"/>
      <c r="I361" s="116" t="n"/>
      <c r="J361" s="116" t="n"/>
      <c r="K361" s="116" t="n"/>
      <c r="L361" s="116" t="n"/>
      <c r="M361" s="116" t="n"/>
      <c r="N361" s="116" t="n"/>
      <c r="P361" s="116" t="n"/>
      <c r="Q361" s="116" t="n"/>
    </row>
    <row r="362" ht="15" customHeight="1" s="117">
      <c r="H362" s="116" t="n"/>
      <c r="I362" s="116" t="n"/>
      <c r="J362" s="116" t="n"/>
      <c r="K362" s="116" t="n"/>
      <c r="L362" s="116" t="n"/>
      <c r="M362" s="116" t="n"/>
      <c r="N362" s="116" t="n"/>
      <c r="P362" s="116" t="n"/>
      <c r="Q362" s="116" t="n"/>
    </row>
    <row r="363" ht="15" customHeight="1" s="117">
      <c r="H363" s="116" t="n"/>
      <c r="I363" s="116" t="n"/>
      <c r="J363" s="116" t="n"/>
      <c r="K363" s="116" t="n"/>
      <c r="L363" s="116" t="n"/>
      <c r="M363" s="116" t="n"/>
      <c r="N363" s="116" t="n"/>
      <c r="P363" s="116" t="n"/>
      <c r="Q363" s="116" t="n"/>
    </row>
    <row r="364" ht="15" customHeight="1" s="117">
      <c r="H364" s="116" t="n"/>
      <c r="I364" s="116" t="n"/>
      <c r="J364" s="116" t="n"/>
      <c r="K364" s="116" t="n"/>
      <c r="L364" s="116" t="n"/>
      <c r="M364" s="116" t="n"/>
      <c r="N364" s="116" t="n"/>
      <c r="P364" s="116" t="n"/>
      <c r="Q364" s="116" t="n"/>
    </row>
    <row r="365" ht="15" customHeight="1" s="117">
      <c r="H365" s="116" t="n"/>
      <c r="I365" s="116" t="n"/>
      <c r="J365" s="116" t="n"/>
      <c r="K365" s="116" t="n"/>
      <c r="L365" s="116" t="n"/>
      <c r="M365" s="116" t="n"/>
      <c r="N365" s="116" t="n"/>
      <c r="P365" s="116" t="n"/>
      <c r="Q365" s="116" t="n"/>
    </row>
    <row r="366" ht="15" customHeight="1" s="117">
      <c r="H366" s="116" t="n"/>
      <c r="I366" s="116" t="n"/>
      <c r="J366" s="116" t="n"/>
      <c r="K366" s="116" t="n"/>
      <c r="L366" s="116" t="n"/>
      <c r="M366" s="116" t="n"/>
      <c r="N366" s="116" t="n"/>
      <c r="P366" s="116" t="n"/>
      <c r="Q366" s="116" t="n"/>
    </row>
    <row r="367" ht="15" customHeight="1" s="117">
      <c r="H367" s="116" t="n"/>
      <c r="I367" s="116" t="n"/>
      <c r="J367" s="116" t="n"/>
      <c r="K367" s="116" t="n"/>
      <c r="L367" s="116" t="n"/>
      <c r="M367" s="116" t="n"/>
      <c r="N367" s="116" t="n"/>
      <c r="P367" s="116" t="n"/>
      <c r="Q367" s="116" t="n"/>
    </row>
    <row r="368" ht="15" customHeight="1" s="117">
      <c r="H368" s="116" t="n"/>
      <c r="I368" s="116" t="n"/>
      <c r="J368" s="116" t="n"/>
      <c r="K368" s="116" t="n"/>
      <c r="L368" s="116" t="n"/>
      <c r="M368" s="116" t="n"/>
      <c r="N368" s="116" t="n"/>
      <c r="P368" s="116" t="n"/>
      <c r="Q368" s="116" t="n"/>
    </row>
    <row r="369" ht="15" customHeight="1" s="117">
      <c r="H369" s="116" t="n"/>
      <c r="I369" s="116" t="n"/>
      <c r="J369" s="116" t="n"/>
      <c r="K369" s="116" t="n"/>
      <c r="L369" s="116" t="n"/>
      <c r="M369" s="116" t="n"/>
      <c r="N369" s="116" t="n"/>
      <c r="P369" s="116" t="n"/>
      <c r="Q369" s="116" t="n"/>
    </row>
    <row r="370" ht="15" customHeight="1" s="117">
      <c r="H370" s="116" t="n"/>
      <c r="I370" s="116" t="n"/>
      <c r="J370" s="116" t="n"/>
      <c r="K370" s="116" t="n"/>
      <c r="L370" s="116" t="n"/>
      <c r="M370" s="116" t="n"/>
      <c r="N370" s="116" t="n"/>
      <c r="P370" s="116" t="n"/>
      <c r="Q370" s="116" t="n"/>
    </row>
    <row r="371" ht="15" customHeight="1" s="117">
      <c r="H371" s="116" t="n"/>
      <c r="I371" s="116" t="n"/>
      <c r="J371" s="116" t="n"/>
      <c r="K371" s="116" t="n"/>
      <c r="L371" s="116" t="n"/>
      <c r="M371" s="116" t="n"/>
      <c r="N371" s="116" t="n"/>
      <c r="P371" s="116" t="n"/>
      <c r="Q371" s="116" t="n"/>
    </row>
    <row r="372" ht="15" customHeight="1" s="117">
      <c r="H372" s="116" t="n"/>
      <c r="I372" s="116" t="n"/>
      <c r="J372" s="116" t="n"/>
      <c r="K372" s="116" t="n"/>
      <c r="L372" s="116" t="n"/>
      <c r="M372" s="116" t="n"/>
      <c r="N372" s="116" t="n"/>
      <c r="P372" s="116" t="n"/>
      <c r="Q372" s="116" t="n"/>
    </row>
    <row r="373" ht="15" customHeight="1" s="117">
      <c r="H373" s="116" t="n"/>
      <c r="I373" s="116" t="n"/>
      <c r="J373" s="116" t="n"/>
      <c r="K373" s="116" t="n"/>
      <c r="L373" s="116" t="n"/>
      <c r="M373" s="116" t="n"/>
      <c r="N373" s="116" t="n"/>
      <c r="P373" s="116" t="n"/>
      <c r="Q373" s="116" t="n"/>
    </row>
    <row r="374" ht="15" customHeight="1" s="117">
      <c r="H374" s="116" t="n"/>
      <c r="I374" s="116" t="n"/>
      <c r="J374" s="116" t="n"/>
      <c r="K374" s="116" t="n"/>
      <c r="L374" s="116" t="n"/>
      <c r="M374" s="116" t="n"/>
      <c r="N374" s="116" t="n"/>
      <c r="P374" s="116" t="n"/>
      <c r="Q374" s="116" t="n"/>
    </row>
    <row r="375" ht="15" customHeight="1" s="117">
      <c r="H375" s="116" t="n"/>
      <c r="I375" s="116" t="n"/>
      <c r="J375" s="116" t="n"/>
      <c r="K375" s="116" t="n"/>
      <c r="L375" s="116" t="n"/>
      <c r="M375" s="116" t="n"/>
      <c r="N375" s="116" t="n"/>
      <c r="P375" s="116" t="n"/>
      <c r="Q375" s="116" t="n"/>
    </row>
    <row r="376" ht="15" customHeight="1" s="117">
      <c r="H376" s="116" t="n"/>
      <c r="I376" s="116" t="n"/>
      <c r="J376" s="116" t="n"/>
      <c r="K376" s="116" t="n"/>
      <c r="L376" s="116" t="n"/>
      <c r="M376" s="116" t="n"/>
      <c r="N376" s="116" t="n"/>
      <c r="P376" s="116" t="n"/>
      <c r="Q376" s="116" t="n"/>
    </row>
    <row r="377" ht="15" customHeight="1" s="117">
      <c r="H377" s="116" t="n"/>
      <c r="I377" s="116" t="n"/>
      <c r="J377" s="116" t="n"/>
      <c r="K377" s="116" t="n"/>
      <c r="L377" s="116" t="n"/>
      <c r="M377" s="116" t="n"/>
      <c r="N377" s="116" t="n"/>
      <c r="P377" s="116" t="n"/>
      <c r="Q377" s="116" t="n"/>
    </row>
    <row r="378" ht="15" customHeight="1" s="117">
      <c r="H378" s="116" t="n"/>
      <c r="I378" s="116" t="n"/>
      <c r="J378" s="116" t="n"/>
      <c r="K378" s="116" t="n"/>
      <c r="L378" s="116" t="n"/>
      <c r="M378" s="116" t="n"/>
      <c r="N378" s="116" t="n"/>
      <c r="P378" s="116" t="n"/>
      <c r="Q378" s="116" t="n"/>
    </row>
    <row r="379" ht="15" customHeight="1" s="117">
      <c r="H379" s="116" t="n"/>
      <c r="I379" s="116" t="n"/>
      <c r="J379" s="116" t="n"/>
      <c r="K379" s="116" t="n"/>
      <c r="L379" s="116" t="n"/>
      <c r="M379" s="116" t="n"/>
      <c r="N379" s="116" t="n"/>
      <c r="P379" s="116" t="n"/>
      <c r="Q379" s="116" t="n"/>
    </row>
    <row r="380" ht="15" customHeight="1" s="117">
      <c r="H380" s="116" t="n"/>
      <c r="I380" s="116" t="n"/>
      <c r="J380" s="116" t="n"/>
      <c r="K380" s="116" t="n"/>
      <c r="L380" s="116" t="n"/>
      <c r="M380" s="116" t="n"/>
      <c r="N380" s="116" t="n"/>
      <c r="P380" s="116" t="n"/>
      <c r="Q380" s="116" t="n"/>
    </row>
    <row r="381" ht="15" customHeight="1" s="117">
      <c r="H381" s="116" t="n"/>
      <c r="I381" s="116" t="n"/>
      <c r="J381" s="116" t="n"/>
      <c r="K381" s="116" t="n"/>
      <c r="L381" s="116" t="n"/>
      <c r="M381" s="116" t="n"/>
      <c r="N381" s="116" t="n"/>
      <c r="P381" s="116" t="n"/>
      <c r="Q381" s="116" t="n"/>
    </row>
    <row r="382" ht="15" customHeight="1" s="117">
      <c r="H382" s="116" t="n"/>
      <c r="I382" s="116" t="n"/>
      <c r="J382" s="116" t="n"/>
      <c r="K382" s="116" t="n"/>
      <c r="L382" s="116" t="n"/>
      <c r="M382" s="116" t="n"/>
      <c r="N382" s="116" t="n"/>
      <c r="P382" s="116" t="n"/>
      <c r="Q382" s="116" t="n"/>
    </row>
    <row r="383" ht="15" customHeight="1" s="117">
      <c r="H383" s="116" t="n"/>
      <c r="I383" s="116" t="n"/>
      <c r="J383" s="116" t="n"/>
      <c r="K383" s="116" t="n"/>
      <c r="L383" s="116" t="n"/>
      <c r="M383" s="116" t="n"/>
      <c r="N383" s="116" t="n"/>
      <c r="P383" s="116" t="n"/>
      <c r="Q383" s="116" t="n"/>
    </row>
    <row r="384" ht="15" customHeight="1" s="117">
      <c r="H384" s="116" t="n"/>
      <c r="I384" s="116" t="n"/>
      <c r="J384" s="116" t="n"/>
      <c r="K384" s="116" t="n"/>
      <c r="L384" s="116" t="n"/>
      <c r="M384" s="116" t="n"/>
      <c r="N384" s="116" t="n"/>
      <c r="P384" s="116" t="n"/>
      <c r="Q384" s="116" t="n"/>
    </row>
    <row r="385" ht="15" customHeight="1" s="117">
      <c r="H385" s="116" t="n"/>
      <c r="I385" s="116" t="n"/>
      <c r="J385" s="116" t="n"/>
      <c r="K385" s="116" t="n"/>
      <c r="L385" s="116" t="n"/>
      <c r="M385" s="116" t="n"/>
      <c r="N385" s="116" t="n"/>
      <c r="P385" s="116" t="n"/>
      <c r="Q385" s="116" t="n"/>
    </row>
    <row r="386" ht="15" customHeight="1" s="117">
      <c r="H386" s="116" t="n"/>
      <c r="I386" s="116" t="n"/>
      <c r="J386" s="116" t="n"/>
      <c r="K386" s="116" t="n"/>
      <c r="L386" s="116" t="n"/>
      <c r="M386" s="116" t="n"/>
      <c r="N386" s="116" t="n"/>
      <c r="P386" s="116" t="n"/>
      <c r="Q386" s="116" t="n"/>
    </row>
    <row r="387" ht="15" customHeight="1" s="117">
      <c r="H387" s="116" t="n"/>
      <c r="I387" s="116" t="n"/>
      <c r="J387" s="116" t="n"/>
      <c r="K387" s="116" t="n"/>
      <c r="L387" s="116" t="n"/>
      <c r="M387" s="116" t="n"/>
      <c r="N387" s="116" t="n"/>
      <c r="P387" s="116" t="n"/>
      <c r="Q387" s="116" t="n"/>
    </row>
    <row r="388" ht="15" customHeight="1" s="117">
      <c r="H388" s="116" t="n"/>
      <c r="I388" s="116" t="n"/>
      <c r="J388" s="116" t="n"/>
      <c r="K388" s="116" t="n"/>
      <c r="L388" s="116" t="n"/>
      <c r="M388" s="116" t="n"/>
      <c r="N388" s="116" t="n"/>
      <c r="P388" s="116" t="n"/>
      <c r="Q388" s="116" t="n"/>
    </row>
    <row r="389" ht="15" customHeight="1" s="117">
      <c r="H389" s="116" t="n"/>
      <c r="I389" s="116" t="n"/>
      <c r="J389" s="116" t="n"/>
      <c r="K389" s="116" t="n"/>
      <c r="L389" s="116" t="n"/>
      <c r="M389" s="116" t="n"/>
      <c r="N389" s="116" t="n"/>
      <c r="P389" s="116" t="n"/>
      <c r="Q389" s="116" t="n"/>
    </row>
    <row r="390" ht="15" customHeight="1" s="117">
      <c r="H390" s="116" t="n"/>
      <c r="I390" s="116" t="n"/>
      <c r="J390" s="116" t="n"/>
      <c r="K390" s="116" t="n"/>
      <c r="L390" s="116" t="n"/>
      <c r="M390" s="116" t="n"/>
      <c r="N390" s="116" t="n"/>
      <c r="P390" s="116" t="n"/>
      <c r="Q390" s="116" t="n"/>
    </row>
    <row r="391" ht="15" customHeight="1" s="117">
      <c r="H391" s="116" t="n"/>
      <c r="I391" s="116" t="n"/>
      <c r="J391" s="116" t="n"/>
      <c r="K391" s="116" t="n"/>
      <c r="L391" s="116" t="n"/>
      <c r="M391" s="116" t="n"/>
      <c r="N391" s="116" t="n"/>
      <c r="P391" s="116" t="n"/>
      <c r="Q391" s="116" t="n"/>
    </row>
    <row r="392" ht="15" customHeight="1" s="117">
      <c r="H392" s="116" t="n"/>
      <c r="I392" s="116" t="n"/>
      <c r="J392" s="116" t="n"/>
      <c r="K392" s="116" t="n"/>
      <c r="L392" s="116" t="n"/>
      <c r="M392" s="116" t="n"/>
      <c r="N392" s="116" t="n"/>
      <c r="P392" s="116" t="n"/>
      <c r="Q392" s="116" t="n"/>
    </row>
    <row r="393" ht="15" customHeight="1" s="117">
      <c r="H393" s="116" t="n"/>
      <c r="I393" s="116" t="n"/>
      <c r="J393" s="116" t="n"/>
      <c r="K393" s="116" t="n"/>
      <c r="L393" s="116" t="n"/>
      <c r="M393" s="116" t="n"/>
      <c r="N393" s="116" t="n"/>
      <c r="P393" s="116" t="n"/>
      <c r="Q393" s="116" t="n"/>
    </row>
    <row r="394" ht="15" customHeight="1" s="117">
      <c r="H394" s="116" t="n"/>
      <c r="I394" s="116" t="n"/>
      <c r="J394" s="116" t="n"/>
      <c r="K394" s="116" t="n"/>
      <c r="L394" s="116" t="n"/>
      <c r="M394" s="116" t="n"/>
      <c r="N394" s="116" t="n"/>
      <c r="P394" s="116" t="n"/>
      <c r="Q394" s="116" t="n"/>
    </row>
    <row r="395" ht="15" customHeight="1" s="117">
      <c r="H395" s="116" t="n"/>
      <c r="I395" s="116" t="n"/>
      <c r="J395" s="116" t="n"/>
      <c r="K395" s="116" t="n"/>
      <c r="L395" s="116" t="n"/>
      <c r="M395" s="116" t="n"/>
      <c r="N395" s="116" t="n"/>
      <c r="P395" s="116" t="n"/>
      <c r="Q395" s="116" t="n"/>
    </row>
    <row r="396" ht="15" customHeight="1" s="117">
      <c r="H396" s="116" t="n"/>
      <c r="I396" s="116" t="n"/>
      <c r="J396" s="116" t="n"/>
      <c r="K396" s="116" t="n"/>
      <c r="L396" s="116" t="n"/>
      <c r="M396" s="116" t="n"/>
      <c r="N396" s="116" t="n"/>
      <c r="P396" s="116" t="n"/>
      <c r="Q396" s="116" t="n"/>
    </row>
    <row r="397" ht="15" customHeight="1" s="117">
      <c r="H397" s="116" t="n"/>
      <c r="I397" s="116" t="n"/>
      <c r="J397" s="116" t="n"/>
      <c r="K397" s="116" t="n"/>
      <c r="L397" s="116" t="n"/>
      <c r="M397" s="116" t="n"/>
      <c r="N397" s="116" t="n"/>
      <c r="P397" s="116" t="n"/>
      <c r="Q397" s="116" t="n"/>
    </row>
    <row r="398" ht="15" customHeight="1" s="117">
      <c r="H398" s="116" t="n"/>
      <c r="I398" s="116" t="n"/>
      <c r="J398" s="116" t="n"/>
      <c r="K398" s="116" t="n"/>
      <c r="L398" s="116" t="n"/>
      <c r="M398" s="116" t="n"/>
      <c r="N398" s="116" t="n"/>
      <c r="P398" s="116" t="n"/>
      <c r="Q398" s="116" t="n"/>
    </row>
    <row r="399" ht="15" customHeight="1" s="117">
      <c r="H399" s="116" t="n"/>
      <c r="I399" s="116" t="n"/>
      <c r="J399" s="116" t="n"/>
      <c r="K399" s="116" t="n"/>
      <c r="L399" s="116" t="n"/>
      <c r="M399" s="116" t="n"/>
      <c r="N399" s="116" t="n"/>
      <c r="P399" s="116" t="n"/>
      <c r="Q399" s="116" t="n"/>
    </row>
    <row r="400" ht="15" customHeight="1" s="117">
      <c r="H400" s="116" t="n"/>
      <c r="I400" s="116" t="n"/>
      <c r="J400" s="116" t="n"/>
      <c r="K400" s="116" t="n"/>
      <c r="L400" s="116" t="n"/>
      <c r="M400" s="116" t="n"/>
      <c r="N400" s="116" t="n"/>
      <c r="P400" s="116" t="n"/>
      <c r="Q400" s="116" t="n"/>
    </row>
    <row r="401" ht="15" customHeight="1" s="117">
      <c r="H401" s="116" t="n"/>
      <c r="I401" s="116" t="n"/>
      <c r="J401" s="116" t="n"/>
      <c r="K401" s="116" t="n"/>
      <c r="L401" s="116" t="n"/>
      <c r="M401" s="116" t="n"/>
      <c r="N401" s="116" t="n"/>
      <c r="P401" s="116" t="n"/>
      <c r="Q401" s="116" t="n"/>
    </row>
    <row r="402" ht="15" customHeight="1" s="117">
      <c r="H402" s="116" t="n"/>
      <c r="I402" s="116" t="n"/>
      <c r="J402" s="116" t="n"/>
      <c r="K402" s="116" t="n"/>
      <c r="L402" s="116" t="n"/>
      <c r="M402" s="116" t="n"/>
      <c r="N402" s="116" t="n"/>
      <c r="P402" s="116" t="n"/>
      <c r="Q402" s="116" t="n"/>
    </row>
    <row r="403" ht="15" customHeight="1" s="117">
      <c r="H403" s="116" t="n"/>
      <c r="I403" s="116" t="n"/>
      <c r="J403" s="116" t="n"/>
      <c r="K403" s="116" t="n"/>
      <c r="L403" s="116" t="n"/>
      <c r="M403" s="116" t="n"/>
      <c r="N403" s="116" t="n"/>
      <c r="P403" s="116" t="n"/>
      <c r="Q403" s="116" t="n"/>
    </row>
    <row r="404" ht="15" customHeight="1" s="117">
      <c r="H404" s="116" t="n"/>
      <c r="I404" s="116" t="n"/>
      <c r="J404" s="116" t="n"/>
      <c r="K404" s="116" t="n"/>
      <c r="L404" s="116" t="n"/>
      <c r="M404" s="116" t="n"/>
      <c r="N404" s="116" t="n"/>
      <c r="P404" s="116" t="n"/>
      <c r="Q404" s="116" t="n"/>
    </row>
    <row r="405" ht="15" customHeight="1" s="117">
      <c r="H405" s="116" t="n"/>
      <c r="I405" s="116" t="n"/>
      <c r="J405" s="116" t="n"/>
      <c r="K405" s="116" t="n"/>
      <c r="L405" s="116" t="n"/>
      <c r="M405" s="116" t="n"/>
      <c r="N405" s="116" t="n"/>
      <c r="P405" s="116" t="n"/>
      <c r="Q405" s="116" t="n"/>
    </row>
    <row r="406" ht="15" customHeight="1" s="117">
      <c r="H406" s="116" t="n"/>
      <c r="I406" s="116" t="n"/>
      <c r="J406" s="116" t="n"/>
      <c r="K406" s="116" t="n"/>
      <c r="L406" s="116" t="n"/>
      <c r="M406" s="116" t="n"/>
      <c r="N406" s="116" t="n"/>
      <c r="P406" s="116" t="n"/>
      <c r="Q406" s="116" t="n"/>
    </row>
    <row r="407" ht="15" customHeight="1" s="117">
      <c r="H407" s="116" t="n"/>
      <c r="I407" s="116" t="n"/>
      <c r="J407" s="116" t="n"/>
      <c r="K407" s="116" t="n"/>
      <c r="L407" s="116" t="n"/>
      <c r="M407" s="116" t="n"/>
      <c r="N407" s="116" t="n"/>
      <c r="P407" s="116" t="n"/>
      <c r="Q407" s="116" t="n"/>
    </row>
    <row r="408" ht="15" customHeight="1" s="117">
      <c r="H408" s="116" t="n"/>
      <c r="I408" s="116" t="n"/>
      <c r="J408" s="116" t="n"/>
      <c r="K408" s="116" t="n"/>
      <c r="L408" s="116" t="n"/>
      <c r="M408" s="116" t="n"/>
      <c r="N408" s="116" t="n"/>
      <c r="P408" s="116" t="n"/>
      <c r="Q408" s="116" t="n"/>
    </row>
    <row r="409" ht="15" customHeight="1" s="117">
      <c r="H409" s="116" t="n"/>
      <c r="I409" s="116" t="n"/>
      <c r="J409" s="116" t="n"/>
      <c r="K409" s="116" t="n"/>
      <c r="L409" s="116" t="n"/>
      <c r="M409" s="116" t="n"/>
      <c r="N409" s="116" t="n"/>
      <c r="P409" s="116" t="n"/>
      <c r="Q409" s="116" t="n"/>
    </row>
    <row r="410" ht="15" customHeight="1" s="117">
      <c r="H410" s="116" t="n"/>
      <c r="I410" s="116" t="n"/>
      <c r="J410" s="116" t="n"/>
      <c r="K410" s="116" t="n"/>
      <c r="L410" s="116" t="n"/>
      <c r="M410" s="116" t="n"/>
      <c r="N410" s="116" t="n"/>
      <c r="P410" s="116" t="n"/>
      <c r="Q410" s="116" t="n"/>
    </row>
    <row r="411" ht="15" customHeight="1" s="117">
      <c r="H411" s="116" t="n"/>
      <c r="I411" s="116" t="n"/>
      <c r="J411" s="116" t="n"/>
      <c r="K411" s="116" t="n"/>
      <c r="L411" s="116" t="n"/>
      <c r="M411" s="116" t="n"/>
      <c r="N411" s="116" t="n"/>
      <c r="P411" s="116" t="n"/>
      <c r="Q411" s="116" t="n"/>
    </row>
    <row r="412" ht="15" customHeight="1" s="117">
      <c r="H412" s="116" t="n"/>
      <c r="I412" s="116" t="n"/>
      <c r="J412" s="116" t="n"/>
      <c r="K412" s="116" t="n"/>
      <c r="L412" s="116" t="n"/>
      <c r="M412" s="116" t="n"/>
      <c r="N412" s="116" t="n"/>
      <c r="P412" s="116" t="n"/>
      <c r="Q412" s="116" t="n"/>
    </row>
    <row r="413" ht="15" customHeight="1" s="117">
      <c r="H413" s="116" t="n"/>
      <c r="I413" s="116" t="n"/>
      <c r="J413" s="116" t="n"/>
      <c r="K413" s="116" t="n"/>
      <c r="L413" s="116" t="n"/>
      <c r="M413" s="116" t="n"/>
      <c r="N413" s="116" t="n"/>
      <c r="P413" s="116" t="n"/>
      <c r="Q413" s="116" t="n"/>
    </row>
    <row r="414" ht="15" customHeight="1" s="117">
      <c r="H414" s="116" t="n"/>
      <c r="I414" s="116" t="n"/>
      <c r="J414" s="116" t="n"/>
      <c r="K414" s="116" t="n"/>
      <c r="L414" s="116" t="n"/>
      <c r="M414" s="116" t="n"/>
      <c r="N414" s="116" t="n"/>
      <c r="P414" s="116" t="n"/>
      <c r="Q414" s="116" t="n"/>
    </row>
    <row r="415" ht="15" customHeight="1" s="117">
      <c r="H415" s="116" t="n"/>
      <c r="I415" s="116" t="n"/>
      <c r="J415" s="116" t="n"/>
      <c r="K415" s="116" t="n"/>
      <c r="L415" s="116" t="n"/>
      <c r="M415" s="116" t="n"/>
      <c r="N415" s="116" t="n"/>
      <c r="P415" s="116" t="n"/>
      <c r="Q415" s="116" t="n"/>
    </row>
    <row r="416" ht="15" customHeight="1" s="117">
      <c r="H416" s="116" t="n"/>
      <c r="I416" s="116" t="n"/>
      <c r="J416" s="116" t="n"/>
      <c r="K416" s="116" t="n"/>
      <c r="L416" s="116" t="n"/>
      <c r="M416" s="116" t="n"/>
      <c r="N416" s="116" t="n"/>
      <c r="P416" s="116" t="n"/>
      <c r="Q416" s="116" t="n"/>
    </row>
    <row r="417" ht="15" customHeight="1" s="117">
      <c r="H417" s="116" t="n"/>
      <c r="I417" s="116" t="n"/>
      <c r="J417" s="116" t="n"/>
      <c r="K417" s="116" t="n"/>
      <c r="L417" s="116" t="n"/>
      <c r="M417" s="116" t="n"/>
      <c r="N417" s="116" t="n"/>
      <c r="P417" s="116" t="n"/>
      <c r="Q417" s="116" t="n"/>
    </row>
    <row r="418" ht="15" customHeight="1" s="117">
      <c r="H418" s="116" t="n"/>
      <c r="I418" s="116" t="n"/>
      <c r="J418" s="116" t="n"/>
      <c r="K418" s="116" t="n"/>
      <c r="L418" s="116" t="n"/>
      <c r="M418" s="116" t="n"/>
      <c r="N418" s="116" t="n"/>
      <c r="P418" s="116" t="n"/>
      <c r="Q418" s="116" t="n"/>
    </row>
    <row r="419" ht="15" customHeight="1" s="117">
      <c r="H419" s="116" t="n"/>
      <c r="I419" s="116" t="n"/>
      <c r="J419" s="116" t="n"/>
      <c r="K419" s="116" t="n"/>
      <c r="L419" s="116" t="n"/>
      <c r="M419" s="116" t="n"/>
      <c r="N419" s="116" t="n"/>
      <c r="P419" s="116" t="n"/>
      <c r="Q419" s="116" t="n"/>
    </row>
    <row r="420" ht="15" customHeight="1" s="117">
      <c r="H420" s="116" t="n"/>
      <c r="I420" s="116" t="n"/>
      <c r="J420" s="116" t="n"/>
      <c r="K420" s="116" t="n"/>
      <c r="L420" s="116" t="n"/>
      <c r="M420" s="116" t="n"/>
      <c r="N420" s="116" t="n"/>
      <c r="P420" s="116" t="n"/>
      <c r="Q420" s="116" t="n"/>
    </row>
    <row r="421" ht="15" customHeight="1" s="117">
      <c r="H421" s="116" t="n"/>
      <c r="I421" s="116" t="n"/>
      <c r="J421" s="116" t="n"/>
      <c r="K421" s="116" t="n"/>
      <c r="L421" s="116" t="n"/>
      <c r="M421" s="116" t="n"/>
      <c r="N421" s="116" t="n"/>
      <c r="P421" s="116" t="n"/>
      <c r="Q421" s="116" t="n"/>
    </row>
    <row r="422" ht="15" customHeight="1" s="117">
      <c r="H422" s="116" t="n"/>
      <c r="I422" s="116" t="n"/>
      <c r="J422" s="116" t="n"/>
      <c r="K422" s="116" t="n"/>
      <c r="L422" s="116" t="n"/>
      <c r="M422" s="116" t="n"/>
      <c r="N422" s="116" t="n"/>
      <c r="P422" s="116" t="n"/>
      <c r="Q422" s="116" t="n"/>
    </row>
    <row r="423" ht="15" customHeight="1" s="117">
      <c r="H423" s="116" t="n"/>
      <c r="I423" s="116" t="n"/>
      <c r="J423" s="116" t="n"/>
      <c r="K423" s="116" t="n"/>
      <c r="L423" s="116" t="n"/>
      <c r="M423" s="116" t="n"/>
      <c r="N423" s="116" t="n"/>
      <c r="P423" s="116" t="n"/>
      <c r="Q423" s="116" t="n"/>
    </row>
    <row r="424" ht="15" customHeight="1" s="117">
      <c r="H424" s="116" t="n"/>
      <c r="I424" s="116" t="n"/>
      <c r="J424" s="116" t="n"/>
      <c r="K424" s="116" t="n"/>
      <c r="L424" s="116" t="n"/>
      <c r="M424" s="116" t="n"/>
      <c r="N424" s="116" t="n"/>
      <c r="P424" s="116" t="n"/>
      <c r="Q424" s="116" t="n"/>
    </row>
    <row r="425" ht="15" customHeight="1" s="117">
      <c r="H425" s="116" t="n"/>
      <c r="I425" s="116" t="n"/>
      <c r="J425" s="116" t="n"/>
      <c r="K425" s="116" t="n"/>
      <c r="L425" s="116" t="n"/>
      <c r="M425" s="116" t="n"/>
      <c r="N425" s="116" t="n"/>
      <c r="P425" s="116" t="n"/>
      <c r="Q425" s="116" t="n"/>
    </row>
    <row r="426" ht="15" customHeight="1" s="117">
      <c r="H426" s="116" t="n"/>
      <c r="I426" s="116" t="n"/>
      <c r="J426" s="116" t="n"/>
      <c r="K426" s="116" t="n"/>
      <c r="L426" s="116" t="n"/>
      <c r="M426" s="116" t="n"/>
      <c r="N426" s="116" t="n"/>
      <c r="P426" s="116" t="n"/>
      <c r="Q426" s="116" t="n"/>
    </row>
    <row r="427" ht="15" customHeight="1" s="117">
      <c r="H427" s="116" t="n"/>
      <c r="I427" s="116" t="n"/>
      <c r="J427" s="116" t="n"/>
      <c r="K427" s="116" t="n"/>
      <c r="L427" s="116" t="n"/>
      <c r="M427" s="116" t="n"/>
      <c r="N427" s="116" t="n"/>
      <c r="P427" s="116" t="n"/>
      <c r="Q427" s="116" t="n"/>
    </row>
    <row r="428" ht="15" customHeight="1" s="117">
      <c r="H428" s="116" t="n"/>
      <c r="I428" s="116" t="n"/>
      <c r="J428" s="116" t="n"/>
      <c r="K428" s="116" t="n"/>
      <c r="L428" s="116" t="n"/>
      <c r="M428" s="116" t="n"/>
      <c r="N428" s="116" t="n"/>
      <c r="P428" s="116" t="n"/>
      <c r="Q428" s="116" t="n"/>
    </row>
    <row r="429" ht="15" customHeight="1" s="117">
      <c r="H429" s="116" t="n"/>
      <c r="I429" s="116" t="n"/>
      <c r="J429" s="116" t="n"/>
      <c r="K429" s="116" t="n"/>
      <c r="L429" s="116" t="n"/>
      <c r="M429" s="116" t="n"/>
      <c r="N429" s="116" t="n"/>
      <c r="P429" s="116" t="n"/>
      <c r="Q429" s="116" t="n"/>
    </row>
    <row r="430" ht="15" customHeight="1" s="117">
      <c r="H430" s="116" t="n"/>
      <c r="I430" s="116" t="n"/>
      <c r="J430" s="116" t="n"/>
      <c r="K430" s="116" t="n"/>
      <c r="L430" s="116" t="n"/>
      <c r="M430" s="116" t="n"/>
      <c r="N430" s="116" t="n"/>
      <c r="P430" s="116" t="n"/>
      <c r="Q430" s="116" t="n"/>
    </row>
    <row r="431" ht="15" customHeight="1" s="117">
      <c r="H431" s="116" t="n"/>
      <c r="I431" s="116" t="n"/>
      <c r="J431" s="116" t="n"/>
      <c r="K431" s="116" t="n"/>
      <c r="L431" s="116" t="n"/>
      <c r="M431" s="116" t="n"/>
      <c r="N431" s="116" t="n"/>
      <c r="P431" s="116" t="n"/>
      <c r="Q431" s="116" t="n"/>
    </row>
    <row r="432" ht="15" customHeight="1" s="117">
      <c r="H432" s="116" t="n"/>
      <c r="I432" s="116" t="n"/>
      <c r="J432" s="116" t="n"/>
      <c r="K432" s="116" t="n"/>
      <c r="L432" s="116" t="n"/>
      <c r="M432" s="116" t="n"/>
      <c r="N432" s="116" t="n"/>
      <c r="P432" s="116" t="n"/>
      <c r="Q432" s="116" t="n"/>
    </row>
    <row r="433" ht="15" customHeight="1" s="117">
      <c r="H433" s="116" t="n"/>
      <c r="I433" s="116" t="n"/>
      <c r="J433" s="116" t="n"/>
      <c r="K433" s="116" t="n"/>
      <c r="L433" s="116" t="n"/>
      <c r="M433" s="116" t="n"/>
      <c r="N433" s="116" t="n"/>
      <c r="P433" s="116" t="n"/>
      <c r="Q433" s="116" t="n"/>
    </row>
    <row r="434" ht="15" customHeight="1" s="117">
      <c r="H434" s="116" t="n"/>
      <c r="I434" s="116" t="n"/>
      <c r="J434" s="116" t="n"/>
      <c r="K434" s="116" t="n"/>
      <c r="L434" s="116" t="n"/>
      <c r="M434" s="116" t="n"/>
      <c r="N434" s="116" t="n"/>
      <c r="P434" s="116" t="n"/>
      <c r="Q434" s="116" t="n"/>
    </row>
    <row r="435" ht="15" customHeight="1" s="117">
      <c r="H435" s="116" t="n"/>
      <c r="I435" s="116" t="n"/>
      <c r="J435" s="116" t="n"/>
      <c r="K435" s="116" t="n"/>
      <c r="L435" s="116" t="n"/>
      <c r="M435" s="116" t="n"/>
      <c r="N435" s="116" t="n"/>
      <c r="P435" s="116" t="n"/>
      <c r="Q435" s="116" t="n"/>
    </row>
    <row r="436" ht="15" customHeight="1" s="117">
      <c r="H436" s="116" t="n"/>
      <c r="I436" s="116" t="n"/>
      <c r="J436" s="116" t="n"/>
      <c r="K436" s="116" t="n"/>
      <c r="L436" s="116" t="n"/>
      <c r="M436" s="116" t="n"/>
      <c r="N436" s="116" t="n"/>
      <c r="P436" s="116" t="n"/>
      <c r="Q436" s="116" t="n"/>
    </row>
    <row r="437" ht="15" customHeight="1" s="117">
      <c r="H437" s="116" t="n"/>
      <c r="I437" s="116" t="n"/>
      <c r="J437" s="116" t="n"/>
      <c r="K437" s="116" t="n"/>
      <c r="L437" s="116" t="n"/>
      <c r="M437" s="116" t="n"/>
      <c r="N437" s="116" t="n"/>
      <c r="P437" s="116" t="n"/>
      <c r="Q437" s="116" t="n"/>
    </row>
    <row r="438" ht="15" customHeight="1" s="117">
      <c r="H438" s="116" t="n"/>
      <c r="I438" s="116" t="n"/>
      <c r="J438" s="116" t="n"/>
      <c r="K438" s="116" t="n"/>
      <c r="L438" s="116" t="n"/>
      <c r="M438" s="116" t="n"/>
      <c r="N438" s="116" t="n"/>
      <c r="P438" s="116" t="n"/>
      <c r="Q438" s="116" t="n"/>
    </row>
    <row r="439" ht="15" customHeight="1" s="117">
      <c r="H439" s="116" t="n"/>
      <c r="I439" s="116" t="n"/>
      <c r="J439" s="116" t="n"/>
      <c r="K439" s="116" t="n"/>
      <c r="L439" s="116" t="n"/>
      <c r="M439" s="116" t="n"/>
      <c r="N439" s="116" t="n"/>
      <c r="P439" s="116" t="n"/>
      <c r="Q439" s="116" t="n"/>
    </row>
    <row r="440" ht="15" customHeight="1" s="117">
      <c r="H440" s="116" t="n"/>
      <c r="I440" s="116" t="n"/>
      <c r="J440" s="116" t="n"/>
      <c r="K440" s="116" t="n"/>
      <c r="L440" s="116" t="n"/>
      <c r="M440" s="116" t="n"/>
      <c r="N440" s="116" t="n"/>
      <c r="P440" s="116" t="n"/>
      <c r="Q440" s="116" t="n"/>
    </row>
    <row r="441" ht="15" customHeight="1" s="117">
      <c r="H441" s="116" t="n"/>
      <c r="I441" s="116" t="n"/>
      <c r="J441" s="116" t="n"/>
      <c r="K441" s="116" t="n"/>
      <c r="L441" s="116" t="n"/>
      <c r="M441" s="116" t="n"/>
      <c r="N441" s="116" t="n"/>
      <c r="P441" s="116" t="n"/>
      <c r="Q441" s="116" t="n"/>
    </row>
    <row r="442" ht="15" customHeight="1" s="117">
      <c r="H442" s="116" t="n"/>
      <c r="I442" s="116" t="n"/>
      <c r="J442" s="116" t="n"/>
      <c r="K442" s="116" t="n"/>
      <c r="L442" s="116" t="n"/>
      <c r="M442" s="116" t="n"/>
      <c r="N442" s="116" t="n"/>
      <c r="P442" s="116" t="n"/>
      <c r="Q442" s="116" t="n"/>
    </row>
    <row r="443" ht="15" customHeight="1" s="117">
      <c r="H443" s="116" t="n"/>
      <c r="I443" s="116" t="n"/>
      <c r="J443" s="116" t="n"/>
      <c r="K443" s="116" t="n"/>
      <c r="L443" s="116" t="n"/>
      <c r="M443" s="116" t="n"/>
      <c r="N443" s="116" t="n"/>
      <c r="P443" s="116" t="n"/>
      <c r="Q443" s="116" t="n"/>
    </row>
    <row r="444" ht="15" customHeight="1" s="117">
      <c r="H444" s="116" t="n"/>
      <c r="I444" s="116" t="n"/>
      <c r="J444" s="116" t="n"/>
      <c r="K444" s="116" t="n"/>
      <c r="L444" s="116" t="n"/>
      <c r="M444" s="116" t="n"/>
      <c r="N444" s="116" t="n"/>
      <c r="P444" s="116" t="n"/>
      <c r="Q444" s="116" t="n"/>
    </row>
    <row r="445" ht="15" customHeight="1" s="117">
      <c r="H445" s="116" t="n"/>
      <c r="I445" s="116" t="n"/>
      <c r="J445" s="116" t="n"/>
      <c r="K445" s="116" t="n"/>
      <c r="L445" s="116" t="n"/>
      <c r="M445" s="116" t="n"/>
      <c r="N445" s="116" t="n"/>
      <c r="P445" s="116" t="n"/>
      <c r="Q445" s="116" t="n"/>
    </row>
    <row r="446" ht="15" customHeight="1" s="117">
      <c r="H446" s="116" t="n"/>
      <c r="I446" s="116" t="n"/>
      <c r="J446" s="116" t="n"/>
      <c r="K446" s="116" t="n"/>
      <c r="L446" s="116" t="n"/>
      <c r="M446" s="116" t="n"/>
      <c r="N446" s="116" t="n"/>
      <c r="P446" s="116" t="n"/>
      <c r="Q446" s="116" t="n"/>
    </row>
    <row r="447" ht="15" customHeight="1" s="117">
      <c r="H447" s="116" t="n"/>
      <c r="I447" s="116" t="n"/>
      <c r="J447" s="116" t="n"/>
      <c r="K447" s="116" t="n"/>
      <c r="L447" s="116" t="n"/>
      <c r="M447" s="116" t="n"/>
      <c r="N447" s="116" t="n"/>
      <c r="P447" s="116" t="n"/>
      <c r="Q447" s="116" t="n"/>
    </row>
    <row r="448" ht="15" customHeight="1" s="117">
      <c r="H448" s="116" t="n"/>
      <c r="I448" s="116" t="n"/>
      <c r="J448" s="116" t="n"/>
      <c r="K448" s="116" t="n"/>
      <c r="L448" s="116" t="n"/>
      <c r="M448" s="116" t="n"/>
      <c r="N448" s="116" t="n"/>
      <c r="P448" s="116" t="n"/>
      <c r="Q448" s="116" t="n"/>
    </row>
    <row r="449" ht="15" customHeight="1" s="117">
      <c r="H449" s="116" t="n"/>
      <c r="I449" s="116" t="n"/>
      <c r="J449" s="116" t="n"/>
      <c r="K449" s="116" t="n"/>
      <c r="L449" s="116" t="n"/>
      <c r="M449" s="116" t="n"/>
      <c r="N449" s="116" t="n"/>
      <c r="P449" s="116" t="n"/>
      <c r="Q449" s="116" t="n"/>
    </row>
    <row r="450" ht="15" customHeight="1" s="117">
      <c r="H450" s="116" t="n"/>
      <c r="I450" s="116" t="n"/>
      <c r="J450" s="116" t="n"/>
      <c r="K450" s="116" t="n"/>
      <c r="L450" s="116" t="n"/>
      <c r="M450" s="116" t="n"/>
      <c r="N450" s="116" t="n"/>
      <c r="P450" s="116" t="n"/>
      <c r="Q450" s="116" t="n"/>
    </row>
    <row r="451" ht="15" customHeight="1" s="117">
      <c r="H451" s="116" t="n"/>
      <c r="I451" s="116" t="n"/>
      <c r="J451" s="116" t="n"/>
      <c r="K451" s="116" t="n"/>
      <c r="L451" s="116" t="n"/>
      <c r="M451" s="116" t="n"/>
      <c r="N451" s="116" t="n"/>
      <c r="P451" s="116" t="n"/>
      <c r="Q451" s="116" t="n"/>
    </row>
    <row r="452" ht="15" customHeight="1" s="117">
      <c r="H452" s="116" t="n"/>
      <c r="I452" s="116" t="n"/>
      <c r="J452" s="116" t="n"/>
      <c r="K452" s="116" t="n"/>
      <c r="L452" s="116" t="n"/>
      <c r="M452" s="116" t="n"/>
      <c r="N452" s="116" t="n"/>
      <c r="P452" s="116" t="n"/>
      <c r="Q452" s="116" t="n"/>
    </row>
    <row r="453" ht="15" customHeight="1" s="117">
      <c r="H453" s="116" t="n"/>
      <c r="I453" s="116" t="n"/>
      <c r="J453" s="116" t="n"/>
      <c r="K453" s="116" t="n"/>
      <c r="L453" s="116" t="n"/>
      <c r="M453" s="116" t="n"/>
      <c r="N453" s="116" t="n"/>
      <c r="P453" s="116" t="n"/>
      <c r="Q453" s="116" t="n"/>
    </row>
    <row r="454" ht="15" customHeight="1" s="117">
      <c r="H454" s="116" t="n"/>
      <c r="I454" s="116" t="n"/>
      <c r="J454" s="116" t="n"/>
      <c r="K454" s="116" t="n"/>
      <c r="L454" s="116" t="n"/>
      <c r="M454" s="116" t="n"/>
      <c r="N454" s="116" t="n"/>
      <c r="P454" s="116" t="n"/>
      <c r="Q454" s="116" t="n"/>
    </row>
    <row r="455" ht="15" customHeight="1" s="117">
      <c r="H455" s="116" t="n"/>
      <c r="I455" s="116" t="n"/>
      <c r="J455" s="116" t="n"/>
      <c r="K455" s="116" t="n"/>
      <c r="L455" s="116" t="n"/>
      <c r="M455" s="116" t="n"/>
      <c r="N455" s="116" t="n"/>
      <c r="P455" s="116" t="n"/>
      <c r="Q455" s="116" t="n"/>
    </row>
    <row r="456" ht="15" customHeight="1" s="117">
      <c r="H456" s="116" t="n"/>
      <c r="I456" s="116" t="n"/>
      <c r="J456" s="116" t="n"/>
      <c r="K456" s="116" t="n"/>
      <c r="L456" s="116" t="n"/>
      <c r="M456" s="116" t="n"/>
      <c r="N456" s="116" t="n"/>
      <c r="P456" s="116" t="n"/>
      <c r="Q456" s="116" t="n"/>
    </row>
    <row r="457" ht="15" customHeight="1" s="117">
      <c r="H457" s="116" t="n"/>
      <c r="I457" s="116" t="n"/>
      <c r="J457" s="116" t="n"/>
      <c r="K457" s="116" t="n"/>
      <c r="L457" s="116" t="n"/>
      <c r="M457" s="116" t="n"/>
      <c r="N457" s="116" t="n"/>
      <c r="P457" s="116" t="n"/>
      <c r="Q457" s="116" t="n"/>
    </row>
    <row r="458" ht="15" customHeight="1" s="117">
      <c r="H458" s="116" t="n"/>
      <c r="I458" s="116" t="n"/>
      <c r="J458" s="116" t="n"/>
      <c r="K458" s="116" t="n"/>
      <c r="L458" s="116" t="n"/>
      <c r="M458" s="116" t="n"/>
      <c r="N458" s="116" t="n"/>
      <c r="P458" s="116" t="n"/>
      <c r="Q458" s="116" t="n"/>
    </row>
    <row r="459" ht="15" customHeight="1" s="117">
      <c r="H459" s="116" t="n"/>
      <c r="I459" s="116" t="n"/>
      <c r="J459" s="116" t="n"/>
      <c r="K459" s="116" t="n"/>
      <c r="L459" s="116" t="n"/>
      <c r="M459" s="116" t="n"/>
      <c r="N459" s="116" t="n"/>
      <c r="P459" s="116" t="n"/>
      <c r="Q459" s="116" t="n"/>
    </row>
    <row r="460" ht="15" customHeight="1" s="117">
      <c r="H460" s="116" t="n"/>
      <c r="I460" s="116" t="n"/>
      <c r="J460" s="116" t="n"/>
      <c r="K460" s="116" t="n"/>
      <c r="L460" s="116" t="n"/>
      <c r="M460" s="116" t="n"/>
      <c r="N460" s="116" t="n"/>
      <c r="P460" s="116" t="n"/>
      <c r="Q460" s="116" t="n"/>
    </row>
    <row r="461" ht="15" customHeight="1" s="117">
      <c r="H461" s="116" t="n"/>
      <c r="I461" s="116" t="n"/>
      <c r="J461" s="116" t="n"/>
      <c r="K461" s="116" t="n"/>
      <c r="L461" s="116" t="n"/>
      <c r="M461" s="116" t="n"/>
      <c r="N461" s="116" t="n"/>
      <c r="P461" s="116" t="n"/>
      <c r="Q461" s="116" t="n"/>
    </row>
    <row r="462" ht="15" customHeight="1" s="117">
      <c r="H462" s="116" t="n"/>
      <c r="I462" s="116" t="n"/>
      <c r="J462" s="116" t="n"/>
      <c r="K462" s="116" t="n"/>
      <c r="L462" s="116" t="n"/>
      <c r="M462" s="116" t="n"/>
      <c r="N462" s="116" t="n"/>
      <c r="P462" s="116" t="n"/>
      <c r="Q462" s="116" t="n"/>
    </row>
    <row r="463" ht="15" customHeight="1" s="117">
      <c r="H463" s="116" t="n"/>
      <c r="I463" s="116" t="n"/>
      <c r="J463" s="116" t="n"/>
      <c r="K463" s="116" t="n"/>
      <c r="L463" s="116" t="n"/>
      <c r="M463" s="116" t="n"/>
      <c r="N463" s="116" t="n"/>
      <c r="P463" s="116" t="n"/>
      <c r="Q463" s="116" t="n"/>
    </row>
    <row r="464" ht="15" customHeight="1" s="117">
      <c r="H464" s="116" t="n"/>
      <c r="I464" s="116" t="n"/>
      <c r="J464" s="116" t="n"/>
      <c r="K464" s="116" t="n"/>
      <c r="L464" s="116" t="n"/>
      <c r="M464" s="116" t="n"/>
      <c r="N464" s="116" t="n"/>
      <c r="P464" s="116" t="n"/>
      <c r="Q464" s="116" t="n"/>
    </row>
    <row r="465" ht="15" customHeight="1" s="117">
      <c r="H465" s="116" t="n"/>
      <c r="I465" s="116" t="n"/>
      <c r="J465" s="116" t="n"/>
      <c r="K465" s="116" t="n"/>
      <c r="L465" s="116" t="n"/>
      <c r="M465" s="116" t="n"/>
      <c r="N465" s="116" t="n"/>
      <c r="P465" s="116" t="n"/>
      <c r="Q465" s="116" t="n"/>
    </row>
    <row r="466" ht="15" customHeight="1" s="117">
      <c r="H466" s="116" t="n"/>
      <c r="I466" s="116" t="n"/>
      <c r="J466" s="116" t="n"/>
      <c r="K466" s="116" t="n"/>
      <c r="L466" s="116" t="n"/>
      <c r="M466" s="116" t="n"/>
      <c r="N466" s="116" t="n"/>
      <c r="P466" s="116" t="n"/>
      <c r="Q466" s="116" t="n"/>
    </row>
    <row r="467" ht="15" customHeight="1" s="117">
      <c r="H467" s="116" t="n"/>
      <c r="I467" s="116" t="n"/>
      <c r="J467" s="116" t="n"/>
      <c r="K467" s="116" t="n"/>
      <c r="L467" s="116" t="n"/>
      <c r="M467" s="116" t="n"/>
      <c r="N467" s="116" t="n"/>
      <c r="P467" s="116" t="n"/>
      <c r="Q467" s="116" t="n"/>
    </row>
    <row r="468" ht="15" customHeight="1" s="117">
      <c r="H468" s="116" t="n"/>
      <c r="I468" s="116" t="n"/>
      <c r="J468" s="116" t="n"/>
      <c r="K468" s="116" t="n"/>
      <c r="L468" s="116" t="n"/>
      <c r="M468" s="116" t="n"/>
      <c r="N468" s="116" t="n"/>
      <c r="P468" s="116" t="n"/>
      <c r="Q468" s="116" t="n"/>
    </row>
    <row r="469" ht="15" customHeight="1" s="117">
      <c r="H469" s="116" t="n"/>
      <c r="I469" s="116" t="n"/>
      <c r="J469" s="116" t="n"/>
      <c r="K469" s="116" t="n"/>
      <c r="L469" s="116" t="n"/>
      <c r="M469" s="116" t="n"/>
      <c r="N469" s="116" t="n"/>
      <c r="P469" s="116" t="n"/>
      <c r="Q469" s="116" t="n"/>
    </row>
    <row r="470" ht="15" customHeight="1" s="117">
      <c r="H470" s="116" t="n"/>
      <c r="I470" s="116" t="n"/>
      <c r="J470" s="116" t="n"/>
      <c r="K470" s="116" t="n"/>
      <c r="L470" s="116" t="n"/>
      <c r="M470" s="116" t="n"/>
      <c r="N470" s="116" t="n"/>
      <c r="P470" s="116" t="n"/>
      <c r="Q470" s="116" t="n"/>
    </row>
    <row r="471" ht="15" customHeight="1" s="117">
      <c r="H471" s="116" t="n"/>
      <c r="I471" s="116" t="n"/>
      <c r="J471" s="116" t="n"/>
      <c r="K471" s="116" t="n"/>
      <c r="L471" s="116" t="n"/>
      <c r="M471" s="116" t="n"/>
      <c r="N471" s="116" t="n"/>
      <c r="P471" s="116" t="n"/>
      <c r="Q471" s="116" t="n"/>
    </row>
    <row r="472" ht="15" customHeight="1" s="117">
      <c r="H472" s="116" t="n"/>
      <c r="I472" s="116" t="n"/>
      <c r="J472" s="116" t="n"/>
      <c r="K472" s="116" t="n"/>
      <c r="L472" s="116" t="n"/>
      <c r="M472" s="116" t="n"/>
      <c r="N472" s="116" t="n"/>
      <c r="P472" s="116" t="n"/>
      <c r="Q472" s="116" t="n"/>
    </row>
    <row r="473" ht="15" customHeight="1" s="117">
      <c r="H473" s="116" t="n"/>
      <c r="I473" s="116" t="n"/>
      <c r="J473" s="116" t="n"/>
      <c r="K473" s="116" t="n"/>
      <c r="L473" s="116" t="n"/>
      <c r="M473" s="116" t="n"/>
      <c r="N473" s="116" t="n"/>
      <c r="P473" s="116" t="n"/>
      <c r="Q473" s="116" t="n"/>
    </row>
    <row r="474" ht="15" customHeight="1" s="117">
      <c r="H474" s="116" t="n"/>
      <c r="I474" s="116" t="n"/>
      <c r="J474" s="116" t="n"/>
      <c r="K474" s="116" t="n"/>
      <c r="L474" s="116" t="n"/>
      <c r="M474" s="116" t="n"/>
      <c r="N474" s="116" t="n"/>
      <c r="P474" s="116" t="n"/>
      <c r="Q474" s="116" t="n"/>
    </row>
    <row r="475" ht="15" customHeight="1" s="117">
      <c r="H475" s="116" t="n"/>
      <c r="I475" s="116" t="n"/>
      <c r="J475" s="116" t="n"/>
      <c r="K475" s="116" t="n"/>
      <c r="L475" s="116" t="n"/>
      <c r="M475" s="116" t="n"/>
      <c r="N475" s="116" t="n"/>
      <c r="P475" s="116" t="n"/>
      <c r="Q475" s="116" t="n"/>
    </row>
    <row r="476" ht="15" customHeight="1" s="117">
      <c r="H476" s="116" t="n"/>
      <c r="I476" s="116" t="n"/>
      <c r="J476" s="116" t="n"/>
      <c r="K476" s="116" t="n"/>
      <c r="L476" s="116" t="n"/>
      <c r="M476" s="116" t="n"/>
      <c r="N476" s="116" t="n"/>
      <c r="P476" s="116" t="n"/>
      <c r="Q476" s="116" t="n"/>
    </row>
    <row r="477" ht="15" customHeight="1" s="117">
      <c r="H477" s="116" t="n"/>
      <c r="I477" s="116" t="n"/>
      <c r="J477" s="116" t="n"/>
      <c r="K477" s="116" t="n"/>
      <c r="L477" s="116" t="n"/>
      <c r="M477" s="116" t="n"/>
      <c r="N477" s="116" t="n"/>
      <c r="P477" s="116" t="n"/>
      <c r="Q477" s="116" t="n"/>
    </row>
    <row r="478" ht="15" customHeight="1" s="117">
      <c r="H478" s="116" t="n"/>
      <c r="I478" s="116" t="n"/>
      <c r="J478" s="116" t="n"/>
      <c r="K478" s="116" t="n"/>
      <c r="L478" s="116" t="n"/>
      <c r="M478" s="116" t="n"/>
      <c r="N478" s="116" t="n"/>
      <c r="P478" s="116" t="n"/>
      <c r="Q478" s="116" t="n"/>
    </row>
    <row r="479" ht="15" customHeight="1" s="117">
      <c r="H479" s="116" t="n"/>
      <c r="I479" s="116" t="n"/>
      <c r="J479" s="116" t="n"/>
      <c r="K479" s="116" t="n"/>
      <c r="L479" s="116" t="n"/>
      <c r="M479" s="116" t="n"/>
      <c r="N479" s="116" t="n"/>
      <c r="P479" s="116" t="n"/>
      <c r="Q479" s="116" t="n"/>
    </row>
    <row r="480" ht="15" customHeight="1" s="117">
      <c r="H480" s="116" t="n"/>
      <c r="I480" s="116" t="n"/>
      <c r="J480" s="116" t="n"/>
      <c r="K480" s="116" t="n"/>
      <c r="L480" s="116" t="n"/>
      <c r="M480" s="116" t="n"/>
      <c r="N480" s="116" t="n"/>
      <c r="P480" s="116" t="n"/>
      <c r="Q480" s="116" t="n"/>
    </row>
    <row r="481" ht="15" customHeight="1" s="117">
      <c r="H481" s="116" t="n"/>
      <c r="I481" s="116" t="n"/>
      <c r="J481" s="116" t="n"/>
      <c r="K481" s="116" t="n"/>
      <c r="L481" s="116" t="n"/>
      <c r="M481" s="116" t="n"/>
      <c r="N481" s="116" t="n"/>
      <c r="P481" s="116" t="n"/>
      <c r="Q481" s="116" t="n"/>
    </row>
    <row r="482" ht="15" customHeight="1" s="117">
      <c r="H482" s="116" t="n"/>
      <c r="I482" s="116" t="n"/>
      <c r="J482" s="116" t="n"/>
      <c r="K482" s="116" t="n"/>
      <c r="L482" s="116" t="n"/>
      <c r="M482" s="116" t="n"/>
      <c r="N482" s="116" t="n"/>
      <c r="P482" s="116" t="n"/>
      <c r="Q482" s="116" t="n"/>
    </row>
    <row r="483" ht="15" customHeight="1" s="117">
      <c r="H483" s="116" t="n"/>
      <c r="I483" s="116" t="n"/>
      <c r="J483" s="116" t="n"/>
      <c r="K483" s="116" t="n"/>
      <c r="L483" s="116" t="n"/>
      <c r="M483" s="116" t="n"/>
      <c r="N483" s="116" t="n"/>
      <c r="P483" s="116" t="n"/>
      <c r="Q483" s="116" t="n"/>
    </row>
    <row r="484" ht="15" customHeight="1" s="117">
      <c r="H484" s="116" t="n"/>
      <c r="I484" s="116" t="n"/>
      <c r="J484" s="116" t="n"/>
      <c r="K484" s="116" t="n"/>
      <c r="L484" s="116" t="n"/>
      <c r="M484" s="116" t="n"/>
      <c r="N484" s="116" t="n"/>
      <c r="P484" s="116" t="n"/>
      <c r="Q484" s="116" t="n"/>
    </row>
    <row r="485" ht="15" customHeight="1" s="117">
      <c r="H485" s="116" t="n"/>
      <c r="I485" s="116" t="n"/>
      <c r="J485" s="116" t="n"/>
      <c r="K485" s="116" t="n"/>
      <c r="L485" s="116" t="n"/>
      <c r="M485" s="116" t="n"/>
      <c r="N485" s="116" t="n"/>
      <c r="P485" s="116" t="n"/>
      <c r="Q485" s="116" t="n"/>
    </row>
    <row r="486" ht="15" customHeight="1" s="117">
      <c r="H486" s="116" t="n"/>
      <c r="I486" s="116" t="n"/>
      <c r="J486" s="116" t="n"/>
      <c r="K486" s="116" t="n"/>
      <c r="L486" s="116" t="n"/>
      <c r="M486" s="116" t="n"/>
      <c r="N486" s="116" t="n"/>
      <c r="P486" s="116" t="n"/>
      <c r="Q486" s="116" t="n"/>
    </row>
    <row r="487" ht="15" customHeight="1" s="117">
      <c r="H487" s="116" t="n"/>
      <c r="I487" s="116" t="n"/>
      <c r="J487" s="116" t="n"/>
      <c r="K487" s="116" t="n"/>
      <c r="L487" s="116" t="n"/>
      <c r="M487" s="116" t="n"/>
      <c r="N487" s="116" t="n"/>
      <c r="P487" s="116" t="n"/>
      <c r="Q487" s="116" t="n"/>
    </row>
    <row r="488" ht="15" customHeight="1" s="117">
      <c r="H488" s="116" t="n"/>
      <c r="I488" s="116" t="n"/>
      <c r="J488" s="116" t="n"/>
      <c r="K488" s="116" t="n"/>
      <c r="L488" s="116" t="n"/>
      <c r="M488" s="116" t="n"/>
      <c r="N488" s="116" t="n"/>
      <c r="P488" s="116" t="n"/>
      <c r="Q488" s="116" t="n"/>
    </row>
    <row r="489" ht="15" customHeight="1" s="117">
      <c r="H489" s="116" t="n"/>
      <c r="I489" s="116" t="n"/>
      <c r="J489" s="116" t="n"/>
      <c r="K489" s="116" t="n"/>
      <c r="L489" s="116" t="n"/>
      <c r="M489" s="116" t="n"/>
      <c r="N489" s="116" t="n"/>
      <c r="P489" s="116" t="n"/>
      <c r="Q489" s="116" t="n"/>
    </row>
    <row r="490" ht="15" customHeight="1" s="117">
      <c r="H490" s="116" t="n"/>
      <c r="I490" s="116" t="n"/>
      <c r="J490" s="116" t="n"/>
      <c r="K490" s="116" t="n"/>
      <c r="L490" s="116" t="n"/>
      <c r="M490" s="116" t="n"/>
      <c r="N490" s="116" t="n"/>
      <c r="P490" s="116" t="n"/>
      <c r="Q490" s="116" t="n"/>
    </row>
    <row r="491" ht="15" customHeight="1" s="117">
      <c r="H491" s="116" t="n"/>
      <c r="I491" s="116" t="n"/>
      <c r="J491" s="116" t="n"/>
      <c r="K491" s="116" t="n"/>
      <c r="L491" s="116" t="n"/>
      <c r="M491" s="116" t="n"/>
      <c r="N491" s="116" t="n"/>
      <c r="P491" s="116" t="n"/>
      <c r="Q491" s="116" t="n"/>
    </row>
    <row r="492" ht="15" customHeight="1" s="117">
      <c r="H492" s="116" t="n"/>
      <c r="I492" s="116" t="n"/>
      <c r="J492" s="116" t="n"/>
      <c r="K492" s="116" t="n"/>
      <c r="L492" s="116" t="n"/>
      <c r="M492" s="116" t="n"/>
      <c r="N492" s="116" t="n"/>
      <c r="P492" s="116" t="n"/>
      <c r="Q492" s="116" t="n"/>
    </row>
    <row r="493" ht="15" customHeight="1" s="117">
      <c r="H493" s="116" t="n"/>
      <c r="I493" s="116" t="n"/>
      <c r="J493" s="116" t="n"/>
      <c r="K493" s="116" t="n"/>
      <c r="L493" s="116" t="n"/>
      <c r="M493" s="116" t="n"/>
      <c r="N493" s="116" t="n"/>
      <c r="P493" s="116" t="n"/>
      <c r="Q493" s="116" t="n"/>
    </row>
    <row r="494" ht="15" customHeight="1" s="117">
      <c r="H494" s="116" t="n"/>
      <c r="I494" s="116" t="n"/>
      <c r="J494" s="116" t="n"/>
      <c r="K494" s="116" t="n"/>
      <c r="L494" s="116" t="n"/>
      <c r="M494" s="116" t="n"/>
      <c r="N494" s="116" t="n"/>
      <c r="P494" s="116" t="n"/>
      <c r="Q494" s="116" t="n"/>
    </row>
    <row r="495" ht="15" customHeight="1" s="117">
      <c r="H495" s="116" t="n"/>
      <c r="I495" s="116" t="n"/>
      <c r="J495" s="116" t="n"/>
      <c r="K495" s="116" t="n"/>
      <c r="L495" s="116" t="n"/>
      <c r="M495" s="116" t="n"/>
      <c r="N495" s="116" t="n"/>
      <c r="P495" s="116" t="n"/>
      <c r="Q495" s="116" t="n"/>
    </row>
    <row r="496" ht="15" customHeight="1" s="117">
      <c r="H496" s="116" t="n"/>
      <c r="I496" s="116" t="n"/>
      <c r="J496" s="116" t="n"/>
      <c r="K496" s="116" t="n"/>
      <c r="L496" s="116" t="n"/>
      <c r="M496" s="116" t="n"/>
      <c r="N496" s="116" t="n"/>
      <c r="P496" s="116" t="n"/>
      <c r="Q496" s="116" t="n"/>
    </row>
    <row r="497" ht="15" customHeight="1" s="117">
      <c r="H497" s="116" t="n"/>
      <c r="I497" s="116" t="n"/>
      <c r="J497" s="116" t="n"/>
      <c r="K497" s="116" t="n"/>
      <c r="L497" s="116" t="n"/>
      <c r="M497" s="116" t="n"/>
      <c r="N497" s="116" t="n"/>
      <c r="P497" s="116" t="n"/>
      <c r="Q497" s="116" t="n"/>
    </row>
    <row r="498" ht="15" customHeight="1" s="117">
      <c r="H498" s="116" t="n"/>
      <c r="I498" s="116" t="n"/>
      <c r="J498" s="116" t="n"/>
      <c r="K498" s="116" t="n"/>
      <c r="L498" s="116" t="n"/>
      <c r="M498" s="116" t="n"/>
      <c r="N498" s="116" t="n"/>
      <c r="P498" s="116" t="n"/>
      <c r="Q498" s="116" t="n"/>
    </row>
    <row r="499" ht="15" customHeight="1" s="117">
      <c r="H499" s="116" t="n"/>
      <c r="I499" s="116" t="n"/>
      <c r="J499" s="116" t="n"/>
      <c r="K499" s="116" t="n"/>
      <c r="L499" s="116" t="n"/>
      <c r="M499" s="116" t="n"/>
      <c r="N499" s="116" t="n"/>
      <c r="P499" s="116" t="n"/>
      <c r="Q499" s="116" t="n"/>
    </row>
    <row r="500" ht="15" customHeight="1" s="117">
      <c r="H500" s="116" t="n"/>
      <c r="I500" s="116" t="n"/>
      <c r="J500" s="116" t="n"/>
      <c r="K500" s="116" t="n"/>
      <c r="L500" s="116" t="n"/>
      <c r="M500" s="116" t="n"/>
      <c r="N500" s="116" t="n"/>
      <c r="P500" s="116" t="n"/>
      <c r="Q500" s="116" t="n"/>
    </row>
    <row r="501" ht="15" customHeight="1" s="117">
      <c r="H501" s="116" t="n"/>
      <c r="I501" s="116" t="n"/>
      <c r="J501" s="116" t="n"/>
      <c r="K501" s="116" t="n"/>
      <c r="L501" s="116" t="n"/>
      <c r="M501" s="116" t="n"/>
      <c r="N501" s="116" t="n"/>
      <c r="P501" s="116" t="n"/>
      <c r="Q501" s="116" t="n"/>
    </row>
    <row r="502" ht="15" customHeight="1" s="117">
      <c r="H502" s="116" t="n"/>
      <c r="I502" s="116" t="n"/>
      <c r="J502" s="116" t="n"/>
      <c r="K502" s="116" t="n"/>
      <c r="L502" s="116" t="n"/>
      <c r="M502" s="116" t="n"/>
      <c r="N502" s="116" t="n"/>
      <c r="P502" s="116" t="n"/>
      <c r="Q502" s="116" t="n"/>
    </row>
    <row r="503" ht="15" customHeight="1" s="117">
      <c r="H503" s="116" t="n"/>
      <c r="I503" s="116" t="n"/>
      <c r="J503" s="116" t="n"/>
      <c r="K503" s="116" t="n"/>
      <c r="L503" s="116" t="n"/>
      <c r="M503" s="116" t="n"/>
      <c r="N503" s="116" t="n"/>
      <c r="P503" s="116" t="n"/>
      <c r="Q503" s="116" t="n"/>
    </row>
    <row r="504" ht="15" customHeight="1" s="117">
      <c r="H504" s="116" t="n"/>
      <c r="I504" s="116" t="n"/>
      <c r="J504" s="116" t="n"/>
      <c r="K504" s="116" t="n"/>
      <c r="L504" s="116" t="n"/>
      <c r="M504" s="116" t="n"/>
      <c r="N504" s="116" t="n"/>
      <c r="P504" s="116" t="n"/>
      <c r="Q504" s="116" t="n"/>
    </row>
    <row r="505" ht="15" customHeight="1" s="117">
      <c r="H505" s="116" t="n"/>
      <c r="I505" s="116" t="n"/>
      <c r="J505" s="116" t="n"/>
      <c r="K505" s="116" t="n"/>
      <c r="L505" s="116" t="n"/>
      <c r="M505" s="116" t="n"/>
      <c r="N505" s="116" t="n"/>
      <c r="P505" s="116" t="n"/>
      <c r="Q505" s="116" t="n"/>
    </row>
    <row r="506" ht="15" customHeight="1" s="117">
      <c r="H506" s="116" t="n"/>
      <c r="I506" s="116" t="n"/>
      <c r="J506" s="116" t="n"/>
      <c r="K506" s="116" t="n"/>
      <c r="L506" s="116" t="n"/>
      <c r="M506" s="116" t="n"/>
      <c r="N506" s="116" t="n"/>
      <c r="P506" s="116" t="n"/>
      <c r="Q506" s="116" t="n"/>
    </row>
    <row r="507" ht="15" customHeight="1" s="117">
      <c r="H507" s="116" t="n"/>
      <c r="I507" s="116" t="n"/>
      <c r="J507" s="116" t="n"/>
      <c r="K507" s="116" t="n"/>
      <c r="L507" s="116" t="n"/>
      <c r="M507" s="116" t="n"/>
      <c r="N507" s="116" t="n"/>
      <c r="P507" s="116" t="n"/>
      <c r="Q507" s="116" t="n"/>
    </row>
    <row r="508" ht="15" customHeight="1" s="117">
      <c r="H508" s="116" t="n"/>
      <c r="I508" s="116" t="n"/>
      <c r="J508" s="116" t="n"/>
      <c r="K508" s="116" t="n"/>
      <c r="L508" s="116" t="n"/>
      <c r="M508" s="116" t="n"/>
      <c r="N508" s="116" t="n"/>
      <c r="P508" s="116" t="n"/>
      <c r="Q508" s="116" t="n"/>
    </row>
    <row r="509" ht="15" customHeight="1" s="117">
      <c r="H509" s="116" t="n"/>
      <c r="I509" s="116" t="n"/>
      <c r="J509" s="116" t="n"/>
      <c r="K509" s="116" t="n"/>
      <c r="L509" s="116" t="n"/>
      <c r="M509" s="116" t="n"/>
      <c r="N509" s="116" t="n"/>
      <c r="P509" s="116" t="n"/>
      <c r="Q509" s="116" t="n"/>
    </row>
    <row r="510" ht="15" customHeight="1" s="117">
      <c r="H510" s="116" t="n"/>
      <c r="I510" s="116" t="n"/>
      <c r="J510" s="116" t="n"/>
      <c r="K510" s="116" t="n"/>
      <c r="L510" s="116" t="n"/>
      <c r="M510" s="116" t="n"/>
      <c r="N510" s="116" t="n"/>
      <c r="P510" s="116" t="n"/>
      <c r="Q510" s="116" t="n"/>
    </row>
    <row r="511" ht="15" customHeight="1" s="117">
      <c r="H511" s="116" t="n"/>
      <c r="I511" s="116" t="n"/>
      <c r="J511" s="116" t="n"/>
      <c r="K511" s="116" t="n"/>
      <c r="L511" s="116" t="n"/>
      <c r="M511" s="116" t="n"/>
      <c r="N511" s="116" t="n"/>
      <c r="P511" s="116" t="n"/>
      <c r="Q511" s="116" t="n"/>
    </row>
    <row r="512" ht="15" customHeight="1" s="117">
      <c r="H512" s="116" t="n"/>
      <c r="I512" s="116" t="n"/>
      <c r="J512" s="116" t="n"/>
      <c r="K512" s="116" t="n"/>
      <c r="L512" s="116" t="n"/>
      <c r="M512" s="116" t="n"/>
      <c r="N512" s="116" t="n"/>
      <c r="P512" s="116" t="n"/>
      <c r="Q512" s="116" t="n"/>
    </row>
    <row r="513" ht="15" customHeight="1" s="117">
      <c r="H513" s="116" t="n"/>
      <c r="I513" s="116" t="n"/>
      <c r="J513" s="116" t="n"/>
      <c r="K513" s="116" t="n"/>
      <c r="L513" s="116" t="n"/>
      <c r="M513" s="116" t="n"/>
      <c r="N513" s="116" t="n"/>
      <c r="P513" s="116" t="n"/>
      <c r="Q513" s="116" t="n"/>
    </row>
    <row r="514" ht="15" customHeight="1" s="117">
      <c r="H514" s="116" t="n"/>
      <c r="I514" s="116" t="n"/>
      <c r="J514" s="116" t="n"/>
      <c r="K514" s="116" t="n"/>
      <c r="L514" s="116" t="n"/>
      <c r="M514" s="116" t="n"/>
      <c r="N514" s="116" t="n"/>
      <c r="P514" s="116" t="n"/>
      <c r="Q514" s="116" t="n"/>
    </row>
    <row r="515" ht="15" customHeight="1" s="117">
      <c r="H515" s="116" t="n"/>
      <c r="I515" s="116" t="n"/>
      <c r="J515" s="116" t="n"/>
      <c r="K515" s="116" t="n"/>
      <c r="L515" s="116" t="n"/>
      <c r="M515" s="116" t="n"/>
      <c r="N515" s="116" t="n"/>
      <c r="P515" s="116" t="n"/>
      <c r="Q515" s="116" t="n"/>
    </row>
    <row r="516" ht="15" customHeight="1" s="117">
      <c r="H516" s="116" t="n"/>
      <c r="I516" s="116" t="n"/>
      <c r="J516" s="116" t="n"/>
      <c r="K516" s="116" t="n"/>
      <c r="L516" s="116" t="n"/>
      <c r="M516" s="116" t="n"/>
      <c r="N516" s="116" t="n"/>
      <c r="P516" s="116" t="n"/>
      <c r="Q516" s="116" t="n"/>
    </row>
    <row r="517" ht="15" customHeight="1" s="117">
      <c r="H517" s="116" t="n"/>
      <c r="I517" s="116" t="n"/>
      <c r="J517" s="116" t="n"/>
      <c r="K517" s="116" t="n"/>
      <c r="L517" s="116" t="n"/>
      <c r="M517" s="116" t="n"/>
      <c r="N517" s="116" t="n"/>
      <c r="P517" s="116" t="n"/>
      <c r="Q517" s="116" t="n"/>
    </row>
    <row r="518" ht="15" customHeight="1" s="117">
      <c r="H518" s="116" t="n"/>
      <c r="I518" s="116" t="n"/>
      <c r="J518" s="116" t="n"/>
      <c r="K518" s="116" t="n"/>
      <c r="L518" s="116" t="n"/>
      <c r="M518" s="116" t="n"/>
      <c r="N518" s="116" t="n"/>
      <c r="P518" s="116" t="n"/>
      <c r="Q518" s="116" t="n"/>
    </row>
    <row r="519" ht="15" customHeight="1" s="117">
      <c r="H519" s="116" t="n"/>
      <c r="I519" s="116" t="n"/>
      <c r="J519" s="116" t="n"/>
      <c r="K519" s="116" t="n"/>
      <c r="L519" s="116" t="n"/>
      <c r="M519" s="116" t="n"/>
      <c r="N519" s="116" t="n"/>
      <c r="P519" s="116" t="n"/>
      <c r="Q519" s="116" t="n"/>
    </row>
    <row r="520" ht="15" customHeight="1" s="117">
      <c r="H520" s="116" t="n"/>
      <c r="I520" s="116" t="n"/>
      <c r="J520" s="116" t="n"/>
      <c r="K520" s="116" t="n"/>
      <c r="L520" s="116" t="n"/>
      <c r="M520" s="116" t="n"/>
      <c r="N520" s="116" t="n"/>
      <c r="P520" s="116" t="n"/>
      <c r="Q520" s="116" t="n"/>
    </row>
    <row r="521" ht="15" customHeight="1" s="117">
      <c r="H521" s="116" t="n"/>
      <c r="I521" s="116" t="n"/>
      <c r="J521" s="116" t="n"/>
      <c r="K521" s="116" t="n"/>
      <c r="L521" s="116" t="n"/>
      <c r="M521" s="116" t="n"/>
      <c r="N521" s="116" t="n"/>
      <c r="P521" s="116" t="n"/>
      <c r="Q521" s="116" t="n"/>
    </row>
    <row r="522" ht="15" customHeight="1" s="117">
      <c r="H522" s="116" t="n"/>
      <c r="I522" s="116" t="n"/>
      <c r="J522" s="116" t="n"/>
      <c r="K522" s="116" t="n"/>
      <c r="L522" s="116" t="n"/>
      <c r="M522" s="116" t="n"/>
      <c r="N522" s="116" t="n"/>
      <c r="P522" s="116" t="n"/>
      <c r="Q522" s="116" t="n"/>
    </row>
    <row r="523" ht="15" customHeight="1" s="117">
      <c r="H523" s="116" t="n"/>
      <c r="I523" s="116" t="n"/>
      <c r="J523" s="116" t="n"/>
      <c r="K523" s="116" t="n"/>
      <c r="L523" s="116" t="n"/>
      <c r="M523" s="116" t="n"/>
      <c r="N523" s="116" t="n"/>
      <c r="P523" s="116" t="n"/>
      <c r="Q523" s="116" t="n"/>
    </row>
    <row r="524" ht="15" customHeight="1" s="117">
      <c r="H524" s="116" t="n"/>
      <c r="I524" s="116" t="n"/>
      <c r="J524" s="116" t="n"/>
      <c r="K524" s="116" t="n"/>
      <c r="L524" s="116" t="n"/>
      <c r="M524" s="116" t="n"/>
      <c r="N524" s="116" t="n"/>
      <c r="P524" s="116" t="n"/>
      <c r="Q524" s="116" t="n"/>
    </row>
    <row r="525" ht="15" customHeight="1" s="117">
      <c r="H525" s="116" t="n"/>
      <c r="I525" s="116" t="n"/>
      <c r="J525" s="116" t="n"/>
      <c r="K525" s="116" t="n"/>
      <c r="L525" s="116" t="n"/>
      <c r="M525" s="116" t="n"/>
      <c r="N525" s="116" t="n"/>
      <c r="P525" s="116" t="n"/>
      <c r="Q525" s="116" t="n"/>
    </row>
    <row r="526" ht="15" customHeight="1" s="117">
      <c r="H526" s="116" t="n"/>
      <c r="I526" s="116" t="n"/>
      <c r="J526" s="116" t="n"/>
      <c r="K526" s="116" t="n"/>
      <c r="L526" s="116" t="n"/>
      <c r="M526" s="116" t="n"/>
      <c r="N526" s="116" t="n"/>
      <c r="P526" s="116" t="n"/>
      <c r="Q526" s="116" t="n"/>
    </row>
    <row r="527" ht="15" customHeight="1" s="117">
      <c r="H527" s="116" t="n"/>
      <c r="I527" s="116" t="n"/>
      <c r="J527" s="116" t="n"/>
      <c r="K527" s="116" t="n"/>
      <c r="L527" s="116" t="n"/>
      <c r="M527" s="116" t="n"/>
      <c r="N527" s="116" t="n"/>
      <c r="P527" s="116" t="n"/>
      <c r="Q527" s="116" t="n"/>
    </row>
    <row r="528" ht="15" customHeight="1" s="117">
      <c r="H528" s="116" t="n"/>
      <c r="I528" s="116" t="n"/>
      <c r="J528" s="116" t="n"/>
      <c r="K528" s="116" t="n"/>
      <c r="L528" s="116" t="n"/>
      <c r="M528" s="116" t="n"/>
      <c r="N528" s="116" t="n"/>
      <c r="P528" s="116" t="n"/>
      <c r="Q528" s="116" t="n"/>
    </row>
    <row r="529" ht="15" customHeight="1" s="117">
      <c r="H529" s="116" t="n"/>
      <c r="I529" s="116" t="n"/>
      <c r="J529" s="116" t="n"/>
      <c r="K529" s="116" t="n"/>
      <c r="L529" s="116" t="n"/>
      <c r="M529" s="116" t="n"/>
      <c r="N529" s="116" t="n"/>
      <c r="P529" s="116" t="n"/>
      <c r="Q529" s="116" t="n"/>
    </row>
    <row r="530" ht="15" customHeight="1" s="117">
      <c r="H530" s="116" t="n"/>
      <c r="I530" s="116" t="n"/>
      <c r="J530" s="116" t="n"/>
      <c r="K530" s="116" t="n"/>
      <c r="L530" s="116" t="n"/>
      <c r="M530" s="116" t="n"/>
      <c r="N530" s="116" t="n"/>
      <c r="P530" s="116" t="n"/>
      <c r="Q530" s="116" t="n"/>
    </row>
    <row r="531" ht="15" customHeight="1" s="117">
      <c r="H531" s="116" t="n"/>
      <c r="I531" s="116" t="n"/>
      <c r="J531" s="116" t="n"/>
      <c r="K531" s="116" t="n"/>
      <c r="L531" s="116" t="n"/>
      <c r="M531" s="116" t="n"/>
      <c r="N531" s="116" t="n"/>
      <c r="P531" s="116" t="n"/>
      <c r="Q531" s="116" t="n"/>
    </row>
    <row r="532" ht="15" customHeight="1" s="117">
      <c r="H532" s="116" t="n"/>
      <c r="I532" s="116" t="n"/>
      <c r="J532" s="116" t="n"/>
      <c r="K532" s="116" t="n"/>
      <c r="L532" s="116" t="n"/>
      <c r="M532" s="116" t="n"/>
      <c r="N532" s="116" t="n"/>
      <c r="P532" s="116" t="n"/>
      <c r="Q532" s="116" t="n"/>
    </row>
    <row r="533" ht="15" customHeight="1" s="117">
      <c r="H533" s="116" t="n"/>
      <c r="I533" s="116" t="n"/>
      <c r="J533" s="116" t="n"/>
      <c r="K533" s="116" t="n"/>
      <c r="L533" s="116" t="n"/>
      <c r="M533" s="116" t="n"/>
      <c r="N533" s="116" t="n"/>
      <c r="P533" s="116" t="n"/>
      <c r="Q533" s="116" t="n"/>
    </row>
    <row r="534" ht="15" customHeight="1" s="117">
      <c r="H534" s="116" t="n"/>
      <c r="I534" s="116" t="n"/>
      <c r="J534" s="116" t="n"/>
      <c r="K534" s="116" t="n"/>
      <c r="L534" s="116" t="n"/>
      <c r="M534" s="116" t="n"/>
      <c r="N534" s="116" t="n"/>
      <c r="P534" s="116" t="n"/>
      <c r="Q534" s="116" t="n"/>
    </row>
    <row r="535" ht="15" customHeight="1" s="117">
      <c r="H535" s="116" t="n"/>
      <c r="I535" s="116" t="n"/>
      <c r="J535" s="116" t="n"/>
      <c r="K535" s="116" t="n"/>
      <c r="L535" s="116" t="n"/>
      <c r="M535" s="116" t="n"/>
      <c r="N535" s="116" t="n"/>
      <c r="P535" s="116" t="n"/>
      <c r="Q535" s="116" t="n"/>
    </row>
    <row r="536" ht="15" customHeight="1" s="117">
      <c r="H536" s="116" t="n"/>
      <c r="I536" s="116" t="n"/>
      <c r="J536" s="116" t="n"/>
      <c r="K536" s="116" t="n"/>
      <c r="L536" s="116" t="n"/>
      <c r="M536" s="116" t="n"/>
      <c r="N536" s="116" t="n"/>
      <c r="P536" s="116" t="n"/>
      <c r="Q536" s="116" t="n"/>
    </row>
    <row r="537" ht="15" customHeight="1" s="117">
      <c r="H537" s="116" t="n"/>
      <c r="I537" s="116" t="n"/>
      <c r="J537" s="116" t="n"/>
      <c r="K537" s="116" t="n"/>
      <c r="L537" s="116" t="n"/>
      <c r="M537" s="116" t="n"/>
      <c r="N537" s="116" t="n"/>
      <c r="P537" s="116" t="n"/>
      <c r="Q537" s="116" t="n"/>
    </row>
    <row r="538" ht="15" customHeight="1" s="117">
      <c r="H538" s="116" t="n"/>
      <c r="I538" s="116" t="n"/>
      <c r="J538" s="116" t="n"/>
      <c r="K538" s="116" t="n"/>
      <c r="L538" s="116" t="n"/>
      <c r="M538" s="116" t="n"/>
      <c r="N538" s="116" t="n"/>
      <c r="P538" s="116" t="n"/>
      <c r="Q538" s="116" t="n"/>
    </row>
    <row r="539" ht="15" customHeight="1" s="117">
      <c r="H539" s="116" t="n"/>
      <c r="I539" s="116" t="n"/>
      <c r="J539" s="116" t="n"/>
      <c r="K539" s="116" t="n"/>
      <c r="L539" s="116" t="n"/>
      <c r="M539" s="116" t="n"/>
      <c r="N539" s="116" t="n"/>
      <c r="P539" s="116" t="n"/>
      <c r="Q539" s="116" t="n"/>
    </row>
    <row r="540" ht="15" customHeight="1" s="117">
      <c r="H540" s="116" t="n"/>
      <c r="I540" s="116" t="n"/>
      <c r="J540" s="116" t="n"/>
      <c r="K540" s="116" t="n"/>
      <c r="L540" s="116" t="n"/>
      <c r="M540" s="116" t="n"/>
      <c r="N540" s="116" t="n"/>
      <c r="P540" s="116" t="n"/>
      <c r="Q540" s="116" t="n"/>
    </row>
    <row r="541" ht="15" customHeight="1" s="117">
      <c r="H541" s="116" t="n"/>
      <c r="I541" s="116" t="n"/>
      <c r="J541" s="116" t="n"/>
      <c r="K541" s="116" t="n"/>
      <c r="L541" s="116" t="n"/>
      <c r="M541" s="116" t="n"/>
      <c r="N541" s="116" t="n"/>
      <c r="P541" s="116" t="n"/>
      <c r="Q541" s="116" t="n"/>
    </row>
    <row r="542" ht="15" customHeight="1" s="117">
      <c r="H542" s="116" t="n"/>
      <c r="I542" s="116" t="n"/>
      <c r="J542" s="116" t="n"/>
      <c r="K542" s="116" t="n"/>
      <c r="L542" s="116" t="n"/>
      <c r="M542" s="116" t="n"/>
      <c r="N542" s="116" t="n"/>
      <c r="P542" s="116" t="n"/>
      <c r="Q542" s="116" t="n"/>
    </row>
    <row r="543" ht="15" customHeight="1" s="117">
      <c r="H543" s="116" t="n"/>
      <c r="I543" s="116" t="n"/>
      <c r="J543" s="116" t="n"/>
      <c r="K543" s="116" t="n"/>
      <c r="L543" s="116" t="n"/>
      <c r="M543" s="116" t="n"/>
      <c r="N543" s="116" t="n"/>
      <c r="P543" s="116" t="n"/>
      <c r="Q543" s="116" t="n"/>
    </row>
    <row r="544" ht="15" customHeight="1" s="117">
      <c r="H544" s="116" t="n"/>
      <c r="I544" s="116" t="n"/>
      <c r="J544" s="116" t="n"/>
      <c r="K544" s="116" t="n"/>
      <c r="L544" s="116" t="n"/>
      <c r="M544" s="116" t="n"/>
      <c r="N544" s="116" t="n"/>
      <c r="P544" s="116" t="n"/>
      <c r="Q544" s="116" t="n"/>
    </row>
    <row r="545" ht="15" customHeight="1" s="117">
      <c r="H545" s="116" t="n"/>
      <c r="I545" s="116" t="n"/>
      <c r="J545" s="116" t="n"/>
      <c r="K545" s="116" t="n"/>
      <c r="L545" s="116" t="n"/>
      <c r="M545" s="116" t="n"/>
      <c r="N545" s="116" t="n"/>
      <c r="P545" s="116" t="n"/>
      <c r="Q545" s="116" t="n"/>
    </row>
    <row r="546" ht="15" customHeight="1" s="117">
      <c r="H546" s="116" t="n"/>
      <c r="I546" s="116" t="n"/>
      <c r="J546" s="116" t="n"/>
      <c r="K546" s="116" t="n"/>
      <c r="L546" s="116" t="n"/>
      <c r="M546" s="116" t="n"/>
      <c r="N546" s="116" t="n"/>
      <c r="P546" s="116" t="n"/>
      <c r="Q546" s="116" t="n"/>
    </row>
    <row r="547" ht="15" customHeight="1" s="117">
      <c r="H547" s="116" t="n"/>
      <c r="I547" s="116" t="n"/>
      <c r="J547" s="116" t="n"/>
      <c r="K547" s="116" t="n"/>
      <c r="L547" s="116" t="n"/>
      <c r="M547" s="116" t="n"/>
      <c r="N547" s="116" t="n"/>
      <c r="P547" s="116" t="n"/>
      <c r="Q547" s="116" t="n"/>
    </row>
    <row r="548" ht="15" customHeight="1" s="117">
      <c r="H548" s="116" t="n"/>
      <c r="I548" s="116" t="n"/>
      <c r="J548" s="116" t="n"/>
      <c r="K548" s="116" t="n"/>
      <c r="L548" s="116" t="n"/>
      <c r="M548" s="116" t="n"/>
      <c r="N548" s="116" t="n"/>
      <c r="P548" s="116" t="n"/>
      <c r="Q548" s="116" t="n"/>
    </row>
    <row r="549" ht="15" customHeight="1" s="117">
      <c r="H549" s="116" t="n"/>
      <c r="I549" s="116" t="n"/>
      <c r="J549" s="116" t="n"/>
      <c r="K549" s="116" t="n"/>
      <c r="L549" s="116" t="n"/>
      <c r="M549" s="116" t="n"/>
      <c r="N549" s="116" t="n"/>
      <c r="P549" s="116" t="n"/>
      <c r="Q549" s="116" t="n"/>
    </row>
    <row r="550" ht="15" customHeight="1" s="117">
      <c r="H550" s="116" t="n"/>
      <c r="I550" s="116" t="n"/>
      <c r="J550" s="116" t="n"/>
      <c r="K550" s="116" t="n"/>
      <c r="L550" s="116" t="n"/>
      <c r="M550" s="116" t="n"/>
      <c r="N550" s="116" t="n"/>
      <c r="P550" s="116" t="n"/>
      <c r="Q550" s="116" t="n"/>
    </row>
    <row r="551" ht="15" customHeight="1" s="117">
      <c r="H551" s="116" t="n"/>
      <c r="I551" s="116" t="n"/>
      <c r="J551" s="116" t="n"/>
      <c r="K551" s="116" t="n"/>
      <c r="L551" s="116" t="n"/>
      <c r="M551" s="116" t="n"/>
      <c r="N551" s="116" t="n"/>
      <c r="P551" s="116" t="n"/>
      <c r="Q551" s="116" t="n"/>
    </row>
    <row r="552" ht="15" customHeight="1" s="117">
      <c r="H552" s="116" t="n"/>
      <c r="I552" s="116" t="n"/>
      <c r="J552" s="116" t="n"/>
      <c r="K552" s="116" t="n"/>
      <c r="L552" s="116" t="n"/>
      <c r="M552" s="116" t="n"/>
      <c r="N552" s="116" t="n"/>
      <c r="P552" s="116" t="n"/>
      <c r="Q552" s="116" t="n"/>
    </row>
    <row r="553" ht="15" customHeight="1" s="117">
      <c r="H553" s="116" t="n"/>
      <c r="I553" s="116" t="n"/>
      <c r="J553" s="116" t="n"/>
      <c r="K553" s="116" t="n"/>
      <c r="L553" s="116" t="n"/>
      <c r="M553" s="116" t="n"/>
      <c r="N553" s="116" t="n"/>
      <c r="P553" s="116" t="n"/>
      <c r="Q553" s="116" t="n"/>
    </row>
    <row r="554" ht="15" customHeight="1" s="117">
      <c r="H554" s="116" t="n"/>
      <c r="I554" s="116" t="n"/>
      <c r="J554" s="116" t="n"/>
      <c r="K554" s="116" t="n"/>
      <c r="L554" s="116" t="n"/>
      <c r="M554" s="116" t="n"/>
      <c r="N554" s="116" t="n"/>
      <c r="P554" s="116" t="n"/>
      <c r="Q554" s="116" t="n"/>
    </row>
    <row r="555" ht="15" customHeight="1" s="117">
      <c r="H555" s="116" t="n"/>
      <c r="I555" s="116" t="n"/>
      <c r="J555" s="116" t="n"/>
      <c r="K555" s="116" t="n"/>
      <c r="L555" s="116" t="n"/>
      <c r="M555" s="116" t="n"/>
      <c r="N555" s="116" t="n"/>
      <c r="P555" s="116" t="n"/>
      <c r="Q555" s="116" t="n"/>
    </row>
    <row r="556" ht="15" customHeight="1" s="117">
      <c r="H556" s="116" t="n"/>
      <c r="I556" s="116" t="n"/>
      <c r="J556" s="116" t="n"/>
      <c r="K556" s="116" t="n"/>
      <c r="L556" s="116" t="n"/>
      <c r="M556" s="116" t="n"/>
      <c r="N556" s="116" t="n"/>
      <c r="P556" s="116" t="n"/>
      <c r="Q556" s="116" t="n"/>
    </row>
    <row r="557" ht="15" customHeight="1" s="117">
      <c r="H557" s="116" t="n"/>
      <c r="I557" s="116" t="n"/>
      <c r="J557" s="116" t="n"/>
      <c r="K557" s="116" t="n"/>
      <c r="L557" s="116" t="n"/>
      <c r="M557" s="116" t="n"/>
      <c r="N557" s="116" t="n"/>
      <c r="P557" s="116" t="n"/>
      <c r="Q557" s="116" t="n"/>
    </row>
    <row r="558" ht="15" customHeight="1" s="117">
      <c r="H558" s="116" t="n"/>
      <c r="I558" s="116" t="n"/>
      <c r="J558" s="116" t="n"/>
      <c r="K558" s="116" t="n"/>
      <c r="L558" s="116" t="n"/>
      <c r="M558" s="116" t="n"/>
      <c r="N558" s="116" t="n"/>
      <c r="P558" s="116" t="n"/>
      <c r="Q558" s="116" t="n"/>
    </row>
    <row r="559" ht="15" customHeight="1" s="117">
      <c r="H559" s="116" t="n"/>
      <c r="I559" s="116" t="n"/>
      <c r="J559" s="116" t="n"/>
      <c r="K559" s="116" t="n"/>
      <c r="L559" s="116" t="n"/>
      <c r="M559" s="116" t="n"/>
      <c r="N559" s="116" t="n"/>
      <c r="P559" s="116" t="n"/>
      <c r="Q559" s="116" t="n"/>
    </row>
    <row r="560" ht="15" customHeight="1" s="117">
      <c r="H560" s="116" t="n"/>
      <c r="I560" s="116" t="n"/>
      <c r="J560" s="116" t="n"/>
      <c r="K560" s="116" t="n"/>
      <c r="L560" s="116" t="n"/>
      <c r="M560" s="116" t="n"/>
      <c r="N560" s="116" t="n"/>
      <c r="P560" s="116" t="n"/>
      <c r="Q560" s="116" t="n"/>
    </row>
    <row r="561" ht="15" customHeight="1" s="117">
      <c r="H561" s="116" t="n"/>
      <c r="I561" s="116" t="n"/>
      <c r="J561" s="116" t="n"/>
      <c r="K561" s="116" t="n"/>
      <c r="L561" s="116" t="n"/>
      <c r="M561" s="116" t="n"/>
      <c r="N561" s="116" t="n"/>
      <c r="P561" s="116" t="n"/>
      <c r="Q561" s="116" t="n"/>
    </row>
    <row r="562" ht="15" customHeight="1" s="117">
      <c r="H562" s="116" t="n"/>
      <c r="I562" s="116" t="n"/>
      <c r="J562" s="116" t="n"/>
      <c r="K562" s="116" t="n"/>
      <c r="L562" s="116" t="n"/>
      <c r="M562" s="116" t="n"/>
      <c r="N562" s="116" t="n"/>
      <c r="P562" s="116" t="n"/>
      <c r="Q562" s="116" t="n"/>
    </row>
    <row r="563" ht="15" customHeight="1" s="117">
      <c r="H563" s="116" t="n"/>
      <c r="I563" s="116" t="n"/>
      <c r="J563" s="116" t="n"/>
      <c r="K563" s="116" t="n"/>
      <c r="L563" s="116" t="n"/>
      <c r="M563" s="116" t="n"/>
      <c r="N563" s="116" t="n"/>
      <c r="P563" s="116" t="n"/>
      <c r="Q563" s="116" t="n"/>
    </row>
    <row r="564" ht="15" customHeight="1" s="117">
      <c r="H564" s="116" t="n"/>
      <c r="I564" s="116" t="n"/>
      <c r="J564" s="116" t="n"/>
      <c r="K564" s="116" t="n"/>
      <c r="L564" s="116" t="n"/>
      <c r="M564" s="116" t="n"/>
      <c r="N564" s="116" t="n"/>
      <c r="P564" s="116" t="n"/>
      <c r="Q564" s="116" t="n"/>
    </row>
    <row r="565" ht="15" customHeight="1" s="117">
      <c r="H565" s="116" t="n"/>
      <c r="I565" s="116" t="n"/>
      <c r="J565" s="116" t="n"/>
      <c r="K565" s="116" t="n"/>
      <c r="L565" s="116" t="n"/>
      <c r="M565" s="116" t="n"/>
      <c r="N565" s="116" t="n"/>
      <c r="P565" s="116" t="n"/>
      <c r="Q565" s="116" t="n"/>
    </row>
    <row r="566" ht="15" customHeight="1" s="117">
      <c r="H566" s="116" t="n"/>
      <c r="I566" s="116" t="n"/>
      <c r="J566" s="116" t="n"/>
      <c r="K566" s="116" t="n"/>
      <c r="L566" s="116" t="n"/>
      <c r="M566" s="116" t="n"/>
      <c r="N566" s="116" t="n"/>
      <c r="P566" s="116" t="n"/>
      <c r="Q566" s="116" t="n"/>
    </row>
    <row r="567" ht="15" customHeight="1" s="117">
      <c r="H567" s="116" t="n"/>
      <c r="I567" s="116" t="n"/>
      <c r="J567" s="116" t="n"/>
      <c r="K567" s="116" t="n"/>
      <c r="L567" s="116" t="n"/>
      <c r="M567" s="116" t="n"/>
      <c r="N567" s="116" t="n"/>
      <c r="P567" s="116" t="n"/>
      <c r="Q567" s="116" t="n"/>
    </row>
    <row r="568" ht="15" customHeight="1" s="117">
      <c r="H568" s="116" t="n"/>
      <c r="I568" s="116" t="n"/>
      <c r="J568" s="116" t="n"/>
      <c r="K568" s="116" t="n"/>
      <c r="L568" s="116" t="n"/>
      <c r="M568" s="116" t="n"/>
      <c r="N568" s="116" t="n"/>
      <c r="P568" s="116" t="n"/>
      <c r="Q568" s="116" t="n"/>
    </row>
    <row r="569" ht="15" customHeight="1" s="117">
      <c r="H569" s="116" t="n"/>
      <c r="I569" s="116" t="n"/>
      <c r="J569" s="116" t="n"/>
      <c r="K569" s="116" t="n"/>
      <c r="L569" s="116" t="n"/>
      <c r="M569" s="116" t="n"/>
      <c r="N569" s="116" t="n"/>
      <c r="P569" s="116" t="n"/>
      <c r="Q569" s="116" t="n"/>
    </row>
    <row r="570" ht="15" customHeight="1" s="117">
      <c r="H570" s="116" t="n"/>
      <c r="I570" s="116" t="n"/>
      <c r="J570" s="116" t="n"/>
      <c r="K570" s="116" t="n"/>
      <c r="L570" s="116" t="n"/>
      <c r="M570" s="116" t="n"/>
      <c r="N570" s="116" t="n"/>
      <c r="P570" s="116" t="n"/>
      <c r="Q570" s="116" t="n"/>
    </row>
    <row r="571" ht="15" customHeight="1" s="117">
      <c r="H571" s="116" t="n"/>
      <c r="I571" s="116" t="n"/>
      <c r="J571" s="116" t="n"/>
      <c r="K571" s="116" t="n"/>
      <c r="L571" s="116" t="n"/>
      <c r="M571" s="116" t="n"/>
      <c r="N571" s="116" t="n"/>
      <c r="P571" s="116" t="n"/>
      <c r="Q571" s="116" t="n"/>
    </row>
    <row r="572" ht="15" customHeight="1" s="117">
      <c r="H572" s="116" t="n"/>
      <c r="I572" s="116" t="n"/>
      <c r="J572" s="116" t="n"/>
      <c r="K572" s="116" t="n"/>
      <c r="L572" s="116" t="n"/>
      <c r="M572" s="116" t="n"/>
      <c r="N572" s="116" t="n"/>
      <c r="P572" s="116" t="n"/>
      <c r="Q572" s="116" t="n"/>
    </row>
    <row r="573" ht="15" customHeight="1" s="117">
      <c r="H573" s="116" t="n"/>
      <c r="I573" s="116" t="n"/>
      <c r="J573" s="116" t="n"/>
      <c r="K573" s="116" t="n"/>
      <c r="L573" s="116" t="n"/>
      <c r="M573" s="116" t="n"/>
      <c r="N573" s="116" t="n"/>
      <c r="P573" s="116" t="n"/>
      <c r="Q573" s="116" t="n"/>
    </row>
    <row r="574" ht="15" customHeight="1" s="117">
      <c r="H574" s="116" t="n"/>
      <c r="I574" s="116" t="n"/>
      <c r="J574" s="116" t="n"/>
      <c r="K574" s="116" t="n"/>
      <c r="L574" s="116" t="n"/>
      <c r="M574" s="116" t="n"/>
      <c r="N574" s="116" t="n"/>
      <c r="P574" s="116" t="n"/>
      <c r="Q574" s="116" t="n"/>
    </row>
    <row r="575" ht="15" customHeight="1" s="117">
      <c r="H575" s="116" t="n"/>
      <c r="I575" s="116" t="n"/>
      <c r="J575" s="116" t="n"/>
      <c r="K575" s="116" t="n"/>
      <c r="L575" s="116" t="n"/>
      <c r="M575" s="116" t="n"/>
      <c r="N575" s="116" t="n"/>
      <c r="P575" s="116" t="n"/>
      <c r="Q575" s="116" t="n"/>
    </row>
    <row r="576" ht="15" customHeight="1" s="117">
      <c r="H576" s="116" t="n"/>
      <c r="I576" s="116" t="n"/>
      <c r="J576" s="116" t="n"/>
      <c r="K576" s="116" t="n"/>
      <c r="L576" s="116" t="n"/>
      <c r="M576" s="116" t="n"/>
      <c r="N576" s="116" t="n"/>
      <c r="P576" s="116" t="n"/>
      <c r="Q576" s="116" t="n"/>
    </row>
    <row r="577" ht="15" customHeight="1" s="117">
      <c r="H577" s="116" t="n"/>
      <c r="I577" s="116" t="n"/>
      <c r="J577" s="116" t="n"/>
      <c r="K577" s="116" t="n"/>
      <c r="L577" s="116" t="n"/>
      <c r="M577" s="116" t="n"/>
      <c r="N577" s="116" t="n"/>
      <c r="P577" s="116" t="n"/>
      <c r="Q577" s="116" t="n"/>
    </row>
    <row r="578" ht="15" customHeight="1" s="117">
      <c r="H578" s="116" t="n"/>
      <c r="I578" s="116" t="n"/>
      <c r="J578" s="116" t="n"/>
      <c r="K578" s="116" t="n"/>
      <c r="L578" s="116" t="n"/>
      <c r="M578" s="116" t="n"/>
      <c r="N578" s="116" t="n"/>
      <c r="P578" s="116" t="n"/>
      <c r="Q578" s="116" t="n"/>
    </row>
    <row r="579" ht="15" customHeight="1" s="117">
      <c r="H579" s="116" t="n"/>
      <c r="I579" s="116" t="n"/>
      <c r="J579" s="116" t="n"/>
      <c r="K579" s="116" t="n"/>
      <c r="L579" s="116" t="n"/>
      <c r="M579" s="116" t="n"/>
      <c r="N579" s="116" t="n"/>
      <c r="P579" s="116" t="n"/>
      <c r="Q579" s="116" t="n"/>
    </row>
    <row r="580" ht="15" customHeight="1" s="117">
      <c r="H580" s="116" t="n"/>
      <c r="I580" s="116" t="n"/>
      <c r="J580" s="116" t="n"/>
      <c r="K580" s="116" t="n"/>
      <c r="L580" s="116" t="n"/>
      <c r="M580" s="116" t="n"/>
      <c r="N580" s="116" t="n"/>
      <c r="P580" s="116" t="n"/>
      <c r="Q580" s="116" t="n"/>
    </row>
    <row r="581" ht="15" customHeight="1" s="117">
      <c r="H581" s="116" t="n"/>
      <c r="I581" s="116" t="n"/>
      <c r="J581" s="116" t="n"/>
      <c r="K581" s="116" t="n"/>
      <c r="L581" s="116" t="n"/>
      <c r="M581" s="116" t="n"/>
      <c r="N581" s="116" t="n"/>
      <c r="P581" s="116" t="n"/>
      <c r="Q581" s="116" t="n"/>
    </row>
    <row r="582" ht="15" customHeight="1" s="117">
      <c r="H582" s="116" t="n"/>
      <c r="I582" s="116" t="n"/>
      <c r="J582" s="116" t="n"/>
      <c r="K582" s="116" t="n"/>
      <c r="L582" s="116" t="n"/>
      <c r="M582" s="116" t="n"/>
      <c r="N582" s="116" t="n"/>
      <c r="P582" s="116" t="n"/>
      <c r="Q582" s="116" t="n"/>
    </row>
    <row r="583" ht="15" customHeight="1" s="117">
      <c r="H583" s="116" t="n"/>
      <c r="I583" s="116" t="n"/>
      <c r="J583" s="116" t="n"/>
      <c r="K583" s="116" t="n"/>
      <c r="L583" s="116" t="n"/>
      <c r="M583" s="116" t="n"/>
      <c r="N583" s="116" t="n"/>
      <c r="P583" s="116" t="n"/>
      <c r="Q583" s="116" t="n"/>
    </row>
    <row r="584" ht="15" customHeight="1" s="117">
      <c r="H584" s="116" t="n"/>
      <c r="I584" s="116" t="n"/>
      <c r="J584" s="116" t="n"/>
      <c r="K584" s="116" t="n"/>
      <c r="L584" s="116" t="n"/>
      <c r="M584" s="116" t="n"/>
      <c r="N584" s="116" t="n"/>
      <c r="P584" s="116" t="n"/>
      <c r="Q584" s="116" t="n"/>
    </row>
    <row r="585" ht="15" customHeight="1" s="117">
      <c r="H585" s="116" t="n"/>
      <c r="I585" s="116" t="n"/>
      <c r="J585" s="116" t="n"/>
      <c r="K585" s="116" t="n"/>
      <c r="L585" s="116" t="n"/>
      <c r="M585" s="116" t="n"/>
      <c r="N585" s="116" t="n"/>
      <c r="P585" s="116" t="n"/>
      <c r="Q585" s="116" t="n"/>
    </row>
    <row r="586" ht="15" customHeight="1" s="117">
      <c r="H586" s="116" t="n"/>
      <c r="I586" s="116" t="n"/>
      <c r="J586" s="116" t="n"/>
      <c r="K586" s="116" t="n"/>
      <c r="L586" s="116" t="n"/>
      <c r="M586" s="116" t="n"/>
      <c r="N586" s="116" t="n"/>
      <c r="P586" s="116" t="n"/>
      <c r="Q586" s="116" t="n"/>
    </row>
    <row r="587" ht="15" customHeight="1" s="117">
      <c r="H587" s="116" t="n"/>
      <c r="I587" s="116" t="n"/>
      <c r="J587" s="116" t="n"/>
      <c r="K587" s="116" t="n"/>
      <c r="L587" s="116" t="n"/>
      <c r="M587" s="116" t="n"/>
      <c r="N587" s="116" t="n"/>
      <c r="P587" s="116" t="n"/>
      <c r="Q587" s="116" t="n"/>
    </row>
    <row r="588" ht="15" customHeight="1" s="117">
      <c r="H588" s="116" t="n"/>
      <c r="I588" s="116" t="n"/>
      <c r="J588" s="116" t="n"/>
      <c r="K588" s="116" t="n"/>
      <c r="L588" s="116" t="n"/>
      <c r="M588" s="116" t="n"/>
      <c r="N588" s="116" t="n"/>
      <c r="P588" s="116" t="n"/>
      <c r="Q588" s="116" t="n"/>
    </row>
    <row r="589" ht="15" customHeight="1" s="117">
      <c r="H589" s="116" t="n"/>
      <c r="I589" s="116" t="n"/>
      <c r="J589" s="116" t="n"/>
      <c r="K589" s="116" t="n"/>
      <c r="L589" s="116" t="n"/>
      <c r="M589" s="116" t="n"/>
      <c r="N589" s="116" t="n"/>
      <c r="P589" s="116" t="n"/>
      <c r="Q589" s="116" t="n"/>
    </row>
    <row r="590" ht="15" customHeight="1" s="117">
      <c r="H590" s="116" t="n"/>
      <c r="I590" s="116" t="n"/>
      <c r="J590" s="116" t="n"/>
      <c r="K590" s="116" t="n"/>
      <c r="L590" s="116" t="n"/>
      <c r="M590" s="116" t="n"/>
      <c r="N590" s="116" t="n"/>
      <c r="P590" s="116" t="n"/>
      <c r="Q590" s="116" t="n"/>
    </row>
    <row r="591" ht="15" customHeight="1" s="117">
      <c r="H591" s="116" t="n"/>
      <c r="I591" s="116" t="n"/>
      <c r="J591" s="116" t="n"/>
      <c r="K591" s="116" t="n"/>
      <c r="L591" s="116" t="n"/>
      <c r="M591" s="116" t="n"/>
      <c r="N591" s="116" t="n"/>
      <c r="P591" s="116" t="n"/>
      <c r="Q591" s="116" t="n"/>
    </row>
    <row r="592" ht="15" customHeight="1" s="117">
      <c r="H592" s="116" t="n"/>
      <c r="I592" s="116" t="n"/>
      <c r="J592" s="116" t="n"/>
      <c r="K592" s="116" t="n"/>
      <c r="L592" s="116" t="n"/>
      <c r="M592" s="116" t="n"/>
      <c r="N592" s="116" t="n"/>
      <c r="P592" s="116" t="n"/>
      <c r="Q592" s="116" t="n"/>
    </row>
    <row r="593" ht="15" customHeight="1" s="117">
      <c r="H593" s="116" t="n"/>
      <c r="I593" s="116" t="n"/>
      <c r="J593" s="116" t="n"/>
      <c r="K593" s="116" t="n"/>
      <c r="L593" s="116" t="n"/>
      <c r="M593" s="116" t="n"/>
      <c r="N593" s="116" t="n"/>
      <c r="P593" s="116" t="n"/>
      <c r="Q593" s="116" t="n"/>
    </row>
    <row r="594" ht="15" customHeight="1" s="117">
      <c r="H594" s="116" t="n"/>
      <c r="I594" s="116" t="n"/>
      <c r="J594" s="116" t="n"/>
      <c r="K594" s="116" t="n"/>
      <c r="L594" s="116" t="n"/>
      <c r="M594" s="116" t="n"/>
      <c r="N594" s="116" t="n"/>
      <c r="P594" s="116" t="n"/>
      <c r="Q594" s="116" t="n"/>
    </row>
    <row r="595" ht="15" customHeight="1" s="117">
      <c r="H595" s="116" t="n"/>
      <c r="I595" s="116" t="n"/>
      <c r="J595" s="116" t="n"/>
      <c r="K595" s="116" t="n"/>
      <c r="L595" s="116" t="n"/>
      <c r="M595" s="116" t="n"/>
      <c r="N595" s="116" t="n"/>
      <c r="P595" s="116" t="n"/>
      <c r="Q595" s="116" t="n"/>
    </row>
    <row r="596" ht="15" customHeight="1" s="117">
      <c r="H596" s="116" t="n"/>
      <c r="I596" s="116" t="n"/>
      <c r="J596" s="116" t="n"/>
      <c r="K596" s="116" t="n"/>
      <c r="L596" s="116" t="n"/>
      <c r="M596" s="116" t="n"/>
      <c r="N596" s="116" t="n"/>
      <c r="P596" s="116" t="n"/>
      <c r="Q596" s="116" t="n"/>
    </row>
    <row r="597" ht="15" customHeight="1" s="117">
      <c r="H597" s="116" t="n"/>
      <c r="I597" s="116" t="n"/>
      <c r="J597" s="116" t="n"/>
      <c r="K597" s="116" t="n"/>
      <c r="L597" s="116" t="n"/>
      <c r="M597" s="116" t="n"/>
      <c r="N597" s="116" t="n"/>
      <c r="P597" s="116" t="n"/>
      <c r="Q597" s="116" t="n"/>
    </row>
    <row r="598" ht="15" customHeight="1" s="117">
      <c r="H598" s="116" t="n"/>
      <c r="I598" s="116" t="n"/>
      <c r="J598" s="116" t="n"/>
      <c r="K598" s="116" t="n"/>
      <c r="L598" s="116" t="n"/>
      <c r="M598" s="116" t="n"/>
      <c r="N598" s="116" t="n"/>
      <c r="P598" s="116" t="n"/>
      <c r="Q598" s="116" t="n"/>
    </row>
    <row r="599" ht="15" customHeight="1" s="117">
      <c r="H599" s="116" t="n"/>
      <c r="I599" s="116" t="n"/>
      <c r="J599" s="116" t="n"/>
      <c r="K599" s="116" t="n"/>
      <c r="L599" s="116" t="n"/>
      <c r="M599" s="116" t="n"/>
      <c r="N599" s="116" t="n"/>
      <c r="P599" s="116" t="n"/>
      <c r="Q599" s="116" t="n"/>
    </row>
    <row r="600" ht="15" customHeight="1" s="117">
      <c r="H600" s="116" t="n"/>
      <c r="I600" s="116" t="n"/>
      <c r="J600" s="116" t="n"/>
      <c r="K600" s="116" t="n"/>
      <c r="L600" s="116" t="n"/>
      <c r="M600" s="116" t="n"/>
      <c r="N600" s="116" t="n"/>
      <c r="P600" s="116" t="n"/>
      <c r="Q600" s="116" t="n"/>
    </row>
    <row r="601" ht="15" customHeight="1" s="117">
      <c r="H601" s="116" t="n"/>
      <c r="I601" s="116" t="n"/>
      <c r="J601" s="116" t="n"/>
      <c r="K601" s="116" t="n"/>
      <c r="L601" s="116" t="n"/>
      <c r="M601" s="116" t="n"/>
      <c r="N601" s="116" t="n"/>
      <c r="P601" s="116" t="n"/>
      <c r="Q601" s="116" t="n"/>
    </row>
    <row r="602" ht="15" customHeight="1" s="117">
      <c r="H602" s="116" t="n"/>
      <c r="I602" s="116" t="n"/>
      <c r="J602" s="116" t="n"/>
      <c r="K602" s="116" t="n"/>
      <c r="L602" s="116" t="n"/>
      <c r="M602" s="116" t="n"/>
      <c r="N602" s="116" t="n"/>
      <c r="P602" s="116" t="n"/>
      <c r="Q602" s="116" t="n"/>
    </row>
    <row r="603" ht="15" customHeight="1" s="117">
      <c r="H603" s="116" t="n"/>
      <c r="I603" s="116" t="n"/>
      <c r="J603" s="116" t="n"/>
      <c r="K603" s="116" t="n"/>
      <c r="L603" s="116" t="n"/>
      <c r="M603" s="116" t="n"/>
      <c r="N603" s="116" t="n"/>
      <c r="P603" s="116" t="n"/>
      <c r="Q603" s="116" t="n"/>
    </row>
    <row r="604" ht="15" customHeight="1" s="117">
      <c r="H604" s="116" t="n"/>
      <c r="I604" s="116" t="n"/>
      <c r="J604" s="116" t="n"/>
      <c r="K604" s="116" t="n"/>
      <c r="L604" s="116" t="n"/>
      <c r="M604" s="116" t="n"/>
      <c r="N604" s="116" t="n"/>
      <c r="P604" s="116" t="n"/>
      <c r="Q604" s="116" t="n"/>
    </row>
    <row r="605" ht="15" customHeight="1" s="117">
      <c r="H605" s="116" t="n"/>
      <c r="I605" s="116" t="n"/>
      <c r="J605" s="116" t="n"/>
      <c r="K605" s="116" t="n"/>
      <c r="L605" s="116" t="n"/>
      <c r="M605" s="116" t="n"/>
      <c r="N605" s="116" t="n"/>
      <c r="P605" s="116" t="n"/>
      <c r="Q605" s="116" t="n"/>
    </row>
    <row r="606" ht="15" customHeight="1" s="117">
      <c r="H606" s="116" t="n"/>
      <c r="I606" s="116" t="n"/>
      <c r="J606" s="116" t="n"/>
      <c r="K606" s="116" t="n"/>
      <c r="L606" s="116" t="n"/>
      <c r="M606" s="116" t="n"/>
      <c r="N606" s="116" t="n"/>
      <c r="P606" s="116" t="n"/>
      <c r="Q606" s="116" t="n"/>
    </row>
    <row r="607" ht="15" customHeight="1" s="117">
      <c r="H607" s="116" t="n"/>
      <c r="I607" s="116" t="n"/>
      <c r="J607" s="116" t="n"/>
      <c r="K607" s="116" t="n"/>
      <c r="L607" s="116" t="n"/>
      <c r="M607" s="116" t="n"/>
      <c r="N607" s="116" t="n"/>
      <c r="P607" s="116" t="n"/>
      <c r="Q607" s="116" t="n"/>
    </row>
    <row r="608" ht="15" customHeight="1" s="117">
      <c r="H608" s="116" t="n"/>
      <c r="I608" s="116" t="n"/>
      <c r="J608" s="116" t="n"/>
      <c r="K608" s="116" t="n"/>
      <c r="L608" s="116" t="n"/>
      <c r="M608" s="116" t="n"/>
      <c r="N608" s="116" t="n"/>
      <c r="P608" s="116" t="n"/>
      <c r="Q608" s="116" t="n"/>
    </row>
    <row r="609" ht="15" customHeight="1" s="117">
      <c r="H609" s="116" t="n"/>
      <c r="I609" s="116" t="n"/>
      <c r="J609" s="116" t="n"/>
      <c r="K609" s="116" t="n"/>
      <c r="L609" s="116" t="n"/>
      <c r="M609" s="116" t="n"/>
      <c r="N609" s="116" t="n"/>
      <c r="P609" s="116" t="n"/>
      <c r="Q609" s="116" t="n"/>
    </row>
    <row r="610" ht="15" customHeight="1" s="117">
      <c r="H610" s="116" t="n"/>
      <c r="I610" s="116" t="n"/>
      <c r="J610" s="116" t="n"/>
      <c r="K610" s="116" t="n"/>
      <c r="L610" s="116" t="n"/>
      <c r="M610" s="116" t="n"/>
      <c r="N610" s="116" t="n"/>
      <c r="P610" s="116" t="n"/>
      <c r="Q610" s="116" t="n"/>
    </row>
    <row r="611" ht="15" customHeight="1" s="117">
      <c r="H611" s="116" t="n"/>
      <c r="I611" s="116" t="n"/>
      <c r="J611" s="116" t="n"/>
      <c r="K611" s="116" t="n"/>
      <c r="L611" s="116" t="n"/>
      <c r="M611" s="116" t="n"/>
      <c r="N611" s="116" t="n"/>
      <c r="P611" s="116" t="n"/>
      <c r="Q611" s="116" t="n"/>
    </row>
    <row r="612" ht="15" customHeight="1" s="117">
      <c r="H612" s="116" t="n"/>
      <c r="I612" s="116" t="n"/>
      <c r="J612" s="116" t="n"/>
      <c r="K612" s="116" t="n"/>
      <c r="L612" s="116" t="n"/>
      <c r="M612" s="116" t="n"/>
      <c r="N612" s="116" t="n"/>
      <c r="P612" s="116" t="n"/>
      <c r="Q612" s="116" t="n"/>
    </row>
    <row r="613" ht="15" customHeight="1" s="117">
      <c r="H613" s="116" t="n"/>
      <c r="I613" s="116" t="n"/>
      <c r="J613" s="116" t="n"/>
      <c r="K613" s="116" t="n"/>
      <c r="L613" s="116" t="n"/>
      <c r="M613" s="116" t="n"/>
      <c r="N613" s="116" t="n"/>
      <c r="P613" s="116" t="n"/>
      <c r="Q613" s="116" t="n"/>
    </row>
    <row r="614" ht="15" customHeight="1" s="117">
      <c r="H614" s="116" t="n"/>
      <c r="I614" s="116" t="n"/>
      <c r="J614" s="116" t="n"/>
      <c r="K614" s="116" t="n"/>
      <c r="L614" s="116" t="n"/>
      <c r="M614" s="116" t="n"/>
      <c r="N614" s="116" t="n"/>
      <c r="P614" s="116" t="n"/>
      <c r="Q614" s="116" t="n"/>
    </row>
    <row r="615" ht="15" customHeight="1" s="117">
      <c r="H615" s="116" t="n"/>
      <c r="I615" s="116" t="n"/>
      <c r="J615" s="116" t="n"/>
      <c r="K615" s="116" t="n"/>
      <c r="L615" s="116" t="n"/>
      <c r="M615" s="116" t="n"/>
      <c r="N615" s="116" t="n"/>
      <c r="P615" s="116" t="n"/>
      <c r="Q615" s="116" t="n"/>
    </row>
    <row r="616" ht="15" customHeight="1" s="117">
      <c r="H616" s="116" t="n"/>
      <c r="I616" s="116" t="n"/>
      <c r="J616" s="116" t="n"/>
      <c r="K616" s="116" t="n"/>
      <c r="L616" s="116" t="n"/>
      <c r="M616" s="116" t="n"/>
      <c r="N616" s="116" t="n"/>
      <c r="P616" s="116" t="n"/>
      <c r="Q616" s="116" t="n"/>
    </row>
    <row r="617" ht="15" customHeight="1" s="117">
      <c r="H617" s="116" t="n"/>
      <c r="I617" s="116" t="n"/>
      <c r="J617" s="116" t="n"/>
      <c r="K617" s="116" t="n"/>
      <c r="L617" s="116" t="n"/>
      <c r="M617" s="116" t="n"/>
      <c r="N617" s="116" t="n"/>
      <c r="P617" s="116" t="n"/>
      <c r="Q617" s="116" t="n"/>
    </row>
    <row r="618" ht="15" customHeight="1" s="117">
      <c r="H618" s="116" t="n"/>
      <c r="I618" s="116" t="n"/>
      <c r="J618" s="116" t="n"/>
      <c r="K618" s="116" t="n"/>
      <c r="L618" s="116" t="n"/>
      <c r="M618" s="116" t="n"/>
      <c r="N618" s="116" t="n"/>
      <c r="P618" s="116" t="n"/>
      <c r="Q618" s="116" t="n"/>
    </row>
    <row r="619" ht="15" customHeight="1" s="117">
      <c r="H619" s="116" t="n"/>
      <c r="I619" s="116" t="n"/>
      <c r="J619" s="116" t="n"/>
      <c r="K619" s="116" t="n"/>
      <c r="L619" s="116" t="n"/>
      <c r="M619" s="116" t="n"/>
      <c r="N619" s="116" t="n"/>
      <c r="P619" s="116" t="n"/>
      <c r="Q619" s="116" t="n"/>
    </row>
    <row r="620" ht="15" customHeight="1" s="117">
      <c r="H620" s="116" t="n"/>
      <c r="I620" s="116" t="n"/>
      <c r="J620" s="116" t="n"/>
      <c r="K620" s="116" t="n"/>
      <c r="L620" s="116" t="n"/>
      <c r="M620" s="116" t="n"/>
      <c r="N620" s="116" t="n"/>
      <c r="P620" s="116" t="n"/>
      <c r="Q620" s="116" t="n"/>
    </row>
    <row r="621" ht="15" customHeight="1" s="117">
      <c r="H621" s="116" t="n"/>
      <c r="I621" s="116" t="n"/>
      <c r="J621" s="116" t="n"/>
      <c r="K621" s="116" t="n"/>
      <c r="L621" s="116" t="n"/>
      <c r="M621" s="116" t="n"/>
      <c r="N621" s="116" t="n"/>
      <c r="P621" s="116" t="n"/>
      <c r="Q621" s="116" t="n"/>
    </row>
    <row r="622" ht="15" customHeight="1" s="117">
      <c r="H622" s="116" t="n"/>
      <c r="I622" s="116" t="n"/>
      <c r="J622" s="116" t="n"/>
      <c r="K622" s="116" t="n"/>
      <c r="L622" s="116" t="n"/>
      <c r="M622" s="116" t="n"/>
      <c r="N622" s="116" t="n"/>
      <c r="P622" s="116" t="n"/>
      <c r="Q622" s="116" t="n"/>
    </row>
    <row r="623" ht="15" customHeight="1" s="117">
      <c r="H623" s="116" t="n"/>
      <c r="I623" s="116" t="n"/>
      <c r="J623" s="116" t="n"/>
      <c r="K623" s="116" t="n"/>
      <c r="L623" s="116" t="n"/>
      <c r="M623" s="116" t="n"/>
      <c r="N623" s="116" t="n"/>
      <c r="P623" s="116" t="n"/>
      <c r="Q623" s="116" t="n"/>
    </row>
    <row r="624" ht="15" customHeight="1" s="117">
      <c r="H624" s="116" t="n"/>
      <c r="I624" s="116" t="n"/>
      <c r="J624" s="116" t="n"/>
      <c r="K624" s="116" t="n"/>
      <c r="L624" s="116" t="n"/>
      <c r="M624" s="116" t="n"/>
      <c r="N624" s="116" t="n"/>
      <c r="P624" s="116" t="n"/>
      <c r="Q624" s="116" t="n"/>
    </row>
    <row r="625" ht="15" customHeight="1" s="117">
      <c r="H625" s="116" t="n"/>
      <c r="I625" s="116" t="n"/>
      <c r="J625" s="116" t="n"/>
      <c r="K625" s="116" t="n"/>
      <c r="L625" s="116" t="n"/>
      <c r="M625" s="116" t="n"/>
      <c r="N625" s="116" t="n"/>
      <c r="P625" s="116" t="n"/>
      <c r="Q625" s="116" t="n"/>
    </row>
    <row r="626" ht="15" customHeight="1" s="117">
      <c r="H626" s="116" t="n"/>
      <c r="I626" s="116" t="n"/>
      <c r="J626" s="116" t="n"/>
      <c r="K626" s="116" t="n"/>
      <c r="L626" s="116" t="n"/>
      <c r="M626" s="116" t="n"/>
      <c r="N626" s="116" t="n"/>
      <c r="P626" s="116" t="n"/>
      <c r="Q626" s="116" t="n"/>
    </row>
    <row r="627" ht="15" customHeight="1" s="117">
      <c r="H627" s="116" t="n"/>
      <c r="I627" s="116" t="n"/>
      <c r="J627" s="116" t="n"/>
      <c r="K627" s="116" t="n"/>
      <c r="L627" s="116" t="n"/>
      <c r="M627" s="116" t="n"/>
      <c r="N627" s="116" t="n"/>
      <c r="P627" s="116" t="n"/>
      <c r="Q627" s="116" t="n"/>
    </row>
    <row r="628" ht="15" customHeight="1" s="117">
      <c r="H628" s="116" t="n"/>
      <c r="I628" s="116" t="n"/>
      <c r="J628" s="116" t="n"/>
      <c r="K628" s="116" t="n"/>
      <c r="L628" s="116" t="n"/>
      <c r="M628" s="116" t="n"/>
      <c r="N628" s="116" t="n"/>
      <c r="P628" s="116" t="n"/>
      <c r="Q628" s="116" t="n"/>
    </row>
    <row r="629" ht="15" customHeight="1" s="117">
      <c r="H629" s="116" t="n"/>
      <c r="I629" s="116" t="n"/>
      <c r="J629" s="116" t="n"/>
      <c r="K629" s="116" t="n"/>
      <c r="L629" s="116" t="n"/>
      <c r="M629" s="116" t="n"/>
      <c r="N629" s="116" t="n"/>
      <c r="P629" s="116" t="n"/>
      <c r="Q629" s="116" t="n"/>
    </row>
    <row r="630" ht="15" customHeight="1" s="117">
      <c r="H630" s="116" t="n"/>
      <c r="I630" s="116" t="n"/>
      <c r="J630" s="116" t="n"/>
      <c r="K630" s="116" t="n"/>
      <c r="L630" s="116" t="n"/>
      <c r="M630" s="116" t="n"/>
      <c r="N630" s="116" t="n"/>
      <c r="P630" s="116" t="n"/>
      <c r="Q630" s="116" t="n"/>
    </row>
    <row r="631" ht="15" customHeight="1" s="117">
      <c r="H631" s="116" t="n"/>
      <c r="I631" s="116" t="n"/>
      <c r="J631" s="116" t="n"/>
      <c r="K631" s="116" t="n"/>
      <c r="L631" s="116" t="n"/>
      <c r="M631" s="116" t="n"/>
      <c r="N631" s="116" t="n"/>
      <c r="P631" s="116" t="n"/>
      <c r="Q631" s="116" t="n"/>
    </row>
    <row r="632" ht="15" customHeight="1" s="117">
      <c r="H632" s="116" t="n"/>
      <c r="I632" s="116" t="n"/>
      <c r="J632" s="116" t="n"/>
      <c r="K632" s="116" t="n"/>
      <c r="L632" s="116" t="n"/>
      <c r="M632" s="116" t="n"/>
      <c r="N632" s="116" t="n"/>
      <c r="P632" s="116" t="n"/>
      <c r="Q632" s="116" t="n"/>
    </row>
    <row r="633" ht="15" customHeight="1" s="117">
      <c r="H633" s="116" t="n"/>
      <c r="I633" s="116" t="n"/>
      <c r="J633" s="116" t="n"/>
      <c r="K633" s="116" t="n"/>
      <c r="L633" s="116" t="n"/>
      <c r="M633" s="116" t="n"/>
      <c r="N633" s="116" t="n"/>
      <c r="P633" s="116" t="n"/>
      <c r="Q633" s="116" t="n"/>
    </row>
    <row r="634" ht="15" customHeight="1" s="117">
      <c r="H634" s="116" t="n"/>
      <c r="I634" s="116" t="n"/>
      <c r="J634" s="116" t="n"/>
      <c r="K634" s="116" t="n"/>
      <c r="L634" s="116" t="n"/>
      <c r="M634" s="116" t="n"/>
      <c r="N634" s="116" t="n"/>
      <c r="P634" s="116" t="n"/>
      <c r="Q634" s="116" t="n"/>
    </row>
    <row r="635" ht="15" customHeight="1" s="117">
      <c r="H635" s="116" t="n"/>
      <c r="I635" s="116" t="n"/>
      <c r="J635" s="116" t="n"/>
      <c r="K635" s="116" t="n"/>
      <c r="L635" s="116" t="n"/>
      <c r="M635" s="116" t="n"/>
      <c r="N635" s="116" t="n"/>
      <c r="P635" s="116" t="n"/>
      <c r="Q635" s="116" t="n"/>
    </row>
    <row r="636" ht="15" customHeight="1" s="117">
      <c r="H636" s="116" t="n"/>
      <c r="I636" s="116" t="n"/>
      <c r="J636" s="116" t="n"/>
      <c r="K636" s="116" t="n"/>
      <c r="L636" s="116" t="n"/>
      <c r="M636" s="116" t="n"/>
      <c r="N636" s="116" t="n"/>
      <c r="P636" s="116" t="n"/>
      <c r="Q636" s="116" t="n"/>
    </row>
    <row r="637" ht="15" customHeight="1" s="117">
      <c r="H637" s="116" t="n"/>
      <c r="I637" s="116" t="n"/>
      <c r="J637" s="116" t="n"/>
      <c r="K637" s="116" t="n"/>
      <c r="L637" s="116" t="n"/>
      <c r="M637" s="116" t="n"/>
      <c r="N637" s="116" t="n"/>
      <c r="P637" s="116" t="n"/>
      <c r="Q637" s="116" t="n"/>
    </row>
    <row r="638" ht="15" customHeight="1" s="117">
      <c r="H638" s="116" t="n"/>
      <c r="I638" s="116" t="n"/>
      <c r="J638" s="116" t="n"/>
      <c r="K638" s="116" t="n"/>
      <c r="L638" s="116" t="n"/>
      <c r="M638" s="116" t="n"/>
      <c r="N638" s="116" t="n"/>
      <c r="P638" s="116" t="n"/>
      <c r="Q638" s="116" t="n"/>
    </row>
    <row r="639" ht="15" customHeight="1" s="117">
      <c r="H639" s="116" t="n"/>
      <c r="I639" s="116" t="n"/>
      <c r="J639" s="116" t="n"/>
      <c r="K639" s="116" t="n"/>
      <c r="L639" s="116" t="n"/>
      <c r="M639" s="116" t="n"/>
      <c r="N639" s="116" t="n"/>
      <c r="P639" s="116" t="n"/>
      <c r="Q639" s="116" t="n"/>
    </row>
    <row r="640" ht="15" customHeight="1" s="117">
      <c r="H640" s="116" t="n"/>
      <c r="I640" s="116" t="n"/>
      <c r="J640" s="116" t="n"/>
      <c r="K640" s="116" t="n"/>
      <c r="L640" s="116" t="n"/>
      <c r="M640" s="116" t="n"/>
      <c r="N640" s="116" t="n"/>
      <c r="P640" s="116" t="n"/>
      <c r="Q640" s="116" t="n"/>
    </row>
    <row r="641" ht="15" customHeight="1" s="117">
      <c r="H641" s="116" t="n"/>
      <c r="I641" s="116" t="n"/>
      <c r="J641" s="116" t="n"/>
      <c r="K641" s="116" t="n"/>
      <c r="L641" s="116" t="n"/>
      <c r="M641" s="116" t="n"/>
      <c r="N641" s="116" t="n"/>
      <c r="P641" s="116" t="n"/>
      <c r="Q641" s="116" t="n"/>
    </row>
    <row r="642" ht="15" customHeight="1" s="117">
      <c r="H642" s="116" t="n"/>
      <c r="I642" s="116" t="n"/>
      <c r="J642" s="116" t="n"/>
      <c r="K642" s="116" t="n"/>
      <c r="L642" s="116" t="n"/>
      <c r="M642" s="116" t="n"/>
      <c r="N642" s="116" t="n"/>
      <c r="P642" s="116" t="n"/>
      <c r="Q642" s="116" t="n"/>
    </row>
    <row r="643" ht="15" customHeight="1" s="117">
      <c r="H643" s="116" t="n"/>
      <c r="I643" s="116" t="n"/>
      <c r="J643" s="116" t="n"/>
      <c r="K643" s="116" t="n"/>
      <c r="L643" s="116" t="n"/>
      <c r="M643" s="116" t="n"/>
      <c r="N643" s="116" t="n"/>
      <c r="P643" s="116" t="n"/>
      <c r="Q643" s="116" t="n"/>
    </row>
    <row r="644" ht="15" customHeight="1" s="117">
      <c r="H644" s="116" t="n"/>
      <c r="I644" s="116" t="n"/>
      <c r="J644" s="116" t="n"/>
      <c r="K644" s="116" t="n"/>
      <c r="L644" s="116" t="n"/>
      <c r="M644" s="116" t="n"/>
      <c r="N644" s="116" t="n"/>
      <c r="P644" s="116" t="n"/>
      <c r="Q644" s="116" t="n"/>
    </row>
    <row r="645" ht="15" customHeight="1" s="117">
      <c r="H645" s="116" t="n"/>
      <c r="I645" s="116" t="n"/>
      <c r="J645" s="116" t="n"/>
      <c r="K645" s="116" t="n"/>
      <c r="L645" s="116" t="n"/>
      <c r="M645" s="116" t="n"/>
      <c r="N645" s="116" t="n"/>
      <c r="P645" s="116" t="n"/>
      <c r="Q645" s="116" t="n"/>
    </row>
    <row r="646" ht="15" customHeight="1" s="117">
      <c r="H646" s="116" t="n"/>
      <c r="I646" s="116" t="n"/>
      <c r="J646" s="116" t="n"/>
      <c r="K646" s="116" t="n"/>
      <c r="L646" s="116" t="n"/>
      <c r="M646" s="116" t="n"/>
      <c r="N646" s="116" t="n"/>
      <c r="P646" s="116" t="n"/>
      <c r="Q646" s="116" t="n"/>
    </row>
    <row r="647" ht="15" customHeight="1" s="117">
      <c r="H647" s="116" t="n"/>
      <c r="I647" s="116" t="n"/>
      <c r="J647" s="116" t="n"/>
      <c r="K647" s="116" t="n"/>
      <c r="L647" s="116" t="n"/>
      <c r="M647" s="116" t="n"/>
      <c r="N647" s="116" t="n"/>
      <c r="P647" s="116" t="n"/>
      <c r="Q647" s="116" t="n"/>
    </row>
    <row r="648" ht="15" customHeight="1" s="117">
      <c r="H648" s="116" t="n"/>
      <c r="I648" s="116" t="n"/>
      <c r="J648" s="116" t="n"/>
      <c r="K648" s="116" t="n"/>
      <c r="L648" s="116" t="n"/>
      <c r="M648" s="116" t="n"/>
      <c r="N648" s="116" t="n"/>
      <c r="P648" s="116" t="n"/>
      <c r="Q648" s="116" t="n"/>
    </row>
    <row r="649" ht="15" customHeight="1" s="117">
      <c r="H649" s="116" t="n"/>
      <c r="I649" s="116" t="n"/>
      <c r="J649" s="116" t="n"/>
      <c r="K649" s="116" t="n"/>
      <c r="L649" s="116" t="n"/>
      <c r="M649" s="116" t="n"/>
      <c r="N649" s="116" t="n"/>
      <c r="P649" s="116" t="n"/>
      <c r="Q649" s="116" t="n"/>
    </row>
    <row r="650" ht="15" customHeight="1" s="117">
      <c r="H650" s="116" t="n"/>
      <c r="I650" s="116" t="n"/>
      <c r="J650" s="116" t="n"/>
      <c r="K650" s="116" t="n"/>
      <c r="L650" s="116" t="n"/>
      <c r="M650" s="116" t="n"/>
      <c r="N650" s="116" t="n"/>
      <c r="P650" s="116" t="n"/>
      <c r="Q650" s="116" t="n"/>
    </row>
    <row r="651" ht="15" customHeight="1" s="117">
      <c r="H651" s="116" t="n"/>
      <c r="I651" s="116" t="n"/>
      <c r="J651" s="116" t="n"/>
      <c r="K651" s="116" t="n"/>
      <c r="L651" s="116" t="n"/>
      <c r="M651" s="116" t="n"/>
      <c r="N651" s="116" t="n"/>
      <c r="P651" s="116" t="n"/>
      <c r="Q651" s="116" t="n"/>
    </row>
    <row r="652" ht="15" customHeight="1" s="117">
      <c r="H652" s="116" t="n"/>
      <c r="I652" s="116" t="n"/>
      <c r="J652" s="116" t="n"/>
      <c r="K652" s="116" t="n"/>
      <c r="L652" s="116" t="n"/>
      <c r="M652" s="116" t="n"/>
      <c r="N652" s="116" t="n"/>
      <c r="P652" s="116" t="n"/>
      <c r="Q652" s="116" t="n"/>
    </row>
    <row r="653" ht="15" customHeight="1" s="117">
      <c r="H653" s="116" t="n"/>
      <c r="I653" s="116" t="n"/>
      <c r="J653" s="116" t="n"/>
      <c r="K653" s="116" t="n"/>
      <c r="L653" s="116" t="n"/>
      <c r="M653" s="116" t="n"/>
      <c r="N653" s="116" t="n"/>
      <c r="P653" s="116" t="n"/>
      <c r="Q653" s="116" t="n"/>
    </row>
    <row r="654" ht="15" customHeight="1" s="117">
      <c r="H654" s="116" t="n"/>
      <c r="I654" s="116" t="n"/>
      <c r="J654" s="116" t="n"/>
      <c r="K654" s="116" t="n"/>
      <c r="L654" s="116" t="n"/>
      <c r="M654" s="116" t="n"/>
      <c r="N654" s="116" t="n"/>
      <c r="P654" s="116" t="n"/>
      <c r="Q654" s="116" t="n"/>
    </row>
    <row r="655" ht="15" customHeight="1" s="117">
      <c r="H655" s="116" t="n"/>
      <c r="I655" s="116" t="n"/>
      <c r="J655" s="116" t="n"/>
      <c r="K655" s="116" t="n"/>
      <c r="L655" s="116" t="n"/>
      <c r="M655" s="116" t="n"/>
      <c r="N655" s="116" t="n"/>
      <c r="P655" s="116" t="n"/>
      <c r="Q655" s="116" t="n"/>
    </row>
    <row r="656" ht="15" customHeight="1" s="117">
      <c r="H656" s="116" t="n"/>
      <c r="I656" s="116" t="n"/>
      <c r="J656" s="116" t="n"/>
      <c r="K656" s="116" t="n"/>
      <c r="L656" s="116" t="n"/>
      <c r="M656" s="116" t="n"/>
      <c r="N656" s="116" t="n"/>
      <c r="P656" s="116" t="n"/>
      <c r="Q656" s="116" t="n"/>
    </row>
    <row r="657" ht="15" customHeight="1" s="117">
      <c r="H657" s="116" t="n"/>
      <c r="I657" s="116" t="n"/>
      <c r="J657" s="116" t="n"/>
      <c r="K657" s="116" t="n"/>
      <c r="L657" s="116" t="n"/>
      <c r="M657" s="116" t="n"/>
      <c r="N657" s="116" t="n"/>
      <c r="P657" s="116" t="n"/>
      <c r="Q657" s="116" t="n"/>
    </row>
    <row r="658" ht="15" customHeight="1" s="117">
      <c r="H658" s="116" t="n"/>
      <c r="I658" s="116" t="n"/>
      <c r="J658" s="116" t="n"/>
      <c r="K658" s="116" t="n"/>
      <c r="L658" s="116" t="n"/>
      <c r="M658" s="116" t="n"/>
      <c r="N658" s="116" t="n"/>
      <c r="P658" s="116" t="n"/>
      <c r="Q658" s="116" t="n"/>
    </row>
    <row r="659" ht="15" customHeight="1" s="117">
      <c r="H659" s="116" t="n"/>
      <c r="I659" s="116" t="n"/>
      <c r="J659" s="116" t="n"/>
      <c r="K659" s="116" t="n"/>
      <c r="L659" s="116" t="n"/>
      <c r="M659" s="116" t="n"/>
      <c r="N659" s="116" t="n"/>
      <c r="P659" s="116" t="n"/>
      <c r="Q659" s="116" t="n"/>
    </row>
    <row r="660" ht="15" customHeight="1" s="117">
      <c r="H660" s="116" t="n"/>
      <c r="I660" s="116" t="n"/>
      <c r="J660" s="116" t="n"/>
      <c r="K660" s="116" t="n"/>
      <c r="L660" s="116" t="n"/>
      <c r="M660" s="116" t="n"/>
      <c r="N660" s="116" t="n"/>
      <c r="P660" s="116" t="n"/>
      <c r="Q660" s="116" t="n"/>
    </row>
    <row r="661" ht="15" customHeight="1" s="117">
      <c r="H661" s="116" t="n"/>
      <c r="I661" s="116" t="n"/>
      <c r="J661" s="116" t="n"/>
      <c r="K661" s="116" t="n"/>
      <c r="L661" s="116" t="n"/>
      <c r="M661" s="116" t="n"/>
      <c r="N661" s="116" t="n"/>
      <c r="P661" s="116" t="n"/>
      <c r="Q661" s="116" t="n"/>
    </row>
    <row r="662" ht="15" customHeight="1" s="117">
      <c r="H662" s="116" t="n"/>
      <c r="I662" s="116" t="n"/>
      <c r="J662" s="116" t="n"/>
      <c r="K662" s="116" t="n"/>
      <c r="L662" s="116" t="n"/>
      <c r="M662" s="116" t="n"/>
      <c r="N662" s="116" t="n"/>
      <c r="P662" s="116" t="n"/>
      <c r="Q662" s="116" t="n"/>
    </row>
    <row r="663" ht="15" customHeight="1" s="117">
      <c r="H663" s="116" t="n"/>
      <c r="I663" s="116" t="n"/>
      <c r="J663" s="116" t="n"/>
      <c r="K663" s="116" t="n"/>
      <c r="L663" s="116" t="n"/>
      <c r="M663" s="116" t="n"/>
      <c r="N663" s="116" t="n"/>
      <c r="P663" s="116" t="n"/>
      <c r="Q663" s="116" t="n"/>
    </row>
    <row r="664" ht="15" customHeight="1" s="117">
      <c r="H664" s="116" t="n"/>
      <c r="I664" s="116" t="n"/>
      <c r="J664" s="116" t="n"/>
      <c r="K664" s="116" t="n"/>
      <c r="L664" s="116" t="n"/>
      <c r="M664" s="116" t="n"/>
      <c r="N664" s="116" t="n"/>
      <c r="P664" s="116" t="n"/>
      <c r="Q664" s="116" t="n"/>
    </row>
    <row r="665" ht="15" customHeight="1" s="117">
      <c r="H665" s="116" t="n"/>
      <c r="I665" s="116" t="n"/>
      <c r="J665" s="116" t="n"/>
      <c r="K665" s="116" t="n"/>
      <c r="L665" s="116" t="n"/>
      <c r="M665" s="116" t="n"/>
      <c r="N665" s="116" t="n"/>
      <c r="P665" s="116" t="n"/>
      <c r="Q665" s="116" t="n"/>
    </row>
    <row r="666" ht="15" customHeight="1" s="117">
      <c r="H666" s="116" t="n"/>
      <c r="I666" s="116" t="n"/>
      <c r="J666" s="116" t="n"/>
      <c r="K666" s="116" t="n"/>
      <c r="L666" s="116" t="n"/>
      <c r="M666" s="116" t="n"/>
      <c r="N666" s="116" t="n"/>
      <c r="P666" s="116" t="n"/>
      <c r="Q666" s="116" t="n"/>
    </row>
    <row r="667" ht="15" customHeight="1" s="117">
      <c r="H667" s="116" t="n"/>
      <c r="I667" s="116" t="n"/>
      <c r="J667" s="116" t="n"/>
      <c r="K667" s="116" t="n"/>
      <c r="L667" s="116" t="n"/>
      <c r="M667" s="116" t="n"/>
      <c r="N667" s="116" t="n"/>
      <c r="P667" s="116" t="n"/>
      <c r="Q667" s="116" t="n"/>
    </row>
    <row r="668" ht="15" customHeight="1" s="117">
      <c r="H668" s="116" t="n"/>
      <c r="I668" s="116" t="n"/>
      <c r="J668" s="116" t="n"/>
      <c r="K668" s="116" t="n"/>
      <c r="L668" s="116" t="n"/>
      <c r="M668" s="116" t="n"/>
      <c r="N668" s="116" t="n"/>
      <c r="P668" s="116" t="n"/>
      <c r="Q668" s="116" t="n"/>
    </row>
    <row r="669" ht="15" customHeight="1" s="117">
      <c r="H669" s="116" t="n"/>
      <c r="I669" s="116" t="n"/>
      <c r="J669" s="116" t="n"/>
      <c r="K669" s="116" t="n"/>
      <c r="L669" s="116" t="n"/>
      <c r="M669" s="116" t="n"/>
      <c r="N669" s="116" t="n"/>
      <c r="P669" s="116" t="n"/>
      <c r="Q669" s="116" t="n"/>
    </row>
    <row r="670" ht="15" customHeight="1" s="117">
      <c r="H670" s="116" t="n"/>
      <c r="I670" s="116" t="n"/>
      <c r="J670" s="116" t="n"/>
      <c r="K670" s="116" t="n"/>
      <c r="L670" s="116" t="n"/>
      <c r="M670" s="116" t="n"/>
      <c r="N670" s="116" t="n"/>
      <c r="P670" s="116" t="n"/>
      <c r="Q670" s="116" t="n"/>
    </row>
    <row r="671" ht="15" customHeight="1" s="117">
      <c r="H671" s="116" t="n"/>
      <c r="I671" s="116" t="n"/>
      <c r="J671" s="116" t="n"/>
      <c r="K671" s="116" t="n"/>
      <c r="L671" s="116" t="n"/>
      <c r="M671" s="116" t="n"/>
      <c r="N671" s="116" t="n"/>
      <c r="P671" s="116" t="n"/>
      <c r="Q671" s="116" t="n"/>
    </row>
    <row r="672" ht="15" customHeight="1" s="117">
      <c r="H672" s="116" t="n"/>
      <c r="I672" s="116" t="n"/>
      <c r="J672" s="116" t="n"/>
      <c r="K672" s="116" t="n"/>
      <c r="L672" s="116" t="n"/>
      <c r="M672" s="116" t="n"/>
      <c r="N672" s="116" t="n"/>
      <c r="P672" s="116" t="n"/>
      <c r="Q672" s="116" t="n"/>
    </row>
    <row r="673" ht="15" customHeight="1" s="117">
      <c r="H673" s="116" t="n"/>
      <c r="I673" s="116" t="n"/>
      <c r="J673" s="116" t="n"/>
      <c r="K673" s="116" t="n"/>
      <c r="L673" s="116" t="n"/>
      <c r="M673" s="116" t="n"/>
      <c r="N673" s="116" t="n"/>
      <c r="P673" s="116" t="n"/>
      <c r="Q673" s="116" t="n"/>
    </row>
    <row r="674" ht="15" customHeight="1" s="117">
      <c r="H674" s="116" t="n"/>
      <c r="I674" s="116" t="n"/>
      <c r="J674" s="116" t="n"/>
      <c r="K674" s="116" t="n"/>
      <c r="L674" s="116" t="n"/>
      <c r="M674" s="116" t="n"/>
      <c r="N674" s="116" t="n"/>
      <c r="P674" s="116" t="n"/>
      <c r="Q674" s="116" t="n"/>
    </row>
    <row r="675" ht="15" customHeight="1" s="117">
      <c r="H675" s="116" t="n"/>
      <c r="I675" s="116" t="n"/>
      <c r="J675" s="116" t="n"/>
      <c r="K675" s="116" t="n"/>
      <c r="L675" s="116" t="n"/>
      <c r="M675" s="116" t="n"/>
      <c r="N675" s="116" t="n"/>
      <c r="P675" s="116" t="n"/>
      <c r="Q675" s="116" t="n"/>
    </row>
    <row r="676" ht="15" customHeight="1" s="117">
      <c r="H676" s="116" t="n"/>
      <c r="I676" s="116" t="n"/>
      <c r="J676" s="116" t="n"/>
      <c r="K676" s="116" t="n"/>
      <c r="L676" s="116" t="n"/>
      <c r="M676" s="116" t="n"/>
      <c r="N676" s="116" t="n"/>
      <c r="P676" s="116" t="n"/>
      <c r="Q676" s="116" t="n"/>
    </row>
    <row r="677" ht="15" customHeight="1" s="117">
      <c r="H677" s="116" t="n"/>
      <c r="I677" s="116" t="n"/>
      <c r="J677" s="116" t="n"/>
      <c r="K677" s="116" t="n"/>
      <c r="L677" s="116" t="n"/>
      <c r="M677" s="116" t="n"/>
      <c r="N677" s="116" t="n"/>
      <c r="P677" s="116" t="n"/>
      <c r="Q677" s="116" t="n"/>
    </row>
    <row r="678" ht="15" customHeight="1" s="117">
      <c r="H678" s="116" t="n"/>
      <c r="I678" s="116" t="n"/>
      <c r="J678" s="116" t="n"/>
      <c r="K678" s="116" t="n"/>
      <c r="L678" s="116" t="n"/>
      <c r="M678" s="116" t="n"/>
      <c r="N678" s="116" t="n"/>
      <c r="P678" s="116" t="n"/>
      <c r="Q678" s="116" t="n"/>
    </row>
    <row r="679" ht="15" customHeight="1" s="117">
      <c r="H679" s="116" t="n"/>
      <c r="I679" s="116" t="n"/>
      <c r="J679" s="116" t="n"/>
      <c r="K679" s="116" t="n"/>
      <c r="L679" s="116" t="n"/>
      <c r="M679" s="116" t="n"/>
      <c r="N679" s="116" t="n"/>
      <c r="P679" s="116" t="n"/>
      <c r="Q679" s="116" t="n"/>
    </row>
    <row r="680" ht="15" customHeight="1" s="117">
      <c r="H680" s="116" t="n"/>
      <c r="I680" s="116" t="n"/>
      <c r="J680" s="116" t="n"/>
      <c r="K680" s="116" t="n"/>
      <c r="L680" s="116" t="n"/>
      <c r="M680" s="116" t="n"/>
      <c r="N680" s="116" t="n"/>
      <c r="P680" s="116" t="n"/>
      <c r="Q680" s="116" t="n"/>
    </row>
    <row r="681" ht="15" customHeight="1" s="117">
      <c r="H681" s="116" t="n"/>
      <c r="I681" s="116" t="n"/>
      <c r="J681" s="116" t="n"/>
      <c r="K681" s="116" t="n"/>
      <c r="L681" s="116" t="n"/>
      <c r="M681" s="116" t="n"/>
      <c r="N681" s="116" t="n"/>
      <c r="P681" s="116" t="n"/>
      <c r="Q681" s="116" t="n"/>
    </row>
    <row r="682" ht="15" customHeight="1" s="117">
      <c r="H682" s="116" t="n"/>
      <c r="I682" s="116" t="n"/>
      <c r="J682" s="116" t="n"/>
      <c r="K682" s="116" t="n"/>
      <c r="L682" s="116" t="n"/>
      <c r="M682" s="116" t="n"/>
      <c r="N682" s="116" t="n"/>
      <c r="P682" s="116" t="n"/>
      <c r="Q682" s="116" t="n"/>
    </row>
    <row r="683" ht="15" customHeight="1" s="117">
      <c r="H683" s="116" t="n"/>
      <c r="I683" s="116" t="n"/>
      <c r="J683" s="116" t="n"/>
      <c r="K683" s="116" t="n"/>
      <c r="L683" s="116" t="n"/>
      <c r="M683" s="116" t="n"/>
      <c r="N683" s="116" t="n"/>
      <c r="P683" s="116" t="n"/>
      <c r="Q683" s="116" t="n"/>
    </row>
    <row r="684" ht="15" customHeight="1" s="117">
      <c r="H684" s="116" t="n"/>
      <c r="I684" s="116" t="n"/>
      <c r="J684" s="116" t="n"/>
      <c r="K684" s="116" t="n"/>
      <c r="L684" s="116" t="n"/>
      <c r="M684" s="116" t="n"/>
      <c r="N684" s="116" t="n"/>
      <c r="P684" s="116" t="n"/>
      <c r="Q684" s="116" t="n"/>
    </row>
    <row r="685" ht="15" customHeight="1" s="117">
      <c r="H685" s="116" t="n"/>
      <c r="I685" s="116" t="n"/>
      <c r="J685" s="116" t="n"/>
      <c r="K685" s="116" t="n"/>
      <c r="L685" s="116" t="n"/>
      <c r="M685" s="116" t="n"/>
      <c r="N685" s="116" t="n"/>
      <c r="P685" s="116" t="n"/>
      <c r="Q685" s="116" t="n"/>
    </row>
    <row r="686" ht="15" customHeight="1" s="117">
      <c r="H686" s="116" t="n"/>
      <c r="I686" s="116" t="n"/>
      <c r="J686" s="116" t="n"/>
      <c r="K686" s="116" t="n"/>
      <c r="L686" s="116" t="n"/>
      <c r="M686" s="116" t="n"/>
      <c r="N686" s="116" t="n"/>
      <c r="P686" s="116" t="n"/>
      <c r="Q686" s="116" t="n"/>
    </row>
    <row r="687" ht="15" customHeight="1" s="117">
      <c r="H687" s="116" t="n"/>
      <c r="I687" s="116" t="n"/>
      <c r="J687" s="116" t="n"/>
      <c r="K687" s="116" t="n"/>
      <c r="L687" s="116" t="n"/>
      <c r="M687" s="116" t="n"/>
      <c r="N687" s="116" t="n"/>
      <c r="P687" s="116" t="n"/>
      <c r="Q687" s="116" t="n"/>
    </row>
    <row r="688" ht="15" customHeight="1" s="117">
      <c r="H688" s="116" t="n"/>
      <c r="I688" s="116" t="n"/>
      <c r="J688" s="116" t="n"/>
      <c r="K688" s="116" t="n"/>
      <c r="L688" s="116" t="n"/>
      <c r="M688" s="116" t="n"/>
      <c r="N688" s="116" t="n"/>
      <c r="P688" s="116" t="n"/>
      <c r="Q688" s="116" t="n"/>
    </row>
    <row r="689" ht="15" customHeight="1" s="117">
      <c r="H689" s="116" t="n"/>
      <c r="I689" s="116" t="n"/>
      <c r="J689" s="116" t="n"/>
      <c r="K689" s="116" t="n"/>
      <c r="L689" s="116" t="n"/>
      <c r="M689" s="116" t="n"/>
      <c r="N689" s="116" t="n"/>
      <c r="P689" s="116" t="n"/>
      <c r="Q689" s="116" t="n"/>
    </row>
    <row r="690" ht="15" customHeight="1" s="117">
      <c r="H690" s="116" t="n"/>
      <c r="I690" s="116" t="n"/>
      <c r="J690" s="116" t="n"/>
      <c r="K690" s="116" t="n"/>
      <c r="L690" s="116" t="n"/>
      <c r="M690" s="116" t="n"/>
      <c r="N690" s="116" t="n"/>
      <c r="P690" s="116" t="n"/>
      <c r="Q690" s="116" t="n"/>
    </row>
    <row r="691" ht="15" customHeight="1" s="117">
      <c r="H691" s="116" t="n"/>
      <c r="I691" s="116" t="n"/>
      <c r="J691" s="116" t="n"/>
      <c r="K691" s="116" t="n"/>
      <c r="L691" s="116" t="n"/>
      <c r="M691" s="116" t="n"/>
      <c r="N691" s="116" t="n"/>
      <c r="P691" s="116" t="n"/>
      <c r="Q691" s="116" t="n"/>
    </row>
    <row r="692" ht="15" customHeight="1" s="117">
      <c r="H692" s="116" t="n"/>
      <c r="I692" s="116" t="n"/>
      <c r="J692" s="116" t="n"/>
      <c r="K692" s="116" t="n"/>
      <c r="L692" s="116" t="n"/>
      <c r="M692" s="116" t="n"/>
      <c r="N692" s="116" t="n"/>
      <c r="P692" s="116" t="n"/>
      <c r="Q692" s="116" t="n"/>
    </row>
    <row r="693" ht="15" customHeight="1" s="117">
      <c r="H693" s="116" t="n"/>
      <c r="I693" s="116" t="n"/>
      <c r="J693" s="116" t="n"/>
      <c r="K693" s="116" t="n"/>
      <c r="L693" s="116" t="n"/>
      <c r="M693" s="116" t="n"/>
      <c r="N693" s="116" t="n"/>
      <c r="P693" s="116" t="n"/>
      <c r="Q693" s="116" t="n"/>
    </row>
    <row r="694" ht="15" customHeight="1" s="117">
      <c r="H694" s="116" t="n"/>
      <c r="I694" s="116" t="n"/>
      <c r="J694" s="116" t="n"/>
      <c r="K694" s="116" t="n"/>
      <c r="L694" s="116" t="n"/>
      <c r="M694" s="116" t="n"/>
      <c r="N694" s="116" t="n"/>
      <c r="P694" s="116" t="n"/>
      <c r="Q694" s="116" t="n"/>
    </row>
    <row r="695" ht="15" customHeight="1" s="117">
      <c r="H695" s="116" t="n"/>
      <c r="I695" s="116" t="n"/>
      <c r="J695" s="116" t="n"/>
      <c r="K695" s="116" t="n"/>
      <c r="L695" s="116" t="n"/>
      <c r="M695" s="116" t="n"/>
      <c r="N695" s="116" t="n"/>
      <c r="P695" s="116" t="n"/>
      <c r="Q695" s="116" t="n"/>
    </row>
    <row r="696" ht="15" customHeight="1" s="117">
      <c r="H696" s="116" t="n"/>
      <c r="I696" s="116" t="n"/>
      <c r="J696" s="116" t="n"/>
      <c r="K696" s="116" t="n"/>
      <c r="L696" s="116" t="n"/>
      <c r="M696" s="116" t="n"/>
      <c r="N696" s="116" t="n"/>
      <c r="P696" s="116" t="n"/>
      <c r="Q696" s="116" t="n"/>
    </row>
    <row r="697" ht="15" customHeight="1" s="117">
      <c r="H697" s="116" t="n"/>
      <c r="I697" s="116" t="n"/>
      <c r="J697" s="116" t="n"/>
      <c r="K697" s="116" t="n"/>
      <c r="L697" s="116" t="n"/>
      <c r="M697" s="116" t="n"/>
      <c r="N697" s="116" t="n"/>
      <c r="P697" s="116" t="n"/>
      <c r="Q697" s="116" t="n"/>
    </row>
    <row r="698" ht="15" customHeight="1" s="117">
      <c r="H698" s="116" t="n"/>
      <c r="I698" s="116" t="n"/>
      <c r="J698" s="116" t="n"/>
      <c r="K698" s="116" t="n"/>
      <c r="L698" s="116" t="n"/>
      <c r="M698" s="116" t="n"/>
      <c r="N698" s="116" t="n"/>
      <c r="P698" s="116" t="n"/>
      <c r="Q698" s="116" t="n"/>
    </row>
    <row r="699" ht="15" customHeight="1" s="117">
      <c r="H699" s="116" t="n"/>
      <c r="I699" s="116" t="n"/>
      <c r="J699" s="116" t="n"/>
      <c r="K699" s="116" t="n"/>
      <c r="L699" s="116" t="n"/>
      <c r="M699" s="116" t="n"/>
      <c r="N699" s="116" t="n"/>
      <c r="P699" s="116" t="n"/>
      <c r="Q699" s="116" t="n"/>
    </row>
    <row r="700" ht="15" customHeight="1" s="117">
      <c r="H700" s="116" t="n"/>
      <c r="I700" s="116" t="n"/>
      <c r="J700" s="116" t="n"/>
      <c r="K700" s="116" t="n"/>
      <c r="L700" s="116" t="n"/>
      <c r="M700" s="116" t="n"/>
      <c r="N700" s="116" t="n"/>
      <c r="P700" s="116" t="n"/>
      <c r="Q700" s="116" t="n"/>
    </row>
    <row r="701" ht="15" customHeight="1" s="117">
      <c r="H701" s="116" t="n"/>
      <c r="I701" s="116" t="n"/>
      <c r="J701" s="116" t="n"/>
      <c r="K701" s="116" t="n"/>
      <c r="L701" s="116" t="n"/>
      <c r="M701" s="116" t="n"/>
      <c r="N701" s="116" t="n"/>
      <c r="P701" s="116" t="n"/>
      <c r="Q701" s="116" t="n"/>
    </row>
    <row r="702" ht="15" customHeight="1" s="117">
      <c r="H702" s="116" t="n"/>
      <c r="I702" s="116" t="n"/>
      <c r="J702" s="116" t="n"/>
      <c r="K702" s="116" t="n"/>
      <c r="L702" s="116" t="n"/>
      <c r="M702" s="116" t="n"/>
      <c r="N702" s="116" t="n"/>
      <c r="P702" s="116" t="n"/>
      <c r="Q702" s="116" t="n"/>
    </row>
    <row r="703" ht="15" customHeight="1" s="117">
      <c r="H703" s="116" t="n"/>
      <c r="I703" s="116" t="n"/>
      <c r="J703" s="116" t="n"/>
      <c r="K703" s="116" t="n"/>
      <c r="L703" s="116" t="n"/>
      <c r="M703" s="116" t="n"/>
      <c r="N703" s="116" t="n"/>
      <c r="P703" s="116" t="n"/>
      <c r="Q703" s="116" t="n"/>
    </row>
    <row r="704" ht="15" customHeight="1" s="117">
      <c r="H704" s="116" t="n"/>
      <c r="I704" s="116" t="n"/>
      <c r="J704" s="116" t="n"/>
      <c r="K704" s="116" t="n"/>
      <c r="L704" s="116" t="n"/>
      <c r="M704" s="116" t="n"/>
      <c r="N704" s="116" t="n"/>
      <c r="P704" s="116" t="n"/>
      <c r="Q704" s="116" t="n"/>
    </row>
    <row r="705" ht="15" customHeight="1" s="117">
      <c r="H705" s="116" t="n"/>
      <c r="I705" s="116" t="n"/>
      <c r="J705" s="116" t="n"/>
      <c r="K705" s="116" t="n"/>
      <c r="L705" s="116" t="n"/>
      <c r="M705" s="116" t="n"/>
      <c r="N705" s="116" t="n"/>
      <c r="P705" s="116" t="n"/>
      <c r="Q705" s="116" t="n"/>
    </row>
    <row r="706" ht="15" customHeight="1" s="117">
      <c r="H706" s="116" t="n"/>
      <c r="I706" s="116" t="n"/>
      <c r="J706" s="116" t="n"/>
      <c r="K706" s="116" t="n"/>
      <c r="L706" s="116" t="n"/>
      <c r="M706" s="116" t="n"/>
      <c r="N706" s="116" t="n"/>
      <c r="P706" s="116" t="n"/>
      <c r="Q706" s="116" t="n"/>
    </row>
    <row r="707" ht="15" customHeight="1" s="117">
      <c r="H707" s="116" t="n"/>
      <c r="I707" s="116" t="n"/>
      <c r="J707" s="116" t="n"/>
      <c r="K707" s="116" t="n"/>
      <c r="L707" s="116" t="n"/>
      <c r="M707" s="116" t="n"/>
      <c r="N707" s="116" t="n"/>
      <c r="P707" s="116" t="n"/>
      <c r="Q707" s="116" t="n"/>
    </row>
    <row r="708" ht="15" customHeight="1" s="117">
      <c r="H708" s="116" t="n"/>
      <c r="I708" s="116" t="n"/>
      <c r="J708" s="116" t="n"/>
      <c r="K708" s="116" t="n"/>
      <c r="L708" s="116" t="n"/>
      <c r="M708" s="116" t="n"/>
      <c r="N708" s="116" t="n"/>
      <c r="P708" s="116" t="n"/>
      <c r="Q708" s="116" t="n"/>
    </row>
    <row r="709" ht="15" customHeight="1" s="117">
      <c r="H709" s="116" t="n"/>
      <c r="I709" s="116" t="n"/>
      <c r="J709" s="116" t="n"/>
      <c r="K709" s="116" t="n"/>
      <c r="L709" s="116" t="n"/>
      <c r="M709" s="116" t="n"/>
      <c r="N709" s="116" t="n"/>
      <c r="P709" s="116" t="n"/>
      <c r="Q709" s="116" t="n"/>
    </row>
    <row r="710" ht="15" customHeight="1" s="117">
      <c r="H710" s="116" t="n"/>
      <c r="I710" s="116" t="n"/>
      <c r="J710" s="116" t="n"/>
      <c r="K710" s="116" t="n"/>
      <c r="L710" s="116" t="n"/>
      <c r="M710" s="116" t="n"/>
      <c r="N710" s="116" t="n"/>
      <c r="P710" s="116" t="n"/>
      <c r="Q710" s="116" t="n"/>
    </row>
    <row r="711" ht="15" customHeight="1" s="117">
      <c r="H711" s="116" t="n"/>
      <c r="I711" s="116" t="n"/>
      <c r="J711" s="116" t="n"/>
      <c r="K711" s="116" t="n"/>
      <c r="L711" s="116" t="n"/>
      <c r="M711" s="116" t="n"/>
      <c r="N711" s="116" t="n"/>
      <c r="P711" s="116" t="n"/>
      <c r="Q711" s="116" t="n"/>
    </row>
    <row r="712" ht="15" customHeight="1" s="117">
      <c r="H712" s="116" t="n"/>
      <c r="I712" s="116" t="n"/>
      <c r="J712" s="116" t="n"/>
      <c r="K712" s="116" t="n"/>
      <c r="L712" s="116" t="n"/>
      <c r="M712" s="116" t="n"/>
      <c r="N712" s="116" t="n"/>
      <c r="P712" s="116" t="n"/>
      <c r="Q712" s="116" t="n"/>
    </row>
    <row r="713" ht="15" customHeight="1" s="117">
      <c r="H713" s="116" t="n"/>
      <c r="I713" s="116" t="n"/>
      <c r="J713" s="116" t="n"/>
      <c r="K713" s="116" t="n"/>
      <c r="L713" s="116" t="n"/>
      <c r="M713" s="116" t="n"/>
      <c r="N713" s="116" t="n"/>
      <c r="P713" s="116" t="n"/>
      <c r="Q713" s="116" t="n"/>
    </row>
    <row r="714" ht="15" customHeight="1" s="117">
      <c r="H714" s="116" t="n"/>
      <c r="I714" s="116" t="n"/>
      <c r="J714" s="116" t="n"/>
      <c r="K714" s="116" t="n"/>
      <c r="L714" s="116" t="n"/>
      <c r="M714" s="116" t="n"/>
      <c r="N714" s="116" t="n"/>
      <c r="P714" s="116" t="n"/>
      <c r="Q714" s="116" t="n"/>
    </row>
    <row r="715" ht="15" customHeight="1" s="117">
      <c r="H715" s="116" t="n"/>
      <c r="I715" s="116" t="n"/>
      <c r="J715" s="116" t="n"/>
      <c r="K715" s="116" t="n"/>
      <c r="L715" s="116" t="n"/>
      <c r="M715" s="116" t="n"/>
      <c r="N715" s="116" t="n"/>
      <c r="P715" s="116" t="n"/>
      <c r="Q715" s="116" t="n"/>
    </row>
    <row r="716" ht="15" customHeight="1" s="117">
      <c r="H716" s="116" t="n"/>
      <c r="I716" s="116" t="n"/>
      <c r="J716" s="116" t="n"/>
      <c r="K716" s="116" t="n"/>
      <c r="L716" s="116" t="n"/>
      <c r="M716" s="116" t="n"/>
      <c r="N716" s="116" t="n"/>
      <c r="P716" s="116" t="n"/>
      <c r="Q716" s="116" t="n"/>
    </row>
    <row r="717" ht="15" customHeight="1" s="117">
      <c r="H717" s="116" t="n"/>
      <c r="I717" s="116" t="n"/>
      <c r="J717" s="116" t="n"/>
      <c r="K717" s="116" t="n"/>
      <c r="L717" s="116" t="n"/>
      <c r="M717" s="116" t="n"/>
      <c r="N717" s="116" t="n"/>
      <c r="P717" s="116" t="n"/>
      <c r="Q717" s="116" t="n"/>
    </row>
    <row r="718" ht="15" customHeight="1" s="117">
      <c r="H718" s="116" t="n"/>
      <c r="I718" s="116" t="n"/>
      <c r="J718" s="116" t="n"/>
      <c r="K718" s="116" t="n"/>
      <c r="L718" s="116" t="n"/>
      <c r="M718" s="116" t="n"/>
      <c r="N718" s="116" t="n"/>
      <c r="P718" s="116" t="n"/>
      <c r="Q718" s="116" t="n"/>
    </row>
    <row r="719" ht="15" customHeight="1" s="117">
      <c r="H719" s="116" t="n"/>
      <c r="I719" s="116" t="n"/>
      <c r="J719" s="116" t="n"/>
      <c r="K719" s="116" t="n"/>
      <c r="L719" s="116" t="n"/>
      <c r="M719" s="116" t="n"/>
      <c r="N719" s="116" t="n"/>
      <c r="P719" s="116" t="n"/>
      <c r="Q719" s="116" t="n"/>
    </row>
    <row r="720" ht="15" customHeight="1" s="117">
      <c r="H720" s="116" t="n"/>
      <c r="I720" s="116" t="n"/>
      <c r="J720" s="116" t="n"/>
      <c r="K720" s="116" t="n"/>
      <c r="L720" s="116" t="n"/>
      <c r="M720" s="116" t="n"/>
      <c r="N720" s="116" t="n"/>
      <c r="P720" s="116" t="n"/>
      <c r="Q720" s="116" t="n"/>
    </row>
    <row r="721" ht="15" customHeight="1" s="117">
      <c r="H721" s="116" t="n"/>
      <c r="I721" s="116" t="n"/>
      <c r="J721" s="116" t="n"/>
      <c r="K721" s="116" t="n"/>
      <c r="L721" s="116" t="n"/>
      <c r="M721" s="116" t="n"/>
      <c r="N721" s="116" t="n"/>
      <c r="P721" s="116" t="n"/>
      <c r="Q721" s="116" t="n"/>
    </row>
    <row r="722" ht="15" customHeight="1" s="117">
      <c r="H722" s="116" t="n"/>
      <c r="I722" s="116" t="n"/>
      <c r="J722" s="116" t="n"/>
      <c r="K722" s="116" t="n"/>
      <c r="L722" s="116" t="n"/>
      <c r="M722" s="116" t="n"/>
      <c r="N722" s="116" t="n"/>
      <c r="P722" s="116" t="n"/>
      <c r="Q722" s="116" t="n"/>
    </row>
    <row r="723" ht="15" customHeight="1" s="117">
      <c r="H723" s="116" t="n"/>
      <c r="I723" s="116" t="n"/>
      <c r="J723" s="116" t="n"/>
      <c r="K723" s="116" t="n"/>
      <c r="L723" s="116" t="n"/>
      <c r="M723" s="116" t="n"/>
      <c r="N723" s="116" t="n"/>
      <c r="P723" s="116" t="n"/>
      <c r="Q723" s="116" t="n"/>
    </row>
    <row r="724" ht="15" customHeight="1" s="117">
      <c r="H724" s="116" t="n"/>
      <c r="I724" s="116" t="n"/>
      <c r="J724" s="116" t="n"/>
      <c r="K724" s="116" t="n"/>
      <c r="L724" s="116" t="n"/>
      <c r="M724" s="116" t="n"/>
      <c r="N724" s="116" t="n"/>
      <c r="P724" s="116" t="n"/>
      <c r="Q724" s="116" t="n"/>
    </row>
    <row r="725" ht="15" customHeight="1" s="117">
      <c r="H725" s="116" t="n"/>
      <c r="I725" s="116" t="n"/>
      <c r="J725" s="116" t="n"/>
      <c r="K725" s="116" t="n"/>
      <c r="L725" s="116" t="n"/>
      <c r="M725" s="116" t="n"/>
      <c r="N725" s="116" t="n"/>
      <c r="P725" s="116" t="n"/>
      <c r="Q725" s="116" t="n"/>
    </row>
    <row r="726" ht="15" customHeight="1" s="117">
      <c r="H726" s="116" t="n"/>
      <c r="I726" s="116" t="n"/>
      <c r="J726" s="116" t="n"/>
      <c r="K726" s="116" t="n"/>
      <c r="L726" s="116" t="n"/>
      <c r="M726" s="116" t="n"/>
      <c r="N726" s="116" t="n"/>
      <c r="P726" s="116" t="n"/>
      <c r="Q726" s="116" t="n"/>
    </row>
    <row r="727" ht="15" customHeight="1" s="117">
      <c r="H727" s="116" t="n"/>
      <c r="I727" s="116" t="n"/>
      <c r="J727" s="116" t="n"/>
      <c r="K727" s="116" t="n"/>
      <c r="L727" s="116" t="n"/>
      <c r="M727" s="116" t="n"/>
      <c r="N727" s="116" t="n"/>
      <c r="P727" s="116" t="n"/>
      <c r="Q727" s="116" t="n"/>
    </row>
    <row r="728" ht="15" customHeight="1" s="117">
      <c r="H728" s="116" t="n"/>
      <c r="I728" s="116" t="n"/>
      <c r="J728" s="116" t="n"/>
      <c r="K728" s="116" t="n"/>
      <c r="L728" s="116" t="n"/>
      <c r="M728" s="116" t="n"/>
      <c r="N728" s="116" t="n"/>
      <c r="P728" s="116" t="n"/>
      <c r="Q728" s="116" t="n"/>
    </row>
    <row r="729" ht="15" customHeight="1" s="117">
      <c r="H729" s="116" t="n"/>
      <c r="I729" s="116" t="n"/>
      <c r="J729" s="116" t="n"/>
      <c r="K729" s="116" t="n"/>
      <c r="L729" s="116" t="n"/>
      <c r="M729" s="116" t="n"/>
      <c r="N729" s="116" t="n"/>
      <c r="P729" s="116" t="n"/>
      <c r="Q729" s="116" t="n"/>
    </row>
    <row r="730" ht="15" customHeight="1" s="117">
      <c r="H730" s="116" t="n"/>
      <c r="I730" s="116" t="n"/>
      <c r="J730" s="116" t="n"/>
      <c r="K730" s="116" t="n"/>
      <c r="L730" s="116" t="n"/>
      <c r="M730" s="116" t="n"/>
      <c r="N730" s="116" t="n"/>
      <c r="P730" s="116" t="n"/>
      <c r="Q730" s="116" t="n"/>
    </row>
    <row r="731" ht="15" customHeight="1" s="117">
      <c r="H731" s="116" t="n"/>
      <c r="I731" s="116" t="n"/>
      <c r="J731" s="116" t="n"/>
      <c r="K731" s="116" t="n"/>
      <c r="L731" s="116" t="n"/>
      <c r="M731" s="116" t="n"/>
      <c r="N731" s="116" t="n"/>
      <c r="P731" s="116" t="n"/>
      <c r="Q731" s="116" t="n"/>
    </row>
    <row r="732" ht="15" customHeight="1" s="117">
      <c r="H732" s="116" t="n"/>
      <c r="I732" s="116" t="n"/>
      <c r="J732" s="116" t="n"/>
      <c r="K732" s="116" t="n"/>
      <c r="L732" s="116" t="n"/>
      <c r="M732" s="116" t="n"/>
      <c r="N732" s="116" t="n"/>
      <c r="P732" s="116" t="n"/>
      <c r="Q732" s="116" t="n"/>
    </row>
    <row r="733" ht="15" customHeight="1" s="117">
      <c r="H733" s="116" t="n"/>
      <c r="I733" s="116" t="n"/>
      <c r="J733" s="116" t="n"/>
      <c r="K733" s="116" t="n"/>
      <c r="L733" s="116" t="n"/>
      <c r="M733" s="116" t="n"/>
      <c r="N733" s="116" t="n"/>
      <c r="P733" s="116" t="n"/>
      <c r="Q733" s="116" t="n"/>
    </row>
    <row r="734" ht="15" customHeight="1" s="117">
      <c r="H734" s="116" t="n"/>
      <c r="I734" s="116" t="n"/>
      <c r="J734" s="116" t="n"/>
      <c r="K734" s="116" t="n"/>
      <c r="L734" s="116" t="n"/>
      <c r="M734" s="116" t="n"/>
      <c r="N734" s="116" t="n"/>
      <c r="P734" s="116" t="n"/>
      <c r="Q734" s="116" t="n"/>
    </row>
    <row r="735" ht="15" customHeight="1" s="117">
      <c r="H735" s="116" t="n"/>
      <c r="I735" s="116" t="n"/>
      <c r="J735" s="116" t="n"/>
      <c r="K735" s="116" t="n"/>
      <c r="L735" s="116" t="n"/>
      <c r="M735" s="116" t="n"/>
      <c r="N735" s="116" t="n"/>
      <c r="P735" s="116" t="n"/>
      <c r="Q735" s="116" t="n"/>
    </row>
    <row r="736" ht="15" customHeight="1" s="117">
      <c r="H736" s="116" t="n"/>
      <c r="I736" s="116" t="n"/>
      <c r="J736" s="116" t="n"/>
      <c r="K736" s="116" t="n"/>
      <c r="L736" s="116" t="n"/>
      <c r="M736" s="116" t="n"/>
      <c r="N736" s="116" t="n"/>
      <c r="P736" s="116" t="n"/>
      <c r="Q736" s="116" t="n"/>
    </row>
    <row r="737" ht="15" customHeight="1" s="117">
      <c r="H737" s="116" t="n"/>
      <c r="I737" s="116" t="n"/>
      <c r="J737" s="116" t="n"/>
      <c r="K737" s="116" t="n"/>
      <c r="L737" s="116" t="n"/>
      <c r="M737" s="116" t="n"/>
      <c r="N737" s="116" t="n"/>
      <c r="P737" s="116" t="n"/>
      <c r="Q737" s="116" t="n"/>
    </row>
    <row r="738" ht="15" customHeight="1" s="117">
      <c r="H738" s="116" t="n"/>
      <c r="I738" s="116" t="n"/>
      <c r="J738" s="116" t="n"/>
      <c r="K738" s="116" t="n"/>
      <c r="L738" s="116" t="n"/>
      <c r="M738" s="116" t="n"/>
      <c r="N738" s="116" t="n"/>
      <c r="P738" s="116" t="n"/>
      <c r="Q738" s="116" t="n"/>
    </row>
    <row r="739" ht="15" customHeight="1" s="117">
      <c r="H739" s="116" t="n"/>
      <c r="I739" s="116" t="n"/>
      <c r="J739" s="116" t="n"/>
      <c r="K739" s="116" t="n"/>
      <c r="L739" s="116" t="n"/>
      <c r="M739" s="116" t="n"/>
      <c r="N739" s="116" t="n"/>
      <c r="P739" s="116" t="n"/>
      <c r="Q739" s="116" t="n"/>
    </row>
    <row r="740" ht="15" customHeight="1" s="117">
      <c r="H740" s="116" t="n"/>
      <c r="I740" s="116" t="n"/>
      <c r="J740" s="116" t="n"/>
      <c r="K740" s="116" t="n"/>
      <c r="L740" s="116" t="n"/>
      <c r="M740" s="116" t="n"/>
      <c r="N740" s="116" t="n"/>
      <c r="P740" s="116" t="n"/>
      <c r="Q740" s="116" t="n"/>
    </row>
    <row r="741" ht="15" customHeight="1" s="117">
      <c r="H741" s="116" t="n"/>
      <c r="I741" s="116" t="n"/>
      <c r="J741" s="116" t="n"/>
      <c r="K741" s="116" t="n"/>
      <c r="L741" s="116" t="n"/>
      <c r="M741" s="116" t="n"/>
      <c r="N741" s="116" t="n"/>
      <c r="P741" s="116" t="n"/>
      <c r="Q741" s="116" t="n"/>
    </row>
    <row r="742" ht="15" customHeight="1" s="117">
      <c r="H742" s="116" t="n"/>
      <c r="I742" s="116" t="n"/>
      <c r="J742" s="116" t="n"/>
      <c r="K742" s="116" t="n"/>
      <c r="L742" s="116" t="n"/>
      <c r="M742" s="116" t="n"/>
      <c r="N742" s="116" t="n"/>
      <c r="P742" s="116" t="n"/>
      <c r="Q742" s="116" t="n"/>
    </row>
    <row r="743" ht="15" customHeight="1" s="117">
      <c r="H743" s="116" t="n"/>
      <c r="I743" s="116" t="n"/>
      <c r="J743" s="116" t="n"/>
      <c r="K743" s="116" t="n"/>
      <c r="L743" s="116" t="n"/>
      <c r="M743" s="116" t="n"/>
      <c r="N743" s="116" t="n"/>
      <c r="P743" s="116" t="n"/>
      <c r="Q743" s="116" t="n"/>
    </row>
    <row r="744" ht="15" customHeight="1" s="117">
      <c r="H744" s="116" t="n"/>
      <c r="I744" s="116" t="n"/>
      <c r="J744" s="116" t="n"/>
      <c r="K744" s="116" t="n"/>
      <c r="L744" s="116" t="n"/>
      <c r="M744" s="116" t="n"/>
      <c r="N744" s="116" t="n"/>
      <c r="P744" s="116" t="n"/>
      <c r="Q744" s="116" t="n"/>
    </row>
    <row r="745" ht="15" customHeight="1" s="117">
      <c r="H745" s="116" t="n"/>
      <c r="I745" s="116" t="n"/>
      <c r="J745" s="116" t="n"/>
      <c r="K745" s="116" t="n"/>
      <c r="L745" s="116" t="n"/>
      <c r="M745" s="116" t="n"/>
      <c r="N745" s="116" t="n"/>
      <c r="P745" s="116" t="n"/>
      <c r="Q745" s="116" t="n"/>
    </row>
    <row r="746" ht="15" customHeight="1" s="117">
      <c r="H746" s="116" t="n"/>
      <c r="I746" s="116" t="n"/>
      <c r="J746" s="116" t="n"/>
      <c r="K746" s="116" t="n"/>
      <c r="L746" s="116" t="n"/>
      <c r="M746" s="116" t="n"/>
      <c r="N746" s="116" t="n"/>
      <c r="P746" s="116" t="n"/>
      <c r="Q746" s="116" t="n"/>
    </row>
    <row r="747" ht="15" customHeight="1" s="117">
      <c r="H747" s="116" t="n"/>
      <c r="I747" s="116" t="n"/>
      <c r="J747" s="116" t="n"/>
      <c r="K747" s="116" t="n"/>
      <c r="L747" s="116" t="n"/>
      <c r="M747" s="116" t="n"/>
      <c r="N747" s="116" t="n"/>
      <c r="P747" s="116" t="n"/>
      <c r="Q747" s="116" t="n"/>
    </row>
    <row r="748" ht="15" customHeight="1" s="117">
      <c r="H748" s="116" t="n"/>
      <c r="I748" s="116" t="n"/>
      <c r="J748" s="116" t="n"/>
      <c r="K748" s="116" t="n"/>
      <c r="L748" s="116" t="n"/>
      <c r="M748" s="116" t="n"/>
      <c r="N748" s="116" t="n"/>
      <c r="P748" s="116" t="n"/>
      <c r="Q748" s="116" t="n"/>
    </row>
    <row r="749" ht="15" customHeight="1" s="117">
      <c r="H749" s="116" t="n"/>
      <c r="I749" s="116" t="n"/>
      <c r="J749" s="116" t="n"/>
      <c r="K749" s="116" t="n"/>
      <c r="L749" s="116" t="n"/>
      <c r="M749" s="116" t="n"/>
      <c r="N749" s="116" t="n"/>
      <c r="P749" s="116" t="n"/>
      <c r="Q749" s="116" t="n"/>
    </row>
    <row r="750" ht="15" customHeight="1" s="117">
      <c r="H750" s="116" t="n"/>
      <c r="I750" s="116" t="n"/>
      <c r="J750" s="116" t="n"/>
      <c r="K750" s="116" t="n"/>
      <c r="L750" s="116" t="n"/>
      <c r="M750" s="116" t="n"/>
      <c r="N750" s="116" t="n"/>
      <c r="P750" s="116" t="n"/>
      <c r="Q750" s="116" t="n"/>
    </row>
    <row r="751" ht="15" customHeight="1" s="117">
      <c r="H751" s="116" t="n"/>
      <c r="I751" s="116" t="n"/>
      <c r="J751" s="116" t="n"/>
      <c r="K751" s="116" t="n"/>
      <c r="L751" s="116" t="n"/>
      <c r="M751" s="116" t="n"/>
      <c r="N751" s="116" t="n"/>
      <c r="P751" s="116" t="n"/>
      <c r="Q751" s="116" t="n"/>
    </row>
    <row r="752" ht="15" customHeight="1" s="117">
      <c r="H752" s="116" t="n"/>
      <c r="I752" s="116" t="n"/>
      <c r="J752" s="116" t="n"/>
      <c r="K752" s="116" t="n"/>
      <c r="L752" s="116" t="n"/>
      <c r="M752" s="116" t="n"/>
      <c r="N752" s="116" t="n"/>
      <c r="P752" s="116" t="n"/>
      <c r="Q752" s="116" t="n"/>
    </row>
    <row r="753" ht="15" customHeight="1" s="117">
      <c r="H753" s="116" t="n"/>
      <c r="I753" s="116" t="n"/>
      <c r="J753" s="116" t="n"/>
      <c r="K753" s="116" t="n"/>
      <c r="L753" s="116" t="n"/>
      <c r="M753" s="116" t="n"/>
      <c r="N753" s="116" t="n"/>
      <c r="P753" s="116" t="n"/>
      <c r="Q753" s="116" t="n"/>
    </row>
    <row r="754" ht="15" customHeight="1" s="117">
      <c r="H754" s="116" t="n"/>
      <c r="I754" s="116" t="n"/>
      <c r="J754" s="116" t="n"/>
      <c r="K754" s="116" t="n"/>
      <c r="L754" s="116" t="n"/>
      <c r="M754" s="116" t="n"/>
      <c r="N754" s="116" t="n"/>
      <c r="P754" s="116" t="n"/>
      <c r="Q754" s="116" t="n"/>
    </row>
    <row r="755" ht="15" customHeight="1" s="117">
      <c r="H755" s="116" t="n"/>
      <c r="I755" s="116" t="n"/>
      <c r="J755" s="116" t="n"/>
      <c r="K755" s="116" t="n"/>
      <c r="L755" s="116" t="n"/>
      <c r="M755" s="116" t="n"/>
      <c r="N755" s="116" t="n"/>
      <c r="P755" s="116" t="n"/>
      <c r="Q755" s="116" t="n"/>
    </row>
    <row r="756" ht="15" customHeight="1" s="117">
      <c r="H756" s="116" t="n"/>
      <c r="I756" s="116" t="n"/>
      <c r="J756" s="116" t="n"/>
      <c r="K756" s="116" t="n"/>
      <c r="L756" s="116" t="n"/>
      <c r="M756" s="116" t="n"/>
      <c r="N756" s="116" t="n"/>
      <c r="P756" s="116" t="n"/>
      <c r="Q756" s="116" t="n"/>
    </row>
    <row r="757" ht="15" customHeight="1" s="117">
      <c r="H757" s="116" t="n"/>
      <c r="I757" s="116" t="n"/>
      <c r="J757" s="116" t="n"/>
      <c r="K757" s="116" t="n"/>
      <c r="L757" s="116" t="n"/>
      <c r="M757" s="116" t="n"/>
      <c r="N757" s="116" t="n"/>
      <c r="P757" s="116" t="n"/>
      <c r="Q757" s="116" t="n"/>
    </row>
    <row r="758" ht="15" customHeight="1" s="117">
      <c r="H758" s="116" t="n"/>
      <c r="I758" s="116" t="n"/>
      <c r="J758" s="116" t="n"/>
      <c r="K758" s="116" t="n"/>
      <c r="L758" s="116" t="n"/>
      <c r="M758" s="116" t="n"/>
      <c r="N758" s="116" t="n"/>
      <c r="P758" s="116" t="n"/>
      <c r="Q758" s="116" t="n"/>
    </row>
    <row r="759" ht="15" customHeight="1" s="117">
      <c r="H759" s="116" t="n"/>
      <c r="I759" s="116" t="n"/>
      <c r="J759" s="116" t="n"/>
      <c r="K759" s="116" t="n"/>
      <c r="L759" s="116" t="n"/>
      <c r="M759" s="116" t="n"/>
      <c r="N759" s="116" t="n"/>
      <c r="P759" s="116" t="n"/>
      <c r="Q759" s="116" t="n"/>
    </row>
    <row r="760" ht="15" customHeight="1" s="117">
      <c r="H760" s="116" t="n"/>
      <c r="I760" s="116" t="n"/>
      <c r="J760" s="116" t="n"/>
      <c r="K760" s="116" t="n"/>
      <c r="L760" s="116" t="n"/>
      <c r="M760" s="116" t="n"/>
      <c r="N760" s="116" t="n"/>
      <c r="P760" s="116" t="n"/>
      <c r="Q760" s="116" t="n"/>
    </row>
    <row r="761" ht="15" customHeight="1" s="117">
      <c r="H761" s="116" t="n"/>
      <c r="I761" s="116" t="n"/>
      <c r="J761" s="116" t="n"/>
      <c r="K761" s="116" t="n"/>
      <c r="L761" s="116" t="n"/>
      <c r="M761" s="116" t="n"/>
      <c r="N761" s="116" t="n"/>
      <c r="P761" s="116" t="n"/>
      <c r="Q761" s="116" t="n"/>
    </row>
    <row r="762" ht="15" customHeight="1" s="117">
      <c r="H762" s="116" t="n"/>
      <c r="I762" s="116" t="n"/>
      <c r="J762" s="116" t="n"/>
      <c r="K762" s="116" t="n"/>
      <c r="L762" s="116" t="n"/>
      <c r="M762" s="116" t="n"/>
      <c r="N762" s="116" t="n"/>
      <c r="P762" s="116" t="n"/>
      <c r="Q762" s="116" t="n"/>
    </row>
    <row r="763" ht="15" customHeight="1" s="117">
      <c r="H763" s="116" t="n"/>
      <c r="I763" s="116" t="n"/>
      <c r="J763" s="116" t="n"/>
      <c r="K763" s="116" t="n"/>
      <c r="L763" s="116" t="n"/>
      <c r="M763" s="116" t="n"/>
      <c r="N763" s="116" t="n"/>
      <c r="P763" s="116" t="n"/>
      <c r="Q763" s="116" t="n"/>
    </row>
    <row r="764" ht="15" customHeight="1" s="117">
      <c r="H764" s="116" t="n"/>
      <c r="I764" s="116" t="n"/>
      <c r="J764" s="116" t="n"/>
      <c r="K764" s="116" t="n"/>
      <c r="L764" s="116" t="n"/>
      <c r="M764" s="116" t="n"/>
      <c r="N764" s="116" t="n"/>
      <c r="P764" s="116" t="n"/>
      <c r="Q764" s="116" t="n"/>
    </row>
    <row r="765" ht="15" customHeight="1" s="117">
      <c r="H765" s="116" t="n"/>
      <c r="I765" s="116" t="n"/>
      <c r="J765" s="116" t="n"/>
      <c r="K765" s="116" t="n"/>
      <c r="L765" s="116" t="n"/>
      <c r="M765" s="116" t="n"/>
      <c r="N765" s="116" t="n"/>
      <c r="P765" s="116" t="n"/>
      <c r="Q765" s="116" t="n"/>
    </row>
    <row r="766" ht="15" customHeight="1" s="117">
      <c r="H766" s="116" t="n"/>
      <c r="I766" s="116" t="n"/>
      <c r="J766" s="116" t="n"/>
      <c r="K766" s="116" t="n"/>
      <c r="L766" s="116" t="n"/>
      <c r="M766" s="116" t="n"/>
      <c r="N766" s="116" t="n"/>
      <c r="P766" s="116" t="n"/>
      <c r="Q766" s="116" t="n"/>
    </row>
    <row r="767" ht="15" customHeight="1" s="117">
      <c r="H767" s="116" t="n"/>
      <c r="I767" s="116" t="n"/>
      <c r="J767" s="116" t="n"/>
      <c r="K767" s="116" t="n"/>
      <c r="L767" s="116" t="n"/>
      <c r="M767" s="116" t="n"/>
      <c r="N767" s="116" t="n"/>
      <c r="P767" s="116" t="n"/>
      <c r="Q767" s="116" t="n"/>
    </row>
    <row r="768" ht="15" customHeight="1" s="117">
      <c r="H768" s="116" t="n"/>
      <c r="I768" s="116" t="n"/>
      <c r="J768" s="116" t="n"/>
      <c r="K768" s="116" t="n"/>
      <c r="L768" s="116" t="n"/>
      <c r="M768" s="116" t="n"/>
      <c r="N768" s="116" t="n"/>
      <c r="P768" s="116" t="n"/>
      <c r="Q768" s="116" t="n"/>
    </row>
    <row r="769" ht="15" customHeight="1" s="117">
      <c r="H769" s="116" t="n"/>
      <c r="I769" s="116" t="n"/>
      <c r="J769" s="116" t="n"/>
      <c r="K769" s="116" t="n"/>
      <c r="L769" s="116" t="n"/>
      <c r="M769" s="116" t="n"/>
      <c r="N769" s="116" t="n"/>
      <c r="P769" s="116" t="n"/>
      <c r="Q769" s="116" t="n"/>
    </row>
    <row r="770" ht="15" customHeight="1" s="117">
      <c r="H770" s="116" t="n"/>
      <c r="I770" s="116" t="n"/>
      <c r="J770" s="116" t="n"/>
      <c r="K770" s="116" t="n"/>
      <c r="L770" s="116" t="n"/>
      <c r="M770" s="116" t="n"/>
      <c r="N770" s="116" t="n"/>
      <c r="P770" s="116" t="n"/>
      <c r="Q770" s="116" t="n"/>
    </row>
    <row r="771" ht="15" customHeight="1" s="117">
      <c r="H771" s="116" t="n"/>
      <c r="I771" s="116" t="n"/>
      <c r="J771" s="116" t="n"/>
      <c r="K771" s="116" t="n"/>
      <c r="L771" s="116" t="n"/>
      <c r="M771" s="116" t="n"/>
      <c r="N771" s="116" t="n"/>
      <c r="P771" s="116" t="n"/>
      <c r="Q771" s="116" t="n"/>
    </row>
    <row r="772" ht="15" customHeight="1" s="117">
      <c r="H772" s="116" t="n"/>
      <c r="I772" s="116" t="n"/>
      <c r="J772" s="116" t="n"/>
      <c r="K772" s="116" t="n"/>
      <c r="L772" s="116" t="n"/>
      <c r="M772" s="116" t="n"/>
      <c r="N772" s="116" t="n"/>
      <c r="P772" s="116" t="n"/>
      <c r="Q772" s="116" t="n"/>
    </row>
    <row r="773" ht="15" customHeight="1" s="117">
      <c r="H773" s="116" t="n"/>
      <c r="I773" s="116" t="n"/>
      <c r="J773" s="116" t="n"/>
      <c r="K773" s="116" t="n"/>
      <c r="L773" s="116" t="n"/>
      <c r="M773" s="116" t="n"/>
      <c r="N773" s="116" t="n"/>
      <c r="P773" s="116" t="n"/>
      <c r="Q773" s="116" t="n"/>
    </row>
    <row r="774" ht="15" customHeight="1" s="117">
      <c r="H774" s="116" t="n"/>
      <c r="I774" s="116" t="n"/>
      <c r="J774" s="116" t="n"/>
      <c r="K774" s="116" t="n"/>
      <c r="L774" s="116" t="n"/>
      <c r="M774" s="116" t="n"/>
      <c r="N774" s="116" t="n"/>
      <c r="P774" s="116" t="n"/>
      <c r="Q774" s="116" t="n"/>
    </row>
    <row r="775" ht="15" customHeight="1" s="117">
      <c r="H775" s="116" t="n"/>
      <c r="I775" s="116" t="n"/>
      <c r="J775" s="116" t="n"/>
      <c r="K775" s="116" t="n"/>
      <c r="L775" s="116" t="n"/>
      <c r="M775" s="116" t="n"/>
      <c r="N775" s="116" t="n"/>
      <c r="P775" s="116" t="n"/>
      <c r="Q775" s="116" t="n"/>
    </row>
    <row r="776" ht="15" customHeight="1" s="117">
      <c r="H776" s="116" t="n"/>
      <c r="I776" s="116" t="n"/>
      <c r="J776" s="116" t="n"/>
      <c r="K776" s="116" t="n"/>
      <c r="L776" s="116" t="n"/>
      <c r="M776" s="116" t="n"/>
      <c r="N776" s="116" t="n"/>
      <c r="P776" s="116" t="n"/>
      <c r="Q776" s="116" t="n"/>
    </row>
    <row r="777" ht="15" customHeight="1" s="117">
      <c r="H777" s="116" t="n"/>
      <c r="I777" s="116" t="n"/>
      <c r="J777" s="116" t="n"/>
      <c r="K777" s="116" t="n"/>
      <c r="L777" s="116" t="n"/>
      <c r="M777" s="116" t="n"/>
      <c r="N777" s="116" t="n"/>
      <c r="P777" s="116" t="n"/>
      <c r="Q777" s="116" t="n"/>
    </row>
    <row r="778" ht="15" customHeight="1" s="117">
      <c r="H778" s="116" t="n"/>
      <c r="I778" s="116" t="n"/>
      <c r="J778" s="116" t="n"/>
      <c r="K778" s="116" t="n"/>
      <c r="L778" s="116" t="n"/>
      <c r="M778" s="116" t="n"/>
      <c r="N778" s="116" t="n"/>
      <c r="P778" s="116" t="n"/>
      <c r="Q778" s="116" t="n"/>
    </row>
    <row r="779" ht="15" customHeight="1" s="117">
      <c r="H779" s="116" t="n"/>
      <c r="I779" s="116" t="n"/>
      <c r="J779" s="116" t="n"/>
      <c r="K779" s="116" t="n"/>
      <c r="L779" s="116" t="n"/>
      <c r="M779" s="116" t="n"/>
      <c r="N779" s="116" t="n"/>
      <c r="P779" s="116" t="n"/>
      <c r="Q779" s="116" t="n"/>
    </row>
    <row r="780" ht="15" customHeight="1" s="117">
      <c r="H780" s="116" t="n"/>
      <c r="I780" s="116" t="n"/>
      <c r="J780" s="116" t="n"/>
      <c r="K780" s="116" t="n"/>
      <c r="L780" s="116" t="n"/>
      <c r="M780" s="116" t="n"/>
      <c r="N780" s="116" t="n"/>
      <c r="P780" s="116" t="n"/>
      <c r="Q780" s="116" t="n"/>
    </row>
    <row r="781" ht="15" customHeight="1" s="117">
      <c r="H781" s="116" t="n"/>
      <c r="I781" s="116" t="n"/>
      <c r="J781" s="116" t="n"/>
      <c r="K781" s="116" t="n"/>
      <c r="L781" s="116" t="n"/>
      <c r="M781" s="116" t="n"/>
      <c r="N781" s="116" t="n"/>
      <c r="P781" s="116" t="n"/>
      <c r="Q781" s="116" t="n"/>
    </row>
    <row r="782" ht="15" customHeight="1" s="117">
      <c r="H782" s="116" t="n"/>
      <c r="I782" s="116" t="n"/>
      <c r="J782" s="116" t="n"/>
      <c r="K782" s="116" t="n"/>
      <c r="L782" s="116" t="n"/>
      <c r="M782" s="116" t="n"/>
      <c r="N782" s="116" t="n"/>
      <c r="P782" s="116" t="n"/>
      <c r="Q782" s="116" t="n"/>
    </row>
    <row r="783" ht="15" customHeight="1" s="117">
      <c r="H783" s="116" t="n"/>
      <c r="I783" s="116" t="n"/>
      <c r="J783" s="116" t="n"/>
      <c r="K783" s="116" t="n"/>
      <c r="L783" s="116" t="n"/>
      <c r="M783" s="116" t="n"/>
      <c r="N783" s="116" t="n"/>
      <c r="P783" s="116" t="n"/>
      <c r="Q783" s="116" t="n"/>
    </row>
    <row r="784" ht="15" customHeight="1" s="117">
      <c r="H784" s="116" t="n"/>
      <c r="I784" s="116" t="n"/>
      <c r="J784" s="116" t="n"/>
      <c r="K784" s="116" t="n"/>
      <c r="L784" s="116" t="n"/>
      <c r="M784" s="116" t="n"/>
      <c r="N784" s="116" t="n"/>
      <c r="P784" s="116" t="n"/>
      <c r="Q784" s="116" t="n"/>
    </row>
    <row r="785" ht="15" customHeight="1" s="117">
      <c r="H785" s="116" t="n"/>
      <c r="I785" s="116" t="n"/>
      <c r="J785" s="116" t="n"/>
      <c r="K785" s="116" t="n"/>
      <c r="L785" s="116" t="n"/>
      <c r="M785" s="116" t="n"/>
      <c r="N785" s="116" t="n"/>
      <c r="P785" s="116" t="n"/>
      <c r="Q785" s="116" t="n"/>
    </row>
    <row r="786" ht="15" customHeight="1" s="117">
      <c r="H786" s="116" t="n"/>
      <c r="I786" s="116" t="n"/>
      <c r="J786" s="116" t="n"/>
      <c r="K786" s="116" t="n"/>
      <c r="L786" s="116" t="n"/>
      <c r="M786" s="116" t="n"/>
      <c r="N786" s="116" t="n"/>
      <c r="P786" s="116" t="n"/>
      <c r="Q786" s="116" t="n"/>
    </row>
    <row r="787" ht="15" customHeight="1" s="117">
      <c r="H787" s="116" t="n"/>
      <c r="I787" s="116" t="n"/>
      <c r="J787" s="116" t="n"/>
      <c r="K787" s="116" t="n"/>
      <c r="L787" s="116" t="n"/>
      <c r="M787" s="116" t="n"/>
      <c r="N787" s="116" t="n"/>
      <c r="P787" s="116" t="n"/>
      <c r="Q787" s="116" t="n"/>
    </row>
    <row r="788" ht="15" customHeight="1" s="117">
      <c r="H788" s="116" t="n"/>
      <c r="I788" s="116" t="n"/>
      <c r="J788" s="116" t="n"/>
      <c r="K788" s="116" t="n"/>
      <c r="L788" s="116" t="n"/>
      <c r="M788" s="116" t="n"/>
      <c r="N788" s="116" t="n"/>
      <c r="P788" s="116" t="n"/>
      <c r="Q788" s="116" t="n"/>
    </row>
    <row r="789" ht="15" customHeight="1" s="117">
      <c r="H789" s="116" t="n"/>
      <c r="I789" s="116" t="n"/>
      <c r="J789" s="116" t="n"/>
      <c r="K789" s="116" t="n"/>
      <c r="L789" s="116" t="n"/>
      <c r="M789" s="116" t="n"/>
      <c r="N789" s="116" t="n"/>
      <c r="P789" s="116" t="n"/>
      <c r="Q789" s="116" t="n"/>
    </row>
    <row r="790" ht="15" customHeight="1" s="117">
      <c r="H790" s="116" t="n"/>
      <c r="I790" s="116" t="n"/>
      <c r="J790" s="116" t="n"/>
      <c r="K790" s="116" t="n"/>
      <c r="L790" s="116" t="n"/>
      <c r="M790" s="116" t="n"/>
      <c r="N790" s="116" t="n"/>
      <c r="P790" s="116" t="n"/>
      <c r="Q790" s="116" t="n"/>
    </row>
    <row r="791" ht="15" customHeight="1" s="117">
      <c r="H791" s="116" t="n"/>
      <c r="I791" s="116" t="n"/>
      <c r="J791" s="116" t="n"/>
      <c r="K791" s="116" t="n"/>
      <c r="L791" s="116" t="n"/>
      <c r="M791" s="116" t="n"/>
      <c r="N791" s="116" t="n"/>
      <c r="P791" s="116" t="n"/>
      <c r="Q791" s="116" t="n"/>
    </row>
    <row r="792" ht="15" customHeight="1" s="117">
      <c r="H792" s="116" t="n"/>
      <c r="I792" s="116" t="n"/>
      <c r="J792" s="116" t="n"/>
      <c r="K792" s="116" t="n"/>
      <c r="L792" s="116" t="n"/>
      <c r="M792" s="116" t="n"/>
      <c r="N792" s="116" t="n"/>
      <c r="P792" s="116" t="n"/>
      <c r="Q792" s="116" t="n"/>
    </row>
    <row r="793" ht="15" customHeight="1" s="117">
      <c r="H793" s="116" t="n"/>
      <c r="I793" s="116" t="n"/>
      <c r="J793" s="116" t="n"/>
      <c r="K793" s="116" t="n"/>
      <c r="L793" s="116" t="n"/>
      <c r="M793" s="116" t="n"/>
      <c r="N793" s="116" t="n"/>
      <c r="P793" s="116" t="n"/>
      <c r="Q793" s="116" t="n"/>
    </row>
    <row r="794" ht="15" customHeight="1" s="117">
      <c r="H794" s="116" t="n"/>
      <c r="I794" s="116" t="n"/>
      <c r="J794" s="116" t="n"/>
      <c r="K794" s="116" t="n"/>
      <c r="L794" s="116" t="n"/>
      <c r="M794" s="116" t="n"/>
      <c r="N794" s="116" t="n"/>
      <c r="P794" s="116" t="n"/>
      <c r="Q794" s="116" t="n"/>
    </row>
    <row r="795" ht="15" customHeight="1" s="117">
      <c r="H795" s="116" t="n"/>
      <c r="I795" s="116" t="n"/>
      <c r="J795" s="116" t="n"/>
      <c r="K795" s="116" t="n"/>
      <c r="L795" s="116" t="n"/>
      <c r="M795" s="116" t="n"/>
      <c r="N795" s="116" t="n"/>
      <c r="P795" s="116" t="n"/>
      <c r="Q795" s="116" t="n"/>
    </row>
    <row r="796" ht="15" customHeight="1" s="117">
      <c r="H796" s="116" t="n"/>
      <c r="I796" s="116" t="n"/>
      <c r="J796" s="116" t="n"/>
      <c r="K796" s="116" t="n"/>
      <c r="L796" s="116" t="n"/>
      <c r="M796" s="116" t="n"/>
      <c r="N796" s="116" t="n"/>
      <c r="P796" s="116" t="n"/>
      <c r="Q796" s="116" t="n"/>
    </row>
    <row r="797" ht="15" customHeight="1" s="117">
      <c r="H797" s="116" t="n"/>
      <c r="I797" s="116" t="n"/>
      <c r="J797" s="116" t="n"/>
      <c r="K797" s="116" t="n"/>
      <c r="L797" s="116" t="n"/>
      <c r="M797" s="116" t="n"/>
      <c r="N797" s="116" t="n"/>
      <c r="P797" s="116" t="n"/>
      <c r="Q797" s="116" t="n"/>
    </row>
    <row r="798" ht="15" customHeight="1" s="117">
      <c r="H798" s="116" t="n"/>
      <c r="I798" s="116" t="n"/>
      <c r="J798" s="116" t="n"/>
      <c r="K798" s="116" t="n"/>
      <c r="L798" s="116" t="n"/>
      <c r="M798" s="116" t="n"/>
      <c r="N798" s="116" t="n"/>
      <c r="P798" s="116" t="n"/>
      <c r="Q798" s="116" t="n"/>
    </row>
    <row r="799" ht="15" customHeight="1" s="117">
      <c r="H799" s="116" t="n"/>
      <c r="I799" s="116" t="n"/>
      <c r="J799" s="116" t="n"/>
      <c r="K799" s="116" t="n"/>
      <c r="L799" s="116" t="n"/>
      <c r="M799" s="116" t="n"/>
      <c r="N799" s="116" t="n"/>
      <c r="P799" s="116" t="n"/>
      <c r="Q799" s="116" t="n"/>
    </row>
    <row r="800" ht="15" customHeight="1" s="117">
      <c r="H800" s="116" t="n"/>
      <c r="I800" s="116" t="n"/>
      <c r="J800" s="116" t="n"/>
      <c r="K800" s="116" t="n"/>
      <c r="L800" s="116" t="n"/>
      <c r="M800" s="116" t="n"/>
      <c r="N800" s="116" t="n"/>
      <c r="P800" s="116" t="n"/>
      <c r="Q800" s="116" t="n"/>
    </row>
    <row r="801" ht="15" customHeight="1" s="117">
      <c r="H801" s="116" t="n"/>
      <c r="I801" s="116" t="n"/>
      <c r="J801" s="116" t="n"/>
      <c r="K801" s="116" t="n"/>
      <c r="L801" s="116" t="n"/>
      <c r="M801" s="116" t="n"/>
      <c r="N801" s="116" t="n"/>
      <c r="P801" s="116" t="n"/>
      <c r="Q801" s="116" t="n"/>
    </row>
    <row r="802" ht="15" customHeight="1" s="117">
      <c r="H802" s="116" t="n"/>
      <c r="I802" s="116" t="n"/>
      <c r="J802" s="116" t="n"/>
      <c r="K802" s="116" t="n"/>
      <c r="L802" s="116" t="n"/>
      <c r="M802" s="116" t="n"/>
      <c r="N802" s="116" t="n"/>
      <c r="P802" s="116" t="n"/>
      <c r="Q802" s="116" t="n"/>
    </row>
    <row r="803" ht="15" customHeight="1" s="117">
      <c r="H803" s="116" t="n"/>
      <c r="I803" s="116" t="n"/>
      <c r="J803" s="116" t="n"/>
      <c r="K803" s="116" t="n"/>
      <c r="L803" s="116" t="n"/>
      <c r="M803" s="116" t="n"/>
      <c r="N803" s="116" t="n"/>
      <c r="P803" s="116" t="n"/>
      <c r="Q803" s="116" t="n"/>
    </row>
    <row r="804" ht="15" customHeight="1" s="117">
      <c r="H804" s="116" t="n"/>
      <c r="I804" s="116" t="n"/>
      <c r="J804" s="116" t="n"/>
      <c r="K804" s="116" t="n"/>
      <c r="L804" s="116" t="n"/>
      <c r="M804" s="116" t="n"/>
      <c r="N804" s="116" t="n"/>
      <c r="P804" s="116" t="n"/>
      <c r="Q804" s="116" t="n"/>
    </row>
    <row r="805" ht="15" customHeight="1" s="117">
      <c r="H805" s="116" t="n"/>
      <c r="I805" s="116" t="n"/>
      <c r="J805" s="116" t="n"/>
      <c r="K805" s="116" t="n"/>
      <c r="L805" s="116" t="n"/>
      <c r="M805" s="116" t="n"/>
      <c r="N805" s="116" t="n"/>
      <c r="P805" s="116" t="n"/>
      <c r="Q805" s="116" t="n"/>
    </row>
    <row r="806" ht="15" customHeight="1" s="117">
      <c r="H806" s="116" t="n"/>
      <c r="I806" s="116" t="n"/>
      <c r="J806" s="116" t="n"/>
      <c r="K806" s="116" t="n"/>
      <c r="L806" s="116" t="n"/>
      <c r="M806" s="116" t="n"/>
      <c r="N806" s="116" t="n"/>
      <c r="P806" s="116" t="n"/>
      <c r="Q806" s="116" t="n"/>
    </row>
    <row r="807" ht="15" customHeight="1" s="117">
      <c r="H807" s="116" t="n"/>
      <c r="I807" s="116" t="n"/>
      <c r="J807" s="116" t="n"/>
      <c r="K807" s="116" t="n"/>
      <c r="L807" s="116" t="n"/>
      <c r="M807" s="116" t="n"/>
      <c r="N807" s="116" t="n"/>
      <c r="P807" s="116" t="n"/>
      <c r="Q807" s="116" t="n"/>
    </row>
    <row r="808" ht="15" customHeight="1" s="117">
      <c r="H808" s="116" t="n"/>
      <c r="I808" s="116" t="n"/>
      <c r="J808" s="116" t="n"/>
      <c r="K808" s="116" t="n"/>
      <c r="L808" s="116" t="n"/>
      <c r="M808" s="116" t="n"/>
      <c r="N808" s="116" t="n"/>
      <c r="P808" s="116" t="n"/>
      <c r="Q808" s="116" t="n"/>
    </row>
    <row r="809" ht="15" customHeight="1" s="117">
      <c r="H809" s="116" t="n"/>
      <c r="I809" s="116" t="n"/>
      <c r="J809" s="116" t="n"/>
      <c r="K809" s="116" t="n"/>
      <c r="L809" s="116" t="n"/>
      <c r="M809" s="116" t="n"/>
      <c r="N809" s="116" t="n"/>
      <c r="P809" s="116" t="n"/>
      <c r="Q809" s="116" t="n"/>
    </row>
    <row r="810" ht="15" customHeight="1" s="117">
      <c r="H810" s="116" t="n"/>
      <c r="I810" s="116" t="n"/>
      <c r="J810" s="116" t="n"/>
      <c r="K810" s="116" t="n"/>
      <c r="L810" s="116" t="n"/>
      <c r="M810" s="116" t="n"/>
      <c r="N810" s="116" t="n"/>
      <c r="P810" s="116" t="n"/>
      <c r="Q810" s="116" t="n"/>
    </row>
    <row r="811" ht="15" customHeight="1" s="117">
      <c r="H811" s="116" t="n"/>
      <c r="I811" s="116" t="n"/>
      <c r="J811" s="116" t="n"/>
      <c r="K811" s="116" t="n"/>
      <c r="L811" s="116" t="n"/>
      <c r="M811" s="116" t="n"/>
      <c r="N811" s="116" t="n"/>
      <c r="P811" s="116" t="n"/>
      <c r="Q811" s="116" t="n"/>
    </row>
    <row r="812" ht="15" customHeight="1" s="117">
      <c r="H812" s="116" t="n"/>
      <c r="I812" s="116" t="n"/>
      <c r="J812" s="116" t="n"/>
      <c r="K812" s="116" t="n"/>
      <c r="L812" s="116" t="n"/>
      <c r="M812" s="116" t="n"/>
      <c r="N812" s="116" t="n"/>
      <c r="P812" s="116" t="n"/>
      <c r="Q812" s="116" t="n"/>
    </row>
    <row r="813" ht="15" customHeight="1" s="117">
      <c r="H813" s="116" t="n"/>
      <c r="I813" s="116" t="n"/>
      <c r="J813" s="116" t="n"/>
      <c r="K813" s="116" t="n"/>
      <c r="L813" s="116" t="n"/>
      <c r="M813" s="116" t="n"/>
      <c r="N813" s="116" t="n"/>
      <c r="P813" s="116" t="n"/>
      <c r="Q813" s="116" t="n"/>
    </row>
    <row r="814" ht="15" customHeight="1" s="117">
      <c r="H814" s="116" t="n"/>
      <c r="I814" s="116" t="n"/>
      <c r="J814" s="116" t="n"/>
      <c r="K814" s="116" t="n"/>
      <c r="L814" s="116" t="n"/>
      <c r="M814" s="116" t="n"/>
      <c r="N814" s="116" t="n"/>
      <c r="P814" s="116" t="n"/>
      <c r="Q814" s="116" t="n"/>
    </row>
    <row r="815" ht="15" customHeight="1" s="117">
      <c r="H815" s="116" t="n"/>
      <c r="I815" s="116" t="n"/>
      <c r="J815" s="116" t="n"/>
      <c r="K815" s="116" t="n"/>
      <c r="L815" s="116" t="n"/>
      <c r="M815" s="116" t="n"/>
      <c r="N815" s="116" t="n"/>
      <c r="P815" s="116" t="n"/>
      <c r="Q815" s="116" t="n"/>
    </row>
    <row r="816" ht="15" customHeight="1" s="117">
      <c r="H816" s="116" t="n"/>
      <c r="I816" s="116" t="n"/>
      <c r="J816" s="116" t="n"/>
      <c r="K816" s="116" t="n"/>
      <c r="L816" s="116" t="n"/>
      <c r="M816" s="116" t="n"/>
      <c r="N816" s="116" t="n"/>
      <c r="P816" s="116" t="n"/>
      <c r="Q816" s="116" t="n"/>
    </row>
    <row r="817" ht="15" customHeight="1" s="117">
      <c r="H817" s="116" t="n"/>
      <c r="I817" s="116" t="n"/>
      <c r="J817" s="116" t="n"/>
      <c r="K817" s="116" t="n"/>
      <c r="L817" s="116" t="n"/>
      <c r="M817" s="116" t="n"/>
      <c r="N817" s="116" t="n"/>
      <c r="P817" s="116" t="n"/>
      <c r="Q817" s="116" t="n"/>
    </row>
    <row r="818" ht="15" customHeight="1" s="117">
      <c r="H818" s="116" t="n"/>
      <c r="I818" s="116" t="n"/>
      <c r="J818" s="116" t="n"/>
      <c r="K818" s="116" t="n"/>
      <c r="L818" s="116" t="n"/>
      <c r="M818" s="116" t="n"/>
      <c r="N818" s="116" t="n"/>
      <c r="P818" s="116" t="n"/>
      <c r="Q818" s="116" t="n"/>
    </row>
    <row r="819" ht="15" customHeight="1" s="117">
      <c r="H819" s="116" t="n"/>
      <c r="I819" s="116" t="n"/>
      <c r="J819" s="116" t="n"/>
      <c r="K819" s="116" t="n"/>
      <c r="L819" s="116" t="n"/>
      <c r="M819" s="116" t="n"/>
      <c r="N819" s="116" t="n"/>
      <c r="P819" s="116" t="n"/>
      <c r="Q819" s="116" t="n"/>
    </row>
    <row r="820" ht="15" customHeight="1" s="117">
      <c r="H820" s="116" t="n"/>
      <c r="I820" s="116" t="n"/>
      <c r="J820" s="116" t="n"/>
      <c r="K820" s="116" t="n"/>
      <c r="L820" s="116" t="n"/>
      <c r="M820" s="116" t="n"/>
      <c r="N820" s="116" t="n"/>
      <c r="P820" s="116" t="n"/>
      <c r="Q820" s="116" t="n"/>
    </row>
    <row r="821" ht="15" customHeight="1" s="117">
      <c r="H821" s="116" t="n"/>
      <c r="I821" s="116" t="n"/>
      <c r="J821" s="116" t="n"/>
      <c r="K821" s="116" t="n"/>
      <c r="L821" s="116" t="n"/>
      <c r="M821" s="116" t="n"/>
      <c r="N821" s="116" t="n"/>
      <c r="P821" s="116" t="n"/>
      <c r="Q821" s="116" t="n"/>
    </row>
    <row r="822" ht="15" customHeight="1" s="117">
      <c r="H822" s="116" t="n"/>
      <c r="I822" s="116" t="n"/>
      <c r="J822" s="116" t="n"/>
      <c r="K822" s="116" t="n"/>
      <c r="L822" s="116" t="n"/>
      <c r="M822" s="116" t="n"/>
      <c r="N822" s="116" t="n"/>
      <c r="P822" s="116" t="n"/>
      <c r="Q822" s="116" t="n"/>
    </row>
    <row r="823" ht="15" customHeight="1" s="117">
      <c r="H823" s="116" t="n"/>
      <c r="I823" s="116" t="n"/>
      <c r="J823" s="116" t="n"/>
      <c r="K823" s="116" t="n"/>
      <c r="L823" s="116" t="n"/>
      <c r="M823" s="116" t="n"/>
      <c r="N823" s="116" t="n"/>
      <c r="P823" s="116" t="n"/>
      <c r="Q823" s="116" t="n"/>
    </row>
    <row r="824" ht="15" customHeight="1" s="117">
      <c r="H824" s="116" t="n"/>
      <c r="I824" s="116" t="n"/>
      <c r="J824" s="116" t="n"/>
      <c r="K824" s="116" t="n"/>
      <c r="L824" s="116" t="n"/>
      <c r="M824" s="116" t="n"/>
      <c r="N824" s="116" t="n"/>
      <c r="P824" s="116" t="n"/>
      <c r="Q824" s="116" t="n"/>
    </row>
    <row r="825" ht="15" customHeight="1" s="117">
      <c r="H825" s="116" t="n"/>
      <c r="I825" s="116" t="n"/>
      <c r="J825" s="116" t="n"/>
      <c r="K825" s="116" t="n"/>
      <c r="L825" s="116" t="n"/>
      <c r="M825" s="116" t="n"/>
      <c r="N825" s="116" t="n"/>
      <c r="P825" s="116" t="n"/>
      <c r="Q825" s="116" t="n"/>
    </row>
    <row r="826" ht="15" customHeight="1" s="117">
      <c r="H826" s="116" t="n"/>
      <c r="I826" s="116" t="n"/>
      <c r="J826" s="116" t="n"/>
      <c r="K826" s="116" t="n"/>
      <c r="L826" s="116" t="n"/>
      <c r="M826" s="116" t="n"/>
      <c r="N826" s="116" t="n"/>
      <c r="P826" s="116" t="n"/>
      <c r="Q826" s="116" t="n"/>
    </row>
    <row r="827" ht="15" customHeight="1" s="117">
      <c r="H827" s="116" t="n"/>
      <c r="I827" s="116" t="n"/>
      <c r="J827" s="116" t="n"/>
      <c r="K827" s="116" t="n"/>
      <c r="L827" s="116" t="n"/>
      <c r="M827" s="116" t="n"/>
      <c r="N827" s="116" t="n"/>
      <c r="P827" s="116" t="n"/>
      <c r="Q827" s="116" t="n"/>
    </row>
    <row r="828" ht="15" customHeight="1" s="117">
      <c r="H828" s="116" t="n"/>
      <c r="I828" s="116" t="n"/>
      <c r="J828" s="116" t="n"/>
      <c r="K828" s="116" t="n"/>
      <c r="L828" s="116" t="n"/>
      <c r="M828" s="116" t="n"/>
      <c r="N828" s="116" t="n"/>
      <c r="P828" s="116" t="n"/>
      <c r="Q828" s="116" t="n"/>
    </row>
    <row r="829" ht="15" customHeight="1" s="117">
      <c r="H829" s="116" t="n"/>
      <c r="I829" s="116" t="n"/>
      <c r="J829" s="116" t="n"/>
      <c r="K829" s="116" t="n"/>
      <c r="L829" s="116" t="n"/>
      <c r="M829" s="116" t="n"/>
      <c r="N829" s="116" t="n"/>
      <c r="P829" s="116" t="n"/>
      <c r="Q829" s="116" t="n"/>
    </row>
    <row r="830" ht="15" customHeight="1" s="117">
      <c r="H830" s="116" t="n"/>
      <c r="I830" s="116" t="n"/>
      <c r="J830" s="116" t="n"/>
      <c r="K830" s="116" t="n"/>
      <c r="L830" s="116" t="n"/>
      <c r="M830" s="116" t="n"/>
      <c r="N830" s="116" t="n"/>
      <c r="P830" s="116" t="n"/>
      <c r="Q830" s="116" t="n"/>
    </row>
    <row r="831" ht="15" customHeight="1" s="117">
      <c r="H831" s="116" t="n"/>
      <c r="I831" s="116" t="n"/>
      <c r="J831" s="116" t="n"/>
      <c r="K831" s="116" t="n"/>
      <c r="L831" s="116" t="n"/>
      <c r="M831" s="116" t="n"/>
      <c r="N831" s="116" t="n"/>
      <c r="P831" s="116" t="n"/>
      <c r="Q831" s="116" t="n"/>
    </row>
    <row r="832" ht="15" customHeight="1" s="117">
      <c r="H832" s="116" t="n"/>
      <c r="I832" s="116" t="n"/>
      <c r="J832" s="116" t="n"/>
      <c r="K832" s="116" t="n"/>
      <c r="L832" s="116" t="n"/>
      <c r="M832" s="116" t="n"/>
      <c r="N832" s="116" t="n"/>
      <c r="P832" s="116" t="n"/>
      <c r="Q832" s="116" t="n"/>
    </row>
    <row r="833" ht="15" customHeight="1" s="117">
      <c r="H833" s="116" t="n"/>
      <c r="I833" s="116" t="n"/>
      <c r="J833" s="116" t="n"/>
      <c r="K833" s="116" t="n"/>
      <c r="L833" s="116" t="n"/>
      <c r="M833" s="116" t="n"/>
      <c r="N833" s="116" t="n"/>
      <c r="P833" s="116" t="n"/>
      <c r="Q833" s="116" t="n"/>
    </row>
    <row r="834" ht="15" customHeight="1" s="117">
      <c r="H834" s="116" t="n"/>
      <c r="I834" s="116" t="n"/>
      <c r="J834" s="116" t="n"/>
      <c r="K834" s="116" t="n"/>
      <c r="L834" s="116" t="n"/>
      <c r="M834" s="116" t="n"/>
      <c r="N834" s="116" t="n"/>
      <c r="P834" s="116" t="n"/>
      <c r="Q834" s="116" t="n"/>
    </row>
    <row r="835" ht="15" customHeight="1" s="117">
      <c r="H835" s="116" t="n"/>
      <c r="I835" s="116" t="n"/>
      <c r="J835" s="116" t="n"/>
      <c r="K835" s="116" t="n"/>
      <c r="L835" s="116" t="n"/>
      <c r="M835" s="116" t="n"/>
      <c r="N835" s="116" t="n"/>
      <c r="P835" s="116" t="n"/>
      <c r="Q835" s="116" t="n"/>
    </row>
    <row r="836" ht="15" customHeight="1" s="117">
      <c r="H836" s="116" t="n"/>
      <c r="I836" s="116" t="n"/>
      <c r="J836" s="116" t="n"/>
      <c r="K836" s="116" t="n"/>
      <c r="L836" s="116" t="n"/>
      <c r="M836" s="116" t="n"/>
      <c r="N836" s="116" t="n"/>
      <c r="P836" s="116" t="n"/>
      <c r="Q836" s="116" t="n"/>
    </row>
    <row r="837" ht="15" customHeight="1" s="117">
      <c r="H837" s="116" t="n"/>
      <c r="I837" s="116" t="n"/>
      <c r="J837" s="116" t="n"/>
      <c r="K837" s="116" t="n"/>
      <c r="L837" s="116" t="n"/>
      <c r="M837" s="116" t="n"/>
      <c r="N837" s="116" t="n"/>
      <c r="P837" s="116" t="n"/>
      <c r="Q837" s="116" t="n"/>
    </row>
    <row r="838" ht="15" customHeight="1" s="117">
      <c r="H838" s="116" t="n"/>
      <c r="I838" s="116" t="n"/>
      <c r="J838" s="116" t="n"/>
      <c r="K838" s="116" t="n"/>
      <c r="L838" s="116" t="n"/>
      <c r="M838" s="116" t="n"/>
      <c r="N838" s="116" t="n"/>
      <c r="P838" s="116" t="n"/>
      <c r="Q838" s="116" t="n"/>
    </row>
    <row r="839" ht="15" customHeight="1" s="117">
      <c r="H839" s="116" t="n"/>
      <c r="I839" s="116" t="n"/>
      <c r="J839" s="116" t="n"/>
      <c r="K839" s="116" t="n"/>
      <c r="L839" s="116" t="n"/>
      <c r="M839" s="116" t="n"/>
      <c r="N839" s="116" t="n"/>
      <c r="P839" s="116" t="n"/>
      <c r="Q839" s="116" t="n"/>
    </row>
    <row r="840" ht="15" customHeight="1" s="117">
      <c r="H840" s="116" t="n"/>
      <c r="I840" s="116" t="n"/>
      <c r="J840" s="116" t="n"/>
      <c r="K840" s="116" t="n"/>
      <c r="L840" s="116" t="n"/>
      <c r="M840" s="116" t="n"/>
      <c r="N840" s="116" t="n"/>
      <c r="P840" s="116" t="n"/>
      <c r="Q840" s="116" t="n"/>
    </row>
    <row r="841" ht="15" customHeight="1" s="117">
      <c r="H841" s="116" t="n"/>
      <c r="I841" s="116" t="n"/>
      <c r="J841" s="116" t="n"/>
      <c r="K841" s="116" t="n"/>
      <c r="L841" s="116" t="n"/>
      <c r="M841" s="116" t="n"/>
      <c r="N841" s="116" t="n"/>
      <c r="P841" s="116" t="n"/>
      <c r="Q841" s="116" t="n"/>
    </row>
    <row r="842" ht="15" customHeight="1" s="117">
      <c r="H842" s="116" t="n"/>
      <c r="I842" s="116" t="n"/>
      <c r="J842" s="116" t="n"/>
      <c r="K842" s="116" t="n"/>
      <c r="L842" s="116" t="n"/>
      <c r="M842" s="116" t="n"/>
      <c r="N842" s="116" t="n"/>
      <c r="P842" s="116" t="n"/>
      <c r="Q842" s="116" t="n"/>
    </row>
    <row r="843" ht="15" customHeight="1" s="117">
      <c r="H843" s="116" t="n"/>
      <c r="I843" s="116" t="n"/>
      <c r="J843" s="116" t="n"/>
      <c r="K843" s="116" t="n"/>
      <c r="L843" s="116" t="n"/>
      <c r="M843" s="116" t="n"/>
      <c r="N843" s="116" t="n"/>
      <c r="P843" s="116" t="n"/>
      <c r="Q843" s="116" t="n"/>
    </row>
    <row r="844" ht="15" customHeight="1" s="117">
      <c r="H844" s="116" t="n"/>
      <c r="I844" s="116" t="n"/>
      <c r="J844" s="116" t="n"/>
      <c r="K844" s="116" t="n"/>
      <c r="L844" s="116" t="n"/>
      <c r="M844" s="116" t="n"/>
      <c r="N844" s="116" t="n"/>
      <c r="P844" s="116" t="n"/>
      <c r="Q844" s="116" t="n"/>
    </row>
    <row r="845" ht="15" customHeight="1" s="117">
      <c r="H845" s="116" t="n"/>
      <c r="I845" s="116" t="n"/>
      <c r="J845" s="116" t="n"/>
      <c r="K845" s="116" t="n"/>
      <c r="L845" s="116" t="n"/>
      <c r="M845" s="116" t="n"/>
      <c r="N845" s="116" t="n"/>
      <c r="P845" s="116" t="n"/>
      <c r="Q845" s="116" t="n"/>
    </row>
    <row r="846" ht="15" customHeight="1" s="117">
      <c r="H846" s="116" t="n"/>
      <c r="I846" s="116" t="n"/>
      <c r="J846" s="116" t="n"/>
      <c r="K846" s="116" t="n"/>
      <c r="L846" s="116" t="n"/>
      <c r="M846" s="116" t="n"/>
      <c r="N846" s="116" t="n"/>
      <c r="P846" s="116" t="n"/>
      <c r="Q846" s="116" t="n"/>
    </row>
    <row r="847" ht="15" customHeight="1" s="117">
      <c r="H847" s="116" t="n"/>
      <c r="I847" s="116" t="n"/>
      <c r="J847" s="116" t="n"/>
      <c r="K847" s="116" t="n"/>
      <c r="L847" s="116" t="n"/>
      <c r="M847" s="116" t="n"/>
      <c r="N847" s="116" t="n"/>
      <c r="P847" s="116" t="n"/>
      <c r="Q847" s="116" t="n"/>
    </row>
    <row r="848" ht="15" customHeight="1" s="117">
      <c r="H848" s="116" t="n"/>
      <c r="I848" s="116" t="n"/>
      <c r="J848" s="116" t="n"/>
      <c r="K848" s="116" t="n"/>
      <c r="L848" s="116" t="n"/>
      <c r="M848" s="116" t="n"/>
      <c r="N848" s="116" t="n"/>
      <c r="P848" s="116" t="n"/>
      <c r="Q848" s="116" t="n"/>
    </row>
    <row r="849" ht="15" customHeight="1" s="117">
      <c r="H849" s="116" t="n"/>
      <c r="I849" s="116" t="n"/>
      <c r="J849" s="116" t="n"/>
      <c r="K849" s="116" t="n"/>
      <c r="L849" s="116" t="n"/>
      <c r="M849" s="116" t="n"/>
      <c r="N849" s="116" t="n"/>
      <c r="P849" s="116" t="n"/>
      <c r="Q849" s="116" t="n"/>
    </row>
    <row r="850" ht="15" customHeight="1" s="117">
      <c r="H850" s="116" t="n"/>
      <c r="I850" s="116" t="n"/>
      <c r="J850" s="116" t="n"/>
      <c r="K850" s="116" t="n"/>
      <c r="L850" s="116" t="n"/>
      <c r="M850" s="116" t="n"/>
      <c r="N850" s="116" t="n"/>
      <c r="P850" s="116" t="n"/>
      <c r="Q850" s="116" t="n"/>
    </row>
    <row r="851" ht="15" customHeight="1" s="117">
      <c r="H851" s="116" t="n"/>
      <c r="I851" s="116" t="n"/>
      <c r="J851" s="116" t="n"/>
      <c r="K851" s="116" t="n"/>
      <c r="L851" s="116" t="n"/>
      <c r="M851" s="116" t="n"/>
      <c r="N851" s="116" t="n"/>
      <c r="P851" s="116" t="n"/>
      <c r="Q851" s="116" t="n"/>
    </row>
    <row r="852" ht="15" customHeight="1" s="117">
      <c r="H852" s="116" t="n"/>
      <c r="I852" s="116" t="n"/>
      <c r="J852" s="116" t="n"/>
      <c r="K852" s="116" t="n"/>
      <c r="L852" s="116" t="n"/>
      <c r="M852" s="116" t="n"/>
      <c r="N852" s="116" t="n"/>
      <c r="P852" s="116" t="n"/>
      <c r="Q852" s="116" t="n"/>
    </row>
    <row r="853" ht="15" customHeight="1" s="117">
      <c r="H853" s="116" t="n"/>
      <c r="I853" s="116" t="n"/>
      <c r="J853" s="116" t="n"/>
      <c r="K853" s="116" t="n"/>
      <c r="L853" s="116" t="n"/>
      <c r="M853" s="116" t="n"/>
      <c r="N853" s="116" t="n"/>
      <c r="P853" s="116" t="n"/>
      <c r="Q853" s="116" t="n"/>
    </row>
    <row r="854" ht="15" customHeight="1" s="117">
      <c r="H854" s="116" t="n"/>
      <c r="I854" s="116" t="n"/>
      <c r="J854" s="116" t="n"/>
      <c r="K854" s="116" t="n"/>
      <c r="L854" s="116" t="n"/>
      <c r="M854" s="116" t="n"/>
      <c r="N854" s="116" t="n"/>
      <c r="P854" s="116" t="n"/>
      <c r="Q854" s="116" t="n"/>
    </row>
    <row r="855" ht="15" customHeight="1" s="117">
      <c r="H855" s="116" t="n"/>
      <c r="I855" s="116" t="n"/>
      <c r="J855" s="116" t="n"/>
      <c r="K855" s="116" t="n"/>
      <c r="L855" s="116" t="n"/>
      <c r="M855" s="116" t="n"/>
      <c r="N855" s="116" t="n"/>
      <c r="P855" s="116" t="n"/>
      <c r="Q855" s="116" t="n"/>
    </row>
    <row r="856" ht="15" customHeight="1" s="117">
      <c r="H856" s="116" t="n"/>
      <c r="I856" s="116" t="n"/>
      <c r="J856" s="116" t="n"/>
      <c r="K856" s="116" t="n"/>
      <c r="L856" s="116" t="n"/>
      <c r="M856" s="116" t="n"/>
      <c r="N856" s="116" t="n"/>
      <c r="P856" s="116" t="n"/>
      <c r="Q856" s="116" t="n"/>
    </row>
    <row r="857" ht="15" customHeight="1" s="117">
      <c r="H857" s="116" t="n"/>
      <c r="I857" s="116" t="n"/>
      <c r="J857" s="116" t="n"/>
      <c r="K857" s="116" t="n"/>
      <c r="L857" s="116" t="n"/>
      <c r="M857" s="116" t="n"/>
      <c r="N857" s="116" t="n"/>
      <c r="P857" s="116" t="n"/>
      <c r="Q857" s="116" t="n"/>
    </row>
    <row r="858" ht="15" customHeight="1" s="117">
      <c r="H858" s="116" t="n"/>
      <c r="I858" s="116" t="n"/>
      <c r="J858" s="116" t="n"/>
      <c r="K858" s="116" t="n"/>
      <c r="L858" s="116" t="n"/>
      <c r="M858" s="116" t="n"/>
      <c r="N858" s="116" t="n"/>
      <c r="P858" s="116" t="n"/>
      <c r="Q858" s="116" t="n"/>
    </row>
    <row r="859" ht="15" customHeight="1" s="117">
      <c r="H859" s="116" t="n"/>
      <c r="I859" s="116" t="n"/>
      <c r="J859" s="116" t="n"/>
      <c r="K859" s="116" t="n"/>
      <c r="L859" s="116" t="n"/>
      <c r="M859" s="116" t="n"/>
      <c r="N859" s="116" t="n"/>
      <c r="P859" s="116" t="n"/>
      <c r="Q859" s="116" t="n"/>
    </row>
    <row r="860" ht="15" customHeight="1" s="117">
      <c r="H860" s="116" t="n"/>
      <c r="I860" s="116" t="n"/>
      <c r="J860" s="116" t="n"/>
      <c r="K860" s="116" t="n"/>
      <c r="L860" s="116" t="n"/>
      <c r="M860" s="116" t="n"/>
      <c r="N860" s="116" t="n"/>
      <c r="P860" s="116" t="n"/>
      <c r="Q860" s="116" t="n"/>
    </row>
    <row r="861" ht="15" customHeight="1" s="117">
      <c r="H861" s="116" t="n"/>
      <c r="I861" s="116" t="n"/>
      <c r="J861" s="116" t="n"/>
      <c r="K861" s="116" t="n"/>
      <c r="L861" s="116" t="n"/>
      <c r="M861" s="116" t="n"/>
      <c r="N861" s="116" t="n"/>
      <c r="P861" s="116" t="n"/>
      <c r="Q861" s="116" t="n"/>
    </row>
    <row r="862" ht="15" customHeight="1" s="117">
      <c r="H862" s="116" t="n"/>
      <c r="I862" s="116" t="n"/>
      <c r="J862" s="116" t="n"/>
      <c r="K862" s="116" t="n"/>
      <c r="L862" s="116" t="n"/>
      <c r="M862" s="116" t="n"/>
      <c r="N862" s="116" t="n"/>
      <c r="P862" s="116" t="n"/>
      <c r="Q862" s="116" t="n"/>
    </row>
    <row r="863" ht="15" customHeight="1" s="117">
      <c r="H863" s="116" t="n"/>
      <c r="I863" s="116" t="n"/>
      <c r="J863" s="116" t="n"/>
      <c r="K863" s="116" t="n"/>
      <c r="L863" s="116" t="n"/>
      <c r="M863" s="116" t="n"/>
      <c r="N863" s="116" t="n"/>
      <c r="P863" s="116" t="n"/>
      <c r="Q863" s="116" t="n"/>
    </row>
    <row r="864" ht="15" customHeight="1" s="117">
      <c r="H864" s="116" t="n"/>
      <c r="I864" s="116" t="n"/>
      <c r="J864" s="116" t="n"/>
      <c r="K864" s="116" t="n"/>
      <c r="L864" s="116" t="n"/>
      <c r="M864" s="116" t="n"/>
      <c r="N864" s="116" t="n"/>
      <c r="P864" s="116" t="n"/>
      <c r="Q864" s="116" t="n"/>
    </row>
    <row r="865" ht="15" customHeight="1" s="117">
      <c r="H865" s="116" t="n"/>
      <c r="I865" s="116" t="n"/>
      <c r="J865" s="116" t="n"/>
      <c r="K865" s="116" t="n"/>
      <c r="L865" s="116" t="n"/>
      <c r="M865" s="116" t="n"/>
      <c r="N865" s="116" t="n"/>
      <c r="P865" s="116" t="n"/>
      <c r="Q865" s="116" t="n"/>
    </row>
    <row r="866" ht="15" customHeight="1" s="117">
      <c r="H866" s="116" t="n"/>
      <c r="I866" s="116" t="n"/>
      <c r="J866" s="116" t="n"/>
      <c r="K866" s="116" t="n"/>
      <c r="L866" s="116" t="n"/>
      <c r="M866" s="116" t="n"/>
      <c r="N866" s="116" t="n"/>
      <c r="P866" s="116" t="n"/>
      <c r="Q866" s="116" t="n"/>
    </row>
    <row r="867" ht="15" customHeight="1" s="117">
      <c r="H867" s="116" t="n"/>
      <c r="I867" s="116" t="n"/>
      <c r="J867" s="116" t="n"/>
      <c r="K867" s="116" t="n"/>
      <c r="L867" s="116" t="n"/>
      <c r="M867" s="116" t="n"/>
      <c r="N867" s="116" t="n"/>
      <c r="P867" s="116" t="n"/>
      <c r="Q867" s="116" t="n"/>
    </row>
    <row r="868" ht="15" customHeight="1" s="117">
      <c r="H868" s="116" t="n"/>
      <c r="I868" s="116" t="n"/>
      <c r="J868" s="116" t="n"/>
      <c r="K868" s="116" t="n"/>
      <c r="L868" s="116" t="n"/>
      <c r="M868" s="116" t="n"/>
      <c r="N868" s="116" t="n"/>
      <c r="P868" s="116" t="n"/>
      <c r="Q868" s="116" t="n"/>
    </row>
    <row r="869" ht="15" customHeight="1" s="117">
      <c r="H869" s="116" t="n"/>
      <c r="I869" s="116" t="n"/>
      <c r="J869" s="116" t="n"/>
      <c r="K869" s="116" t="n"/>
      <c r="L869" s="116" t="n"/>
      <c r="M869" s="116" t="n"/>
      <c r="N869" s="116" t="n"/>
      <c r="P869" s="116" t="n"/>
      <c r="Q869" s="116" t="n"/>
    </row>
    <row r="870" ht="15" customHeight="1" s="117">
      <c r="H870" s="116" t="n"/>
      <c r="I870" s="116" t="n"/>
      <c r="J870" s="116" t="n"/>
      <c r="K870" s="116" t="n"/>
      <c r="L870" s="116" t="n"/>
      <c r="M870" s="116" t="n"/>
      <c r="N870" s="116" t="n"/>
      <c r="P870" s="116" t="n"/>
      <c r="Q870" s="116" t="n"/>
    </row>
    <row r="871" ht="15" customHeight="1" s="117">
      <c r="H871" s="116" t="n"/>
      <c r="I871" s="116" t="n"/>
      <c r="J871" s="116" t="n"/>
      <c r="K871" s="116" t="n"/>
      <c r="L871" s="116" t="n"/>
      <c r="M871" s="116" t="n"/>
      <c r="N871" s="116" t="n"/>
      <c r="P871" s="116" t="n"/>
      <c r="Q871" s="116" t="n"/>
    </row>
    <row r="872" ht="15" customHeight="1" s="117">
      <c r="H872" s="116" t="n"/>
      <c r="I872" s="116" t="n"/>
      <c r="J872" s="116" t="n"/>
      <c r="K872" s="116" t="n"/>
      <c r="L872" s="116" t="n"/>
      <c r="M872" s="116" t="n"/>
      <c r="N872" s="116" t="n"/>
      <c r="P872" s="116" t="n"/>
      <c r="Q872" s="116" t="n"/>
    </row>
    <row r="873" ht="15" customHeight="1" s="117">
      <c r="H873" s="116" t="n"/>
      <c r="I873" s="116" t="n"/>
      <c r="J873" s="116" t="n"/>
      <c r="K873" s="116" t="n"/>
      <c r="L873" s="116" t="n"/>
      <c r="M873" s="116" t="n"/>
      <c r="N873" s="116" t="n"/>
      <c r="P873" s="116" t="n"/>
      <c r="Q873" s="116" t="n"/>
    </row>
    <row r="874" ht="15" customHeight="1" s="117">
      <c r="H874" s="116" t="n"/>
      <c r="I874" s="116" t="n"/>
      <c r="J874" s="116" t="n"/>
      <c r="K874" s="116" t="n"/>
      <c r="L874" s="116" t="n"/>
      <c r="M874" s="116" t="n"/>
      <c r="N874" s="116" t="n"/>
      <c r="P874" s="116" t="n"/>
      <c r="Q874" s="116" t="n"/>
    </row>
    <row r="875" ht="15" customHeight="1" s="117">
      <c r="H875" s="116" t="n"/>
      <c r="I875" s="116" t="n"/>
      <c r="J875" s="116" t="n"/>
      <c r="K875" s="116" t="n"/>
      <c r="L875" s="116" t="n"/>
      <c r="M875" s="116" t="n"/>
      <c r="N875" s="116" t="n"/>
      <c r="P875" s="116" t="n"/>
      <c r="Q875" s="116" t="n"/>
    </row>
    <row r="876" ht="15" customHeight="1" s="117">
      <c r="H876" s="116" t="n"/>
      <c r="I876" s="116" t="n"/>
      <c r="J876" s="116" t="n"/>
      <c r="K876" s="116" t="n"/>
      <c r="L876" s="116" t="n"/>
      <c r="M876" s="116" t="n"/>
      <c r="N876" s="116" t="n"/>
      <c r="P876" s="116" t="n"/>
      <c r="Q876" s="116" t="n"/>
    </row>
    <row r="877" ht="15" customHeight="1" s="117">
      <c r="H877" s="116" t="n"/>
      <c r="I877" s="116" t="n"/>
      <c r="J877" s="116" t="n"/>
      <c r="K877" s="116" t="n"/>
      <c r="L877" s="116" t="n"/>
      <c r="M877" s="116" t="n"/>
      <c r="N877" s="116" t="n"/>
      <c r="P877" s="116" t="n"/>
      <c r="Q877" s="116" t="n"/>
    </row>
    <row r="878" ht="15" customHeight="1" s="117">
      <c r="H878" s="116" t="n"/>
      <c r="I878" s="116" t="n"/>
      <c r="J878" s="116" t="n"/>
      <c r="K878" s="116" t="n"/>
      <c r="L878" s="116" t="n"/>
      <c r="M878" s="116" t="n"/>
      <c r="N878" s="116" t="n"/>
      <c r="P878" s="116" t="n"/>
      <c r="Q878" s="116" t="n"/>
    </row>
    <row r="879" ht="15" customHeight="1" s="117">
      <c r="H879" s="116" t="n"/>
      <c r="I879" s="116" t="n"/>
      <c r="J879" s="116" t="n"/>
      <c r="K879" s="116" t="n"/>
      <c r="L879" s="116" t="n"/>
      <c r="M879" s="116" t="n"/>
      <c r="N879" s="116" t="n"/>
      <c r="P879" s="116" t="n"/>
      <c r="Q879" s="116" t="n"/>
    </row>
    <row r="880" ht="15" customHeight="1" s="117">
      <c r="H880" s="116" t="n"/>
      <c r="I880" s="116" t="n"/>
      <c r="J880" s="116" t="n"/>
      <c r="K880" s="116" t="n"/>
      <c r="L880" s="116" t="n"/>
      <c r="M880" s="116" t="n"/>
      <c r="N880" s="116" t="n"/>
      <c r="P880" s="116" t="n"/>
      <c r="Q880" s="116" t="n"/>
    </row>
    <row r="881" ht="15" customHeight="1" s="117">
      <c r="H881" s="116" t="n"/>
      <c r="I881" s="116" t="n"/>
      <c r="J881" s="116" t="n"/>
      <c r="K881" s="116" t="n"/>
      <c r="L881" s="116" t="n"/>
      <c r="M881" s="116" t="n"/>
      <c r="N881" s="116" t="n"/>
      <c r="P881" s="116" t="n"/>
      <c r="Q881" s="116" t="n"/>
    </row>
    <row r="882" ht="15" customHeight="1" s="117">
      <c r="H882" s="116" t="n"/>
      <c r="I882" s="116" t="n"/>
      <c r="J882" s="116" t="n"/>
      <c r="K882" s="116" t="n"/>
      <c r="L882" s="116" t="n"/>
      <c r="M882" s="116" t="n"/>
      <c r="N882" s="116" t="n"/>
      <c r="P882" s="116" t="n"/>
      <c r="Q882" s="116" t="n"/>
    </row>
    <row r="883" ht="15" customHeight="1" s="117">
      <c r="H883" s="116" t="n"/>
      <c r="I883" s="116" t="n"/>
      <c r="J883" s="116" t="n"/>
      <c r="K883" s="116" t="n"/>
      <c r="L883" s="116" t="n"/>
      <c r="M883" s="116" t="n"/>
      <c r="N883" s="116" t="n"/>
      <c r="P883" s="116" t="n"/>
      <c r="Q883" s="116" t="n"/>
    </row>
    <row r="884" ht="15" customHeight="1" s="117">
      <c r="H884" s="116" t="n"/>
      <c r="I884" s="116" t="n"/>
      <c r="J884" s="116" t="n"/>
      <c r="K884" s="116" t="n"/>
      <c r="L884" s="116" t="n"/>
      <c r="M884" s="116" t="n"/>
      <c r="N884" s="116" t="n"/>
      <c r="P884" s="116" t="n"/>
      <c r="Q884" s="116" t="n"/>
    </row>
    <row r="885" ht="15" customHeight="1" s="117">
      <c r="H885" s="116" t="n"/>
      <c r="I885" s="116" t="n"/>
      <c r="J885" s="116" t="n"/>
      <c r="K885" s="116" t="n"/>
      <c r="L885" s="116" t="n"/>
      <c r="M885" s="116" t="n"/>
      <c r="N885" s="116" t="n"/>
      <c r="P885" s="116" t="n"/>
      <c r="Q885" s="116" t="n"/>
    </row>
    <row r="886" ht="15" customHeight="1" s="117">
      <c r="H886" s="116" t="n"/>
      <c r="I886" s="116" t="n"/>
      <c r="J886" s="116" t="n"/>
      <c r="K886" s="116" t="n"/>
      <c r="L886" s="116" t="n"/>
      <c r="M886" s="116" t="n"/>
      <c r="N886" s="116" t="n"/>
      <c r="P886" s="116" t="n"/>
      <c r="Q886" s="116" t="n"/>
    </row>
    <row r="887" ht="15" customHeight="1" s="117">
      <c r="H887" s="116" t="n"/>
      <c r="I887" s="116" t="n"/>
      <c r="J887" s="116" t="n"/>
      <c r="K887" s="116" t="n"/>
      <c r="L887" s="116" t="n"/>
      <c r="M887" s="116" t="n"/>
      <c r="N887" s="116" t="n"/>
      <c r="P887" s="116" t="n"/>
      <c r="Q887" s="116" t="n"/>
    </row>
    <row r="888" ht="15" customHeight="1" s="117">
      <c r="H888" s="116" t="n"/>
      <c r="I888" s="116" t="n"/>
      <c r="J888" s="116" t="n"/>
      <c r="K888" s="116" t="n"/>
      <c r="L888" s="116" t="n"/>
      <c r="M888" s="116" t="n"/>
      <c r="N888" s="116" t="n"/>
      <c r="P888" s="116" t="n"/>
      <c r="Q888" s="116" t="n"/>
    </row>
    <row r="889" ht="15" customHeight="1" s="117">
      <c r="H889" s="116" t="n"/>
      <c r="I889" s="116" t="n"/>
      <c r="J889" s="116" t="n"/>
      <c r="K889" s="116" t="n"/>
      <c r="L889" s="116" t="n"/>
      <c r="M889" s="116" t="n"/>
      <c r="N889" s="116" t="n"/>
      <c r="P889" s="116" t="n"/>
      <c r="Q889" s="116" t="n"/>
    </row>
    <row r="890" ht="15" customHeight="1" s="117">
      <c r="H890" s="116" t="n"/>
      <c r="I890" s="116" t="n"/>
      <c r="J890" s="116" t="n"/>
      <c r="K890" s="116" t="n"/>
      <c r="L890" s="116" t="n"/>
      <c r="M890" s="116" t="n"/>
      <c r="N890" s="116" t="n"/>
      <c r="P890" s="116" t="n"/>
      <c r="Q890" s="116" t="n"/>
    </row>
    <row r="891" ht="15" customHeight="1" s="117">
      <c r="H891" s="116" t="n"/>
      <c r="I891" s="116" t="n"/>
      <c r="J891" s="116" t="n"/>
      <c r="K891" s="116" t="n"/>
      <c r="L891" s="116" t="n"/>
      <c r="M891" s="116" t="n"/>
      <c r="N891" s="116" t="n"/>
      <c r="P891" s="116" t="n"/>
      <c r="Q891" s="116" t="n"/>
    </row>
    <row r="892" ht="15" customHeight="1" s="117">
      <c r="H892" s="116" t="n"/>
      <c r="I892" s="116" t="n"/>
      <c r="J892" s="116" t="n"/>
      <c r="K892" s="116" t="n"/>
      <c r="L892" s="116" t="n"/>
      <c r="M892" s="116" t="n"/>
      <c r="N892" s="116" t="n"/>
      <c r="P892" s="116" t="n"/>
      <c r="Q892" s="116" t="n"/>
    </row>
    <row r="893" ht="15" customHeight="1" s="117">
      <c r="H893" s="116" t="n"/>
      <c r="I893" s="116" t="n"/>
      <c r="J893" s="116" t="n"/>
      <c r="K893" s="116" t="n"/>
      <c r="L893" s="116" t="n"/>
      <c r="M893" s="116" t="n"/>
      <c r="N893" s="116" t="n"/>
      <c r="P893" s="116" t="n"/>
      <c r="Q893" s="116" t="n"/>
    </row>
    <row r="894" ht="15" customHeight="1" s="117">
      <c r="H894" s="116" t="n"/>
      <c r="I894" s="116" t="n"/>
      <c r="J894" s="116" t="n"/>
      <c r="K894" s="116" t="n"/>
      <c r="L894" s="116" t="n"/>
      <c r="M894" s="116" t="n"/>
      <c r="N894" s="116" t="n"/>
      <c r="P894" s="116" t="n"/>
      <c r="Q894" s="116" t="n"/>
    </row>
    <row r="895" ht="15" customHeight="1" s="117">
      <c r="H895" s="116" t="n"/>
      <c r="I895" s="116" t="n"/>
      <c r="J895" s="116" t="n"/>
      <c r="K895" s="116" t="n"/>
      <c r="L895" s="116" t="n"/>
      <c r="M895" s="116" t="n"/>
      <c r="N895" s="116" t="n"/>
      <c r="P895" s="116" t="n"/>
      <c r="Q895" s="116" t="n"/>
    </row>
    <row r="896" ht="15" customHeight="1" s="117">
      <c r="H896" s="116" t="n"/>
      <c r="I896" s="116" t="n"/>
      <c r="J896" s="116" t="n"/>
      <c r="K896" s="116" t="n"/>
      <c r="L896" s="116" t="n"/>
      <c r="M896" s="116" t="n"/>
      <c r="N896" s="116" t="n"/>
      <c r="P896" s="116" t="n"/>
      <c r="Q896" s="116" t="n"/>
    </row>
    <row r="897" ht="15" customHeight="1" s="117">
      <c r="H897" s="116" t="n"/>
      <c r="I897" s="116" t="n"/>
      <c r="J897" s="116" t="n"/>
      <c r="K897" s="116" t="n"/>
      <c r="L897" s="116" t="n"/>
      <c r="M897" s="116" t="n"/>
      <c r="N897" s="116" t="n"/>
      <c r="P897" s="116" t="n"/>
      <c r="Q897" s="116" t="n"/>
    </row>
    <row r="898" ht="15" customHeight="1" s="117">
      <c r="H898" s="116" t="n"/>
      <c r="I898" s="116" t="n"/>
      <c r="J898" s="116" t="n"/>
      <c r="K898" s="116" t="n"/>
      <c r="L898" s="116" t="n"/>
      <c r="M898" s="116" t="n"/>
      <c r="N898" s="116" t="n"/>
      <c r="P898" s="116" t="n"/>
      <c r="Q898" s="116" t="n"/>
    </row>
    <row r="899" ht="15" customHeight="1" s="117">
      <c r="H899" s="116" t="n"/>
      <c r="I899" s="116" t="n"/>
      <c r="J899" s="116" t="n"/>
      <c r="K899" s="116" t="n"/>
      <c r="L899" s="116" t="n"/>
      <c r="M899" s="116" t="n"/>
      <c r="N899" s="116" t="n"/>
      <c r="P899" s="116" t="n"/>
      <c r="Q899" s="116" t="n"/>
    </row>
    <row r="900" ht="15" customHeight="1" s="117">
      <c r="H900" s="116" t="n"/>
      <c r="I900" s="116" t="n"/>
      <c r="J900" s="116" t="n"/>
      <c r="K900" s="116" t="n"/>
      <c r="L900" s="116" t="n"/>
      <c r="M900" s="116" t="n"/>
      <c r="N900" s="116" t="n"/>
      <c r="P900" s="116" t="n"/>
      <c r="Q900" s="116" t="n"/>
    </row>
    <row r="901" ht="15" customHeight="1" s="117">
      <c r="H901" s="116" t="n"/>
      <c r="I901" s="116" t="n"/>
      <c r="J901" s="116" t="n"/>
      <c r="K901" s="116" t="n"/>
      <c r="L901" s="116" t="n"/>
      <c r="M901" s="116" t="n"/>
      <c r="N901" s="116" t="n"/>
      <c r="P901" s="116" t="n"/>
      <c r="Q901" s="116" t="n"/>
    </row>
    <row r="902" ht="15" customHeight="1" s="117">
      <c r="H902" s="116" t="n"/>
      <c r="I902" s="116" t="n"/>
      <c r="J902" s="116" t="n"/>
      <c r="K902" s="116" t="n"/>
      <c r="L902" s="116" t="n"/>
      <c r="M902" s="116" t="n"/>
      <c r="N902" s="116" t="n"/>
      <c r="P902" s="116" t="n"/>
      <c r="Q902" s="116" t="n"/>
    </row>
    <row r="903" ht="15" customHeight="1" s="117">
      <c r="H903" s="116" t="n"/>
      <c r="I903" s="116" t="n"/>
      <c r="J903" s="116" t="n"/>
      <c r="K903" s="116" t="n"/>
      <c r="L903" s="116" t="n"/>
      <c r="M903" s="116" t="n"/>
      <c r="N903" s="116" t="n"/>
      <c r="P903" s="116" t="n"/>
      <c r="Q903" s="116" t="n"/>
    </row>
    <row r="904" ht="15" customHeight="1" s="117">
      <c r="H904" s="116" t="n"/>
      <c r="I904" s="116" t="n"/>
      <c r="J904" s="116" t="n"/>
      <c r="K904" s="116" t="n"/>
      <c r="L904" s="116" t="n"/>
      <c r="M904" s="116" t="n"/>
      <c r="N904" s="116" t="n"/>
      <c r="P904" s="116" t="n"/>
      <c r="Q904" s="116" t="n"/>
    </row>
    <row r="905" ht="15" customHeight="1" s="117">
      <c r="H905" s="116" t="n"/>
      <c r="I905" s="116" t="n"/>
      <c r="J905" s="116" t="n"/>
      <c r="K905" s="116" t="n"/>
      <c r="L905" s="116" t="n"/>
      <c r="M905" s="116" t="n"/>
      <c r="N905" s="116" t="n"/>
      <c r="P905" s="116" t="n"/>
      <c r="Q905" s="116" t="n"/>
    </row>
    <row r="906" ht="15" customHeight="1" s="117">
      <c r="H906" s="116" t="n"/>
      <c r="I906" s="116" t="n"/>
      <c r="J906" s="116" t="n"/>
      <c r="K906" s="116" t="n"/>
      <c r="L906" s="116" t="n"/>
      <c r="M906" s="116" t="n"/>
      <c r="N906" s="116" t="n"/>
      <c r="P906" s="116" t="n"/>
      <c r="Q906" s="116" t="n"/>
    </row>
    <row r="907" ht="15" customHeight="1" s="117">
      <c r="H907" s="116" t="n"/>
      <c r="I907" s="116" t="n"/>
      <c r="J907" s="116" t="n"/>
      <c r="K907" s="116" t="n"/>
      <c r="L907" s="116" t="n"/>
      <c r="M907" s="116" t="n"/>
      <c r="N907" s="116" t="n"/>
      <c r="P907" s="116" t="n"/>
      <c r="Q907" s="116" t="n"/>
    </row>
    <row r="908" ht="15" customHeight="1" s="117">
      <c r="H908" s="116" t="n"/>
      <c r="I908" s="116" t="n"/>
      <c r="J908" s="116" t="n"/>
      <c r="K908" s="116" t="n"/>
      <c r="L908" s="116" t="n"/>
      <c r="M908" s="116" t="n"/>
      <c r="N908" s="116" t="n"/>
      <c r="P908" s="116" t="n"/>
      <c r="Q908" s="116" t="n"/>
    </row>
    <row r="909" ht="15" customHeight="1" s="117">
      <c r="H909" s="116" t="n"/>
      <c r="I909" s="116" t="n"/>
      <c r="J909" s="116" t="n"/>
      <c r="K909" s="116" t="n"/>
      <c r="L909" s="116" t="n"/>
      <c r="M909" s="116" t="n"/>
      <c r="N909" s="116" t="n"/>
      <c r="P909" s="116" t="n"/>
      <c r="Q909" s="116" t="n"/>
    </row>
    <row r="910" ht="15" customHeight="1" s="117">
      <c r="H910" s="116" t="n"/>
      <c r="I910" s="116" t="n"/>
      <c r="J910" s="116" t="n"/>
      <c r="K910" s="116" t="n"/>
      <c r="L910" s="116" t="n"/>
      <c r="M910" s="116" t="n"/>
      <c r="N910" s="116" t="n"/>
      <c r="P910" s="116" t="n"/>
      <c r="Q910" s="116" t="n"/>
    </row>
    <row r="911" ht="15" customHeight="1" s="117">
      <c r="H911" s="116" t="n"/>
      <c r="I911" s="116" t="n"/>
      <c r="J911" s="116" t="n"/>
      <c r="K911" s="116" t="n"/>
      <c r="L911" s="116" t="n"/>
      <c r="M911" s="116" t="n"/>
      <c r="N911" s="116" t="n"/>
      <c r="P911" s="116" t="n"/>
      <c r="Q911" s="116" t="n"/>
    </row>
    <row r="912" ht="15" customHeight="1" s="117">
      <c r="H912" s="116" t="n"/>
      <c r="I912" s="116" t="n"/>
      <c r="J912" s="116" t="n"/>
      <c r="K912" s="116" t="n"/>
      <c r="L912" s="116" t="n"/>
      <c r="M912" s="116" t="n"/>
      <c r="N912" s="116" t="n"/>
      <c r="P912" s="116" t="n"/>
      <c r="Q912" s="116" t="n"/>
    </row>
    <row r="913" ht="15" customHeight="1" s="117">
      <c r="H913" s="116" t="n"/>
      <c r="I913" s="116" t="n"/>
      <c r="J913" s="116" t="n"/>
      <c r="K913" s="116" t="n"/>
      <c r="L913" s="116" t="n"/>
      <c r="M913" s="116" t="n"/>
      <c r="N913" s="116" t="n"/>
      <c r="P913" s="116" t="n"/>
      <c r="Q913" s="116" t="n"/>
    </row>
    <row r="914" ht="15" customHeight="1" s="117">
      <c r="H914" s="116" t="n"/>
      <c r="I914" s="116" t="n"/>
      <c r="J914" s="116" t="n"/>
      <c r="K914" s="116" t="n"/>
      <c r="L914" s="116" t="n"/>
      <c r="M914" s="116" t="n"/>
      <c r="N914" s="116" t="n"/>
      <c r="P914" s="116" t="n"/>
      <c r="Q914" s="116" t="n"/>
    </row>
    <row r="915" ht="15" customHeight="1" s="117">
      <c r="H915" s="116" t="n"/>
      <c r="I915" s="116" t="n"/>
      <c r="J915" s="116" t="n"/>
      <c r="K915" s="116" t="n"/>
      <c r="L915" s="116" t="n"/>
      <c r="M915" s="116" t="n"/>
      <c r="N915" s="116" t="n"/>
      <c r="P915" s="116" t="n"/>
      <c r="Q915" s="116" t="n"/>
    </row>
    <row r="916" ht="15" customHeight="1" s="117">
      <c r="H916" s="116" t="n"/>
      <c r="I916" s="116" t="n"/>
      <c r="J916" s="116" t="n"/>
      <c r="K916" s="116" t="n"/>
      <c r="L916" s="116" t="n"/>
      <c r="M916" s="116" t="n"/>
      <c r="N916" s="116" t="n"/>
      <c r="P916" s="116" t="n"/>
      <c r="Q916" s="116" t="n"/>
    </row>
    <row r="917" ht="15" customHeight="1" s="117">
      <c r="H917" s="116" t="n"/>
      <c r="I917" s="116" t="n"/>
      <c r="J917" s="116" t="n"/>
      <c r="K917" s="116" t="n"/>
      <c r="L917" s="116" t="n"/>
      <c r="M917" s="116" t="n"/>
      <c r="N917" s="116" t="n"/>
      <c r="P917" s="116" t="n"/>
      <c r="Q917" s="116" t="n"/>
    </row>
    <row r="918" ht="15" customHeight="1" s="117">
      <c r="H918" s="116" t="n"/>
      <c r="I918" s="116" t="n"/>
      <c r="J918" s="116" t="n"/>
      <c r="K918" s="116" t="n"/>
      <c r="L918" s="116" t="n"/>
      <c r="M918" s="116" t="n"/>
      <c r="N918" s="116" t="n"/>
      <c r="P918" s="116" t="n"/>
      <c r="Q918" s="116" t="n"/>
    </row>
    <row r="919" ht="15" customHeight="1" s="117">
      <c r="H919" s="116" t="n"/>
      <c r="I919" s="116" t="n"/>
      <c r="J919" s="116" t="n"/>
      <c r="K919" s="116" t="n"/>
      <c r="L919" s="116" t="n"/>
      <c r="M919" s="116" t="n"/>
      <c r="N919" s="116" t="n"/>
      <c r="P919" s="116" t="n"/>
      <c r="Q919" s="116" t="n"/>
    </row>
    <row r="920" ht="15" customHeight="1" s="117">
      <c r="H920" s="116" t="n"/>
      <c r="I920" s="116" t="n"/>
      <c r="J920" s="116" t="n"/>
      <c r="K920" s="116" t="n"/>
      <c r="L920" s="116" t="n"/>
      <c r="M920" s="116" t="n"/>
      <c r="N920" s="116" t="n"/>
      <c r="P920" s="116" t="n"/>
      <c r="Q920" s="116" t="n"/>
    </row>
    <row r="921" ht="15" customHeight="1" s="117">
      <c r="H921" s="116" t="n"/>
      <c r="I921" s="116" t="n"/>
      <c r="J921" s="116" t="n"/>
      <c r="K921" s="116" t="n"/>
      <c r="L921" s="116" t="n"/>
      <c r="M921" s="116" t="n"/>
      <c r="N921" s="116" t="n"/>
      <c r="P921" s="116" t="n"/>
      <c r="Q921" s="116" t="n"/>
    </row>
    <row r="922" ht="15" customHeight="1" s="117">
      <c r="H922" s="116" t="n"/>
      <c r="I922" s="116" t="n"/>
      <c r="J922" s="116" t="n"/>
      <c r="K922" s="116" t="n"/>
      <c r="L922" s="116" t="n"/>
      <c r="M922" s="116" t="n"/>
      <c r="N922" s="116" t="n"/>
      <c r="P922" s="116" t="n"/>
      <c r="Q922" s="116" t="n"/>
    </row>
    <row r="923" ht="15" customHeight="1" s="117">
      <c r="H923" s="116" t="n"/>
      <c r="I923" s="116" t="n"/>
      <c r="J923" s="116" t="n"/>
      <c r="K923" s="116" t="n"/>
      <c r="L923" s="116" t="n"/>
      <c r="M923" s="116" t="n"/>
      <c r="N923" s="116" t="n"/>
      <c r="P923" s="116" t="n"/>
      <c r="Q923" s="116" t="n"/>
    </row>
    <row r="924" ht="15" customHeight="1" s="117">
      <c r="H924" s="116" t="n"/>
      <c r="I924" s="116" t="n"/>
      <c r="J924" s="116" t="n"/>
      <c r="K924" s="116" t="n"/>
      <c r="L924" s="116" t="n"/>
      <c r="M924" s="116" t="n"/>
      <c r="N924" s="116" t="n"/>
      <c r="P924" s="116" t="n"/>
      <c r="Q924" s="116" t="n"/>
    </row>
    <row r="925" ht="15" customHeight="1" s="117">
      <c r="H925" s="116" t="n"/>
      <c r="I925" s="116" t="n"/>
      <c r="J925" s="116" t="n"/>
      <c r="K925" s="116" t="n"/>
      <c r="L925" s="116" t="n"/>
      <c r="M925" s="116" t="n"/>
      <c r="N925" s="116" t="n"/>
      <c r="P925" s="116" t="n"/>
      <c r="Q925" s="116" t="n"/>
    </row>
    <row r="926" ht="15" customHeight="1" s="117">
      <c r="H926" s="116" t="n"/>
      <c r="I926" s="116" t="n"/>
      <c r="J926" s="116" t="n"/>
      <c r="K926" s="116" t="n"/>
      <c r="L926" s="116" t="n"/>
      <c r="M926" s="116" t="n"/>
      <c r="N926" s="116" t="n"/>
      <c r="P926" s="116" t="n"/>
      <c r="Q926" s="116" t="n"/>
    </row>
    <row r="927" ht="15" customHeight="1" s="117">
      <c r="H927" s="116" t="n"/>
      <c r="I927" s="116" t="n"/>
      <c r="J927" s="116" t="n"/>
      <c r="K927" s="116" t="n"/>
      <c r="L927" s="116" t="n"/>
      <c r="M927" s="116" t="n"/>
      <c r="N927" s="116" t="n"/>
      <c r="P927" s="116" t="n"/>
      <c r="Q927" s="116" t="n"/>
    </row>
    <row r="928" ht="15" customHeight="1" s="117">
      <c r="H928" s="116" t="n"/>
      <c r="I928" s="116" t="n"/>
      <c r="J928" s="116" t="n"/>
      <c r="K928" s="116" t="n"/>
      <c r="L928" s="116" t="n"/>
      <c r="M928" s="116" t="n"/>
      <c r="N928" s="116" t="n"/>
      <c r="P928" s="116" t="n"/>
      <c r="Q928" s="116" t="n"/>
    </row>
    <row r="929" ht="15" customHeight="1" s="117">
      <c r="H929" s="116" t="n"/>
      <c r="I929" s="116" t="n"/>
      <c r="J929" s="116" t="n"/>
      <c r="K929" s="116" t="n"/>
      <c r="L929" s="116" t="n"/>
      <c r="M929" s="116" t="n"/>
      <c r="N929" s="116" t="n"/>
      <c r="P929" s="116" t="n"/>
      <c r="Q929" s="116" t="n"/>
    </row>
    <row r="930" ht="15" customHeight="1" s="117">
      <c r="H930" s="116" t="n"/>
      <c r="I930" s="116" t="n"/>
      <c r="J930" s="116" t="n"/>
      <c r="K930" s="116" t="n"/>
      <c r="L930" s="116" t="n"/>
      <c r="M930" s="116" t="n"/>
      <c r="N930" s="116" t="n"/>
      <c r="P930" s="116" t="n"/>
      <c r="Q930" s="116" t="n"/>
    </row>
    <row r="931" ht="15" customHeight="1" s="117">
      <c r="H931" s="116" t="n"/>
      <c r="I931" s="116" t="n"/>
      <c r="J931" s="116" t="n"/>
      <c r="K931" s="116" t="n"/>
      <c r="L931" s="116" t="n"/>
      <c r="M931" s="116" t="n"/>
      <c r="N931" s="116" t="n"/>
      <c r="P931" s="116" t="n"/>
      <c r="Q931" s="116" t="n"/>
    </row>
    <row r="932" ht="15" customHeight="1" s="117">
      <c r="H932" s="116" t="n"/>
      <c r="I932" s="116" t="n"/>
      <c r="J932" s="116" t="n"/>
      <c r="K932" s="116" t="n"/>
      <c r="L932" s="116" t="n"/>
      <c r="M932" s="116" t="n"/>
      <c r="N932" s="116" t="n"/>
      <c r="P932" s="116" t="n"/>
      <c r="Q932" s="116" t="n"/>
    </row>
    <row r="933" ht="15" customHeight="1" s="117">
      <c r="H933" s="116" t="n"/>
      <c r="I933" s="116" t="n"/>
      <c r="J933" s="116" t="n"/>
      <c r="K933" s="116" t="n"/>
      <c r="L933" s="116" t="n"/>
      <c r="M933" s="116" t="n"/>
      <c r="N933" s="116" t="n"/>
      <c r="P933" s="116" t="n"/>
      <c r="Q933" s="116" t="n"/>
    </row>
    <row r="934" ht="15" customHeight="1" s="117">
      <c r="H934" s="116" t="n"/>
      <c r="I934" s="116" t="n"/>
      <c r="J934" s="116" t="n"/>
      <c r="K934" s="116" t="n"/>
      <c r="L934" s="116" t="n"/>
      <c r="M934" s="116" t="n"/>
      <c r="N934" s="116" t="n"/>
      <c r="P934" s="116" t="n"/>
      <c r="Q934" s="116" t="n"/>
    </row>
    <row r="935" ht="15" customHeight="1" s="117">
      <c r="H935" s="116" t="n"/>
      <c r="I935" s="116" t="n"/>
      <c r="J935" s="116" t="n"/>
      <c r="K935" s="116" t="n"/>
      <c r="L935" s="116" t="n"/>
      <c r="M935" s="116" t="n"/>
      <c r="N935" s="116" t="n"/>
      <c r="P935" s="116" t="n"/>
      <c r="Q935" s="116" t="n"/>
    </row>
    <row r="936" ht="15" customHeight="1" s="117">
      <c r="H936" s="116" t="n"/>
      <c r="I936" s="116" t="n"/>
      <c r="J936" s="116" t="n"/>
      <c r="K936" s="116" t="n"/>
      <c r="L936" s="116" t="n"/>
      <c r="M936" s="116" t="n"/>
      <c r="N936" s="116" t="n"/>
      <c r="P936" s="116" t="n"/>
      <c r="Q936" s="116" t="n"/>
    </row>
    <row r="937" ht="15" customHeight="1" s="117">
      <c r="H937" s="116" t="n"/>
      <c r="I937" s="116" t="n"/>
      <c r="J937" s="116" t="n"/>
      <c r="K937" s="116" t="n"/>
      <c r="L937" s="116" t="n"/>
      <c r="M937" s="116" t="n"/>
      <c r="N937" s="116" t="n"/>
      <c r="P937" s="116" t="n"/>
      <c r="Q937" s="116" t="n"/>
    </row>
    <row r="938" ht="15" customHeight="1" s="117">
      <c r="H938" s="116" t="n"/>
      <c r="I938" s="116" t="n"/>
      <c r="J938" s="116" t="n"/>
      <c r="K938" s="116" t="n"/>
      <c r="L938" s="116" t="n"/>
      <c r="M938" s="116" t="n"/>
      <c r="N938" s="116" t="n"/>
      <c r="P938" s="116" t="n"/>
      <c r="Q938" s="116" t="n"/>
    </row>
    <row r="939" ht="15" customHeight="1" s="117">
      <c r="H939" s="116" t="n"/>
      <c r="I939" s="116" t="n"/>
      <c r="J939" s="116" t="n"/>
      <c r="K939" s="116" t="n"/>
      <c r="L939" s="116" t="n"/>
      <c r="M939" s="116" t="n"/>
      <c r="N939" s="116" t="n"/>
      <c r="P939" s="116" t="n"/>
      <c r="Q939" s="116" t="n"/>
    </row>
    <row r="940" ht="15" customHeight="1" s="117">
      <c r="H940" s="116" t="n"/>
      <c r="I940" s="116" t="n"/>
      <c r="J940" s="116" t="n"/>
      <c r="K940" s="116" t="n"/>
      <c r="L940" s="116" t="n"/>
      <c r="M940" s="116" t="n"/>
      <c r="N940" s="116" t="n"/>
      <c r="P940" s="116" t="n"/>
      <c r="Q940" s="116" t="n"/>
    </row>
    <row r="941" ht="15" customHeight="1" s="117">
      <c r="H941" s="116" t="n"/>
      <c r="I941" s="116" t="n"/>
      <c r="J941" s="116" t="n"/>
      <c r="K941" s="116" t="n"/>
      <c r="L941" s="116" t="n"/>
      <c r="M941" s="116" t="n"/>
      <c r="N941" s="116" t="n"/>
      <c r="P941" s="116" t="n"/>
      <c r="Q941" s="116" t="n"/>
    </row>
    <row r="942" ht="15" customHeight="1" s="117">
      <c r="H942" s="116" t="n"/>
      <c r="I942" s="116" t="n"/>
      <c r="J942" s="116" t="n"/>
      <c r="K942" s="116" t="n"/>
      <c r="L942" s="116" t="n"/>
      <c r="M942" s="116" t="n"/>
      <c r="N942" s="116" t="n"/>
      <c r="P942" s="116" t="n"/>
      <c r="Q942" s="116" t="n"/>
    </row>
    <row r="943" ht="15" customHeight="1" s="117">
      <c r="H943" s="116" t="n"/>
      <c r="I943" s="116" t="n"/>
      <c r="J943" s="116" t="n"/>
      <c r="K943" s="116" t="n"/>
      <c r="L943" s="116" t="n"/>
      <c r="M943" s="116" t="n"/>
      <c r="N943" s="116" t="n"/>
      <c r="P943" s="116" t="n"/>
      <c r="Q943" s="116" t="n"/>
    </row>
    <row r="944" ht="15" customHeight="1" s="117">
      <c r="H944" s="116" t="n"/>
      <c r="I944" s="116" t="n"/>
      <c r="J944" s="116" t="n"/>
      <c r="K944" s="116" t="n"/>
      <c r="L944" s="116" t="n"/>
      <c r="M944" s="116" t="n"/>
      <c r="N944" s="116" t="n"/>
      <c r="P944" s="116" t="n"/>
      <c r="Q944" s="116" t="n"/>
    </row>
    <row r="945" ht="15" customHeight="1" s="117">
      <c r="H945" s="116" t="n"/>
      <c r="I945" s="116" t="n"/>
      <c r="J945" s="116" t="n"/>
      <c r="K945" s="116" t="n"/>
      <c r="L945" s="116" t="n"/>
      <c r="M945" s="116" t="n"/>
      <c r="N945" s="116" t="n"/>
      <c r="P945" s="116" t="n"/>
      <c r="Q945" s="116" t="n"/>
    </row>
    <row r="946" ht="15" customHeight="1" s="117">
      <c r="H946" s="116" t="n"/>
      <c r="I946" s="116" t="n"/>
      <c r="J946" s="116" t="n"/>
      <c r="K946" s="116" t="n"/>
      <c r="L946" s="116" t="n"/>
      <c r="M946" s="116" t="n"/>
      <c r="N946" s="116" t="n"/>
      <c r="P946" s="116" t="n"/>
      <c r="Q946" s="116" t="n"/>
    </row>
    <row r="947" ht="15" customHeight="1" s="117">
      <c r="H947" s="116" t="n"/>
      <c r="I947" s="116" t="n"/>
      <c r="J947" s="116" t="n"/>
      <c r="K947" s="116" t="n"/>
      <c r="L947" s="116" t="n"/>
      <c r="M947" s="116" t="n"/>
      <c r="N947" s="116" t="n"/>
      <c r="P947" s="116" t="n"/>
      <c r="Q947" s="116" t="n"/>
    </row>
    <row r="948" ht="15" customHeight="1" s="117">
      <c r="H948" s="116" t="n"/>
      <c r="I948" s="116" t="n"/>
      <c r="J948" s="116" t="n"/>
      <c r="K948" s="116" t="n"/>
      <c r="L948" s="116" t="n"/>
      <c r="M948" s="116" t="n"/>
      <c r="N948" s="116" t="n"/>
      <c r="P948" s="116" t="n"/>
      <c r="Q948" s="116" t="n"/>
    </row>
    <row r="949" ht="15" customHeight="1" s="117">
      <c r="H949" s="116" t="n"/>
      <c r="I949" s="116" t="n"/>
      <c r="J949" s="116" t="n"/>
      <c r="K949" s="116" t="n"/>
      <c r="L949" s="116" t="n"/>
      <c r="M949" s="116" t="n"/>
      <c r="N949" s="116" t="n"/>
      <c r="P949" s="116" t="n"/>
      <c r="Q949" s="116" t="n"/>
    </row>
    <row r="950" ht="15" customHeight="1" s="117">
      <c r="H950" s="116" t="n"/>
      <c r="I950" s="116" t="n"/>
      <c r="J950" s="116" t="n"/>
      <c r="K950" s="116" t="n"/>
      <c r="L950" s="116" t="n"/>
      <c r="M950" s="116" t="n"/>
      <c r="N950" s="116" t="n"/>
      <c r="P950" s="116" t="n"/>
      <c r="Q950" s="116" t="n"/>
    </row>
    <row r="951" ht="15" customHeight="1" s="117">
      <c r="H951" s="116" t="n"/>
      <c r="I951" s="116" t="n"/>
      <c r="J951" s="116" t="n"/>
      <c r="K951" s="116" t="n"/>
      <c r="L951" s="116" t="n"/>
      <c r="M951" s="116" t="n"/>
      <c r="N951" s="116" t="n"/>
      <c r="P951" s="116" t="n"/>
      <c r="Q951" s="116" t="n"/>
    </row>
    <row r="952" ht="15" customHeight="1" s="117">
      <c r="H952" s="116" t="n"/>
      <c r="I952" s="116" t="n"/>
      <c r="J952" s="116" t="n"/>
      <c r="K952" s="116" t="n"/>
      <c r="L952" s="116" t="n"/>
      <c r="M952" s="116" t="n"/>
      <c r="N952" s="116" t="n"/>
      <c r="P952" s="116" t="n"/>
      <c r="Q952" s="116" t="n"/>
    </row>
    <row r="953" ht="15" customHeight="1" s="117">
      <c r="H953" s="116" t="n"/>
      <c r="I953" s="116" t="n"/>
      <c r="J953" s="116" t="n"/>
      <c r="K953" s="116" t="n"/>
      <c r="L953" s="116" t="n"/>
      <c r="M953" s="116" t="n"/>
      <c r="N953" s="116" t="n"/>
      <c r="P953" s="116" t="n"/>
      <c r="Q953" s="116" t="n"/>
    </row>
    <row r="954" ht="15" customHeight="1" s="117">
      <c r="H954" s="116" t="n"/>
      <c r="I954" s="116" t="n"/>
      <c r="J954" s="116" t="n"/>
      <c r="K954" s="116" t="n"/>
      <c r="L954" s="116" t="n"/>
      <c r="M954" s="116" t="n"/>
      <c r="N954" s="116" t="n"/>
      <c r="P954" s="116" t="n"/>
      <c r="Q954" s="116" t="n"/>
    </row>
    <row r="955" ht="15" customHeight="1" s="117">
      <c r="H955" s="116" t="n"/>
      <c r="I955" s="116" t="n"/>
      <c r="J955" s="116" t="n"/>
      <c r="K955" s="116" t="n"/>
      <c r="L955" s="116" t="n"/>
      <c r="M955" s="116" t="n"/>
      <c r="N955" s="116" t="n"/>
      <c r="P955" s="116" t="n"/>
      <c r="Q955" s="116" t="n"/>
    </row>
    <row r="956" ht="15" customHeight="1" s="117">
      <c r="H956" s="116" t="n"/>
      <c r="I956" s="116" t="n"/>
      <c r="J956" s="116" t="n"/>
      <c r="K956" s="116" t="n"/>
      <c r="L956" s="116" t="n"/>
      <c r="M956" s="116" t="n"/>
      <c r="N956" s="116" t="n"/>
      <c r="P956" s="116" t="n"/>
      <c r="Q956" s="116" t="n"/>
    </row>
    <row r="957" ht="15" customHeight="1" s="117">
      <c r="H957" s="116" t="n"/>
      <c r="I957" s="116" t="n"/>
      <c r="J957" s="116" t="n"/>
      <c r="K957" s="116" t="n"/>
      <c r="L957" s="116" t="n"/>
      <c r="M957" s="116" t="n"/>
      <c r="N957" s="116" t="n"/>
      <c r="P957" s="116" t="n"/>
      <c r="Q957" s="116" t="n"/>
    </row>
    <row r="958" ht="15" customHeight="1" s="117">
      <c r="H958" s="116" t="n"/>
      <c r="I958" s="116" t="n"/>
      <c r="J958" s="116" t="n"/>
      <c r="K958" s="116" t="n"/>
      <c r="L958" s="116" t="n"/>
      <c r="M958" s="116" t="n"/>
      <c r="N958" s="116" t="n"/>
      <c r="P958" s="116" t="n"/>
      <c r="Q958" s="116" t="n"/>
    </row>
    <row r="959" ht="15" customHeight="1" s="117">
      <c r="H959" s="116" t="n"/>
      <c r="I959" s="116" t="n"/>
      <c r="J959" s="116" t="n"/>
      <c r="K959" s="116" t="n"/>
      <c r="L959" s="116" t="n"/>
      <c r="M959" s="116" t="n"/>
      <c r="N959" s="116" t="n"/>
      <c r="P959" s="116" t="n"/>
      <c r="Q959" s="116" t="n"/>
    </row>
    <row r="960" ht="15" customHeight="1" s="117">
      <c r="H960" s="116" t="n"/>
      <c r="I960" s="116" t="n"/>
      <c r="J960" s="116" t="n"/>
      <c r="K960" s="116" t="n"/>
      <c r="L960" s="116" t="n"/>
      <c r="M960" s="116" t="n"/>
      <c r="N960" s="116" t="n"/>
      <c r="P960" s="116" t="n"/>
      <c r="Q960" s="116" t="n"/>
    </row>
    <row r="961" ht="15" customHeight="1" s="117">
      <c r="H961" s="116" t="n"/>
      <c r="I961" s="116" t="n"/>
      <c r="J961" s="116" t="n"/>
      <c r="K961" s="116" t="n"/>
      <c r="L961" s="116" t="n"/>
      <c r="M961" s="116" t="n"/>
      <c r="N961" s="116" t="n"/>
      <c r="P961" s="116" t="n"/>
      <c r="Q961" s="116" t="n"/>
    </row>
    <row r="962" ht="15" customHeight="1" s="117">
      <c r="H962" s="116" t="n"/>
      <c r="I962" s="116" t="n"/>
      <c r="J962" s="116" t="n"/>
      <c r="K962" s="116" t="n"/>
      <c r="L962" s="116" t="n"/>
      <c r="M962" s="116" t="n"/>
      <c r="N962" s="116" t="n"/>
      <c r="P962" s="116" t="n"/>
      <c r="Q962" s="116" t="n"/>
    </row>
    <row r="963" ht="15" customHeight="1" s="117">
      <c r="H963" s="116" t="n"/>
      <c r="I963" s="116" t="n"/>
      <c r="J963" s="116" t="n"/>
      <c r="K963" s="116" t="n"/>
      <c r="L963" s="116" t="n"/>
      <c r="M963" s="116" t="n"/>
      <c r="N963" s="116" t="n"/>
      <c r="P963" s="116" t="n"/>
      <c r="Q963" s="116" t="n"/>
    </row>
    <row r="964" ht="15" customHeight="1" s="117">
      <c r="H964" s="116" t="n"/>
      <c r="I964" s="116" t="n"/>
      <c r="J964" s="116" t="n"/>
      <c r="K964" s="116" t="n"/>
      <c r="L964" s="116" t="n"/>
      <c r="M964" s="116" t="n"/>
      <c r="N964" s="116" t="n"/>
      <c r="P964" s="116" t="n"/>
      <c r="Q964" s="116" t="n"/>
    </row>
    <row r="965" ht="15" customHeight="1" s="117">
      <c r="H965" s="116" t="n"/>
      <c r="I965" s="116" t="n"/>
      <c r="J965" s="116" t="n"/>
      <c r="K965" s="116" t="n"/>
      <c r="L965" s="116" t="n"/>
      <c r="M965" s="116" t="n"/>
      <c r="N965" s="116" t="n"/>
      <c r="P965" s="116" t="n"/>
      <c r="Q965" s="116" t="n"/>
    </row>
    <row r="966" ht="15" customHeight="1" s="117">
      <c r="H966" s="116" t="n"/>
      <c r="I966" s="116" t="n"/>
      <c r="J966" s="116" t="n"/>
      <c r="K966" s="116" t="n"/>
      <c r="L966" s="116" t="n"/>
      <c r="M966" s="116" t="n"/>
      <c r="N966" s="116" t="n"/>
      <c r="P966" s="116" t="n"/>
      <c r="Q966" s="116" t="n"/>
    </row>
    <row r="967" ht="15" customHeight="1" s="117">
      <c r="H967" s="116" t="n"/>
      <c r="I967" s="116" t="n"/>
      <c r="J967" s="116" t="n"/>
      <c r="K967" s="116" t="n"/>
      <c r="L967" s="116" t="n"/>
      <c r="M967" s="116" t="n"/>
      <c r="N967" s="116" t="n"/>
      <c r="P967" s="116" t="n"/>
      <c r="Q967" s="116" t="n"/>
    </row>
    <row r="968" ht="15" customHeight="1" s="117">
      <c r="H968" s="116" t="n"/>
      <c r="I968" s="116" t="n"/>
      <c r="J968" s="116" t="n"/>
      <c r="K968" s="116" t="n"/>
      <c r="L968" s="116" t="n"/>
      <c r="M968" s="116" t="n"/>
      <c r="N968" s="116" t="n"/>
      <c r="P968" s="116" t="n"/>
      <c r="Q968" s="116" t="n"/>
    </row>
    <row r="969" ht="15" customHeight="1" s="117">
      <c r="H969" s="116" t="n"/>
      <c r="I969" s="116" t="n"/>
      <c r="J969" s="116" t="n"/>
      <c r="K969" s="116" t="n"/>
      <c r="L969" s="116" t="n"/>
      <c r="M969" s="116" t="n"/>
      <c r="N969" s="116" t="n"/>
      <c r="P969" s="116" t="n"/>
      <c r="Q969" s="116" t="n"/>
    </row>
    <row r="970" ht="15" customHeight="1" s="117">
      <c r="H970" s="116" t="n"/>
      <c r="I970" s="116" t="n"/>
      <c r="J970" s="116" t="n"/>
      <c r="K970" s="116" t="n"/>
      <c r="L970" s="116" t="n"/>
      <c r="M970" s="116" t="n"/>
      <c r="N970" s="116" t="n"/>
      <c r="P970" s="116" t="n"/>
      <c r="Q970" s="116" t="n"/>
    </row>
    <row r="971" ht="15" customHeight="1" s="117">
      <c r="H971" s="116" t="n"/>
      <c r="I971" s="116" t="n"/>
      <c r="J971" s="116" t="n"/>
      <c r="K971" s="116" t="n"/>
      <c r="L971" s="116" t="n"/>
      <c r="M971" s="116" t="n"/>
      <c r="N971" s="116" t="n"/>
      <c r="P971" s="116" t="n"/>
      <c r="Q971" s="116" t="n"/>
    </row>
    <row r="972" ht="15" customHeight="1" s="117">
      <c r="H972" s="116" t="n"/>
      <c r="I972" s="116" t="n"/>
      <c r="J972" s="116" t="n"/>
      <c r="K972" s="116" t="n"/>
      <c r="L972" s="116" t="n"/>
      <c r="M972" s="116" t="n"/>
      <c r="N972" s="116" t="n"/>
      <c r="P972" s="116" t="n"/>
      <c r="Q972" s="116" t="n"/>
    </row>
    <row r="973" ht="15" customHeight="1" s="117">
      <c r="H973" s="116" t="n"/>
      <c r="I973" s="116" t="n"/>
      <c r="J973" s="116" t="n"/>
      <c r="K973" s="116" t="n"/>
      <c r="L973" s="116" t="n"/>
      <c r="M973" s="116" t="n"/>
      <c r="N973" s="116" t="n"/>
      <c r="P973" s="116" t="n"/>
      <c r="Q973" s="116" t="n"/>
    </row>
    <row r="974" ht="15" customHeight="1" s="117">
      <c r="H974" s="116" t="n"/>
      <c r="I974" s="116" t="n"/>
      <c r="J974" s="116" t="n"/>
      <c r="K974" s="116" t="n"/>
      <c r="L974" s="116" t="n"/>
      <c r="M974" s="116" t="n"/>
      <c r="N974" s="116" t="n"/>
      <c r="P974" s="116" t="n"/>
      <c r="Q974" s="116" t="n"/>
    </row>
    <row r="975" ht="15" customHeight="1" s="117">
      <c r="H975" s="116" t="n"/>
      <c r="I975" s="116" t="n"/>
      <c r="J975" s="116" t="n"/>
      <c r="K975" s="116" t="n"/>
      <c r="L975" s="116" t="n"/>
      <c r="M975" s="116" t="n"/>
      <c r="N975" s="116" t="n"/>
      <c r="P975" s="116" t="n"/>
      <c r="Q975" s="116" t="n"/>
    </row>
    <row r="976" ht="15" customHeight="1" s="117">
      <c r="H976" s="116" t="n"/>
      <c r="I976" s="116" t="n"/>
      <c r="J976" s="116" t="n"/>
      <c r="K976" s="116" t="n"/>
      <c r="L976" s="116" t="n"/>
      <c r="M976" s="116" t="n"/>
      <c r="N976" s="116" t="n"/>
      <c r="P976" s="116" t="n"/>
      <c r="Q976" s="116" t="n"/>
    </row>
    <row r="977" ht="15" customHeight="1" s="117">
      <c r="H977" s="116" t="n"/>
      <c r="I977" s="116" t="n"/>
      <c r="J977" s="116" t="n"/>
      <c r="K977" s="116" t="n"/>
      <c r="L977" s="116" t="n"/>
      <c r="M977" s="116" t="n"/>
      <c r="N977" s="116" t="n"/>
      <c r="P977" s="116" t="n"/>
      <c r="Q977" s="116" t="n"/>
    </row>
    <row r="978" ht="15" customHeight="1" s="117">
      <c r="H978" s="116" t="n"/>
      <c r="I978" s="116" t="n"/>
      <c r="J978" s="116" t="n"/>
      <c r="K978" s="116" t="n"/>
      <c r="L978" s="116" t="n"/>
      <c r="M978" s="116" t="n"/>
      <c r="N978" s="116" t="n"/>
      <c r="P978" s="116" t="n"/>
      <c r="Q978" s="116" t="n"/>
    </row>
    <row r="979" ht="15" customHeight="1" s="117">
      <c r="H979" s="116" t="n"/>
      <c r="I979" s="116" t="n"/>
      <c r="J979" s="116" t="n"/>
      <c r="K979" s="116" t="n"/>
      <c r="L979" s="116" t="n"/>
      <c r="M979" s="116" t="n"/>
      <c r="N979" s="116" t="n"/>
      <c r="P979" s="116" t="n"/>
      <c r="Q979" s="116" t="n"/>
    </row>
    <row r="980" ht="15" customHeight="1" s="117">
      <c r="H980" s="116" t="n"/>
      <c r="I980" s="116" t="n"/>
      <c r="J980" s="116" t="n"/>
      <c r="K980" s="116" t="n"/>
      <c r="L980" s="116" t="n"/>
      <c r="M980" s="116" t="n"/>
      <c r="N980" s="116" t="n"/>
      <c r="P980" s="116" t="n"/>
      <c r="Q980" s="116" t="n"/>
    </row>
    <row r="981" ht="15" customHeight="1" s="117">
      <c r="H981" s="116" t="n"/>
      <c r="I981" s="116" t="n"/>
      <c r="J981" s="116" t="n"/>
      <c r="K981" s="116" t="n"/>
      <c r="L981" s="116" t="n"/>
      <c r="M981" s="116" t="n"/>
      <c r="N981" s="116" t="n"/>
      <c r="P981" s="116" t="n"/>
      <c r="Q981" s="116" t="n"/>
    </row>
    <row r="982" ht="15" customHeight="1" s="117">
      <c r="H982" s="116" t="n"/>
      <c r="I982" s="116" t="n"/>
      <c r="J982" s="116" t="n"/>
      <c r="K982" s="116" t="n"/>
      <c r="L982" s="116" t="n"/>
      <c r="M982" s="116" t="n"/>
      <c r="N982" s="116" t="n"/>
      <c r="P982" s="116" t="n"/>
      <c r="Q982" s="116" t="n"/>
    </row>
    <row r="983" ht="15" customHeight="1" s="117">
      <c r="H983" s="116" t="n"/>
      <c r="I983" s="116" t="n"/>
      <c r="J983" s="116" t="n"/>
      <c r="K983" s="116" t="n"/>
      <c r="L983" s="116" t="n"/>
      <c r="M983" s="116" t="n"/>
      <c r="N983" s="116" t="n"/>
      <c r="P983" s="116" t="n"/>
      <c r="Q983" s="116" t="n"/>
    </row>
    <row r="984" ht="15" customHeight="1" s="117">
      <c r="H984" s="116" t="n"/>
      <c r="I984" s="116" t="n"/>
      <c r="J984" s="116" t="n"/>
      <c r="K984" s="116" t="n"/>
      <c r="L984" s="116" t="n"/>
      <c r="M984" s="116" t="n"/>
      <c r="N984" s="116" t="n"/>
      <c r="P984" s="116" t="n"/>
      <c r="Q984" s="116" t="n"/>
    </row>
    <row r="985" ht="15" customHeight="1" s="117">
      <c r="H985" s="116" t="n"/>
      <c r="I985" s="116" t="n"/>
      <c r="J985" s="116" t="n"/>
      <c r="K985" s="116" t="n"/>
      <c r="L985" s="116" t="n"/>
      <c r="M985" s="116" t="n"/>
      <c r="N985" s="116" t="n"/>
      <c r="P985" s="116" t="n"/>
      <c r="Q985" s="116" t="n"/>
    </row>
    <row r="986" ht="15" customHeight="1" s="117">
      <c r="H986" s="116" t="n"/>
      <c r="I986" s="116" t="n"/>
      <c r="J986" s="116" t="n"/>
      <c r="K986" s="116" t="n"/>
      <c r="L986" s="116" t="n"/>
      <c r="M986" s="116" t="n"/>
      <c r="N986" s="116" t="n"/>
      <c r="P986" s="116" t="n"/>
      <c r="Q986" s="116" t="n"/>
    </row>
    <row r="987" ht="15" customHeight="1" s="117">
      <c r="H987" s="116" t="n"/>
      <c r="I987" s="116" t="n"/>
      <c r="J987" s="116" t="n"/>
      <c r="K987" s="116" t="n"/>
      <c r="L987" s="116" t="n"/>
      <c r="M987" s="116" t="n"/>
      <c r="N987" s="116" t="n"/>
      <c r="P987" s="116" t="n"/>
      <c r="Q987" s="116" t="n"/>
    </row>
    <row r="988" ht="15" customHeight="1" s="117">
      <c r="H988" s="116" t="n"/>
      <c r="I988" s="116" t="n"/>
      <c r="J988" s="116" t="n"/>
      <c r="K988" s="116" t="n"/>
      <c r="L988" s="116" t="n"/>
      <c r="M988" s="116" t="n"/>
      <c r="N988" s="116" t="n"/>
      <c r="P988" s="116" t="n"/>
      <c r="Q988" s="116" t="n"/>
    </row>
    <row r="989" ht="15" customHeight="1" s="117">
      <c r="H989" s="116" t="n"/>
      <c r="I989" s="116" t="n"/>
      <c r="J989" s="116" t="n"/>
      <c r="K989" s="116" t="n"/>
      <c r="L989" s="116" t="n"/>
      <c r="M989" s="116" t="n"/>
      <c r="N989" s="116" t="n"/>
      <c r="P989" s="116" t="n"/>
      <c r="Q989" s="116" t="n"/>
    </row>
    <row r="990" ht="15" customHeight="1" s="117">
      <c r="H990" s="116" t="n"/>
      <c r="I990" s="116" t="n"/>
      <c r="J990" s="116" t="n"/>
      <c r="K990" s="116" t="n"/>
      <c r="L990" s="116" t="n"/>
      <c r="M990" s="116" t="n"/>
      <c r="N990" s="116" t="n"/>
      <c r="P990" s="116" t="n"/>
      <c r="Q990" s="116" t="n"/>
    </row>
    <row r="991" ht="15" customHeight="1" s="117">
      <c r="H991" s="116" t="n"/>
      <c r="I991" s="116" t="n"/>
      <c r="J991" s="116" t="n"/>
      <c r="K991" s="116" t="n"/>
      <c r="L991" s="116" t="n"/>
      <c r="M991" s="116" t="n"/>
      <c r="N991" s="116" t="n"/>
      <c r="P991" s="116" t="n"/>
      <c r="Q991" s="116" t="n"/>
    </row>
    <row r="992" ht="15" customHeight="1" s="117">
      <c r="H992" s="116" t="n"/>
      <c r="I992" s="116" t="n"/>
      <c r="J992" s="116" t="n"/>
      <c r="K992" s="116" t="n"/>
      <c r="L992" s="116" t="n"/>
      <c r="M992" s="116" t="n"/>
      <c r="N992" s="116" t="n"/>
      <c r="P992" s="116" t="n"/>
      <c r="Q992" s="116" t="n"/>
    </row>
    <row r="993" ht="15" customHeight="1" s="117">
      <c r="H993" s="116" t="n"/>
      <c r="I993" s="116" t="n"/>
      <c r="J993" s="116" t="n"/>
      <c r="K993" s="116" t="n"/>
      <c r="L993" s="116" t="n"/>
      <c r="M993" s="116" t="n"/>
      <c r="N993" s="116" t="n"/>
      <c r="P993" s="116" t="n"/>
      <c r="Q993" s="116" t="n"/>
    </row>
    <row r="994" ht="15" customHeight="1" s="117">
      <c r="H994" s="116" t="n"/>
      <c r="I994" s="116" t="n"/>
      <c r="J994" s="116" t="n"/>
      <c r="K994" s="116" t="n"/>
      <c r="L994" s="116" t="n"/>
      <c r="M994" s="116" t="n"/>
      <c r="N994" s="116" t="n"/>
      <c r="P994" s="116" t="n"/>
      <c r="Q994" s="116" t="n"/>
    </row>
    <row r="995" ht="15" customHeight="1" s="117">
      <c r="H995" s="116" t="n"/>
      <c r="I995" s="116" t="n"/>
      <c r="J995" s="116" t="n"/>
      <c r="K995" s="116" t="n"/>
      <c r="L995" s="116" t="n"/>
      <c r="M995" s="116" t="n"/>
      <c r="N995" s="116" t="n"/>
      <c r="P995" s="116" t="n"/>
      <c r="Q995" s="116" t="n"/>
    </row>
    <row r="996" ht="15" customHeight="1" s="117">
      <c r="H996" s="116" t="n"/>
      <c r="I996" s="116" t="n"/>
      <c r="J996" s="116" t="n"/>
      <c r="K996" s="116" t="n"/>
      <c r="L996" s="116" t="n"/>
      <c r="M996" s="116" t="n"/>
      <c r="N996" s="116" t="n"/>
      <c r="P996" s="116" t="n"/>
      <c r="Q996" s="116" t="n"/>
    </row>
    <row r="997" ht="15" customHeight="1" s="117">
      <c r="H997" s="116" t="n"/>
      <c r="I997" s="116" t="n"/>
      <c r="J997" s="116" t="n"/>
      <c r="K997" s="116" t="n"/>
      <c r="L997" s="116" t="n"/>
      <c r="M997" s="116" t="n"/>
      <c r="N997" s="116" t="n"/>
      <c r="P997" s="116" t="n"/>
      <c r="Q997" s="116" t="n"/>
    </row>
    <row r="998" ht="15" customHeight="1" s="117">
      <c r="H998" s="116" t="n"/>
      <c r="I998" s="116" t="n"/>
      <c r="J998" s="116" t="n"/>
      <c r="K998" s="116" t="n"/>
      <c r="L998" s="116" t="n"/>
      <c r="M998" s="116" t="n"/>
      <c r="N998" s="116" t="n"/>
      <c r="P998" s="116" t="n"/>
      <c r="Q998" s="116" t="n"/>
    </row>
    <row r="999" ht="15" customHeight="1" s="117">
      <c r="H999" s="116" t="n"/>
      <c r="I999" s="116" t="n"/>
      <c r="J999" s="116" t="n"/>
      <c r="K999" s="116" t="n"/>
      <c r="L999" s="116" t="n"/>
      <c r="M999" s="116" t="n"/>
      <c r="N999" s="116" t="n"/>
      <c r="P999" s="116" t="n"/>
      <c r="Q999" s="116" t="n"/>
    </row>
    <row r="1000" ht="15" customHeight="1" s="117">
      <c r="H1000" s="116" t="n"/>
      <c r="I1000" s="116" t="n"/>
      <c r="J1000" s="116" t="n"/>
      <c r="K1000" s="116" t="n"/>
      <c r="L1000" s="116" t="n"/>
      <c r="M1000" s="116" t="n"/>
      <c r="N1000" s="116" t="n"/>
      <c r="P1000" s="116" t="n"/>
      <c r="Q1000" s="116" t="n"/>
    </row>
    <row r="1001" ht="15" customHeight="1" s="117">
      <c r="H1001" s="116" t="n"/>
      <c r="I1001" s="116" t="n"/>
      <c r="J1001" s="116" t="n"/>
      <c r="K1001" s="116" t="n"/>
      <c r="L1001" s="116" t="n"/>
      <c r="M1001" s="116" t="n"/>
      <c r="N1001" s="116" t="n"/>
      <c r="P1001" s="116" t="n"/>
      <c r="Q1001" s="116" t="n"/>
    </row>
    <row r="1002" ht="15" customHeight="1" s="117">
      <c r="H1002" s="116" t="n"/>
      <c r="I1002" s="116" t="n"/>
      <c r="J1002" s="116" t="n"/>
      <c r="K1002" s="116" t="n"/>
      <c r="L1002" s="116" t="n"/>
      <c r="M1002" s="116" t="n"/>
      <c r="N1002" s="116" t="n"/>
      <c r="P1002" s="116" t="n"/>
      <c r="Q1002" s="116" t="n"/>
    </row>
    <row r="1003" ht="15" customHeight="1" s="117">
      <c r="H1003" s="116" t="n"/>
      <c r="I1003" s="116" t="n"/>
      <c r="J1003" s="116" t="n"/>
      <c r="K1003" s="116" t="n"/>
      <c r="L1003" s="116" t="n"/>
      <c r="M1003" s="116" t="n"/>
      <c r="N1003" s="116" t="n"/>
      <c r="P1003" s="116" t="n"/>
      <c r="Q1003" s="116" t="n"/>
    </row>
    <row r="1004" ht="15" customHeight="1" s="117">
      <c r="H1004" s="116" t="n"/>
      <c r="I1004" s="116" t="n"/>
      <c r="J1004" s="116" t="n"/>
      <c r="K1004" s="116" t="n"/>
      <c r="L1004" s="116" t="n"/>
      <c r="M1004" s="116" t="n"/>
      <c r="N1004" s="116" t="n"/>
      <c r="P1004" s="116" t="n"/>
      <c r="Q1004" s="116" t="n"/>
    </row>
    <row r="1005" ht="15" customHeight="1" s="117">
      <c r="H1005" s="116" t="n"/>
      <c r="I1005" s="116" t="n"/>
      <c r="J1005" s="116" t="n"/>
      <c r="K1005" s="116" t="n"/>
      <c r="L1005" s="116" t="n"/>
      <c r="M1005" s="116" t="n"/>
      <c r="N1005" s="116" t="n"/>
      <c r="P1005" s="116" t="n"/>
      <c r="Q1005" s="116" t="n"/>
    </row>
    <row r="1006" ht="15" customHeight="1" s="117">
      <c r="H1006" s="116" t="n"/>
      <c r="I1006" s="116" t="n"/>
      <c r="J1006" s="116" t="n"/>
      <c r="K1006" s="116" t="n"/>
      <c r="L1006" s="116" t="n"/>
      <c r="M1006" s="116" t="n"/>
      <c r="N1006" s="116" t="n"/>
      <c r="P1006" s="116" t="n"/>
      <c r="Q1006" s="116" t="n"/>
    </row>
    <row r="1007" ht="15" customHeight="1" s="117">
      <c r="H1007" s="116" t="n"/>
      <c r="I1007" s="116" t="n"/>
      <c r="J1007" s="116" t="n"/>
      <c r="K1007" s="116" t="n"/>
      <c r="L1007" s="116" t="n"/>
      <c r="M1007" s="116" t="n"/>
      <c r="N1007" s="116" t="n"/>
      <c r="P1007" s="116" t="n"/>
      <c r="Q1007" s="116" t="n"/>
    </row>
    <row r="1008" ht="15" customHeight="1" s="117">
      <c r="H1008" s="116" t="n"/>
      <c r="I1008" s="116" t="n"/>
      <c r="J1008" s="116" t="n"/>
      <c r="K1008" s="116" t="n"/>
      <c r="L1008" s="116" t="n"/>
      <c r="M1008" s="116" t="n"/>
      <c r="N1008" s="116" t="n"/>
      <c r="P1008" s="116" t="n"/>
      <c r="Q1008" s="116" t="n"/>
    </row>
    <row r="1009" ht="15" customHeight="1" s="117">
      <c r="H1009" s="116" t="n"/>
      <c r="I1009" s="116" t="n"/>
      <c r="J1009" s="116" t="n"/>
      <c r="K1009" s="116" t="n"/>
      <c r="L1009" s="116" t="n"/>
      <c r="M1009" s="116" t="n"/>
      <c r="N1009" s="116" t="n"/>
      <c r="P1009" s="116" t="n"/>
      <c r="Q1009" s="116" t="n"/>
    </row>
  </sheetData>
  <dataValidations count="9">
    <dataValidation sqref="H2:H1009" showDropDown="0" showInputMessage="0" showErrorMessage="0" allowBlank="1" type="list" errorStyle="stop" operator="between">
      <formula1>LISTA_SIM_NAO</formula1>
      <formula2>0</formula2>
    </dataValidation>
    <dataValidation sqref="I2:I1009" showDropDown="0" showInputMessage="0" showErrorMessage="0" allowBlank="1" type="list" errorStyle="stop" operator="between">
      <formula1>LISTA_SIM_NAO</formula1>
      <formula2>0</formula2>
    </dataValidation>
    <dataValidation sqref="J2:J1009" showDropDown="0" showInputMessage="0" showErrorMessage="0" allowBlank="1" type="list" errorStyle="stop" operator="between">
      <formula1>LISTA_SIM_NAO_NA</formula1>
      <formula2>0</formula2>
    </dataValidation>
    <dataValidation sqref="K2:K1009" showDropDown="0" showInputMessage="0" showErrorMessage="0" allowBlank="1" type="list" errorStyle="stop" operator="between">
      <formula1>LISTA_ATIVO_RECEPTIVO</formula1>
      <formula2>0</formula2>
    </dataValidation>
    <dataValidation sqref="L2:L1009" showDropDown="0" showInputMessage="0" showErrorMessage="0" allowBlank="1" type="list" errorStyle="stop" operator="between">
      <formula1>LISTA_TIPO_CONTATO</formula1>
      <formula2>0</formula2>
    </dataValidation>
    <dataValidation sqref="M2:M1009" showDropDown="0" showInputMessage="0" showErrorMessage="0" allowBlank="1" type="list" errorStyle="stop" operator="between">
      <formula1>LISTA_RESULTADO</formula1>
      <formula2>0</formula2>
    </dataValidation>
    <dataValidation sqref="N2:N1009" showDropDown="0" showInputMessage="0" showErrorMessage="0" allowBlank="1" type="list" errorStyle="stop" operator="between">
      <formula1>LISTA_MOTIVO</formula1>
      <formula2>0</formula2>
    </dataValidation>
    <dataValidation sqref="P2:P1009" showDropDown="0" showInputMessage="0" showErrorMessage="0" allowBlank="1" type="list" errorStyle="stop" operator="between">
      <formula1>LISTA_ACAO_FUTURA</formula1>
      <formula2>0</formula2>
    </dataValidation>
    <dataValidation sqref="Q2:Q1009" showDropDown="0" showInputMessage="0" showErrorMessage="0" allowBlank="1" type="list" errorStyle="stop" operator="between">
      <formula1>LISTA_SIM_NAO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X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17" min="1" max="1"/>
    <col width="18" customWidth="1" style="117" min="2" max="2"/>
    <col width="25" customWidth="1" style="117" min="3" max="3"/>
    <col width="18" customWidth="1" style="117" min="4" max="4"/>
    <col width="5" customWidth="1" style="117" min="5" max="5"/>
    <col width="18" customWidth="1" style="117" min="6" max="6"/>
    <col width="12" customWidth="1" style="117" min="7" max="7"/>
    <col width="14" customWidth="1" style="117" min="8" max="8"/>
    <col width="15" customWidth="1" style="117" min="9" max="9"/>
    <col width="14" customWidth="1" style="117" min="10" max="10"/>
    <col width="15" customWidth="1" style="117" min="11" max="11"/>
    <col width="12" customWidth="1" style="117" min="12" max="12"/>
    <col width="10" customWidth="1" style="117" min="13" max="13"/>
    <col width="10" customWidth="1" style="117" min="14" max="14"/>
    <col width="10" customWidth="1" style="117" min="15" max="15"/>
    <col width="14" customWidth="1" style="117" min="16" max="16"/>
    <col width="22" customWidth="1" style="117" min="17" max="17"/>
    <col width="22" customWidth="1" style="117" min="18" max="18"/>
    <col width="30" customWidth="1" style="117" min="19" max="19"/>
    <col width="12" customWidth="1" style="117" min="20" max="20"/>
    <col width="25" customWidth="1" style="117" min="21" max="21"/>
    <col width="30" customWidth="1" style="117" min="22" max="22"/>
    <col width="14" customWidth="1" style="117" min="23" max="23"/>
    <col width="30" customWidth="1" style="117" min="24" max="24"/>
  </cols>
  <sheetData>
    <row r="1" ht="28" customHeight="1" s="117">
      <c r="A1" s="249" t="inlineStr">
        <is>
          <t>📊 DRAFT 2 — LOG DE ATENDIMENTOS (CRESCE INFINITO ↓)</t>
        </is>
      </c>
    </row>
    <row r="2" ht="28" customHeight="1" s="117">
      <c r="A2" s="244" t="inlineStr">
        <is>
          <t>DATA</t>
        </is>
      </c>
      <c r="B2" s="244" t="inlineStr">
        <is>
          <t>CONSULTOR</t>
        </is>
      </c>
      <c r="C2" s="244" t="inlineStr">
        <is>
          <t>NOME FANTASIA</t>
        </is>
      </c>
      <c r="D2" s="244" t="inlineStr">
        <is>
          <t>CNPJ</t>
        </is>
      </c>
      <c r="E2" s="244" t="inlineStr">
        <is>
          <t>UF</t>
        </is>
      </c>
      <c r="F2" s="244" t="inlineStr">
        <is>
          <t>REDE / REGIONAL</t>
        </is>
      </c>
      <c r="G2" s="244" t="inlineStr">
        <is>
          <t>SITUAÇÃO</t>
        </is>
      </c>
      <c r="H2" s="244" t="inlineStr">
        <is>
          <t>DIAS SEM COMPRA</t>
        </is>
      </c>
      <c r="I2" s="244" t="inlineStr">
        <is>
          <t>ESTÁGIO FUNIL</t>
        </is>
      </c>
      <c r="J2" s="244" t="inlineStr">
        <is>
          <t>TIPO CLIENTE</t>
        </is>
      </c>
      <c r="K2" s="244" t="inlineStr">
        <is>
          <t>FASE</t>
        </is>
      </c>
      <c r="L2" s="244" t="inlineStr">
        <is>
          <t>SINALEIRO</t>
        </is>
      </c>
      <c r="M2" s="244" t="inlineStr">
        <is>
          <t>TENTATIVA</t>
        </is>
      </c>
      <c r="N2" s="245" t="inlineStr">
        <is>
          <t>WHATSAPP</t>
        </is>
      </c>
      <c r="O2" s="245" t="inlineStr">
        <is>
          <t>LIGAÇÃO</t>
        </is>
      </c>
      <c r="P2" s="245" t="inlineStr">
        <is>
          <t>LIGAÇÃO ATENDIDA</t>
        </is>
      </c>
      <c r="Q2" s="245" t="inlineStr">
        <is>
          <t>TIPO DO CONTATO</t>
        </is>
      </c>
      <c r="R2" s="245" t="inlineStr">
        <is>
          <t>RESULTADO</t>
        </is>
      </c>
      <c r="S2" s="245" t="inlineStr">
        <is>
          <t>MOTIVO</t>
        </is>
      </c>
      <c r="T2" s="245" t="inlineStr">
        <is>
          <t>FOLLOW-UP</t>
        </is>
      </c>
      <c r="U2" s="245" t="inlineStr">
        <is>
          <t>AÇÃO FUTURA</t>
        </is>
      </c>
      <c r="V2" s="245" t="inlineStr">
        <is>
          <t>AÇÃO DETALHADA</t>
        </is>
      </c>
      <c r="W2" s="245" t="inlineStr">
        <is>
          <t>MERCOS ATUALIZADO</t>
        </is>
      </c>
      <c r="X2" s="245" t="inlineStr">
        <is>
          <t>NOTA DO DIA</t>
        </is>
      </c>
    </row>
    <row r="3">
      <c r="A3" s="391" t="n">
        <v>46074</v>
      </c>
      <c r="B3" s="235" t="inlineStr">
        <is>
          <t>MANU DITZEL</t>
        </is>
      </c>
      <c r="C3" s="235" t="inlineStr">
        <is>
          <t>NATUR LIFE 32</t>
        </is>
      </c>
      <c r="D3" s="235" t="inlineStr">
        <is>
          <t>38.242.854/1680-96</t>
        </is>
      </c>
      <c r="E3" s="235" t="inlineStr">
        <is>
          <t>RJ</t>
        </is>
      </c>
      <c r="F3" s="235" t="inlineStr">
        <is>
          <t>VIDA LEVE</t>
        </is>
      </c>
      <c r="G3" s="235" t="inlineStr">
        <is>
          <t>INAT.REC</t>
        </is>
      </c>
      <c r="H3" s="235" t="n">
        <v>62</v>
      </c>
      <c r="I3" s="235" t="n"/>
      <c r="J3" s="235" t="n"/>
      <c r="K3" s="235" t="n"/>
      <c r="L3" s="235" t="n"/>
      <c r="M3" s="235" t="n"/>
      <c r="N3" s="235" t="inlineStr">
        <is>
          <t>SIM</t>
        </is>
      </c>
      <c r="O3" s="235" t="inlineStr">
        <is>
          <t>SIM</t>
        </is>
      </c>
      <c r="P3" s="235" t="inlineStr">
        <is>
          <t>SIM</t>
        </is>
      </c>
      <c r="Q3" s="235" t="inlineStr">
        <is>
          <t>PROSPECÇÃO</t>
        </is>
      </c>
      <c r="R3" s="235" t="inlineStr">
        <is>
          <t>EM ATENDIMENTO</t>
        </is>
      </c>
      <c r="S3" s="235" t="n"/>
      <c r="T3" s="235" t="n"/>
      <c r="U3" s="235" t="n"/>
      <c r="V3" s="235" t="n"/>
      <c r="W3" s="235" t="inlineStr">
        <is>
          <t>SIM</t>
        </is>
      </c>
      <c r="X3" s="235" t="n"/>
    </row>
    <row r="4">
      <c r="A4" s="391" t="n">
        <v>46071</v>
      </c>
      <c r="B4" s="235" t="inlineStr">
        <is>
          <t>LARISSA PADILHA</t>
        </is>
      </c>
      <c r="C4" s="235" t="inlineStr">
        <is>
          <t>EMPÓRIO BIO 76</t>
        </is>
      </c>
      <c r="D4" s="235" t="inlineStr">
        <is>
          <t>45.928.990/0107-30</t>
        </is>
      </c>
      <c r="E4" s="235" t="inlineStr">
        <is>
          <t>SP</t>
        </is>
      </c>
      <c r="F4" s="235" t="inlineStr">
        <is>
          <t>CIA DA SAUDE</t>
        </is>
      </c>
      <c r="G4" s="235" t="inlineStr">
        <is>
          <t>ATIVO</t>
        </is>
      </c>
      <c r="H4" s="235" t="n">
        <v>26</v>
      </c>
      <c r="I4" s="235" t="n"/>
      <c r="J4" s="235" t="n"/>
      <c r="K4" s="235" t="n"/>
      <c r="L4" s="235" t="n"/>
      <c r="M4" s="235" t="n"/>
      <c r="N4" s="235" t="inlineStr">
        <is>
          <t>SIM</t>
        </is>
      </c>
      <c r="O4" s="235" t="inlineStr">
        <is>
          <t>SIM</t>
        </is>
      </c>
      <c r="P4" s="235" t="inlineStr">
        <is>
          <t>SIM</t>
        </is>
      </c>
      <c r="Q4" s="235" t="inlineStr">
        <is>
          <t>PROSPECÇÃO</t>
        </is>
      </c>
      <c r="R4" s="235" t="inlineStr">
        <is>
          <t>CADASTRO</t>
        </is>
      </c>
      <c r="S4" s="235" t="n"/>
      <c r="T4" s="235" t="n"/>
      <c r="U4" s="235" t="n"/>
      <c r="V4" s="235" t="n"/>
      <c r="W4" s="235" t="inlineStr">
        <is>
          <t>SIM</t>
        </is>
      </c>
      <c r="X4" s="235" t="n"/>
    </row>
    <row r="5">
      <c r="A5" s="391" t="n">
        <v>46068</v>
      </c>
      <c r="B5" s="235" t="inlineStr">
        <is>
          <t>LARISSA PADILHA</t>
        </is>
      </c>
      <c r="C5" s="235" t="inlineStr">
        <is>
          <t>VIDA LEVE PR 11</t>
        </is>
      </c>
      <c r="D5" s="235" t="inlineStr">
        <is>
          <t>80.400.949/5926-83</t>
        </is>
      </c>
      <c r="E5" s="235" t="inlineStr">
        <is>
          <t>PR</t>
        </is>
      </c>
      <c r="F5" s="235" t="inlineStr">
        <is>
          <t>MUNDO VERDE</t>
        </is>
      </c>
      <c r="G5" s="235" t="inlineStr">
        <is>
          <t>INAT.ANT</t>
        </is>
      </c>
      <c r="H5" s="235" t="n">
        <v>288</v>
      </c>
      <c r="I5" s="235" t="n"/>
      <c r="J5" s="235" t="n"/>
      <c r="K5" s="235" t="n"/>
      <c r="L5" s="235" t="n"/>
      <c r="M5" s="235" t="n"/>
      <c r="N5" s="235" t="inlineStr">
        <is>
          <t>SIM</t>
        </is>
      </c>
      <c r="O5" s="235" t="inlineStr">
        <is>
          <t>SIM</t>
        </is>
      </c>
      <c r="P5" s="235" t="inlineStr">
        <is>
          <t>SIM</t>
        </is>
      </c>
      <c r="Q5" s="235" t="inlineStr">
        <is>
          <t>FOLLOW UP</t>
        </is>
      </c>
      <c r="R5" s="235" t="inlineStr">
        <is>
          <t>EM ATENDIMENTO</t>
        </is>
      </c>
      <c r="S5" s="235" t="n"/>
      <c r="T5" s="235" t="n"/>
      <c r="U5" s="235" t="n"/>
      <c r="V5" s="235" t="n"/>
      <c r="W5" s="235" t="inlineStr">
        <is>
          <t>SIM</t>
        </is>
      </c>
      <c r="X5" s="235" t="n"/>
    </row>
    <row r="6">
      <c r="A6" s="391" t="n">
        <v>46065</v>
      </c>
      <c r="B6" s="235" t="inlineStr">
        <is>
          <t>MANU DITZEL</t>
        </is>
      </c>
      <c r="C6" s="235" t="inlineStr">
        <is>
          <t>MARKET FIT 27</t>
        </is>
      </c>
      <c r="D6" s="235" t="inlineStr">
        <is>
          <t>95.373.818/1170-87</t>
        </is>
      </c>
      <c r="E6" s="235" t="inlineStr">
        <is>
          <t>SP</t>
        </is>
      </c>
      <c r="F6" s="235" t="inlineStr">
        <is>
          <t>VIDA LEVE</t>
        </is>
      </c>
      <c r="G6" s="235" t="inlineStr">
        <is>
          <t>ATIVO</t>
        </is>
      </c>
      <c r="H6" s="235" t="n">
        <v>34</v>
      </c>
      <c r="I6" s="235" t="n"/>
      <c r="J6" s="235" t="n"/>
      <c r="K6" s="235" t="n"/>
      <c r="L6" s="235" t="n"/>
      <c r="M6" s="235" t="n"/>
      <c r="N6" s="235" t="inlineStr">
        <is>
          <t>SIM</t>
        </is>
      </c>
      <c r="O6" s="235" t="inlineStr">
        <is>
          <t>NÃO</t>
        </is>
      </c>
      <c r="P6" s="235" t="inlineStr">
        <is>
          <t>N/A</t>
        </is>
      </c>
      <c r="Q6" s="235" t="inlineStr">
        <is>
          <t>ATEND. CLIENTES ATIVOS</t>
        </is>
      </c>
      <c r="R6" s="235" t="inlineStr">
        <is>
          <t>NÃO ATENDE</t>
        </is>
      </c>
      <c r="S6" s="235" t="inlineStr">
        <is>
          <t>PROBLEMA FINANCEIRO / CRÉDITO</t>
        </is>
      </c>
      <c r="T6" s="235" t="n"/>
      <c r="U6" s="235" t="n"/>
      <c r="V6" s="235" t="n"/>
      <c r="W6" s="235" t="inlineStr">
        <is>
          <t>NÃO</t>
        </is>
      </c>
      <c r="X6" s="235" t="n"/>
    </row>
    <row r="7">
      <c r="A7" s="391" t="n">
        <v>46078</v>
      </c>
      <c r="B7" s="235" t="inlineStr">
        <is>
          <t>MANU DITZEL</t>
        </is>
      </c>
      <c r="C7" s="235" t="inlineStr">
        <is>
          <t>MUNDO VERDE CWB 41</t>
        </is>
      </c>
      <c r="D7" s="235" t="inlineStr">
        <is>
          <t>61.374.167/3457-82</t>
        </is>
      </c>
      <c r="E7" s="235" t="inlineStr">
        <is>
          <t>BA</t>
        </is>
      </c>
      <c r="F7" s="235" t="inlineStr">
        <is>
          <t>CIA DA SAUDE</t>
        </is>
      </c>
      <c r="G7" s="235" t="inlineStr">
        <is>
          <t>INAT.ANT</t>
        </is>
      </c>
      <c r="H7" s="235" t="n">
        <v>192</v>
      </c>
      <c r="I7" s="235" t="n"/>
      <c r="J7" s="235" t="n"/>
      <c r="K7" s="235" t="n"/>
      <c r="L7" s="235" t="n"/>
      <c r="M7" s="235" t="n"/>
      <c r="N7" s="235" t="inlineStr">
        <is>
          <t>SIM</t>
        </is>
      </c>
      <c r="O7" s="235" t="inlineStr">
        <is>
          <t>SIM</t>
        </is>
      </c>
      <c r="P7" s="235" t="inlineStr">
        <is>
          <t>NÃO</t>
        </is>
      </c>
      <c r="Q7" s="235" t="inlineStr">
        <is>
          <t>PÓS-VENDA / RELACIONAMENTO</t>
        </is>
      </c>
      <c r="R7" s="235" t="inlineStr">
        <is>
          <t>SUPORTE</t>
        </is>
      </c>
      <c r="S7" s="235" t="n"/>
      <c r="T7" s="235" t="n"/>
      <c r="U7" s="235" t="n"/>
      <c r="V7" s="235" t="n"/>
      <c r="W7" s="235" t="inlineStr">
        <is>
          <t>SIM</t>
        </is>
      </c>
      <c r="X7" s="235" t="n"/>
    </row>
    <row r="8">
      <c r="A8" s="391" t="n">
        <v>46077</v>
      </c>
      <c r="B8" s="235" t="inlineStr">
        <is>
          <t>LARISSA PADILHA</t>
        </is>
      </c>
      <c r="C8" s="235" t="inlineStr">
        <is>
          <t>VERDE ESSENCE 52</t>
        </is>
      </c>
      <c r="D8" s="235" t="inlineStr">
        <is>
          <t>56.324.241/8349-73</t>
        </is>
      </c>
      <c r="E8" s="235" t="inlineStr">
        <is>
          <t>PR</t>
        </is>
      </c>
      <c r="F8" s="235" t="inlineStr">
        <is>
          <t>MUNDO VERDE</t>
        </is>
      </c>
      <c r="G8" s="235" t="inlineStr">
        <is>
          <t>ATIVO</t>
        </is>
      </c>
      <c r="H8" s="235" t="n">
        <v>45</v>
      </c>
      <c r="I8" s="235" t="n"/>
      <c r="J8" s="235" t="n"/>
      <c r="K8" s="235" t="n"/>
      <c r="L8" s="235" t="n"/>
      <c r="M8" s="235" t="n"/>
      <c r="N8" s="235" t="inlineStr">
        <is>
          <t>SIM</t>
        </is>
      </c>
      <c r="O8" s="235" t="inlineStr">
        <is>
          <t>SIM</t>
        </is>
      </c>
      <c r="P8" s="235" t="inlineStr">
        <is>
          <t>NÃO</t>
        </is>
      </c>
      <c r="Q8" s="235" t="inlineStr">
        <is>
          <t>NEGOCIAÇÃO</t>
        </is>
      </c>
      <c r="R8" s="235" t="inlineStr">
        <is>
          <t>VENDA / PEDIDO</t>
        </is>
      </c>
      <c r="S8" s="235" t="n"/>
      <c r="T8" s="235" t="n"/>
      <c r="U8" s="235" t="n"/>
      <c r="V8" s="235" t="n"/>
      <c r="W8" s="235" t="inlineStr">
        <is>
          <t>SIM</t>
        </is>
      </c>
      <c r="X8" s="235" t="n"/>
    </row>
    <row r="9">
      <c r="A9" s="391" t="n">
        <v>46062</v>
      </c>
      <c r="B9" s="235" t="inlineStr">
        <is>
          <t>DAIANE STAVICKI</t>
        </is>
      </c>
      <c r="C9" s="235" t="inlineStr">
        <is>
          <t>NUTRI VIDA 88</t>
        </is>
      </c>
      <c r="D9" s="235" t="inlineStr">
        <is>
          <t>24.798.649/4372-92</t>
        </is>
      </c>
      <c r="E9" s="235" t="inlineStr">
        <is>
          <t>SC</t>
        </is>
      </c>
      <c r="F9" s="235" t="inlineStr">
        <is>
          <t>CIA DA SAUDE</t>
        </is>
      </c>
      <c r="G9" s="235" t="inlineStr">
        <is>
          <t>ATIVO</t>
        </is>
      </c>
      <c r="H9" s="235" t="n">
        <v>5</v>
      </c>
      <c r="I9" s="235" t="n"/>
      <c r="J9" s="235" t="n"/>
      <c r="K9" s="235" t="n"/>
      <c r="L9" s="235" t="n"/>
      <c r="M9" s="235" t="n"/>
      <c r="N9" s="235" t="inlineStr">
        <is>
          <t>SIM</t>
        </is>
      </c>
      <c r="O9" s="235" t="inlineStr">
        <is>
          <t>NÃO</t>
        </is>
      </c>
      <c r="P9" s="235" t="inlineStr">
        <is>
          <t>N/A</t>
        </is>
      </c>
      <c r="Q9" s="235" t="inlineStr">
        <is>
          <t>PERDA / NUTRIÇÃO</t>
        </is>
      </c>
      <c r="R9" s="235" t="inlineStr">
        <is>
          <t>FOLLOW UP 15</t>
        </is>
      </c>
      <c r="S9" s="235" t="inlineStr">
        <is>
          <t>AINDA TEM ESTOQUE</t>
        </is>
      </c>
      <c r="T9" s="235" t="n"/>
      <c r="U9" s="235" t="n"/>
      <c r="V9" s="235" t="n"/>
      <c r="W9" s="235" t="inlineStr">
        <is>
          <t>NÃO</t>
        </is>
      </c>
      <c r="X9" s="235" t="n"/>
    </row>
    <row r="10">
      <c r="A10" s="391" t="n">
        <v>46081</v>
      </c>
      <c r="B10" s="235" t="inlineStr">
        <is>
          <t>JULIO GADRET</t>
        </is>
      </c>
      <c r="C10" s="235" t="inlineStr">
        <is>
          <t>GRÃO FINO 78</t>
        </is>
      </c>
      <c r="D10" s="235" t="inlineStr">
        <is>
          <t>35.256.482/2647-79</t>
        </is>
      </c>
      <c r="E10" s="235" t="inlineStr">
        <is>
          <t>DF</t>
        </is>
      </c>
      <c r="F10" s="235" t="inlineStr">
        <is>
          <t>DEMAIS CLIENTES</t>
        </is>
      </c>
      <c r="G10" s="235" t="inlineStr">
        <is>
          <t>PROSPECT</t>
        </is>
      </c>
      <c r="H10" s="235" t="inlineStr"/>
      <c r="I10" s="235" t="n"/>
      <c r="J10" s="235" t="n"/>
      <c r="K10" s="235" t="n"/>
      <c r="L10" s="235" t="n"/>
      <c r="M10" s="235" t="n"/>
      <c r="N10" s="235" t="inlineStr">
        <is>
          <t>SIM</t>
        </is>
      </c>
      <c r="O10" s="235" t="inlineStr">
        <is>
          <t>SIM</t>
        </is>
      </c>
      <c r="P10" s="235" t="inlineStr">
        <is>
          <t>NÃO</t>
        </is>
      </c>
      <c r="Q10" s="235" t="inlineStr">
        <is>
          <t>ATEND. CLIENTES ATIVOS</t>
        </is>
      </c>
      <c r="R10" s="235" t="inlineStr">
        <is>
          <t>RELACIONAMENTO</t>
        </is>
      </c>
      <c r="S10" s="235" t="n"/>
      <c r="T10" s="235" t="n"/>
      <c r="U10" s="235" t="n"/>
      <c r="V10" s="235" t="n"/>
      <c r="W10" s="235" t="inlineStr">
        <is>
          <t>NÃO</t>
        </is>
      </c>
      <c r="X10" s="235" t="n"/>
    </row>
    <row r="11">
      <c r="A11" s="391" t="n">
        <v>46061</v>
      </c>
      <c r="B11" s="235" t="inlineStr">
        <is>
          <t>MANU DITZEL</t>
        </is>
      </c>
      <c r="C11" s="235" t="inlineStr">
        <is>
          <t>PURA VIDA 11</t>
        </is>
      </c>
      <c r="D11" s="235" t="inlineStr">
        <is>
          <t>20.849.597/1134-78</t>
        </is>
      </c>
      <c r="E11" s="235" t="inlineStr">
        <is>
          <t>RJ</t>
        </is>
      </c>
      <c r="F11" s="235" t="inlineStr">
        <is>
          <t>MUNDO VERDE</t>
        </is>
      </c>
      <c r="G11" s="235" t="inlineStr">
        <is>
          <t>EM RISCO</t>
        </is>
      </c>
      <c r="H11" s="235" t="n">
        <v>59</v>
      </c>
      <c r="I11" s="235" t="n"/>
      <c r="J11" s="235" t="n"/>
      <c r="K11" s="235" t="n"/>
      <c r="L11" s="235" t="n"/>
      <c r="M11" s="235" t="n"/>
      <c r="N11" s="235" t="inlineStr">
        <is>
          <t>SIM</t>
        </is>
      </c>
      <c r="O11" s="235" t="inlineStr">
        <is>
          <t>NÃO</t>
        </is>
      </c>
      <c r="P11" s="235" t="inlineStr">
        <is>
          <t>N/A</t>
        </is>
      </c>
      <c r="Q11" s="235" t="inlineStr">
        <is>
          <t>NEGOCIAÇÃO</t>
        </is>
      </c>
      <c r="R11" s="235" t="inlineStr">
        <is>
          <t>CADASTRO</t>
        </is>
      </c>
      <c r="S11" s="235" t="n"/>
      <c r="T11" s="235" t="n"/>
      <c r="U11" s="235" t="n"/>
      <c r="V11" s="235" t="n"/>
      <c r="W11" s="235" t="inlineStr">
        <is>
          <t>NÃO</t>
        </is>
      </c>
      <c r="X11" s="235" t="n"/>
    </row>
    <row r="12">
      <c r="A12" s="391" t="n">
        <v>46078</v>
      </c>
      <c r="B12" s="235" t="inlineStr">
        <is>
          <t>JULIO GADRET</t>
        </is>
      </c>
      <c r="C12" s="235" t="inlineStr">
        <is>
          <t>CIA SAUDE SP 92</t>
        </is>
      </c>
      <c r="D12" s="235" t="inlineStr">
        <is>
          <t>49.508.787/6119-66</t>
        </is>
      </c>
      <c r="E12" s="235" t="inlineStr">
        <is>
          <t>BA</t>
        </is>
      </c>
      <c r="F12" s="235" t="inlineStr">
        <is>
          <t>DIVINA TERRA</t>
        </is>
      </c>
      <c r="G12" s="235" t="inlineStr">
        <is>
          <t>ATIVO</t>
        </is>
      </c>
      <c r="H12" s="235" t="n">
        <v>9</v>
      </c>
      <c r="I12" s="235" t="n"/>
      <c r="J12" s="235" t="n"/>
      <c r="K12" s="235" t="n"/>
      <c r="L12" s="235" t="n"/>
      <c r="M12" s="235" t="n"/>
      <c r="N12" s="235" t="inlineStr">
        <is>
          <t>SIM</t>
        </is>
      </c>
      <c r="O12" s="235" t="inlineStr">
        <is>
          <t>SIM</t>
        </is>
      </c>
      <c r="P12" s="235" t="inlineStr">
        <is>
          <t>SIM</t>
        </is>
      </c>
      <c r="Q12" s="235" t="inlineStr">
        <is>
          <t>FOLLOW UP</t>
        </is>
      </c>
      <c r="R12" s="235" t="inlineStr">
        <is>
          <t>FOLLOW UP 7</t>
        </is>
      </c>
      <c r="S12" s="235" t="inlineStr">
        <is>
          <t>PROBLEMA LOGÍSTICO / ENTREGA</t>
        </is>
      </c>
      <c r="T12" s="235" t="n"/>
      <c r="U12" s="235" t="n"/>
      <c r="V12" s="235" t="n"/>
      <c r="W12" s="235" t="inlineStr">
        <is>
          <t>SIM</t>
        </is>
      </c>
      <c r="X12" s="235" t="n"/>
    </row>
    <row r="13">
      <c r="A13" s="391" t="n">
        <v>46055</v>
      </c>
      <c r="B13" s="235" t="inlineStr">
        <is>
          <t>DAIANE STAVICKI</t>
        </is>
      </c>
      <c r="C13" s="235" t="inlineStr">
        <is>
          <t>VIDA SAUDÁVEL 66</t>
        </is>
      </c>
      <c r="D13" s="235" t="inlineStr">
        <is>
          <t>40.385.785/7954-37</t>
        </is>
      </c>
      <c r="E13" s="235" t="inlineStr">
        <is>
          <t>RS</t>
        </is>
      </c>
      <c r="F13" s="235" t="inlineStr">
        <is>
          <t>DEMAIS CLIENTES</t>
        </is>
      </c>
      <c r="G13" s="235" t="inlineStr">
        <is>
          <t>NOVO</t>
        </is>
      </c>
      <c r="H13" s="235" t="inlineStr"/>
      <c r="I13" s="235" t="n"/>
      <c r="J13" s="235" t="n"/>
      <c r="K13" s="235" t="n"/>
      <c r="L13" s="235" t="n"/>
      <c r="M13" s="235" t="n"/>
      <c r="N13" s="235" t="inlineStr">
        <is>
          <t>SIM</t>
        </is>
      </c>
      <c r="O13" s="235" t="inlineStr">
        <is>
          <t>SIM</t>
        </is>
      </c>
      <c r="P13" s="235" t="inlineStr">
        <is>
          <t>SIM</t>
        </is>
      </c>
      <c r="Q13" s="235" t="inlineStr">
        <is>
          <t>ATEND. CLIENTES ATIVOS</t>
        </is>
      </c>
      <c r="R13" s="235" t="inlineStr">
        <is>
          <t>ORÇAMENTO</t>
        </is>
      </c>
      <c r="S13" s="235" t="n"/>
      <c r="T13" s="235" t="n"/>
      <c r="U13" s="235" t="n"/>
      <c r="V13" s="235" t="n"/>
      <c r="W13" s="235" t="inlineStr">
        <is>
          <t>NÃO</t>
        </is>
      </c>
      <c r="X13" s="235" t="n"/>
    </row>
    <row r="14">
      <c r="A14" s="391" t="n">
        <v>46065</v>
      </c>
      <c r="B14" s="235" t="inlineStr">
        <is>
          <t>LARISSA PADILHA</t>
        </is>
      </c>
      <c r="C14" s="235" t="inlineStr">
        <is>
          <t>NATURAL HOUSE 94</t>
        </is>
      </c>
      <c r="D14" s="235" t="inlineStr">
        <is>
          <t>16.789.769/1613-17</t>
        </is>
      </c>
      <c r="E14" s="235" t="inlineStr">
        <is>
          <t>RS</t>
        </is>
      </c>
      <c r="F14" s="235" t="inlineStr">
        <is>
          <t>CIA DA SAUDE</t>
        </is>
      </c>
      <c r="G14" s="235" t="inlineStr">
        <is>
          <t>NOVO</t>
        </is>
      </c>
      <c r="H14" s="235" t="inlineStr"/>
      <c r="I14" s="235" t="n"/>
      <c r="J14" s="235" t="n"/>
      <c r="K14" s="235" t="n"/>
      <c r="L14" s="235" t="n"/>
      <c r="M14" s="235" t="n"/>
      <c r="N14" s="235" t="inlineStr">
        <is>
          <t>SIM</t>
        </is>
      </c>
      <c r="O14" s="235" t="inlineStr">
        <is>
          <t>SIM</t>
        </is>
      </c>
      <c r="P14" s="235" t="inlineStr">
        <is>
          <t>SIM</t>
        </is>
      </c>
      <c r="Q14" s="235" t="inlineStr">
        <is>
          <t>NEGOCIAÇÃO</t>
        </is>
      </c>
      <c r="R14" s="235" t="inlineStr">
        <is>
          <t>ORÇAMENTO</t>
        </is>
      </c>
      <c r="S14" s="235" t="n"/>
      <c r="T14" s="235" t="n"/>
      <c r="U14" s="235" t="n"/>
      <c r="V14" s="235" t="n"/>
      <c r="W14" s="235" t="inlineStr">
        <is>
          <t>SIM</t>
        </is>
      </c>
      <c r="X14" s="235" t="n"/>
    </row>
    <row r="15">
      <c r="A15" s="391" t="n">
        <v>46056</v>
      </c>
      <c r="B15" s="235" t="inlineStr">
        <is>
          <t>LARISSA PADILHA</t>
        </is>
      </c>
      <c r="C15" s="235" t="inlineStr">
        <is>
          <t>ESSENCE FOOD 13</t>
        </is>
      </c>
      <c r="D15" s="235" t="inlineStr">
        <is>
          <t>16.767.653/0242-21</t>
        </is>
      </c>
      <c r="E15" s="235" t="inlineStr">
        <is>
          <t>GO</t>
        </is>
      </c>
      <c r="F15" s="235" t="inlineStr">
        <is>
          <t>DEMAIS CLIENTES</t>
        </is>
      </c>
      <c r="G15" s="235" t="inlineStr">
        <is>
          <t>ATIVO</t>
        </is>
      </c>
      <c r="H15" s="235" t="n">
        <v>36</v>
      </c>
      <c r="I15" s="235" t="n"/>
      <c r="J15" s="235" t="n"/>
      <c r="K15" s="235" t="n"/>
      <c r="L15" s="235" t="n"/>
      <c r="M15" s="235" t="n"/>
      <c r="N15" s="235" t="inlineStr">
        <is>
          <t>NÃO</t>
        </is>
      </c>
      <c r="O15" s="235" t="inlineStr">
        <is>
          <t>SIM</t>
        </is>
      </c>
      <c r="P15" s="235" t="inlineStr">
        <is>
          <t>SIM</t>
        </is>
      </c>
      <c r="Q15" s="235" t="inlineStr">
        <is>
          <t>ATEND. CLIENTES ATIVOS</t>
        </is>
      </c>
      <c r="R15" s="235" t="inlineStr">
        <is>
          <t>EM ATENDIMENTO</t>
        </is>
      </c>
      <c r="S15" s="235" t="n"/>
      <c r="T15" s="235" t="n"/>
      <c r="U15" s="235" t="n"/>
      <c r="V15" s="235" t="n"/>
      <c r="W15" s="235" t="inlineStr">
        <is>
          <t>SIM</t>
        </is>
      </c>
      <c r="X15" s="235" t="n"/>
    </row>
    <row r="16">
      <c r="A16" s="391" t="n">
        <v>46079</v>
      </c>
      <c r="B16" s="235" t="inlineStr">
        <is>
          <t>DAIANE STAVICKI</t>
        </is>
      </c>
      <c r="C16" s="235" t="inlineStr">
        <is>
          <t>ECO SAUDE 55</t>
        </is>
      </c>
      <c r="D16" s="235" t="inlineStr">
        <is>
          <t>99.848.902/9106-94</t>
        </is>
      </c>
      <c r="E16" s="235" t="inlineStr">
        <is>
          <t>RJ</t>
        </is>
      </c>
      <c r="F16" s="235" t="inlineStr">
        <is>
          <t>BIOMUNDO</t>
        </is>
      </c>
      <c r="G16" s="235" t="inlineStr">
        <is>
          <t>ATIVO</t>
        </is>
      </c>
      <c r="H16" s="235" t="n">
        <v>8</v>
      </c>
      <c r="I16" s="235" t="n"/>
      <c r="J16" s="235" t="n"/>
      <c r="K16" s="235" t="n"/>
      <c r="L16" s="235" t="n"/>
      <c r="M16" s="235" t="n"/>
      <c r="N16" s="235" t="inlineStr">
        <is>
          <t>NÃO</t>
        </is>
      </c>
      <c r="O16" s="235" t="inlineStr">
        <is>
          <t>SIM</t>
        </is>
      </c>
      <c r="P16" s="235" t="inlineStr">
        <is>
          <t>NÃO</t>
        </is>
      </c>
      <c r="Q16" s="235" t="inlineStr">
        <is>
          <t>ATEND. CLIENTES ATIVOS</t>
        </is>
      </c>
      <c r="R16" s="235" t="inlineStr">
        <is>
          <t>RELACIONAMENTO</t>
        </is>
      </c>
      <c r="S16" s="235" t="n"/>
      <c r="T16" s="235" t="n"/>
      <c r="U16" s="235" t="n"/>
      <c r="V16" s="235" t="n"/>
      <c r="W16" s="235" t="inlineStr">
        <is>
          <t>SIM</t>
        </is>
      </c>
      <c r="X16" s="235" t="n"/>
    </row>
    <row r="17">
      <c r="A17" s="391" t="n">
        <v>46081</v>
      </c>
      <c r="B17" s="235" t="inlineStr">
        <is>
          <t>LARISSA PADILHA</t>
        </is>
      </c>
      <c r="C17" s="235" t="inlineStr">
        <is>
          <t>BIOMUNDO CTB 66</t>
        </is>
      </c>
      <c r="D17" s="235" t="inlineStr">
        <is>
          <t>20.971.290/1123-86</t>
        </is>
      </c>
      <c r="E17" s="235" t="inlineStr">
        <is>
          <t>PR</t>
        </is>
      </c>
      <c r="F17" s="235" t="inlineStr">
        <is>
          <t>DEMAIS CLIENTES</t>
        </is>
      </c>
      <c r="G17" s="235" t="inlineStr">
        <is>
          <t>EM RISCO</t>
        </is>
      </c>
      <c r="H17" s="235" t="n">
        <v>60</v>
      </c>
      <c r="I17" s="235" t="n"/>
      <c r="J17" s="235" t="n"/>
      <c r="K17" s="235" t="n"/>
      <c r="L17" s="235" t="n"/>
      <c r="M17" s="235" t="n"/>
      <c r="N17" s="235" t="inlineStr">
        <is>
          <t>SIM</t>
        </is>
      </c>
      <c r="O17" s="235" t="inlineStr">
        <is>
          <t>SIM</t>
        </is>
      </c>
      <c r="P17" s="235" t="inlineStr">
        <is>
          <t>NÃO</t>
        </is>
      </c>
      <c r="Q17" s="235" t="inlineStr">
        <is>
          <t>NEGOCIAÇÃO</t>
        </is>
      </c>
      <c r="R17" s="235" t="inlineStr">
        <is>
          <t>VENDA / PEDIDO</t>
        </is>
      </c>
      <c r="S17" s="235" t="n"/>
      <c r="T17" s="235" t="n"/>
      <c r="U17" s="235" t="n"/>
      <c r="V17" s="235" t="n"/>
      <c r="W17" s="235" t="inlineStr">
        <is>
          <t>SIM</t>
        </is>
      </c>
      <c r="X17" s="235" t="n"/>
    </row>
    <row r="18">
      <c r="A18" s="391" t="n">
        <v>46062</v>
      </c>
      <c r="B18" s="235" t="inlineStr">
        <is>
          <t>MANU DITZEL</t>
        </is>
      </c>
      <c r="C18" s="235" t="inlineStr">
        <is>
          <t>BIO GRÃOS 31</t>
        </is>
      </c>
      <c r="D18" s="235" t="inlineStr">
        <is>
          <t>43.505.234/4916-68</t>
        </is>
      </c>
      <c r="E18" s="235" t="inlineStr">
        <is>
          <t>SC</t>
        </is>
      </c>
      <c r="F18" s="235" t="inlineStr">
        <is>
          <t>DEMAIS CLIENTES</t>
        </is>
      </c>
      <c r="G18" s="235" t="inlineStr">
        <is>
          <t>ATIVO</t>
        </is>
      </c>
      <c r="H18" s="235" t="n">
        <v>34</v>
      </c>
      <c r="I18" s="235" t="n"/>
      <c r="J18" s="235" t="n"/>
      <c r="K18" s="235" t="n"/>
      <c r="L18" s="235" t="n"/>
      <c r="M18" s="235" t="n"/>
      <c r="N18" s="235" t="inlineStr">
        <is>
          <t>SIM</t>
        </is>
      </c>
      <c r="O18" s="235" t="inlineStr">
        <is>
          <t>NÃO</t>
        </is>
      </c>
      <c r="P18" s="235" t="inlineStr">
        <is>
          <t>N/A</t>
        </is>
      </c>
      <c r="Q18" s="235" t="inlineStr">
        <is>
          <t>ATEND. CLIENTES INATIVOS</t>
        </is>
      </c>
      <c r="R18" s="235" t="inlineStr">
        <is>
          <t>RECUSOU LIGAÇÃO</t>
        </is>
      </c>
      <c r="S18" s="235" t="inlineStr">
        <is>
          <t>SÓ QUER COMPRAR GRANEL</t>
        </is>
      </c>
      <c r="T18" s="235" t="n"/>
      <c r="U18" s="235" t="n"/>
      <c r="V18" s="235" t="n"/>
      <c r="W18" s="235" t="inlineStr">
        <is>
          <t>SIM</t>
        </is>
      </c>
      <c r="X18" s="235" t="n"/>
    </row>
    <row r="19">
      <c r="A19" s="391" t="n">
        <v>46065</v>
      </c>
      <c r="B19" s="235" t="inlineStr">
        <is>
          <t>DAIANE STAVICKI</t>
        </is>
      </c>
      <c r="C19" s="235" t="inlineStr">
        <is>
          <t>ARMAZEM FIT 48</t>
        </is>
      </c>
      <c r="D19" s="235" t="inlineStr">
        <is>
          <t>46.261.548/8901-48</t>
        </is>
      </c>
      <c r="E19" s="235" t="inlineStr">
        <is>
          <t>SP</t>
        </is>
      </c>
      <c r="F19" s="235" t="inlineStr">
        <is>
          <t>DEMAIS CLIENTES</t>
        </is>
      </c>
      <c r="G19" s="235" t="inlineStr">
        <is>
          <t>INAT.ANT</t>
        </is>
      </c>
      <c r="H19" s="235" t="n">
        <v>93</v>
      </c>
      <c r="I19" s="235" t="n"/>
      <c r="J19" s="235" t="n"/>
      <c r="K19" s="235" t="n"/>
      <c r="L19" s="235" t="n"/>
      <c r="M19" s="235" t="n"/>
      <c r="N19" s="235" t="inlineStr">
        <is>
          <t>NÃO</t>
        </is>
      </c>
      <c r="O19" s="235" t="inlineStr">
        <is>
          <t>SIM</t>
        </is>
      </c>
      <c r="P19" s="235" t="inlineStr">
        <is>
          <t>NÃO</t>
        </is>
      </c>
      <c r="Q19" s="235" t="inlineStr">
        <is>
          <t>ATEND. CLIENTES INATIVOS</t>
        </is>
      </c>
      <c r="R19" s="235" t="inlineStr">
        <is>
          <t>RECUSOU LIGAÇÃO</t>
        </is>
      </c>
      <c r="S19" s="235" t="inlineStr">
        <is>
          <t>PRODUTO NÃO VENDEU / SEM GIRO</t>
        </is>
      </c>
      <c r="T19" s="235" t="n"/>
      <c r="U19" s="235" t="n"/>
      <c r="V19" s="235" t="n"/>
      <c r="W19" s="235" t="inlineStr">
        <is>
          <t>NÃO</t>
        </is>
      </c>
      <c r="X19" s="235" t="n"/>
    </row>
    <row r="20">
      <c r="A20" s="391" t="n">
        <v>46077</v>
      </c>
      <c r="B20" s="235" t="inlineStr">
        <is>
          <t>LARISSA PADILHA</t>
        </is>
      </c>
      <c r="C20" s="235" t="inlineStr">
        <is>
          <t>NATUR LIFE 37</t>
        </is>
      </c>
      <c r="D20" s="235" t="inlineStr">
        <is>
          <t>87.315.834/5618-36</t>
        </is>
      </c>
      <c r="E20" s="235" t="inlineStr">
        <is>
          <t>SP</t>
        </is>
      </c>
      <c r="F20" s="235" t="inlineStr">
        <is>
          <t>DEMAIS CLIENTES</t>
        </is>
      </c>
      <c r="G20" s="235" t="inlineStr">
        <is>
          <t>INAT.REC</t>
        </is>
      </c>
      <c r="H20" s="235" t="n">
        <v>69</v>
      </c>
      <c r="I20" s="235" t="n"/>
      <c r="J20" s="235" t="n"/>
      <c r="K20" s="235" t="n"/>
      <c r="L20" s="235" t="n"/>
      <c r="M20" s="235" t="n"/>
      <c r="N20" s="235" t="inlineStr">
        <is>
          <t>SIM</t>
        </is>
      </c>
      <c r="O20" s="235" t="inlineStr">
        <is>
          <t>SIM</t>
        </is>
      </c>
      <c r="P20" s="235" t="inlineStr">
        <is>
          <t>SIM</t>
        </is>
      </c>
      <c r="Q20" s="235" t="inlineStr">
        <is>
          <t>PÓS-VENDA / RELACIONAMENTO</t>
        </is>
      </c>
      <c r="R20" s="235" t="inlineStr">
        <is>
          <t>VENDA / PEDIDO</t>
        </is>
      </c>
      <c r="S20" s="235" t="n"/>
      <c r="T20" s="235" t="n"/>
      <c r="U20" s="235" t="n"/>
      <c r="V20" s="235" t="n"/>
      <c r="W20" s="235" t="inlineStr">
        <is>
          <t>SIM</t>
        </is>
      </c>
      <c r="X20" s="235" t="n"/>
    </row>
    <row r="21">
      <c r="A21" s="391" t="n">
        <v>46078</v>
      </c>
      <c r="B21" s="235" t="inlineStr">
        <is>
          <t>MANU DITZEL</t>
        </is>
      </c>
      <c r="C21" s="235" t="inlineStr">
        <is>
          <t>PONTO VERDE 21</t>
        </is>
      </c>
      <c r="D21" s="235" t="inlineStr">
        <is>
          <t>66.664.822/7008-81</t>
        </is>
      </c>
      <c r="E21" s="235" t="inlineStr">
        <is>
          <t>PR</t>
        </is>
      </c>
      <c r="F21" s="235" t="inlineStr">
        <is>
          <t>MUNDO VERDE</t>
        </is>
      </c>
      <c r="G21" s="235" t="inlineStr">
        <is>
          <t>NOVO</t>
        </is>
      </c>
      <c r="H21" s="235" t="inlineStr"/>
      <c r="I21" s="235" t="n"/>
      <c r="J21" s="235" t="n"/>
      <c r="K21" s="235" t="n"/>
      <c r="L21" s="235" t="n"/>
      <c r="M21" s="235" t="n"/>
      <c r="N21" s="235" t="inlineStr">
        <is>
          <t>NÃO</t>
        </is>
      </c>
      <c r="O21" s="235" t="inlineStr">
        <is>
          <t>NÃO</t>
        </is>
      </c>
      <c r="P21" s="235" t="inlineStr">
        <is>
          <t>N/A</t>
        </is>
      </c>
      <c r="Q21" s="235" t="inlineStr">
        <is>
          <t>PÓS-VENDA / RELACIONAMENTO</t>
        </is>
      </c>
      <c r="R21" s="235" t="inlineStr">
        <is>
          <t>FOLLOW UP 15</t>
        </is>
      </c>
      <c r="S21" s="235" t="inlineStr">
        <is>
          <t>AINDA TEM ESTOQUE</t>
        </is>
      </c>
      <c r="T21" s="235" t="n"/>
      <c r="U21" s="235" t="n"/>
      <c r="V21" s="235" t="n"/>
      <c r="W21" s="235" t="inlineStr">
        <is>
          <t>SIM</t>
        </is>
      </c>
      <c r="X21" s="235" t="n"/>
    </row>
    <row r="22">
      <c r="A22" s="391" t="n">
        <v>46063</v>
      </c>
      <c r="B22" s="235" t="inlineStr">
        <is>
          <t>LARISSA PADILHA</t>
        </is>
      </c>
      <c r="C22" s="235" t="inlineStr">
        <is>
          <t>MUNDO VERDE CWB 46</t>
        </is>
      </c>
      <c r="D22" s="235" t="inlineStr">
        <is>
          <t>36.798.355/1685-55</t>
        </is>
      </c>
      <c r="E22" s="235" t="inlineStr">
        <is>
          <t>MG</t>
        </is>
      </c>
      <c r="F22" s="235" t="inlineStr">
        <is>
          <t>DEMAIS CLIENTES</t>
        </is>
      </c>
      <c r="G22" s="235" t="inlineStr">
        <is>
          <t>EM RISCO</t>
        </is>
      </c>
      <c r="H22" s="235" t="n">
        <v>60</v>
      </c>
      <c r="I22" s="235" t="n"/>
      <c r="J22" s="235" t="n"/>
      <c r="K22" s="235" t="n"/>
      <c r="L22" s="235" t="n"/>
      <c r="M22" s="235" t="n"/>
      <c r="N22" s="235" t="inlineStr">
        <is>
          <t>SIM</t>
        </is>
      </c>
      <c r="O22" s="235" t="inlineStr">
        <is>
          <t>SIM</t>
        </is>
      </c>
      <c r="P22" s="235" t="inlineStr">
        <is>
          <t>NÃO</t>
        </is>
      </c>
      <c r="Q22" s="235" t="inlineStr">
        <is>
          <t>ATEND. CLIENTES INATIVOS</t>
        </is>
      </c>
      <c r="R22" s="235" t="inlineStr">
        <is>
          <t>FOLLOW UP 7</t>
        </is>
      </c>
      <c r="S22" s="235" t="inlineStr">
        <is>
          <t>AINDA TEM ESTOQUE</t>
        </is>
      </c>
      <c r="T22" s="235" t="n"/>
      <c r="U22" s="235" t="n"/>
      <c r="V22" s="235" t="n"/>
      <c r="W22" s="235" t="inlineStr">
        <is>
          <t>SIM</t>
        </is>
      </c>
      <c r="X22" s="235" t="n"/>
    </row>
    <row r="23">
      <c r="A23" s="391" t="n">
        <v>46059</v>
      </c>
      <c r="B23" s="235" t="inlineStr">
        <is>
          <t>JULIO GADRET</t>
        </is>
      </c>
      <c r="C23" s="235" t="inlineStr">
        <is>
          <t>SAUDE TOTAL 53</t>
        </is>
      </c>
      <c r="D23" s="235" t="inlineStr">
        <is>
          <t>95.984.852/4066-44</t>
        </is>
      </c>
      <c r="E23" s="235" t="inlineStr">
        <is>
          <t>PR</t>
        </is>
      </c>
      <c r="F23" s="235" t="inlineStr">
        <is>
          <t>DEMAIS CLIENTES</t>
        </is>
      </c>
      <c r="G23" s="235" t="inlineStr">
        <is>
          <t>EM RISCO</t>
        </is>
      </c>
      <c r="H23" s="235" t="n">
        <v>51</v>
      </c>
      <c r="I23" s="235" t="n"/>
      <c r="J23" s="235" t="n"/>
      <c r="K23" s="235" t="n"/>
      <c r="L23" s="235" t="n"/>
      <c r="M23" s="235" t="n"/>
      <c r="N23" s="235" t="inlineStr">
        <is>
          <t>NÃO</t>
        </is>
      </c>
      <c r="O23" s="235" t="inlineStr">
        <is>
          <t>NÃO</t>
        </is>
      </c>
      <c r="P23" s="235" t="inlineStr">
        <is>
          <t>N/A</t>
        </is>
      </c>
      <c r="Q23" s="235" t="inlineStr">
        <is>
          <t>PÓS-VENDA / RELACIONAMENTO</t>
        </is>
      </c>
      <c r="R23" s="235" t="inlineStr">
        <is>
          <t>RELACIONAMENTO</t>
        </is>
      </c>
      <c r="S23" s="235" t="n"/>
      <c r="T23" s="235" t="n"/>
      <c r="U23" s="235" t="n"/>
      <c r="V23" s="235" t="n"/>
      <c r="W23" s="235" t="inlineStr">
        <is>
          <t>SIM</t>
        </is>
      </c>
      <c r="X23" s="235" t="n"/>
    </row>
    <row r="24">
      <c r="A24" s="391" t="n">
        <v>46079</v>
      </c>
      <c r="B24" s="235" t="inlineStr">
        <is>
          <t>DAIANE STAVICKI</t>
        </is>
      </c>
      <c r="C24" s="235" t="inlineStr">
        <is>
          <t>FITLAND PR 04</t>
        </is>
      </c>
      <c r="D24" s="235" t="inlineStr">
        <is>
          <t>94.297.508/5379-45</t>
        </is>
      </c>
      <c r="E24" s="235" t="inlineStr">
        <is>
          <t>BA</t>
        </is>
      </c>
      <c r="F24" s="235" t="inlineStr">
        <is>
          <t>DEMAIS CLIENTES</t>
        </is>
      </c>
      <c r="G24" s="235" t="inlineStr">
        <is>
          <t>ATIVO</t>
        </is>
      </c>
      <c r="H24" s="235" t="n">
        <v>46</v>
      </c>
      <c r="I24" s="235" t="n"/>
      <c r="J24" s="235" t="n"/>
      <c r="K24" s="235" t="n"/>
      <c r="L24" s="235" t="n"/>
      <c r="M24" s="235" t="n"/>
      <c r="N24" s="235" t="inlineStr">
        <is>
          <t>NÃO</t>
        </is>
      </c>
      <c r="O24" s="235" t="inlineStr">
        <is>
          <t>SIM</t>
        </is>
      </c>
      <c r="P24" s="235" t="inlineStr">
        <is>
          <t>SIM</t>
        </is>
      </c>
      <c r="Q24" s="235" t="inlineStr">
        <is>
          <t>ATEND. CLIENTES ATIVOS</t>
        </is>
      </c>
      <c r="R24" s="235" t="inlineStr">
        <is>
          <t>FOLLOW UP 15</t>
        </is>
      </c>
      <c r="S24" s="235" t="inlineStr">
        <is>
          <t>SEM INTERESSE NO MOMENTO</t>
        </is>
      </c>
      <c r="T24" s="235" t="n"/>
      <c r="U24" s="235" t="n"/>
      <c r="V24" s="235" t="n"/>
      <c r="W24" s="235" t="inlineStr">
        <is>
          <t>SIM</t>
        </is>
      </c>
      <c r="X24" s="235" t="n"/>
    </row>
    <row r="25">
      <c r="A25" s="391" t="n">
        <v>46072</v>
      </c>
      <c r="B25" s="235" t="inlineStr">
        <is>
          <t>DAIANE STAVICKI</t>
        </is>
      </c>
      <c r="C25" s="235" t="inlineStr">
        <is>
          <t>PONTO VERDE 05</t>
        </is>
      </c>
      <c r="D25" s="235" t="inlineStr">
        <is>
          <t>23.710.544/5664-50</t>
        </is>
      </c>
      <c r="E25" s="235" t="inlineStr">
        <is>
          <t>RS</t>
        </is>
      </c>
      <c r="F25" s="235" t="inlineStr">
        <is>
          <t>DEMAIS CLIENTES</t>
        </is>
      </c>
      <c r="G25" s="235" t="inlineStr">
        <is>
          <t>ATIVO</t>
        </is>
      </c>
      <c r="H25" s="235" t="n">
        <v>41</v>
      </c>
      <c r="I25" s="235" t="n"/>
      <c r="J25" s="235" t="n"/>
      <c r="K25" s="235" t="n"/>
      <c r="L25" s="235" t="n"/>
      <c r="M25" s="235" t="n"/>
      <c r="N25" s="235" t="inlineStr">
        <is>
          <t>SIM</t>
        </is>
      </c>
      <c r="O25" s="235" t="inlineStr">
        <is>
          <t>NÃO</t>
        </is>
      </c>
      <c r="P25" s="235" t="inlineStr">
        <is>
          <t>N/A</t>
        </is>
      </c>
      <c r="Q25" s="235" t="inlineStr">
        <is>
          <t>NEGOCIAÇÃO</t>
        </is>
      </c>
      <c r="R25" s="235" t="inlineStr">
        <is>
          <t>EM ATENDIMENTO</t>
        </is>
      </c>
      <c r="S25" s="235" t="n"/>
      <c r="T25" s="235" t="n"/>
      <c r="U25" s="235" t="n"/>
      <c r="V25" s="235" t="n"/>
      <c r="W25" s="235" t="inlineStr">
        <is>
          <t>NÃO</t>
        </is>
      </c>
      <c r="X25" s="235" t="n"/>
    </row>
    <row r="26">
      <c r="A26" s="391" t="n">
        <v>46075</v>
      </c>
      <c r="B26" s="235" t="inlineStr">
        <is>
          <t>JULIO GADRET</t>
        </is>
      </c>
      <c r="C26" s="235" t="inlineStr">
        <is>
          <t>CIA SAUDE SP 47</t>
        </is>
      </c>
      <c r="D26" s="235" t="inlineStr">
        <is>
          <t>65.171.780/5410-89</t>
        </is>
      </c>
      <c r="E26" s="235" t="inlineStr">
        <is>
          <t>SC</t>
        </is>
      </c>
      <c r="F26" s="235" t="inlineStr">
        <is>
          <t>DEMAIS CLIENTES</t>
        </is>
      </c>
      <c r="G26" s="235" t="inlineStr">
        <is>
          <t>INAT.ANT</t>
        </is>
      </c>
      <c r="H26" s="235" t="n">
        <v>167</v>
      </c>
      <c r="I26" s="235" t="n"/>
      <c r="J26" s="235" t="n"/>
      <c r="K26" s="235" t="n"/>
      <c r="L26" s="235" t="n"/>
      <c r="M26" s="235" t="n"/>
      <c r="N26" s="235" t="inlineStr">
        <is>
          <t>SIM</t>
        </is>
      </c>
      <c r="O26" s="235" t="inlineStr">
        <is>
          <t>NÃO</t>
        </is>
      </c>
      <c r="P26" s="235" t="inlineStr">
        <is>
          <t>N/A</t>
        </is>
      </c>
      <c r="Q26" s="235" t="inlineStr">
        <is>
          <t>ATEND. CLIENTES ATIVOS</t>
        </is>
      </c>
      <c r="R26" s="235" t="inlineStr">
        <is>
          <t>FOLLOW UP 15</t>
        </is>
      </c>
      <c r="S26" s="235" t="inlineStr">
        <is>
          <t>PROBLEMA LOGÍSTICO / ENTREGA</t>
        </is>
      </c>
      <c r="T26" s="235" t="n"/>
      <c r="U26" s="235" t="n"/>
      <c r="V26" s="235" t="n"/>
      <c r="W26" s="235" t="inlineStr">
        <is>
          <t>SIM</t>
        </is>
      </c>
      <c r="X26" s="235" t="n"/>
    </row>
    <row r="27">
      <c r="A27" s="391" t="n">
        <v>46075</v>
      </c>
      <c r="B27" s="235" t="inlineStr">
        <is>
          <t>DAIANE STAVICKI</t>
        </is>
      </c>
      <c r="C27" s="235" t="inlineStr">
        <is>
          <t>VERDE VIDA 79</t>
        </is>
      </c>
      <c r="D27" s="235" t="inlineStr">
        <is>
          <t>82.408.515/8978-10</t>
        </is>
      </c>
      <c r="E27" s="235" t="inlineStr">
        <is>
          <t>SC</t>
        </is>
      </c>
      <c r="F27" s="235" t="inlineStr">
        <is>
          <t>BIOMUNDO</t>
        </is>
      </c>
      <c r="G27" s="235" t="inlineStr">
        <is>
          <t>INAT.ANT</t>
        </is>
      </c>
      <c r="H27" s="235" t="n">
        <v>246</v>
      </c>
      <c r="I27" s="235" t="n"/>
      <c r="J27" s="235" t="n"/>
      <c r="K27" s="235" t="n"/>
      <c r="L27" s="235" t="n"/>
      <c r="M27" s="235" t="n"/>
      <c r="N27" s="235" t="inlineStr">
        <is>
          <t>SIM</t>
        </is>
      </c>
      <c r="O27" s="235" t="inlineStr">
        <is>
          <t>SIM</t>
        </is>
      </c>
      <c r="P27" s="235" t="inlineStr">
        <is>
          <t>SIM</t>
        </is>
      </c>
      <c r="Q27" s="235" t="inlineStr">
        <is>
          <t>ATEND. CLIENTES INATIVOS</t>
        </is>
      </c>
      <c r="R27" s="235" t="inlineStr">
        <is>
          <t>NÃO RESPONDE</t>
        </is>
      </c>
      <c r="S27" s="235" t="inlineStr">
        <is>
          <t>SEM INTERESSE NO MOMENTO</t>
        </is>
      </c>
      <c r="T27" s="235" t="n"/>
      <c r="U27" s="235" t="n"/>
      <c r="V27" s="235" t="n"/>
      <c r="W27" s="235" t="inlineStr">
        <is>
          <t>NÃO</t>
        </is>
      </c>
      <c r="X27" s="235" t="n"/>
    </row>
    <row r="28">
      <c r="A28" s="391" t="n">
        <v>46059</v>
      </c>
      <c r="B28" s="235" t="inlineStr">
        <is>
          <t>JULIO GADRET</t>
        </is>
      </c>
      <c r="C28" s="235" t="inlineStr">
        <is>
          <t>ECO SAUDE 66</t>
        </is>
      </c>
      <c r="D28" s="235" t="inlineStr">
        <is>
          <t>94.748.734/5492-21</t>
        </is>
      </c>
      <c r="E28" s="235" t="inlineStr">
        <is>
          <t>MG</t>
        </is>
      </c>
      <c r="F28" s="235" t="inlineStr">
        <is>
          <t>DEMAIS CLIENTES</t>
        </is>
      </c>
      <c r="G28" s="235" t="inlineStr">
        <is>
          <t>INAT.ANT</t>
        </is>
      </c>
      <c r="H28" s="235" t="n">
        <v>148</v>
      </c>
      <c r="I28" s="235" t="n"/>
      <c r="J28" s="235" t="n"/>
      <c r="K28" s="235" t="n"/>
      <c r="L28" s="235" t="n"/>
      <c r="M28" s="235" t="n"/>
      <c r="N28" s="235" t="inlineStr">
        <is>
          <t>SIM</t>
        </is>
      </c>
      <c r="O28" s="235" t="inlineStr">
        <is>
          <t>NÃO</t>
        </is>
      </c>
      <c r="P28" s="235" t="inlineStr">
        <is>
          <t>N/A</t>
        </is>
      </c>
      <c r="Q28" s="235" t="inlineStr">
        <is>
          <t>PÓS-VENDA / RELACIONAMENTO</t>
        </is>
      </c>
      <c r="R28" s="235" t="inlineStr">
        <is>
          <t>RELACIONAMENTO</t>
        </is>
      </c>
      <c r="S28" s="235" t="n"/>
      <c r="T28" s="235" t="n"/>
      <c r="U28" s="235" t="n"/>
      <c r="V28" s="235" t="n"/>
      <c r="W28" s="235" t="inlineStr">
        <is>
          <t>SIM</t>
        </is>
      </c>
      <c r="X28" s="235" t="n"/>
    </row>
    <row r="29">
      <c r="A29" s="391" t="n">
        <v>46078</v>
      </c>
      <c r="B29" s="235" t="inlineStr">
        <is>
          <t>MANU DITZEL</t>
        </is>
      </c>
      <c r="C29" s="235" t="inlineStr">
        <is>
          <t>NUTRI SHOP 81</t>
        </is>
      </c>
      <c r="D29" s="235" t="inlineStr">
        <is>
          <t>83.299.835/6292-73</t>
        </is>
      </c>
      <c r="E29" s="235" t="inlineStr">
        <is>
          <t>SC</t>
        </is>
      </c>
      <c r="F29" s="235" t="inlineStr">
        <is>
          <t>MUNDO VERDE</t>
        </is>
      </c>
      <c r="G29" s="235" t="inlineStr">
        <is>
          <t>INAT.ANT</t>
        </is>
      </c>
      <c r="H29" s="235" t="n">
        <v>283</v>
      </c>
      <c r="I29" s="235" t="n"/>
      <c r="J29" s="235" t="n"/>
      <c r="K29" s="235" t="n"/>
      <c r="L29" s="235" t="n"/>
      <c r="M29" s="235" t="n"/>
      <c r="N29" s="235" t="inlineStr">
        <is>
          <t>NÃO</t>
        </is>
      </c>
      <c r="O29" s="235" t="inlineStr">
        <is>
          <t>SIM</t>
        </is>
      </c>
      <c r="P29" s="235" t="inlineStr">
        <is>
          <t>NÃO</t>
        </is>
      </c>
      <c r="Q29" s="235" t="inlineStr">
        <is>
          <t>PÓS-VENDA / RELACIONAMENTO</t>
        </is>
      </c>
      <c r="R29" s="235" t="inlineStr">
        <is>
          <t>NÃO ATENDE</t>
        </is>
      </c>
      <c r="S29" s="235" t="inlineStr">
        <is>
          <t>PROBLEMA FINANCEIRO / CRÉDITO</t>
        </is>
      </c>
      <c r="T29" s="235" t="n"/>
      <c r="U29" s="235" t="n"/>
      <c r="V29" s="235" t="n"/>
      <c r="W29" s="235" t="inlineStr">
        <is>
          <t>SIM</t>
        </is>
      </c>
      <c r="X29" s="235" t="n"/>
    </row>
    <row r="30">
      <c r="A30" s="391" t="n">
        <v>46071</v>
      </c>
      <c r="B30" s="235" t="inlineStr">
        <is>
          <t>MANU DITZEL</t>
        </is>
      </c>
      <c r="C30" s="235" t="inlineStr">
        <is>
          <t>CASA DO GRANEL 59</t>
        </is>
      </c>
      <c r="D30" s="235" t="inlineStr">
        <is>
          <t>27.920.575/8703-81</t>
        </is>
      </c>
      <c r="E30" s="235" t="inlineStr">
        <is>
          <t>SP</t>
        </is>
      </c>
      <c r="F30" s="235" t="inlineStr">
        <is>
          <t>DEMAIS CLIENTES</t>
        </is>
      </c>
      <c r="G30" s="235" t="inlineStr">
        <is>
          <t>NOVO</t>
        </is>
      </c>
      <c r="H30" s="235" t="inlineStr"/>
      <c r="I30" s="235" t="n"/>
      <c r="J30" s="235" t="n"/>
      <c r="K30" s="235" t="n"/>
      <c r="L30" s="235" t="n"/>
      <c r="M30" s="235" t="n"/>
      <c r="N30" s="235" t="inlineStr">
        <is>
          <t>SIM</t>
        </is>
      </c>
      <c r="O30" s="235" t="inlineStr">
        <is>
          <t>NÃO</t>
        </is>
      </c>
      <c r="P30" s="235" t="inlineStr">
        <is>
          <t>N/A</t>
        </is>
      </c>
      <c r="Q30" s="235" t="inlineStr">
        <is>
          <t>ATEND. CLIENTES ATIVOS</t>
        </is>
      </c>
      <c r="R30" s="235" t="inlineStr">
        <is>
          <t>SUPORTE</t>
        </is>
      </c>
      <c r="S30" s="235" t="n"/>
      <c r="T30" s="235" t="n"/>
      <c r="U30" s="235" t="n"/>
      <c r="V30" s="235" t="n"/>
      <c r="W30" s="235" t="inlineStr">
        <is>
          <t>SIM</t>
        </is>
      </c>
      <c r="X30" s="235" t="n"/>
    </row>
    <row r="31">
      <c r="A31" s="391" t="n">
        <v>46059</v>
      </c>
      <c r="B31" s="235" t="inlineStr">
        <is>
          <t>JULIO GADRET</t>
        </is>
      </c>
      <c r="C31" s="235" t="inlineStr">
        <is>
          <t>FEIRA VERDE 58</t>
        </is>
      </c>
      <c r="D31" s="235" t="inlineStr">
        <is>
          <t>43.869.353/4544-76</t>
        </is>
      </c>
      <c r="E31" s="235" t="inlineStr">
        <is>
          <t>RS</t>
        </is>
      </c>
      <c r="F31" s="235" t="inlineStr">
        <is>
          <t>BIOMUNDO</t>
        </is>
      </c>
      <c r="G31" s="235" t="inlineStr">
        <is>
          <t>EM RISCO</t>
        </is>
      </c>
      <c r="H31" s="235" t="n">
        <v>55</v>
      </c>
      <c r="I31" s="235" t="n"/>
      <c r="J31" s="235" t="n"/>
      <c r="K31" s="235" t="n"/>
      <c r="L31" s="235" t="n"/>
      <c r="M31" s="235" t="n"/>
      <c r="N31" s="235" t="inlineStr">
        <is>
          <t>NÃO</t>
        </is>
      </c>
      <c r="O31" s="235" t="inlineStr">
        <is>
          <t>SIM</t>
        </is>
      </c>
      <c r="P31" s="235" t="inlineStr">
        <is>
          <t>SIM</t>
        </is>
      </c>
      <c r="Q31" s="235" t="inlineStr">
        <is>
          <t>NEGOCIAÇÃO</t>
        </is>
      </c>
      <c r="R31" s="235" t="inlineStr">
        <is>
          <t>ORÇAMENTO</t>
        </is>
      </c>
      <c r="S31" s="235" t="n"/>
      <c r="T31" s="235" t="n"/>
      <c r="U31" s="235" t="n"/>
      <c r="V31" s="235" t="n"/>
      <c r="W31" s="235" t="inlineStr">
        <is>
          <t>SIM</t>
        </is>
      </c>
      <c r="X31" s="235" t="n"/>
    </row>
    <row r="32">
      <c r="A32" s="391" t="n">
        <v>46058</v>
      </c>
      <c r="B32" s="235" t="inlineStr">
        <is>
          <t>JULIO GADRET</t>
        </is>
      </c>
      <c r="C32" s="235" t="inlineStr">
        <is>
          <t>VIDA SAUDÁVEL 54</t>
        </is>
      </c>
      <c r="D32" s="235" t="inlineStr">
        <is>
          <t>62.438.655/7634-63</t>
        </is>
      </c>
      <c r="E32" s="235" t="inlineStr">
        <is>
          <t>PR</t>
        </is>
      </c>
      <c r="F32" s="235" t="inlineStr">
        <is>
          <t>DEMAIS CLIENTES</t>
        </is>
      </c>
      <c r="G32" s="235" t="inlineStr">
        <is>
          <t>EM RISCO</t>
        </is>
      </c>
      <c r="H32" s="235" t="n">
        <v>60</v>
      </c>
      <c r="I32" s="235" t="n"/>
      <c r="J32" s="235" t="n"/>
      <c r="K32" s="235" t="n"/>
      <c r="L32" s="235" t="n"/>
      <c r="M32" s="235" t="n"/>
      <c r="N32" s="235" t="inlineStr">
        <is>
          <t>NÃO</t>
        </is>
      </c>
      <c r="O32" s="235" t="inlineStr">
        <is>
          <t>NÃO</t>
        </is>
      </c>
      <c r="P32" s="235" t="inlineStr">
        <is>
          <t>N/A</t>
        </is>
      </c>
      <c r="Q32" s="235" t="inlineStr">
        <is>
          <t>PERDA / NUTRIÇÃO</t>
        </is>
      </c>
      <c r="R32" s="235" t="inlineStr">
        <is>
          <t>PERDA / FECHOU LOJA</t>
        </is>
      </c>
      <c r="S32" s="235" t="inlineStr">
        <is>
          <t>SÓ QUER COMPRAR GRANEL</t>
        </is>
      </c>
      <c r="T32" s="235" t="n"/>
      <c r="U32" s="235" t="n"/>
      <c r="V32" s="235" t="n"/>
      <c r="W32" s="235" t="inlineStr">
        <is>
          <t>NÃO</t>
        </is>
      </c>
      <c r="X32" s="235" t="n"/>
    </row>
    <row r="33">
      <c r="A33" s="391" t="n">
        <v>46063</v>
      </c>
      <c r="B33" s="235" t="inlineStr">
        <is>
          <t>DAIANE STAVICKI</t>
        </is>
      </c>
      <c r="C33" s="235" t="inlineStr">
        <is>
          <t>NUTRI SHOP 69</t>
        </is>
      </c>
      <c r="D33" s="235" t="inlineStr">
        <is>
          <t>79.919.717/3614-72</t>
        </is>
      </c>
      <c r="E33" s="235" t="inlineStr">
        <is>
          <t>PR</t>
        </is>
      </c>
      <c r="F33" s="235" t="inlineStr">
        <is>
          <t>FIT LAND</t>
        </is>
      </c>
      <c r="G33" s="235" t="inlineStr">
        <is>
          <t>ATIVO</t>
        </is>
      </c>
      <c r="H33" s="235" t="n">
        <v>26</v>
      </c>
      <c r="I33" s="235" t="n"/>
      <c r="J33" s="235" t="n"/>
      <c r="K33" s="235" t="n"/>
      <c r="L33" s="235" t="n"/>
      <c r="M33" s="235" t="n"/>
      <c r="N33" s="235" t="inlineStr">
        <is>
          <t>NÃO</t>
        </is>
      </c>
      <c r="O33" s="235" t="inlineStr">
        <is>
          <t>NÃO</t>
        </is>
      </c>
      <c r="P33" s="235" t="inlineStr">
        <is>
          <t>N/A</t>
        </is>
      </c>
      <c r="Q33" s="235" t="inlineStr">
        <is>
          <t>ATEND. CLIENTES INATIVOS</t>
        </is>
      </c>
      <c r="R33" s="235" t="inlineStr">
        <is>
          <t>VENDA / PEDIDO</t>
        </is>
      </c>
      <c r="S33" s="235" t="n"/>
      <c r="T33" s="235" t="n"/>
      <c r="U33" s="235" t="n"/>
      <c r="V33" s="235" t="n"/>
      <c r="W33" s="235" t="inlineStr">
        <is>
          <t>NÃO</t>
        </is>
      </c>
      <c r="X33" s="235" t="n"/>
    </row>
    <row r="34">
      <c r="A34" s="391" t="n">
        <v>46073</v>
      </c>
      <c r="B34" s="235" t="inlineStr">
        <is>
          <t>LARISSA PADILHA</t>
        </is>
      </c>
      <c r="C34" s="235" t="inlineStr">
        <is>
          <t>TUDO GRÃOS SC 76</t>
        </is>
      </c>
      <c r="D34" s="235" t="inlineStr">
        <is>
          <t>82.778.127/1376-92</t>
        </is>
      </c>
      <c r="E34" s="235" t="inlineStr">
        <is>
          <t>RS</t>
        </is>
      </c>
      <c r="F34" s="235" t="inlineStr">
        <is>
          <t>DEMAIS CLIENTES</t>
        </is>
      </c>
      <c r="G34" s="235" t="inlineStr">
        <is>
          <t>ATIVO</t>
        </is>
      </c>
      <c r="H34" s="235" t="n">
        <v>21</v>
      </c>
      <c r="I34" s="235" t="n"/>
      <c r="J34" s="235" t="n"/>
      <c r="K34" s="235" t="n"/>
      <c r="L34" s="235" t="n"/>
      <c r="M34" s="235" t="n"/>
      <c r="N34" s="235" t="inlineStr">
        <is>
          <t>SIM</t>
        </is>
      </c>
      <c r="O34" s="235" t="inlineStr">
        <is>
          <t>NÃO</t>
        </is>
      </c>
      <c r="P34" s="235" t="inlineStr">
        <is>
          <t>N/A</t>
        </is>
      </c>
      <c r="Q34" s="235" t="inlineStr">
        <is>
          <t>ATEND. CLIENTES ATIVOS</t>
        </is>
      </c>
      <c r="R34" s="235" t="inlineStr">
        <is>
          <t>ORÇAMENTO</t>
        </is>
      </c>
      <c r="S34" s="235" t="n"/>
      <c r="T34" s="235" t="n"/>
      <c r="U34" s="235" t="n"/>
      <c r="V34" s="235" t="n"/>
      <c r="W34" s="235" t="inlineStr">
        <is>
          <t>SIM</t>
        </is>
      </c>
      <c r="X34" s="235" t="n"/>
    </row>
    <row r="35">
      <c r="A35" s="391" t="n">
        <v>46078</v>
      </c>
      <c r="B35" s="235" t="inlineStr">
        <is>
          <t>DAIANE STAVICKI</t>
        </is>
      </c>
      <c r="C35" s="235" t="inlineStr">
        <is>
          <t>NUTRI SHOP 33</t>
        </is>
      </c>
      <c r="D35" s="235" t="inlineStr">
        <is>
          <t>20.581.119/8838-16</t>
        </is>
      </c>
      <c r="E35" s="235" t="inlineStr">
        <is>
          <t>CE</t>
        </is>
      </c>
      <c r="F35" s="235" t="inlineStr">
        <is>
          <t>CIA DA SAUDE</t>
        </is>
      </c>
      <c r="G35" s="235" t="inlineStr">
        <is>
          <t>INAT.ANT</t>
        </is>
      </c>
      <c r="H35" s="235" t="n">
        <v>290</v>
      </c>
      <c r="I35" s="235" t="n"/>
      <c r="J35" s="235" t="n"/>
      <c r="K35" s="235" t="n"/>
      <c r="L35" s="235" t="n"/>
      <c r="M35" s="235" t="n"/>
      <c r="N35" s="235" t="inlineStr">
        <is>
          <t>SIM</t>
        </is>
      </c>
      <c r="O35" s="235" t="inlineStr">
        <is>
          <t>SIM</t>
        </is>
      </c>
      <c r="P35" s="235" t="inlineStr">
        <is>
          <t>NÃO</t>
        </is>
      </c>
      <c r="Q35" s="235" t="inlineStr">
        <is>
          <t>PERDA / NUTRIÇÃO</t>
        </is>
      </c>
      <c r="R35" s="235" t="inlineStr">
        <is>
          <t>PERDA / FECHOU LOJA</t>
        </is>
      </c>
      <c r="S35" s="235" t="inlineStr">
        <is>
          <t>PROBLEMA LOGÍSTICO / ENTREGA</t>
        </is>
      </c>
      <c r="T35" s="235" t="n"/>
      <c r="U35" s="235" t="n"/>
      <c r="V35" s="235" t="n"/>
      <c r="W35" s="235" t="inlineStr">
        <is>
          <t>SIM</t>
        </is>
      </c>
      <c r="X35" s="235" t="n"/>
    </row>
    <row r="36">
      <c r="A36" s="391" t="n">
        <v>46069</v>
      </c>
      <c r="B36" s="235" t="inlineStr">
        <is>
          <t>JULIO GADRET</t>
        </is>
      </c>
      <c r="C36" s="235" t="inlineStr">
        <is>
          <t>PURA VIDA 28</t>
        </is>
      </c>
      <c r="D36" s="235" t="inlineStr">
        <is>
          <t>69.816.362/6044-31</t>
        </is>
      </c>
      <c r="E36" s="235" t="inlineStr">
        <is>
          <t>SP</t>
        </is>
      </c>
      <c r="F36" s="235" t="inlineStr">
        <is>
          <t>DEMAIS CLIENTES</t>
        </is>
      </c>
      <c r="G36" s="235" t="inlineStr">
        <is>
          <t>INAT.ANT</t>
        </is>
      </c>
      <c r="H36" s="235" t="n">
        <v>290</v>
      </c>
      <c r="I36" s="235" t="n"/>
      <c r="J36" s="235" t="n"/>
      <c r="K36" s="235" t="n"/>
      <c r="L36" s="235" t="n"/>
      <c r="M36" s="235" t="n"/>
      <c r="N36" s="235" t="inlineStr">
        <is>
          <t>SIM</t>
        </is>
      </c>
      <c r="O36" s="235" t="inlineStr">
        <is>
          <t>SIM</t>
        </is>
      </c>
      <c r="P36" s="235" t="inlineStr">
        <is>
          <t>SIM</t>
        </is>
      </c>
      <c r="Q36" s="235" t="inlineStr">
        <is>
          <t>PÓS-VENDA / RELACIONAMENTO</t>
        </is>
      </c>
      <c r="R36" s="235" t="inlineStr">
        <is>
          <t>ORÇAMENTO</t>
        </is>
      </c>
      <c r="S36" s="235" t="n"/>
      <c r="T36" s="235" t="n"/>
      <c r="U36" s="235" t="n"/>
      <c r="V36" s="235" t="n"/>
      <c r="W36" s="235" t="inlineStr">
        <is>
          <t>NÃO</t>
        </is>
      </c>
      <c r="X36" s="235" t="n"/>
    </row>
    <row r="37">
      <c r="A37" s="391" t="n">
        <v>46066</v>
      </c>
      <c r="B37" s="235" t="inlineStr">
        <is>
          <t>LARISSA PADILHA</t>
        </is>
      </c>
      <c r="C37" s="235" t="inlineStr">
        <is>
          <t>CIA SAUDE SP 10</t>
        </is>
      </c>
      <c r="D37" s="235" t="inlineStr">
        <is>
          <t>85.807.950/3979-23</t>
        </is>
      </c>
      <c r="E37" s="235" t="inlineStr">
        <is>
          <t>SP</t>
        </is>
      </c>
      <c r="F37" s="235" t="inlineStr">
        <is>
          <t>CIA DA SAUDE</t>
        </is>
      </c>
      <c r="G37" s="235" t="inlineStr">
        <is>
          <t>INAT.ANT</t>
        </is>
      </c>
      <c r="H37" s="235" t="n">
        <v>297</v>
      </c>
      <c r="I37" s="235" t="n"/>
      <c r="J37" s="235" t="n"/>
      <c r="K37" s="235" t="n"/>
      <c r="L37" s="235" t="n"/>
      <c r="M37" s="235" t="n"/>
      <c r="N37" s="235" t="inlineStr">
        <is>
          <t>NÃO</t>
        </is>
      </c>
      <c r="O37" s="235" t="inlineStr">
        <is>
          <t>SIM</t>
        </is>
      </c>
      <c r="P37" s="235" t="inlineStr">
        <is>
          <t>SIM</t>
        </is>
      </c>
      <c r="Q37" s="235" t="inlineStr">
        <is>
          <t>PROSPECÇÃO</t>
        </is>
      </c>
      <c r="R37" s="235" t="inlineStr">
        <is>
          <t>RELACIONAMENTO</t>
        </is>
      </c>
      <c r="S37" s="235" t="n"/>
      <c r="T37" s="235" t="n"/>
      <c r="U37" s="235" t="n"/>
      <c r="V37" s="235" t="n"/>
      <c r="W37" s="235" t="inlineStr">
        <is>
          <t>SIM</t>
        </is>
      </c>
      <c r="X37" s="235" t="n"/>
    </row>
    <row r="38">
      <c r="A38" s="391" t="n">
        <v>46070</v>
      </c>
      <c r="B38" s="235" t="inlineStr">
        <is>
          <t>JULIO GADRET</t>
        </is>
      </c>
      <c r="C38" s="235" t="inlineStr">
        <is>
          <t>NUTRI VIDA 54</t>
        </is>
      </c>
      <c r="D38" s="235" t="inlineStr">
        <is>
          <t>72.208.543/5935-91</t>
        </is>
      </c>
      <c r="E38" s="235" t="inlineStr">
        <is>
          <t>BA</t>
        </is>
      </c>
      <c r="F38" s="235" t="inlineStr">
        <is>
          <t>DIVINA TERRA</t>
        </is>
      </c>
      <c r="G38" s="235" t="inlineStr">
        <is>
          <t>ATIVO</t>
        </is>
      </c>
      <c r="H38" s="235" t="n">
        <v>16</v>
      </c>
      <c r="I38" s="235" t="n"/>
      <c r="J38" s="235" t="n"/>
      <c r="K38" s="235" t="n"/>
      <c r="L38" s="235" t="n"/>
      <c r="M38" s="235" t="n"/>
      <c r="N38" s="235" t="inlineStr">
        <is>
          <t>SIM</t>
        </is>
      </c>
      <c r="O38" s="235" t="inlineStr">
        <is>
          <t>NÃO</t>
        </is>
      </c>
      <c r="P38" s="235" t="inlineStr">
        <is>
          <t>N/A</t>
        </is>
      </c>
      <c r="Q38" s="235" t="inlineStr">
        <is>
          <t>ATEND. CLIENTES INATIVOS</t>
        </is>
      </c>
      <c r="R38" s="235" t="inlineStr">
        <is>
          <t>FOLLOW UP 15</t>
        </is>
      </c>
      <c r="S38" s="235" t="inlineStr">
        <is>
          <t>PROBLEMA LOGÍSTICO / ENTREGA</t>
        </is>
      </c>
      <c r="T38" s="235" t="n"/>
      <c r="U38" s="235" t="n"/>
      <c r="V38" s="235" t="n"/>
      <c r="W38" s="235" t="inlineStr">
        <is>
          <t>SIM</t>
        </is>
      </c>
      <c r="X38" s="235" t="n"/>
    </row>
    <row r="39">
      <c r="A39" s="391" t="n">
        <v>46067</v>
      </c>
      <c r="B39" s="235" t="inlineStr">
        <is>
          <t>DAIANE STAVICKI</t>
        </is>
      </c>
      <c r="C39" s="235" t="inlineStr">
        <is>
          <t>VERDE ESSENCE 35</t>
        </is>
      </c>
      <c r="D39" s="235" t="inlineStr">
        <is>
          <t>51.972.351/1420-45</t>
        </is>
      </c>
      <c r="E39" s="235" t="inlineStr">
        <is>
          <t>BA</t>
        </is>
      </c>
      <c r="F39" s="235" t="inlineStr">
        <is>
          <t>BIOMUNDO</t>
        </is>
      </c>
      <c r="G39" s="235" t="inlineStr">
        <is>
          <t>EM RISCO</t>
        </is>
      </c>
      <c r="H39" s="235" t="n">
        <v>60</v>
      </c>
      <c r="I39" s="235" t="n"/>
      <c r="J39" s="235" t="n"/>
      <c r="K39" s="235" t="n"/>
      <c r="L39" s="235" t="n"/>
      <c r="M39" s="235" t="n"/>
      <c r="N39" s="235" t="inlineStr">
        <is>
          <t>SIM</t>
        </is>
      </c>
      <c r="O39" s="235" t="inlineStr">
        <is>
          <t>SIM</t>
        </is>
      </c>
      <c r="P39" s="235" t="inlineStr">
        <is>
          <t>SIM</t>
        </is>
      </c>
      <c r="Q39" s="235" t="inlineStr">
        <is>
          <t>ATEND. CLIENTES INATIVOS</t>
        </is>
      </c>
      <c r="R39" s="235" t="inlineStr">
        <is>
          <t>NÃO ATENDE</t>
        </is>
      </c>
      <c r="S39" s="235" t="inlineStr">
        <is>
          <t>PRODUTO NÃO VENDEU / SEM GIRO</t>
        </is>
      </c>
      <c r="T39" s="235" t="n"/>
      <c r="U39" s="235" t="n"/>
      <c r="V39" s="235" t="n"/>
      <c r="W39" s="235" t="inlineStr">
        <is>
          <t>SIM</t>
        </is>
      </c>
      <c r="X39" s="235" t="n"/>
    </row>
    <row r="40">
      <c r="A40" s="391" t="n">
        <v>46062</v>
      </c>
      <c r="B40" s="235" t="inlineStr">
        <is>
          <t>DAIANE STAVICKI</t>
        </is>
      </c>
      <c r="C40" s="235" t="inlineStr">
        <is>
          <t>NATUR LIFE 72</t>
        </is>
      </c>
      <c r="D40" s="235" t="inlineStr">
        <is>
          <t>11.629.295/1403-40</t>
        </is>
      </c>
      <c r="E40" s="235" t="inlineStr">
        <is>
          <t>RJ</t>
        </is>
      </c>
      <c r="F40" s="235" t="inlineStr">
        <is>
          <t>DIVINA TERRA</t>
        </is>
      </c>
      <c r="G40" s="235" t="inlineStr">
        <is>
          <t>INAT.ANT</t>
        </is>
      </c>
      <c r="H40" s="235" t="n">
        <v>267</v>
      </c>
      <c r="I40" s="235" t="n"/>
      <c r="J40" s="235" t="n"/>
      <c r="K40" s="235" t="n"/>
      <c r="L40" s="235" t="n"/>
      <c r="M40" s="235" t="n"/>
      <c r="N40" s="235" t="inlineStr">
        <is>
          <t>SIM</t>
        </is>
      </c>
      <c r="O40" s="235" t="inlineStr">
        <is>
          <t>SIM</t>
        </is>
      </c>
      <c r="P40" s="235" t="inlineStr">
        <is>
          <t>SIM</t>
        </is>
      </c>
      <c r="Q40" s="235" t="inlineStr">
        <is>
          <t>ATEND. CLIENTES ATIVOS</t>
        </is>
      </c>
      <c r="R40" s="235" t="inlineStr">
        <is>
          <t>SUPORTE</t>
        </is>
      </c>
      <c r="S40" s="235" t="n"/>
      <c r="T40" s="235" t="n"/>
      <c r="U40" s="235" t="n"/>
      <c r="V40" s="235" t="n"/>
      <c r="W40" s="235" t="inlineStr">
        <is>
          <t>SIM</t>
        </is>
      </c>
      <c r="X40" s="235" t="n"/>
    </row>
    <row r="41">
      <c r="A41" s="391" t="n">
        <v>46061</v>
      </c>
      <c r="B41" s="235" t="inlineStr">
        <is>
          <t>MANU DITZEL</t>
        </is>
      </c>
      <c r="C41" s="235" t="inlineStr">
        <is>
          <t>VERDE ESSENCE 48</t>
        </is>
      </c>
      <c r="D41" s="235" t="inlineStr">
        <is>
          <t>70.666.643/5633-64</t>
        </is>
      </c>
      <c r="E41" s="235" t="inlineStr">
        <is>
          <t>CE</t>
        </is>
      </c>
      <c r="F41" s="235" t="inlineStr">
        <is>
          <t>VIDA LEVE</t>
        </is>
      </c>
      <c r="G41" s="235" t="inlineStr">
        <is>
          <t>EM RISCO</t>
        </is>
      </c>
      <c r="H41" s="235" t="n">
        <v>58</v>
      </c>
      <c r="I41" s="235" t="n"/>
      <c r="J41" s="235" t="n"/>
      <c r="K41" s="235" t="n"/>
      <c r="L41" s="235" t="n"/>
      <c r="M41" s="235" t="n"/>
      <c r="N41" s="235" t="inlineStr">
        <is>
          <t>SIM</t>
        </is>
      </c>
      <c r="O41" s="235" t="inlineStr">
        <is>
          <t>SIM</t>
        </is>
      </c>
      <c r="P41" s="235" t="inlineStr">
        <is>
          <t>SIM</t>
        </is>
      </c>
      <c r="Q41" s="235" t="inlineStr">
        <is>
          <t>FOLLOW UP</t>
        </is>
      </c>
      <c r="R41" s="235" t="inlineStr">
        <is>
          <t>ORÇAMENTO</t>
        </is>
      </c>
      <c r="S41" s="235" t="n"/>
      <c r="T41" s="235" t="n"/>
      <c r="U41" s="235" t="n"/>
      <c r="V41" s="235" t="n"/>
      <c r="W41" s="235" t="inlineStr">
        <is>
          <t>SIM</t>
        </is>
      </c>
      <c r="X41" s="235" t="n"/>
    </row>
    <row r="42">
      <c r="A42" s="391" t="n">
        <v>46078</v>
      </c>
      <c r="B42" s="235" t="inlineStr">
        <is>
          <t>JULIO GADRET</t>
        </is>
      </c>
      <c r="C42" s="235" t="inlineStr">
        <is>
          <t>CIA SAUDE SP 28</t>
        </is>
      </c>
      <c r="D42" s="235" t="inlineStr">
        <is>
          <t>71.383.841/9660-77</t>
        </is>
      </c>
      <c r="E42" s="235" t="inlineStr">
        <is>
          <t>SP</t>
        </is>
      </c>
      <c r="F42" s="235" t="inlineStr">
        <is>
          <t>DEMAIS CLIENTES</t>
        </is>
      </c>
      <c r="G42" s="235" t="inlineStr">
        <is>
          <t>NOVO</t>
        </is>
      </c>
      <c r="H42" s="235" t="inlineStr"/>
      <c r="I42" s="235" t="n"/>
      <c r="J42" s="235" t="n"/>
      <c r="K42" s="235" t="n"/>
      <c r="L42" s="235" t="n"/>
      <c r="M42" s="235" t="n"/>
      <c r="N42" s="235" t="inlineStr">
        <is>
          <t>SIM</t>
        </is>
      </c>
      <c r="O42" s="235" t="inlineStr">
        <is>
          <t>NÃO</t>
        </is>
      </c>
      <c r="P42" s="235" t="inlineStr">
        <is>
          <t>N/A</t>
        </is>
      </c>
      <c r="Q42" s="235" t="inlineStr">
        <is>
          <t>FOLLOW UP</t>
        </is>
      </c>
      <c r="R42" s="235" t="inlineStr">
        <is>
          <t>VENDA / PEDIDO</t>
        </is>
      </c>
      <c r="S42" s="235" t="n"/>
      <c r="T42" s="235" t="n"/>
      <c r="U42" s="235" t="n"/>
      <c r="V42" s="235" t="n"/>
      <c r="W42" s="235" t="inlineStr">
        <is>
          <t>SIM</t>
        </is>
      </c>
      <c r="X42" s="235" t="n"/>
    </row>
    <row r="43">
      <c r="A43" s="391" t="n">
        <v>46055</v>
      </c>
      <c r="B43" s="235" t="inlineStr">
        <is>
          <t>DAIANE STAVICKI</t>
        </is>
      </c>
      <c r="C43" s="235" t="inlineStr">
        <is>
          <t>ESSENCE FOOD 38</t>
        </is>
      </c>
      <c r="D43" s="235" t="inlineStr">
        <is>
          <t>99.229.753/8043-23</t>
        </is>
      </c>
      <c r="E43" s="235" t="inlineStr">
        <is>
          <t>BA</t>
        </is>
      </c>
      <c r="F43" s="235" t="inlineStr">
        <is>
          <t>VIDA LEVE</t>
        </is>
      </c>
      <c r="G43" s="235" t="inlineStr">
        <is>
          <t>EM RISCO</t>
        </is>
      </c>
      <c r="H43" s="235" t="n">
        <v>58</v>
      </c>
      <c r="I43" s="235" t="n"/>
      <c r="J43" s="235" t="n"/>
      <c r="K43" s="235" t="n"/>
      <c r="L43" s="235" t="n"/>
      <c r="M43" s="235" t="n"/>
      <c r="N43" s="235" t="inlineStr">
        <is>
          <t>SIM</t>
        </is>
      </c>
      <c r="O43" s="235" t="inlineStr">
        <is>
          <t>NÃO</t>
        </is>
      </c>
      <c r="P43" s="235" t="inlineStr">
        <is>
          <t>N/A</t>
        </is>
      </c>
      <c r="Q43" s="235" t="inlineStr">
        <is>
          <t>FOLLOW UP</t>
        </is>
      </c>
      <c r="R43" s="235" t="inlineStr">
        <is>
          <t>SUPORTE</t>
        </is>
      </c>
      <c r="S43" s="235" t="n"/>
      <c r="T43" s="235" t="n"/>
      <c r="U43" s="235" t="n"/>
      <c r="V43" s="235" t="n"/>
      <c r="W43" s="235" t="inlineStr">
        <is>
          <t>SIM</t>
        </is>
      </c>
      <c r="X43" s="235" t="n"/>
    </row>
    <row r="44">
      <c r="A44" s="391" t="n">
        <v>46056</v>
      </c>
      <c r="B44" s="235" t="inlineStr">
        <is>
          <t>LARISSA PADILHA</t>
        </is>
      </c>
      <c r="C44" s="235" t="inlineStr">
        <is>
          <t>VIDA SAUDÁVEL 74</t>
        </is>
      </c>
      <c r="D44" s="235" t="inlineStr">
        <is>
          <t>90.802.154/2486-29</t>
        </is>
      </c>
      <c r="E44" s="235" t="inlineStr">
        <is>
          <t>MG</t>
        </is>
      </c>
      <c r="F44" s="235" t="inlineStr">
        <is>
          <t>DEMAIS CLIENTES</t>
        </is>
      </c>
      <c r="G44" s="235" t="inlineStr">
        <is>
          <t>ATIVO</t>
        </is>
      </c>
      <c r="H44" s="235" t="n">
        <v>20</v>
      </c>
      <c r="I44" s="235" t="n"/>
      <c r="J44" s="235" t="n"/>
      <c r="K44" s="235" t="n"/>
      <c r="L44" s="235" t="n"/>
      <c r="M44" s="235" t="n"/>
      <c r="N44" s="235" t="inlineStr">
        <is>
          <t>SIM</t>
        </is>
      </c>
      <c r="O44" s="235" t="inlineStr">
        <is>
          <t>NÃO</t>
        </is>
      </c>
      <c r="P44" s="235" t="inlineStr">
        <is>
          <t>N/A</t>
        </is>
      </c>
      <c r="Q44" s="235" t="inlineStr">
        <is>
          <t>PROSPECÇÃO</t>
        </is>
      </c>
      <c r="R44" s="235" t="inlineStr">
        <is>
          <t>NÃO RESPONDE</t>
        </is>
      </c>
      <c r="S44" s="235" t="inlineStr">
        <is>
          <t>AINDA TEM ESTOQUE</t>
        </is>
      </c>
      <c r="T44" s="235" t="n"/>
      <c r="U44" s="235" t="n"/>
      <c r="V44" s="235" t="n"/>
      <c r="W44" s="235" t="inlineStr">
        <is>
          <t>SIM</t>
        </is>
      </c>
      <c r="X44" s="235" t="n"/>
    </row>
    <row r="45">
      <c r="A45" s="391" t="n">
        <v>46068</v>
      </c>
      <c r="B45" s="235" t="inlineStr">
        <is>
          <t>DAIANE STAVICKI</t>
        </is>
      </c>
      <c r="C45" s="235" t="inlineStr">
        <is>
          <t>EMPÓRIO DO CAMPO 76</t>
        </is>
      </c>
      <c r="D45" s="235" t="inlineStr">
        <is>
          <t>64.412.682/0987-88</t>
        </is>
      </c>
      <c r="E45" s="235" t="inlineStr">
        <is>
          <t>DF</t>
        </is>
      </c>
      <c r="F45" s="235" t="inlineStr">
        <is>
          <t>MUNDO VERDE</t>
        </is>
      </c>
      <c r="G45" s="235" t="inlineStr">
        <is>
          <t>INAT.ANT</t>
        </is>
      </c>
      <c r="H45" s="235" t="n">
        <v>251</v>
      </c>
      <c r="I45" s="235" t="n"/>
      <c r="J45" s="235" t="n"/>
      <c r="K45" s="235" t="n"/>
      <c r="L45" s="235" t="n"/>
      <c r="M45" s="235" t="n"/>
      <c r="N45" s="235" t="inlineStr">
        <is>
          <t>SIM</t>
        </is>
      </c>
      <c r="O45" s="235" t="inlineStr">
        <is>
          <t>SIM</t>
        </is>
      </c>
      <c r="P45" s="235" t="inlineStr">
        <is>
          <t>SIM</t>
        </is>
      </c>
      <c r="Q45" s="235" t="inlineStr">
        <is>
          <t>NEGOCIAÇÃO</t>
        </is>
      </c>
      <c r="R45" s="235" t="inlineStr">
        <is>
          <t>VENDA / PEDIDO</t>
        </is>
      </c>
      <c r="S45" s="235" t="n"/>
      <c r="T45" s="235" t="n"/>
      <c r="U45" s="235" t="n"/>
      <c r="V45" s="235" t="n"/>
      <c r="W45" s="235" t="inlineStr">
        <is>
          <t>SIM</t>
        </is>
      </c>
      <c r="X45" s="235" t="n"/>
    </row>
    <row r="46">
      <c r="A46" s="391" t="n">
        <v>46068</v>
      </c>
      <c r="B46" s="235" t="inlineStr">
        <is>
          <t>JULIO GADRET</t>
        </is>
      </c>
      <c r="C46" s="235" t="inlineStr">
        <is>
          <t>FEIRA VERDE 38</t>
        </is>
      </c>
      <c r="D46" s="235" t="inlineStr">
        <is>
          <t>14.337.395/4633-99</t>
        </is>
      </c>
      <c r="E46" s="235" t="inlineStr">
        <is>
          <t>BA</t>
        </is>
      </c>
      <c r="F46" s="235" t="inlineStr">
        <is>
          <t>MUNDO VERDE</t>
        </is>
      </c>
      <c r="G46" s="235" t="inlineStr">
        <is>
          <t>ATIVO</t>
        </is>
      </c>
      <c r="H46" s="235" t="n">
        <v>21</v>
      </c>
      <c r="I46" s="235" t="n"/>
      <c r="J46" s="235" t="n"/>
      <c r="K46" s="235" t="n"/>
      <c r="L46" s="235" t="n"/>
      <c r="M46" s="235" t="n"/>
      <c r="N46" s="235" t="inlineStr">
        <is>
          <t>SIM</t>
        </is>
      </c>
      <c r="O46" s="235" t="inlineStr">
        <is>
          <t>NÃO</t>
        </is>
      </c>
      <c r="P46" s="235" t="inlineStr">
        <is>
          <t>N/A</t>
        </is>
      </c>
      <c r="Q46" s="235" t="inlineStr">
        <is>
          <t>PÓS-VENDA / RELACIONAMENTO</t>
        </is>
      </c>
      <c r="R46" s="235" t="inlineStr">
        <is>
          <t>SUPORTE</t>
        </is>
      </c>
      <c r="S46" s="235" t="n"/>
      <c r="T46" s="235" t="n"/>
      <c r="U46" s="235" t="n"/>
      <c r="V46" s="235" t="n"/>
      <c r="W46" s="235" t="inlineStr">
        <is>
          <t>SIM</t>
        </is>
      </c>
      <c r="X46" s="235" t="n"/>
    </row>
    <row r="47">
      <c r="A47" s="391" t="n">
        <v>46071</v>
      </c>
      <c r="B47" s="235" t="inlineStr">
        <is>
          <t>MANU DITZEL</t>
        </is>
      </c>
      <c r="C47" s="235" t="inlineStr">
        <is>
          <t>SABOR NATURAL 35</t>
        </is>
      </c>
      <c r="D47" s="235" t="inlineStr">
        <is>
          <t>28.173.161/2719-49</t>
        </is>
      </c>
      <c r="E47" s="235" t="inlineStr">
        <is>
          <t>SP</t>
        </is>
      </c>
      <c r="F47" s="235" t="inlineStr">
        <is>
          <t>DEMAIS CLIENTES</t>
        </is>
      </c>
      <c r="G47" s="235" t="inlineStr">
        <is>
          <t>PROSPECT</t>
        </is>
      </c>
      <c r="H47" s="235" t="inlineStr"/>
      <c r="I47" s="235" t="n"/>
      <c r="J47" s="235" t="n"/>
      <c r="K47" s="235" t="n"/>
      <c r="L47" s="235" t="n"/>
      <c r="M47" s="235" t="n"/>
      <c r="N47" s="235" t="inlineStr">
        <is>
          <t>SIM</t>
        </is>
      </c>
      <c r="O47" s="235" t="inlineStr">
        <is>
          <t>SIM</t>
        </is>
      </c>
      <c r="P47" s="235" t="inlineStr">
        <is>
          <t>SIM</t>
        </is>
      </c>
      <c r="Q47" s="235" t="inlineStr">
        <is>
          <t>ATEND. CLIENTES ATIVOS</t>
        </is>
      </c>
      <c r="R47" s="235" t="inlineStr">
        <is>
          <t>RELACIONAMENTO</t>
        </is>
      </c>
      <c r="S47" s="235" t="n"/>
      <c r="T47" s="235" t="n"/>
      <c r="U47" s="235" t="n"/>
      <c r="V47" s="235" t="n"/>
      <c r="W47" s="235" t="inlineStr">
        <is>
          <t>SIM</t>
        </is>
      </c>
      <c r="X47" s="235" t="n"/>
    </row>
    <row r="48">
      <c r="A48" s="391" t="n">
        <v>46068</v>
      </c>
      <c r="B48" s="235" t="inlineStr">
        <is>
          <t>MANU DITZEL</t>
        </is>
      </c>
      <c r="C48" s="235" t="inlineStr">
        <is>
          <t>MUNDO VERDE CWB 56</t>
        </is>
      </c>
      <c r="D48" s="235" t="inlineStr">
        <is>
          <t>51.718.356/0424-21</t>
        </is>
      </c>
      <c r="E48" s="235" t="inlineStr">
        <is>
          <t>PR</t>
        </is>
      </c>
      <c r="F48" s="235" t="inlineStr">
        <is>
          <t>TUDO EM GRAOS</t>
        </is>
      </c>
      <c r="G48" s="235" t="inlineStr">
        <is>
          <t>NOVO</t>
        </is>
      </c>
      <c r="H48" s="235" t="inlineStr"/>
      <c r="I48" s="235" t="n"/>
      <c r="J48" s="235" t="n"/>
      <c r="K48" s="235" t="n"/>
      <c r="L48" s="235" t="n"/>
      <c r="M48" s="235" t="n"/>
      <c r="N48" s="235" t="inlineStr">
        <is>
          <t>NÃO</t>
        </is>
      </c>
      <c r="O48" s="235" t="inlineStr">
        <is>
          <t>NÃO</t>
        </is>
      </c>
      <c r="P48" s="235" t="inlineStr">
        <is>
          <t>N/A</t>
        </is>
      </c>
      <c r="Q48" s="235" t="inlineStr">
        <is>
          <t>ATEND. CLIENTES ATIVOS</t>
        </is>
      </c>
      <c r="R48" s="235" t="inlineStr">
        <is>
          <t>VENDA / PEDIDO</t>
        </is>
      </c>
      <c r="S48" s="235" t="n"/>
      <c r="T48" s="235" t="n"/>
      <c r="U48" s="235" t="n"/>
      <c r="V48" s="235" t="n"/>
      <c r="W48" s="235" t="inlineStr">
        <is>
          <t>SIM</t>
        </is>
      </c>
      <c r="X48" s="235" t="n"/>
    </row>
    <row r="49">
      <c r="A49" s="391" t="n">
        <v>46078</v>
      </c>
      <c r="B49" s="235" t="inlineStr">
        <is>
          <t>DAIANE STAVICKI</t>
        </is>
      </c>
      <c r="C49" s="235" t="inlineStr">
        <is>
          <t>FEIRA VERDE 67</t>
        </is>
      </c>
      <c r="D49" s="235" t="inlineStr">
        <is>
          <t>93.552.384/2974-84</t>
        </is>
      </c>
      <c r="E49" s="235" t="inlineStr">
        <is>
          <t>RS</t>
        </is>
      </c>
      <c r="F49" s="235" t="inlineStr">
        <is>
          <t>DEMAIS CLIENTES</t>
        </is>
      </c>
      <c r="G49" s="235" t="inlineStr">
        <is>
          <t>PROSPECT</t>
        </is>
      </c>
      <c r="H49" s="235" t="inlineStr"/>
      <c r="I49" s="235" t="n"/>
      <c r="J49" s="235" t="n"/>
      <c r="K49" s="235" t="n"/>
      <c r="L49" s="235" t="n"/>
      <c r="M49" s="235" t="n"/>
      <c r="N49" s="235" t="inlineStr">
        <is>
          <t>SIM</t>
        </is>
      </c>
      <c r="O49" s="235" t="inlineStr">
        <is>
          <t>SIM</t>
        </is>
      </c>
      <c r="P49" s="235" t="inlineStr">
        <is>
          <t>SIM</t>
        </is>
      </c>
      <c r="Q49" s="235" t="inlineStr">
        <is>
          <t>ATEND. CLIENTES ATIVOS</t>
        </is>
      </c>
      <c r="R49" s="235" t="inlineStr">
        <is>
          <t>RELACIONAMENTO</t>
        </is>
      </c>
      <c r="S49" s="235" t="n"/>
      <c r="T49" s="235" t="n"/>
      <c r="U49" s="235" t="n"/>
      <c r="V49" s="235" t="n"/>
      <c r="W49" s="235" t="inlineStr">
        <is>
          <t>SIM</t>
        </is>
      </c>
      <c r="X49" s="235" t="n"/>
    </row>
    <row r="50">
      <c r="A50" s="391" t="n">
        <v>46069</v>
      </c>
      <c r="B50" s="235" t="inlineStr">
        <is>
          <t>MANU DITZEL</t>
        </is>
      </c>
      <c r="C50" s="235" t="inlineStr">
        <is>
          <t>TUDO GRÃOS SC 98</t>
        </is>
      </c>
      <c r="D50" s="235" t="inlineStr">
        <is>
          <t>80.137.565/1443-50</t>
        </is>
      </c>
      <c r="E50" s="235" t="inlineStr">
        <is>
          <t>SC</t>
        </is>
      </c>
      <c r="F50" s="235" t="inlineStr">
        <is>
          <t>MUNDO VERDE</t>
        </is>
      </c>
      <c r="G50" s="235" t="inlineStr">
        <is>
          <t>INAT.ANT</t>
        </is>
      </c>
      <c r="H50" s="235" t="n">
        <v>222</v>
      </c>
      <c r="I50" s="235" t="n"/>
      <c r="J50" s="235" t="n"/>
      <c r="K50" s="235" t="n"/>
      <c r="L50" s="235" t="n"/>
      <c r="M50" s="235" t="n"/>
      <c r="N50" s="235" t="inlineStr">
        <is>
          <t>NÃO</t>
        </is>
      </c>
      <c r="O50" s="235" t="inlineStr">
        <is>
          <t>NÃO</t>
        </is>
      </c>
      <c r="P50" s="235" t="inlineStr">
        <is>
          <t>N/A</t>
        </is>
      </c>
      <c r="Q50" s="235" t="inlineStr">
        <is>
          <t>PÓS-VENDA / RELACIONAMENTO</t>
        </is>
      </c>
      <c r="R50" s="235" t="inlineStr">
        <is>
          <t>RELACIONAMENTO</t>
        </is>
      </c>
      <c r="S50" s="235" t="n"/>
      <c r="T50" s="235" t="n"/>
      <c r="U50" s="235" t="n"/>
      <c r="V50" s="235" t="n"/>
      <c r="W50" s="235" t="inlineStr">
        <is>
          <t>SIM</t>
        </is>
      </c>
      <c r="X50" s="235" t="n"/>
    </row>
    <row r="51">
      <c r="A51" s="391" t="n">
        <v>46070</v>
      </c>
      <c r="B51" s="235" t="inlineStr">
        <is>
          <t>LARISSA PADILHA</t>
        </is>
      </c>
      <c r="C51" s="235" t="inlineStr">
        <is>
          <t>POWER NATURAL 81</t>
        </is>
      </c>
      <c r="D51" s="235" t="inlineStr">
        <is>
          <t>66.878.152/3336-44</t>
        </is>
      </c>
      <c r="E51" s="235" t="inlineStr">
        <is>
          <t>RS</t>
        </is>
      </c>
      <c r="F51" s="235" t="inlineStr">
        <is>
          <t>DEMAIS CLIENTES</t>
        </is>
      </c>
      <c r="G51" s="235" t="inlineStr">
        <is>
          <t>EM RISCO</t>
        </is>
      </c>
      <c r="H51" s="235" t="n">
        <v>58</v>
      </c>
      <c r="I51" s="235" t="n"/>
      <c r="J51" s="235" t="n"/>
      <c r="K51" s="235" t="n"/>
      <c r="L51" s="235" t="n"/>
      <c r="M51" s="235" t="n"/>
      <c r="N51" s="235" t="inlineStr">
        <is>
          <t>SIM</t>
        </is>
      </c>
      <c r="O51" s="235" t="inlineStr">
        <is>
          <t>SIM</t>
        </is>
      </c>
      <c r="P51" s="235" t="inlineStr">
        <is>
          <t>SIM</t>
        </is>
      </c>
      <c r="Q51" s="235" t="inlineStr">
        <is>
          <t>PROSPECÇÃO</t>
        </is>
      </c>
      <c r="R51" s="235" t="inlineStr">
        <is>
          <t>RELACIONAMENTO</t>
        </is>
      </c>
      <c r="S51" s="235" t="n"/>
      <c r="T51" s="235" t="n"/>
      <c r="U51" s="235" t="n"/>
      <c r="V51" s="235" t="n"/>
      <c r="W51" s="235" t="inlineStr">
        <is>
          <t>SIM</t>
        </is>
      </c>
      <c r="X51" s="235" t="n"/>
    </row>
    <row r="52">
      <c r="A52" s="391" t="n">
        <v>46071</v>
      </c>
      <c r="B52" s="235" t="inlineStr">
        <is>
          <t>LARISSA PADILHA</t>
        </is>
      </c>
      <c r="C52" s="235" t="inlineStr">
        <is>
          <t>FITLAND PR 15</t>
        </is>
      </c>
      <c r="D52" s="235" t="inlineStr">
        <is>
          <t>69.220.763/2523-73</t>
        </is>
      </c>
      <c r="E52" s="235" t="inlineStr">
        <is>
          <t>GO</t>
        </is>
      </c>
      <c r="F52" s="235" t="inlineStr">
        <is>
          <t>CIA DA SAUDE</t>
        </is>
      </c>
      <c r="G52" s="235" t="inlineStr">
        <is>
          <t>INAT.ANT</t>
        </is>
      </c>
      <c r="H52" s="235" t="n">
        <v>197</v>
      </c>
      <c r="I52" s="235" t="n"/>
      <c r="J52" s="235" t="n"/>
      <c r="K52" s="235" t="n"/>
      <c r="L52" s="235" t="n"/>
      <c r="M52" s="235" t="n"/>
      <c r="N52" s="235" t="inlineStr">
        <is>
          <t>SIM</t>
        </is>
      </c>
      <c r="O52" s="235" t="inlineStr">
        <is>
          <t>NÃO</t>
        </is>
      </c>
      <c r="P52" s="235" t="inlineStr">
        <is>
          <t>N/A</t>
        </is>
      </c>
      <c r="Q52" s="235" t="inlineStr">
        <is>
          <t>PÓS-VENDA / RELACIONAMENTO</t>
        </is>
      </c>
      <c r="R52" s="235" t="inlineStr">
        <is>
          <t>ORÇAMENTO</t>
        </is>
      </c>
      <c r="S52" s="235" t="n"/>
      <c r="T52" s="235" t="n"/>
      <c r="U52" s="235" t="n"/>
      <c r="V52" s="235" t="n"/>
      <c r="W52" s="235" t="inlineStr">
        <is>
          <t>SIM</t>
        </is>
      </c>
      <c r="X52" s="235" t="n"/>
    </row>
    <row r="53">
      <c r="A53" s="391" t="n">
        <v>46073</v>
      </c>
      <c r="B53" s="235" t="inlineStr">
        <is>
          <t>LARISSA PADILHA</t>
        </is>
      </c>
      <c r="C53" s="235" t="inlineStr">
        <is>
          <t>FIT STORE 09</t>
        </is>
      </c>
      <c r="D53" s="235" t="inlineStr">
        <is>
          <t>45.891.908/6799-53</t>
        </is>
      </c>
      <c r="E53" s="235" t="inlineStr">
        <is>
          <t>GO</t>
        </is>
      </c>
      <c r="F53" s="235" t="inlineStr">
        <is>
          <t>DIVINA TERRA</t>
        </is>
      </c>
      <c r="G53" s="235" t="inlineStr">
        <is>
          <t>NOVO</t>
        </is>
      </c>
      <c r="H53" s="235" t="inlineStr"/>
      <c r="I53" s="235" t="n"/>
      <c r="J53" s="235" t="n"/>
      <c r="K53" s="235" t="n"/>
      <c r="L53" s="235" t="n"/>
      <c r="M53" s="235" t="n"/>
      <c r="N53" s="235" t="inlineStr">
        <is>
          <t>SIM</t>
        </is>
      </c>
      <c r="O53" s="235" t="inlineStr">
        <is>
          <t>NÃO</t>
        </is>
      </c>
      <c r="P53" s="235" t="inlineStr">
        <is>
          <t>N/A</t>
        </is>
      </c>
      <c r="Q53" s="235" t="inlineStr">
        <is>
          <t>FOLLOW UP</t>
        </is>
      </c>
      <c r="R53" s="235" t="inlineStr">
        <is>
          <t>ORÇAMENTO</t>
        </is>
      </c>
      <c r="S53" s="235" t="n"/>
      <c r="T53" s="235" t="n"/>
      <c r="U53" s="235" t="n"/>
      <c r="V53" s="235" t="n"/>
      <c r="W53" s="235" t="inlineStr">
        <is>
          <t>SIM</t>
        </is>
      </c>
      <c r="X53" s="235" t="n"/>
    </row>
    <row r="54">
      <c r="A54" s="391" t="n">
        <v>46058</v>
      </c>
      <c r="B54" s="235" t="inlineStr">
        <is>
          <t>LARISSA PADILHA</t>
        </is>
      </c>
      <c r="C54" s="235" t="inlineStr">
        <is>
          <t>FEIRA VERDE 45</t>
        </is>
      </c>
      <c r="D54" s="235" t="inlineStr">
        <is>
          <t>52.665.881/8904-58</t>
        </is>
      </c>
      <c r="E54" s="235" t="inlineStr">
        <is>
          <t>RS</t>
        </is>
      </c>
      <c r="F54" s="235" t="inlineStr">
        <is>
          <t>CIA DA SAUDE</t>
        </is>
      </c>
      <c r="G54" s="235" t="inlineStr">
        <is>
          <t>ATIVO</t>
        </is>
      </c>
      <c r="H54" s="235" t="n">
        <v>49</v>
      </c>
      <c r="I54" s="235" t="n"/>
      <c r="J54" s="235" t="n"/>
      <c r="K54" s="235" t="n"/>
      <c r="L54" s="235" t="n"/>
      <c r="M54" s="235" t="n"/>
      <c r="N54" s="235" t="inlineStr">
        <is>
          <t>NÃO</t>
        </is>
      </c>
      <c r="O54" s="235" t="inlineStr">
        <is>
          <t>SIM</t>
        </is>
      </c>
      <c r="P54" s="235" t="inlineStr">
        <is>
          <t>SIM</t>
        </is>
      </c>
      <c r="Q54" s="235" t="inlineStr">
        <is>
          <t>NEGOCIAÇÃO</t>
        </is>
      </c>
      <c r="R54" s="235" t="inlineStr">
        <is>
          <t>ORÇAMENTO</t>
        </is>
      </c>
      <c r="S54" s="235" t="n"/>
      <c r="T54" s="235" t="n"/>
      <c r="U54" s="235" t="n"/>
      <c r="V54" s="235" t="n"/>
      <c r="W54" s="235" t="inlineStr">
        <is>
          <t>SIM</t>
        </is>
      </c>
      <c r="X54" s="235" t="n"/>
    </row>
    <row r="55">
      <c r="A55" s="391" t="n">
        <v>46079</v>
      </c>
      <c r="B55" s="235" t="inlineStr">
        <is>
          <t>LARISSA PADILHA</t>
        </is>
      </c>
      <c r="C55" s="235" t="inlineStr">
        <is>
          <t>SABOR NATURAL 64</t>
        </is>
      </c>
      <c r="D55" s="235" t="inlineStr">
        <is>
          <t>14.229.614/9670-52</t>
        </is>
      </c>
      <c r="E55" s="235" t="inlineStr">
        <is>
          <t>BA</t>
        </is>
      </c>
      <c r="F55" s="235" t="inlineStr">
        <is>
          <t>DEMAIS CLIENTES</t>
        </is>
      </c>
      <c r="G55" s="235" t="inlineStr">
        <is>
          <t>EM RISCO</t>
        </is>
      </c>
      <c r="H55" s="235" t="n">
        <v>59</v>
      </c>
      <c r="I55" s="235" t="n"/>
      <c r="J55" s="235" t="n"/>
      <c r="K55" s="235" t="n"/>
      <c r="L55" s="235" t="n"/>
      <c r="M55" s="235" t="n"/>
      <c r="N55" s="235" t="inlineStr">
        <is>
          <t>SIM</t>
        </is>
      </c>
      <c r="O55" s="235" t="inlineStr">
        <is>
          <t>NÃO</t>
        </is>
      </c>
      <c r="P55" s="235" t="inlineStr">
        <is>
          <t>N/A</t>
        </is>
      </c>
      <c r="Q55" s="235" t="inlineStr">
        <is>
          <t>PÓS-VENDA / RELACIONAMENTO</t>
        </is>
      </c>
      <c r="R55" s="235" t="inlineStr">
        <is>
          <t>RELACIONAMENTO</t>
        </is>
      </c>
      <c r="S55" s="235" t="n"/>
      <c r="T55" s="235" t="n"/>
      <c r="U55" s="235" t="n"/>
      <c r="V55" s="235" t="n"/>
      <c r="W55" s="235" t="inlineStr">
        <is>
          <t>NÃO</t>
        </is>
      </c>
      <c r="X55" s="235" t="n"/>
    </row>
    <row r="56">
      <c r="A56" s="391" t="n">
        <v>46056</v>
      </c>
      <c r="B56" s="235" t="inlineStr">
        <is>
          <t>LARISSA PADILHA</t>
        </is>
      </c>
      <c r="C56" s="235" t="inlineStr">
        <is>
          <t>PONTO VERDE 44</t>
        </is>
      </c>
      <c r="D56" s="235" t="inlineStr">
        <is>
          <t>89.809.507/1316-52</t>
        </is>
      </c>
      <c r="E56" s="235" t="inlineStr">
        <is>
          <t>BA</t>
        </is>
      </c>
      <c r="F56" s="235" t="inlineStr">
        <is>
          <t>DEMAIS CLIENTES</t>
        </is>
      </c>
      <c r="G56" s="235" t="inlineStr">
        <is>
          <t>EM RISCO</t>
        </is>
      </c>
      <c r="H56" s="235" t="n">
        <v>56</v>
      </c>
      <c r="I56" s="235" t="n"/>
      <c r="J56" s="235" t="n"/>
      <c r="K56" s="235" t="n"/>
      <c r="L56" s="235" t="n"/>
      <c r="M56" s="235" t="n"/>
      <c r="N56" s="235" t="inlineStr">
        <is>
          <t>SIM</t>
        </is>
      </c>
      <c r="O56" s="235" t="inlineStr">
        <is>
          <t>NÃO</t>
        </is>
      </c>
      <c r="P56" s="235" t="inlineStr">
        <is>
          <t>N/A</t>
        </is>
      </c>
      <c r="Q56" s="235" t="inlineStr">
        <is>
          <t>ATEND. CLIENTES INATIVOS</t>
        </is>
      </c>
      <c r="R56" s="235" t="inlineStr">
        <is>
          <t>PERDA / FECHOU LOJA</t>
        </is>
      </c>
      <c r="S56" s="235" t="inlineStr">
        <is>
          <t>PROBLEMA LOGÍSTICO / ENTREGA</t>
        </is>
      </c>
      <c r="T56" s="235" t="n"/>
      <c r="U56" s="235" t="n"/>
      <c r="V56" s="235" t="n"/>
      <c r="W56" s="235" t="inlineStr">
        <is>
          <t>SIM</t>
        </is>
      </c>
      <c r="X56" s="235" t="n"/>
    </row>
    <row r="57">
      <c r="A57" s="391" t="n">
        <v>46075</v>
      </c>
      <c r="B57" s="235" t="inlineStr">
        <is>
          <t>DAIANE STAVICKI</t>
        </is>
      </c>
      <c r="C57" s="235" t="inlineStr">
        <is>
          <t>FITLAND PR 96</t>
        </is>
      </c>
      <c r="D57" s="235" t="inlineStr">
        <is>
          <t>21.544.200/1647-66</t>
        </is>
      </c>
      <c r="E57" s="235" t="inlineStr">
        <is>
          <t>PR</t>
        </is>
      </c>
      <c r="F57" s="235" t="inlineStr">
        <is>
          <t>CIA DA SAUDE</t>
        </is>
      </c>
      <c r="G57" s="235" t="inlineStr">
        <is>
          <t>ATIVO</t>
        </is>
      </c>
      <c r="H57" s="235" t="n">
        <v>25</v>
      </c>
      <c r="I57" s="235" t="n"/>
      <c r="J57" s="235" t="n"/>
      <c r="K57" s="235" t="n"/>
      <c r="L57" s="235" t="n"/>
      <c r="M57" s="235" t="n"/>
      <c r="N57" s="235" t="inlineStr">
        <is>
          <t>SIM</t>
        </is>
      </c>
      <c r="O57" s="235" t="inlineStr">
        <is>
          <t>SIM</t>
        </is>
      </c>
      <c r="P57" s="235" t="inlineStr">
        <is>
          <t>SIM</t>
        </is>
      </c>
      <c r="Q57" s="235" t="inlineStr">
        <is>
          <t>PÓS-VENDA / RELACIONAMENTO</t>
        </is>
      </c>
      <c r="R57" s="235" t="inlineStr">
        <is>
          <t>RELACIONAMENTO</t>
        </is>
      </c>
      <c r="S57" s="235" t="n"/>
      <c r="T57" s="235" t="n"/>
      <c r="U57" s="235" t="n"/>
      <c r="V57" s="235" t="n"/>
      <c r="W57" s="235" t="inlineStr">
        <is>
          <t>SIM</t>
        </is>
      </c>
      <c r="X57" s="235" t="n"/>
    </row>
    <row r="58">
      <c r="A58" s="391" t="n">
        <v>46079</v>
      </c>
      <c r="B58" s="235" t="inlineStr">
        <is>
          <t>MANU DITZEL</t>
        </is>
      </c>
      <c r="C58" s="235" t="inlineStr">
        <is>
          <t>VERDE VIDA 11</t>
        </is>
      </c>
      <c r="D58" s="235" t="inlineStr">
        <is>
          <t>88.991.491/3946-73</t>
        </is>
      </c>
      <c r="E58" s="235" t="inlineStr">
        <is>
          <t>GO</t>
        </is>
      </c>
      <c r="F58" s="235" t="inlineStr">
        <is>
          <t>MUNDO VERDE</t>
        </is>
      </c>
      <c r="G58" s="235" t="inlineStr">
        <is>
          <t>EM RISCO</t>
        </is>
      </c>
      <c r="H58" s="235" t="n">
        <v>55</v>
      </c>
      <c r="I58" s="235" t="n"/>
      <c r="J58" s="235" t="n"/>
      <c r="K58" s="235" t="n"/>
      <c r="L58" s="235" t="n"/>
      <c r="M58" s="235" t="n"/>
      <c r="N58" s="235" t="inlineStr">
        <is>
          <t>NÃO</t>
        </is>
      </c>
      <c r="O58" s="235" t="inlineStr">
        <is>
          <t>NÃO</t>
        </is>
      </c>
      <c r="P58" s="235" t="inlineStr">
        <is>
          <t>N/A</t>
        </is>
      </c>
      <c r="Q58" s="235" t="inlineStr">
        <is>
          <t>ATEND. CLIENTES ATIVOS</t>
        </is>
      </c>
      <c r="R58" s="235" t="inlineStr">
        <is>
          <t>FOLLOW UP 15</t>
        </is>
      </c>
      <c r="S58" s="235" t="inlineStr">
        <is>
          <t>PRODUTO NÃO VENDEU / SEM GIRO</t>
        </is>
      </c>
      <c r="T58" s="235" t="n"/>
      <c r="U58" s="235" t="n"/>
      <c r="V58" s="235" t="n"/>
      <c r="W58" s="235" t="inlineStr">
        <is>
          <t>SIM</t>
        </is>
      </c>
      <c r="X58" s="235" t="n"/>
    </row>
    <row r="59">
      <c r="A59" s="391" t="n">
        <v>46056</v>
      </c>
      <c r="B59" s="235" t="inlineStr">
        <is>
          <t>LARISSA PADILHA</t>
        </is>
      </c>
      <c r="C59" s="235" t="inlineStr">
        <is>
          <t>MARKET FIT 76</t>
        </is>
      </c>
      <c r="D59" s="235" t="inlineStr">
        <is>
          <t>48.754.534/4098-68</t>
        </is>
      </c>
      <c r="E59" s="235" t="inlineStr">
        <is>
          <t>MG</t>
        </is>
      </c>
      <c r="F59" s="235" t="inlineStr">
        <is>
          <t>BIOMUNDO</t>
        </is>
      </c>
      <c r="G59" s="235" t="inlineStr">
        <is>
          <t>EM RISCO</t>
        </is>
      </c>
      <c r="H59" s="235" t="n">
        <v>58</v>
      </c>
      <c r="I59" s="235" t="n"/>
      <c r="J59" s="235" t="n"/>
      <c r="K59" s="235" t="n"/>
      <c r="L59" s="235" t="n"/>
      <c r="M59" s="235" t="n"/>
      <c r="N59" s="235" t="inlineStr">
        <is>
          <t>SIM</t>
        </is>
      </c>
      <c r="O59" s="235" t="inlineStr">
        <is>
          <t>SIM</t>
        </is>
      </c>
      <c r="P59" s="235" t="inlineStr">
        <is>
          <t>NÃO</t>
        </is>
      </c>
      <c r="Q59" s="235" t="inlineStr">
        <is>
          <t>PROSPECÇÃO</t>
        </is>
      </c>
      <c r="R59" s="235" t="inlineStr">
        <is>
          <t>CADASTRO</t>
        </is>
      </c>
      <c r="S59" s="235" t="n"/>
      <c r="T59" s="235" t="n"/>
      <c r="U59" s="235" t="n"/>
      <c r="V59" s="235" t="n"/>
      <c r="W59" s="235" t="inlineStr">
        <is>
          <t>SIM</t>
        </is>
      </c>
      <c r="X59" s="235" t="n"/>
    </row>
    <row r="60">
      <c r="A60" s="391" t="n">
        <v>46080</v>
      </c>
      <c r="B60" s="235" t="inlineStr">
        <is>
          <t>JULIO GADRET</t>
        </is>
      </c>
      <c r="C60" s="235" t="inlineStr">
        <is>
          <t>NATUR LIFE 02</t>
        </is>
      </c>
      <c r="D60" s="235" t="inlineStr">
        <is>
          <t>82.985.802/0804-87</t>
        </is>
      </c>
      <c r="E60" s="235" t="inlineStr">
        <is>
          <t>RJ</t>
        </is>
      </c>
      <c r="F60" s="235" t="inlineStr">
        <is>
          <t>DEMAIS CLIENTES</t>
        </is>
      </c>
      <c r="G60" s="235" t="inlineStr">
        <is>
          <t>PROSPECT</t>
        </is>
      </c>
      <c r="H60" s="235" t="inlineStr"/>
      <c r="I60" s="235" t="n"/>
      <c r="J60" s="235" t="n"/>
      <c r="K60" s="235" t="n"/>
      <c r="L60" s="235" t="n"/>
      <c r="M60" s="235" t="n"/>
      <c r="N60" s="235" t="inlineStr">
        <is>
          <t>NÃO</t>
        </is>
      </c>
      <c r="O60" s="235" t="inlineStr">
        <is>
          <t>SIM</t>
        </is>
      </c>
      <c r="P60" s="235" t="inlineStr">
        <is>
          <t>SIM</t>
        </is>
      </c>
      <c r="Q60" s="235" t="inlineStr">
        <is>
          <t>PÓS-VENDA / RELACIONAMENTO</t>
        </is>
      </c>
      <c r="R60" s="235" t="inlineStr">
        <is>
          <t>RELACIONAMENTO</t>
        </is>
      </c>
      <c r="S60" s="235" t="n"/>
      <c r="T60" s="235" t="n"/>
      <c r="U60" s="235" t="n"/>
      <c r="V60" s="235" t="n"/>
      <c r="W60" s="235" t="inlineStr">
        <is>
          <t>SIM</t>
        </is>
      </c>
      <c r="X60" s="235" t="n"/>
    </row>
    <row r="61">
      <c r="A61" s="391" t="n">
        <v>46078</v>
      </c>
      <c r="B61" s="235" t="inlineStr">
        <is>
          <t>JULIO GADRET</t>
        </is>
      </c>
      <c r="C61" s="235" t="inlineStr">
        <is>
          <t>FIT STORE 81</t>
        </is>
      </c>
      <c r="D61" s="235" t="inlineStr">
        <is>
          <t>22.742.761/0646-49</t>
        </is>
      </c>
      <c r="E61" s="235" t="inlineStr">
        <is>
          <t>MG</t>
        </is>
      </c>
      <c r="F61" s="235" t="inlineStr">
        <is>
          <t>MUNDO VERDE</t>
        </is>
      </c>
      <c r="G61" s="235" t="inlineStr">
        <is>
          <t>EM RISCO</t>
        </is>
      </c>
      <c r="H61" s="235" t="n">
        <v>53</v>
      </c>
      <c r="I61" s="235" t="n"/>
      <c r="J61" s="235" t="n"/>
      <c r="K61" s="235" t="n"/>
      <c r="L61" s="235" t="n"/>
      <c r="M61" s="235" t="n"/>
      <c r="N61" s="235" t="inlineStr">
        <is>
          <t>NÃO</t>
        </is>
      </c>
      <c r="O61" s="235" t="inlineStr">
        <is>
          <t>SIM</t>
        </is>
      </c>
      <c r="P61" s="235" t="inlineStr">
        <is>
          <t>SIM</t>
        </is>
      </c>
      <c r="Q61" s="235" t="inlineStr">
        <is>
          <t>PROSPECÇÃO</t>
        </is>
      </c>
      <c r="R61" s="235" t="inlineStr">
        <is>
          <t>ORÇAMENTO</t>
        </is>
      </c>
      <c r="S61" s="235" t="n"/>
      <c r="T61" s="235" t="n"/>
      <c r="U61" s="235" t="n"/>
      <c r="V61" s="235" t="n"/>
      <c r="W61" s="235" t="inlineStr">
        <is>
          <t>SIM</t>
        </is>
      </c>
      <c r="X61" s="235" t="n"/>
    </row>
    <row r="62">
      <c r="A62" s="391" t="n">
        <v>46065</v>
      </c>
      <c r="B62" s="235" t="inlineStr">
        <is>
          <t>LARISSA PADILHA</t>
        </is>
      </c>
      <c r="C62" s="235" t="inlineStr">
        <is>
          <t>NATUR LIFE 22</t>
        </is>
      </c>
      <c r="D62" s="235" t="inlineStr">
        <is>
          <t>42.944.593/4836-53</t>
        </is>
      </c>
      <c r="E62" s="235" t="inlineStr">
        <is>
          <t>MG</t>
        </is>
      </c>
      <c r="F62" s="235" t="inlineStr">
        <is>
          <t>DIVINA TERRA</t>
        </is>
      </c>
      <c r="G62" s="235" t="inlineStr">
        <is>
          <t>ATIVO</t>
        </is>
      </c>
      <c r="H62" s="235" t="n">
        <v>19</v>
      </c>
      <c r="I62" s="235" t="n"/>
      <c r="J62" s="235" t="n"/>
      <c r="K62" s="235" t="n"/>
      <c r="L62" s="235" t="n"/>
      <c r="M62" s="235" t="n"/>
      <c r="N62" s="235" t="inlineStr">
        <is>
          <t>NÃO</t>
        </is>
      </c>
      <c r="O62" s="235" t="inlineStr">
        <is>
          <t>NÃO</t>
        </is>
      </c>
      <c r="P62" s="235" t="inlineStr">
        <is>
          <t>N/A</t>
        </is>
      </c>
      <c r="Q62" s="235" t="inlineStr">
        <is>
          <t>PÓS-VENDA / RELACIONAMENTO</t>
        </is>
      </c>
      <c r="R62" s="235" t="inlineStr">
        <is>
          <t>SUPORTE</t>
        </is>
      </c>
      <c r="S62" s="235" t="n"/>
      <c r="T62" s="235" t="n"/>
      <c r="U62" s="235" t="n"/>
      <c r="V62" s="235" t="n"/>
      <c r="W62" s="235" t="inlineStr">
        <is>
          <t>NÃO</t>
        </is>
      </c>
      <c r="X62" s="235" t="n"/>
    </row>
    <row r="63">
      <c r="A63" s="391" t="n">
        <v>46065</v>
      </c>
      <c r="B63" s="235" t="inlineStr">
        <is>
          <t>MANU DITZEL</t>
        </is>
      </c>
      <c r="C63" s="235" t="inlineStr">
        <is>
          <t>TUDO GRÃOS SC 02</t>
        </is>
      </c>
      <c r="D63" s="235" t="inlineStr">
        <is>
          <t>43.649.226/7452-57</t>
        </is>
      </c>
      <c r="E63" s="235" t="inlineStr">
        <is>
          <t>SP</t>
        </is>
      </c>
      <c r="F63" s="235" t="inlineStr">
        <is>
          <t>TUDO EM GRAOS</t>
        </is>
      </c>
      <c r="G63" s="235" t="inlineStr">
        <is>
          <t>INAT.REC</t>
        </is>
      </c>
      <c r="H63" s="235" t="n">
        <v>87</v>
      </c>
      <c r="I63" s="235" t="n"/>
      <c r="J63" s="235" t="n"/>
      <c r="K63" s="235" t="n"/>
      <c r="L63" s="235" t="n"/>
      <c r="M63" s="235" t="n"/>
      <c r="N63" s="235" t="inlineStr">
        <is>
          <t>SIM</t>
        </is>
      </c>
      <c r="O63" s="235" t="inlineStr">
        <is>
          <t>NÃO</t>
        </is>
      </c>
      <c r="P63" s="235" t="inlineStr">
        <is>
          <t>N/A</t>
        </is>
      </c>
      <c r="Q63" s="235" t="inlineStr">
        <is>
          <t>ATEND. CLIENTES INATIVOS</t>
        </is>
      </c>
      <c r="R63" s="235" t="inlineStr">
        <is>
          <t>NÃO RESPONDE</t>
        </is>
      </c>
      <c r="S63" s="235" t="inlineStr">
        <is>
          <t>PROBLEMA LOGÍSTICO / ENTREGA</t>
        </is>
      </c>
      <c r="T63" s="235" t="n"/>
      <c r="U63" s="235" t="n"/>
      <c r="V63" s="235" t="n"/>
      <c r="W63" s="235" t="inlineStr">
        <is>
          <t>NÃO</t>
        </is>
      </c>
      <c r="X63" s="235" t="n"/>
    </row>
    <row r="64">
      <c r="A64" s="391" t="n">
        <v>46064</v>
      </c>
      <c r="B64" s="235" t="inlineStr">
        <is>
          <t>DAIANE STAVICKI</t>
        </is>
      </c>
      <c r="C64" s="235" t="inlineStr">
        <is>
          <t>FITLAND PR 83</t>
        </is>
      </c>
      <c r="D64" s="235" t="inlineStr">
        <is>
          <t>18.750.943/7607-99</t>
        </is>
      </c>
      <c r="E64" s="235" t="inlineStr">
        <is>
          <t>SC</t>
        </is>
      </c>
      <c r="F64" s="235" t="inlineStr">
        <is>
          <t>FIT LAND</t>
        </is>
      </c>
      <c r="G64" s="235" t="inlineStr">
        <is>
          <t>ATIVO</t>
        </is>
      </c>
      <c r="H64" s="235" t="n">
        <v>7</v>
      </c>
      <c r="I64" s="235" t="n"/>
      <c r="J64" s="235" t="n"/>
      <c r="K64" s="235" t="n"/>
      <c r="L64" s="235" t="n"/>
      <c r="M64" s="235" t="n"/>
      <c r="N64" s="235" t="inlineStr">
        <is>
          <t>SIM</t>
        </is>
      </c>
      <c r="O64" s="235" t="inlineStr">
        <is>
          <t>NÃO</t>
        </is>
      </c>
      <c r="P64" s="235" t="inlineStr">
        <is>
          <t>N/A</t>
        </is>
      </c>
      <c r="Q64" s="235" t="inlineStr">
        <is>
          <t>FOLLOW UP</t>
        </is>
      </c>
      <c r="R64" s="235" t="inlineStr">
        <is>
          <t>FOLLOW UP 7</t>
        </is>
      </c>
      <c r="S64" s="235" t="inlineStr">
        <is>
          <t>AINDA TEM ESTOQUE</t>
        </is>
      </c>
      <c r="T64" s="235" t="n"/>
      <c r="U64" s="235" t="n"/>
      <c r="V64" s="235" t="n"/>
      <c r="W64" s="235" t="inlineStr">
        <is>
          <t>SIM</t>
        </is>
      </c>
      <c r="X64" s="235" t="n"/>
    </row>
    <row r="65">
      <c r="A65" s="391" t="n">
        <v>46075</v>
      </c>
      <c r="B65" s="235" t="inlineStr">
        <is>
          <t>DAIANE STAVICKI</t>
        </is>
      </c>
      <c r="C65" s="235" t="inlineStr">
        <is>
          <t>BIO FIT 54</t>
        </is>
      </c>
      <c r="D65" s="235" t="inlineStr">
        <is>
          <t>85.860.844/2532-63</t>
        </is>
      </c>
      <c r="E65" s="235" t="inlineStr">
        <is>
          <t>SP</t>
        </is>
      </c>
      <c r="F65" s="235" t="inlineStr">
        <is>
          <t>DEMAIS CLIENTES</t>
        </is>
      </c>
      <c r="G65" s="235" t="inlineStr">
        <is>
          <t>INAT.REC</t>
        </is>
      </c>
      <c r="H65" s="235" t="n">
        <v>69</v>
      </c>
      <c r="I65" s="235" t="n"/>
      <c r="J65" s="235" t="n"/>
      <c r="K65" s="235" t="n"/>
      <c r="L65" s="235" t="n"/>
      <c r="M65" s="235" t="n"/>
      <c r="N65" s="235" t="inlineStr">
        <is>
          <t>SIM</t>
        </is>
      </c>
      <c r="O65" s="235" t="inlineStr">
        <is>
          <t>NÃO</t>
        </is>
      </c>
      <c r="P65" s="235" t="inlineStr">
        <is>
          <t>N/A</t>
        </is>
      </c>
      <c r="Q65" s="235" t="inlineStr">
        <is>
          <t>PROSPECÇÃO</t>
        </is>
      </c>
      <c r="R65" s="235" t="inlineStr">
        <is>
          <t>CADASTRO</t>
        </is>
      </c>
      <c r="S65" s="235" t="n"/>
      <c r="T65" s="235" t="n"/>
      <c r="U65" s="235" t="n"/>
      <c r="V65" s="235" t="n"/>
      <c r="W65" s="235" t="inlineStr">
        <is>
          <t>NÃO</t>
        </is>
      </c>
      <c r="X65" s="235" t="n"/>
    </row>
    <row r="66">
      <c r="A66" s="391" t="n">
        <v>46057</v>
      </c>
      <c r="B66" s="235" t="inlineStr">
        <is>
          <t>DAIANE STAVICKI</t>
        </is>
      </c>
      <c r="C66" s="235" t="inlineStr">
        <is>
          <t>GRANEL &amp; CIA 70</t>
        </is>
      </c>
      <c r="D66" s="235" t="inlineStr">
        <is>
          <t>92.467.162/6524-45</t>
        </is>
      </c>
      <c r="E66" s="235" t="inlineStr">
        <is>
          <t>PR</t>
        </is>
      </c>
      <c r="F66" s="235" t="inlineStr">
        <is>
          <t>MUNDO VERDE</t>
        </is>
      </c>
      <c r="G66" s="235" t="inlineStr">
        <is>
          <t>NOVO</t>
        </is>
      </c>
      <c r="H66" s="235" t="inlineStr"/>
      <c r="I66" s="235" t="n"/>
      <c r="J66" s="235" t="n"/>
      <c r="K66" s="235" t="n"/>
      <c r="L66" s="235" t="n"/>
      <c r="M66" s="235" t="n"/>
      <c r="N66" s="235" t="inlineStr">
        <is>
          <t>SIM</t>
        </is>
      </c>
      <c r="O66" s="235" t="inlineStr">
        <is>
          <t>NÃO</t>
        </is>
      </c>
      <c r="P66" s="235" t="inlineStr">
        <is>
          <t>N/A</t>
        </is>
      </c>
      <c r="Q66" s="235" t="inlineStr">
        <is>
          <t>ATEND. CLIENTES ATIVOS</t>
        </is>
      </c>
      <c r="R66" s="235" t="inlineStr">
        <is>
          <t>FOLLOW UP 15</t>
        </is>
      </c>
      <c r="S66" s="235" t="inlineStr">
        <is>
          <t>AINDA TEM ESTOQUE</t>
        </is>
      </c>
      <c r="T66" s="235" t="n"/>
      <c r="U66" s="235" t="n"/>
      <c r="V66" s="235" t="n"/>
      <c r="W66" s="235" t="inlineStr">
        <is>
          <t>NÃO</t>
        </is>
      </c>
      <c r="X66" s="235" t="n"/>
    </row>
    <row r="67">
      <c r="A67" s="391" t="n">
        <v>46061</v>
      </c>
      <c r="B67" s="235" t="inlineStr">
        <is>
          <t>DAIANE STAVICKI</t>
        </is>
      </c>
      <c r="C67" s="235" t="inlineStr">
        <is>
          <t>PURA VIDA 27</t>
        </is>
      </c>
      <c r="D67" s="235" t="inlineStr">
        <is>
          <t>18.949.883/9081-36</t>
        </is>
      </c>
      <c r="E67" s="235" t="inlineStr">
        <is>
          <t>SP</t>
        </is>
      </c>
      <c r="F67" s="235" t="inlineStr">
        <is>
          <t>DEMAIS CLIENTES</t>
        </is>
      </c>
      <c r="G67" s="235" t="inlineStr">
        <is>
          <t>ATIVO</t>
        </is>
      </c>
      <c r="H67" s="235" t="n">
        <v>14</v>
      </c>
      <c r="I67" s="235" t="n"/>
      <c r="J67" s="235" t="n"/>
      <c r="K67" s="235" t="n"/>
      <c r="L67" s="235" t="n"/>
      <c r="M67" s="235" t="n"/>
      <c r="N67" s="235" t="inlineStr">
        <is>
          <t>SIM</t>
        </is>
      </c>
      <c r="O67" s="235" t="inlineStr">
        <is>
          <t>NÃO</t>
        </is>
      </c>
      <c r="P67" s="235" t="inlineStr">
        <is>
          <t>N/A</t>
        </is>
      </c>
      <c r="Q67" s="235" t="inlineStr">
        <is>
          <t>PÓS-VENDA / RELACIONAMENTO</t>
        </is>
      </c>
      <c r="R67" s="235" t="inlineStr">
        <is>
          <t>SUPORTE</t>
        </is>
      </c>
      <c r="S67" s="235" t="n"/>
      <c r="T67" s="235" t="n"/>
      <c r="U67" s="235" t="n"/>
      <c r="V67" s="235" t="n"/>
      <c r="W67" s="235" t="inlineStr">
        <is>
          <t>NÃO</t>
        </is>
      </c>
      <c r="X67" s="235" t="n"/>
    </row>
    <row r="68">
      <c r="A68" s="391" t="n">
        <v>46071</v>
      </c>
      <c r="B68" s="235" t="inlineStr">
        <is>
          <t>MANU DITZEL</t>
        </is>
      </c>
      <c r="C68" s="235" t="inlineStr">
        <is>
          <t>VERDE VIDA 15</t>
        </is>
      </c>
      <c r="D68" s="235" t="inlineStr">
        <is>
          <t>94.987.126/2160-11</t>
        </is>
      </c>
      <c r="E68" s="235" t="inlineStr">
        <is>
          <t>SC</t>
        </is>
      </c>
      <c r="F68" s="235" t="inlineStr">
        <is>
          <t>DEMAIS CLIENTES</t>
        </is>
      </c>
      <c r="G68" s="235" t="inlineStr">
        <is>
          <t>INAT.REC</t>
        </is>
      </c>
      <c r="H68" s="235" t="n">
        <v>61</v>
      </c>
      <c r="I68" s="235" t="n"/>
      <c r="J68" s="235" t="n"/>
      <c r="K68" s="235" t="n"/>
      <c r="L68" s="235" t="n"/>
      <c r="M68" s="235" t="n"/>
      <c r="N68" s="235" t="inlineStr">
        <is>
          <t>NÃO</t>
        </is>
      </c>
      <c r="O68" s="235" t="inlineStr">
        <is>
          <t>NÃO</t>
        </is>
      </c>
      <c r="P68" s="235" t="inlineStr">
        <is>
          <t>N/A</t>
        </is>
      </c>
      <c r="Q68" s="235" t="inlineStr">
        <is>
          <t>NEGOCIAÇÃO</t>
        </is>
      </c>
      <c r="R68" s="235" t="inlineStr">
        <is>
          <t>EM ATENDIMENTO</t>
        </is>
      </c>
      <c r="S68" s="235" t="n"/>
      <c r="T68" s="235" t="n"/>
      <c r="U68" s="235" t="n"/>
      <c r="V68" s="235" t="n"/>
      <c r="W68" s="235" t="inlineStr">
        <is>
          <t>NÃO</t>
        </is>
      </c>
      <c r="X68" s="235" t="n"/>
    </row>
    <row r="69">
      <c r="A69" s="391" t="n">
        <v>46069</v>
      </c>
      <c r="B69" s="235" t="inlineStr">
        <is>
          <t>LARISSA PADILHA</t>
        </is>
      </c>
      <c r="C69" s="235" t="inlineStr">
        <is>
          <t>GRANEL &amp; CIA 66</t>
        </is>
      </c>
      <c r="D69" s="235" t="inlineStr">
        <is>
          <t>85.211.562/8255-38</t>
        </is>
      </c>
      <c r="E69" s="235" t="inlineStr">
        <is>
          <t>DF</t>
        </is>
      </c>
      <c r="F69" s="235" t="inlineStr">
        <is>
          <t>MUNDO VERDE</t>
        </is>
      </c>
      <c r="G69" s="235" t="inlineStr">
        <is>
          <t>INAT.ANT</t>
        </is>
      </c>
      <c r="H69" s="235" t="n">
        <v>259</v>
      </c>
      <c r="I69" s="235" t="n"/>
      <c r="J69" s="235" t="n"/>
      <c r="K69" s="235" t="n"/>
      <c r="L69" s="235" t="n"/>
      <c r="M69" s="235" t="n"/>
      <c r="N69" s="235" t="inlineStr">
        <is>
          <t>NÃO</t>
        </is>
      </c>
      <c r="O69" s="235" t="inlineStr">
        <is>
          <t>SIM</t>
        </is>
      </c>
      <c r="P69" s="235" t="inlineStr">
        <is>
          <t>SIM</t>
        </is>
      </c>
      <c r="Q69" s="235" t="inlineStr">
        <is>
          <t>ATEND. CLIENTES ATIVOS</t>
        </is>
      </c>
      <c r="R69" s="235" t="inlineStr">
        <is>
          <t>RELACIONAMENTO</t>
        </is>
      </c>
      <c r="S69" s="235" t="n"/>
      <c r="T69" s="235" t="n"/>
      <c r="U69" s="235" t="n"/>
      <c r="V69" s="235" t="n"/>
      <c r="W69" s="235" t="inlineStr">
        <is>
          <t>SIM</t>
        </is>
      </c>
      <c r="X69" s="235" t="n"/>
    </row>
    <row r="70">
      <c r="A70" s="391" t="n">
        <v>46075</v>
      </c>
      <c r="B70" s="235" t="inlineStr">
        <is>
          <t>MANU DITZEL</t>
        </is>
      </c>
      <c r="C70" s="235" t="inlineStr">
        <is>
          <t>EMPÓRIO BIO 10</t>
        </is>
      </c>
      <c r="D70" s="235" t="inlineStr">
        <is>
          <t>20.429.722/2431-18</t>
        </is>
      </c>
      <c r="E70" s="235" t="inlineStr">
        <is>
          <t>PR</t>
        </is>
      </c>
      <c r="F70" s="235" t="inlineStr">
        <is>
          <t>VIDA LEVE</t>
        </is>
      </c>
      <c r="G70" s="235" t="inlineStr">
        <is>
          <t>INAT.REC</t>
        </is>
      </c>
      <c r="H70" s="235" t="n">
        <v>83</v>
      </c>
      <c r="I70" s="235" t="n"/>
      <c r="J70" s="235" t="n"/>
      <c r="K70" s="235" t="n"/>
      <c r="L70" s="235" t="n"/>
      <c r="M70" s="235" t="n"/>
      <c r="N70" s="235" t="inlineStr">
        <is>
          <t>SIM</t>
        </is>
      </c>
      <c r="O70" s="235" t="inlineStr">
        <is>
          <t>NÃO</t>
        </is>
      </c>
      <c r="P70" s="235" t="inlineStr">
        <is>
          <t>N/A</t>
        </is>
      </c>
      <c r="Q70" s="235" t="inlineStr">
        <is>
          <t>FOLLOW UP</t>
        </is>
      </c>
      <c r="R70" s="235" t="inlineStr">
        <is>
          <t>SUPORTE</t>
        </is>
      </c>
      <c r="S70" s="235" t="n"/>
      <c r="T70" s="235" t="n"/>
      <c r="U70" s="235" t="n"/>
      <c r="V70" s="235" t="n"/>
      <c r="W70" s="235" t="inlineStr">
        <is>
          <t>SIM</t>
        </is>
      </c>
      <c r="X70" s="235" t="n"/>
    </row>
    <row r="71">
      <c r="A71" s="391" t="n">
        <v>46057</v>
      </c>
      <c r="B71" s="235" t="inlineStr">
        <is>
          <t>DAIANE STAVICKI</t>
        </is>
      </c>
      <c r="C71" s="235" t="inlineStr">
        <is>
          <t>CASA DO GRANEL 84</t>
        </is>
      </c>
      <c r="D71" s="235" t="inlineStr">
        <is>
          <t>93.998.887/9034-37</t>
        </is>
      </c>
      <c r="E71" s="235" t="inlineStr">
        <is>
          <t>RS</t>
        </is>
      </c>
      <c r="F71" s="235" t="inlineStr">
        <is>
          <t>DEMAIS CLIENTES</t>
        </is>
      </c>
      <c r="G71" s="235" t="inlineStr">
        <is>
          <t>EM RISCO</t>
        </is>
      </c>
      <c r="H71" s="235" t="n">
        <v>58</v>
      </c>
      <c r="I71" s="235" t="n"/>
      <c r="J71" s="235" t="n"/>
      <c r="K71" s="235" t="n"/>
      <c r="L71" s="235" t="n"/>
      <c r="M71" s="235" t="n"/>
      <c r="N71" s="235" t="inlineStr">
        <is>
          <t>SIM</t>
        </is>
      </c>
      <c r="O71" s="235" t="inlineStr">
        <is>
          <t>SIM</t>
        </is>
      </c>
      <c r="P71" s="235" t="inlineStr">
        <is>
          <t>SIM</t>
        </is>
      </c>
      <c r="Q71" s="235" t="inlineStr">
        <is>
          <t>ATEND. CLIENTES ATIVOS</t>
        </is>
      </c>
      <c r="R71" s="235" t="inlineStr">
        <is>
          <t>SUPORTE</t>
        </is>
      </c>
      <c r="S71" s="235" t="n"/>
      <c r="T71" s="235" t="n"/>
      <c r="U71" s="235" t="n"/>
      <c r="V71" s="235" t="n"/>
      <c r="W71" s="235" t="inlineStr">
        <is>
          <t>NÃO</t>
        </is>
      </c>
      <c r="X71" s="235" t="n"/>
    </row>
    <row r="72">
      <c r="A72" s="391" t="n">
        <v>46075</v>
      </c>
      <c r="B72" s="235" t="inlineStr">
        <is>
          <t>DAIANE STAVICKI</t>
        </is>
      </c>
      <c r="C72" s="235" t="inlineStr">
        <is>
          <t>VIDA SAUDÁVEL 12</t>
        </is>
      </c>
      <c r="D72" s="235" t="inlineStr">
        <is>
          <t>20.195.542/1583-57</t>
        </is>
      </c>
      <c r="E72" s="235" t="inlineStr">
        <is>
          <t>MG</t>
        </is>
      </c>
      <c r="F72" s="235" t="inlineStr">
        <is>
          <t>VIDA LEVE</t>
        </is>
      </c>
      <c r="G72" s="235" t="inlineStr">
        <is>
          <t>INAT.REC</t>
        </is>
      </c>
      <c r="H72" s="235" t="n">
        <v>78</v>
      </c>
      <c r="I72" s="235" t="n"/>
      <c r="J72" s="235" t="n"/>
      <c r="K72" s="235" t="n"/>
      <c r="L72" s="235" t="n"/>
      <c r="M72" s="235" t="n"/>
      <c r="N72" s="235" t="inlineStr">
        <is>
          <t>SIM</t>
        </is>
      </c>
      <c r="O72" s="235" t="inlineStr">
        <is>
          <t>NÃO</t>
        </is>
      </c>
      <c r="P72" s="235" t="inlineStr">
        <is>
          <t>N/A</t>
        </is>
      </c>
      <c r="Q72" s="235" t="inlineStr">
        <is>
          <t>ATEND. CLIENTES ATIVOS</t>
        </is>
      </c>
      <c r="R72" s="235" t="inlineStr">
        <is>
          <t>FOLLOW UP 15</t>
        </is>
      </c>
      <c r="S72" s="235" t="inlineStr">
        <is>
          <t>PRIMEIRO CONTATO / SEM RESPOSTA</t>
        </is>
      </c>
      <c r="T72" s="235" t="n"/>
      <c r="U72" s="235" t="n"/>
      <c r="V72" s="235" t="n"/>
      <c r="W72" s="235" t="inlineStr">
        <is>
          <t>SIM</t>
        </is>
      </c>
      <c r="X72" s="235" t="n"/>
    </row>
    <row r="73">
      <c r="A73" s="391" t="n">
        <v>46077</v>
      </c>
      <c r="B73" s="235" t="inlineStr">
        <is>
          <t>MANU DITZEL</t>
        </is>
      </c>
      <c r="C73" s="235" t="inlineStr">
        <is>
          <t>ECO SAUDE 77</t>
        </is>
      </c>
      <c r="D73" s="235" t="inlineStr">
        <is>
          <t>49.460.206/9469-74</t>
        </is>
      </c>
      <c r="E73" s="235" t="inlineStr">
        <is>
          <t>PR</t>
        </is>
      </c>
      <c r="F73" s="235" t="inlineStr">
        <is>
          <t>TUDO EM GRAOS</t>
        </is>
      </c>
      <c r="G73" s="235" t="inlineStr">
        <is>
          <t>ATIVO</t>
        </is>
      </c>
      <c r="H73" s="235" t="n">
        <v>11</v>
      </c>
      <c r="I73" s="235" t="n"/>
      <c r="J73" s="235" t="n"/>
      <c r="K73" s="235" t="n"/>
      <c r="L73" s="235" t="n"/>
      <c r="M73" s="235" t="n"/>
      <c r="N73" s="235" t="inlineStr">
        <is>
          <t>SIM</t>
        </is>
      </c>
      <c r="O73" s="235" t="inlineStr">
        <is>
          <t>SIM</t>
        </is>
      </c>
      <c r="P73" s="235" t="inlineStr">
        <is>
          <t>SIM</t>
        </is>
      </c>
      <c r="Q73" s="235" t="inlineStr">
        <is>
          <t>FOLLOW UP</t>
        </is>
      </c>
      <c r="R73" s="235" t="inlineStr">
        <is>
          <t>FOLLOW UP 7</t>
        </is>
      </c>
      <c r="S73" s="235" t="inlineStr">
        <is>
          <t>LOJA ANEXO/PROXIMO - SM</t>
        </is>
      </c>
      <c r="T73" s="235" t="n"/>
      <c r="U73" s="235" t="n"/>
      <c r="V73" s="235" t="n"/>
      <c r="W73" s="235" t="inlineStr">
        <is>
          <t>SIM</t>
        </is>
      </c>
      <c r="X73" s="235" t="n"/>
    </row>
    <row r="74">
      <c r="A74" s="391" t="n">
        <v>46078</v>
      </c>
      <c r="B74" s="235" t="inlineStr">
        <is>
          <t>DAIANE STAVICKI</t>
        </is>
      </c>
      <c r="C74" s="235" t="inlineStr">
        <is>
          <t>CORPO E MENTE 87</t>
        </is>
      </c>
      <c r="D74" s="235" t="inlineStr">
        <is>
          <t>92.670.126/9978-94</t>
        </is>
      </c>
      <c r="E74" s="235" t="inlineStr">
        <is>
          <t>MG</t>
        </is>
      </c>
      <c r="F74" s="235" t="inlineStr">
        <is>
          <t>CIA DA SAUDE</t>
        </is>
      </c>
      <c r="G74" s="235" t="inlineStr">
        <is>
          <t>ATIVO</t>
        </is>
      </c>
      <c r="H74" s="235" t="n">
        <v>49</v>
      </c>
      <c r="I74" s="235" t="n"/>
      <c r="J74" s="235" t="n"/>
      <c r="K74" s="235" t="n"/>
      <c r="L74" s="235" t="n"/>
      <c r="M74" s="235" t="n"/>
      <c r="N74" s="235" t="inlineStr">
        <is>
          <t>SIM</t>
        </is>
      </c>
      <c r="O74" s="235" t="inlineStr">
        <is>
          <t>SIM</t>
        </is>
      </c>
      <c r="P74" s="235" t="inlineStr">
        <is>
          <t>SIM</t>
        </is>
      </c>
      <c r="Q74" s="235" t="inlineStr">
        <is>
          <t>PÓS-VENDA / RELACIONAMENTO</t>
        </is>
      </c>
      <c r="R74" s="235" t="inlineStr">
        <is>
          <t>NÃO RESPONDE</t>
        </is>
      </c>
      <c r="S74" s="235" t="inlineStr">
        <is>
          <t>PROBLEMA FINANCEIRO / CRÉDITO</t>
        </is>
      </c>
      <c r="T74" s="235" t="n"/>
      <c r="U74" s="235" t="n"/>
      <c r="V74" s="235" t="n"/>
      <c r="W74" s="235" t="inlineStr">
        <is>
          <t>SIM</t>
        </is>
      </c>
      <c r="X74" s="235" t="n"/>
    </row>
    <row r="75">
      <c r="A75" s="391" t="n">
        <v>46077</v>
      </c>
      <c r="B75" s="235" t="inlineStr">
        <is>
          <t>JULIO GADRET</t>
        </is>
      </c>
      <c r="C75" s="235" t="inlineStr">
        <is>
          <t>EMPÓRIO NATURAL 12</t>
        </is>
      </c>
      <c r="D75" s="235" t="inlineStr">
        <is>
          <t>77.320.485/6879-68</t>
        </is>
      </c>
      <c r="E75" s="235" t="inlineStr">
        <is>
          <t>SC</t>
        </is>
      </c>
      <c r="F75" s="235" t="inlineStr">
        <is>
          <t>FIT LAND</t>
        </is>
      </c>
      <c r="G75" s="235" t="inlineStr">
        <is>
          <t>INAT.ANT</t>
        </is>
      </c>
      <c r="H75" s="235" t="n">
        <v>289</v>
      </c>
      <c r="I75" s="235" t="n"/>
      <c r="J75" s="235" t="n"/>
      <c r="K75" s="235" t="n"/>
      <c r="L75" s="235" t="n"/>
      <c r="M75" s="235" t="n"/>
      <c r="N75" s="235" t="inlineStr">
        <is>
          <t>NÃO</t>
        </is>
      </c>
      <c r="O75" s="235" t="inlineStr">
        <is>
          <t>SIM</t>
        </is>
      </c>
      <c r="P75" s="235" t="inlineStr">
        <is>
          <t>NÃO</t>
        </is>
      </c>
      <c r="Q75" s="235" t="inlineStr">
        <is>
          <t>PERDA / NUTRIÇÃO</t>
        </is>
      </c>
      <c r="R75" s="235" t="inlineStr">
        <is>
          <t>NÃO RESPONDE</t>
        </is>
      </c>
      <c r="S75" s="235" t="inlineStr">
        <is>
          <t>AINDA TEM ESTOQUE</t>
        </is>
      </c>
      <c r="T75" s="235" t="n"/>
      <c r="U75" s="235" t="n"/>
      <c r="V75" s="235" t="n"/>
      <c r="W75" s="235" t="inlineStr">
        <is>
          <t>SIM</t>
        </is>
      </c>
      <c r="X75" s="235" t="n"/>
    </row>
    <row r="76">
      <c r="A76" s="391" t="n">
        <v>46068</v>
      </c>
      <c r="B76" s="235" t="inlineStr">
        <is>
          <t>JULIO GADRET</t>
        </is>
      </c>
      <c r="C76" s="235" t="inlineStr">
        <is>
          <t>POWER NATURAL 78</t>
        </is>
      </c>
      <c r="D76" s="235" t="inlineStr">
        <is>
          <t>66.524.379/3532-75</t>
        </is>
      </c>
      <c r="E76" s="235" t="inlineStr">
        <is>
          <t>PR</t>
        </is>
      </c>
      <c r="F76" s="235" t="inlineStr">
        <is>
          <t>FIT LAND</t>
        </is>
      </c>
      <c r="G76" s="235" t="inlineStr">
        <is>
          <t>ATIVO</t>
        </is>
      </c>
      <c r="H76" s="235" t="n">
        <v>48</v>
      </c>
      <c r="I76" s="235" t="n"/>
      <c r="J76" s="235" t="n"/>
      <c r="K76" s="235" t="n"/>
      <c r="L76" s="235" t="n"/>
      <c r="M76" s="235" t="n"/>
      <c r="N76" s="235" t="inlineStr">
        <is>
          <t>SIM</t>
        </is>
      </c>
      <c r="O76" s="235" t="inlineStr">
        <is>
          <t>SIM</t>
        </is>
      </c>
      <c r="P76" s="235" t="inlineStr">
        <is>
          <t>NÃO</t>
        </is>
      </c>
      <c r="Q76" s="235" t="inlineStr">
        <is>
          <t>ATEND. CLIENTES ATIVOS</t>
        </is>
      </c>
      <c r="R76" s="235" t="inlineStr">
        <is>
          <t>RELACIONAMENTO</t>
        </is>
      </c>
      <c r="S76" s="235" t="n"/>
      <c r="T76" s="235" t="n"/>
      <c r="U76" s="235" t="n"/>
      <c r="V76" s="235" t="n"/>
      <c r="W76" s="235" t="inlineStr">
        <is>
          <t>SIM</t>
        </is>
      </c>
      <c r="X76" s="235" t="n"/>
    </row>
    <row r="77">
      <c r="A77" s="391" t="n">
        <v>46060</v>
      </c>
      <c r="B77" s="235" t="inlineStr">
        <is>
          <t>MANU DITZEL</t>
        </is>
      </c>
      <c r="C77" s="235" t="inlineStr">
        <is>
          <t>DIVINA TERRA RJ 99</t>
        </is>
      </c>
      <c r="D77" s="235" t="inlineStr">
        <is>
          <t>27.882.361/4743-51</t>
        </is>
      </c>
      <c r="E77" s="235" t="inlineStr">
        <is>
          <t>PR</t>
        </is>
      </c>
      <c r="F77" s="235" t="inlineStr">
        <is>
          <t>DIVINA TERRA</t>
        </is>
      </c>
      <c r="G77" s="235" t="inlineStr">
        <is>
          <t>EM RISCO</t>
        </is>
      </c>
      <c r="H77" s="235" t="n">
        <v>53</v>
      </c>
      <c r="I77" s="235" t="n"/>
      <c r="J77" s="235" t="n"/>
      <c r="K77" s="235" t="n"/>
      <c r="L77" s="235" t="n"/>
      <c r="M77" s="235" t="n"/>
      <c r="N77" s="235" t="inlineStr">
        <is>
          <t>SIM</t>
        </is>
      </c>
      <c r="O77" s="235" t="inlineStr">
        <is>
          <t>NÃO</t>
        </is>
      </c>
      <c r="P77" s="235" t="inlineStr">
        <is>
          <t>N/A</t>
        </is>
      </c>
      <c r="Q77" s="235" t="inlineStr">
        <is>
          <t>ATEND. CLIENTES ATIVOS</t>
        </is>
      </c>
      <c r="R77" s="235" t="inlineStr">
        <is>
          <t>SUPORTE</t>
        </is>
      </c>
      <c r="S77" s="235" t="n"/>
      <c r="T77" s="235" t="n"/>
      <c r="U77" s="235" t="n"/>
      <c r="V77" s="235" t="n"/>
      <c r="W77" s="235" t="inlineStr">
        <is>
          <t>NÃO</t>
        </is>
      </c>
      <c r="X77" s="235" t="n"/>
    </row>
    <row r="78">
      <c r="A78" s="391" t="n">
        <v>46056</v>
      </c>
      <c r="B78" s="235" t="inlineStr">
        <is>
          <t>LARISSA PADILHA</t>
        </is>
      </c>
      <c r="C78" s="235" t="inlineStr">
        <is>
          <t>MUNDO VERDE CWB 56</t>
        </is>
      </c>
      <c r="D78" s="235" t="inlineStr">
        <is>
          <t>12.570.179/5130-83</t>
        </is>
      </c>
      <c r="E78" s="235" t="inlineStr">
        <is>
          <t>RS</t>
        </is>
      </c>
      <c r="F78" s="235" t="inlineStr">
        <is>
          <t>FIT LAND</t>
        </is>
      </c>
      <c r="G78" s="235" t="inlineStr">
        <is>
          <t>INAT.ANT</t>
        </is>
      </c>
      <c r="H78" s="235" t="n">
        <v>165</v>
      </c>
      <c r="I78" s="235" t="n"/>
      <c r="J78" s="235" t="n"/>
      <c r="K78" s="235" t="n"/>
      <c r="L78" s="235" t="n"/>
      <c r="M78" s="235" t="n"/>
      <c r="N78" s="235" t="inlineStr">
        <is>
          <t>SIM</t>
        </is>
      </c>
      <c r="O78" s="235" t="inlineStr">
        <is>
          <t>NÃO</t>
        </is>
      </c>
      <c r="P78" s="235" t="inlineStr">
        <is>
          <t>N/A</t>
        </is>
      </c>
      <c r="Q78" s="235" t="inlineStr">
        <is>
          <t>PROSPECÇÃO</t>
        </is>
      </c>
      <c r="R78" s="235" t="inlineStr">
        <is>
          <t>EM ATENDIMENTO</t>
        </is>
      </c>
      <c r="S78" s="235" t="n"/>
      <c r="T78" s="235" t="n"/>
      <c r="U78" s="235" t="n"/>
      <c r="V78" s="235" t="n"/>
      <c r="W78" s="235" t="inlineStr">
        <is>
          <t>SIM</t>
        </is>
      </c>
      <c r="X78" s="235" t="n"/>
    </row>
    <row r="79">
      <c r="A79" s="391" t="n">
        <v>46080</v>
      </c>
      <c r="B79" s="235" t="inlineStr">
        <is>
          <t>JULIO GADRET</t>
        </is>
      </c>
      <c r="C79" s="235" t="inlineStr">
        <is>
          <t>GRANEL &amp; CIA 12</t>
        </is>
      </c>
      <c r="D79" s="235" t="inlineStr">
        <is>
          <t>65.964.208/3987-65</t>
        </is>
      </c>
      <c r="E79" s="235" t="inlineStr">
        <is>
          <t>SP</t>
        </is>
      </c>
      <c r="F79" s="235" t="inlineStr">
        <is>
          <t>DIVINA TERRA</t>
        </is>
      </c>
      <c r="G79" s="235" t="inlineStr">
        <is>
          <t>EM RISCO</t>
        </is>
      </c>
      <c r="H79" s="235" t="n">
        <v>55</v>
      </c>
      <c r="I79" s="235" t="n"/>
      <c r="J79" s="235" t="n"/>
      <c r="K79" s="235" t="n"/>
      <c r="L79" s="235" t="n"/>
      <c r="M79" s="235" t="n"/>
      <c r="N79" s="235" t="inlineStr">
        <is>
          <t>NÃO</t>
        </is>
      </c>
      <c r="O79" s="235" t="inlineStr">
        <is>
          <t>SIM</t>
        </is>
      </c>
      <c r="P79" s="235" t="inlineStr">
        <is>
          <t>NÃO</t>
        </is>
      </c>
      <c r="Q79" s="235" t="inlineStr">
        <is>
          <t>ATEND. CLIENTES INATIVOS</t>
        </is>
      </c>
      <c r="R79" s="235" t="inlineStr">
        <is>
          <t>NÃO ATENDE</t>
        </is>
      </c>
      <c r="S79" s="235" t="inlineStr">
        <is>
          <t>PROBLEMA LOGÍSTICO / ENTREGA</t>
        </is>
      </c>
      <c r="T79" s="235" t="n"/>
      <c r="U79" s="235" t="n"/>
      <c r="V79" s="235" t="n"/>
      <c r="W79" s="235" t="inlineStr">
        <is>
          <t>SIM</t>
        </is>
      </c>
      <c r="X79" s="235" t="n"/>
    </row>
    <row r="80">
      <c r="A80" s="391" t="n">
        <v>46078</v>
      </c>
      <c r="B80" s="235" t="inlineStr">
        <is>
          <t>MANU DITZEL</t>
        </is>
      </c>
      <c r="C80" s="235" t="inlineStr">
        <is>
          <t>SABOR NATURAL 31</t>
        </is>
      </c>
      <c r="D80" s="235" t="inlineStr">
        <is>
          <t>23.249.362/3233-32</t>
        </is>
      </c>
      <c r="E80" s="235" t="inlineStr">
        <is>
          <t>SP</t>
        </is>
      </c>
      <c r="F80" s="235" t="inlineStr">
        <is>
          <t>DEMAIS CLIENTES</t>
        </is>
      </c>
      <c r="G80" s="235" t="inlineStr">
        <is>
          <t>INAT.ANT</t>
        </is>
      </c>
      <c r="H80" s="235" t="n">
        <v>136</v>
      </c>
      <c r="I80" s="235" t="n"/>
      <c r="J80" s="235" t="n"/>
      <c r="K80" s="235" t="n"/>
      <c r="L80" s="235" t="n"/>
      <c r="M80" s="235" t="n"/>
      <c r="N80" s="235" t="inlineStr">
        <is>
          <t>SIM</t>
        </is>
      </c>
      <c r="O80" s="235" t="inlineStr">
        <is>
          <t>NÃO</t>
        </is>
      </c>
      <c r="P80" s="235" t="inlineStr">
        <is>
          <t>N/A</t>
        </is>
      </c>
      <c r="Q80" s="235" t="inlineStr">
        <is>
          <t>PERDA / NUTRIÇÃO</t>
        </is>
      </c>
      <c r="R80" s="235" t="inlineStr">
        <is>
          <t>NÃO RESPONDE</t>
        </is>
      </c>
      <c r="S80" s="235" t="inlineStr">
        <is>
          <t>PROBLEMA LOGÍSTICO / ENTREGA</t>
        </is>
      </c>
      <c r="T80" s="235" t="n"/>
      <c r="U80" s="235" t="n"/>
      <c r="V80" s="235" t="n"/>
      <c r="W80" s="235" t="inlineStr">
        <is>
          <t>NÃO</t>
        </is>
      </c>
      <c r="X80" s="235" t="n"/>
    </row>
    <row r="81">
      <c r="A81" s="391" t="n">
        <v>46072</v>
      </c>
      <c r="B81" s="235" t="inlineStr">
        <is>
          <t>JULIO GADRET</t>
        </is>
      </c>
      <c r="C81" s="235" t="inlineStr">
        <is>
          <t>CORPO E MENTE 42</t>
        </is>
      </c>
      <c r="D81" s="235" t="inlineStr">
        <is>
          <t>90.423.254/7206-18</t>
        </is>
      </c>
      <c r="E81" s="235" t="inlineStr">
        <is>
          <t>RS</t>
        </is>
      </c>
      <c r="F81" s="235" t="inlineStr">
        <is>
          <t>TUDO EM GRAOS</t>
        </is>
      </c>
      <c r="G81" s="235" t="inlineStr">
        <is>
          <t>INAT.ANT</t>
        </is>
      </c>
      <c r="H81" s="235" t="n">
        <v>242</v>
      </c>
      <c r="I81" s="235" t="n"/>
      <c r="J81" s="235" t="n"/>
      <c r="K81" s="235" t="n"/>
      <c r="L81" s="235" t="n"/>
      <c r="M81" s="235" t="n"/>
      <c r="N81" s="235" t="inlineStr">
        <is>
          <t>SIM</t>
        </is>
      </c>
      <c r="O81" s="235" t="inlineStr">
        <is>
          <t>NÃO</t>
        </is>
      </c>
      <c r="P81" s="235" t="inlineStr">
        <is>
          <t>N/A</t>
        </is>
      </c>
      <c r="Q81" s="235" t="inlineStr">
        <is>
          <t>PROSPECÇÃO</t>
        </is>
      </c>
      <c r="R81" s="235" t="inlineStr">
        <is>
          <t>NÃO ATENDE</t>
        </is>
      </c>
      <c r="S81" s="235" t="inlineStr">
        <is>
          <t>AINDA TEM ESTOQUE</t>
        </is>
      </c>
      <c r="T81" s="235" t="n"/>
      <c r="U81" s="235" t="n"/>
      <c r="V81" s="235" t="n"/>
      <c r="W81" s="235" t="inlineStr">
        <is>
          <t>NÃO</t>
        </is>
      </c>
      <c r="X81" s="235" t="n"/>
    </row>
    <row r="82">
      <c r="A82" s="391" t="n">
        <v>46056</v>
      </c>
      <c r="B82" s="235" t="inlineStr">
        <is>
          <t>JULIO GADRET</t>
        </is>
      </c>
      <c r="C82" s="235" t="inlineStr">
        <is>
          <t>GRÃO DE OURO 79</t>
        </is>
      </c>
      <c r="D82" s="235" t="inlineStr">
        <is>
          <t>86.619.493/7582-84</t>
        </is>
      </c>
      <c r="E82" s="235" t="inlineStr">
        <is>
          <t>SP</t>
        </is>
      </c>
      <c r="F82" s="235" t="inlineStr">
        <is>
          <t>DEMAIS CLIENTES</t>
        </is>
      </c>
      <c r="G82" s="235" t="inlineStr">
        <is>
          <t>NOVO</t>
        </is>
      </c>
      <c r="H82" s="235" t="inlineStr"/>
      <c r="I82" s="235" t="n"/>
      <c r="J82" s="235" t="n"/>
      <c r="K82" s="235" t="n"/>
      <c r="L82" s="235" t="n"/>
      <c r="M82" s="235" t="n"/>
      <c r="N82" s="235" t="inlineStr">
        <is>
          <t>SIM</t>
        </is>
      </c>
      <c r="O82" s="235" t="inlineStr">
        <is>
          <t>SIM</t>
        </is>
      </c>
      <c r="P82" s="235" t="inlineStr">
        <is>
          <t>SIM</t>
        </is>
      </c>
      <c r="Q82" s="235" t="inlineStr">
        <is>
          <t>ATEND. CLIENTES ATIVOS</t>
        </is>
      </c>
      <c r="R82" s="235" t="inlineStr">
        <is>
          <t>SUPORTE</t>
        </is>
      </c>
      <c r="S82" s="235" t="n"/>
      <c r="T82" s="235" t="n"/>
      <c r="U82" s="235" t="n"/>
      <c r="V82" s="235" t="n"/>
      <c r="W82" s="235" t="inlineStr">
        <is>
          <t>SIM</t>
        </is>
      </c>
      <c r="X82" s="235" t="n"/>
    </row>
    <row r="83">
      <c r="A83" s="391" t="n">
        <v>46055</v>
      </c>
      <c r="B83" s="235" t="inlineStr">
        <is>
          <t>LARISSA PADILHA</t>
        </is>
      </c>
      <c r="C83" s="235" t="inlineStr">
        <is>
          <t>SAUDE TOTAL 92</t>
        </is>
      </c>
      <c r="D83" s="235" t="inlineStr">
        <is>
          <t>20.616.761/2828-15</t>
        </is>
      </c>
      <c r="E83" s="235" t="inlineStr">
        <is>
          <t>PR</t>
        </is>
      </c>
      <c r="F83" s="235" t="inlineStr">
        <is>
          <t>FIT LAND</t>
        </is>
      </c>
      <c r="G83" s="235" t="inlineStr">
        <is>
          <t>EM RISCO</t>
        </is>
      </c>
      <c r="H83" s="235" t="n">
        <v>59</v>
      </c>
      <c r="I83" s="235" t="n"/>
      <c r="J83" s="235" t="n"/>
      <c r="K83" s="235" t="n"/>
      <c r="L83" s="235" t="n"/>
      <c r="M83" s="235" t="n"/>
      <c r="N83" s="235" t="inlineStr">
        <is>
          <t>NÃO</t>
        </is>
      </c>
      <c r="O83" s="235" t="inlineStr">
        <is>
          <t>SIM</t>
        </is>
      </c>
      <c r="P83" s="235" t="inlineStr">
        <is>
          <t>NÃO</t>
        </is>
      </c>
      <c r="Q83" s="235" t="inlineStr">
        <is>
          <t>ATEND. CLIENTES ATIVOS</t>
        </is>
      </c>
      <c r="R83" s="235" t="inlineStr">
        <is>
          <t>RELACIONAMENTO</t>
        </is>
      </c>
      <c r="S83" s="235" t="n"/>
      <c r="T83" s="235" t="n"/>
      <c r="U83" s="235" t="n"/>
      <c r="V83" s="235" t="n"/>
      <c r="W83" s="235" t="inlineStr">
        <is>
          <t>NÃO</t>
        </is>
      </c>
      <c r="X83" s="235" t="n"/>
    </row>
    <row r="84">
      <c r="A84" s="391" t="n">
        <v>46055</v>
      </c>
      <c r="B84" s="235" t="inlineStr">
        <is>
          <t>DAIANE STAVICKI</t>
        </is>
      </c>
      <c r="C84" s="235" t="inlineStr">
        <is>
          <t>SAUDE TOTAL 09</t>
        </is>
      </c>
      <c r="D84" s="235" t="inlineStr">
        <is>
          <t>52.196.671/6334-46</t>
        </is>
      </c>
      <c r="E84" s="235" t="inlineStr">
        <is>
          <t>SC</t>
        </is>
      </c>
      <c r="F84" s="235" t="inlineStr">
        <is>
          <t>DEMAIS CLIENTES</t>
        </is>
      </c>
      <c r="G84" s="235" t="inlineStr">
        <is>
          <t>PROSPECT</t>
        </is>
      </c>
      <c r="H84" s="235" t="inlineStr"/>
      <c r="I84" s="235" t="n"/>
      <c r="J84" s="235" t="n"/>
      <c r="K84" s="235" t="n"/>
      <c r="L84" s="235" t="n"/>
      <c r="M84" s="235" t="n"/>
      <c r="N84" s="235" t="inlineStr">
        <is>
          <t>SIM</t>
        </is>
      </c>
      <c r="O84" s="235" t="inlineStr">
        <is>
          <t>NÃO</t>
        </is>
      </c>
      <c r="P84" s="235" t="inlineStr">
        <is>
          <t>N/A</t>
        </is>
      </c>
      <c r="Q84" s="235" t="inlineStr">
        <is>
          <t>ATEND. CLIENTES ATIVOS</t>
        </is>
      </c>
      <c r="R84" s="235" t="inlineStr">
        <is>
          <t>VENDA / PEDIDO</t>
        </is>
      </c>
      <c r="S84" s="235" t="n"/>
      <c r="T84" s="235" t="n"/>
      <c r="U84" s="235" t="n"/>
      <c r="V84" s="235" t="n"/>
      <c r="W84" s="235" t="inlineStr">
        <is>
          <t>NÃO</t>
        </is>
      </c>
      <c r="X84" s="235" t="n"/>
    </row>
    <row r="85">
      <c r="A85" s="391" t="n">
        <v>46063</v>
      </c>
      <c r="B85" s="235" t="inlineStr">
        <is>
          <t>DAIANE STAVICKI</t>
        </is>
      </c>
      <c r="C85" s="235" t="inlineStr">
        <is>
          <t>TUDO GRÃOS SC 17</t>
        </is>
      </c>
      <c r="D85" s="235" t="inlineStr">
        <is>
          <t>86.825.186/5073-81</t>
        </is>
      </c>
      <c r="E85" s="235" t="inlineStr">
        <is>
          <t>SC</t>
        </is>
      </c>
      <c r="F85" s="235" t="inlineStr">
        <is>
          <t>DEMAIS CLIENTES</t>
        </is>
      </c>
      <c r="G85" s="235" t="inlineStr">
        <is>
          <t>NOVO</t>
        </is>
      </c>
      <c r="H85" s="235" t="inlineStr"/>
      <c r="I85" s="235" t="n"/>
      <c r="J85" s="235" t="n"/>
      <c r="K85" s="235" t="n"/>
      <c r="L85" s="235" t="n"/>
      <c r="M85" s="235" t="n"/>
      <c r="N85" s="235" t="inlineStr">
        <is>
          <t>NÃO</t>
        </is>
      </c>
      <c r="O85" s="235" t="inlineStr">
        <is>
          <t>NÃO</t>
        </is>
      </c>
      <c r="P85" s="235" t="inlineStr">
        <is>
          <t>N/A</t>
        </is>
      </c>
      <c r="Q85" s="235" t="inlineStr">
        <is>
          <t>ATEND. CLIENTES INATIVOS</t>
        </is>
      </c>
      <c r="R85" s="235" t="inlineStr">
        <is>
          <t>PERDA / FECHOU LOJA</t>
        </is>
      </c>
      <c r="S85" s="235" t="inlineStr">
        <is>
          <t>SÓ QUER COMPRAR GRANEL</t>
        </is>
      </c>
      <c r="T85" s="235" t="n"/>
      <c r="U85" s="235" t="n"/>
      <c r="V85" s="235" t="n"/>
      <c r="W85" s="235" t="inlineStr">
        <is>
          <t>SIM</t>
        </is>
      </c>
      <c r="X85" s="235" t="n"/>
    </row>
    <row r="86">
      <c r="A86" s="391" t="n">
        <v>46067</v>
      </c>
      <c r="B86" s="235" t="inlineStr">
        <is>
          <t>LARISSA PADILHA</t>
        </is>
      </c>
      <c r="C86" s="235" t="inlineStr">
        <is>
          <t>EMPÓRIO NATURAL 47</t>
        </is>
      </c>
      <c r="D86" s="235" t="inlineStr">
        <is>
          <t>49.284.319/5599-72</t>
        </is>
      </c>
      <c r="E86" s="235" t="inlineStr">
        <is>
          <t>PR</t>
        </is>
      </c>
      <c r="F86" s="235" t="inlineStr">
        <is>
          <t>DEMAIS CLIENTES</t>
        </is>
      </c>
      <c r="G86" s="235" t="inlineStr">
        <is>
          <t>ATIVO</t>
        </is>
      </c>
      <c r="H86" s="235" t="n">
        <v>23</v>
      </c>
      <c r="I86" s="235" t="n"/>
      <c r="J86" s="235" t="n"/>
      <c r="K86" s="235" t="n"/>
      <c r="L86" s="235" t="n"/>
      <c r="M86" s="235" t="n"/>
      <c r="N86" s="235" t="inlineStr">
        <is>
          <t>NÃO</t>
        </is>
      </c>
      <c r="O86" s="235" t="inlineStr">
        <is>
          <t>NÃO</t>
        </is>
      </c>
      <c r="P86" s="235" t="inlineStr">
        <is>
          <t>N/A</t>
        </is>
      </c>
      <c r="Q86" s="235" t="inlineStr">
        <is>
          <t>PÓS-VENDA / RELACIONAMENTO</t>
        </is>
      </c>
      <c r="R86" s="235" t="inlineStr">
        <is>
          <t>RELACIONAMENTO</t>
        </is>
      </c>
      <c r="S86" s="235" t="n"/>
      <c r="T86" s="235" t="n"/>
      <c r="U86" s="235" t="n"/>
      <c r="V86" s="235" t="n"/>
      <c r="W86" s="235" t="inlineStr">
        <is>
          <t>NÃO</t>
        </is>
      </c>
      <c r="X86" s="235" t="n"/>
    </row>
    <row r="87">
      <c r="A87" s="391" t="n">
        <v>46055</v>
      </c>
      <c r="B87" s="235" t="inlineStr">
        <is>
          <t>JULIO GADRET</t>
        </is>
      </c>
      <c r="C87" s="235" t="inlineStr">
        <is>
          <t>CORPO E MENTE 17</t>
        </is>
      </c>
      <c r="D87" s="235" t="inlineStr">
        <is>
          <t>86.485.257/2659-33</t>
        </is>
      </c>
      <c r="E87" s="235" t="inlineStr">
        <is>
          <t>MG</t>
        </is>
      </c>
      <c r="F87" s="235" t="inlineStr">
        <is>
          <t>DEMAIS CLIENTES</t>
        </is>
      </c>
      <c r="G87" s="235" t="inlineStr">
        <is>
          <t>NOVO</t>
        </is>
      </c>
      <c r="H87" s="235" t="inlineStr"/>
      <c r="I87" s="235" t="n"/>
      <c r="J87" s="235" t="n"/>
      <c r="K87" s="235" t="n"/>
      <c r="L87" s="235" t="n"/>
      <c r="M87" s="235" t="n"/>
      <c r="N87" s="235" t="inlineStr">
        <is>
          <t>SIM</t>
        </is>
      </c>
      <c r="O87" s="235" t="inlineStr">
        <is>
          <t>NÃO</t>
        </is>
      </c>
      <c r="P87" s="235" t="inlineStr">
        <is>
          <t>N/A</t>
        </is>
      </c>
      <c r="Q87" s="235" t="inlineStr">
        <is>
          <t>NEGOCIAÇÃO</t>
        </is>
      </c>
      <c r="R87" s="235" t="inlineStr">
        <is>
          <t>ORÇAMENTO</t>
        </is>
      </c>
      <c r="S87" s="235" t="n"/>
      <c r="T87" s="235" t="n"/>
      <c r="U87" s="235" t="n"/>
      <c r="V87" s="235" t="n"/>
      <c r="W87" s="235" t="inlineStr">
        <is>
          <t>SIM</t>
        </is>
      </c>
      <c r="X87" s="235" t="n"/>
    </row>
    <row r="88">
      <c r="A88" s="391" t="n">
        <v>46068</v>
      </c>
      <c r="B88" s="235" t="inlineStr">
        <is>
          <t>JULIO GADRET</t>
        </is>
      </c>
      <c r="C88" s="235" t="inlineStr">
        <is>
          <t>EMPÓRIO BIO 30</t>
        </is>
      </c>
      <c r="D88" s="235" t="inlineStr">
        <is>
          <t>78.344.416/7685-34</t>
        </is>
      </c>
      <c r="E88" s="235" t="inlineStr">
        <is>
          <t>SC</t>
        </is>
      </c>
      <c r="F88" s="235" t="inlineStr">
        <is>
          <t>DEMAIS CLIENTES</t>
        </is>
      </c>
      <c r="G88" s="235" t="inlineStr">
        <is>
          <t>PROSPECT</t>
        </is>
      </c>
      <c r="H88" s="235" t="inlineStr"/>
      <c r="I88" s="235" t="n"/>
      <c r="J88" s="235" t="n"/>
      <c r="K88" s="235" t="n"/>
      <c r="L88" s="235" t="n"/>
      <c r="M88" s="235" t="n"/>
      <c r="N88" s="235" t="inlineStr">
        <is>
          <t>SIM</t>
        </is>
      </c>
      <c r="O88" s="235" t="inlineStr">
        <is>
          <t>NÃO</t>
        </is>
      </c>
      <c r="P88" s="235" t="inlineStr">
        <is>
          <t>N/A</t>
        </is>
      </c>
      <c r="Q88" s="235" t="inlineStr">
        <is>
          <t>ATEND. CLIENTES ATIVOS</t>
        </is>
      </c>
      <c r="R88" s="235" t="inlineStr">
        <is>
          <t>ORÇAMENTO</t>
        </is>
      </c>
      <c r="S88" s="235" t="n"/>
      <c r="T88" s="235" t="n"/>
      <c r="U88" s="235" t="n"/>
      <c r="V88" s="235" t="n"/>
      <c r="W88" s="235" t="inlineStr">
        <is>
          <t>NÃO</t>
        </is>
      </c>
      <c r="X88" s="235" t="n"/>
    </row>
    <row r="89">
      <c r="A89" s="391" t="n">
        <v>46080</v>
      </c>
      <c r="B89" s="235" t="inlineStr">
        <is>
          <t>MANU DITZEL</t>
        </is>
      </c>
      <c r="C89" s="235" t="inlineStr">
        <is>
          <t>MUNDO BIO 18</t>
        </is>
      </c>
      <c r="D89" s="235" t="inlineStr">
        <is>
          <t>42.153.756/7874-57</t>
        </is>
      </c>
      <c r="E89" s="235" t="inlineStr">
        <is>
          <t>SP</t>
        </is>
      </c>
      <c r="F89" s="235" t="inlineStr">
        <is>
          <t>MUNDO VERDE</t>
        </is>
      </c>
      <c r="G89" s="235" t="inlineStr">
        <is>
          <t>NOVO</t>
        </is>
      </c>
      <c r="H89" s="235" t="inlineStr"/>
      <c r="I89" s="235" t="n"/>
      <c r="J89" s="235" t="n"/>
      <c r="K89" s="235" t="n"/>
      <c r="L89" s="235" t="n"/>
      <c r="M89" s="235" t="n"/>
      <c r="N89" s="235" t="inlineStr">
        <is>
          <t>NÃO</t>
        </is>
      </c>
      <c r="O89" s="235" t="inlineStr">
        <is>
          <t>SIM</t>
        </is>
      </c>
      <c r="P89" s="235" t="inlineStr">
        <is>
          <t>NÃO</t>
        </is>
      </c>
      <c r="Q89" s="235" t="inlineStr">
        <is>
          <t>PÓS-VENDA / RELACIONAMENTO</t>
        </is>
      </c>
      <c r="R89" s="235" t="inlineStr">
        <is>
          <t>RELACIONAMENTO</t>
        </is>
      </c>
      <c r="S89" s="235" t="n"/>
      <c r="T89" s="235" t="n"/>
      <c r="U89" s="235" t="n"/>
      <c r="V89" s="235" t="n"/>
      <c r="W89" s="235" t="inlineStr">
        <is>
          <t>SIM</t>
        </is>
      </c>
      <c r="X89" s="235" t="n"/>
    </row>
    <row r="90">
      <c r="A90" s="391" t="n">
        <v>46067</v>
      </c>
      <c r="B90" s="235" t="inlineStr">
        <is>
          <t>MANU DITZEL</t>
        </is>
      </c>
      <c r="C90" s="235" t="inlineStr">
        <is>
          <t>FITLAND PR 58</t>
        </is>
      </c>
      <c r="D90" s="235" t="inlineStr">
        <is>
          <t>54.127.524/0873-60</t>
        </is>
      </c>
      <c r="E90" s="235" t="inlineStr">
        <is>
          <t>RS</t>
        </is>
      </c>
      <c r="F90" s="235" t="inlineStr">
        <is>
          <t>BIOMUNDO</t>
        </is>
      </c>
      <c r="G90" s="235" t="inlineStr">
        <is>
          <t>PROSPECT</t>
        </is>
      </c>
      <c r="H90" s="235" t="inlineStr"/>
      <c r="I90" s="235" t="n"/>
      <c r="J90" s="235" t="n"/>
      <c r="K90" s="235" t="n"/>
      <c r="L90" s="235" t="n"/>
      <c r="M90" s="235" t="n"/>
      <c r="N90" s="235" t="inlineStr">
        <is>
          <t>NÃO</t>
        </is>
      </c>
      <c r="O90" s="235" t="inlineStr">
        <is>
          <t>NÃO</t>
        </is>
      </c>
      <c r="P90" s="235" t="inlineStr">
        <is>
          <t>N/A</t>
        </is>
      </c>
      <c r="Q90" s="235" t="inlineStr">
        <is>
          <t>ATEND. CLIENTES ATIVOS</t>
        </is>
      </c>
      <c r="R90" s="235" t="inlineStr">
        <is>
          <t>VENDA / PEDIDO</t>
        </is>
      </c>
      <c r="S90" s="235" t="n"/>
      <c r="T90" s="235" t="n"/>
      <c r="U90" s="235" t="n"/>
      <c r="V90" s="235" t="n"/>
      <c r="W90" s="235" t="inlineStr">
        <is>
          <t>SIM</t>
        </is>
      </c>
      <c r="X90" s="235" t="n"/>
    </row>
    <row r="91">
      <c r="A91" s="391" t="n">
        <v>46079</v>
      </c>
      <c r="B91" s="235" t="inlineStr">
        <is>
          <t>MANU DITZEL</t>
        </is>
      </c>
      <c r="C91" s="235" t="inlineStr">
        <is>
          <t>MUNDO VERDE CWB 37</t>
        </is>
      </c>
      <c r="D91" s="235" t="inlineStr">
        <is>
          <t>70.812.951/2274-70</t>
        </is>
      </c>
      <c r="E91" s="235" t="inlineStr">
        <is>
          <t>RS</t>
        </is>
      </c>
      <c r="F91" s="235" t="inlineStr">
        <is>
          <t>MUNDO VERDE</t>
        </is>
      </c>
      <c r="G91" s="235" t="inlineStr">
        <is>
          <t>ATIVO</t>
        </is>
      </c>
      <c r="H91" s="235" t="n">
        <v>21</v>
      </c>
      <c r="I91" s="235" t="n"/>
      <c r="J91" s="235" t="n"/>
      <c r="K91" s="235" t="n"/>
      <c r="L91" s="235" t="n"/>
      <c r="M91" s="235" t="n"/>
      <c r="N91" s="235" t="inlineStr">
        <is>
          <t>NÃO</t>
        </is>
      </c>
      <c r="O91" s="235" t="inlineStr">
        <is>
          <t>NÃO</t>
        </is>
      </c>
      <c r="P91" s="235" t="inlineStr">
        <is>
          <t>N/A</t>
        </is>
      </c>
      <c r="Q91" s="235" t="inlineStr">
        <is>
          <t>NEGOCIAÇÃO</t>
        </is>
      </c>
      <c r="R91" s="235" t="inlineStr">
        <is>
          <t>EM ATENDIMENTO</t>
        </is>
      </c>
      <c r="S91" s="235" t="n"/>
      <c r="T91" s="235" t="n"/>
      <c r="U91" s="235" t="n"/>
      <c r="V91" s="235" t="n"/>
      <c r="W91" s="235" t="inlineStr">
        <is>
          <t>SIM</t>
        </is>
      </c>
      <c r="X91" s="235" t="n"/>
    </row>
    <row r="92">
      <c r="A92" s="391" t="n">
        <v>46078</v>
      </c>
      <c r="B92" s="235" t="inlineStr">
        <is>
          <t>MANU DITZEL</t>
        </is>
      </c>
      <c r="C92" s="235" t="inlineStr">
        <is>
          <t>EMPÓRIO DO CAMPO 16</t>
        </is>
      </c>
      <c r="D92" s="235" t="inlineStr">
        <is>
          <t>16.344.529/7490-18</t>
        </is>
      </c>
      <c r="E92" s="235" t="inlineStr">
        <is>
          <t>PR</t>
        </is>
      </c>
      <c r="F92" s="235" t="inlineStr">
        <is>
          <t>DEMAIS CLIENTES</t>
        </is>
      </c>
      <c r="G92" s="235" t="inlineStr">
        <is>
          <t>INAT.REC</t>
        </is>
      </c>
      <c r="H92" s="235" t="n">
        <v>61</v>
      </c>
      <c r="I92" s="235" t="n"/>
      <c r="J92" s="235" t="n"/>
      <c r="K92" s="235" t="n"/>
      <c r="L92" s="235" t="n"/>
      <c r="M92" s="235" t="n"/>
      <c r="N92" s="235" t="inlineStr">
        <is>
          <t>NÃO</t>
        </is>
      </c>
      <c r="O92" s="235" t="inlineStr">
        <is>
          <t>SIM</t>
        </is>
      </c>
      <c r="P92" s="235" t="inlineStr">
        <is>
          <t>SIM</t>
        </is>
      </c>
      <c r="Q92" s="235" t="inlineStr">
        <is>
          <t>ATEND. CLIENTES INATIVOS</t>
        </is>
      </c>
      <c r="R92" s="235" t="inlineStr">
        <is>
          <t>RECUSOU LIGAÇÃO</t>
        </is>
      </c>
      <c r="S92" s="235" t="inlineStr">
        <is>
          <t>PRODUTO NÃO VENDEU / SEM GIRO</t>
        </is>
      </c>
      <c r="T92" s="235" t="n"/>
      <c r="U92" s="235" t="n"/>
      <c r="V92" s="235" t="n"/>
      <c r="W92" s="235" t="inlineStr">
        <is>
          <t>SIM</t>
        </is>
      </c>
      <c r="X92" s="235" t="n"/>
    </row>
    <row r="93">
      <c r="A93" s="391" t="n">
        <v>46059</v>
      </c>
      <c r="B93" s="235" t="inlineStr">
        <is>
          <t>JULIO GADRET</t>
        </is>
      </c>
      <c r="C93" s="235" t="inlineStr">
        <is>
          <t>GRÃO DE OURO 68</t>
        </is>
      </c>
      <c r="D93" s="235" t="inlineStr">
        <is>
          <t>56.169.638/8915-74</t>
        </is>
      </c>
      <c r="E93" s="235" t="inlineStr">
        <is>
          <t>MG</t>
        </is>
      </c>
      <c r="F93" s="235" t="inlineStr">
        <is>
          <t>DIVINA TERRA</t>
        </is>
      </c>
      <c r="G93" s="235" t="inlineStr">
        <is>
          <t>ATIVO</t>
        </is>
      </c>
      <c r="H93" s="235" t="n">
        <v>35</v>
      </c>
      <c r="I93" s="235" t="n"/>
      <c r="J93" s="235" t="n"/>
      <c r="K93" s="235" t="n"/>
      <c r="L93" s="235" t="n"/>
      <c r="M93" s="235" t="n"/>
      <c r="N93" s="235" t="inlineStr">
        <is>
          <t>SIM</t>
        </is>
      </c>
      <c r="O93" s="235" t="inlineStr">
        <is>
          <t>NÃO</t>
        </is>
      </c>
      <c r="P93" s="235" t="inlineStr">
        <is>
          <t>N/A</t>
        </is>
      </c>
      <c r="Q93" s="235" t="inlineStr">
        <is>
          <t>PROSPECÇÃO</t>
        </is>
      </c>
      <c r="R93" s="235" t="inlineStr">
        <is>
          <t>CADASTRO</t>
        </is>
      </c>
      <c r="S93" s="235" t="n"/>
      <c r="T93" s="235" t="n"/>
      <c r="U93" s="235" t="n"/>
      <c r="V93" s="235" t="n"/>
      <c r="W93" s="235" t="inlineStr">
        <is>
          <t>SIM</t>
        </is>
      </c>
      <c r="X93" s="235" t="n"/>
    </row>
    <row r="94">
      <c r="A94" s="391" t="n">
        <v>46056</v>
      </c>
      <c r="B94" s="235" t="inlineStr">
        <is>
          <t>MANU DITZEL</t>
        </is>
      </c>
      <c r="C94" s="235" t="inlineStr">
        <is>
          <t>NATURAL POINT 99</t>
        </is>
      </c>
      <c r="D94" s="235" t="inlineStr">
        <is>
          <t>84.852.874/5448-27</t>
        </is>
      </c>
      <c r="E94" s="235" t="inlineStr">
        <is>
          <t>PR</t>
        </is>
      </c>
      <c r="F94" s="235" t="inlineStr">
        <is>
          <t>VIDA LEVE</t>
        </is>
      </c>
      <c r="G94" s="235" t="inlineStr">
        <is>
          <t>NOVO</t>
        </is>
      </c>
      <c r="H94" s="235" t="inlineStr"/>
      <c r="I94" s="235" t="n"/>
      <c r="J94" s="235" t="n"/>
      <c r="K94" s="235" t="n"/>
      <c r="L94" s="235" t="n"/>
      <c r="M94" s="235" t="n"/>
      <c r="N94" s="235" t="inlineStr">
        <is>
          <t>SIM</t>
        </is>
      </c>
      <c r="O94" s="235" t="inlineStr">
        <is>
          <t>NÃO</t>
        </is>
      </c>
      <c r="P94" s="235" t="inlineStr">
        <is>
          <t>N/A</t>
        </is>
      </c>
      <c r="Q94" s="235" t="inlineStr">
        <is>
          <t>NEGOCIAÇÃO</t>
        </is>
      </c>
      <c r="R94" s="235" t="inlineStr">
        <is>
          <t>NÃO ATENDE</t>
        </is>
      </c>
      <c r="S94" s="235" t="inlineStr">
        <is>
          <t>PROBLEMA LOGÍSTICO / ENTREGA</t>
        </is>
      </c>
      <c r="T94" s="235" t="n"/>
      <c r="U94" s="235" t="n"/>
      <c r="V94" s="235" t="n"/>
      <c r="W94" s="235" t="inlineStr">
        <is>
          <t>NÃO</t>
        </is>
      </c>
      <c r="X94" s="235" t="n"/>
    </row>
    <row r="95">
      <c r="A95" s="391" t="n">
        <v>46056</v>
      </c>
      <c r="B95" s="235" t="inlineStr">
        <is>
          <t>JULIO GADRET</t>
        </is>
      </c>
      <c r="C95" s="235" t="inlineStr">
        <is>
          <t>NATURAL HOUSE 05</t>
        </is>
      </c>
      <c r="D95" s="235" t="inlineStr">
        <is>
          <t>47.306.144/3269-15</t>
        </is>
      </c>
      <c r="E95" s="235" t="inlineStr">
        <is>
          <t>SC</t>
        </is>
      </c>
      <c r="F95" s="235" t="inlineStr">
        <is>
          <t>CIA DA SAUDE</t>
        </is>
      </c>
      <c r="G95" s="235" t="inlineStr">
        <is>
          <t>EM RISCO</t>
        </is>
      </c>
      <c r="H95" s="235" t="n">
        <v>59</v>
      </c>
      <c r="I95" s="235" t="n"/>
      <c r="J95" s="235" t="n"/>
      <c r="K95" s="235" t="n"/>
      <c r="L95" s="235" t="n"/>
      <c r="M95" s="235" t="n"/>
      <c r="N95" s="235" t="inlineStr">
        <is>
          <t>SIM</t>
        </is>
      </c>
      <c r="O95" s="235" t="inlineStr">
        <is>
          <t>SIM</t>
        </is>
      </c>
      <c r="P95" s="235" t="inlineStr">
        <is>
          <t>NÃO</t>
        </is>
      </c>
      <c r="Q95" s="235" t="inlineStr">
        <is>
          <t>ATEND. CLIENTES ATIVOS</t>
        </is>
      </c>
      <c r="R95" s="235" t="inlineStr">
        <is>
          <t>VENDA / PEDIDO</t>
        </is>
      </c>
      <c r="S95" s="235" t="n"/>
      <c r="T95" s="235" t="n"/>
      <c r="U95" s="235" t="n"/>
      <c r="V95" s="235" t="n"/>
      <c r="W95" s="235" t="inlineStr">
        <is>
          <t>SIM</t>
        </is>
      </c>
      <c r="X95" s="235" t="n"/>
    </row>
    <row r="96">
      <c r="A96" s="391" t="n">
        <v>46074</v>
      </c>
      <c r="B96" s="235" t="inlineStr">
        <is>
          <t>MANU DITZEL</t>
        </is>
      </c>
      <c r="C96" s="235" t="inlineStr">
        <is>
          <t>CASA DO GRANEL 48</t>
        </is>
      </c>
      <c r="D96" s="235" t="inlineStr">
        <is>
          <t>65.509.861/7205-59</t>
        </is>
      </c>
      <c r="E96" s="235" t="inlineStr">
        <is>
          <t>SC</t>
        </is>
      </c>
      <c r="F96" s="235" t="inlineStr">
        <is>
          <t>BIOMUNDO</t>
        </is>
      </c>
      <c r="G96" s="235" t="inlineStr">
        <is>
          <t>INAT.ANT</t>
        </is>
      </c>
      <c r="H96" s="235" t="n">
        <v>185</v>
      </c>
      <c r="I96" s="235" t="n"/>
      <c r="J96" s="235" t="n"/>
      <c r="K96" s="235" t="n"/>
      <c r="L96" s="235" t="n"/>
      <c r="M96" s="235" t="n"/>
      <c r="N96" s="235" t="inlineStr">
        <is>
          <t>NÃO</t>
        </is>
      </c>
      <c r="O96" s="235" t="inlineStr">
        <is>
          <t>NÃO</t>
        </is>
      </c>
      <c r="P96" s="235" t="inlineStr">
        <is>
          <t>N/A</t>
        </is>
      </c>
      <c r="Q96" s="235" t="inlineStr">
        <is>
          <t>PÓS-VENDA / RELACIONAMENTO</t>
        </is>
      </c>
      <c r="R96" s="235" t="inlineStr">
        <is>
          <t>FOLLOW UP 15</t>
        </is>
      </c>
      <c r="S96" s="235" t="inlineStr">
        <is>
          <t>AINDA TEM ESTOQUE</t>
        </is>
      </c>
      <c r="T96" s="235" t="n"/>
      <c r="U96" s="235" t="n"/>
      <c r="V96" s="235" t="n"/>
      <c r="W96" s="235" t="inlineStr">
        <is>
          <t>SIM</t>
        </is>
      </c>
      <c r="X96" s="235" t="n"/>
    </row>
    <row r="97">
      <c r="A97" s="391" t="n">
        <v>46080</v>
      </c>
      <c r="B97" s="235" t="inlineStr">
        <is>
          <t>MANU DITZEL</t>
        </is>
      </c>
      <c r="C97" s="235" t="inlineStr">
        <is>
          <t>ECO SAUDE 42</t>
        </is>
      </c>
      <c r="D97" s="235" t="inlineStr">
        <is>
          <t>23.181.435/4844-49</t>
        </is>
      </c>
      <c r="E97" s="235" t="inlineStr">
        <is>
          <t>RS</t>
        </is>
      </c>
      <c r="F97" s="235" t="inlineStr">
        <is>
          <t>DEMAIS CLIENTES</t>
        </is>
      </c>
      <c r="G97" s="235" t="inlineStr">
        <is>
          <t>ATIVO</t>
        </is>
      </c>
      <c r="H97" s="235" t="n">
        <v>33</v>
      </c>
      <c r="I97" s="235" t="n"/>
      <c r="J97" s="235" t="n"/>
      <c r="K97" s="235" t="n"/>
      <c r="L97" s="235" t="n"/>
      <c r="M97" s="235" t="n"/>
      <c r="N97" s="235" t="inlineStr">
        <is>
          <t>NÃO</t>
        </is>
      </c>
      <c r="O97" s="235" t="inlineStr">
        <is>
          <t>SIM</t>
        </is>
      </c>
      <c r="P97" s="235" t="inlineStr">
        <is>
          <t>NÃO</t>
        </is>
      </c>
      <c r="Q97" s="235" t="inlineStr">
        <is>
          <t>FOLLOW UP</t>
        </is>
      </c>
      <c r="R97" s="235" t="inlineStr">
        <is>
          <t>EM ATENDIMENTO</t>
        </is>
      </c>
      <c r="S97" s="235" t="n"/>
      <c r="T97" s="235" t="n"/>
      <c r="U97" s="235" t="n"/>
      <c r="V97" s="235" t="n"/>
      <c r="W97" s="235" t="inlineStr">
        <is>
          <t>SIM</t>
        </is>
      </c>
      <c r="X97" s="235" t="n"/>
    </row>
    <row r="98">
      <c r="A98" s="391" t="n">
        <v>46079</v>
      </c>
      <c r="B98" s="235" t="inlineStr">
        <is>
          <t>DAIANE STAVICKI</t>
        </is>
      </c>
      <c r="C98" s="235" t="inlineStr">
        <is>
          <t>VIDA SAUDÁVEL 86</t>
        </is>
      </c>
      <c r="D98" s="235" t="inlineStr">
        <is>
          <t>91.515.472/8407-96</t>
        </is>
      </c>
      <c r="E98" s="235" t="inlineStr">
        <is>
          <t>PR</t>
        </is>
      </c>
      <c r="F98" s="235" t="inlineStr">
        <is>
          <t>MUNDO VERDE</t>
        </is>
      </c>
      <c r="G98" s="235" t="inlineStr">
        <is>
          <t>NOVO</t>
        </is>
      </c>
      <c r="H98" s="235" t="inlineStr"/>
      <c r="I98" s="235" t="n"/>
      <c r="J98" s="235" t="n"/>
      <c r="K98" s="235" t="n"/>
      <c r="L98" s="235" t="n"/>
      <c r="M98" s="235" t="n"/>
      <c r="N98" s="235" t="inlineStr">
        <is>
          <t>SIM</t>
        </is>
      </c>
      <c r="O98" s="235" t="inlineStr">
        <is>
          <t>SIM</t>
        </is>
      </c>
      <c r="P98" s="235" t="inlineStr">
        <is>
          <t>NÃO</t>
        </is>
      </c>
      <c r="Q98" s="235" t="inlineStr">
        <is>
          <t>ATEND. CLIENTES INATIVOS</t>
        </is>
      </c>
      <c r="R98" s="235" t="inlineStr">
        <is>
          <t>NÃO RESPONDE</t>
        </is>
      </c>
      <c r="S98" s="235" t="inlineStr">
        <is>
          <t>PRODUTO NÃO VENDEU / SEM GIRO</t>
        </is>
      </c>
      <c r="T98" s="235" t="n"/>
      <c r="U98" s="235" t="n"/>
      <c r="V98" s="235" t="n"/>
      <c r="W98" s="235" t="inlineStr">
        <is>
          <t>NÃO</t>
        </is>
      </c>
      <c r="X98" s="235" t="n"/>
    </row>
    <row r="99">
      <c r="A99" s="391" t="n">
        <v>46055</v>
      </c>
      <c r="B99" s="235" t="inlineStr">
        <is>
          <t>JULIO GADRET</t>
        </is>
      </c>
      <c r="C99" s="235" t="inlineStr">
        <is>
          <t>EMPÓRIO BIO 48</t>
        </is>
      </c>
      <c r="D99" s="235" t="inlineStr">
        <is>
          <t>57.554.881/1260-83</t>
        </is>
      </c>
      <c r="E99" s="235" t="inlineStr">
        <is>
          <t>PR</t>
        </is>
      </c>
      <c r="F99" s="235" t="inlineStr">
        <is>
          <t>CIA DA SAUDE</t>
        </is>
      </c>
      <c r="G99" s="235" t="inlineStr">
        <is>
          <t>ATIVO</t>
        </is>
      </c>
      <c r="H99" s="235" t="n">
        <v>22</v>
      </c>
      <c r="I99" s="235" t="n"/>
      <c r="J99" s="235" t="n"/>
      <c r="K99" s="235" t="n"/>
      <c r="L99" s="235" t="n"/>
      <c r="M99" s="235" t="n"/>
      <c r="N99" s="235" t="inlineStr">
        <is>
          <t>NÃO</t>
        </is>
      </c>
      <c r="O99" s="235" t="inlineStr">
        <is>
          <t>NÃO</t>
        </is>
      </c>
      <c r="P99" s="235" t="inlineStr">
        <is>
          <t>N/A</t>
        </is>
      </c>
      <c r="Q99" s="235" t="inlineStr">
        <is>
          <t>NEGOCIAÇÃO</t>
        </is>
      </c>
      <c r="R99" s="235" t="inlineStr">
        <is>
          <t>EM ATENDIMENTO</t>
        </is>
      </c>
      <c r="S99" s="235" t="n"/>
      <c r="T99" s="235" t="n"/>
      <c r="U99" s="235" t="n"/>
      <c r="V99" s="235" t="n"/>
      <c r="W99" s="235" t="inlineStr">
        <is>
          <t>SIM</t>
        </is>
      </c>
      <c r="X99" s="235" t="n"/>
    </row>
    <row r="100">
      <c r="A100" s="391" t="n">
        <v>46071</v>
      </c>
      <c r="B100" s="235" t="inlineStr">
        <is>
          <t>MANU DITZEL</t>
        </is>
      </c>
      <c r="C100" s="235" t="inlineStr">
        <is>
          <t>PONTO VERDE 91</t>
        </is>
      </c>
      <c r="D100" s="235" t="inlineStr">
        <is>
          <t>67.319.726/4679-98</t>
        </is>
      </c>
      <c r="E100" s="235" t="inlineStr">
        <is>
          <t>GO</t>
        </is>
      </c>
      <c r="F100" s="235" t="inlineStr">
        <is>
          <t>DIVINA TERRA</t>
        </is>
      </c>
      <c r="G100" s="235" t="inlineStr">
        <is>
          <t>ATIVO</t>
        </is>
      </c>
      <c r="H100" s="235" t="n">
        <v>9</v>
      </c>
      <c r="I100" s="235" t="n"/>
      <c r="J100" s="235" t="n"/>
      <c r="K100" s="235" t="n"/>
      <c r="L100" s="235" t="n"/>
      <c r="M100" s="235" t="n"/>
      <c r="N100" s="235" t="inlineStr">
        <is>
          <t>SIM</t>
        </is>
      </c>
      <c r="O100" s="235" t="inlineStr">
        <is>
          <t>SIM</t>
        </is>
      </c>
      <c r="P100" s="235" t="inlineStr">
        <is>
          <t>NÃO</t>
        </is>
      </c>
      <c r="Q100" s="235" t="inlineStr">
        <is>
          <t>ATEND. CLIENTES ATIVOS</t>
        </is>
      </c>
      <c r="R100" s="235" t="inlineStr">
        <is>
          <t>EM ATENDIMENTO</t>
        </is>
      </c>
      <c r="S100" s="235" t="n"/>
      <c r="T100" s="235" t="n"/>
      <c r="U100" s="235" t="n"/>
      <c r="V100" s="235" t="n"/>
      <c r="W100" s="235" t="inlineStr">
        <is>
          <t>NÃO</t>
        </is>
      </c>
      <c r="X100" s="235" t="n"/>
    </row>
    <row r="101">
      <c r="A101" s="391" t="n">
        <v>46064</v>
      </c>
      <c r="B101" s="235" t="inlineStr">
        <is>
          <t>JULIO GADRET</t>
        </is>
      </c>
      <c r="C101" s="235" t="inlineStr">
        <is>
          <t>VIDA SAUDÁVEL 71</t>
        </is>
      </c>
      <c r="D101" s="235" t="inlineStr">
        <is>
          <t>79.397.407/2581-99</t>
        </is>
      </c>
      <c r="E101" s="235" t="inlineStr">
        <is>
          <t>SP</t>
        </is>
      </c>
      <c r="F101" s="235" t="inlineStr">
        <is>
          <t>DEMAIS CLIENTES</t>
        </is>
      </c>
      <c r="G101" s="235" t="inlineStr">
        <is>
          <t>INAT.REC</t>
        </is>
      </c>
      <c r="H101" s="235" t="n">
        <v>64</v>
      </c>
      <c r="I101" s="235" t="n"/>
      <c r="J101" s="235" t="n"/>
      <c r="K101" s="235" t="n"/>
      <c r="L101" s="235" t="n"/>
      <c r="M101" s="235" t="n"/>
      <c r="N101" s="235" t="inlineStr">
        <is>
          <t>SIM</t>
        </is>
      </c>
      <c r="O101" s="235" t="inlineStr">
        <is>
          <t>NÃO</t>
        </is>
      </c>
      <c r="P101" s="235" t="inlineStr">
        <is>
          <t>N/A</t>
        </is>
      </c>
      <c r="Q101" s="235" t="inlineStr">
        <is>
          <t>PERDA / NUTRIÇÃO</t>
        </is>
      </c>
      <c r="R101" s="235" t="inlineStr">
        <is>
          <t>RECUSOU LIGAÇÃO</t>
        </is>
      </c>
      <c r="S101" s="235" t="inlineStr">
        <is>
          <t>PRODUTO NÃO VENDEU / SEM GIRO</t>
        </is>
      </c>
      <c r="T101" s="235" t="n"/>
      <c r="U101" s="235" t="n"/>
      <c r="V101" s="235" t="n"/>
      <c r="W101" s="235" t="inlineStr">
        <is>
          <t>SIM</t>
        </is>
      </c>
      <c r="X101" s="235" t="n"/>
    </row>
    <row r="102">
      <c r="A102" s="391" t="n">
        <v>46068</v>
      </c>
      <c r="B102" s="235" t="inlineStr">
        <is>
          <t>DAIANE STAVICKI</t>
        </is>
      </c>
      <c r="C102" s="235" t="inlineStr">
        <is>
          <t>ESSENCE FOOD 17</t>
        </is>
      </c>
      <c r="D102" s="235" t="inlineStr">
        <is>
          <t>88.188.167/5068-60</t>
        </is>
      </c>
      <c r="E102" s="235" t="inlineStr">
        <is>
          <t>CE</t>
        </is>
      </c>
      <c r="F102" s="235" t="inlineStr">
        <is>
          <t>DEMAIS CLIENTES</t>
        </is>
      </c>
      <c r="G102" s="235" t="inlineStr">
        <is>
          <t>INAT.REC</t>
        </is>
      </c>
      <c r="H102" s="235" t="n">
        <v>85</v>
      </c>
      <c r="I102" s="235" t="n"/>
      <c r="J102" s="235" t="n"/>
      <c r="K102" s="235" t="n"/>
      <c r="L102" s="235" t="n"/>
      <c r="M102" s="235" t="n"/>
      <c r="N102" s="235" t="inlineStr">
        <is>
          <t>SIM</t>
        </is>
      </c>
      <c r="O102" s="235" t="inlineStr">
        <is>
          <t>SIM</t>
        </is>
      </c>
      <c r="P102" s="235" t="inlineStr">
        <is>
          <t>SIM</t>
        </is>
      </c>
      <c r="Q102" s="235" t="inlineStr">
        <is>
          <t>ATEND. CLIENTES ATIVOS</t>
        </is>
      </c>
      <c r="R102" s="235" t="inlineStr">
        <is>
          <t>FOLLOW UP 7</t>
        </is>
      </c>
      <c r="S102" s="235" t="inlineStr">
        <is>
          <t>SÓ QUER COMPRAR GRANEL</t>
        </is>
      </c>
      <c r="T102" s="235" t="n"/>
      <c r="U102" s="235" t="n"/>
      <c r="V102" s="235" t="n"/>
      <c r="W102" s="235" t="inlineStr">
        <is>
          <t>SIM</t>
        </is>
      </c>
      <c r="X102" s="235" t="n"/>
    </row>
    <row r="103">
      <c r="A103" s="391" t="n">
        <v>46058</v>
      </c>
      <c r="B103" s="235" t="inlineStr">
        <is>
          <t>DAIANE STAVICKI</t>
        </is>
      </c>
      <c r="C103" s="235" t="inlineStr">
        <is>
          <t>ESSENCE FOOD 82</t>
        </is>
      </c>
      <c r="D103" s="235" t="inlineStr">
        <is>
          <t>85.286.886/2115-65</t>
        </is>
      </c>
      <c r="E103" s="235" t="inlineStr">
        <is>
          <t>RS</t>
        </is>
      </c>
      <c r="F103" s="235" t="inlineStr">
        <is>
          <t>DEMAIS CLIENTES</t>
        </is>
      </c>
      <c r="G103" s="235" t="inlineStr">
        <is>
          <t>NOVO</t>
        </is>
      </c>
      <c r="H103" s="235" t="inlineStr"/>
      <c r="I103" s="235" t="n"/>
      <c r="J103" s="235" t="n"/>
      <c r="K103" s="235" t="n"/>
      <c r="L103" s="235" t="n"/>
      <c r="M103" s="235" t="n"/>
      <c r="N103" s="235" t="inlineStr">
        <is>
          <t>SIM</t>
        </is>
      </c>
      <c r="O103" s="235" t="inlineStr">
        <is>
          <t>NÃO</t>
        </is>
      </c>
      <c r="P103" s="235" t="inlineStr">
        <is>
          <t>N/A</t>
        </is>
      </c>
      <c r="Q103" s="235" t="inlineStr">
        <is>
          <t>ATEND. CLIENTES ATIVOS</t>
        </is>
      </c>
      <c r="R103" s="235" t="inlineStr">
        <is>
          <t>ORÇAMENTO</t>
        </is>
      </c>
      <c r="S103" s="235" t="n"/>
      <c r="T103" s="235" t="n"/>
      <c r="U103" s="235" t="n"/>
      <c r="V103" s="235" t="n"/>
      <c r="W103" s="235" t="inlineStr">
        <is>
          <t>SIM</t>
        </is>
      </c>
      <c r="X103" s="235" t="n"/>
    </row>
    <row r="104">
      <c r="A104" s="391" t="n">
        <v>46070</v>
      </c>
      <c r="B104" s="235" t="inlineStr">
        <is>
          <t>DAIANE STAVICKI</t>
        </is>
      </c>
      <c r="C104" s="235" t="inlineStr">
        <is>
          <t>GRÃO DE OURO 33</t>
        </is>
      </c>
      <c r="D104" s="235" t="inlineStr">
        <is>
          <t>35.750.664/4497-26</t>
        </is>
      </c>
      <c r="E104" s="235" t="inlineStr">
        <is>
          <t>SP</t>
        </is>
      </c>
      <c r="F104" s="235" t="inlineStr">
        <is>
          <t>VIDA LEVE</t>
        </is>
      </c>
      <c r="G104" s="235" t="inlineStr">
        <is>
          <t>ATIVO</t>
        </is>
      </c>
      <c r="H104" s="235" t="n">
        <v>46</v>
      </c>
      <c r="I104" s="235" t="n"/>
      <c r="J104" s="235" t="n"/>
      <c r="K104" s="235" t="n"/>
      <c r="L104" s="235" t="n"/>
      <c r="M104" s="235" t="n"/>
      <c r="N104" s="235" t="inlineStr">
        <is>
          <t>SIM</t>
        </is>
      </c>
      <c r="O104" s="235" t="inlineStr">
        <is>
          <t>NÃO</t>
        </is>
      </c>
      <c r="P104" s="235" t="inlineStr">
        <is>
          <t>N/A</t>
        </is>
      </c>
      <c r="Q104" s="235" t="inlineStr">
        <is>
          <t>NEGOCIAÇÃO</t>
        </is>
      </c>
      <c r="R104" s="235" t="inlineStr">
        <is>
          <t>FOLLOW UP 7</t>
        </is>
      </c>
      <c r="S104" s="235" t="inlineStr">
        <is>
          <t>PROBLEMA FINANCEIRO / CRÉDITO</t>
        </is>
      </c>
      <c r="T104" s="235" t="n"/>
      <c r="U104" s="235" t="n"/>
      <c r="V104" s="235" t="n"/>
      <c r="W104" s="235" t="inlineStr">
        <is>
          <t>SIM</t>
        </is>
      </c>
      <c r="X104" s="235" t="n"/>
    </row>
    <row r="105">
      <c r="A105" s="391" t="n">
        <v>46080</v>
      </c>
      <c r="B105" s="235" t="inlineStr">
        <is>
          <t>DAIANE STAVICKI</t>
        </is>
      </c>
      <c r="C105" s="235" t="inlineStr">
        <is>
          <t>MUNDO VERDE CWB 04</t>
        </is>
      </c>
      <c r="D105" s="235" t="inlineStr">
        <is>
          <t>20.146.756/9450-43</t>
        </is>
      </c>
      <c r="E105" s="235" t="inlineStr">
        <is>
          <t>SP</t>
        </is>
      </c>
      <c r="F105" s="235" t="inlineStr">
        <is>
          <t>DEMAIS CLIENTES</t>
        </is>
      </c>
      <c r="G105" s="235" t="inlineStr">
        <is>
          <t>EM RISCO</t>
        </is>
      </c>
      <c r="H105" s="235" t="n">
        <v>51</v>
      </c>
      <c r="I105" s="235" t="n"/>
      <c r="J105" s="235" t="n"/>
      <c r="K105" s="235" t="n"/>
      <c r="L105" s="235" t="n"/>
      <c r="M105" s="235" t="n"/>
      <c r="N105" s="235" t="inlineStr">
        <is>
          <t>SIM</t>
        </is>
      </c>
      <c r="O105" s="235" t="inlineStr">
        <is>
          <t>NÃO</t>
        </is>
      </c>
      <c r="P105" s="235" t="inlineStr">
        <is>
          <t>N/A</t>
        </is>
      </c>
      <c r="Q105" s="235" t="inlineStr">
        <is>
          <t>ATEND. CLIENTES ATIVOS</t>
        </is>
      </c>
      <c r="R105" s="235" t="inlineStr">
        <is>
          <t>FOLLOW UP 7</t>
        </is>
      </c>
      <c r="S105" s="235" t="inlineStr">
        <is>
          <t>SÓ QUER COMPRAR GRANEL</t>
        </is>
      </c>
      <c r="T105" s="235" t="n"/>
      <c r="U105" s="235" t="n"/>
      <c r="V105" s="235" t="n"/>
      <c r="W105" s="235" t="inlineStr">
        <is>
          <t>NÃO</t>
        </is>
      </c>
      <c r="X105" s="235" t="n"/>
    </row>
    <row r="106">
      <c r="A106" s="391" t="n">
        <v>46075</v>
      </c>
      <c r="B106" s="235" t="inlineStr">
        <is>
          <t>LARISSA PADILHA</t>
        </is>
      </c>
      <c r="C106" s="235" t="inlineStr">
        <is>
          <t>NATURAL HOUSE 10</t>
        </is>
      </c>
      <c r="D106" s="235" t="inlineStr">
        <is>
          <t>98.161.261/7203-63</t>
        </is>
      </c>
      <c r="E106" s="235" t="inlineStr">
        <is>
          <t>RS</t>
        </is>
      </c>
      <c r="F106" s="235" t="inlineStr">
        <is>
          <t>BIOMUNDO</t>
        </is>
      </c>
      <c r="G106" s="235" t="inlineStr">
        <is>
          <t>INAT.REC</t>
        </is>
      </c>
      <c r="H106" s="235" t="n">
        <v>71</v>
      </c>
      <c r="I106" s="235" t="n"/>
      <c r="J106" s="235" t="n"/>
      <c r="K106" s="235" t="n"/>
      <c r="L106" s="235" t="n"/>
      <c r="M106" s="235" t="n"/>
      <c r="N106" s="235" t="inlineStr">
        <is>
          <t>NÃO</t>
        </is>
      </c>
      <c r="O106" s="235" t="inlineStr">
        <is>
          <t>SIM</t>
        </is>
      </c>
      <c r="P106" s="235" t="inlineStr">
        <is>
          <t>SIM</t>
        </is>
      </c>
      <c r="Q106" s="235" t="inlineStr">
        <is>
          <t>PÓS-VENDA / RELACIONAMENTO</t>
        </is>
      </c>
      <c r="R106" s="235" t="inlineStr">
        <is>
          <t>FOLLOW UP 7</t>
        </is>
      </c>
      <c r="S106" s="235" t="inlineStr">
        <is>
          <t>PROPRIETARIO / INDISPONÍVEL</t>
        </is>
      </c>
      <c r="T106" s="235" t="n"/>
      <c r="U106" s="235" t="n"/>
      <c r="V106" s="235" t="n"/>
      <c r="W106" s="235" t="inlineStr">
        <is>
          <t>SIM</t>
        </is>
      </c>
      <c r="X106" s="235" t="n"/>
    </row>
    <row r="107">
      <c r="A107" s="391" t="n">
        <v>46057</v>
      </c>
      <c r="B107" s="235" t="inlineStr">
        <is>
          <t>MANU DITZEL</t>
        </is>
      </c>
      <c r="C107" s="235" t="inlineStr">
        <is>
          <t>NATURAL HOUSE 16</t>
        </is>
      </c>
      <c r="D107" s="235" t="inlineStr">
        <is>
          <t>44.560.353/2309-22</t>
        </is>
      </c>
      <c r="E107" s="235" t="inlineStr">
        <is>
          <t>PR</t>
        </is>
      </c>
      <c r="F107" s="235" t="inlineStr">
        <is>
          <t>DEMAIS CLIENTES</t>
        </is>
      </c>
      <c r="G107" s="235" t="inlineStr">
        <is>
          <t>NOVO</t>
        </is>
      </c>
      <c r="H107" s="235" t="inlineStr"/>
      <c r="I107" s="235" t="n"/>
      <c r="J107" s="235" t="n"/>
      <c r="K107" s="235" t="n"/>
      <c r="L107" s="235" t="n"/>
      <c r="M107" s="235" t="n"/>
      <c r="N107" s="235" t="inlineStr">
        <is>
          <t>NÃO</t>
        </is>
      </c>
      <c r="O107" s="235" t="inlineStr">
        <is>
          <t>NÃO</t>
        </is>
      </c>
      <c r="P107" s="235" t="inlineStr">
        <is>
          <t>N/A</t>
        </is>
      </c>
      <c r="Q107" s="235" t="inlineStr">
        <is>
          <t>ATEND. CLIENTES ATIVOS</t>
        </is>
      </c>
      <c r="R107" s="235" t="inlineStr">
        <is>
          <t>NÃO ATENDE</t>
        </is>
      </c>
      <c r="S107" s="235" t="inlineStr">
        <is>
          <t>PRIMEIRO CONTATO / SEM RESPOSTA</t>
        </is>
      </c>
      <c r="T107" s="235" t="n"/>
      <c r="U107" s="235" t="n"/>
      <c r="V107" s="235" t="n"/>
      <c r="W107" s="235" t="inlineStr">
        <is>
          <t>NÃO</t>
        </is>
      </c>
      <c r="X107" s="235" t="n"/>
    </row>
    <row r="108">
      <c r="A108" s="391" t="n">
        <v>46060</v>
      </c>
      <c r="B108" s="235" t="inlineStr">
        <is>
          <t>DAIANE STAVICKI</t>
        </is>
      </c>
      <c r="C108" s="235" t="inlineStr">
        <is>
          <t>POWER NATURAL 66</t>
        </is>
      </c>
      <c r="D108" s="235" t="inlineStr">
        <is>
          <t>69.610.415/8149-12</t>
        </is>
      </c>
      <c r="E108" s="235" t="inlineStr">
        <is>
          <t>PR</t>
        </is>
      </c>
      <c r="F108" s="235" t="inlineStr">
        <is>
          <t>FIT LAND</t>
        </is>
      </c>
      <c r="G108" s="235" t="inlineStr">
        <is>
          <t>EM RISCO</t>
        </is>
      </c>
      <c r="H108" s="235" t="n">
        <v>54</v>
      </c>
      <c r="I108" s="235" t="n"/>
      <c r="J108" s="235" t="n"/>
      <c r="K108" s="235" t="n"/>
      <c r="L108" s="235" t="n"/>
      <c r="M108" s="235" t="n"/>
      <c r="N108" s="235" t="inlineStr">
        <is>
          <t>SIM</t>
        </is>
      </c>
      <c r="O108" s="235" t="inlineStr">
        <is>
          <t>NÃO</t>
        </is>
      </c>
      <c r="P108" s="235" t="inlineStr">
        <is>
          <t>N/A</t>
        </is>
      </c>
      <c r="Q108" s="235" t="inlineStr">
        <is>
          <t>NEGOCIAÇÃO</t>
        </is>
      </c>
      <c r="R108" s="235" t="inlineStr">
        <is>
          <t>ORÇAMENTO</t>
        </is>
      </c>
      <c r="S108" s="235" t="n"/>
      <c r="T108" s="235" t="n"/>
      <c r="U108" s="235" t="n"/>
      <c r="V108" s="235" t="n"/>
      <c r="W108" s="235" t="inlineStr">
        <is>
          <t>NÃO</t>
        </is>
      </c>
      <c r="X108" s="235" t="n"/>
    </row>
    <row r="109">
      <c r="A109" s="391" t="n">
        <v>46074</v>
      </c>
      <c r="B109" s="235" t="inlineStr">
        <is>
          <t>JULIO GADRET</t>
        </is>
      </c>
      <c r="C109" s="235" t="inlineStr">
        <is>
          <t>ECO SAUDE 69</t>
        </is>
      </c>
      <c r="D109" s="235" t="inlineStr">
        <is>
          <t>11.967.210/7061-27</t>
        </is>
      </c>
      <c r="E109" s="235" t="inlineStr">
        <is>
          <t>BA</t>
        </is>
      </c>
      <c r="F109" s="235" t="inlineStr">
        <is>
          <t>DEMAIS CLIENTES</t>
        </is>
      </c>
      <c r="G109" s="235" t="inlineStr">
        <is>
          <t>INAT.ANT</t>
        </is>
      </c>
      <c r="H109" s="235" t="n">
        <v>184</v>
      </c>
      <c r="I109" s="235" t="n"/>
      <c r="J109" s="235" t="n"/>
      <c r="K109" s="235" t="n"/>
      <c r="L109" s="235" t="n"/>
      <c r="M109" s="235" t="n"/>
      <c r="N109" s="235" t="inlineStr">
        <is>
          <t>SIM</t>
        </is>
      </c>
      <c r="O109" s="235" t="inlineStr">
        <is>
          <t>SIM</t>
        </is>
      </c>
      <c r="P109" s="235" t="inlineStr">
        <is>
          <t>SIM</t>
        </is>
      </c>
      <c r="Q109" s="235" t="inlineStr">
        <is>
          <t>PROSPECÇÃO</t>
        </is>
      </c>
      <c r="R109" s="235" t="inlineStr">
        <is>
          <t>EM ATENDIMENTO</t>
        </is>
      </c>
      <c r="S109" s="235" t="n"/>
      <c r="T109" s="235" t="n"/>
      <c r="U109" s="235" t="n"/>
      <c r="V109" s="235" t="n"/>
      <c r="W109" s="235" t="inlineStr">
        <is>
          <t>SIM</t>
        </is>
      </c>
      <c r="X109" s="235" t="n"/>
    </row>
    <row r="110">
      <c r="A110" s="391" t="n">
        <v>46068</v>
      </c>
      <c r="B110" s="235" t="inlineStr">
        <is>
          <t>DAIANE STAVICKI</t>
        </is>
      </c>
      <c r="C110" s="235" t="inlineStr">
        <is>
          <t>NATUR LIFE 80</t>
        </is>
      </c>
      <c r="D110" s="235" t="inlineStr">
        <is>
          <t>97.725.221/2109-22</t>
        </is>
      </c>
      <c r="E110" s="235" t="inlineStr">
        <is>
          <t>SC</t>
        </is>
      </c>
      <c r="F110" s="235" t="inlineStr">
        <is>
          <t>DEMAIS CLIENTES</t>
        </is>
      </c>
      <c r="G110" s="235" t="inlineStr">
        <is>
          <t>ATIVO</t>
        </is>
      </c>
      <c r="H110" s="235" t="n">
        <v>28</v>
      </c>
      <c r="I110" s="235" t="n"/>
      <c r="J110" s="235" t="n"/>
      <c r="K110" s="235" t="n"/>
      <c r="L110" s="235" t="n"/>
      <c r="M110" s="235" t="n"/>
      <c r="N110" s="235" t="inlineStr">
        <is>
          <t>SIM</t>
        </is>
      </c>
      <c r="O110" s="235" t="inlineStr">
        <is>
          <t>NÃO</t>
        </is>
      </c>
      <c r="P110" s="235" t="inlineStr">
        <is>
          <t>N/A</t>
        </is>
      </c>
      <c r="Q110" s="235" t="inlineStr">
        <is>
          <t>PÓS-VENDA / RELACIONAMENTO</t>
        </is>
      </c>
      <c r="R110" s="235" t="inlineStr">
        <is>
          <t>RELACIONAMENTO</t>
        </is>
      </c>
      <c r="S110" s="235" t="n"/>
      <c r="T110" s="235" t="n"/>
      <c r="U110" s="235" t="n"/>
      <c r="V110" s="235" t="n"/>
      <c r="W110" s="235" t="inlineStr">
        <is>
          <t>SIM</t>
        </is>
      </c>
      <c r="X110" s="235" t="n"/>
    </row>
    <row r="111">
      <c r="A111" s="391" t="n">
        <v>46058</v>
      </c>
      <c r="B111" s="235" t="inlineStr">
        <is>
          <t>JULIO GADRET</t>
        </is>
      </c>
      <c r="C111" s="235" t="inlineStr">
        <is>
          <t>FEIRA VERDE 67</t>
        </is>
      </c>
      <c r="D111" s="235" t="inlineStr">
        <is>
          <t>68.252.720/8447-27</t>
        </is>
      </c>
      <c r="E111" s="235" t="inlineStr">
        <is>
          <t>SC</t>
        </is>
      </c>
      <c r="F111" s="235" t="inlineStr">
        <is>
          <t>VIDA LEVE</t>
        </is>
      </c>
      <c r="G111" s="235" t="inlineStr">
        <is>
          <t>ATIVO</t>
        </is>
      </c>
      <c r="H111" s="235" t="n">
        <v>44</v>
      </c>
      <c r="I111" s="235" t="n"/>
      <c r="J111" s="235" t="n"/>
      <c r="K111" s="235" t="n"/>
      <c r="L111" s="235" t="n"/>
      <c r="M111" s="235" t="n"/>
      <c r="N111" s="235" t="inlineStr">
        <is>
          <t>SIM</t>
        </is>
      </c>
      <c r="O111" s="235" t="inlineStr">
        <is>
          <t>NÃO</t>
        </is>
      </c>
      <c r="P111" s="235" t="inlineStr">
        <is>
          <t>N/A</t>
        </is>
      </c>
      <c r="Q111" s="235" t="inlineStr">
        <is>
          <t>ATEND. CLIENTES INATIVOS</t>
        </is>
      </c>
      <c r="R111" s="235" t="inlineStr">
        <is>
          <t>NÃO ATENDE</t>
        </is>
      </c>
      <c r="S111" s="235" t="inlineStr">
        <is>
          <t>PROBLEMA LOGÍSTICO / ENTREGA</t>
        </is>
      </c>
      <c r="T111" s="235" t="n"/>
      <c r="U111" s="235" t="n"/>
      <c r="V111" s="235" t="n"/>
      <c r="W111" s="235" t="inlineStr">
        <is>
          <t>NÃO</t>
        </is>
      </c>
      <c r="X111" s="235" t="n"/>
    </row>
    <row r="112">
      <c r="A112" s="391" t="n">
        <v>46063</v>
      </c>
      <c r="B112" s="235" t="inlineStr">
        <is>
          <t>LARISSA PADILHA</t>
        </is>
      </c>
      <c r="C112" s="235" t="inlineStr">
        <is>
          <t>EMPÓRIO NATURAL 48</t>
        </is>
      </c>
      <c r="D112" s="235" t="inlineStr">
        <is>
          <t>52.789.212/6825-84</t>
        </is>
      </c>
      <c r="E112" s="235" t="inlineStr">
        <is>
          <t>SC</t>
        </is>
      </c>
      <c r="F112" s="235" t="inlineStr">
        <is>
          <t>DEMAIS CLIENTES</t>
        </is>
      </c>
      <c r="G112" s="235" t="inlineStr">
        <is>
          <t>NOVO</t>
        </is>
      </c>
      <c r="H112" s="235" t="inlineStr"/>
      <c r="I112" s="235" t="n"/>
      <c r="J112" s="235" t="n"/>
      <c r="K112" s="235" t="n"/>
      <c r="L112" s="235" t="n"/>
      <c r="M112" s="235" t="n"/>
      <c r="N112" s="235" t="inlineStr">
        <is>
          <t>SIM</t>
        </is>
      </c>
      <c r="O112" s="235" t="inlineStr">
        <is>
          <t>NÃO</t>
        </is>
      </c>
      <c r="P112" s="235" t="inlineStr">
        <is>
          <t>N/A</t>
        </is>
      </c>
      <c r="Q112" s="235" t="inlineStr">
        <is>
          <t>ATEND. CLIENTES INATIVOS</t>
        </is>
      </c>
      <c r="R112" s="235" t="inlineStr">
        <is>
          <t>RECUSOU LIGAÇÃO</t>
        </is>
      </c>
      <c r="S112" s="235" t="inlineStr">
        <is>
          <t>PRIMEIRO CONTATO / SEM RESPOSTA</t>
        </is>
      </c>
      <c r="T112" s="235" t="n"/>
      <c r="U112" s="235" t="n"/>
      <c r="V112" s="235" t="n"/>
      <c r="W112" s="235" t="inlineStr">
        <is>
          <t>SIM</t>
        </is>
      </c>
      <c r="X112" s="235" t="n"/>
    </row>
    <row r="113">
      <c r="A113" s="391" t="n">
        <v>46061</v>
      </c>
      <c r="B113" s="235" t="inlineStr">
        <is>
          <t>JULIO GADRET</t>
        </is>
      </c>
      <c r="C113" s="235" t="inlineStr">
        <is>
          <t>VERDE ESSENCE 62</t>
        </is>
      </c>
      <c r="D113" s="235" t="inlineStr">
        <is>
          <t>31.636.744/6230-28</t>
        </is>
      </c>
      <c r="E113" s="235" t="inlineStr">
        <is>
          <t>MG</t>
        </is>
      </c>
      <c r="F113" s="235" t="inlineStr">
        <is>
          <t>BIOMUNDO</t>
        </is>
      </c>
      <c r="G113" s="235" t="inlineStr">
        <is>
          <t>INAT.REC</t>
        </is>
      </c>
      <c r="H113" s="235" t="n">
        <v>83</v>
      </c>
      <c r="I113" s="235" t="n"/>
      <c r="J113" s="235" t="n"/>
      <c r="K113" s="235" t="n"/>
      <c r="L113" s="235" t="n"/>
      <c r="M113" s="235" t="n"/>
      <c r="N113" s="235" t="inlineStr">
        <is>
          <t>SIM</t>
        </is>
      </c>
      <c r="O113" s="235" t="inlineStr">
        <is>
          <t>SIM</t>
        </is>
      </c>
      <c r="P113" s="235" t="inlineStr">
        <is>
          <t>NÃO</t>
        </is>
      </c>
      <c r="Q113" s="235" t="inlineStr">
        <is>
          <t>PROSPECÇÃO</t>
        </is>
      </c>
      <c r="R113" s="235" t="inlineStr">
        <is>
          <t>EM ATENDIMENTO</t>
        </is>
      </c>
      <c r="S113" s="235" t="n"/>
      <c r="T113" s="235" t="n"/>
      <c r="U113" s="235" t="n"/>
      <c r="V113" s="235" t="n"/>
      <c r="W113" s="235" t="inlineStr">
        <is>
          <t>SIM</t>
        </is>
      </c>
      <c r="X113" s="235" t="n"/>
    </row>
    <row r="114">
      <c r="A114" s="391" t="n">
        <v>46078</v>
      </c>
      <c r="B114" s="235" t="inlineStr">
        <is>
          <t>JULIO GADRET</t>
        </is>
      </c>
      <c r="C114" s="235" t="inlineStr">
        <is>
          <t>FEIRA VERDE 95</t>
        </is>
      </c>
      <c r="D114" s="235" t="inlineStr">
        <is>
          <t>17.822.241/8499-36</t>
        </is>
      </c>
      <c r="E114" s="235" t="inlineStr">
        <is>
          <t>SP</t>
        </is>
      </c>
      <c r="F114" s="235" t="inlineStr">
        <is>
          <t>DEMAIS CLIENTES</t>
        </is>
      </c>
      <c r="G114" s="235" t="inlineStr">
        <is>
          <t>EM RISCO</t>
        </is>
      </c>
      <c r="H114" s="235" t="n">
        <v>57</v>
      </c>
      <c r="I114" s="235" t="n"/>
      <c r="J114" s="235" t="n"/>
      <c r="K114" s="235" t="n"/>
      <c r="L114" s="235" t="n"/>
      <c r="M114" s="235" t="n"/>
      <c r="N114" s="235" t="inlineStr">
        <is>
          <t>NÃO</t>
        </is>
      </c>
      <c r="O114" s="235" t="inlineStr">
        <is>
          <t>SIM</t>
        </is>
      </c>
      <c r="P114" s="235" t="inlineStr">
        <is>
          <t>SIM</t>
        </is>
      </c>
      <c r="Q114" s="235" t="inlineStr">
        <is>
          <t>FOLLOW UP</t>
        </is>
      </c>
      <c r="R114" s="235" t="inlineStr">
        <is>
          <t>ORÇAMENTO</t>
        </is>
      </c>
      <c r="S114" s="235" t="n"/>
      <c r="T114" s="235" t="n"/>
      <c r="U114" s="235" t="n"/>
      <c r="V114" s="235" t="n"/>
      <c r="W114" s="235" t="inlineStr">
        <is>
          <t>NÃO</t>
        </is>
      </c>
      <c r="X114" s="235" t="n"/>
    </row>
    <row r="115">
      <c r="A115" s="391" t="n">
        <v>46077</v>
      </c>
      <c r="B115" s="235" t="inlineStr">
        <is>
          <t>JULIO GADRET</t>
        </is>
      </c>
      <c r="C115" s="235" t="inlineStr">
        <is>
          <t>PONTO VERDE 79</t>
        </is>
      </c>
      <c r="D115" s="235" t="inlineStr">
        <is>
          <t>71.296.352/4572-81</t>
        </is>
      </c>
      <c r="E115" s="235" t="inlineStr">
        <is>
          <t>SC</t>
        </is>
      </c>
      <c r="F115" s="235" t="inlineStr">
        <is>
          <t>DEMAIS CLIENTES</t>
        </is>
      </c>
      <c r="G115" s="235" t="inlineStr">
        <is>
          <t>PROSPECT</t>
        </is>
      </c>
      <c r="H115" s="235" t="inlineStr"/>
      <c r="I115" s="235" t="n"/>
      <c r="J115" s="235" t="n"/>
      <c r="K115" s="235" t="n"/>
      <c r="L115" s="235" t="n"/>
      <c r="M115" s="235" t="n"/>
      <c r="N115" s="235" t="inlineStr">
        <is>
          <t>SIM</t>
        </is>
      </c>
      <c r="O115" s="235" t="inlineStr">
        <is>
          <t>NÃO</t>
        </is>
      </c>
      <c r="P115" s="235" t="inlineStr">
        <is>
          <t>N/A</t>
        </is>
      </c>
      <c r="Q115" s="235" t="inlineStr">
        <is>
          <t>PÓS-VENDA / RELACIONAMENTO</t>
        </is>
      </c>
      <c r="R115" s="235" t="inlineStr">
        <is>
          <t>SUPORTE</t>
        </is>
      </c>
      <c r="S115" s="235" t="n"/>
      <c r="T115" s="235" t="n"/>
      <c r="U115" s="235" t="n"/>
      <c r="V115" s="235" t="n"/>
      <c r="W115" s="235" t="inlineStr">
        <is>
          <t>SIM</t>
        </is>
      </c>
      <c r="X115" s="235" t="n"/>
    </row>
    <row r="116">
      <c r="A116" s="391" t="n">
        <v>46071</v>
      </c>
      <c r="B116" s="235" t="inlineStr">
        <is>
          <t>DAIANE STAVICKI</t>
        </is>
      </c>
      <c r="C116" s="235" t="inlineStr">
        <is>
          <t>NATUR LIFE 37</t>
        </is>
      </c>
      <c r="D116" s="235" t="inlineStr">
        <is>
          <t>25.687.792/8900-58</t>
        </is>
      </c>
      <c r="E116" s="235" t="inlineStr">
        <is>
          <t>BA</t>
        </is>
      </c>
      <c r="F116" s="235" t="inlineStr">
        <is>
          <t>FIT LAND</t>
        </is>
      </c>
      <c r="G116" s="235" t="inlineStr">
        <is>
          <t>ATIVO</t>
        </is>
      </c>
      <c r="H116" s="235" t="n">
        <v>14</v>
      </c>
      <c r="I116" s="235" t="n"/>
      <c r="J116" s="235" t="n"/>
      <c r="K116" s="235" t="n"/>
      <c r="L116" s="235" t="n"/>
      <c r="M116" s="235" t="n"/>
      <c r="N116" s="235" t="inlineStr">
        <is>
          <t>NÃO</t>
        </is>
      </c>
      <c r="O116" s="235" t="inlineStr">
        <is>
          <t>SIM</t>
        </is>
      </c>
      <c r="P116" s="235" t="inlineStr">
        <is>
          <t>SIM</t>
        </is>
      </c>
      <c r="Q116" s="235" t="inlineStr">
        <is>
          <t>FOLLOW UP</t>
        </is>
      </c>
      <c r="R116" s="235" t="inlineStr">
        <is>
          <t>ORÇAMENTO</t>
        </is>
      </c>
      <c r="S116" s="235" t="n"/>
      <c r="T116" s="235" t="n"/>
      <c r="U116" s="235" t="n"/>
      <c r="V116" s="235" t="n"/>
      <c r="W116" s="235" t="inlineStr">
        <is>
          <t>SIM</t>
        </is>
      </c>
      <c r="X116" s="235" t="n"/>
    </row>
    <row r="117">
      <c r="A117" s="391" t="n">
        <v>46069</v>
      </c>
      <c r="B117" s="235" t="inlineStr">
        <is>
          <t>MANU DITZEL</t>
        </is>
      </c>
      <c r="C117" s="235" t="inlineStr">
        <is>
          <t>BIO FIT 35</t>
        </is>
      </c>
      <c r="D117" s="235" t="inlineStr">
        <is>
          <t>81.812.378/2250-23</t>
        </is>
      </c>
      <c r="E117" s="235" t="inlineStr">
        <is>
          <t>SP</t>
        </is>
      </c>
      <c r="F117" s="235" t="inlineStr">
        <is>
          <t>VIDA LEVE</t>
        </is>
      </c>
      <c r="G117" s="235" t="inlineStr">
        <is>
          <t>ATIVO</t>
        </is>
      </c>
      <c r="H117" s="235" t="n">
        <v>47</v>
      </c>
      <c r="I117" s="235" t="n"/>
      <c r="J117" s="235" t="n"/>
      <c r="K117" s="235" t="n"/>
      <c r="L117" s="235" t="n"/>
      <c r="M117" s="235" t="n"/>
      <c r="N117" s="235" t="inlineStr">
        <is>
          <t>SIM</t>
        </is>
      </c>
      <c r="O117" s="235" t="inlineStr">
        <is>
          <t>SIM</t>
        </is>
      </c>
      <c r="P117" s="235" t="inlineStr">
        <is>
          <t>SIM</t>
        </is>
      </c>
      <c r="Q117" s="235" t="inlineStr">
        <is>
          <t>PÓS-VENDA / RELACIONAMENTO</t>
        </is>
      </c>
      <c r="R117" s="235" t="inlineStr">
        <is>
          <t>RELACIONAMENTO</t>
        </is>
      </c>
      <c r="S117" s="235" t="n"/>
      <c r="T117" s="235" t="n"/>
      <c r="U117" s="235" t="n"/>
      <c r="V117" s="235" t="n"/>
      <c r="W117" s="235" t="inlineStr">
        <is>
          <t>SIM</t>
        </is>
      </c>
      <c r="X117" s="235" t="n"/>
    </row>
    <row r="118">
      <c r="A118" s="391" t="n">
        <v>46075</v>
      </c>
      <c r="B118" s="235" t="inlineStr">
        <is>
          <t>DAIANE STAVICKI</t>
        </is>
      </c>
      <c r="C118" s="235" t="inlineStr">
        <is>
          <t>NUTRI VIDA 71</t>
        </is>
      </c>
      <c r="D118" s="235" t="inlineStr">
        <is>
          <t>30.516.768/7794-71</t>
        </is>
      </c>
      <c r="E118" s="235" t="inlineStr">
        <is>
          <t>SP</t>
        </is>
      </c>
      <c r="F118" s="235" t="inlineStr">
        <is>
          <t>DEMAIS CLIENTES</t>
        </is>
      </c>
      <c r="G118" s="235" t="inlineStr">
        <is>
          <t>ATIVO</t>
        </is>
      </c>
      <c r="H118" s="235" t="n">
        <v>23</v>
      </c>
      <c r="I118" s="235" t="n"/>
      <c r="J118" s="235" t="n"/>
      <c r="K118" s="235" t="n"/>
      <c r="L118" s="235" t="n"/>
      <c r="M118" s="235" t="n"/>
      <c r="N118" s="235" t="inlineStr">
        <is>
          <t>SIM</t>
        </is>
      </c>
      <c r="O118" s="235" t="inlineStr">
        <is>
          <t>NÃO</t>
        </is>
      </c>
      <c r="P118" s="235" t="inlineStr">
        <is>
          <t>N/A</t>
        </is>
      </c>
      <c r="Q118" s="235" t="inlineStr">
        <is>
          <t>ATEND. CLIENTES INATIVOS</t>
        </is>
      </c>
      <c r="R118" s="235" t="inlineStr">
        <is>
          <t>FOLLOW UP 7</t>
        </is>
      </c>
      <c r="S118" s="235" t="inlineStr">
        <is>
          <t>PROBLEMA LOGÍSTICO / ENTREGA</t>
        </is>
      </c>
      <c r="T118" s="235" t="n"/>
      <c r="U118" s="235" t="n"/>
      <c r="V118" s="235" t="n"/>
      <c r="W118" s="235" t="inlineStr">
        <is>
          <t>NÃO</t>
        </is>
      </c>
      <c r="X118" s="235" t="n"/>
    </row>
    <row r="119">
      <c r="A119" s="391" t="n">
        <v>46055</v>
      </c>
      <c r="B119" s="235" t="inlineStr">
        <is>
          <t>DAIANE STAVICKI</t>
        </is>
      </c>
      <c r="C119" s="235" t="inlineStr">
        <is>
          <t>VERDE VIDA 54</t>
        </is>
      </c>
      <c r="D119" s="235" t="inlineStr">
        <is>
          <t>32.137.956/6505-73</t>
        </is>
      </c>
      <c r="E119" s="235" t="inlineStr">
        <is>
          <t>PR</t>
        </is>
      </c>
      <c r="F119" s="235" t="inlineStr">
        <is>
          <t>DEMAIS CLIENTES</t>
        </is>
      </c>
      <c r="G119" s="235" t="inlineStr">
        <is>
          <t>NOVO</t>
        </is>
      </c>
      <c r="H119" s="235" t="inlineStr"/>
      <c r="I119" s="235" t="n"/>
      <c r="J119" s="235" t="n"/>
      <c r="K119" s="235" t="n"/>
      <c r="L119" s="235" t="n"/>
      <c r="M119" s="235" t="n"/>
      <c r="N119" s="235" t="inlineStr">
        <is>
          <t>SIM</t>
        </is>
      </c>
      <c r="O119" s="235" t="inlineStr">
        <is>
          <t>NÃO</t>
        </is>
      </c>
      <c r="P119" s="235" t="inlineStr">
        <is>
          <t>N/A</t>
        </is>
      </c>
      <c r="Q119" s="235" t="inlineStr">
        <is>
          <t>FOLLOW UP</t>
        </is>
      </c>
      <c r="R119" s="235" t="inlineStr">
        <is>
          <t>EM ATENDIMENTO</t>
        </is>
      </c>
      <c r="S119" s="235" t="n"/>
      <c r="T119" s="235" t="n"/>
      <c r="U119" s="235" t="n"/>
      <c r="V119" s="235" t="n"/>
      <c r="W119" s="235" t="inlineStr">
        <is>
          <t>NÃO</t>
        </is>
      </c>
      <c r="X119" s="235" t="n"/>
    </row>
    <row r="120">
      <c r="A120" s="391" t="n">
        <v>46064</v>
      </c>
      <c r="B120" s="235" t="inlineStr">
        <is>
          <t>MANU DITZEL</t>
        </is>
      </c>
      <c r="C120" s="235" t="inlineStr">
        <is>
          <t>BIO FIT 68</t>
        </is>
      </c>
      <c r="D120" s="235" t="inlineStr">
        <is>
          <t>73.237.971/8262-69</t>
        </is>
      </c>
      <c r="E120" s="235" t="inlineStr">
        <is>
          <t>SC</t>
        </is>
      </c>
      <c r="F120" s="235" t="inlineStr">
        <is>
          <t>DEMAIS CLIENTES</t>
        </is>
      </c>
      <c r="G120" s="235" t="inlineStr">
        <is>
          <t>ATIVO</t>
        </is>
      </c>
      <c r="H120" s="235" t="n">
        <v>34</v>
      </c>
      <c r="I120" s="235" t="n"/>
      <c r="J120" s="235" t="n"/>
      <c r="K120" s="235" t="n"/>
      <c r="L120" s="235" t="n"/>
      <c r="M120" s="235" t="n"/>
      <c r="N120" s="235" t="inlineStr">
        <is>
          <t>SIM</t>
        </is>
      </c>
      <c r="O120" s="235" t="inlineStr">
        <is>
          <t>SIM</t>
        </is>
      </c>
      <c r="P120" s="235" t="inlineStr">
        <is>
          <t>SIM</t>
        </is>
      </c>
      <c r="Q120" s="235" t="inlineStr">
        <is>
          <t>ATEND. CLIENTES INATIVOS</t>
        </is>
      </c>
      <c r="R120" s="235" t="inlineStr">
        <is>
          <t>CADASTRO</t>
        </is>
      </c>
      <c r="S120" s="235" t="n"/>
      <c r="T120" s="235" t="n"/>
      <c r="U120" s="235" t="n"/>
      <c r="V120" s="235" t="n"/>
      <c r="W120" s="235" t="inlineStr">
        <is>
          <t>NÃO</t>
        </is>
      </c>
      <c r="X120" s="235" t="n"/>
    </row>
    <row r="121">
      <c r="A121" s="391" t="n">
        <v>46060</v>
      </c>
      <c r="B121" s="235" t="inlineStr">
        <is>
          <t>MANU DITZEL</t>
        </is>
      </c>
      <c r="C121" s="235" t="inlineStr">
        <is>
          <t>TUDO GRÃOS SC 55</t>
        </is>
      </c>
      <c r="D121" s="235" t="inlineStr">
        <is>
          <t>75.435.188/6568-95</t>
        </is>
      </c>
      <c r="E121" s="235" t="inlineStr">
        <is>
          <t>PR</t>
        </is>
      </c>
      <c r="F121" s="235" t="inlineStr">
        <is>
          <t>DEMAIS CLIENTES</t>
        </is>
      </c>
      <c r="G121" s="235" t="inlineStr">
        <is>
          <t>EM RISCO</t>
        </is>
      </c>
      <c r="H121" s="235" t="n">
        <v>54</v>
      </c>
      <c r="I121" s="235" t="n"/>
      <c r="J121" s="235" t="n"/>
      <c r="K121" s="235" t="n"/>
      <c r="L121" s="235" t="n"/>
      <c r="M121" s="235" t="n"/>
      <c r="N121" s="235" t="inlineStr">
        <is>
          <t>SIM</t>
        </is>
      </c>
      <c r="O121" s="235" t="inlineStr">
        <is>
          <t>SIM</t>
        </is>
      </c>
      <c r="P121" s="235" t="inlineStr">
        <is>
          <t>SIM</t>
        </is>
      </c>
      <c r="Q121" s="235" t="inlineStr">
        <is>
          <t>PROSPECÇÃO</t>
        </is>
      </c>
      <c r="R121" s="235" t="inlineStr">
        <is>
          <t>CADASTRO</t>
        </is>
      </c>
      <c r="S121" s="235" t="n"/>
      <c r="T121" s="235" t="n"/>
      <c r="U121" s="235" t="n"/>
      <c r="V121" s="235" t="n"/>
      <c r="W121" s="235" t="inlineStr">
        <is>
          <t>SIM</t>
        </is>
      </c>
      <c r="X121" s="235" t="n"/>
    </row>
    <row r="122">
      <c r="A122" s="391" t="n">
        <v>46072</v>
      </c>
      <c r="B122" s="235" t="inlineStr">
        <is>
          <t>MANU DITZEL</t>
        </is>
      </c>
      <c r="C122" s="235" t="inlineStr">
        <is>
          <t>GRANEL &amp; CIA 89</t>
        </is>
      </c>
      <c r="D122" s="235" t="inlineStr">
        <is>
          <t>40.163.783/1937-69</t>
        </is>
      </c>
      <c r="E122" s="235" t="inlineStr">
        <is>
          <t>SC</t>
        </is>
      </c>
      <c r="F122" s="235" t="inlineStr">
        <is>
          <t>FIT LAND</t>
        </is>
      </c>
      <c r="G122" s="235" t="inlineStr">
        <is>
          <t>INAT.REC</t>
        </is>
      </c>
      <c r="H122" s="235" t="n">
        <v>89</v>
      </c>
      <c r="I122" s="235" t="n"/>
      <c r="J122" s="235" t="n"/>
      <c r="K122" s="235" t="n"/>
      <c r="L122" s="235" t="n"/>
      <c r="M122" s="235" t="n"/>
      <c r="N122" s="235" t="inlineStr">
        <is>
          <t>SIM</t>
        </is>
      </c>
      <c r="O122" s="235" t="inlineStr">
        <is>
          <t>NÃO</t>
        </is>
      </c>
      <c r="P122" s="235" t="inlineStr">
        <is>
          <t>N/A</t>
        </is>
      </c>
      <c r="Q122" s="235" t="inlineStr">
        <is>
          <t>PÓS-VENDA / RELACIONAMENTO</t>
        </is>
      </c>
      <c r="R122" s="235" t="inlineStr">
        <is>
          <t>VENDA / PEDIDO</t>
        </is>
      </c>
      <c r="S122" s="235" t="n"/>
      <c r="T122" s="235" t="n"/>
      <c r="U122" s="235" t="n"/>
      <c r="V122" s="235" t="n"/>
      <c r="W122" s="235" t="inlineStr">
        <is>
          <t>NÃO</t>
        </is>
      </c>
      <c r="X122" s="235" t="n"/>
    </row>
    <row r="123">
      <c r="A123" s="391" t="n">
        <v>46065</v>
      </c>
      <c r="B123" s="235" t="inlineStr">
        <is>
          <t>JULIO GADRET</t>
        </is>
      </c>
      <c r="C123" s="235" t="inlineStr">
        <is>
          <t>FITLAND PR 18</t>
        </is>
      </c>
      <c r="D123" s="235" t="inlineStr">
        <is>
          <t>71.256.565/9925-57</t>
        </is>
      </c>
      <c r="E123" s="235" t="inlineStr">
        <is>
          <t>RS</t>
        </is>
      </c>
      <c r="F123" s="235" t="inlineStr">
        <is>
          <t>VIDA LEVE</t>
        </is>
      </c>
      <c r="G123" s="235" t="inlineStr">
        <is>
          <t>EM RISCO</t>
        </is>
      </c>
      <c r="H123" s="235" t="n">
        <v>59</v>
      </c>
      <c r="I123" s="235" t="n"/>
      <c r="J123" s="235" t="n"/>
      <c r="K123" s="235" t="n"/>
      <c r="L123" s="235" t="n"/>
      <c r="M123" s="235" t="n"/>
      <c r="N123" s="235" t="inlineStr">
        <is>
          <t>NÃO</t>
        </is>
      </c>
      <c r="O123" s="235" t="inlineStr">
        <is>
          <t>NÃO</t>
        </is>
      </c>
      <c r="P123" s="235" t="inlineStr">
        <is>
          <t>N/A</t>
        </is>
      </c>
      <c r="Q123" s="235" t="inlineStr">
        <is>
          <t>PÓS-VENDA / RELACIONAMENTO</t>
        </is>
      </c>
      <c r="R123" s="235" t="inlineStr">
        <is>
          <t>VENDA / PEDIDO</t>
        </is>
      </c>
      <c r="S123" s="235" t="n"/>
      <c r="T123" s="235" t="n"/>
      <c r="U123" s="235" t="n"/>
      <c r="V123" s="235" t="n"/>
      <c r="W123" s="235" t="inlineStr">
        <is>
          <t>SIM</t>
        </is>
      </c>
      <c r="X123" s="235" t="n"/>
    </row>
    <row r="124">
      <c r="A124" s="391" t="n">
        <v>46079</v>
      </c>
      <c r="B124" s="235" t="inlineStr">
        <is>
          <t>MANU DITZEL</t>
        </is>
      </c>
      <c r="C124" s="235" t="inlineStr">
        <is>
          <t>EMPÓRIO BIO 68</t>
        </is>
      </c>
      <c r="D124" s="235" t="inlineStr">
        <is>
          <t>56.179.677/1839-17</t>
        </is>
      </c>
      <c r="E124" s="235" t="inlineStr">
        <is>
          <t>MG</t>
        </is>
      </c>
      <c r="F124" s="235" t="inlineStr">
        <is>
          <t>DEMAIS CLIENTES</t>
        </is>
      </c>
      <c r="G124" s="235" t="inlineStr">
        <is>
          <t>ATIVO</t>
        </is>
      </c>
      <c r="H124" s="235" t="n">
        <v>39</v>
      </c>
      <c r="I124" s="235" t="n"/>
      <c r="J124" s="235" t="n"/>
      <c r="K124" s="235" t="n"/>
      <c r="L124" s="235" t="n"/>
      <c r="M124" s="235" t="n"/>
      <c r="N124" s="235" t="inlineStr">
        <is>
          <t>SIM</t>
        </is>
      </c>
      <c r="O124" s="235" t="inlineStr">
        <is>
          <t>SIM</t>
        </is>
      </c>
      <c r="P124" s="235" t="inlineStr">
        <is>
          <t>SIM</t>
        </is>
      </c>
      <c r="Q124" s="235" t="inlineStr">
        <is>
          <t>PROSPECÇÃO</t>
        </is>
      </c>
      <c r="R124" s="235" t="inlineStr">
        <is>
          <t>ORÇAMENTO</t>
        </is>
      </c>
      <c r="S124" s="235" t="n"/>
      <c r="T124" s="235" t="n"/>
      <c r="U124" s="235" t="n"/>
      <c r="V124" s="235" t="n"/>
      <c r="W124" s="235" t="inlineStr">
        <is>
          <t>SIM</t>
        </is>
      </c>
      <c r="X124" s="235" t="n"/>
    </row>
    <row r="125">
      <c r="A125" s="391" t="n">
        <v>46056</v>
      </c>
      <c r="B125" s="235" t="inlineStr">
        <is>
          <t>DAIANE STAVICKI</t>
        </is>
      </c>
      <c r="C125" s="235" t="inlineStr">
        <is>
          <t>EMPÓRIO BIO 08</t>
        </is>
      </c>
      <c r="D125" s="235" t="inlineStr">
        <is>
          <t>68.235.625/6807-68</t>
        </is>
      </c>
      <c r="E125" s="235" t="inlineStr">
        <is>
          <t>SP</t>
        </is>
      </c>
      <c r="F125" s="235" t="inlineStr">
        <is>
          <t>VIDA LEVE</t>
        </is>
      </c>
      <c r="G125" s="235" t="inlineStr">
        <is>
          <t>INAT.ANT</t>
        </is>
      </c>
      <c r="H125" s="235" t="n">
        <v>169</v>
      </c>
      <c r="I125" s="235" t="n"/>
      <c r="J125" s="235" t="n"/>
      <c r="K125" s="235" t="n"/>
      <c r="L125" s="235" t="n"/>
      <c r="M125" s="235" t="n"/>
      <c r="N125" s="235" t="inlineStr">
        <is>
          <t>NÃO</t>
        </is>
      </c>
      <c r="O125" s="235" t="inlineStr">
        <is>
          <t>NÃO</t>
        </is>
      </c>
      <c r="P125" s="235" t="inlineStr">
        <is>
          <t>N/A</t>
        </is>
      </c>
      <c r="Q125" s="235" t="inlineStr">
        <is>
          <t>ATEND. CLIENTES INATIVOS</t>
        </is>
      </c>
      <c r="R125" s="235" t="inlineStr">
        <is>
          <t>NÃO RESPONDE</t>
        </is>
      </c>
      <c r="S125" s="235" t="inlineStr">
        <is>
          <t>PROBLEMA LOGÍSTICO / ENTREGA</t>
        </is>
      </c>
      <c r="T125" s="235" t="n"/>
      <c r="U125" s="235" t="n"/>
      <c r="V125" s="235" t="n"/>
      <c r="W125" s="235" t="inlineStr">
        <is>
          <t>SIM</t>
        </is>
      </c>
      <c r="X125" s="235" t="n"/>
    </row>
    <row r="126">
      <c r="A126" s="391" t="n">
        <v>46065</v>
      </c>
      <c r="B126" s="235" t="inlineStr">
        <is>
          <t>JULIO GADRET</t>
        </is>
      </c>
      <c r="C126" s="235" t="inlineStr">
        <is>
          <t>BIO FIT 08</t>
        </is>
      </c>
      <c r="D126" s="235" t="inlineStr">
        <is>
          <t>18.583.132/4704-62</t>
        </is>
      </c>
      <c r="E126" s="235" t="inlineStr">
        <is>
          <t>PR</t>
        </is>
      </c>
      <c r="F126" s="235" t="inlineStr">
        <is>
          <t>MUNDO VERDE</t>
        </is>
      </c>
      <c r="G126" s="235" t="inlineStr">
        <is>
          <t>INAT.ANT</t>
        </is>
      </c>
      <c r="H126" s="235" t="n">
        <v>277</v>
      </c>
      <c r="I126" s="235" t="n"/>
      <c r="J126" s="235" t="n"/>
      <c r="K126" s="235" t="n"/>
      <c r="L126" s="235" t="n"/>
      <c r="M126" s="235" t="n"/>
      <c r="N126" s="235" t="inlineStr">
        <is>
          <t>NÃO</t>
        </is>
      </c>
      <c r="O126" s="235" t="inlineStr">
        <is>
          <t>SIM</t>
        </is>
      </c>
      <c r="P126" s="235" t="inlineStr">
        <is>
          <t>NÃO</t>
        </is>
      </c>
      <c r="Q126" s="235" t="inlineStr">
        <is>
          <t>ATEND. CLIENTES INATIVOS</t>
        </is>
      </c>
      <c r="R126" s="235" t="inlineStr">
        <is>
          <t>NÃO RESPONDE</t>
        </is>
      </c>
      <c r="S126" s="235" t="inlineStr">
        <is>
          <t>SEM INTERESSE NO MOMENTO</t>
        </is>
      </c>
      <c r="T126" s="235" t="n"/>
      <c r="U126" s="235" t="n"/>
      <c r="V126" s="235" t="n"/>
      <c r="W126" s="235" t="inlineStr">
        <is>
          <t>SIM</t>
        </is>
      </c>
      <c r="X126" s="235" t="n"/>
    </row>
    <row r="127">
      <c r="A127" s="391" t="n">
        <v>46075</v>
      </c>
      <c r="B127" s="235" t="inlineStr">
        <is>
          <t>DAIANE STAVICKI</t>
        </is>
      </c>
      <c r="C127" s="235" t="inlineStr">
        <is>
          <t>BIO FIT 18</t>
        </is>
      </c>
      <c r="D127" s="235" t="inlineStr">
        <is>
          <t>93.980.456/1944-32</t>
        </is>
      </c>
      <c r="E127" s="235" t="inlineStr">
        <is>
          <t>CE</t>
        </is>
      </c>
      <c r="F127" s="235" t="inlineStr">
        <is>
          <t>FIT LAND</t>
        </is>
      </c>
      <c r="G127" s="235" t="inlineStr">
        <is>
          <t>ATIVO</t>
        </is>
      </c>
      <c r="H127" s="235" t="n">
        <v>19</v>
      </c>
      <c r="I127" s="235" t="n"/>
      <c r="J127" s="235" t="n"/>
      <c r="K127" s="235" t="n"/>
      <c r="L127" s="235" t="n"/>
      <c r="M127" s="235" t="n"/>
      <c r="N127" s="235" t="inlineStr">
        <is>
          <t>NÃO</t>
        </is>
      </c>
      <c r="O127" s="235" t="inlineStr">
        <is>
          <t>NÃO</t>
        </is>
      </c>
      <c r="P127" s="235" t="inlineStr">
        <is>
          <t>N/A</t>
        </is>
      </c>
      <c r="Q127" s="235" t="inlineStr">
        <is>
          <t>PÓS-VENDA / RELACIONAMENTO</t>
        </is>
      </c>
      <c r="R127" s="235" t="inlineStr">
        <is>
          <t>VENDA / PEDIDO</t>
        </is>
      </c>
      <c r="S127" s="235" t="n"/>
      <c r="T127" s="235" t="n"/>
      <c r="U127" s="235" t="n"/>
      <c r="V127" s="235" t="n"/>
      <c r="W127" s="235" t="inlineStr">
        <is>
          <t>NÃO</t>
        </is>
      </c>
      <c r="X127" s="235" t="n"/>
    </row>
    <row r="128">
      <c r="A128" s="391" t="n">
        <v>46067</v>
      </c>
      <c r="B128" s="235" t="inlineStr">
        <is>
          <t>LARISSA PADILHA</t>
        </is>
      </c>
      <c r="C128" s="235" t="inlineStr">
        <is>
          <t>FITLAND PR 32</t>
        </is>
      </c>
      <c r="D128" s="235" t="inlineStr">
        <is>
          <t>68.454.258/4517-34</t>
        </is>
      </c>
      <c r="E128" s="235" t="inlineStr">
        <is>
          <t>GO</t>
        </is>
      </c>
      <c r="F128" s="235" t="inlineStr">
        <is>
          <t>DEMAIS CLIENTES</t>
        </is>
      </c>
      <c r="G128" s="235" t="inlineStr">
        <is>
          <t>ATIVO</t>
        </is>
      </c>
      <c r="H128" s="235" t="n">
        <v>47</v>
      </c>
      <c r="I128" s="235" t="n"/>
      <c r="J128" s="235" t="n"/>
      <c r="K128" s="235" t="n"/>
      <c r="L128" s="235" t="n"/>
      <c r="M128" s="235" t="n"/>
      <c r="N128" s="235" t="inlineStr">
        <is>
          <t>NÃO</t>
        </is>
      </c>
      <c r="O128" s="235" t="inlineStr">
        <is>
          <t>SIM</t>
        </is>
      </c>
      <c r="P128" s="235" t="inlineStr">
        <is>
          <t>SIM</t>
        </is>
      </c>
      <c r="Q128" s="235" t="inlineStr">
        <is>
          <t>ATEND. CLIENTES ATIVOS</t>
        </is>
      </c>
      <c r="R128" s="235" t="inlineStr">
        <is>
          <t>SUPORTE</t>
        </is>
      </c>
      <c r="S128" s="235" t="n"/>
      <c r="T128" s="235" t="n"/>
      <c r="U128" s="235" t="n"/>
      <c r="V128" s="235" t="n"/>
      <c r="W128" s="235" t="inlineStr">
        <is>
          <t>SIM</t>
        </is>
      </c>
      <c r="X128" s="235" t="n"/>
    </row>
    <row r="129">
      <c r="A129" s="391" t="n">
        <v>46055</v>
      </c>
      <c r="B129" s="235" t="inlineStr">
        <is>
          <t>LARISSA PADILHA</t>
        </is>
      </c>
      <c r="C129" s="235" t="inlineStr">
        <is>
          <t>BIOMUNDO CTB 32</t>
        </is>
      </c>
      <c r="D129" s="235" t="inlineStr">
        <is>
          <t>15.511.549/3840-79</t>
        </is>
      </c>
      <c r="E129" s="235" t="inlineStr">
        <is>
          <t>PR</t>
        </is>
      </c>
      <c r="F129" s="235" t="inlineStr">
        <is>
          <t>DEMAIS CLIENTES</t>
        </is>
      </c>
      <c r="G129" s="235" t="inlineStr">
        <is>
          <t>ATIVO</t>
        </is>
      </c>
      <c r="H129" s="235" t="n">
        <v>37</v>
      </c>
      <c r="I129" s="235" t="n"/>
      <c r="J129" s="235" t="n"/>
      <c r="K129" s="235" t="n"/>
      <c r="L129" s="235" t="n"/>
      <c r="M129" s="235" t="n"/>
      <c r="N129" s="235" t="inlineStr">
        <is>
          <t>NÃO</t>
        </is>
      </c>
      <c r="O129" s="235" t="inlineStr">
        <is>
          <t>NÃO</t>
        </is>
      </c>
      <c r="P129" s="235" t="inlineStr">
        <is>
          <t>N/A</t>
        </is>
      </c>
      <c r="Q129" s="235" t="inlineStr">
        <is>
          <t>PERDA / NUTRIÇÃO</t>
        </is>
      </c>
      <c r="R129" s="235" t="inlineStr">
        <is>
          <t>PERDA / FECHOU LOJA</t>
        </is>
      </c>
      <c r="S129" s="235" t="inlineStr">
        <is>
          <t>PROBLEMA LOGÍSTICO / ENTREGA</t>
        </is>
      </c>
      <c r="T129" s="235" t="n"/>
      <c r="U129" s="235" t="n"/>
      <c r="V129" s="235" t="n"/>
      <c r="W129" s="235" t="inlineStr">
        <is>
          <t>NÃO</t>
        </is>
      </c>
      <c r="X129" s="235" t="n"/>
    </row>
    <row r="130">
      <c r="A130" s="391" t="n">
        <v>46080</v>
      </c>
      <c r="B130" s="235" t="inlineStr">
        <is>
          <t>MANU DITZEL</t>
        </is>
      </c>
      <c r="C130" s="235" t="inlineStr">
        <is>
          <t>EMPÓRIO DO CAMPO 19</t>
        </is>
      </c>
      <c r="D130" s="235" t="inlineStr">
        <is>
          <t>94.633.326/6776-48</t>
        </is>
      </c>
      <c r="E130" s="235" t="inlineStr">
        <is>
          <t>SC</t>
        </is>
      </c>
      <c r="F130" s="235" t="inlineStr">
        <is>
          <t>VIDA LEVE</t>
        </is>
      </c>
      <c r="G130" s="235" t="inlineStr">
        <is>
          <t>INAT.REC</t>
        </is>
      </c>
      <c r="H130" s="235" t="n">
        <v>84</v>
      </c>
      <c r="I130" s="235" t="n"/>
      <c r="J130" s="235" t="n"/>
      <c r="K130" s="235" t="n"/>
      <c r="L130" s="235" t="n"/>
      <c r="M130" s="235" t="n"/>
      <c r="N130" s="235" t="inlineStr">
        <is>
          <t>SIM</t>
        </is>
      </c>
      <c r="O130" s="235" t="inlineStr">
        <is>
          <t>NÃO</t>
        </is>
      </c>
      <c r="P130" s="235" t="inlineStr">
        <is>
          <t>N/A</t>
        </is>
      </c>
      <c r="Q130" s="235" t="inlineStr">
        <is>
          <t>PÓS-VENDA / RELACIONAMENTO</t>
        </is>
      </c>
      <c r="R130" s="235" t="inlineStr">
        <is>
          <t>SUPORTE</t>
        </is>
      </c>
      <c r="S130" s="235" t="n"/>
      <c r="T130" s="235" t="n"/>
      <c r="U130" s="235" t="n"/>
      <c r="V130" s="235" t="n"/>
      <c r="W130" s="235" t="inlineStr">
        <is>
          <t>NÃO</t>
        </is>
      </c>
      <c r="X130" s="235" t="n"/>
    </row>
    <row r="131">
      <c r="A131" s="391" t="n">
        <v>46074</v>
      </c>
      <c r="B131" s="235" t="inlineStr">
        <is>
          <t>JULIO GADRET</t>
        </is>
      </c>
      <c r="C131" s="235" t="inlineStr">
        <is>
          <t>LOJA NATURAL 41</t>
        </is>
      </c>
      <c r="D131" s="235" t="inlineStr">
        <is>
          <t>99.526.518/2445-48</t>
        </is>
      </c>
      <c r="E131" s="235" t="inlineStr">
        <is>
          <t>SC</t>
        </is>
      </c>
      <c r="F131" s="235" t="inlineStr">
        <is>
          <t>DEMAIS CLIENTES</t>
        </is>
      </c>
      <c r="G131" s="235" t="inlineStr">
        <is>
          <t>EM RISCO</t>
        </is>
      </c>
      <c r="H131" s="235" t="n">
        <v>54</v>
      </c>
      <c r="I131" s="235" t="n"/>
      <c r="J131" s="235" t="n"/>
      <c r="K131" s="235" t="n"/>
      <c r="L131" s="235" t="n"/>
      <c r="M131" s="235" t="n"/>
      <c r="N131" s="235" t="inlineStr">
        <is>
          <t>NÃO</t>
        </is>
      </c>
      <c r="O131" s="235" t="inlineStr">
        <is>
          <t>NÃO</t>
        </is>
      </c>
      <c r="P131" s="235" t="inlineStr">
        <is>
          <t>N/A</t>
        </is>
      </c>
      <c r="Q131" s="235" t="inlineStr">
        <is>
          <t>FOLLOW UP</t>
        </is>
      </c>
      <c r="R131" s="235" t="inlineStr">
        <is>
          <t>NÃO ATENDE</t>
        </is>
      </c>
      <c r="S131" s="235" t="inlineStr">
        <is>
          <t>PROBLEMA LOGÍSTICO / ENTREGA</t>
        </is>
      </c>
      <c r="T131" s="235" t="n"/>
      <c r="U131" s="235" t="n"/>
      <c r="V131" s="235" t="n"/>
      <c r="W131" s="235" t="inlineStr">
        <is>
          <t>NÃO</t>
        </is>
      </c>
      <c r="X131" s="235" t="n"/>
    </row>
    <row r="132">
      <c r="A132" s="391" t="n">
        <v>46071</v>
      </c>
      <c r="B132" s="235" t="inlineStr">
        <is>
          <t>LARISSA PADILHA</t>
        </is>
      </c>
      <c r="C132" s="235" t="inlineStr">
        <is>
          <t>VIDA LEVE PR 32</t>
        </is>
      </c>
      <c r="D132" s="235" t="inlineStr">
        <is>
          <t>42.308.438/1296-67</t>
        </is>
      </c>
      <c r="E132" s="235" t="inlineStr">
        <is>
          <t>MG</t>
        </is>
      </c>
      <c r="F132" s="235" t="inlineStr">
        <is>
          <t>MUNDO VERDE</t>
        </is>
      </c>
      <c r="G132" s="235" t="inlineStr">
        <is>
          <t>INAT.ANT</t>
        </is>
      </c>
      <c r="H132" s="235" t="n">
        <v>139</v>
      </c>
      <c r="I132" s="235" t="n"/>
      <c r="J132" s="235" t="n"/>
      <c r="K132" s="235" t="n"/>
      <c r="L132" s="235" t="n"/>
      <c r="M132" s="235" t="n"/>
      <c r="N132" s="235" t="inlineStr">
        <is>
          <t>SIM</t>
        </is>
      </c>
      <c r="O132" s="235" t="inlineStr">
        <is>
          <t>SIM</t>
        </is>
      </c>
      <c r="P132" s="235" t="inlineStr">
        <is>
          <t>SIM</t>
        </is>
      </c>
      <c r="Q132" s="235" t="inlineStr">
        <is>
          <t>PROSPECÇÃO</t>
        </is>
      </c>
      <c r="R132" s="235" t="inlineStr">
        <is>
          <t>CADASTRO</t>
        </is>
      </c>
      <c r="S132" s="235" t="n"/>
      <c r="T132" s="235" t="n"/>
      <c r="U132" s="235" t="n"/>
      <c r="V132" s="235" t="n"/>
      <c r="W132" s="235" t="inlineStr">
        <is>
          <t>NÃO</t>
        </is>
      </c>
      <c r="X132" s="235" t="n"/>
    </row>
    <row r="133">
      <c r="A133" s="391" t="n">
        <v>46072</v>
      </c>
      <c r="B133" s="235" t="inlineStr">
        <is>
          <t>JULIO GADRET</t>
        </is>
      </c>
      <c r="C133" s="235" t="inlineStr">
        <is>
          <t>ESSENCE FOOD 28</t>
        </is>
      </c>
      <c r="D133" s="235" t="inlineStr">
        <is>
          <t>71.313.990/5456-48</t>
        </is>
      </c>
      <c r="E133" s="235" t="inlineStr">
        <is>
          <t>DF</t>
        </is>
      </c>
      <c r="F133" s="235" t="inlineStr">
        <is>
          <t>MUNDO VERDE</t>
        </is>
      </c>
      <c r="G133" s="235" t="inlineStr">
        <is>
          <t>PROSPECT</t>
        </is>
      </c>
      <c r="H133" s="235" t="inlineStr"/>
      <c r="I133" s="235" t="n"/>
      <c r="J133" s="235" t="n"/>
      <c r="K133" s="235" t="n"/>
      <c r="L133" s="235" t="n"/>
      <c r="M133" s="235" t="n"/>
      <c r="N133" s="235" t="inlineStr">
        <is>
          <t>NÃO</t>
        </is>
      </c>
      <c r="O133" s="235" t="inlineStr">
        <is>
          <t>NÃO</t>
        </is>
      </c>
      <c r="P133" s="235" t="inlineStr">
        <is>
          <t>N/A</t>
        </is>
      </c>
      <c r="Q133" s="235" t="inlineStr">
        <is>
          <t>PERDA / NUTRIÇÃO</t>
        </is>
      </c>
      <c r="R133" s="235" t="inlineStr">
        <is>
          <t>PERDA / FECHOU LOJA</t>
        </is>
      </c>
      <c r="S133" s="235" t="inlineStr">
        <is>
          <t>AINDA TEM ESTOQUE</t>
        </is>
      </c>
      <c r="T133" s="235" t="n"/>
      <c r="U133" s="235" t="n"/>
      <c r="V133" s="235" t="n"/>
      <c r="W133" s="235" t="inlineStr">
        <is>
          <t>SIM</t>
        </is>
      </c>
      <c r="X133" s="235" t="n"/>
    </row>
    <row r="134">
      <c r="A134" s="391" t="n">
        <v>46060</v>
      </c>
      <c r="B134" s="235" t="inlineStr">
        <is>
          <t>LARISSA PADILHA</t>
        </is>
      </c>
      <c r="C134" s="235" t="inlineStr">
        <is>
          <t>ARMAZEM FIT 71</t>
        </is>
      </c>
      <c r="D134" s="235" t="inlineStr">
        <is>
          <t>51.894.389/6237-69</t>
        </is>
      </c>
      <c r="E134" s="235" t="inlineStr">
        <is>
          <t>RS</t>
        </is>
      </c>
      <c r="F134" s="235" t="inlineStr">
        <is>
          <t>CIA DA SAUDE</t>
        </is>
      </c>
      <c r="G134" s="235" t="inlineStr">
        <is>
          <t>ATIVO</t>
        </is>
      </c>
      <c r="H134" s="235" t="n">
        <v>37</v>
      </c>
      <c r="I134" s="235" t="n"/>
      <c r="J134" s="235" t="n"/>
      <c r="K134" s="235" t="n"/>
      <c r="L134" s="235" t="n"/>
      <c r="M134" s="235" t="n"/>
      <c r="N134" s="235" t="inlineStr">
        <is>
          <t>NÃO</t>
        </is>
      </c>
      <c r="O134" s="235" t="inlineStr">
        <is>
          <t>NÃO</t>
        </is>
      </c>
      <c r="P134" s="235" t="inlineStr">
        <is>
          <t>N/A</t>
        </is>
      </c>
      <c r="Q134" s="235" t="inlineStr">
        <is>
          <t>PÓS-VENDA / RELACIONAMENTO</t>
        </is>
      </c>
      <c r="R134" s="235" t="inlineStr">
        <is>
          <t>FOLLOW UP 15</t>
        </is>
      </c>
      <c r="S134" s="235" t="inlineStr">
        <is>
          <t>PROPRIETARIO / INDISPONÍVEL</t>
        </is>
      </c>
      <c r="T134" s="235" t="n"/>
      <c r="U134" s="235" t="n"/>
      <c r="V134" s="235" t="n"/>
      <c r="W134" s="235" t="inlineStr">
        <is>
          <t>SIM</t>
        </is>
      </c>
      <c r="X134" s="235" t="n"/>
    </row>
    <row r="135">
      <c r="A135" s="391" t="n">
        <v>46060</v>
      </c>
      <c r="B135" s="235" t="inlineStr">
        <is>
          <t>LARISSA PADILHA</t>
        </is>
      </c>
      <c r="C135" s="235" t="inlineStr">
        <is>
          <t>NUTRI SHOP 06</t>
        </is>
      </c>
      <c r="D135" s="235" t="inlineStr">
        <is>
          <t>82.984.326/2391-12</t>
        </is>
      </c>
      <c r="E135" s="235" t="inlineStr">
        <is>
          <t>SC</t>
        </is>
      </c>
      <c r="F135" s="235" t="inlineStr">
        <is>
          <t>DEMAIS CLIENTES</t>
        </is>
      </c>
      <c r="G135" s="235" t="inlineStr">
        <is>
          <t>INAT.REC</t>
        </is>
      </c>
      <c r="H135" s="235" t="n">
        <v>74</v>
      </c>
      <c r="I135" s="235" t="n"/>
      <c r="J135" s="235" t="n"/>
      <c r="K135" s="235" t="n"/>
      <c r="L135" s="235" t="n"/>
      <c r="M135" s="235" t="n"/>
      <c r="N135" s="235" t="inlineStr">
        <is>
          <t>SIM</t>
        </is>
      </c>
      <c r="O135" s="235" t="inlineStr">
        <is>
          <t>NÃO</t>
        </is>
      </c>
      <c r="P135" s="235" t="inlineStr">
        <is>
          <t>N/A</t>
        </is>
      </c>
      <c r="Q135" s="235" t="inlineStr">
        <is>
          <t>FOLLOW UP</t>
        </is>
      </c>
      <c r="R135" s="235" t="inlineStr">
        <is>
          <t>ORÇAMENTO</t>
        </is>
      </c>
      <c r="S135" s="235" t="n"/>
      <c r="T135" s="235" t="n"/>
      <c r="U135" s="235" t="n"/>
      <c r="V135" s="235" t="n"/>
      <c r="W135" s="235" t="inlineStr">
        <is>
          <t>SIM</t>
        </is>
      </c>
      <c r="X135" s="235" t="n"/>
    </row>
    <row r="136">
      <c r="A136" s="391" t="n">
        <v>46071</v>
      </c>
      <c r="B136" s="235" t="inlineStr">
        <is>
          <t>JULIO GADRET</t>
        </is>
      </c>
      <c r="C136" s="235" t="inlineStr">
        <is>
          <t>SAUDE TOTAL 33</t>
        </is>
      </c>
      <c r="D136" s="235" t="inlineStr">
        <is>
          <t>72.840.757/8038-68</t>
        </is>
      </c>
      <c r="E136" s="235" t="inlineStr">
        <is>
          <t>PR</t>
        </is>
      </c>
      <c r="F136" s="235" t="inlineStr">
        <is>
          <t>DEMAIS CLIENTES</t>
        </is>
      </c>
      <c r="G136" s="235" t="inlineStr">
        <is>
          <t>ATIVO</t>
        </is>
      </c>
      <c r="H136" s="235" t="n">
        <v>39</v>
      </c>
      <c r="I136" s="235" t="n"/>
      <c r="J136" s="235" t="n"/>
      <c r="K136" s="235" t="n"/>
      <c r="L136" s="235" t="n"/>
      <c r="M136" s="235" t="n"/>
      <c r="N136" s="235" t="inlineStr">
        <is>
          <t>SIM</t>
        </is>
      </c>
      <c r="O136" s="235" t="inlineStr">
        <is>
          <t>NÃO</t>
        </is>
      </c>
      <c r="P136" s="235" t="inlineStr">
        <is>
          <t>N/A</t>
        </is>
      </c>
      <c r="Q136" s="235" t="inlineStr">
        <is>
          <t>ATEND. CLIENTES ATIVOS</t>
        </is>
      </c>
      <c r="R136" s="235" t="inlineStr">
        <is>
          <t>EM ATENDIMENTO</t>
        </is>
      </c>
      <c r="S136" s="235" t="n"/>
      <c r="T136" s="235" t="n"/>
      <c r="U136" s="235" t="n"/>
      <c r="V136" s="235" t="n"/>
      <c r="W136" s="235" t="inlineStr">
        <is>
          <t>SIM</t>
        </is>
      </c>
      <c r="X136" s="235" t="n"/>
    </row>
    <row r="137">
      <c r="A137" s="391" t="n">
        <v>46055</v>
      </c>
      <c r="B137" s="235" t="inlineStr">
        <is>
          <t>DAIANE STAVICKI</t>
        </is>
      </c>
      <c r="C137" s="235" t="inlineStr">
        <is>
          <t>VIDA SAUDÁVEL 86</t>
        </is>
      </c>
      <c r="D137" s="235" t="inlineStr">
        <is>
          <t>16.882.106/6757-27</t>
        </is>
      </c>
      <c r="E137" s="235" t="inlineStr">
        <is>
          <t>MG</t>
        </is>
      </c>
      <c r="F137" s="235" t="inlineStr">
        <is>
          <t>BIOMUNDO</t>
        </is>
      </c>
      <c r="G137" s="235" t="inlineStr">
        <is>
          <t>INAT.ANT</t>
        </is>
      </c>
      <c r="H137" s="235" t="n">
        <v>93</v>
      </c>
      <c r="I137" s="235" t="n"/>
      <c r="J137" s="235" t="n"/>
      <c r="K137" s="235" t="n"/>
      <c r="L137" s="235" t="n"/>
      <c r="M137" s="235" t="n"/>
      <c r="N137" s="235" t="inlineStr">
        <is>
          <t>SIM</t>
        </is>
      </c>
      <c r="O137" s="235" t="inlineStr">
        <is>
          <t>NÃO</t>
        </is>
      </c>
      <c r="P137" s="235" t="inlineStr">
        <is>
          <t>N/A</t>
        </is>
      </c>
      <c r="Q137" s="235" t="inlineStr">
        <is>
          <t>NEGOCIAÇÃO</t>
        </is>
      </c>
      <c r="R137" s="235" t="inlineStr">
        <is>
          <t>CADASTRO</t>
        </is>
      </c>
      <c r="S137" s="235" t="n"/>
      <c r="T137" s="235" t="n"/>
      <c r="U137" s="235" t="n"/>
      <c r="V137" s="235" t="n"/>
      <c r="W137" s="235" t="inlineStr">
        <is>
          <t>NÃO</t>
        </is>
      </c>
      <c r="X137" s="235" t="n"/>
    </row>
    <row r="138">
      <c r="A138" s="391" t="n">
        <v>46069</v>
      </c>
      <c r="B138" s="235" t="inlineStr">
        <is>
          <t>JULIO GADRET</t>
        </is>
      </c>
      <c r="C138" s="235" t="inlineStr">
        <is>
          <t>EMPÓRIO NATURAL 01</t>
        </is>
      </c>
      <c r="D138" s="235" t="inlineStr">
        <is>
          <t>78.664.521/0195-12</t>
        </is>
      </c>
      <c r="E138" s="235" t="inlineStr">
        <is>
          <t>RS</t>
        </is>
      </c>
      <c r="F138" s="235" t="inlineStr">
        <is>
          <t>CIA DA SAUDE</t>
        </is>
      </c>
      <c r="G138" s="235" t="inlineStr">
        <is>
          <t>PROSPECT</t>
        </is>
      </c>
      <c r="H138" s="235" t="inlineStr"/>
      <c r="I138" s="235" t="n"/>
      <c r="J138" s="235" t="n"/>
      <c r="K138" s="235" t="n"/>
      <c r="L138" s="235" t="n"/>
      <c r="M138" s="235" t="n"/>
      <c r="N138" s="235" t="inlineStr">
        <is>
          <t>SIM</t>
        </is>
      </c>
      <c r="O138" s="235" t="inlineStr">
        <is>
          <t>NÃO</t>
        </is>
      </c>
      <c r="P138" s="235" t="inlineStr">
        <is>
          <t>N/A</t>
        </is>
      </c>
      <c r="Q138" s="235" t="inlineStr">
        <is>
          <t>PROSPECÇÃO</t>
        </is>
      </c>
      <c r="R138" s="235" t="inlineStr">
        <is>
          <t>NÃO RESPONDE</t>
        </is>
      </c>
      <c r="S138" s="235" t="inlineStr">
        <is>
          <t>SEM INTERESSE NO MOMENTO</t>
        </is>
      </c>
      <c r="T138" s="235" t="n"/>
      <c r="U138" s="235" t="n"/>
      <c r="V138" s="235" t="n"/>
      <c r="W138" s="235" t="inlineStr">
        <is>
          <t>SIM</t>
        </is>
      </c>
      <c r="X138" s="235" t="n"/>
    </row>
    <row r="139">
      <c r="A139" s="391" t="n">
        <v>46057</v>
      </c>
      <c r="B139" s="235" t="inlineStr">
        <is>
          <t>LARISSA PADILHA</t>
        </is>
      </c>
      <c r="C139" s="235" t="inlineStr">
        <is>
          <t>ARMAZEM FIT 25</t>
        </is>
      </c>
      <c r="D139" s="235" t="inlineStr">
        <is>
          <t>89.639.358/5808-44</t>
        </is>
      </c>
      <c r="E139" s="235" t="inlineStr">
        <is>
          <t>MG</t>
        </is>
      </c>
      <c r="F139" s="235" t="inlineStr">
        <is>
          <t>MUNDO VERDE</t>
        </is>
      </c>
      <c r="G139" s="235" t="inlineStr">
        <is>
          <t>PROSPECT</t>
        </is>
      </c>
      <c r="H139" s="235" t="inlineStr"/>
      <c r="I139" s="235" t="n"/>
      <c r="J139" s="235" t="n"/>
      <c r="K139" s="235" t="n"/>
      <c r="L139" s="235" t="n"/>
      <c r="M139" s="235" t="n"/>
      <c r="N139" s="235" t="inlineStr">
        <is>
          <t>SIM</t>
        </is>
      </c>
      <c r="O139" s="235" t="inlineStr">
        <is>
          <t>SIM</t>
        </is>
      </c>
      <c r="P139" s="235" t="inlineStr">
        <is>
          <t>NÃO</t>
        </is>
      </c>
      <c r="Q139" s="235" t="inlineStr">
        <is>
          <t>ATEND. CLIENTES ATIVOS</t>
        </is>
      </c>
      <c r="R139" s="235" t="inlineStr">
        <is>
          <t>ORÇAMENTO</t>
        </is>
      </c>
      <c r="S139" s="235" t="n"/>
      <c r="T139" s="235" t="n"/>
      <c r="U139" s="235" t="n"/>
      <c r="V139" s="235" t="n"/>
      <c r="W139" s="235" t="inlineStr">
        <is>
          <t>SIM</t>
        </is>
      </c>
      <c r="X139" s="235" t="n"/>
    </row>
    <row r="140">
      <c r="A140" s="391" t="n">
        <v>46081</v>
      </c>
      <c r="B140" s="235" t="inlineStr">
        <is>
          <t>JULIO GADRET</t>
        </is>
      </c>
      <c r="C140" s="235" t="inlineStr">
        <is>
          <t>MUNDO VERDE CWB 12</t>
        </is>
      </c>
      <c r="D140" s="235" t="inlineStr">
        <is>
          <t>61.488.486/9056-70</t>
        </is>
      </c>
      <c r="E140" s="235" t="inlineStr">
        <is>
          <t>PR</t>
        </is>
      </c>
      <c r="F140" s="235" t="inlineStr">
        <is>
          <t>MUNDO VERDE</t>
        </is>
      </c>
      <c r="G140" s="235" t="inlineStr">
        <is>
          <t>ATIVO</t>
        </is>
      </c>
      <c r="H140" s="235" t="n">
        <v>36</v>
      </c>
      <c r="I140" s="235" t="n"/>
      <c r="J140" s="235" t="n"/>
      <c r="K140" s="235" t="n"/>
      <c r="L140" s="235" t="n"/>
      <c r="M140" s="235" t="n"/>
      <c r="N140" s="235" t="inlineStr">
        <is>
          <t>SIM</t>
        </is>
      </c>
      <c r="O140" s="235" t="inlineStr">
        <is>
          <t>NÃO</t>
        </is>
      </c>
      <c r="P140" s="235" t="inlineStr">
        <is>
          <t>N/A</t>
        </is>
      </c>
      <c r="Q140" s="235" t="inlineStr">
        <is>
          <t>PÓS-VENDA / RELACIONAMENTO</t>
        </is>
      </c>
      <c r="R140" s="235" t="inlineStr">
        <is>
          <t>SUPORTE</t>
        </is>
      </c>
      <c r="S140" s="235" t="n"/>
      <c r="T140" s="235" t="n"/>
      <c r="U140" s="235" t="n"/>
      <c r="V140" s="235" t="n"/>
      <c r="W140" s="235" t="inlineStr">
        <is>
          <t>NÃO</t>
        </is>
      </c>
      <c r="X140" s="235" t="n"/>
    </row>
    <row r="141">
      <c r="A141" s="391" t="n">
        <v>46070</v>
      </c>
      <c r="B141" s="235" t="inlineStr">
        <is>
          <t>DAIANE STAVICKI</t>
        </is>
      </c>
      <c r="C141" s="235" t="inlineStr">
        <is>
          <t>FITLAND PR 28</t>
        </is>
      </c>
      <c r="D141" s="235" t="inlineStr">
        <is>
          <t>98.680.586/4442-15</t>
        </is>
      </c>
      <c r="E141" s="235" t="inlineStr">
        <is>
          <t>GO</t>
        </is>
      </c>
      <c r="F141" s="235" t="inlineStr">
        <is>
          <t>TUDO EM GRAOS</t>
        </is>
      </c>
      <c r="G141" s="235" t="inlineStr">
        <is>
          <t>ATIVO</t>
        </is>
      </c>
      <c r="H141" s="235" t="n">
        <v>39</v>
      </c>
      <c r="I141" s="235" t="n"/>
      <c r="J141" s="235" t="n"/>
      <c r="K141" s="235" t="n"/>
      <c r="L141" s="235" t="n"/>
      <c r="M141" s="235" t="n"/>
      <c r="N141" s="235" t="inlineStr">
        <is>
          <t>NÃO</t>
        </is>
      </c>
      <c r="O141" s="235" t="inlineStr">
        <is>
          <t>SIM</t>
        </is>
      </c>
      <c r="P141" s="235" t="inlineStr">
        <is>
          <t>NÃO</t>
        </is>
      </c>
      <c r="Q141" s="235" t="inlineStr">
        <is>
          <t>ATEND. CLIENTES ATIVOS</t>
        </is>
      </c>
      <c r="R141" s="235" t="inlineStr">
        <is>
          <t>VENDA / PEDIDO</t>
        </is>
      </c>
      <c r="S141" s="235" t="n"/>
      <c r="T141" s="235" t="n"/>
      <c r="U141" s="235" t="n"/>
      <c r="V141" s="235" t="n"/>
      <c r="W141" s="235" t="inlineStr">
        <is>
          <t>SIM</t>
        </is>
      </c>
      <c r="X141" s="235" t="n"/>
    </row>
    <row r="142">
      <c r="A142" s="391" t="n">
        <v>46078</v>
      </c>
      <c r="B142" s="235" t="inlineStr">
        <is>
          <t>DAIANE STAVICKI</t>
        </is>
      </c>
      <c r="C142" s="235" t="inlineStr">
        <is>
          <t>TUDO GRÃOS SC 10</t>
        </is>
      </c>
      <c r="D142" s="235" t="inlineStr">
        <is>
          <t>48.266.677/3940-82</t>
        </is>
      </c>
      <c r="E142" s="235" t="inlineStr">
        <is>
          <t>MG</t>
        </is>
      </c>
      <c r="F142" s="235" t="inlineStr">
        <is>
          <t>FIT LAND</t>
        </is>
      </c>
      <c r="G142" s="235" t="inlineStr">
        <is>
          <t>NOVO</t>
        </is>
      </c>
      <c r="H142" s="235" t="inlineStr"/>
      <c r="I142" s="235" t="n"/>
      <c r="J142" s="235" t="n"/>
      <c r="K142" s="235" t="n"/>
      <c r="L142" s="235" t="n"/>
      <c r="M142" s="235" t="n"/>
      <c r="N142" s="235" t="inlineStr">
        <is>
          <t>SIM</t>
        </is>
      </c>
      <c r="O142" s="235" t="inlineStr">
        <is>
          <t>NÃO</t>
        </is>
      </c>
      <c r="P142" s="235" t="inlineStr">
        <is>
          <t>N/A</t>
        </is>
      </c>
      <c r="Q142" s="235" t="inlineStr">
        <is>
          <t>FOLLOW UP</t>
        </is>
      </c>
      <c r="R142" s="235" t="inlineStr">
        <is>
          <t>NÃO ATENDE</t>
        </is>
      </c>
      <c r="S142" s="235" t="inlineStr">
        <is>
          <t>PROBLEMA FINANCEIRO / CRÉDITO</t>
        </is>
      </c>
      <c r="T142" s="235" t="n"/>
      <c r="U142" s="235" t="n"/>
      <c r="V142" s="235" t="n"/>
      <c r="W142" s="235" t="inlineStr">
        <is>
          <t>SIM</t>
        </is>
      </c>
      <c r="X142" s="235" t="n"/>
    </row>
    <row r="143">
      <c r="A143" s="391" t="n">
        <v>46065</v>
      </c>
      <c r="B143" s="235" t="inlineStr">
        <is>
          <t>MANU DITZEL</t>
        </is>
      </c>
      <c r="C143" s="235" t="inlineStr">
        <is>
          <t>SAUDE NA MESA 30</t>
        </is>
      </c>
      <c r="D143" s="235" t="inlineStr">
        <is>
          <t>19.448.719/9759-60</t>
        </is>
      </c>
      <c r="E143" s="235" t="inlineStr">
        <is>
          <t>DF</t>
        </is>
      </c>
      <c r="F143" s="235" t="inlineStr">
        <is>
          <t>CIA DA SAUDE</t>
        </is>
      </c>
      <c r="G143" s="235" t="inlineStr">
        <is>
          <t>INAT.ANT</t>
        </is>
      </c>
      <c r="H143" s="235" t="n">
        <v>291</v>
      </c>
      <c r="I143" s="235" t="n"/>
      <c r="J143" s="235" t="n"/>
      <c r="K143" s="235" t="n"/>
      <c r="L143" s="235" t="n"/>
      <c r="M143" s="235" t="n"/>
      <c r="N143" s="235" t="inlineStr">
        <is>
          <t>SIM</t>
        </is>
      </c>
      <c r="O143" s="235" t="inlineStr">
        <is>
          <t>NÃO</t>
        </is>
      </c>
      <c r="P143" s="235" t="inlineStr">
        <is>
          <t>N/A</t>
        </is>
      </c>
      <c r="Q143" s="235" t="inlineStr">
        <is>
          <t>PERDA / NUTRIÇÃO</t>
        </is>
      </c>
      <c r="R143" s="235" t="inlineStr">
        <is>
          <t>NÃO ATENDE</t>
        </is>
      </c>
      <c r="S143" s="235" t="inlineStr">
        <is>
          <t>LOJA ANEXO/PROXIMO - SM</t>
        </is>
      </c>
      <c r="T143" s="235" t="n"/>
      <c r="U143" s="235" t="n"/>
      <c r="V143" s="235" t="n"/>
      <c r="W143" s="235" t="inlineStr">
        <is>
          <t>NÃO</t>
        </is>
      </c>
      <c r="X143" s="235" t="n"/>
    </row>
    <row r="144">
      <c r="A144" s="391" t="n">
        <v>46075</v>
      </c>
      <c r="B144" s="235" t="inlineStr">
        <is>
          <t>LARISSA PADILHA</t>
        </is>
      </c>
      <c r="C144" s="235" t="inlineStr">
        <is>
          <t>CORPO E MENTE 38</t>
        </is>
      </c>
      <c r="D144" s="235" t="inlineStr">
        <is>
          <t>41.830.175/1345-44</t>
        </is>
      </c>
      <c r="E144" s="235" t="inlineStr">
        <is>
          <t>PR</t>
        </is>
      </c>
      <c r="F144" s="235" t="inlineStr">
        <is>
          <t>DEMAIS CLIENTES</t>
        </is>
      </c>
      <c r="G144" s="235" t="inlineStr">
        <is>
          <t>INAT.ANT</t>
        </is>
      </c>
      <c r="H144" s="235" t="n">
        <v>280</v>
      </c>
      <c r="I144" s="235" t="n"/>
      <c r="J144" s="235" t="n"/>
      <c r="K144" s="235" t="n"/>
      <c r="L144" s="235" t="n"/>
      <c r="M144" s="235" t="n"/>
      <c r="N144" s="235" t="inlineStr">
        <is>
          <t>SIM</t>
        </is>
      </c>
      <c r="O144" s="235" t="inlineStr">
        <is>
          <t>NÃO</t>
        </is>
      </c>
      <c r="P144" s="235" t="inlineStr">
        <is>
          <t>N/A</t>
        </is>
      </c>
      <c r="Q144" s="235" t="inlineStr">
        <is>
          <t>ATEND. CLIENTES ATIVOS</t>
        </is>
      </c>
      <c r="R144" s="235" t="inlineStr">
        <is>
          <t>RELACIONAMENTO</t>
        </is>
      </c>
      <c r="S144" s="235" t="n"/>
      <c r="T144" s="235" t="n"/>
      <c r="U144" s="235" t="n"/>
      <c r="V144" s="235" t="n"/>
      <c r="W144" s="235" t="inlineStr">
        <is>
          <t>SIM</t>
        </is>
      </c>
      <c r="X144" s="235" t="n"/>
    </row>
    <row r="145">
      <c r="A145" s="391" t="n">
        <v>46078</v>
      </c>
      <c r="B145" s="235" t="inlineStr">
        <is>
          <t>MANU DITZEL</t>
        </is>
      </c>
      <c r="C145" s="235" t="inlineStr">
        <is>
          <t>FIT STORE 12</t>
        </is>
      </c>
      <c r="D145" s="235" t="inlineStr">
        <is>
          <t>33.541.559/9126-81</t>
        </is>
      </c>
      <c r="E145" s="235" t="inlineStr">
        <is>
          <t>RS</t>
        </is>
      </c>
      <c r="F145" s="235" t="inlineStr">
        <is>
          <t>MUNDO VERDE</t>
        </is>
      </c>
      <c r="G145" s="235" t="inlineStr">
        <is>
          <t>ATIVO</t>
        </is>
      </c>
      <c r="H145" s="235" t="n">
        <v>40</v>
      </c>
      <c r="I145" s="235" t="n"/>
      <c r="J145" s="235" t="n"/>
      <c r="K145" s="235" t="n"/>
      <c r="L145" s="235" t="n"/>
      <c r="M145" s="235" t="n"/>
      <c r="N145" s="235" t="inlineStr">
        <is>
          <t>SIM</t>
        </is>
      </c>
      <c r="O145" s="235" t="inlineStr">
        <is>
          <t>SIM</t>
        </is>
      </c>
      <c r="P145" s="235" t="inlineStr">
        <is>
          <t>SIM</t>
        </is>
      </c>
      <c r="Q145" s="235" t="inlineStr">
        <is>
          <t>PROSPECÇÃO</t>
        </is>
      </c>
      <c r="R145" s="235" t="inlineStr">
        <is>
          <t>NÃO ATENDE</t>
        </is>
      </c>
      <c r="S145" s="235" t="inlineStr">
        <is>
          <t>PRODUTO NÃO VENDEU / SEM GIRO</t>
        </is>
      </c>
      <c r="T145" s="235" t="n"/>
      <c r="U145" s="235" t="n"/>
      <c r="V145" s="235" t="n"/>
      <c r="W145" s="235" t="inlineStr">
        <is>
          <t>SIM</t>
        </is>
      </c>
      <c r="X145" s="235" t="n"/>
    </row>
    <row r="146">
      <c r="A146" s="391" t="n">
        <v>46071</v>
      </c>
      <c r="B146" s="235" t="inlineStr">
        <is>
          <t>DAIANE STAVICKI</t>
        </is>
      </c>
      <c r="C146" s="235" t="inlineStr">
        <is>
          <t>ARMAZEM FIT 74</t>
        </is>
      </c>
      <c r="D146" s="235" t="inlineStr">
        <is>
          <t>76.273.801/6238-31</t>
        </is>
      </c>
      <c r="E146" s="235" t="inlineStr">
        <is>
          <t>PR</t>
        </is>
      </c>
      <c r="F146" s="235" t="inlineStr">
        <is>
          <t>CIA DA SAUDE</t>
        </is>
      </c>
      <c r="G146" s="235" t="inlineStr">
        <is>
          <t>EM RISCO</t>
        </is>
      </c>
      <c r="H146" s="235" t="n">
        <v>52</v>
      </c>
      <c r="I146" s="235" t="n"/>
      <c r="J146" s="235" t="n"/>
      <c r="K146" s="235" t="n"/>
      <c r="L146" s="235" t="n"/>
      <c r="M146" s="235" t="n"/>
      <c r="N146" s="235" t="inlineStr">
        <is>
          <t>SIM</t>
        </is>
      </c>
      <c r="O146" s="235" t="inlineStr">
        <is>
          <t>NÃO</t>
        </is>
      </c>
      <c r="P146" s="235" t="inlineStr">
        <is>
          <t>N/A</t>
        </is>
      </c>
      <c r="Q146" s="235" t="inlineStr">
        <is>
          <t>NEGOCIAÇÃO</t>
        </is>
      </c>
      <c r="R146" s="235" t="inlineStr">
        <is>
          <t>ORÇAMENTO</t>
        </is>
      </c>
      <c r="S146" s="235" t="n"/>
      <c r="T146" s="235" t="n"/>
      <c r="U146" s="235" t="n"/>
      <c r="V146" s="235" t="n"/>
      <c r="W146" s="235" t="inlineStr">
        <is>
          <t>SIM</t>
        </is>
      </c>
      <c r="X146" s="235" t="n"/>
    </row>
    <row r="147">
      <c r="A147" s="391" t="n">
        <v>46061</v>
      </c>
      <c r="B147" s="235" t="inlineStr">
        <is>
          <t>JULIO GADRET</t>
        </is>
      </c>
      <c r="C147" s="235" t="inlineStr">
        <is>
          <t>POWER NATURAL 77</t>
        </is>
      </c>
      <c r="D147" s="235" t="inlineStr">
        <is>
          <t>88.300.568/1753-27</t>
        </is>
      </c>
      <c r="E147" s="235" t="inlineStr">
        <is>
          <t>SC</t>
        </is>
      </c>
      <c r="F147" s="235" t="inlineStr">
        <is>
          <t>DEMAIS CLIENTES</t>
        </is>
      </c>
      <c r="G147" s="235" t="inlineStr">
        <is>
          <t>ATIVO</t>
        </is>
      </c>
      <c r="H147" s="235" t="n">
        <v>44</v>
      </c>
      <c r="I147" s="235" t="n"/>
      <c r="J147" s="235" t="n"/>
      <c r="K147" s="235" t="n"/>
      <c r="L147" s="235" t="n"/>
      <c r="M147" s="235" t="n"/>
      <c r="N147" s="235" t="inlineStr">
        <is>
          <t>SIM</t>
        </is>
      </c>
      <c r="O147" s="235" t="inlineStr">
        <is>
          <t>SIM</t>
        </is>
      </c>
      <c r="P147" s="235" t="inlineStr">
        <is>
          <t>NÃO</t>
        </is>
      </c>
      <c r="Q147" s="235" t="inlineStr">
        <is>
          <t>ATEND. CLIENTES ATIVOS</t>
        </is>
      </c>
      <c r="R147" s="235" t="inlineStr">
        <is>
          <t>EM ATENDIMENTO</t>
        </is>
      </c>
      <c r="S147" s="235" t="n"/>
      <c r="T147" s="235" t="n"/>
      <c r="U147" s="235" t="n"/>
      <c r="V147" s="235" t="n"/>
      <c r="W147" s="235" t="inlineStr">
        <is>
          <t>NÃO</t>
        </is>
      </c>
      <c r="X147" s="235" t="n"/>
    </row>
    <row r="148">
      <c r="A148" s="391" t="n">
        <v>46073</v>
      </c>
      <c r="B148" s="235" t="inlineStr">
        <is>
          <t>MANU DITZEL</t>
        </is>
      </c>
      <c r="C148" s="235" t="inlineStr">
        <is>
          <t>BIO GRÃOS 78</t>
        </is>
      </c>
      <c r="D148" s="235" t="inlineStr">
        <is>
          <t>98.305.590/5148-32</t>
        </is>
      </c>
      <c r="E148" s="235" t="inlineStr">
        <is>
          <t>DF</t>
        </is>
      </c>
      <c r="F148" s="235" t="inlineStr">
        <is>
          <t>DEMAIS CLIENTES</t>
        </is>
      </c>
      <c r="G148" s="235" t="inlineStr">
        <is>
          <t>ATIVO</t>
        </is>
      </c>
      <c r="H148" s="235" t="n">
        <v>49</v>
      </c>
      <c r="I148" s="235" t="n"/>
      <c r="J148" s="235" t="n"/>
      <c r="K148" s="235" t="n"/>
      <c r="L148" s="235" t="n"/>
      <c r="M148" s="235" t="n"/>
      <c r="N148" s="235" t="inlineStr">
        <is>
          <t>NÃO</t>
        </is>
      </c>
      <c r="O148" s="235" t="inlineStr">
        <is>
          <t>SIM</t>
        </is>
      </c>
      <c r="P148" s="235" t="inlineStr">
        <is>
          <t>SIM</t>
        </is>
      </c>
      <c r="Q148" s="235" t="inlineStr">
        <is>
          <t>ATEND. CLIENTES INATIVOS</t>
        </is>
      </c>
      <c r="R148" s="235" t="inlineStr">
        <is>
          <t>FOLLOW UP 15</t>
        </is>
      </c>
      <c r="S148" s="235" t="inlineStr">
        <is>
          <t>PROPRIETARIO / INDISPONÍVEL</t>
        </is>
      </c>
      <c r="T148" s="235" t="n"/>
      <c r="U148" s="235" t="n"/>
      <c r="V148" s="235" t="n"/>
      <c r="W148" s="235" t="inlineStr">
        <is>
          <t>SIM</t>
        </is>
      </c>
      <c r="X148" s="235" t="n"/>
    </row>
    <row r="149">
      <c r="A149" s="391" t="n">
        <v>46072</v>
      </c>
      <c r="B149" s="235" t="inlineStr">
        <is>
          <t>MANU DITZEL</t>
        </is>
      </c>
      <c r="C149" s="235" t="inlineStr">
        <is>
          <t>BIO FIT 24</t>
        </is>
      </c>
      <c r="D149" s="235" t="inlineStr">
        <is>
          <t>97.886.663/0441-69</t>
        </is>
      </c>
      <c r="E149" s="235" t="inlineStr">
        <is>
          <t>DF</t>
        </is>
      </c>
      <c r="F149" s="235" t="inlineStr">
        <is>
          <t>BIOMUNDO</t>
        </is>
      </c>
      <c r="G149" s="235" t="inlineStr">
        <is>
          <t>INAT.ANT</t>
        </is>
      </c>
      <c r="H149" s="235" t="n">
        <v>268</v>
      </c>
      <c r="I149" s="235" t="n"/>
      <c r="J149" s="235" t="n"/>
      <c r="K149" s="235" t="n"/>
      <c r="L149" s="235" t="n"/>
      <c r="M149" s="235" t="n"/>
      <c r="N149" s="235" t="inlineStr">
        <is>
          <t>NÃO</t>
        </is>
      </c>
      <c r="O149" s="235" t="inlineStr">
        <is>
          <t>NÃO</t>
        </is>
      </c>
      <c r="P149" s="235" t="inlineStr">
        <is>
          <t>N/A</t>
        </is>
      </c>
      <c r="Q149" s="235" t="inlineStr">
        <is>
          <t>PROSPECÇÃO</t>
        </is>
      </c>
      <c r="R149" s="235" t="inlineStr">
        <is>
          <t>NÃO RESPONDE</t>
        </is>
      </c>
      <c r="S149" s="235" t="inlineStr">
        <is>
          <t>AINDA TEM ESTOQUE</t>
        </is>
      </c>
      <c r="T149" s="235" t="n"/>
      <c r="U149" s="235" t="n"/>
      <c r="V149" s="235" t="n"/>
      <c r="W149" s="235" t="inlineStr">
        <is>
          <t>SIM</t>
        </is>
      </c>
      <c r="X149" s="235" t="n"/>
    </row>
    <row r="150">
      <c r="A150" s="391" t="n">
        <v>46062</v>
      </c>
      <c r="B150" s="235" t="inlineStr">
        <is>
          <t>JULIO GADRET</t>
        </is>
      </c>
      <c r="C150" s="235" t="inlineStr">
        <is>
          <t>SAUDE NA MESA 49</t>
        </is>
      </c>
      <c r="D150" s="235" t="inlineStr">
        <is>
          <t>19.559.712/7852-84</t>
        </is>
      </c>
      <c r="E150" s="235" t="inlineStr">
        <is>
          <t>RS</t>
        </is>
      </c>
      <c r="F150" s="235" t="inlineStr">
        <is>
          <t>DIVINA TERRA</t>
        </is>
      </c>
      <c r="G150" s="235" t="inlineStr">
        <is>
          <t>PROSPECT</t>
        </is>
      </c>
      <c r="H150" s="235" t="inlineStr"/>
      <c r="I150" s="235" t="n"/>
      <c r="J150" s="235" t="n"/>
      <c r="K150" s="235" t="n"/>
      <c r="L150" s="235" t="n"/>
      <c r="M150" s="235" t="n"/>
      <c r="N150" s="235" t="inlineStr">
        <is>
          <t>NÃO</t>
        </is>
      </c>
      <c r="O150" s="235" t="inlineStr">
        <is>
          <t>SIM</t>
        </is>
      </c>
      <c r="P150" s="235" t="inlineStr">
        <is>
          <t>NÃO</t>
        </is>
      </c>
      <c r="Q150" s="235" t="inlineStr">
        <is>
          <t>ATEND. CLIENTES INATIVOS</t>
        </is>
      </c>
      <c r="R150" s="235" t="inlineStr">
        <is>
          <t>RECUSOU LIGAÇÃO</t>
        </is>
      </c>
      <c r="S150" s="235" t="inlineStr">
        <is>
          <t>PROBLEMA LOGÍSTICO / ENTREGA</t>
        </is>
      </c>
      <c r="T150" s="235" t="n"/>
      <c r="U150" s="235" t="n"/>
      <c r="V150" s="235" t="n"/>
      <c r="W150" s="235" t="inlineStr">
        <is>
          <t>SIM</t>
        </is>
      </c>
      <c r="X150" s="235" t="n"/>
    </row>
    <row r="151">
      <c r="A151" s="391" t="n">
        <v>46056</v>
      </c>
      <c r="B151" s="235" t="inlineStr">
        <is>
          <t>MANU DITZEL</t>
        </is>
      </c>
      <c r="C151" s="235" t="inlineStr">
        <is>
          <t>ARMAZEM FIT 85</t>
        </is>
      </c>
      <c r="D151" s="235" t="inlineStr">
        <is>
          <t>95.463.270/0726-82</t>
        </is>
      </c>
      <c r="E151" s="235" t="inlineStr">
        <is>
          <t>CE</t>
        </is>
      </c>
      <c r="F151" s="235" t="inlineStr">
        <is>
          <t>TUDO EM GRAOS</t>
        </is>
      </c>
      <c r="G151" s="235" t="inlineStr">
        <is>
          <t>EM RISCO</t>
        </is>
      </c>
      <c r="H151" s="235" t="n">
        <v>56</v>
      </c>
      <c r="I151" s="235" t="n"/>
      <c r="J151" s="235" t="n"/>
      <c r="K151" s="235" t="n"/>
      <c r="L151" s="235" t="n"/>
      <c r="M151" s="235" t="n"/>
      <c r="N151" s="235" t="inlineStr">
        <is>
          <t>SIM</t>
        </is>
      </c>
      <c r="O151" s="235" t="inlineStr">
        <is>
          <t>SIM</t>
        </is>
      </c>
      <c r="P151" s="235" t="inlineStr">
        <is>
          <t>SIM</t>
        </is>
      </c>
      <c r="Q151" s="235" t="inlineStr">
        <is>
          <t>PERDA / NUTRIÇÃO</t>
        </is>
      </c>
      <c r="R151" s="235" t="inlineStr">
        <is>
          <t>NÃO ATENDE</t>
        </is>
      </c>
      <c r="S151" s="235" t="inlineStr">
        <is>
          <t>SÓ QUER COMPRAR GRANEL</t>
        </is>
      </c>
      <c r="T151" s="235" t="n"/>
      <c r="U151" s="235" t="n"/>
      <c r="V151" s="235" t="n"/>
      <c r="W151" s="235" t="inlineStr">
        <is>
          <t>SIM</t>
        </is>
      </c>
      <c r="X151" s="235" t="n"/>
    </row>
    <row r="152">
      <c r="A152" s="391" t="n">
        <v>46072</v>
      </c>
      <c r="B152" s="235" t="inlineStr">
        <is>
          <t>MANU DITZEL</t>
        </is>
      </c>
      <c r="C152" s="235" t="inlineStr">
        <is>
          <t>GRANEL &amp; CIA 51</t>
        </is>
      </c>
      <c r="D152" s="235" t="inlineStr">
        <is>
          <t>69.890.795/9644-98</t>
        </is>
      </c>
      <c r="E152" s="235" t="inlineStr">
        <is>
          <t>RS</t>
        </is>
      </c>
      <c r="F152" s="235" t="inlineStr">
        <is>
          <t>CIA DA SAUDE</t>
        </is>
      </c>
      <c r="G152" s="235" t="inlineStr">
        <is>
          <t>ATIVO</t>
        </is>
      </c>
      <c r="H152" s="235" t="n">
        <v>11</v>
      </c>
      <c r="I152" s="235" t="n"/>
      <c r="J152" s="235" t="n"/>
      <c r="K152" s="235" t="n"/>
      <c r="L152" s="235" t="n"/>
      <c r="M152" s="235" t="n"/>
      <c r="N152" s="235" t="inlineStr">
        <is>
          <t>SIM</t>
        </is>
      </c>
      <c r="O152" s="235" t="inlineStr">
        <is>
          <t>NÃO</t>
        </is>
      </c>
      <c r="P152" s="235" t="inlineStr">
        <is>
          <t>N/A</t>
        </is>
      </c>
      <c r="Q152" s="235" t="inlineStr">
        <is>
          <t>FOLLOW UP</t>
        </is>
      </c>
      <c r="R152" s="235" t="inlineStr">
        <is>
          <t>RELACIONAMENTO</t>
        </is>
      </c>
      <c r="S152" s="235" t="n"/>
      <c r="T152" s="235" t="n"/>
      <c r="U152" s="235" t="n"/>
      <c r="V152" s="235" t="n"/>
      <c r="W152" s="235" t="inlineStr">
        <is>
          <t>NÃO</t>
        </is>
      </c>
      <c r="X152" s="235" t="n"/>
    </row>
    <row r="153">
      <c r="A153" s="391" t="n">
        <v>46065</v>
      </c>
      <c r="B153" s="235" t="inlineStr">
        <is>
          <t>MANU DITZEL</t>
        </is>
      </c>
      <c r="C153" s="235" t="inlineStr">
        <is>
          <t>NATURAL HOUSE 27</t>
        </is>
      </c>
      <c r="D153" s="235" t="inlineStr">
        <is>
          <t>76.594.456/7802-22</t>
        </is>
      </c>
      <c r="E153" s="235" t="inlineStr">
        <is>
          <t>RS</t>
        </is>
      </c>
      <c r="F153" s="235" t="inlineStr">
        <is>
          <t>TUDO EM GRAOS</t>
        </is>
      </c>
      <c r="G153" s="235" t="inlineStr">
        <is>
          <t>ATIVO</t>
        </is>
      </c>
      <c r="H153" s="235" t="n">
        <v>24</v>
      </c>
      <c r="I153" s="235" t="n"/>
      <c r="J153" s="235" t="n"/>
      <c r="K153" s="235" t="n"/>
      <c r="L153" s="235" t="n"/>
      <c r="M153" s="235" t="n"/>
      <c r="N153" s="235" t="inlineStr">
        <is>
          <t>SIM</t>
        </is>
      </c>
      <c r="O153" s="235" t="inlineStr">
        <is>
          <t>SIM</t>
        </is>
      </c>
      <c r="P153" s="235" t="inlineStr">
        <is>
          <t>SIM</t>
        </is>
      </c>
      <c r="Q153" s="235" t="inlineStr">
        <is>
          <t>PROSPECÇÃO</t>
        </is>
      </c>
      <c r="R153" s="235" t="inlineStr">
        <is>
          <t>NÃO RESPONDE</t>
        </is>
      </c>
      <c r="S153" s="235" t="inlineStr">
        <is>
          <t>FECHANDO / FECHOU LOJA</t>
        </is>
      </c>
      <c r="T153" s="235" t="n"/>
      <c r="U153" s="235" t="n"/>
      <c r="V153" s="235" t="n"/>
      <c r="W153" s="235" t="inlineStr">
        <is>
          <t>NÃO</t>
        </is>
      </c>
      <c r="X153" s="235" t="n"/>
    </row>
    <row r="154">
      <c r="A154" s="391" t="n">
        <v>46077</v>
      </c>
      <c r="B154" s="235" t="inlineStr">
        <is>
          <t>MANU DITZEL</t>
        </is>
      </c>
      <c r="C154" s="235" t="inlineStr">
        <is>
          <t>VERDE VIDA 71</t>
        </is>
      </c>
      <c r="D154" s="235" t="inlineStr">
        <is>
          <t>30.438.673/6986-69</t>
        </is>
      </c>
      <c r="E154" s="235" t="inlineStr">
        <is>
          <t>PR</t>
        </is>
      </c>
      <c r="F154" s="235" t="inlineStr">
        <is>
          <t>FIT LAND</t>
        </is>
      </c>
      <c r="G154" s="235" t="inlineStr">
        <is>
          <t>ATIVO</t>
        </is>
      </c>
      <c r="H154" s="235" t="n">
        <v>45</v>
      </c>
      <c r="I154" s="235" t="n"/>
      <c r="J154" s="235" t="n"/>
      <c r="K154" s="235" t="n"/>
      <c r="L154" s="235" t="n"/>
      <c r="M154" s="235" t="n"/>
      <c r="N154" s="235" t="inlineStr">
        <is>
          <t>NÃO</t>
        </is>
      </c>
      <c r="O154" s="235" t="inlineStr">
        <is>
          <t>NÃO</t>
        </is>
      </c>
      <c r="P154" s="235" t="inlineStr">
        <is>
          <t>N/A</t>
        </is>
      </c>
      <c r="Q154" s="235" t="inlineStr">
        <is>
          <t>ATEND. CLIENTES INATIVOS</t>
        </is>
      </c>
      <c r="R154" s="235" t="inlineStr">
        <is>
          <t>NÃO RESPONDE</t>
        </is>
      </c>
      <c r="S154" s="235" t="inlineStr">
        <is>
          <t>LOJA ANEXO/PROXIMO - SM</t>
        </is>
      </c>
      <c r="T154" s="235" t="n"/>
      <c r="U154" s="235" t="n"/>
      <c r="V154" s="235" t="n"/>
      <c r="W154" s="235" t="inlineStr">
        <is>
          <t>SIM</t>
        </is>
      </c>
      <c r="X154" s="235" t="n"/>
    </row>
    <row r="155">
      <c r="A155" s="391" t="n">
        <v>46054</v>
      </c>
      <c r="B155" s="235" t="inlineStr">
        <is>
          <t>JULIO GADRET</t>
        </is>
      </c>
      <c r="C155" s="235" t="inlineStr">
        <is>
          <t>DIVINA TERRA RJ 36</t>
        </is>
      </c>
      <c r="D155" s="235" t="inlineStr">
        <is>
          <t>18.691.204/8797-33</t>
        </is>
      </c>
      <c r="E155" s="235" t="inlineStr">
        <is>
          <t>SC</t>
        </is>
      </c>
      <c r="F155" s="235" t="inlineStr">
        <is>
          <t>BIOMUNDO</t>
        </is>
      </c>
      <c r="G155" s="235" t="inlineStr">
        <is>
          <t>ATIVO</t>
        </is>
      </c>
      <c r="H155" s="235" t="n">
        <v>47</v>
      </c>
      <c r="I155" s="235" t="n"/>
      <c r="J155" s="235" t="n"/>
      <c r="K155" s="235" t="n"/>
      <c r="L155" s="235" t="n"/>
      <c r="M155" s="235" t="n"/>
      <c r="N155" s="235" t="inlineStr">
        <is>
          <t>SIM</t>
        </is>
      </c>
      <c r="O155" s="235" t="inlineStr">
        <is>
          <t>NÃO</t>
        </is>
      </c>
      <c r="P155" s="235" t="inlineStr">
        <is>
          <t>N/A</t>
        </is>
      </c>
      <c r="Q155" s="235" t="inlineStr">
        <is>
          <t>PÓS-VENDA / RELACIONAMENTO</t>
        </is>
      </c>
      <c r="R155" s="235" t="inlineStr">
        <is>
          <t>FOLLOW UP 15</t>
        </is>
      </c>
      <c r="S155" s="235" t="inlineStr">
        <is>
          <t>PROBLEMA LOGÍSTICO / ENTREGA</t>
        </is>
      </c>
      <c r="T155" s="235" t="n"/>
      <c r="U155" s="235" t="n"/>
      <c r="V155" s="235" t="n"/>
      <c r="W155" s="235" t="inlineStr">
        <is>
          <t>SIM</t>
        </is>
      </c>
      <c r="X155" s="235" t="n"/>
    </row>
    <row r="156">
      <c r="A156" s="391" t="n">
        <v>46065</v>
      </c>
      <c r="B156" s="235" t="inlineStr">
        <is>
          <t>LARISSA PADILHA</t>
        </is>
      </c>
      <c r="C156" s="235" t="inlineStr">
        <is>
          <t>NATURAL HOUSE 80</t>
        </is>
      </c>
      <c r="D156" s="235" t="inlineStr">
        <is>
          <t>32.933.789/4874-88</t>
        </is>
      </c>
      <c r="E156" s="235" t="inlineStr">
        <is>
          <t>SP</t>
        </is>
      </c>
      <c r="F156" s="235" t="inlineStr">
        <is>
          <t>TUDO EM GRAOS</t>
        </is>
      </c>
      <c r="G156" s="235" t="inlineStr">
        <is>
          <t>ATIVO</t>
        </is>
      </c>
      <c r="H156" s="235" t="n">
        <v>20</v>
      </c>
      <c r="I156" s="235" t="n"/>
      <c r="J156" s="235" t="n"/>
      <c r="K156" s="235" t="n"/>
      <c r="L156" s="235" t="n"/>
      <c r="M156" s="235" t="n"/>
      <c r="N156" s="235" t="inlineStr">
        <is>
          <t>SIM</t>
        </is>
      </c>
      <c r="O156" s="235" t="inlineStr">
        <is>
          <t>NÃO</t>
        </is>
      </c>
      <c r="P156" s="235" t="inlineStr">
        <is>
          <t>N/A</t>
        </is>
      </c>
      <c r="Q156" s="235" t="inlineStr">
        <is>
          <t>FOLLOW UP</t>
        </is>
      </c>
      <c r="R156" s="235" t="inlineStr">
        <is>
          <t>ORÇAMENTO</t>
        </is>
      </c>
      <c r="S156" s="235" t="n"/>
      <c r="T156" s="235" t="n"/>
      <c r="U156" s="235" t="n"/>
      <c r="V156" s="235" t="n"/>
      <c r="W156" s="235" t="inlineStr">
        <is>
          <t>SIM</t>
        </is>
      </c>
      <c r="X156" s="235" t="n"/>
    </row>
    <row r="157">
      <c r="A157" s="391" t="n">
        <v>46058</v>
      </c>
      <c r="B157" s="235" t="inlineStr">
        <is>
          <t>LARISSA PADILHA</t>
        </is>
      </c>
      <c r="C157" s="235" t="inlineStr">
        <is>
          <t>SAUDE NA MESA 24</t>
        </is>
      </c>
      <c r="D157" s="235" t="inlineStr">
        <is>
          <t>72.750.650/2839-81</t>
        </is>
      </c>
      <c r="E157" s="235" t="inlineStr">
        <is>
          <t>PR</t>
        </is>
      </c>
      <c r="F157" s="235" t="inlineStr">
        <is>
          <t>CIA DA SAUDE</t>
        </is>
      </c>
      <c r="G157" s="235" t="inlineStr">
        <is>
          <t>ATIVO</t>
        </is>
      </c>
      <c r="H157" s="235" t="n">
        <v>33</v>
      </c>
      <c r="I157" s="235" t="n"/>
      <c r="J157" s="235" t="n"/>
      <c r="K157" s="235" t="n"/>
      <c r="L157" s="235" t="n"/>
      <c r="M157" s="235" t="n"/>
      <c r="N157" s="235" t="inlineStr">
        <is>
          <t>NÃO</t>
        </is>
      </c>
      <c r="O157" s="235" t="inlineStr">
        <is>
          <t>NÃO</t>
        </is>
      </c>
      <c r="P157" s="235" t="inlineStr">
        <is>
          <t>N/A</t>
        </is>
      </c>
      <c r="Q157" s="235" t="inlineStr">
        <is>
          <t>ATEND. CLIENTES ATIVOS</t>
        </is>
      </c>
      <c r="R157" s="235" t="inlineStr">
        <is>
          <t>EM ATENDIMENTO</t>
        </is>
      </c>
      <c r="S157" s="235" t="n"/>
      <c r="T157" s="235" t="n"/>
      <c r="U157" s="235" t="n"/>
      <c r="V157" s="235" t="n"/>
      <c r="W157" s="235" t="inlineStr">
        <is>
          <t>SIM</t>
        </is>
      </c>
      <c r="X157" s="235" t="n"/>
    </row>
    <row r="158">
      <c r="A158" s="391" t="n">
        <v>46066</v>
      </c>
      <c r="B158" s="235" t="inlineStr">
        <is>
          <t>DAIANE STAVICKI</t>
        </is>
      </c>
      <c r="C158" s="235" t="inlineStr">
        <is>
          <t>GRÃO FINO 84</t>
        </is>
      </c>
      <c r="D158" s="235" t="inlineStr">
        <is>
          <t>73.518.801/8057-63</t>
        </is>
      </c>
      <c r="E158" s="235" t="inlineStr">
        <is>
          <t>RJ</t>
        </is>
      </c>
      <c r="F158" s="235" t="inlineStr">
        <is>
          <t>FIT LAND</t>
        </is>
      </c>
      <c r="G158" s="235" t="inlineStr">
        <is>
          <t>ATIVO</t>
        </is>
      </c>
      <c r="H158" s="235" t="n">
        <v>41</v>
      </c>
      <c r="I158" s="235" t="n"/>
      <c r="J158" s="235" t="n"/>
      <c r="K158" s="235" t="n"/>
      <c r="L158" s="235" t="n"/>
      <c r="M158" s="235" t="n"/>
      <c r="N158" s="235" t="inlineStr">
        <is>
          <t>SIM</t>
        </is>
      </c>
      <c r="O158" s="235" t="inlineStr">
        <is>
          <t>SIM</t>
        </is>
      </c>
      <c r="P158" s="235" t="inlineStr">
        <is>
          <t>SIM</t>
        </is>
      </c>
      <c r="Q158" s="235" t="inlineStr">
        <is>
          <t>PROSPECÇÃO</t>
        </is>
      </c>
      <c r="R158" s="235" t="inlineStr">
        <is>
          <t>NÃO RESPONDE</t>
        </is>
      </c>
      <c r="S158" s="235" t="inlineStr">
        <is>
          <t>AINDA TEM ESTOQUE</t>
        </is>
      </c>
      <c r="T158" s="235" t="n"/>
      <c r="U158" s="235" t="n"/>
      <c r="V158" s="235" t="n"/>
      <c r="W158" s="235" t="inlineStr">
        <is>
          <t>SIM</t>
        </is>
      </c>
      <c r="X158" s="235" t="n"/>
    </row>
    <row r="159">
      <c r="A159" s="391" t="n">
        <v>46077</v>
      </c>
      <c r="B159" s="235" t="inlineStr">
        <is>
          <t>DAIANE STAVICKI</t>
        </is>
      </c>
      <c r="C159" s="235" t="inlineStr">
        <is>
          <t>POWER NATURAL 71</t>
        </is>
      </c>
      <c r="D159" s="235" t="inlineStr">
        <is>
          <t>75.215.686/1872-44</t>
        </is>
      </c>
      <c r="E159" s="235" t="inlineStr">
        <is>
          <t>RJ</t>
        </is>
      </c>
      <c r="F159" s="235" t="inlineStr">
        <is>
          <t>DEMAIS CLIENTES</t>
        </is>
      </c>
      <c r="G159" s="235" t="inlineStr">
        <is>
          <t>EM RISCO</t>
        </is>
      </c>
      <c r="H159" s="235" t="n">
        <v>51</v>
      </c>
      <c r="I159" s="235" t="n"/>
      <c r="J159" s="235" t="n"/>
      <c r="K159" s="235" t="n"/>
      <c r="L159" s="235" t="n"/>
      <c r="M159" s="235" t="n"/>
      <c r="N159" s="235" t="inlineStr">
        <is>
          <t>SIM</t>
        </is>
      </c>
      <c r="O159" s="235" t="inlineStr">
        <is>
          <t>SIM</t>
        </is>
      </c>
      <c r="P159" s="235" t="inlineStr">
        <is>
          <t>NÃO</t>
        </is>
      </c>
      <c r="Q159" s="235" t="inlineStr">
        <is>
          <t>PÓS-VENDA / RELACIONAMENTO</t>
        </is>
      </c>
      <c r="R159" s="235" t="inlineStr">
        <is>
          <t>FOLLOW UP 7</t>
        </is>
      </c>
      <c r="S159" s="235" t="inlineStr">
        <is>
          <t>PROBLEMA FINANCEIRO / CRÉDITO</t>
        </is>
      </c>
      <c r="T159" s="235" t="n"/>
      <c r="U159" s="235" t="n"/>
      <c r="V159" s="235" t="n"/>
      <c r="W159" s="235" t="inlineStr">
        <is>
          <t>SIM</t>
        </is>
      </c>
      <c r="X159" s="235" t="n"/>
    </row>
    <row r="160">
      <c r="A160" s="391" t="n">
        <v>46081</v>
      </c>
      <c r="B160" s="235" t="inlineStr">
        <is>
          <t>DAIANE STAVICKI</t>
        </is>
      </c>
      <c r="C160" s="235" t="inlineStr">
        <is>
          <t>EMPÓRIO BIO 34</t>
        </is>
      </c>
      <c r="D160" s="235" t="inlineStr">
        <is>
          <t>54.982.936/1426-66</t>
        </is>
      </c>
      <c r="E160" s="235" t="inlineStr">
        <is>
          <t>BA</t>
        </is>
      </c>
      <c r="F160" s="235" t="inlineStr">
        <is>
          <t>MUNDO VERDE</t>
        </is>
      </c>
      <c r="G160" s="235" t="inlineStr">
        <is>
          <t>NOVO</t>
        </is>
      </c>
      <c r="H160" s="235" t="inlineStr"/>
      <c r="I160" s="235" t="n"/>
      <c r="J160" s="235" t="n"/>
      <c r="K160" s="235" t="n"/>
      <c r="L160" s="235" t="n"/>
      <c r="M160" s="235" t="n"/>
      <c r="N160" s="235" t="inlineStr">
        <is>
          <t>SIM</t>
        </is>
      </c>
      <c r="O160" s="235" t="inlineStr">
        <is>
          <t>NÃO</t>
        </is>
      </c>
      <c r="P160" s="235" t="inlineStr">
        <is>
          <t>N/A</t>
        </is>
      </c>
      <c r="Q160" s="235" t="inlineStr">
        <is>
          <t>NEGOCIAÇÃO</t>
        </is>
      </c>
      <c r="R160" s="235" t="inlineStr">
        <is>
          <t>VENDA / PEDIDO</t>
        </is>
      </c>
      <c r="S160" s="235" t="n"/>
      <c r="T160" s="235" t="n"/>
      <c r="U160" s="235" t="n"/>
      <c r="V160" s="235" t="n"/>
      <c r="W160" s="235" t="inlineStr">
        <is>
          <t>SIM</t>
        </is>
      </c>
      <c r="X160" s="235" t="n"/>
    </row>
    <row r="161">
      <c r="A161" s="391" t="n">
        <v>46067</v>
      </c>
      <c r="B161" s="235" t="inlineStr">
        <is>
          <t>MANU DITZEL</t>
        </is>
      </c>
      <c r="C161" s="235" t="inlineStr">
        <is>
          <t>FIT STORE 27</t>
        </is>
      </c>
      <c r="D161" s="235" t="inlineStr">
        <is>
          <t>36.924.160/9341-54</t>
        </is>
      </c>
      <c r="E161" s="235" t="inlineStr">
        <is>
          <t>RS</t>
        </is>
      </c>
      <c r="F161" s="235" t="inlineStr">
        <is>
          <t>VIDA LEVE</t>
        </is>
      </c>
      <c r="G161" s="235" t="inlineStr">
        <is>
          <t>ATIVO</t>
        </is>
      </c>
      <c r="H161" s="235" t="n">
        <v>50</v>
      </c>
      <c r="I161" s="235" t="n"/>
      <c r="J161" s="235" t="n"/>
      <c r="K161" s="235" t="n"/>
      <c r="L161" s="235" t="n"/>
      <c r="M161" s="235" t="n"/>
      <c r="N161" s="235" t="inlineStr">
        <is>
          <t>NÃO</t>
        </is>
      </c>
      <c r="O161" s="235" t="inlineStr">
        <is>
          <t>NÃO</t>
        </is>
      </c>
      <c r="P161" s="235" t="inlineStr">
        <is>
          <t>N/A</t>
        </is>
      </c>
      <c r="Q161" s="235" t="inlineStr">
        <is>
          <t>FOLLOW UP</t>
        </is>
      </c>
      <c r="R161" s="235" t="inlineStr">
        <is>
          <t>FOLLOW UP 7</t>
        </is>
      </c>
      <c r="S161" s="235" t="inlineStr">
        <is>
          <t>SEM INTERESSE NO MOMENTO</t>
        </is>
      </c>
      <c r="T161" s="235" t="n"/>
      <c r="U161" s="235" t="n"/>
      <c r="V161" s="235" t="n"/>
      <c r="W161" s="235" t="inlineStr">
        <is>
          <t>NÃO</t>
        </is>
      </c>
      <c r="X161" s="235" t="n"/>
    </row>
    <row r="162">
      <c r="A162" s="391" t="n">
        <v>46058</v>
      </c>
      <c r="B162" s="235" t="inlineStr">
        <is>
          <t>DAIANE STAVICKI</t>
        </is>
      </c>
      <c r="C162" s="235" t="inlineStr">
        <is>
          <t>NUTRI SHOP 08</t>
        </is>
      </c>
      <c r="D162" s="235" t="inlineStr">
        <is>
          <t>45.987.771/2079-99</t>
        </is>
      </c>
      <c r="E162" s="235" t="inlineStr">
        <is>
          <t>BA</t>
        </is>
      </c>
      <c r="F162" s="235" t="inlineStr">
        <is>
          <t>BIOMUNDO</t>
        </is>
      </c>
      <c r="G162" s="235" t="inlineStr">
        <is>
          <t>INAT.ANT</t>
        </is>
      </c>
      <c r="H162" s="235" t="n">
        <v>154</v>
      </c>
      <c r="I162" s="235" t="n"/>
      <c r="J162" s="235" t="n"/>
      <c r="K162" s="235" t="n"/>
      <c r="L162" s="235" t="n"/>
      <c r="M162" s="235" t="n"/>
      <c r="N162" s="235" t="inlineStr">
        <is>
          <t>SIM</t>
        </is>
      </c>
      <c r="O162" s="235" t="inlineStr">
        <is>
          <t>NÃO</t>
        </is>
      </c>
      <c r="P162" s="235" t="inlineStr">
        <is>
          <t>N/A</t>
        </is>
      </c>
      <c r="Q162" s="235" t="inlineStr">
        <is>
          <t>PÓS-VENDA / RELACIONAMENTO</t>
        </is>
      </c>
      <c r="R162" s="235" t="inlineStr">
        <is>
          <t>SUPORTE</t>
        </is>
      </c>
      <c r="S162" s="235" t="n"/>
      <c r="T162" s="235" t="n"/>
      <c r="U162" s="235" t="n"/>
      <c r="V162" s="235" t="n"/>
      <c r="W162" s="235" t="inlineStr">
        <is>
          <t>SIM</t>
        </is>
      </c>
      <c r="X162" s="235" t="n"/>
    </row>
    <row r="163">
      <c r="A163" s="391" t="n">
        <v>46067</v>
      </c>
      <c r="B163" s="235" t="inlineStr">
        <is>
          <t>LARISSA PADILHA</t>
        </is>
      </c>
      <c r="C163" s="235" t="inlineStr">
        <is>
          <t>VIDA SAUDÁVEL 82</t>
        </is>
      </c>
      <c r="D163" s="235" t="inlineStr">
        <is>
          <t>21.512.627/4559-98</t>
        </is>
      </c>
      <c r="E163" s="235" t="inlineStr">
        <is>
          <t>GO</t>
        </is>
      </c>
      <c r="F163" s="235" t="inlineStr">
        <is>
          <t>CIA DA SAUDE</t>
        </is>
      </c>
      <c r="G163" s="235" t="inlineStr">
        <is>
          <t>PROSPECT</t>
        </is>
      </c>
      <c r="H163" s="235" t="inlineStr"/>
      <c r="I163" s="235" t="n"/>
      <c r="J163" s="235" t="n"/>
      <c r="K163" s="235" t="n"/>
      <c r="L163" s="235" t="n"/>
      <c r="M163" s="235" t="n"/>
      <c r="N163" s="235" t="inlineStr">
        <is>
          <t>NÃO</t>
        </is>
      </c>
      <c r="O163" s="235" t="inlineStr">
        <is>
          <t>NÃO</t>
        </is>
      </c>
      <c r="P163" s="235" t="inlineStr">
        <is>
          <t>N/A</t>
        </is>
      </c>
      <c r="Q163" s="235" t="inlineStr">
        <is>
          <t>FOLLOW UP</t>
        </is>
      </c>
      <c r="R163" s="235" t="inlineStr">
        <is>
          <t>EM ATENDIMENTO</t>
        </is>
      </c>
      <c r="S163" s="235" t="n"/>
      <c r="T163" s="235" t="n"/>
      <c r="U163" s="235" t="n"/>
      <c r="V163" s="235" t="n"/>
      <c r="W163" s="235" t="inlineStr">
        <is>
          <t>NÃO</t>
        </is>
      </c>
      <c r="X163" s="235" t="n"/>
    </row>
    <row r="164">
      <c r="A164" s="391" t="n">
        <v>46068</v>
      </c>
      <c r="B164" s="235" t="inlineStr">
        <is>
          <t>JULIO GADRET</t>
        </is>
      </c>
      <c r="C164" s="235" t="inlineStr">
        <is>
          <t>MARKET FIT 09</t>
        </is>
      </c>
      <c r="D164" s="235" t="inlineStr">
        <is>
          <t>78.507.323/7040-37</t>
        </is>
      </c>
      <c r="E164" s="235" t="inlineStr">
        <is>
          <t>RS</t>
        </is>
      </c>
      <c r="F164" s="235" t="inlineStr">
        <is>
          <t>CIA DA SAUDE</t>
        </is>
      </c>
      <c r="G164" s="235" t="inlineStr">
        <is>
          <t>ATIVO</t>
        </is>
      </c>
      <c r="H164" s="235" t="n">
        <v>40</v>
      </c>
      <c r="I164" s="235" t="n"/>
      <c r="J164" s="235" t="n"/>
      <c r="K164" s="235" t="n"/>
      <c r="L164" s="235" t="n"/>
      <c r="M164" s="235" t="n"/>
      <c r="N164" s="235" t="inlineStr">
        <is>
          <t>SIM</t>
        </is>
      </c>
      <c r="O164" s="235" t="inlineStr">
        <is>
          <t>SIM</t>
        </is>
      </c>
      <c r="P164" s="235" t="inlineStr">
        <is>
          <t>NÃO</t>
        </is>
      </c>
      <c r="Q164" s="235" t="inlineStr">
        <is>
          <t>ATEND. CLIENTES ATIVOS</t>
        </is>
      </c>
      <c r="R164" s="235" t="inlineStr">
        <is>
          <t>FOLLOW UP 7</t>
        </is>
      </c>
      <c r="S164" s="235" t="inlineStr">
        <is>
          <t>AINDA TEM ESTOQUE</t>
        </is>
      </c>
      <c r="T164" s="235" t="n"/>
      <c r="U164" s="235" t="n"/>
      <c r="V164" s="235" t="n"/>
      <c r="W164" s="235" t="inlineStr">
        <is>
          <t>SIM</t>
        </is>
      </c>
      <c r="X164" s="235" t="n"/>
    </row>
    <row r="165">
      <c r="A165" s="391" t="n">
        <v>46079</v>
      </c>
      <c r="B165" s="235" t="inlineStr">
        <is>
          <t>DAIANE STAVICKI</t>
        </is>
      </c>
      <c r="C165" s="235" t="inlineStr">
        <is>
          <t>EMPÓRIO NATURAL 16</t>
        </is>
      </c>
      <c r="D165" s="235" t="inlineStr">
        <is>
          <t>30.551.567/0012-64</t>
        </is>
      </c>
      <c r="E165" s="235" t="inlineStr">
        <is>
          <t>PR</t>
        </is>
      </c>
      <c r="F165" s="235" t="inlineStr">
        <is>
          <t>TUDO EM GRAOS</t>
        </is>
      </c>
      <c r="G165" s="235" t="inlineStr">
        <is>
          <t>ATIVO</t>
        </is>
      </c>
      <c r="H165" s="235" t="n">
        <v>46</v>
      </c>
      <c r="I165" s="235" t="n"/>
      <c r="J165" s="235" t="n"/>
      <c r="K165" s="235" t="n"/>
      <c r="L165" s="235" t="n"/>
      <c r="M165" s="235" t="n"/>
      <c r="N165" s="235" t="inlineStr">
        <is>
          <t>NÃO</t>
        </is>
      </c>
      <c r="O165" s="235" t="inlineStr">
        <is>
          <t>SIM</t>
        </is>
      </c>
      <c r="P165" s="235" t="inlineStr">
        <is>
          <t>SIM</t>
        </is>
      </c>
      <c r="Q165" s="235" t="inlineStr">
        <is>
          <t>FOLLOW UP</t>
        </is>
      </c>
      <c r="R165" s="235" t="inlineStr">
        <is>
          <t>NÃO RESPONDE</t>
        </is>
      </c>
      <c r="S165" s="235" t="inlineStr">
        <is>
          <t>AINDA TEM ESTOQUE</t>
        </is>
      </c>
      <c r="T165" s="235" t="n"/>
      <c r="U165" s="235" t="n"/>
      <c r="V165" s="235" t="n"/>
      <c r="W165" s="235" t="inlineStr">
        <is>
          <t>NÃO</t>
        </is>
      </c>
      <c r="X165" s="235" t="n"/>
    </row>
    <row r="166">
      <c r="A166" s="391" t="n">
        <v>46074</v>
      </c>
      <c r="B166" s="235" t="inlineStr">
        <is>
          <t>MANU DITZEL</t>
        </is>
      </c>
      <c r="C166" s="235" t="inlineStr">
        <is>
          <t>TUDO GRÃOS SC 81</t>
        </is>
      </c>
      <c r="D166" s="235" t="inlineStr">
        <is>
          <t>49.843.816/3837-64</t>
        </is>
      </c>
      <c r="E166" s="235" t="inlineStr">
        <is>
          <t>SP</t>
        </is>
      </c>
      <c r="F166" s="235" t="inlineStr">
        <is>
          <t>DEMAIS CLIENTES</t>
        </is>
      </c>
      <c r="G166" s="235" t="inlineStr">
        <is>
          <t>ATIVO</t>
        </is>
      </c>
      <c r="H166" s="235" t="n">
        <v>35</v>
      </c>
      <c r="I166" s="235" t="n"/>
      <c r="J166" s="235" t="n"/>
      <c r="K166" s="235" t="n"/>
      <c r="L166" s="235" t="n"/>
      <c r="M166" s="235" t="n"/>
      <c r="N166" s="235" t="inlineStr">
        <is>
          <t>SIM</t>
        </is>
      </c>
      <c r="O166" s="235" t="inlineStr">
        <is>
          <t>SIM</t>
        </is>
      </c>
      <c r="P166" s="235" t="inlineStr">
        <is>
          <t>SIM</t>
        </is>
      </c>
      <c r="Q166" s="235" t="inlineStr">
        <is>
          <t>PROSPECÇÃO</t>
        </is>
      </c>
      <c r="R166" s="235" t="inlineStr">
        <is>
          <t>NÃO ATENDE</t>
        </is>
      </c>
      <c r="S166" s="235" t="inlineStr">
        <is>
          <t>PRODUTO NÃO VENDEU / SEM GIRO</t>
        </is>
      </c>
      <c r="T166" s="235" t="n"/>
      <c r="U166" s="235" t="n"/>
      <c r="V166" s="235" t="n"/>
      <c r="W166" s="235" t="inlineStr">
        <is>
          <t>SIM</t>
        </is>
      </c>
      <c r="X166" s="235" t="n"/>
    </row>
    <row r="167">
      <c r="A167" s="391" t="n">
        <v>46081</v>
      </c>
      <c r="B167" s="235" t="inlineStr">
        <is>
          <t>LARISSA PADILHA</t>
        </is>
      </c>
      <c r="C167" s="235" t="inlineStr">
        <is>
          <t>FIT STORE 62</t>
        </is>
      </c>
      <c r="D167" s="235" t="inlineStr">
        <is>
          <t>19.334.492/1464-23</t>
        </is>
      </c>
      <c r="E167" s="235" t="inlineStr">
        <is>
          <t>PR</t>
        </is>
      </c>
      <c r="F167" s="235" t="inlineStr">
        <is>
          <t>CIA DA SAUDE</t>
        </is>
      </c>
      <c r="G167" s="235" t="inlineStr">
        <is>
          <t>ATIVO</t>
        </is>
      </c>
      <c r="H167" s="235" t="n">
        <v>29</v>
      </c>
      <c r="I167" s="235" t="n"/>
      <c r="J167" s="235" t="n"/>
      <c r="K167" s="235" t="n"/>
      <c r="L167" s="235" t="n"/>
      <c r="M167" s="235" t="n"/>
      <c r="N167" s="235" t="inlineStr">
        <is>
          <t>SIM</t>
        </is>
      </c>
      <c r="O167" s="235" t="inlineStr">
        <is>
          <t>NÃO</t>
        </is>
      </c>
      <c r="P167" s="235" t="inlineStr">
        <is>
          <t>N/A</t>
        </is>
      </c>
      <c r="Q167" s="235" t="inlineStr">
        <is>
          <t>PÓS-VENDA / RELACIONAMENTO</t>
        </is>
      </c>
      <c r="R167" s="235" t="inlineStr">
        <is>
          <t>VENDA / PEDIDO</t>
        </is>
      </c>
      <c r="S167" s="235" t="n"/>
      <c r="T167" s="235" t="n"/>
      <c r="U167" s="235" t="n"/>
      <c r="V167" s="235" t="n"/>
      <c r="W167" s="235" t="inlineStr">
        <is>
          <t>SIM</t>
        </is>
      </c>
      <c r="X167" s="235" t="n"/>
    </row>
    <row r="168">
      <c r="A168" s="391" t="n">
        <v>46070</v>
      </c>
      <c r="B168" s="235" t="inlineStr">
        <is>
          <t>LARISSA PADILHA</t>
        </is>
      </c>
      <c r="C168" s="235" t="inlineStr">
        <is>
          <t>CORPO E MENTE 84</t>
        </is>
      </c>
      <c r="D168" s="235" t="inlineStr">
        <is>
          <t>31.550.459/3491-90</t>
        </is>
      </c>
      <c r="E168" s="235" t="inlineStr">
        <is>
          <t>RJ</t>
        </is>
      </c>
      <c r="F168" s="235" t="inlineStr">
        <is>
          <t>DEMAIS CLIENTES</t>
        </is>
      </c>
      <c r="G168" s="235" t="inlineStr">
        <is>
          <t>INAT.REC</t>
        </is>
      </c>
      <c r="H168" s="235" t="n">
        <v>75</v>
      </c>
      <c r="I168" s="235" t="n"/>
      <c r="J168" s="235" t="n"/>
      <c r="K168" s="235" t="n"/>
      <c r="L168" s="235" t="n"/>
      <c r="M168" s="235" t="n"/>
      <c r="N168" s="235" t="inlineStr">
        <is>
          <t>SIM</t>
        </is>
      </c>
      <c r="O168" s="235" t="inlineStr">
        <is>
          <t>NÃO</t>
        </is>
      </c>
      <c r="P168" s="235" t="inlineStr">
        <is>
          <t>N/A</t>
        </is>
      </c>
      <c r="Q168" s="235" t="inlineStr">
        <is>
          <t>PÓS-VENDA / RELACIONAMENTO</t>
        </is>
      </c>
      <c r="R168" s="235" t="inlineStr">
        <is>
          <t>RELACIONAMENTO</t>
        </is>
      </c>
      <c r="S168" s="235" t="n"/>
      <c r="T168" s="235" t="n"/>
      <c r="U168" s="235" t="n"/>
      <c r="V168" s="235" t="n"/>
      <c r="W168" s="235" t="inlineStr">
        <is>
          <t>SIM</t>
        </is>
      </c>
      <c r="X168" s="235" t="n"/>
    </row>
    <row r="169">
      <c r="A169" s="391" t="n">
        <v>46066</v>
      </c>
      <c r="B169" s="235" t="inlineStr">
        <is>
          <t>LARISSA PADILHA</t>
        </is>
      </c>
      <c r="C169" s="235" t="inlineStr">
        <is>
          <t>SAUDE NA MESA 41</t>
        </is>
      </c>
      <c r="D169" s="235" t="inlineStr">
        <is>
          <t>27.353.383/1381-41</t>
        </is>
      </c>
      <c r="E169" s="235" t="inlineStr">
        <is>
          <t>SP</t>
        </is>
      </c>
      <c r="F169" s="235" t="inlineStr">
        <is>
          <t>VIDA LEVE</t>
        </is>
      </c>
      <c r="G169" s="235" t="inlineStr">
        <is>
          <t>INAT.REC</t>
        </is>
      </c>
      <c r="H169" s="235" t="n">
        <v>85</v>
      </c>
      <c r="I169" s="235" t="n"/>
      <c r="J169" s="235" t="n"/>
      <c r="K169" s="235" t="n"/>
      <c r="L169" s="235" t="n"/>
      <c r="M169" s="235" t="n"/>
      <c r="N169" s="235" t="inlineStr">
        <is>
          <t>NÃO</t>
        </is>
      </c>
      <c r="O169" s="235" t="inlineStr">
        <is>
          <t>NÃO</t>
        </is>
      </c>
      <c r="P169" s="235" t="inlineStr">
        <is>
          <t>N/A</t>
        </is>
      </c>
      <c r="Q169" s="235" t="inlineStr">
        <is>
          <t>PERDA / NUTRIÇÃO</t>
        </is>
      </c>
      <c r="R169" s="235" t="inlineStr">
        <is>
          <t>PERDA / FECHOU LOJA</t>
        </is>
      </c>
      <c r="S169" s="235" t="inlineStr">
        <is>
          <t>AINDA TEM ESTOQUE</t>
        </is>
      </c>
      <c r="T169" s="235" t="n"/>
      <c r="U169" s="235" t="n"/>
      <c r="V169" s="235" t="n"/>
      <c r="W169" s="235" t="inlineStr">
        <is>
          <t>SIM</t>
        </is>
      </c>
      <c r="X169" s="235" t="n"/>
    </row>
    <row r="170">
      <c r="A170" s="391" t="n">
        <v>46060</v>
      </c>
      <c r="B170" s="235" t="inlineStr">
        <is>
          <t>JULIO GADRET</t>
        </is>
      </c>
      <c r="C170" s="235" t="inlineStr">
        <is>
          <t>ECO SAUDE 83</t>
        </is>
      </c>
      <c r="D170" s="235" t="inlineStr">
        <is>
          <t>16.902.912/3922-73</t>
        </is>
      </c>
      <c r="E170" s="235" t="inlineStr">
        <is>
          <t>SC</t>
        </is>
      </c>
      <c r="F170" s="235" t="inlineStr">
        <is>
          <t>BIOMUNDO</t>
        </is>
      </c>
      <c r="G170" s="235" t="inlineStr">
        <is>
          <t>INAT.ANT</t>
        </is>
      </c>
      <c r="H170" s="235" t="n">
        <v>109</v>
      </c>
      <c r="I170" s="235" t="n"/>
      <c r="J170" s="235" t="n"/>
      <c r="K170" s="235" t="n"/>
      <c r="L170" s="235" t="n"/>
      <c r="M170" s="235" t="n"/>
      <c r="N170" s="235" t="inlineStr">
        <is>
          <t>NÃO</t>
        </is>
      </c>
      <c r="O170" s="235" t="inlineStr">
        <is>
          <t>NÃO</t>
        </is>
      </c>
      <c r="P170" s="235" t="inlineStr">
        <is>
          <t>N/A</t>
        </is>
      </c>
      <c r="Q170" s="235" t="inlineStr">
        <is>
          <t>ATEND. CLIENTES ATIVOS</t>
        </is>
      </c>
      <c r="R170" s="235" t="inlineStr">
        <is>
          <t>NÃO ATENDE</t>
        </is>
      </c>
      <c r="S170" s="235" t="inlineStr">
        <is>
          <t>AINDA TEM ESTOQUE</t>
        </is>
      </c>
      <c r="T170" s="235" t="n"/>
      <c r="U170" s="235" t="n"/>
      <c r="V170" s="235" t="n"/>
      <c r="W170" s="235" t="inlineStr">
        <is>
          <t>NÃO</t>
        </is>
      </c>
      <c r="X170" s="235" t="n"/>
    </row>
    <row r="171">
      <c r="A171" s="391" t="n">
        <v>46072</v>
      </c>
      <c r="B171" s="235" t="inlineStr">
        <is>
          <t>LARISSA PADILHA</t>
        </is>
      </c>
      <c r="C171" s="235" t="inlineStr">
        <is>
          <t>BIO FIT 88</t>
        </is>
      </c>
      <c r="D171" s="235" t="inlineStr">
        <is>
          <t>32.881.582/1196-12</t>
        </is>
      </c>
      <c r="E171" s="235" t="inlineStr">
        <is>
          <t>SP</t>
        </is>
      </c>
      <c r="F171" s="235" t="inlineStr">
        <is>
          <t>MUNDO VERDE</t>
        </is>
      </c>
      <c r="G171" s="235" t="inlineStr">
        <is>
          <t>ATIVO</t>
        </is>
      </c>
      <c r="H171" s="235" t="n">
        <v>8</v>
      </c>
      <c r="I171" s="235" t="n"/>
      <c r="J171" s="235" t="n"/>
      <c r="K171" s="235" t="n"/>
      <c r="L171" s="235" t="n"/>
      <c r="M171" s="235" t="n"/>
      <c r="N171" s="235" t="inlineStr">
        <is>
          <t>SIM</t>
        </is>
      </c>
      <c r="O171" s="235" t="inlineStr">
        <is>
          <t>NÃO</t>
        </is>
      </c>
      <c r="P171" s="235" t="inlineStr">
        <is>
          <t>N/A</t>
        </is>
      </c>
      <c r="Q171" s="235" t="inlineStr">
        <is>
          <t>PERDA / NUTRIÇÃO</t>
        </is>
      </c>
      <c r="R171" s="235" t="inlineStr">
        <is>
          <t>NÃO ATENDE</t>
        </is>
      </c>
      <c r="S171" s="235" t="inlineStr">
        <is>
          <t>PROPRIETARIO / INDISPONÍVEL</t>
        </is>
      </c>
      <c r="T171" s="235" t="n"/>
      <c r="U171" s="235" t="n"/>
      <c r="V171" s="235" t="n"/>
      <c r="W171" s="235" t="inlineStr">
        <is>
          <t>SIM</t>
        </is>
      </c>
      <c r="X171" s="235" t="n"/>
    </row>
    <row r="172">
      <c r="A172" s="391" t="n">
        <v>46066</v>
      </c>
      <c r="B172" s="235" t="inlineStr">
        <is>
          <t>MANU DITZEL</t>
        </is>
      </c>
      <c r="C172" s="235" t="inlineStr">
        <is>
          <t>BIO FIT 69</t>
        </is>
      </c>
      <c r="D172" s="235" t="inlineStr">
        <is>
          <t>88.256.384/1370-49</t>
        </is>
      </c>
      <c r="E172" s="235" t="inlineStr">
        <is>
          <t>PR</t>
        </is>
      </c>
      <c r="F172" s="235" t="inlineStr">
        <is>
          <t>DEMAIS CLIENTES</t>
        </is>
      </c>
      <c r="G172" s="235" t="inlineStr">
        <is>
          <t>PROSPECT</t>
        </is>
      </c>
      <c r="H172" s="235" t="inlineStr"/>
      <c r="I172" s="235" t="n"/>
      <c r="J172" s="235" t="n"/>
      <c r="K172" s="235" t="n"/>
      <c r="L172" s="235" t="n"/>
      <c r="M172" s="235" t="n"/>
      <c r="N172" s="235" t="inlineStr">
        <is>
          <t>SIM</t>
        </is>
      </c>
      <c r="O172" s="235" t="inlineStr">
        <is>
          <t>NÃO</t>
        </is>
      </c>
      <c r="P172" s="235" t="inlineStr">
        <is>
          <t>N/A</t>
        </is>
      </c>
      <c r="Q172" s="235" t="inlineStr">
        <is>
          <t>NEGOCIAÇÃO</t>
        </is>
      </c>
      <c r="R172" s="235" t="inlineStr">
        <is>
          <t>ORÇAMENTO</t>
        </is>
      </c>
      <c r="S172" s="235" t="n"/>
      <c r="T172" s="235" t="n"/>
      <c r="U172" s="235" t="n"/>
      <c r="V172" s="235" t="n"/>
      <c r="W172" s="235" t="inlineStr">
        <is>
          <t>SIM</t>
        </is>
      </c>
      <c r="X172" s="235" t="n"/>
    </row>
    <row r="173">
      <c r="A173" s="391" t="n">
        <v>46074</v>
      </c>
      <c r="B173" s="235" t="inlineStr">
        <is>
          <t>MANU DITZEL</t>
        </is>
      </c>
      <c r="C173" s="235" t="inlineStr">
        <is>
          <t>SAUDE NA MESA 94</t>
        </is>
      </c>
      <c r="D173" s="235" t="inlineStr">
        <is>
          <t>40.159.350/1413-65</t>
        </is>
      </c>
      <c r="E173" s="235" t="inlineStr">
        <is>
          <t>PR</t>
        </is>
      </c>
      <c r="F173" s="235" t="inlineStr">
        <is>
          <t>VIDA LEVE</t>
        </is>
      </c>
      <c r="G173" s="235" t="inlineStr">
        <is>
          <t>ATIVO</t>
        </is>
      </c>
      <c r="H173" s="235" t="n">
        <v>47</v>
      </c>
      <c r="I173" s="235" t="n"/>
      <c r="J173" s="235" t="n"/>
      <c r="K173" s="235" t="n"/>
      <c r="L173" s="235" t="n"/>
      <c r="M173" s="235" t="n"/>
      <c r="N173" s="235" t="inlineStr">
        <is>
          <t>SIM</t>
        </is>
      </c>
      <c r="O173" s="235" t="inlineStr">
        <is>
          <t>NÃO</t>
        </is>
      </c>
      <c r="P173" s="235" t="inlineStr">
        <is>
          <t>N/A</t>
        </is>
      </c>
      <c r="Q173" s="235" t="inlineStr">
        <is>
          <t>ATEND. CLIENTES INATIVOS</t>
        </is>
      </c>
      <c r="R173" s="235" t="inlineStr">
        <is>
          <t>CADASTRO</t>
        </is>
      </c>
      <c r="S173" s="235" t="n"/>
      <c r="T173" s="235" t="n"/>
      <c r="U173" s="235" t="n"/>
      <c r="V173" s="235" t="n"/>
      <c r="W173" s="235" t="inlineStr">
        <is>
          <t>NÃO</t>
        </is>
      </c>
      <c r="X173" s="235" t="n"/>
    </row>
    <row r="174">
      <c r="A174" s="391" t="n">
        <v>46059</v>
      </c>
      <c r="B174" s="235" t="inlineStr">
        <is>
          <t>LARISSA PADILHA</t>
        </is>
      </c>
      <c r="C174" s="235" t="inlineStr">
        <is>
          <t>MARKET FIT 67</t>
        </is>
      </c>
      <c r="D174" s="235" t="inlineStr">
        <is>
          <t>76.901.942/4248-31</t>
        </is>
      </c>
      <c r="E174" s="235" t="inlineStr">
        <is>
          <t>SC</t>
        </is>
      </c>
      <c r="F174" s="235" t="inlineStr">
        <is>
          <t>DEMAIS CLIENTES</t>
        </is>
      </c>
      <c r="G174" s="235" t="inlineStr">
        <is>
          <t>NOVO</t>
        </is>
      </c>
      <c r="H174" s="235" t="inlineStr"/>
      <c r="I174" s="235" t="n"/>
      <c r="J174" s="235" t="n"/>
      <c r="K174" s="235" t="n"/>
      <c r="L174" s="235" t="n"/>
      <c r="M174" s="235" t="n"/>
      <c r="N174" s="235" t="inlineStr">
        <is>
          <t>NÃO</t>
        </is>
      </c>
      <c r="O174" s="235" t="inlineStr">
        <is>
          <t>SIM</t>
        </is>
      </c>
      <c r="P174" s="235" t="inlineStr">
        <is>
          <t>SIM</t>
        </is>
      </c>
      <c r="Q174" s="235" t="inlineStr">
        <is>
          <t>ATEND. CLIENTES INATIVOS</t>
        </is>
      </c>
      <c r="R174" s="235" t="inlineStr">
        <is>
          <t>EM ATENDIMENTO</t>
        </is>
      </c>
      <c r="S174" s="235" t="n"/>
      <c r="T174" s="235" t="n"/>
      <c r="U174" s="235" t="n"/>
      <c r="V174" s="235" t="n"/>
      <c r="W174" s="235" t="inlineStr">
        <is>
          <t>SIM</t>
        </is>
      </c>
      <c r="X174" s="235" t="n"/>
    </row>
    <row r="175">
      <c r="A175" s="391" t="n">
        <v>46062</v>
      </c>
      <c r="B175" s="235" t="inlineStr">
        <is>
          <t>JULIO GADRET</t>
        </is>
      </c>
      <c r="C175" s="235" t="inlineStr">
        <is>
          <t>PURA VIDA 81</t>
        </is>
      </c>
      <c r="D175" s="235" t="inlineStr">
        <is>
          <t>19.608.566/8369-56</t>
        </is>
      </c>
      <c r="E175" s="235" t="inlineStr">
        <is>
          <t>PR</t>
        </is>
      </c>
      <c r="F175" s="235" t="inlineStr">
        <is>
          <t>DEMAIS CLIENTES</t>
        </is>
      </c>
      <c r="G175" s="235" t="inlineStr">
        <is>
          <t>ATIVO</t>
        </is>
      </c>
      <c r="H175" s="235" t="n">
        <v>15</v>
      </c>
      <c r="I175" s="235" t="n"/>
      <c r="J175" s="235" t="n"/>
      <c r="K175" s="235" t="n"/>
      <c r="L175" s="235" t="n"/>
      <c r="M175" s="235" t="n"/>
      <c r="N175" s="235" t="inlineStr">
        <is>
          <t>SIM</t>
        </is>
      </c>
      <c r="O175" s="235" t="inlineStr">
        <is>
          <t>NÃO</t>
        </is>
      </c>
      <c r="P175" s="235" t="inlineStr">
        <is>
          <t>N/A</t>
        </is>
      </c>
      <c r="Q175" s="235" t="inlineStr">
        <is>
          <t>FOLLOW UP</t>
        </is>
      </c>
      <c r="R175" s="235" t="inlineStr">
        <is>
          <t>EM ATENDIMENTO</t>
        </is>
      </c>
      <c r="S175" s="235" t="n"/>
      <c r="T175" s="235" t="n"/>
      <c r="U175" s="235" t="n"/>
      <c r="V175" s="235" t="n"/>
      <c r="W175" s="235" t="inlineStr">
        <is>
          <t>SIM</t>
        </is>
      </c>
      <c r="X175" s="235" t="n"/>
    </row>
    <row r="176">
      <c r="A176" s="391" t="n">
        <v>46070</v>
      </c>
      <c r="B176" s="235" t="inlineStr">
        <is>
          <t>MANU DITZEL</t>
        </is>
      </c>
      <c r="C176" s="235" t="inlineStr">
        <is>
          <t>NUTRI VIDA 32</t>
        </is>
      </c>
      <c r="D176" s="235" t="inlineStr">
        <is>
          <t>15.583.472/6275-29</t>
        </is>
      </c>
      <c r="E176" s="235" t="inlineStr">
        <is>
          <t>PR</t>
        </is>
      </c>
      <c r="F176" s="235" t="inlineStr">
        <is>
          <t>DEMAIS CLIENTES</t>
        </is>
      </c>
      <c r="G176" s="235" t="inlineStr">
        <is>
          <t>ATIVO</t>
        </is>
      </c>
      <c r="H176" s="235" t="n">
        <v>50</v>
      </c>
      <c r="I176" s="235" t="n"/>
      <c r="J176" s="235" t="n"/>
      <c r="K176" s="235" t="n"/>
      <c r="L176" s="235" t="n"/>
      <c r="M176" s="235" t="n"/>
      <c r="N176" s="235" t="inlineStr">
        <is>
          <t>SIM</t>
        </is>
      </c>
      <c r="O176" s="235" t="inlineStr">
        <is>
          <t>SIM</t>
        </is>
      </c>
      <c r="P176" s="235" t="inlineStr">
        <is>
          <t>NÃO</t>
        </is>
      </c>
      <c r="Q176" s="235" t="inlineStr">
        <is>
          <t>ATEND. CLIENTES INATIVOS</t>
        </is>
      </c>
      <c r="R176" s="235" t="inlineStr">
        <is>
          <t>NÃO RESPONDE</t>
        </is>
      </c>
      <c r="S176" s="235" t="inlineStr">
        <is>
          <t>PRODUTO NÃO VENDEU / SEM GIRO</t>
        </is>
      </c>
      <c r="T176" s="235" t="n"/>
      <c r="U176" s="235" t="n"/>
      <c r="V176" s="235" t="n"/>
      <c r="W176" s="235" t="inlineStr">
        <is>
          <t>SIM</t>
        </is>
      </c>
      <c r="X176" s="235" t="n"/>
    </row>
    <row r="177">
      <c r="A177" s="391" t="n">
        <v>46065</v>
      </c>
      <c r="B177" s="235" t="inlineStr">
        <is>
          <t>MANU DITZEL</t>
        </is>
      </c>
      <c r="C177" s="235" t="inlineStr">
        <is>
          <t>BIOMUNDO CTB 23</t>
        </is>
      </c>
      <c r="D177" s="235" t="inlineStr">
        <is>
          <t>38.923.628/0753-61</t>
        </is>
      </c>
      <c r="E177" s="235" t="inlineStr">
        <is>
          <t>PR</t>
        </is>
      </c>
      <c r="F177" s="235" t="inlineStr">
        <is>
          <t>DIVINA TERRA</t>
        </is>
      </c>
      <c r="G177" s="235" t="inlineStr">
        <is>
          <t>ATIVO</t>
        </is>
      </c>
      <c r="H177" s="235" t="n">
        <v>24</v>
      </c>
      <c r="I177" s="235" t="n"/>
      <c r="J177" s="235" t="n"/>
      <c r="K177" s="235" t="n"/>
      <c r="L177" s="235" t="n"/>
      <c r="M177" s="235" t="n"/>
      <c r="N177" s="235" t="inlineStr">
        <is>
          <t>SIM</t>
        </is>
      </c>
      <c r="O177" s="235" t="inlineStr">
        <is>
          <t>SIM</t>
        </is>
      </c>
      <c r="P177" s="235" t="inlineStr">
        <is>
          <t>NÃO</t>
        </is>
      </c>
      <c r="Q177" s="235" t="inlineStr">
        <is>
          <t>FOLLOW UP</t>
        </is>
      </c>
      <c r="R177" s="235" t="inlineStr">
        <is>
          <t>FOLLOW UP 7</t>
        </is>
      </c>
      <c r="S177" s="235" t="inlineStr">
        <is>
          <t>PRODUTO NÃO VENDEU / SEM GIRO</t>
        </is>
      </c>
      <c r="T177" s="235" t="n"/>
      <c r="U177" s="235" t="n"/>
      <c r="V177" s="235" t="n"/>
      <c r="W177" s="235" t="inlineStr">
        <is>
          <t>SIM</t>
        </is>
      </c>
      <c r="X177" s="235" t="n"/>
    </row>
    <row r="178">
      <c r="A178" s="391" t="n">
        <v>46068</v>
      </c>
      <c r="B178" s="235" t="inlineStr">
        <is>
          <t>LARISSA PADILHA</t>
        </is>
      </c>
      <c r="C178" s="235" t="inlineStr">
        <is>
          <t>POWER NATURAL 99</t>
        </is>
      </c>
      <c r="D178" s="235" t="inlineStr">
        <is>
          <t>35.850.659/4017-29</t>
        </is>
      </c>
      <c r="E178" s="235" t="inlineStr">
        <is>
          <t>PR</t>
        </is>
      </c>
      <c r="F178" s="235" t="inlineStr">
        <is>
          <t>FIT LAND</t>
        </is>
      </c>
      <c r="G178" s="235" t="inlineStr">
        <is>
          <t>ATIVO</t>
        </is>
      </c>
      <c r="H178" s="235" t="n">
        <v>27</v>
      </c>
      <c r="I178" s="235" t="n"/>
      <c r="J178" s="235" t="n"/>
      <c r="K178" s="235" t="n"/>
      <c r="L178" s="235" t="n"/>
      <c r="M178" s="235" t="n"/>
      <c r="N178" s="235" t="inlineStr">
        <is>
          <t>SIM</t>
        </is>
      </c>
      <c r="O178" s="235" t="inlineStr">
        <is>
          <t>SIM</t>
        </is>
      </c>
      <c r="P178" s="235" t="inlineStr">
        <is>
          <t>NÃO</t>
        </is>
      </c>
      <c r="Q178" s="235" t="inlineStr">
        <is>
          <t>ATEND. CLIENTES INATIVOS</t>
        </is>
      </c>
      <c r="R178" s="235" t="inlineStr">
        <is>
          <t>ORÇAMENTO</t>
        </is>
      </c>
      <c r="S178" s="235" t="n"/>
      <c r="T178" s="235" t="n"/>
      <c r="U178" s="235" t="n"/>
      <c r="V178" s="235" t="n"/>
      <c r="W178" s="235" t="inlineStr">
        <is>
          <t>SIM</t>
        </is>
      </c>
      <c r="X178" s="235" t="n"/>
    </row>
    <row r="179">
      <c r="A179" s="391" t="n">
        <v>46077</v>
      </c>
      <c r="B179" s="235" t="inlineStr">
        <is>
          <t>JULIO GADRET</t>
        </is>
      </c>
      <c r="C179" s="235" t="inlineStr">
        <is>
          <t>NATURAL POINT 27</t>
        </is>
      </c>
      <c r="D179" s="235" t="inlineStr">
        <is>
          <t>77.343.529/8062-17</t>
        </is>
      </c>
      <c r="E179" s="235" t="inlineStr">
        <is>
          <t>CE</t>
        </is>
      </c>
      <c r="F179" s="235" t="inlineStr">
        <is>
          <t>MUNDO VERDE</t>
        </is>
      </c>
      <c r="G179" s="235" t="inlineStr">
        <is>
          <t>ATIVO</t>
        </is>
      </c>
      <c r="H179" s="235" t="n">
        <v>7</v>
      </c>
      <c r="I179" s="235" t="n"/>
      <c r="J179" s="235" t="n"/>
      <c r="K179" s="235" t="n"/>
      <c r="L179" s="235" t="n"/>
      <c r="M179" s="235" t="n"/>
      <c r="N179" s="235" t="inlineStr">
        <is>
          <t>SIM</t>
        </is>
      </c>
      <c r="O179" s="235" t="inlineStr">
        <is>
          <t>NÃO</t>
        </is>
      </c>
      <c r="P179" s="235" t="inlineStr">
        <is>
          <t>N/A</t>
        </is>
      </c>
      <c r="Q179" s="235" t="inlineStr">
        <is>
          <t>PÓS-VENDA / RELACIONAMENTO</t>
        </is>
      </c>
      <c r="R179" s="235" t="inlineStr">
        <is>
          <t>NÃO ATENDE</t>
        </is>
      </c>
      <c r="S179" s="235" t="inlineStr">
        <is>
          <t>PRODUTO NÃO VENDEU / SEM GIRO</t>
        </is>
      </c>
      <c r="T179" s="235" t="n"/>
      <c r="U179" s="235" t="n"/>
      <c r="V179" s="235" t="n"/>
      <c r="W179" s="235" t="inlineStr">
        <is>
          <t>NÃO</t>
        </is>
      </c>
      <c r="X179" s="235" t="n"/>
    </row>
    <row r="180">
      <c r="A180" s="391" t="n">
        <v>46056</v>
      </c>
      <c r="B180" s="235" t="inlineStr">
        <is>
          <t>LARISSA PADILHA</t>
        </is>
      </c>
      <c r="C180" s="235" t="inlineStr">
        <is>
          <t>GRÃO FINO 18</t>
        </is>
      </c>
      <c r="D180" s="235" t="inlineStr">
        <is>
          <t>91.939.503/1227-85</t>
        </is>
      </c>
      <c r="E180" s="235" t="inlineStr">
        <is>
          <t>SP</t>
        </is>
      </c>
      <c r="F180" s="235" t="inlineStr">
        <is>
          <t>FIT LAND</t>
        </is>
      </c>
      <c r="G180" s="235" t="inlineStr">
        <is>
          <t>PROSPECT</t>
        </is>
      </c>
      <c r="H180" s="235" t="inlineStr"/>
      <c r="I180" s="235" t="n"/>
      <c r="J180" s="235" t="n"/>
      <c r="K180" s="235" t="n"/>
      <c r="L180" s="235" t="n"/>
      <c r="M180" s="235" t="n"/>
      <c r="N180" s="235" t="inlineStr">
        <is>
          <t>SIM</t>
        </is>
      </c>
      <c r="O180" s="235" t="inlineStr">
        <is>
          <t>NÃO</t>
        </is>
      </c>
      <c r="P180" s="235" t="inlineStr">
        <is>
          <t>N/A</t>
        </is>
      </c>
      <c r="Q180" s="235" t="inlineStr">
        <is>
          <t>NEGOCIAÇÃO</t>
        </is>
      </c>
      <c r="R180" s="235" t="inlineStr">
        <is>
          <t>ORÇAMENTO</t>
        </is>
      </c>
      <c r="S180" s="235" t="n"/>
      <c r="T180" s="235" t="n"/>
      <c r="U180" s="235" t="n"/>
      <c r="V180" s="235" t="n"/>
      <c r="W180" s="235" t="inlineStr">
        <is>
          <t>NÃO</t>
        </is>
      </c>
      <c r="X180" s="235" t="n"/>
    </row>
    <row r="181">
      <c r="A181" s="391" t="n">
        <v>46077</v>
      </c>
      <c r="B181" s="235" t="inlineStr">
        <is>
          <t>MANU DITZEL</t>
        </is>
      </c>
      <c r="C181" s="235" t="inlineStr">
        <is>
          <t>EMPÓRIO BIO 35</t>
        </is>
      </c>
      <c r="D181" s="235" t="inlineStr">
        <is>
          <t>39.176.307/2231-84</t>
        </is>
      </c>
      <c r="E181" s="235" t="inlineStr">
        <is>
          <t>PR</t>
        </is>
      </c>
      <c r="F181" s="235" t="inlineStr">
        <is>
          <t>MUNDO VERDE</t>
        </is>
      </c>
      <c r="G181" s="235" t="inlineStr">
        <is>
          <t>EM RISCO</t>
        </is>
      </c>
      <c r="H181" s="235" t="n">
        <v>56</v>
      </c>
      <c r="I181" s="235" t="n"/>
      <c r="J181" s="235" t="n"/>
      <c r="K181" s="235" t="n"/>
      <c r="L181" s="235" t="n"/>
      <c r="M181" s="235" t="n"/>
      <c r="N181" s="235" t="inlineStr">
        <is>
          <t>NÃO</t>
        </is>
      </c>
      <c r="O181" s="235" t="inlineStr">
        <is>
          <t>SIM</t>
        </is>
      </c>
      <c r="P181" s="235" t="inlineStr">
        <is>
          <t>SIM</t>
        </is>
      </c>
      <c r="Q181" s="235" t="inlineStr">
        <is>
          <t>ATEND. CLIENTES ATIVOS</t>
        </is>
      </c>
      <c r="R181" s="235" t="inlineStr">
        <is>
          <t>RELACIONAMENTO</t>
        </is>
      </c>
      <c r="S181" s="235" t="n"/>
      <c r="T181" s="235" t="n"/>
      <c r="U181" s="235" t="n"/>
      <c r="V181" s="235" t="n"/>
      <c r="W181" s="235" t="inlineStr">
        <is>
          <t>SIM</t>
        </is>
      </c>
      <c r="X181" s="235" t="n"/>
    </row>
    <row r="182">
      <c r="A182" s="391" t="n">
        <v>46057</v>
      </c>
      <c r="B182" s="235" t="inlineStr">
        <is>
          <t>MANU DITZEL</t>
        </is>
      </c>
      <c r="C182" s="235" t="inlineStr">
        <is>
          <t>EMPÓRIO DO CAMPO 91</t>
        </is>
      </c>
      <c r="D182" s="235" t="inlineStr">
        <is>
          <t>99.717.141/3523-51</t>
        </is>
      </c>
      <c r="E182" s="235" t="inlineStr">
        <is>
          <t>PR</t>
        </is>
      </c>
      <c r="F182" s="235" t="inlineStr">
        <is>
          <t>DEMAIS CLIENTES</t>
        </is>
      </c>
      <c r="G182" s="235" t="inlineStr">
        <is>
          <t>PROSPECT</t>
        </is>
      </c>
      <c r="H182" s="235" t="inlineStr"/>
      <c r="I182" s="235" t="n"/>
      <c r="J182" s="235" t="n"/>
      <c r="K182" s="235" t="n"/>
      <c r="L182" s="235" t="n"/>
      <c r="M182" s="235" t="n"/>
      <c r="N182" s="235" t="inlineStr">
        <is>
          <t>SIM</t>
        </is>
      </c>
      <c r="O182" s="235" t="inlineStr">
        <is>
          <t>NÃO</t>
        </is>
      </c>
      <c r="P182" s="235" t="inlineStr">
        <is>
          <t>N/A</t>
        </is>
      </c>
      <c r="Q182" s="235" t="inlineStr">
        <is>
          <t>ATEND. CLIENTES ATIVOS</t>
        </is>
      </c>
      <c r="R182" s="235" t="inlineStr">
        <is>
          <t>VENDA / PEDIDO</t>
        </is>
      </c>
      <c r="S182" s="235" t="n"/>
      <c r="T182" s="235" t="n"/>
      <c r="U182" s="235" t="n"/>
      <c r="V182" s="235" t="n"/>
      <c r="W182" s="235" t="inlineStr">
        <is>
          <t>SIM</t>
        </is>
      </c>
      <c r="X182" s="235" t="n"/>
    </row>
    <row r="183">
      <c r="A183" s="391" t="n">
        <v>46066</v>
      </c>
      <c r="B183" s="235" t="inlineStr">
        <is>
          <t>DAIANE STAVICKI</t>
        </is>
      </c>
      <c r="C183" s="235" t="inlineStr">
        <is>
          <t>ESSENCE FOOD 96</t>
        </is>
      </c>
      <c r="D183" s="235" t="inlineStr">
        <is>
          <t>80.355.196/7571-23</t>
        </is>
      </c>
      <c r="E183" s="235" t="inlineStr">
        <is>
          <t>MG</t>
        </is>
      </c>
      <c r="F183" s="235" t="inlineStr">
        <is>
          <t>MUNDO VERDE</t>
        </is>
      </c>
      <c r="G183" s="235" t="inlineStr">
        <is>
          <t>ATIVO</t>
        </is>
      </c>
      <c r="H183" s="235" t="n">
        <v>19</v>
      </c>
      <c r="I183" s="235" t="n"/>
      <c r="J183" s="235" t="n"/>
      <c r="K183" s="235" t="n"/>
      <c r="L183" s="235" t="n"/>
      <c r="M183" s="235" t="n"/>
      <c r="N183" s="235" t="inlineStr">
        <is>
          <t>SIM</t>
        </is>
      </c>
      <c r="O183" s="235" t="inlineStr">
        <is>
          <t>NÃO</t>
        </is>
      </c>
      <c r="P183" s="235" t="inlineStr">
        <is>
          <t>N/A</t>
        </is>
      </c>
      <c r="Q183" s="235" t="inlineStr">
        <is>
          <t>PROSPECÇÃO</t>
        </is>
      </c>
      <c r="R183" s="235" t="inlineStr">
        <is>
          <t>NÃO RESPONDE</t>
        </is>
      </c>
      <c r="S183" s="235" t="inlineStr">
        <is>
          <t>PROBLEMA LOGÍSTICO / ENTREGA</t>
        </is>
      </c>
      <c r="T183" s="235" t="n"/>
      <c r="U183" s="235" t="n"/>
      <c r="V183" s="235" t="n"/>
      <c r="W183" s="235" t="inlineStr">
        <is>
          <t>SIM</t>
        </is>
      </c>
      <c r="X183" s="235" t="n"/>
    </row>
    <row r="184">
      <c r="A184" s="391" t="n">
        <v>46062</v>
      </c>
      <c r="B184" s="235" t="inlineStr">
        <is>
          <t>DAIANE STAVICKI</t>
        </is>
      </c>
      <c r="C184" s="235" t="inlineStr">
        <is>
          <t>VIDA SAUDÁVEL 03</t>
        </is>
      </c>
      <c r="D184" s="235" t="inlineStr">
        <is>
          <t>18.302.761/7266-26</t>
        </is>
      </c>
      <c r="E184" s="235" t="inlineStr">
        <is>
          <t>PR</t>
        </is>
      </c>
      <c r="F184" s="235" t="inlineStr">
        <is>
          <t>DEMAIS CLIENTES</t>
        </is>
      </c>
      <c r="G184" s="235" t="inlineStr">
        <is>
          <t>NOVO</t>
        </is>
      </c>
      <c r="H184" s="235" t="inlineStr"/>
      <c r="I184" s="235" t="n"/>
      <c r="J184" s="235" t="n"/>
      <c r="K184" s="235" t="n"/>
      <c r="L184" s="235" t="n"/>
      <c r="M184" s="235" t="n"/>
      <c r="N184" s="235" t="inlineStr">
        <is>
          <t>SIM</t>
        </is>
      </c>
      <c r="O184" s="235" t="inlineStr">
        <is>
          <t>NÃO</t>
        </is>
      </c>
      <c r="P184" s="235" t="inlineStr">
        <is>
          <t>N/A</t>
        </is>
      </c>
      <c r="Q184" s="235" t="inlineStr">
        <is>
          <t>PROSPECÇÃO</t>
        </is>
      </c>
      <c r="R184" s="235" t="inlineStr">
        <is>
          <t>VENDA / PEDIDO</t>
        </is>
      </c>
      <c r="S184" s="235" t="n"/>
      <c r="T184" s="235" t="n"/>
      <c r="U184" s="235" t="n"/>
      <c r="V184" s="235" t="n"/>
      <c r="W184" s="235" t="inlineStr">
        <is>
          <t>SIM</t>
        </is>
      </c>
      <c r="X184" s="235" t="n"/>
    </row>
    <row r="185">
      <c r="A185" s="391" t="n">
        <v>46077</v>
      </c>
      <c r="B185" s="235" t="inlineStr">
        <is>
          <t>LARISSA PADILHA</t>
        </is>
      </c>
      <c r="C185" s="235" t="inlineStr">
        <is>
          <t>EMPÓRIO NATURAL 49</t>
        </is>
      </c>
      <c r="D185" s="235" t="inlineStr">
        <is>
          <t>97.536.276/5800-37</t>
        </is>
      </c>
      <c r="E185" s="235" t="inlineStr">
        <is>
          <t>GO</t>
        </is>
      </c>
      <c r="F185" s="235" t="inlineStr">
        <is>
          <t>CIA DA SAUDE</t>
        </is>
      </c>
      <c r="G185" s="235" t="inlineStr">
        <is>
          <t>EM RISCO</t>
        </is>
      </c>
      <c r="H185" s="235" t="n">
        <v>53</v>
      </c>
      <c r="I185" s="235" t="n"/>
      <c r="J185" s="235" t="n"/>
      <c r="K185" s="235" t="n"/>
      <c r="L185" s="235" t="n"/>
      <c r="M185" s="235" t="n"/>
      <c r="N185" s="235" t="inlineStr">
        <is>
          <t>SIM</t>
        </is>
      </c>
      <c r="O185" s="235" t="inlineStr">
        <is>
          <t>SIM</t>
        </is>
      </c>
      <c r="P185" s="235" t="inlineStr">
        <is>
          <t>SIM</t>
        </is>
      </c>
      <c r="Q185" s="235" t="inlineStr">
        <is>
          <t>PROSPECÇÃO</t>
        </is>
      </c>
      <c r="R185" s="235" t="inlineStr">
        <is>
          <t>NÃO ATENDE</t>
        </is>
      </c>
      <c r="S185" s="235" t="inlineStr">
        <is>
          <t>PROBLEMA LOGÍSTICO / ENTREGA</t>
        </is>
      </c>
      <c r="T185" s="235" t="n"/>
      <c r="U185" s="235" t="n"/>
      <c r="V185" s="235" t="n"/>
      <c r="W185" s="235" t="inlineStr">
        <is>
          <t>SIM</t>
        </is>
      </c>
      <c r="X185" s="235" t="n"/>
    </row>
    <row r="186">
      <c r="A186" s="391" t="n">
        <v>46062</v>
      </c>
      <c r="B186" s="235" t="inlineStr">
        <is>
          <t>LARISSA PADILHA</t>
        </is>
      </c>
      <c r="C186" s="235" t="inlineStr">
        <is>
          <t>NUTRI SHOP 26</t>
        </is>
      </c>
      <c r="D186" s="235" t="inlineStr">
        <is>
          <t>92.916.638/4083-90</t>
        </is>
      </c>
      <c r="E186" s="235" t="inlineStr">
        <is>
          <t>CE</t>
        </is>
      </c>
      <c r="F186" s="235" t="inlineStr">
        <is>
          <t>VIDA LEVE</t>
        </is>
      </c>
      <c r="G186" s="235" t="inlineStr">
        <is>
          <t>ATIVO</t>
        </is>
      </c>
      <c r="H186" s="235" t="n">
        <v>29</v>
      </c>
      <c r="I186" s="235" t="n"/>
      <c r="J186" s="235" t="n"/>
      <c r="K186" s="235" t="n"/>
      <c r="L186" s="235" t="n"/>
      <c r="M186" s="235" t="n"/>
      <c r="N186" s="235" t="inlineStr">
        <is>
          <t>SIM</t>
        </is>
      </c>
      <c r="O186" s="235" t="inlineStr">
        <is>
          <t>NÃO</t>
        </is>
      </c>
      <c r="P186" s="235" t="inlineStr">
        <is>
          <t>N/A</t>
        </is>
      </c>
      <c r="Q186" s="235" t="inlineStr">
        <is>
          <t>PÓS-VENDA / RELACIONAMENTO</t>
        </is>
      </c>
      <c r="R186" s="235" t="inlineStr">
        <is>
          <t>FOLLOW UP 7</t>
        </is>
      </c>
      <c r="S186" s="235" t="inlineStr">
        <is>
          <t>SEM INTERESSE NO MOMENTO</t>
        </is>
      </c>
      <c r="T186" s="235" t="n"/>
      <c r="U186" s="235" t="n"/>
      <c r="V186" s="235" t="n"/>
      <c r="W186" s="235" t="inlineStr">
        <is>
          <t>SIM</t>
        </is>
      </c>
      <c r="X186" s="235" t="n"/>
    </row>
    <row r="187">
      <c r="A187" s="391" t="n">
        <v>46066</v>
      </c>
      <c r="B187" s="235" t="inlineStr">
        <is>
          <t>MANU DITZEL</t>
        </is>
      </c>
      <c r="C187" s="235" t="inlineStr">
        <is>
          <t>EMPÓRIO NATURAL 41</t>
        </is>
      </c>
      <c r="D187" s="235" t="inlineStr">
        <is>
          <t>86.324.130/4603-17</t>
        </is>
      </c>
      <c r="E187" s="235" t="inlineStr">
        <is>
          <t>MG</t>
        </is>
      </c>
      <c r="F187" s="235" t="inlineStr">
        <is>
          <t>DIVINA TERRA</t>
        </is>
      </c>
      <c r="G187" s="235" t="inlineStr">
        <is>
          <t>EM RISCO</t>
        </is>
      </c>
      <c r="H187" s="235" t="n">
        <v>60</v>
      </c>
      <c r="I187" s="235" t="n"/>
      <c r="J187" s="235" t="n"/>
      <c r="K187" s="235" t="n"/>
      <c r="L187" s="235" t="n"/>
      <c r="M187" s="235" t="n"/>
      <c r="N187" s="235" t="inlineStr">
        <is>
          <t>SIM</t>
        </is>
      </c>
      <c r="O187" s="235" t="inlineStr">
        <is>
          <t>NÃO</t>
        </is>
      </c>
      <c r="P187" s="235" t="inlineStr">
        <is>
          <t>N/A</t>
        </is>
      </c>
      <c r="Q187" s="235" t="inlineStr">
        <is>
          <t>PERDA / NUTRIÇÃO</t>
        </is>
      </c>
      <c r="R187" s="235" t="inlineStr">
        <is>
          <t>SUPORTE</t>
        </is>
      </c>
      <c r="S187" s="235" t="n"/>
      <c r="T187" s="235" t="n"/>
      <c r="U187" s="235" t="n"/>
      <c r="V187" s="235" t="n"/>
      <c r="W187" s="235" t="inlineStr">
        <is>
          <t>SIM</t>
        </is>
      </c>
      <c r="X187" s="235" t="n"/>
    </row>
    <row r="188">
      <c r="A188" s="391" t="n">
        <v>46080</v>
      </c>
      <c r="B188" s="235" t="inlineStr">
        <is>
          <t>DAIANE STAVICKI</t>
        </is>
      </c>
      <c r="C188" s="235" t="inlineStr">
        <is>
          <t>BIOMUNDO CTB 98</t>
        </is>
      </c>
      <c r="D188" s="235" t="inlineStr">
        <is>
          <t>38.689.966/6364-55</t>
        </is>
      </c>
      <c r="E188" s="235" t="inlineStr">
        <is>
          <t>GO</t>
        </is>
      </c>
      <c r="F188" s="235" t="inlineStr">
        <is>
          <t>DEMAIS CLIENTES</t>
        </is>
      </c>
      <c r="G188" s="235" t="inlineStr">
        <is>
          <t>ATIVO</t>
        </is>
      </c>
      <c r="H188" s="235" t="n">
        <v>20</v>
      </c>
      <c r="I188" s="235" t="n"/>
      <c r="J188" s="235" t="n"/>
      <c r="K188" s="235" t="n"/>
      <c r="L188" s="235" t="n"/>
      <c r="M188" s="235" t="n"/>
      <c r="N188" s="235" t="inlineStr">
        <is>
          <t>SIM</t>
        </is>
      </c>
      <c r="O188" s="235" t="inlineStr">
        <is>
          <t>NÃO</t>
        </is>
      </c>
      <c r="P188" s="235" t="inlineStr">
        <is>
          <t>N/A</t>
        </is>
      </c>
      <c r="Q188" s="235" t="inlineStr">
        <is>
          <t>ATEND. CLIENTES ATIVOS</t>
        </is>
      </c>
      <c r="R188" s="235" t="inlineStr">
        <is>
          <t>SUPORTE</t>
        </is>
      </c>
      <c r="S188" s="235" t="n"/>
      <c r="T188" s="235" t="n"/>
      <c r="U188" s="235" t="n"/>
      <c r="V188" s="235" t="n"/>
      <c r="W188" s="235" t="inlineStr">
        <is>
          <t>SIM</t>
        </is>
      </c>
      <c r="X188" s="235" t="n"/>
    </row>
    <row r="189">
      <c r="A189" s="391" t="n">
        <v>46076</v>
      </c>
      <c r="B189" s="235" t="inlineStr">
        <is>
          <t>LARISSA PADILHA</t>
        </is>
      </c>
      <c r="C189" s="235" t="inlineStr">
        <is>
          <t>PURA VIDA 73</t>
        </is>
      </c>
      <c r="D189" s="235" t="inlineStr">
        <is>
          <t>28.676.292/8065-79</t>
        </is>
      </c>
      <c r="E189" s="235" t="inlineStr">
        <is>
          <t>SC</t>
        </is>
      </c>
      <c r="F189" s="235" t="inlineStr">
        <is>
          <t>DIVINA TERRA</t>
        </is>
      </c>
      <c r="G189" s="235" t="inlineStr">
        <is>
          <t>ATIVO</t>
        </is>
      </c>
      <c r="H189" s="235" t="n">
        <v>19</v>
      </c>
      <c r="I189" s="235" t="n"/>
      <c r="J189" s="235" t="n"/>
      <c r="K189" s="235" t="n"/>
      <c r="L189" s="235" t="n"/>
      <c r="M189" s="235" t="n"/>
      <c r="N189" s="235" t="inlineStr">
        <is>
          <t>SIM</t>
        </is>
      </c>
      <c r="O189" s="235" t="inlineStr">
        <is>
          <t>SIM</t>
        </is>
      </c>
      <c r="P189" s="235" t="inlineStr">
        <is>
          <t>NÃO</t>
        </is>
      </c>
      <c r="Q189" s="235" t="inlineStr">
        <is>
          <t>ATEND. CLIENTES ATIVOS</t>
        </is>
      </c>
      <c r="R189" s="235" t="inlineStr">
        <is>
          <t>VENDA / PEDIDO</t>
        </is>
      </c>
      <c r="S189" s="235" t="n"/>
      <c r="T189" s="235" t="n"/>
      <c r="U189" s="235" t="n"/>
      <c r="V189" s="235" t="n"/>
      <c r="W189" s="235" t="inlineStr">
        <is>
          <t>NÃO</t>
        </is>
      </c>
      <c r="X189" s="235" t="n"/>
    </row>
    <row r="190">
      <c r="A190" s="391" t="n">
        <v>46064</v>
      </c>
      <c r="B190" s="235" t="inlineStr">
        <is>
          <t>JULIO GADRET</t>
        </is>
      </c>
      <c r="C190" s="235" t="inlineStr">
        <is>
          <t>BIO GRÃOS 08</t>
        </is>
      </c>
      <c r="D190" s="235" t="inlineStr">
        <is>
          <t>12.251.700/2321-24</t>
        </is>
      </c>
      <c r="E190" s="235" t="inlineStr">
        <is>
          <t>MG</t>
        </is>
      </c>
      <c r="F190" s="235" t="inlineStr">
        <is>
          <t>DEMAIS CLIENTES</t>
        </is>
      </c>
      <c r="G190" s="235" t="inlineStr">
        <is>
          <t>PROSPECT</t>
        </is>
      </c>
      <c r="H190" s="235" t="inlineStr"/>
      <c r="I190" s="235" t="n"/>
      <c r="J190" s="235" t="n"/>
      <c r="K190" s="235" t="n"/>
      <c r="L190" s="235" t="n"/>
      <c r="M190" s="235" t="n"/>
      <c r="N190" s="235" t="inlineStr">
        <is>
          <t>SIM</t>
        </is>
      </c>
      <c r="O190" s="235" t="inlineStr">
        <is>
          <t>SIM</t>
        </is>
      </c>
      <c r="P190" s="235" t="inlineStr">
        <is>
          <t>SIM</t>
        </is>
      </c>
      <c r="Q190" s="235" t="inlineStr">
        <is>
          <t>ATEND. CLIENTES ATIVOS</t>
        </is>
      </c>
      <c r="R190" s="235" t="inlineStr">
        <is>
          <t>EM ATENDIMENTO</t>
        </is>
      </c>
      <c r="S190" s="235" t="n"/>
      <c r="T190" s="235" t="n"/>
      <c r="U190" s="235" t="n"/>
      <c r="V190" s="235" t="n"/>
      <c r="W190" s="235" t="inlineStr">
        <is>
          <t>SIM</t>
        </is>
      </c>
      <c r="X190" s="235" t="n"/>
    </row>
    <row r="191">
      <c r="A191" s="391" t="n">
        <v>46059</v>
      </c>
      <c r="B191" s="235" t="inlineStr">
        <is>
          <t>JULIO GADRET</t>
        </is>
      </c>
      <c r="C191" s="235" t="inlineStr">
        <is>
          <t>SAUDE NA MESA 82</t>
        </is>
      </c>
      <c r="D191" s="235" t="inlineStr">
        <is>
          <t>72.764.424/2855-81</t>
        </is>
      </c>
      <c r="E191" s="235" t="inlineStr">
        <is>
          <t>SP</t>
        </is>
      </c>
      <c r="F191" s="235" t="inlineStr">
        <is>
          <t>DEMAIS CLIENTES</t>
        </is>
      </c>
      <c r="G191" s="235" t="inlineStr">
        <is>
          <t>INAT.ANT</t>
        </is>
      </c>
      <c r="H191" s="235" t="n">
        <v>148</v>
      </c>
      <c r="I191" s="235" t="n"/>
      <c r="J191" s="235" t="n"/>
      <c r="K191" s="235" t="n"/>
      <c r="L191" s="235" t="n"/>
      <c r="M191" s="235" t="n"/>
      <c r="N191" s="235" t="inlineStr">
        <is>
          <t>SIM</t>
        </is>
      </c>
      <c r="O191" s="235" t="inlineStr">
        <is>
          <t>NÃO</t>
        </is>
      </c>
      <c r="P191" s="235" t="inlineStr">
        <is>
          <t>N/A</t>
        </is>
      </c>
      <c r="Q191" s="235" t="inlineStr">
        <is>
          <t>ATEND. CLIENTES INATIVOS</t>
        </is>
      </c>
      <c r="R191" s="235" t="inlineStr">
        <is>
          <t>PERDA / FECHOU LOJA</t>
        </is>
      </c>
      <c r="S191" s="235" t="inlineStr">
        <is>
          <t>PRODUTO NÃO VENDEU / SEM GIRO</t>
        </is>
      </c>
      <c r="T191" s="235" t="n"/>
      <c r="U191" s="235" t="n"/>
      <c r="V191" s="235" t="n"/>
      <c r="W191" s="235" t="inlineStr">
        <is>
          <t>SIM</t>
        </is>
      </c>
      <c r="X191" s="235" t="n"/>
    </row>
    <row r="192">
      <c r="A192" s="391" t="n">
        <v>46054</v>
      </c>
      <c r="B192" s="235" t="inlineStr">
        <is>
          <t>DAIANE STAVICKI</t>
        </is>
      </c>
      <c r="C192" s="235" t="inlineStr">
        <is>
          <t>PURA VIDA 51</t>
        </is>
      </c>
      <c r="D192" s="235" t="inlineStr">
        <is>
          <t>82.133.286/9870-50</t>
        </is>
      </c>
      <c r="E192" s="235" t="inlineStr">
        <is>
          <t>GO</t>
        </is>
      </c>
      <c r="F192" s="235" t="inlineStr">
        <is>
          <t>DEMAIS CLIENTES</t>
        </is>
      </c>
      <c r="G192" s="235" t="inlineStr">
        <is>
          <t>ATIVO</t>
        </is>
      </c>
      <c r="H192" s="235" t="n">
        <v>41</v>
      </c>
      <c r="I192" s="235" t="n"/>
      <c r="J192" s="235" t="n"/>
      <c r="K192" s="235" t="n"/>
      <c r="L192" s="235" t="n"/>
      <c r="M192" s="235" t="n"/>
      <c r="N192" s="235" t="inlineStr">
        <is>
          <t>SIM</t>
        </is>
      </c>
      <c r="O192" s="235" t="inlineStr">
        <is>
          <t>SIM</t>
        </is>
      </c>
      <c r="P192" s="235" t="inlineStr">
        <is>
          <t>SIM</t>
        </is>
      </c>
      <c r="Q192" s="235" t="inlineStr">
        <is>
          <t>PROSPECÇÃO</t>
        </is>
      </c>
      <c r="R192" s="235" t="inlineStr">
        <is>
          <t>CADASTRO</t>
        </is>
      </c>
      <c r="S192" s="235" t="n"/>
      <c r="T192" s="235" t="n"/>
      <c r="U192" s="235" t="n"/>
      <c r="V192" s="235" t="n"/>
      <c r="W192" s="235" t="inlineStr">
        <is>
          <t>SIM</t>
        </is>
      </c>
      <c r="X192" s="235" t="n"/>
    </row>
    <row r="193">
      <c r="A193" s="391" t="n">
        <v>46074</v>
      </c>
      <c r="B193" s="235" t="inlineStr">
        <is>
          <t>DAIANE STAVICKI</t>
        </is>
      </c>
      <c r="C193" s="235" t="inlineStr">
        <is>
          <t>GRÃO DE OURO 91</t>
        </is>
      </c>
      <c r="D193" s="235" t="inlineStr">
        <is>
          <t>95.754.846/5501-67</t>
        </is>
      </c>
      <c r="E193" s="235" t="inlineStr">
        <is>
          <t>PR</t>
        </is>
      </c>
      <c r="F193" s="235" t="inlineStr">
        <is>
          <t>BIOMUNDO</t>
        </is>
      </c>
      <c r="G193" s="235" t="inlineStr">
        <is>
          <t>INAT.ANT</t>
        </is>
      </c>
      <c r="H193" s="235" t="n">
        <v>180</v>
      </c>
      <c r="I193" s="235" t="n"/>
      <c r="J193" s="235" t="n"/>
      <c r="K193" s="235" t="n"/>
      <c r="L193" s="235" t="n"/>
      <c r="M193" s="235" t="n"/>
      <c r="N193" s="235" t="inlineStr">
        <is>
          <t>SIM</t>
        </is>
      </c>
      <c r="O193" s="235" t="inlineStr">
        <is>
          <t>SIM</t>
        </is>
      </c>
      <c r="P193" s="235" t="inlineStr">
        <is>
          <t>NÃO</t>
        </is>
      </c>
      <c r="Q193" s="235" t="inlineStr">
        <is>
          <t>FOLLOW UP</t>
        </is>
      </c>
      <c r="R193" s="235" t="inlineStr">
        <is>
          <t>EM ATENDIMENTO</t>
        </is>
      </c>
      <c r="S193" s="235" t="n"/>
      <c r="T193" s="235" t="n"/>
      <c r="U193" s="235" t="n"/>
      <c r="V193" s="235" t="n"/>
      <c r="W193" s="235" t="inlineStr">
        <is>
          <t>NÃO</t>
        </is>
      </c>
      <c r="X193" s="235" t="n"/>
    </row>
    <row r="194">
      <c r="A194" s="391" t="n">
        <v>46067</v>
      </c>
      <c r="B194" s="235" t="inlineStr">
        <is>
          <t>LARISSA PADILHA</t>
        </is>
      </c>
      <c r="C194" s="235" t="inlineStr">
        <is>
          <t>VIDA LEVE PR 45</t>
        </is>
      </c>
      <c r="D194" s="235" t="inlineStr">
        <is>
          <t>79.484.203/7856-83</t>
        </is>
      </c>
      <c r="E194" s="235" t="inlineStr">
        <is>
          <t>SP</t>
        </is>
      </c>
      <c r="F194" s="235" t="inlineStr">
        <is>
          <t>TUDO EM GRAOS</t>
        </is>
      </c>
      <c r="G194" s="235" t="inlineStr">
        <is>
          <t>ATIVO</t>
        </is>
      </c>
      <c r="H194" s="235" t="n">
        <v>9</v>
      </c>
      <c r="I194" s="235" t="n"/>
      <c r="J194" s="235" t="n"/>
      <c r="K194" s="235" t="n"/>
      <c r="L194" s="235" t="n"/>
      <c r="M194" s="235" t="n"/>
      <c r="N194" s="235" t="inlineStr">
        <is>
          <t>SIM</t>
        </is>
      </c>
      <c r="O194" s="235" t="inlineStr">
        <is>
          <t>SIM</t>
        </is>
      </c>
      <c r="P194" s="235" t="inlineStr">
        <is>
          <t>SIM</t>
        </is>
      </c>
      <c r="Q194" s="235" t="inlineStr">
        <is>
          <t>PÓS-VENDA / RELACIONAMENTO</t>
        </is>
      </c>
      <c r="R194" s="235" t="inlineStr">
        <is>
          <t>RELACIONAMENTO</t>
        </is>
      </c>
      <c r="S194" s="235" t="n"/>
      <c r="T194" s="235" t="n"/>
      <c r="U194" s="235" t="n"/>
      <c r="V194" s="235" t="n"/>
      <c r="W194" s="235" t="inlineStr">
        <is>
          <t>SIM</t>
        </is>
      </c>
      <c r="X194" s="235" t="n"/>
    </row>
    <row r="195">
      <c r="A195" s="391" t="n">
        <v>46066</v>
      </c>
      <c r="B195" s="235" t="inlineStr">
        <is>
          <t>MANU DITZEL</t>
        </is>
      </c>
      <c r="C195" s="235" t="inlineStr">
        <is>
          <t>VIDA SAUDÁVEL 71</t>
        </is>
      </c>
      <c r="D195" s="235" t="inlineStr">
        <is>
          <t>21.446.708/7910-13</t>
        </is>
      </c>
      <c r="E195" s="235" t="inlineStr">
        <is>
          <t>RS</t>
        </is>
      </c>
      <c r="F195" s="235" t="inlineStr">
        <is>
          <t>TUDO EM GRAOS</t>
        </is>
      </c>
      <c r="G195" s="235" t="inlineStr">
        <is>
          <t>INAT.REC</t>
        </is>
      </c>
      <c r="H195" s="235" t="n">
        <v>74</v>
      </c>
      <c r="I195" s="235" t="n"/>
      <c r="J195" s="235" t="n"/>
      <c r="K195" s="235" t="n"/>
      <c r="L195" s="235" t="n"/>
      <c r="M195" s="235" t="n"/>
      <c r="N195" s="235" t="inlineStr">
        <is>
          <t>SIM</t>
        </is>
      </c>
      <c r="O195" s="235" t="inlineStr">
        <is>
          <t>SIM</t>
        </is>
      </c>
      <c r="P195" s="235" t="inlineStr">
        <is>
          <t>NÃO</t>
        </is>
      </c>
      <c r="Q195" s="235" t="inlineStr">
        <is>
          <t>NEGOCIAÇÃO</t>
        </is>
      </c>
      <c r="R195" s="235" t="inlineStr">
        <is>
          <t>EM ATENDIMENTO</t>
        </is>
      </c>
      <c r="S195" s="235" t="n"/>
      <c r="T195" s="235" t="n"/>
      <c r="U195" s="235" t="n"/>
      <c r="V195" s="235" t="n"/>
      <c r="W195" s="235" t="inlineStr">
        <is>
          <t>NÃO</t>
        </is>
      </c>
      <c r="X195" s="235" t="n"/>
    </row>
    <row r="196">
      <c r="A196" s="391" t="n">
        <v>46077</v>
      </c>
      <c r="B196" s="235" t="inlineStr">
        <is>
          <t>LARISSA PADILHA</t>
        </is>
      </c>
      <c r="C196" s="235" t="inlineStr">
        <is>
          <t>ECO SAUDE 39</t>
        </is>
      </c>
      <c r="D196" s="235" t="inlineStr">
        <is>
          <t>40.198.150/6438-83</t>
        </is>
      </c>
      <c r="E196" s="235" t="inlineStr">
        <is>
          <t>RS</t>
        </is>
      </c>
      <c r="F196" s="235" t="inlineStr">
        <is>
          <t>DIVINA TERRA</t>
        </is>
      </c>
      <c r="G196" s="235" t="inlineStr">
        <is>
          <t>ATIVO</t>
        </is>
      </c>
      <c r="H196" s="235" t="n">
        <v>5</v>
      </c>
      <c r="I196" s="235" t="n"/>
      <c r="J196" s="235" t="n"/>
      <c r="K196" s="235" t="n"/>
      <c r="L196" s="235" t="n"/>
      <c r="M196" s="235" t="n"/>
      <c r="N196" s="235" t="inlineStr">
        <is>
          <t>SIM</t>
        </is>
      </c>
      <c r="O196" s="235" t="inlineStr">
        <is>
          <t>NÃO</t>
        </is>
      </c>
      <c r="P196" s="235" t="inlineStr">
        <is>
          <t>N/A</t>
        </is>
      </c>
      <c r="Q196" s="235" t="inlineStr">
        <is>
          <t>ATEND. CLIENTES ATIVOS</t>
        </is>
      </c>
      <c r="R196" s="235" t="inlineStr">
        <is>
          <t>ORÇAMENTO</t>
        </is>
      </c>
      <c r="S196" s="235" t="n"/>
      <c r="T196" s="235" t="n"/>
      <c r="U196" s="235" t="n"/>
      <c r="V196" s="235" t="n"/>
      <c r="W196" s="235" t="inlineStr">
        <is>
          <t>SIM</t>
        </is>
      </c>
      <c r="X196" s="235" t="n"/>
    </row>
    <row r="197">
      <c r="A197" s="391" t="n">
        <v>46054</v>
      </c>
      <c r="B197" s="235" t="inlineStr">
        <is>
          <t>MANU DITZEL</t>
        </is>
      </c>
      <c r="C197" s="235" t="inlineStr">
        <is>
          <t>ECO SAUDE 11</t>
        </is>
      </c>
      <c r="D197" s="235" t="inlineStr">
        <is>
          <t>70.964.218/5053-60</t>
        </is>
      </c>
      <c r="E197" s="235" t="inlineStr">
        <is>
          <t>RS</t>
        </is>
      </c>
      <c r="F197" s="235" t="inlineStr">
        <is>
          <t>DEMAIS CLIENTES</t>
        </is>
      </c>
      <c r="G197" s="235" t="inlineStr">
        <is>
          <t>ATIVO</t>
        </is>
      </c>
      <c r="H197" s="235" t="n">
        <v>46</v>
      </c>
      <c r="I197" s="235" t="n"/>
      <c r="J197" s="235" t="n"/>
      <c r="K197" s="235" t="n"/>
      <c r="L197" s="235" t="n"/>
      <c r="M197" s="235" t="n"/>
      <c r="N197" s="235" t="inlineStr">
        <is>
          <t>NÃO</t>
        </is>
      </c>
      <c r="O197" s="235" t="inlineStr">
        <is>
          <t>SIM</t>
        </is>
      </c>
      <c r="P197" s="235" t="inlineStr">
        <is>
          <t>SIM</t>
        </is>
      </c>
      <c r="Q197" s="235" t="inlineStr">
        <is>
          <t>ATEND. CLIENTES ATIVOS</t>
        </is>
      </c>
      <c r="R197" s="235" t="inlineStr">
        <is>
          <t>VENDA / PEDIDO</t>
        </is>
      </c>
      <c r="S197" s="235" t="n"/>
      <c r="T197" s="235" t="n"/>
      <c r="U197" s="235" t="n"/>
      <c r="V197" s="235" t="n"/>
      <c r="W197" s="235" t="inlineStr">
        <is>
          <t>SIM</t>
        </is>
      </c>
      <c r="X197" s="235" t="n"/>
    </row>
    <row r="198">
      <c r="A198" s="391" t="n">
        <v>46068</v>
      </c>
      <c r="B198" s="235" t="inlineStr">
        <is>
          <t>MANU DITZEL</t>
        </is>
      </c>
      <c r="C198" s="235" t="inlineStr">
        <is>
          <t>NATUR LIFE 73</t>
        </is>
      </c>
      <c r="D198" s="235" t="inlineStr">
        <is>
          <t>17.254.870/1585-20</t>
        </is>
      </c>
      <c r="E198" s="235" t="inlineStr">
        <is>
          <t>SP</t>
        </is>
      </c>
      <c r="F198" s="235" t="inlineStr">
        <is>
          <t>DEMAIS CLIENTES</t>
        </is>
      </c>
      <c r="G198" s="235" t="inlineStr">
        <is>
          <t>EM RISCO</t>
        </is>
      </c>
      <c r="H198" s="235" t="n">
        <v>60</v>
      </c>
      <c r="I198" s="235" t="n"/>
      <c r="J198" s="235" t="n"/>
      <c r="K198" s="235" t="n"/>
      <c r="L198" s="235" t="n"/>
      <c r="M198" s="235" t="n"/>
      <c r="N198" s="235" t="inlineStr">
        <is>
          <t>SIM</t>
        </is>
      </c>
      <c r="O198" s="235" t="inlineStr">
        <is>
          <t>NÃO</t>
        </is>
      </c>
      <c r="P198" s="235" t="inlineStr">
        <is>
          <t>N/A</t>
        </is>
      </c>
      <c r="Q198" s="235" t="inlineStr">
        <is>
          <t>NEGOCIAÇÃO</t>
        </is>
      </c>
      <c r="R198" s="235" t="inlineStr">
        <is>
          <t>EM ATENDIMENTO</t>
        </is>
      </c>
      <c r="S198" s="235" t="n"/>
      <c r="T198" s="235" t="n"/>
      <c r="U198" s="235" t="n"/>
      <c r="V198" s="235" t="n"/>
      <c r="W198" s="235" t="inlineStr">
        <is>
          <t>NÃO</t>
        </is>
      </c>
      <c r="X198" s="235" t="n"/>
    </row>
    <row r="199">
      <c r="A199" s="391" t="n">
        <v>46075</v>
      </c>
      <c r="B199" s="235" t="inlineStr">
        <is>
          <t>DAIANE STAVICKI</t>
        </is>
      </c>
      <c r="C199" s="235" t="inlineStr">
        <is>
          <t>FEIRA VERDE 74</t>
        </is>
      </c>
      <c r="D199" s="235" t="inlineStr">
        <is>
          <t>40.587.406/1294-60</t>
        </is>
      </c>
      <c r="E199" s="235" t="inlineStr">
        <is>
          <t>GO</t>
        </is>
      </c>
      <c r="F199" s="235" t="inlineStr">
        <is>
          <t>DEMAIS CLIENTES</t>
        </is>
      </c>
      <c r="G199" s="235" t="inlineStr">
        <is>
          <t>INAT.REC</t>
        </is>
      </c>
      <c r="H199" s="235" t="n">
        <v>89</v>
      </c>
      <c r="I199" s="235" t="n"/>
      <c r="J199" s="235" t="n"/>
      <c r="K199" s="235" t="n"/>
      <c r="L199" s="235" t="n"/>
      <c r="M199" s="235" t="n"/>
      <c r="N199" s="235" t="inlineStr">
        <is>
          <t>NÃO</t>
        </is>
      </c>
      <c r="O199" s="235" t="inlineStr">
        <is>
          <t>SIM</t>
        </is>
      </c>
      <c r="P199" s="235" t="inlineStr">
        <is>
          <t>NÃO</t>
        </is>
      </c>
      <c r="Q199" s="235" t="inlineStr">
        <is>
          <t>ATEND. CLIENTES ATIVOS</t>
        </is>
      </c>
      <c r="R199" s="235" t="inlineStr">
        <is>
          <t>FOLLOW UP 7</t>
        </is>
      </c>
      <c r="S199" s="235" t="inlineStr">
        <is>
          <t>LOJA ANEXO/PROXIMO - SM</t>
        </is>
      </c>
      <c r="T199" s="235" t="n"/>
      <c r="U199" s="235" t="n"/>
      <c r="V199" s="235" t="n"/>
      <c r="W199" s="235" t="inlineStr">
        <is>
          <t>NÃO</t>
        </is>
      </c>
      <c r="X199" s="235" t="n"/>
    </row>
    <row r="200">
      <c r="A200" s="391" t="n">
        <v>46059</v>
      </c>
      <c r="B200" s="235" t="inlineStr">
        <is>
          <t>DAIANE STAVICKI</t>
        </is>
      </c>
      <c r="C200" s="235" t="inlineStr">
        <is>
          <t>CIA SAUDE SP 17</t>
        </is>
      </c>
      <c r="D200" s="235" t="inlineStr">
        <is>
          <t>15.533.180/7134-35</t>
        </is>
      </c>
      <c r="E200" s="235" t="inlineStr">
        <is>
          <t>CE</t>
        </is>
      </c>
      <c r="F200" s="235" t="inlineStr">
        <is>
          <t>VIDA LEVE</t>
        </is>
      </c>
      <c r="G200" s="235" t="inlineStr">
        <is>
          <t>NOVO</t>
        </is>
      </c>
      <c r="H200" s="235" t="inlineStr"/>
      <c r="I200" s="235" t="n"/>
      <c r="J200" s="235" t="n"/>
      <c r="K200" s="235" t="n"/>
      <c r="L200" s="235" t="n"/>
      <c r="M200" s="235" t="n"/>
      <c r="N200" s="235" t="inlineStr">
        <is>
          <t>NÃO</t>
        </is>
      </c>
      <c r="O200" s="235" t="inlineStr">
        <is>
          <t>SIM</t>
        </is>
      </c>
      <c r="P200" s="235" t="inlineStr">
        <is>
          <t>SIM</t>
        </is>
      </c>
      <c r="Q200" s="235" t="inlineStr">
        <is>
          <t>FOLLOW UP</t>
        </is>
      </c>
      <c r="R200" s="235" t="inlineStr">
        <is>
          <t>RELACIONAMENTO</t>
        </is>
      </c>
      <c r="S200" s="235" t="n"/>
      <c r="T200" s="235" t="n"/>
      <c r="U200" s="235" t="n"/>
      <c r="V200" s="235" t="n"/>
      <c r="W200" s="235" t="inlineStr">
        <is>
          <t>SIM</t>
        </is>
      </c>
      <c r="X200" s="235" t="n"/>
    </row>
    <row r="201">
      <c r="A201" s="391" t="n">
        <v>46064</v>
      </c>
      <c r="B201" s="235" t="inlineStr">
        <is>
          <t>DAIANE STAVICKI</t>
        </is>
      </c>
      <c r="C201" s="235" t="inlineStr">
        <is>
          <t>LOJA NATURAL 59</t>
        </is>
      </c>
      <c r="D201" s="235" t="inlineStr">
        <is>
          <t>11.905.817/9627-76</t>
        </is>
      </c>
      <c r="E201" s="235" t="inlineStr">
        <is>
          <t>MG</t>
        </is>
      </c>
      <c r="F201" s="235" t="inlineStr">
        <is>
          <t>MUNDO VERDE</t>
        </is>
      </c>
      <c r="G201" s="235" t="inlineStr">
        <is>
          <t>ATIVO</t>
        </is>
      </c>
      <c r="H201" s="235" t="n">
        <v>41</v>
      </c>
      <c r="I201" s="235" t="n"/>
      <c r="J201" s="235" t="n"/>
      <c r="K201" s="235" t="n"/>
      <c r="L201" s="235" t="n"/>
      <c r="M201" s="235" t="n"/>
      <c r="N201" s="235" t="inlineStr">
        <is>
          <t>NÃO</t>
        </is>
      </c>
      <c r="O201" s="235" t="inlineStr">
        <is>
          <t>NÃO</t>
        </is>
      </c>
      <c r="P201" s="235" t="inlineStr">
        <is>
          <t>N/A</t>
        </is>
      </c>
      <c r="Q201" s="235" t="inlineStr">
        <is>
          <t>ATEND. CLIENTES ATIVOS</t>
        </is>
      </c>
      <c r="R201" s="235" t="inlineStr">
        <is>
          <t>SUPORTE</t>
        </is>
      </c>
      <c r="S201" s="235" t="n"/>
      <c r="T201" s="235" t="n"/>
      <c r="U201" s="235" t="n"/>
      <c r="V201" s="235" t="n"/>
      <c r="W201" s="235" t="inlineStr">
        <is>
          <t>SIM</t>
        </is>
      </c>
      <c r="X201" s="235" t="n"/>
    </row>
    <row r="202">
      <c r="A202" s="391" t="n">
        <v>46057</v>
      </c>
      <c r="B202" s="235" t="inlineStr">
        <is>
          <t>DAIANE STAVICKI</t>
        </is>
      </c>
      <c r="C202" s="235" t="inlineStr">
        <is>
          <t>BIO FIT 45</t>
        </is>
      </c>
      <c r="D202" s="235" t="inlineStr">
        <is>
          <t>62.370.492/7956-83</t>
        </is>
      </c>
      <c r="E202" s="235" t="inlineStr">
        <is>
          <t>SP</t>
        </is>
      </c>
      <c r="F202" s="235" t="inlineStr">
        <is>
          <t>MUNDO VERDE</t>
        </is>
      </c>
      <c r="G202" s="235" t="inlineStr">
        <is>
          <t>ATIVO</t>
        </is>
      </c>
      <c r="H202" s="235" t="n">
        <v>14</v>
      </c>
      <c r="I202" s="235" t="n"/>
      <c r="J202" s="235" t="n"/>
      <c r="K202" s="235" t="n"/>
      <c r="L202" s="235" t="n"/>
      <c r="M202" s="235" t="n"/>
      <c r="N202" s="235" t="inlineStr">
        <is>
          <t>SIM</t>
        </is>
      </c>
      <c r="O202" s="235" t="inlineStr">
        <is>
          <t>SIM</t>
        </is>
      </c>
      <c r="P202" s="235" t="inlineStr">
        <is>
          <t>NÃO</t>
        </is>
      </c>
      <c r="Q202" s="235" t="inlineStr">
        <is>
          <t>ATEND. CLIENTES ATIVOS</t>
        </is>
      </c>
      <c r="R202" s="235" t="inlineStr">
        <is>
          <t>FOLLOW UP 15</t>
        </is>
      </c>
      <c r="S202" s="235" t="inlineStr">
        <is>
          <t>PROBLEMA FINANCEIRO / CRÉDITO</t>
        </is>
      </c>
      <c r="T202" s="235" t="n"/>
      <c r="U202" s="235" t="n"/>
      <c r="V202" s="235" t="n"/>
      <c r="W202" s="235" t="inlineStr">
        <is>
          <t>SIM</t>
        </is>
      </c>
      <c r="X202" s="235" t="n"/>
    </row>
    <row r="203">
      <c r="A203" s="391" t="n">
        <v>46069</v>
      </c>
      <c r="B203" s="235" t="inlineStr">
        <is>
          <t>DAIANE STAVICKI</t>
        </is>
      </c>
      <c r="C203" s="235" t="inlineStr">
        <is>
          <t>GRANEL &amp; CIA 03</t>
        </is>
      </c>
      <c r="D203" s="235" t="inlineStr">
        <is>
          <t>53.937.912/4966-49</t>
        </is>
      </c>
      <c r="E203" s="235" t="inlineStr">
        <is>
          <t>SC</t>
        </is>
      </c>
      <c r="F203" s="235" t="inlineStr">
        <is>
          <t>DIVINA TERRA</t>
        </is>
      </c>
      <c r="G203" s="235" t="inlineStr">
        <is>
          <t>INAT.ANT</t>
        </is>
      </c>
      <c r="H203" s="235" t="n">
        <v>116</v>
      </c>
      <c r="I203" s="235" t="n"/>
      <c r="J203" s="235" t="n"/>
      <c r="K203" s="235" t="n"/>
      <c r="L203" s="235" t="n"/>
      <c r="M203" s="235" t="n"/>
      <c r="N203" s="235" t="inlineStr">
        <is>
          <t>SIM</t>
        </is>
      </c>
      <c r="O203" s="235" t="inlineStr">
        <is>
          <t>NÃO</t>
        </is>
      </c>
      <c r="P203" s="235" t="inlineStr">
        <is>
          <t>N/A</t>
        </is>
      </c>
      <c r="Q203" s="235" t="inlineStr">
        <is>
          <t>PERDA / NUTRIÇÃO</t>
        </is>
      </c>
      <c r="R203" s="235" t="inlineStr">
        <is>
          <t>PERDA / FECHOU LOJA</t>
        </is>
      </c>
      <c r="S203" s="235" t="inlineStr">
        <is>
          <t>PROPRIETARIO / INDISPONÍVEL</t>
        </is>
      </c>
      <c r="T203" s="235" t="n"/>
      <c r="U203" s="235" t="n"/>
      <c r="V203" s="235" t="n"/>
      <c r="W203" s="235" t="inlineStr">
        <is>
          <t>SIM</t>
        </is>
      </c>
      <c r="X203" s="235" t="n"/>
    </row>
    <row r="204">
      <c r="A204" s="391" t="n">
        <v>46077</v>
      </c>
      <c r="B204" s="235" t="inlineStr">
        <is>
          <t>LARISSA PADILHA</t>
        </is>
      </c>
      <c r="C204" s="235" t="inlineStr">
        <is>
          <t>GRÃO DE OURO 25</t>
        </is>
      </c>
      <c r="D204" s="235" t="inlineStr">
        <is>
          <t>66.316.943/6672-72</t>
        </is>
      </c>
      <c r="E204" s="235" t="inlineStr">
        <is>
          <t>RJ</t>
        </is>
      </c>
      <c r="F204" s="235" t="inlineStr">
        <is>
          <t>DEMAIS CLIENTES</t>
        </is>
      </c>
      <c r="G204" s="235" t="inlineStr">
        <is>
          <t>NOVO</t>
        </is>
      </c>
      <c r="H204" s="235" t="inlineStr"/>
      <c r="I204" s="235" t="n"/>
      <c r="J204" s="235" t="n"/>
      <c r="K204" s="235" t="n"/>
      <c r="L204" s="235" t="n"/>
      <c r="M204" s="235" t="n"/>
      <c r="N204" s="235" t="inlineStr">
        <is>
          <t>SIM</t>
        </is>
      </c>
      <c r="O204" s="235" t="inlineStr">
        <is>
          <t>NÃO</t>
        </is>
      </c>
      <c r="P204" s="235" t="inlineStr">
        <is>
          <t>N/A</t>
        </is>
      </c>
      <c r="Q204" s="235" t="inlineStr">
        <is>
          <t>ATEND. CLIENTES ATIVOS</t>
        </is>
      </c>
      <c r="R204" s="235" t="inlineStr">
        <is>
          <t>VENDA / PEDIDO</t>
        </is>
      </c>
      <c r="S204" s="235" t="n"/>
      <c r="T204" s="235" t="n"/>
      <c r="U204" s="235" t="n"/>
      <c r="V204" s="235" t="n"/>
      <c r="W204" s="235" t="inlineStr">
        <is>
          <t>SIM</t>
        </is>
      </c>
      <c r="X204" s="235" t="n"/>
    </row>
    <row r="205">
      <c r="A205" s="391" t="n">
        <v>46081</v>
      </c>
      <c r="B205" s="235" t="inlineStr">
        <is>
          <t>LARISSA PADILHA</t>
        </is>
      </c>
      <c r="C205" s="235" t="inlineStr">
        <is>
          <t>PURA VIDA 04</t>
        </is>
      </c>
      <c r="D205" s="235" t="inlineStr">
        <is>
          <t>32.297.996/3289-17</t>
        </is>
      </c>
      <c r="E205" s="235" t="inlineStr">
        <is>
          <t>PR</t>
        </is>
      </c>
      <c r="F205" s="235" t="inlineStr">
        <is>
          <t>DIVINA TERRA</t>
        </is>
      </c>
      <c r="G205" s="235" t="inlineStr">
        <is>
          <t>PROSPECT</t>
        </is>
      </c>
      <c r="H205" s="235" t="inlineStr"/>
      <c r="I205" s="235" t="n"/>
      <c r="J205" s="235" t="n"/>
      <c r="K205" s="235" t="n"/>
      <c r="L205" s="235" t="n"/>
      <c r="M205" s="235" t="n"/>
      <c r="N205" s="235" t="inlineStr">
        <is>
          <t>NÃO</t>
        </is>
      </c>
      <c r="O205" s="235" t="inlineStr">
        <is>
          <t>NÃO</t>
        </is>
      </c>
      <c r="P205" s="235" t="inlineStr">
        <is>
          <t>N/A</t>
        </is>
      </c>
      <c r="Q205" s="235" t="inlineStr">
        <is>
          <t>ATEND. CLIENTES INATIVOS</t>
        </is>
      </c>
      <c r="R205" s="235" t="inlineStr">
        <is>
          <t>NÃO ATENDE</t>
        </is>
      </c>
      <c r="S205" s="235" t="inlineStr">
        <is>
          <t>PROBLEMA LOGÍSTICO / ENTREGA</t>
        </is>
      </c>
      <c r="T205" s="235" t="n"/>
      <c r="U205" s="235" t="n"/>
      <c r="V205" s="235" t="n"/>
      <c r="W205" s="235" t="inlineStr">
        <is>
          <t>SIM</t>
        </is>
      </c>
      <c r="X205" s="235" t="n"/>
    </row>
    <row r="206">
      <c r="A206" s="391" t="n">
        <v>46054</v>
      </c>
      <c r="B206" s="235" t="inlineStr">
        <is>
          <t>MANU DITZEL</t>
        </is>
      </c>
      <c r="C206" s="235" t="inlineStr">
        <is>
          <t>POWER NATURAL 77</t>
        </is>
      </c>
      <c r="D206" s="235" t="inlineStr">
        <is>
          <t>67.281.991/7776-85</t>
        </is>
      </c>
      <c r="E206" s="235" t="inlineStr">
        <is>
          <t>SP</t>
        </is>
      </c>
      <c r="F206" s="235" t="inlineStr">
        <is>
          <t>CIA DA SAUDE</t>
        </is>
      </c>
      <c r="G206" s="235" t="inlineStr">
        <is>
          <t>NOVO</t>
        </is>
      </c>
      <c r="H206" s="235" t="inlineStr"/>
      <c r="I206" s="235" t="n"/>
      <c r="J206" s="235" t="n"/>
      <c r="K206" s="235" t="n"/>
      <c r="L206" s="235" t="n"/>
      <c r="M206" s="235" t="n"/>
      <c r="N206" s="235" t="inlineStr">
        <is>
          <t>SIM</t>
        </is>
      </c>
      <c r="O206" s="235" t="inlineStr">
        <is>
          <t>SIM</t>
        </is>
      </c>
      <c r="P206" s="235" t="inlineStr">
        <is>
          <t>SIM</t>
        </is>
      </c>
      <c r="Q206" s="235" t="inlineStr">
        <is>
          <t>FOLLOW UP</t>
        </is>
      </c>
      <c r="R206" s="235" t="inlineStr">
        <is>
          <t>NÃO RESPONDE</t>
        </is>
      </c>
      <c r="S206" s="235" t="inlineStr">
        <is>
          <t>SEM INTERESSE NO MOMENTO</t>
        </is>
      </c>
      <c r="T206" s="235" t="n"/>
      <c r="U206" s="235" t="n"/>
      <c r="V206" s="235" t="n"/>
      <c r="W206" s="235" t="inlineStr">
        <is>
          <t>NÃO</t>
        </is>
      </c>
      <c r="X206" s="235" t="n"/>
    </row>
    <row r="207">
      <c r="A207" s="391" t="n">
        <v>46060</v>
      </c>
      <c r="B207" s="235" t="inlineStr">
        <is>
          <t>DAIANE STAVICKI</t>
        </is>
      </c>
      <c r="C207" s="235" t="inlineStr">
        <is>
          <t>FITLAND PR 87</t>
        </is>
      </c>
      <c r="D207" s="235" t="inlineStr">
        <is>
          <t>36.375.767/6710-75</t>
        </is>
      </c>
      <c r="E207" s="235" t="inlineStr">
        <is>
          <t>PR</t>
        </is>
      </c>
      <c r="F207" s="235" t="inlineStr">
        <is>
          <t>DEMAIS CLIENTES</t>
        </is>
      </c>
      <c r="G207" s="235" t="inlineStr">
        <is>
          <t>INAT.ANT</t>
        </is>
      </c>
      <c r="H207" s="235" t="n">
        <v>93</v>
      </c>
      <c r="I207" s="235" t="n"/>
      <c r="J207" s="235" t="n"/>
      <c r="K207" s="235" t="n"/>
      <c r="L207" s="235" t="n"/>
      <c r="M207" s="235" t="n"/>
      <c r="N207" s="235" t="inlineStr">
        <is>
          <t>SIM</t>
        </is>
      </c>
      <c r="O207" s="235" t="inlineStr">
        <is>
          <t>NÃO</t>
        </is>
      </c>
      <c r="P207" s="235" t="inlineStr">
        <is>
          <t>N/A</t>
        </is>
      </c>
      <c r="Q207" s="235" t="inlineStr">
        <is>
          <t>ATEND. CLIENTES ATIVOS</t>
        </is>
      </c>
      <c r="R207" s="235" t="inlineStr">
        <is>
          <t>VENDA / PEDIDO</t>
        </is>
      </c>
      <c r="S207" s="235" t="n"/>
      <c r="T207" s="235" t="n"/>
      <c r="U207" s="235" t="n"/>
      <c r="V207" s="235" t="n"/>
      <c r="W207" s="235" t="inlineStr">
        <is>
          <t>SIM</t>
        </is>
      </c>
      <c r="X207" s="235" t="n"/>
    </row>
    <row r="208">
      <c r="A208" s="391" t="n">
        <v>46073</v>
      </c>
      <c r="B208" s="235" t="inlineStr">
        <is>
          <t>DAIANE STAVICKI</t>
        </is>
      </c>
      <c r="C208" s="235" t="inlineStr">
        <is>
          <t>EMPÓRIO DO CAMPO 92</t>
        </is>
      </c>
      <c r="D208" s="235" t="inlineStr">
        <is>
          <t>92.381.533/6169-54</t>
        </is>
      </c>
      <c r="E208" s="235" t="inlineStr">
        <is>
          <t>RS</t>
        </is>
      </c>
      <c r="F208" s="235" t="inlineStr">
        <is>
          <t>BIOMUNDO</t>
        </is>
      </c>
      <c r="G208" s="235" t="inlineStr">
        <is>
          <t>ATIVO</t>
        </is>
      </c>
      <c r="H208" s="235" t="n">
        <v>38</v>
      </c>
      <c r="I208" s="235" t="n"/>
      <c r="J208" s="235" t="n"/>
      <c r="K208" s="235" t="n"/>
      <c r="L208" s="235" t="n"/>
      <c r="M208" s="235" t="n"/>
      <c r="N208" s="235" t="inlineStr">
        <is>
          <t>SIM</t>
        </is>
      </c>
      <c r="O208" s="235" t="inlineStr">
        <is>
          <t>NÃO</t>
        </is>
      </c>
      <c r="P208" s="235" t="inlineStr">
        <is>
          <t>N/A</t>
        </is>
      </c>
      <c r="Q208" s="235" t="inlineStr">
        <is>
          <t>PÓS-VENDA / RELACIONAMENTO</t>
        </is>
      </c>
      <c r="R208" s="235" t="inlineStr">
        <is>
          <t>FOLLOW UP 7</t>
        </is>
      </c>
      <c r="S208" s="235" t="inlineStr">
        <is>
          <t>PROBLEMA FINANCEIRO / CRÉDITO</t>
        </is>
      </c>
      <c r="T208" s="235" t="n"/>
      <c r="U208" s="235" t="n"/>
      <c r="V208" s="235" t="n"/>
      <c r="W208" s="235" t="inlineStr">
        <is>
          <t>NÃO</t>
        </is>
      </c>
      <c r="X208" s="235" t="n"/>
    </row>
    <row r="209">
      <c r="A209" s="391" t="n">
        <v>46065</v>
      </c>
      <c r="B209" s="235" t="inlineStr">
        <is>
          <t>LARISSA PADILHA</t>
        </is>
      </c>
      <c r="C209" s="235" t="inlineStr">
        <is>
          <t>MUNDO BIO 78</t>
        </is>
      </c>
      <c r="D209" s="235" t="inlineStr">
        <is>
          <t>46.405.800/1772-71</t>
        </is>
      </c>
      <c r="E209" s="235" t="inlineStr">
        <is>
          <t>PR</t>
        </is>
      </c>
      <c r="F209" s="235" t="inlineStr">
        <is>
          <t>DEMAIS CLIENTES</t>
        </is>
      </c>
      <c r="G209" s="235" t="inlineStr">
        <is>
          <t>INAT.ANT</t>
        </is>
      </c>
      <c r="H209" s="235" t="n">
        <v>161</v>
      </c>
      <c r="I209" s="235" t="n"/>
      <c r="J209" s="235" t="n"/>
      <c r="K209" s="235" t="n"/>
      <c r="L209" s="235" t="n"/>
      <c r="M209" s="235" t="n"/>
      <c r="N209" s="235" t="inlineStr">
        <is>
          <t>NÃO</t>
        </is>
      </c>
      <c r="O209" s="235" t="inlineStr">
        <is>
          <t>SIM</t>
        </is>
      </c>
      <c r="P209" s="235" t="inlineStr">
        <is>
          <t>SIM</t>
        </is>
      </c>
      <c r="Q209" s="235" t="inlineStr">
        <is>
          <t>FOLLOW UP</t>
        </is>
      </c>
      <c r="R209" s="235" t="inlineStr">
        <is>
          <t>NÃO ATENDE</t>
        </is>
      </c>
      <c r="S209" s="235" t="inlineStr">
        <is>
          <t>PROPRIETARIO / INDISPONÍVEL</t>
        </is>
      </c>
      <c r="T209" s="235" t="n"/>
      <c r="U209" s="235" t="n"/>
      <c r="V209" s="235" t="n"/>
      <c r="W209" s="235" t="inlineStr">
        <is>
          <t>NÃO</t>
        </is>
      </c>
      <c r="X209" s="235" t="n"/>
    </row>
    <row r="210">
      <c r="A210" s="391" t="n">
        <v>46079</v>
      </c>
      <c r="B210" s="235" t="inlineStr">
        <is>
          <t>DAIANE STAVICKI</t>
        </is>
      </c>
      <c r="C210" s="235" t="inlineStr">
        <is>
          <t>MUNDO BIO 52</t>
        </is>
      </c>
      <c r="D210" s="235" t="inlineStr">
        <is>
          <t>94.427.797/2293-13</t>
        </is>
      </c>
      <c r="E210" s="235" t="inlineStr">
        <is>
          <t>SP</t>
        </is>
      </c>
      <c r="F210" s="235" t="inlineStr">
        <is>
          <t>DEMAIS CLIENTES</t>
        </is>
      </c>
      <c r="G210" s="235" t="inlineStr">
        <is>
          <t>ATIVO</t>
        </is>
      </c>
      <c r="H210" s="235" t="n">
        <v>31</v>
      </c>
      <c r="I210" s="235" t="n"/>
      <c r="J210" s="235" t="n"/>
      <c r="K210" s="235" t="n"/>
      <c r="L210" s="235" t="n"/>
      <c r="M210" s="235" t="n"/>
      <c r="N210" s="235" t="inlineStr">
        <is>
          <t>SIM</t>
        </is>
      </c>
      <c r="O210" s="235" t="inlineStr">
        <is>
          <t>NÃO</t>
        </is>
      </c>
      <c r="P210" s="235" t="inlineStr">
        <is>
          <t>N/A</t>
        </is>
      </c>
      <c r="Q210" s="235" t="inlineStr">
        <is>
          <t>ATEND. CLIENTES ATIVOS</t>
        </is>
      </c>
      <c r="R210" s="235" t="inlineStr">
        <is>
          <t>SUPORTE</t>
        </is>
      </c>
      <c r="S210" s="235" t="n"/>
      <c r="T210" s="235" t="n"/>
      <c r="U210" s="235" t="n"/>
      <c r="V210" s="235" t="n"/>
      <c r="W210" s="235" t="inlineStr">
        <is>
          <t>NÃO</t>
        </is>
      </c>
      <c r="X210" s="235" t="n"/>
    </row>
    <row r="211">
      <c r="A211" s="391" t="n">
        <v>46064</v>
      </c>
      <c r="B211" s="235" t="inlineStr">
        <is>
          <t>JULIO GADRET</t>
        </is>
      </c>
      <c r="C211" s="235" t="inlineStr">
        <is>
          <t>FITLAND PR 88</t>
        </is>
      </c>
      <c r="D211" s="235" t="inlineStr">
        <is>
          <t>78.753.903/7795-95</t>
        </is>
      </c>
      <c r="E211" s="235" t="inlineStr">
        <is>
          <t>SC</t>
        </is>
      </c>
      <c r="F211" s="235" t="inlineStr">
        <is>
          <t>CIA DA SAUDE</t>
        </is>
      </c>
      <c r="G211" s="235" t="inlineStr">
        <is>
          <t>ATIVO</t>
        </is>
      </c>
      <c r="H211" s="235" t="n">
        <v>47</v>
      </c>
      <c r="I211" s="235" t="n"/>
      <c r="J211" s="235" t="n"/>
      <c r="K211" s="235" t="n"/>
      <c r="L211" s="235" t="n"/>
      <c r="M211" s="235" t="n"/>
      <c r="N211" s="235" t="inlineStr">
        <is>
          <t>SIM</t>
        </is>
      </c>
      <c r="O211" s="235" t="inlineStr">
        <is>
          <t>SIM</t>
        </is>
      </c>
      <c r="P211" s="235" t="inlineStr">
        <is>
          <t>SIM</t>
        </is>
      </c>
      <c r="Q211" s="235" t="inlineStr">
        <is>
          <t>PÓS-VENDA / RELACIONAMENTO</t>
        </is>
      </c>
      <c r="R211" s="235" t="inlineStr">
        <is>
          <t>RELACIONAMENTO</t>
        </is>
      </c>
      <c r="S211" s="235" t="n"/>
      <c r="T211" s="235" t="n"/>
      <c r="U211" s="235" t="n"/>
      <c r="V211" s="235" t="n"/>
      <c r="W211" s="235" t="inlineStr">
        <is>
          <t>NÃO</t>
        </is>
      </c>
      <c r="X211" s="235" t="n"/>
    </row>
    <row r="212">
      <c r="A212" s="391" t="n">
        <v>46078</v>
      </c>
      <c r="B212" s="235" t="inlineStr">
        <is>
          <t>DAIANE STAVICKI</t>
        </is>
      </c>
      <c r="C212" s="235" t="inlineStr">
        <is>
          <t>SAUDE TOTAL 84</t>
        </is>
      </c>
      <c r="D212" s="235" t="inlineStr">
        <is>
          <t>21.327.463/3660-49</t>
        </is>
      </c>
      <c r="E212" s="235" t="inlineStr">
        <is>
          <t>RS</t>
        </is>
      </c>
      <c r="F212" s="235" t="inlineStr">
        <is>
          <t>DEMAIS CLIENTES</t>
        </is>
      </c>
      <c r="G212" s="235" t="inlineStr">
        <is>
          <t>EM RISCO</t>
        </is>
      </c>
      <c r="H212" s="235" t="n">
        <v>60</v>
      </c>
      <c r="I212" s="235" t="n"/>
      <c r="J212" s="235" t="n"/>
      <c r="K212" s="235" t="n"/>
      <c r="L212" s="235" t="n"/>
      <c r="M212" s="235" t="n"/>
      <c r="N212" s="235" t="inlineStr">
        <is>
          <t>SIM</t>
        </is>
      </c>
      <c r="O212" s="235" t="inlineStr">
        <is>
          <t>NÃO</t>
        </is>
      </c>
      <c r="P212" s="235" t="inlineStr">
        <is>
          <t>N/A</t>
        </is>
      </c>
      <c r="Q212" s="235" t="inlineStr">
        <is>
          <t>FOLLOW UP</t>
        </is>
      </c>
      <c r="R212" s="235" t="inlineStr">
        <is>
          <t>NÃO RESPONDE</t>
        </is>
      </c>
      <c r="S212" s="235" t="inlineStr">
        <is>
          <t>PROBLEMA LOGÍSTICO / ENTREGA</t>
        </is>
      </c>
      <c r="T212" s="235" t="n"/>
      <c r="U212" s="235" t="n"/>
      <c r="V212" s="235" t="n"/>
      <c r="W212" s="235" t="inlineStr">
        <is>
          <t>NÃO</t>
        </is>
      </c>
      <c r="X212" s="235" t="n"/>
    </row>
    <row r="213">
      <c r="A213" s="391" t="n">
        <v>46056</v>
      </c>
      <c r="B213" s="235" t="inlineStr">
        <is>
          <t>LARISSA PADILHA</t>
        </is>
      </c>
      <c r="C213" s="235" t="inlineStr">
        <is>
          <t>CIA SAUDE SP 65</t>
        </is>
      </c>
      <c r="D213" s="235" t="inlineStr">
        <is>
          <t>25.988.797/6254-77</t>
        </is>
      </c>
      <c r="E213" s="235" t="inlineStr">
        <is>
          <t>SC</t>
        </is>
      </c>
      <c r="F213" s="235" t="inlineStr">
        <is>
          <t>MUNDO VERDE</t>
        </is>
      </c>
      <c r="G213" s="235" t="inlineStr">
        <is>
          <t>NOVO</t>
        </is>
      </c>
      <c r="H213" s="235" t="inlineStr"/>
      <c r="I213" s="235" t="n"/>
      <c r="J213" s="235" t="n"/>
      <c r="K213" s="235" t="n"/>
      <c r="L213" s="235" t="n"/>
      <c r="M213" s="235" t="n"/>
      <c r="N213" s="235" t="inlineStr">
        <is>
          <t>SIM</t>
        </is>
      </c>
      <c r="O213" s="235" t="inlineStr">
        <is>
          <t>NÃO</t>
        </is>
      </c>
      <c r="P213" s="235" t="inlineStr">
        <is>
          <t>N/A</t>
        </is>
      </c>
      <c r="Q213" s="235" t="inlineStr">
        <is>
          <t>PROSPECÇÃO</t>
        </is>
      </c>
      <c r="R213" s="235" t="inlineStr">
        <is>
          <t>EM ATENDIMENTO</t>
        </is>
      </c>
      <c r="S213" s="235" t="n"/>
      <c r="T213" s="235" t="n"/>
      <c r="U213" s="235" t="n"/>
      <c r="V213" s="235" t="n"/>
      <c r="W213" s="235" t="inlineStr">
        <is>
          <t>NÃO</t>
        </is>
      </c>
      <c r="X213" s="235" t="n"/>
    </row>
    <row r="214">
      <c r="A214" s="391" t="n">
        <v>46068</v>
      </c>
      <c r="B214" s="235" t="inlineStr">
        <is>
          <t>MANU DITZEL</t>
        </is>
      </c>
      <c r="C214" s="235" t="inlineStr">
        <is>
          <t>VERDE VIDA 11</t>
        </is>
      </c>
      <c r="D214" s="235" t="inlineStr">
        <is>
          <t>72.440.746/2898-50</t>
        </is>
      </c>
      <c r="E214" s="235" t="inlineStr">
        <is>
          <t>SP</t>
        </is>
      </c>
      <c r="F214" s="235" t="inlineStr">
        <is>
          <t>MUNDO VERDE</t>
        </is>
      </c>
      <c r="G214" s="235" t="inlineStr">
        <is>
          <t>ATIVO</t>
        </is>
      </c>
      <c r="H214" s="235" t="n">
        <v>15</v>
      </c>
      <c r="I214" s="235" t="n"/>
      <c r="J214" s="235" t="n"/>
      <c r="K214" s="235" t="n"/>
      <c r="L214" s="235" t="n"/>
      <c r="M214" s="235" t="n"/>
      <c r="N214" s="235" t="inlineStr">
        <is>
          <t>NÃO</t>
        </is>
      </c>
      <c r="O214" s="235" t="inlineStr">
        <is>
          <t>NÃO</t>
        </is>
      </c>
      <c r="P214" s="235" t="inlineStr">
        <is>
          <t>N/A</t>
        </is>
      </c>
      <c r="Q214" s="235" t="inlineStr">
        <is>
          <t>ATEND. CLIENTES ATIVOS</t>
        </is>
      </c>
      <c r="R214" s="235" t="inlineStr">
        <is>
          <t>VENDA / PEDIDO</t>
        </is>
      </c>
      <c r="S214" s="235" t="n"/>
      <c r="T214" s="235" t="n"/>
      <c r="U214" s="235" t="n"/>
      <c r="V214" s="235" t="n"/>
      <c r="W214" s="235" t="inlineStr">
        <is>
          <t>SIM</t>
        </is>
      </c>
      <c r="X214" s="235" t="n"/>
    </row>
    <row r="215">
      <c r="A215" s="391" t="n">
        <v>46067</v>
      </c>
      <c r="B215" s="235" t="inlineStr">
        <is>
          <t>JULIO GADRET</t>
        </is>
      </c>
      <c r="C215" s="235" t="inlineStr">
        <is>
          <t>TUDO GRÃOS SC 55</t>
        </is>
      </c>
      <c r="D215" s="235" t="inlineStr">
        <is>
          <t>71.492.104/0619-78</t>
        </is>
      </c>
      <c r="E215" s="235" t="inlineStr">
        <is>
          <t>PR</t>
        </is>
      </c>
      <c r="F215" s="235" t="inlineStr">
        <is>
          <t>FIT LAND</t>
        </is>
      </c>
      <c r="G215" s="235" t="inlineStr">
        <is>
          <t>ATIVO</t>
        </is>
      </c>
      <c r="H215" s="235" t="n">
        <v>25</v>
      </c>
      <c r="I215" s="235" t="n"/>
      <c r="J215" s="235" t="n"/>
      <c r="K215" s="235" t="n"/>
      <c r="L215" s="235" t="n"/>
      <c r="M215" s="235" t="n"/>
      <c r="N215" s="235" t="inlineStr">
        <is>
          <t>SIM</t>
        </is>
      </c>
      <c r="O215" s="235" t="inlineStr">
        <is>
          <t>SIM</t>
        </is>
      </c>
      <c r="P215" s="235" t="inlineStr">
        <is>
          <t>NÃO</t>
        </is>
      </c>
      <c r="Q215" s="235" t="inlineStr">
        <is>
          <t>PÓS-VENDA / RELACIONAMENTO</t>
        </is>
      </c>
      <c r="R215" s="235" t="inlineStr">
        <is>
          <t>FOLLOW UP 15</t>
        </is>
      </c>
      <c r="S215" s="235" t="inlineStr">
        <is>
          <t>AINDA TEM ESTOQUE</t>
        </is>
      </c>
      <c r="T215" s="235" t="n"/>
      <c r="U215" s="235" t="n"/>
      <c r="V215" s="235" t="n"/>
      <c r="W215" s="235" t="inlineStr">
        <is>
          <t>NÃO</t>
        </is>
      </c>
      <c r="X215" s="235" t="n"/>
    </row>
    <row r="216">
      <c r="A216" s="391" t="n">
        <v>46063</v>
      </c>
      <c r="B216" s="235" t="inlineStr">
        <is>
          <t>MANU DITZEL</t>
        </is>
      </c>
      <c r="C216" s="235" t="inlineStr">
        <is>
          <t>VIDA LEVE PR 65</t>
        </is>
      </c>
      <c r="D216" s="235" t="inlineStr">
        <is>
          <t>85.413.271/1070-15</t>
        </is>
      </c>
      <c r="E216" s="235" t="inlineStr">
        <is>
          <t>SC</t>
        </is>
      </c>
      <c r="F216" s="235" t="inlineStr">
        <is>
          <t>CIA DA SAUDE</t>
        </is>
      </c>
      <c r="G216" s="235" t="inlineStr">
        <is>
          <t>INAT.ANT</t>
        </is>
      </c>
      <c r="H216" s="235" t="n">
        <v>243</v>
      </c>
      <c r="I216" s="235" t="n"/>
      <c r="J216" s="235" t="n"/>
      <c r="K216" s="235" t="n"/>
      <c r="L216" s="235" t="n"/>
      <c r="M216" s="235" t="n"/>
      <c r="N216" s="235" t="inlineStr">
        <is>
          <t>SIM</t>
        </is>
      </c>
      <c r="O216" s="235" t="inlineStr">
        <is>
          <t>SIM</t>
        </is>
      </c>
      <c r="P216" s="235" t="inlineStr">
        <is>
          <t>NÃO</t>
        </is>
      </c>
      <c r="Q216" s="235" t="inlineStr">
        <is>
          <t>ATEND. CLIENTES ATIVOS</t>
        </is>
      </c>
      <c r="R216" s="235" t="inlineStr">
        <is>
          <t>RELACIONAMENTO</t>
        </is>
      </c>
      <c r="S216" s="235" t="n"/>
      <c r="T216" s="235" t="n"/>
      <c r="U216" s="235" t="n"/>
      <c r="V216" s="235" t="n"/>
      <c r="W216" s="235" t="inlineStr">
        <is>
          <t>SIM</t>
        </is>
      </c>
      <c r="X216" s="235" t="n"/>
    </row>
    <row r="217">
      <c r="A217" s="391" t="n">
        <v>46078</v>
      </c>
      <c r="B217" s="235" t="inlineStr">
        <is>
          <t>MANU DITZEL</t>
        </is>
      </c>
      <c r="C217" s="235" t="inlineStr">
        <is>
          <t>TUDO GRÃOS SC 03</t>
        </is>
      </c>
      <c r="D217" s="235" t="inlineStr">
        <is>
          <t>39.329.844/2150-37</t>
        </is>
      </c>
      <c r="E217" s="235" t="inlineStr">
        <is>
          <t>RJ</t>
        </is>
      </c>
      <c r="F217" s="235" t="inlineStr">
        <is>
          <t>VIDA LEVE</t>
        </is>
      </c>
      <c r="G217" s="235" t="inlineStr">
        <is>
          <t>ATIVO</t>
        </is>
      </c>
      <c r="H217" s="235" t="n">
        <v>28</v>
      </c>
      <c r="I217" s="235" t="n"/>
      <c r="J217" s="235" t="n"/>
      <c r="K217" s="235" t="n"/>
      <c r="L217" s="235" t="n"/>
      <c r="M217" s="235" t="n"/>
      <c r="N217" s="235" t="inlineStr">
        <is>
          <t>SIM</t>
        </is>
      </c>
      <c r="O217" s="235" t="inlineStr">
        <is>
          <t>NÃO</t>
        </is>
      </c>
      <c r="P217" s="235" t="inlineStr">
        <is>
          <t>N/A</t>
        </is>
      </c>
      <c r="Q217" s="235" t="inlineStr">
        <is>
          <t>ATEND. CLIENTES INATIVOS</t>
        </is>
      </c>
      <c r="R217" s="235" t="inlineStr">
        <is>
          <t>VENDA / PEDIDO</t>
        </is>
      </c>
      <c r="S217" s="235" t="n"/>
      <c r="T217" s="235" t="n"/>
      <c r="U217" s="235" t="n"/>
      <c r="V217" s="235" t="n"/>
      <c r="W217" s="235" t="inlineStr">
        <is>
          <t>NÃO</t>
        </is>
      </c>
      <c r="X217" s="235" t="n"/>
    </row>
    <row r="218">
      <c r="A218" s="391" t="n">
        <v>46073</v>
      </c>
      <c r="B218" s="235" t="inlineStr">
        <is>
          <t>MANU DITZEL</t>
        </is>
      </c>
      <c r="C218" s="235" t="inlineStr">
        <is>
          <t>BIOMUNDO CTB 85</t>
        </is>
      </c>
      <c r="D218" s="235" t="inlineStr">
        <is>
          <t>23.769.956/0324-16</t>
        </is>
      </c>
      <c r="E218" s="235" t="inlineStr">
        <is>
          <t>SP</t>
        </is>
      </c>
      <c r="F218" s="235" t="inlineStr">
        <is>
          <t>FIT LAND</t>
        </is>
      </c>
      <c r="G218" s="235" t="inlineStr">
        <is>
          <t>EM RISCO</t>
        </is>
      </c>
      <c r="H218" s="235" t="n">
        <v>59</v>
      </c>
      <c r="I218" s="235" t="n"/>
      <c r="J218" s="235" t="n"/>
      <c r="K218" s="235" t="n"/>
      <c r="L218" s="235" t="n"/>
      <c r="M218" s="235" t="n"/>
      <c r="N218" s="235" t="inlineStr">
        <is>
          <t>SIM</t>
        </is>
      </c>
      <c r="O218" s="235" t="inlineStr">
        <is>
          <t>NÃO</t>
        </is>
      </c>
      <c r="P218" s="235" t="inlineStr">
        <is>
          <t>N/A</t>
        </is>
      </c>
      <c r="Q218" s="235" t="inlineStr">
        <is>
          <t>FOLLOW UP</t>
        </is>
      </c>
      <c r="R218" s="235" t="inlineStr">
        <is>
          <t>NÃO ATENDE</t>
        </is>
      </c>
      <c r="S218" s="235" t="inlineStr">
        <is>
          <t>AINDA TEM ESTOQUE</t>
        </is>
      </c>
      <c r="T218" s="235" t="n"/>
      <c r="U218" s="235" t="n"/>
      <c r="V218" s="235" t="n"/>
      <c r="W218" s="235" t="inlineStr">
        <is>
          <t>SIM</t>
        </is>
      </c>
      <c r="X218" s="235" t="n"/>
    </row>
    <row r="219">
      <c r="A219" s="391" t="n">
        <v>46057</v>
      </c>
      <c r="B219" s="235" t="inlineStr">
        <is>
          <t>JULIO GADRET</t>
        </is>
      </c>
      <c r="C219" s="235" t="inlineStr">
        <is>
          <t>NATUR LIFE 80</t>
        </is>
      </c>
      <c r="D219" s="235" t="inlineStr">
        <is>
          <t>87.817.240/6863-23</t>
        </is>
      </c>
      <c r="E219" s="235" t="inlineStr">
        <is>
          <t>RS</t>
        </is>
      </c>
      <c r="F219" s="235" t="inlineStr">
        <is>
          <t>VIDA LEVE</t>
        </is>
      </c>
      <c r="G219" s="235" t="inlineStr">
        <is>
          <t>ATIVO</t>
        </is>
      </c>
      <c r="H219" s="235" t="n">
        <v>11</v>
      </c>
      <c r="I219" s="235" t="n"/>
      <c r="J219" s="235" t="n"/>
      <c r="K219" s="235" t="n"/>
      <c r="L219" s="235" t="n"/>
      <c r="M219" s="235" t="n"/>
      <c r="N219" s="235" t="inlineStr">
        <is>
          <t>NÃO</t>
        </is>
      </c>
      <c r="O219" s="235" t="inlineStr">
        <is>
          <t>NÃO</t>
        </is>
      </c>
      <c r="P219" s="235" t="inlineStr">
        <is>
          <t>N/A</t>
        </is>
      </c>
      <c r="Q219" s="235" t="inlineStr">
        <is>
          <t>ATEND. CLIENTES ATIVOS</t>
        </is>
      </c>
      <c r="R219" s="235" t="inlineStr">
        <is>
          <t>FOLLOW UP 7</t>
        </is>
      </c>
      <c r="S219" s="235" t="inlineStr">
        <is>
          <t>PRIMEIRO CONTATO / SEM RESPOSTA</t>
        </is>
      </c>
      <c r="T219" s="235" t="n"/>
      <c r="U219" s="235" t="n"/>
      <c r="V219" s="235" t="n"/>
      <c r="W219" s="235" t="inlineStr">
        <is>
          <t>SIM</t>
        </is>
      </c>
      <c r="X219" s="235" t="n"/>
    </row>
    <row r="220">
      <c r="A220" s="391" t="n">
        <v>46067</v>
      </c>
      <c r="B220" s="235" t="inlineStr">
        <is>
          <t>MANU DITZEL</t>
        </is>
      </c>
      <c r="C220" s="235" t="inlineStr">
        <is>
          <t>MUNDO VERDE CWB 71</t>
        </is>
      </c>
      <c r="D220" s="235" t="inlineStr">
        <is>
          <t>73.312.804/7876-52</t>
        </is>
      </c>
      <c r="E220" s="235" t="inlineStr">
        <is>
          <t>PR</t>
        </is>
      </c>
      <c r="F220" s="235" t="inlineStr">
        <is>
          <t>MUNDO VERDE</t>
        </is>
      </c>
      <c r="G220" s="235" t="inlineStr">
        <is>
          <t>ATIVO</t>
        </is>
      </c>
      <c r="H220" s="235" t="n">
        <v>12</v>
      </c>
      <c r="I220" s="235" t="n"/>
      <c r="J220" s="235" t="n"/>
      <c r="K220" s="235" t="n"/>
      <c r="L220" s="235" t="n"/>
      <c r="M220" s="235" t="n"/>
      <c r="N220" s="235" t="inlineStr">
        <is>
          <t>SIM</t>
        </is>
      </c>
      <c r="O220" s="235" t="inlineStr">
        <is>
          <t>SIM</t>
        </is>
      </c>
      <c r="P220" s="235" t="inlineStr">
        <is>
          <t>SIM</t>
        </is>
      </c>
      <c r="Q220" s="235" t="inlineStr">
        <is>
          <t>PÓS-VENDA / RELACIONAMENTO</t>
        </is>
      </c>
      <c r="R220" s="235" t="inlineStr">
        <is>
          <t>SUPORTE</t>
        </is>
      </c>
      <c r="S220" s="235" t="n"/>
      <c r="T220" s="235" t="n"/>
      <c r="U220" s="235" t="n"/>
      <c r="V220" s="235" t="n"/>
      <c r="W220" s="235" t="inlineStr">
        <is>
          <t>NÃO</t>
        </is>
      </c>
      <c r="X220" s="235" t="n"/>
    </row>
    <row r="221">
      <c r="A221" s="391" t="n">
        <v>46057</v>
      </c>
      <c r="B221" s="235" t="inlineStr">
        <is>
          <t>DAIANE STAVICKI</t>
        </is>
      </c>
      <c r="C221" s="235" t="inlineStr">
        <is>
          <t>FITLAND PR 59</t>
        </is>
      </c>
      <c r="D221" s="235" t="inlineStr">
        <is>
          <t>47.370.575/0821-22</t>
        </is>
      </c>
      <c r="E221" s="235" t="inlineStr">
        <is>
          <t>MG</t>
        </is>
      </c>
      <c r="F221" s="235" t="inlineStr">
        <is>
          <t>DEMAIS CLIENTES</t>
        </is>
      </c>
      <c r="G221" s="235" t="inlineStr">
        <is>
          <t>NOVO</t>
        </is>
      </c>
      <c r="H221" s="235" t="inlineStr"/>
      <c r="I221" s="235" t="n"/>
      <c r="J221" s="235" t="n"/>
      <c r="K221" s="235" t="n"/>
      <c r="L221" s="235" t="n"/>
      <c r="M221" s="235" t="n"/>
      <c r="N221" s="235" t="inlineStr">
        <is>
          <t>SIM</t>
        </is>
      </c>
      <c r="O221" s="235" t="inlineStr">
        <is>
          <t>SIM</t>
        </is>
      </c>
      <c r="P221" s="235" t="inlineStr">
        <is>
          <t>NÃO</t>
        </is>
      </c>
      <c r="Q221" s="235" t="inlineStr">
        <is>
          <t>FOLLOW UP</t>
        </is>
      </c>
      <c r="R221" s="235" t="inlineStr">
        <is>
          <t>FOLLOW UP 15</t>
        </is>
      </c>
      <c r="S221" s="235" t="inlineStr">
        <is>
          <t>SEM INTERESSE NO MOMENTO</t>
        </is>
      </c>
      <c r="T221" s="235" t="n"/>
      <c r="U221" s="235" t="n"/>
      <c r="V221" s="235" t="n"/>
      <c r="W221" s="235" t="inlineStr">
        <is>
          <t>SIM</t>
        </is>
      </c>
      <c r="X221" s="235" t="n"/>
    </row>
    <row r="222">
      <c r="A222" s="391" t="n">
        <v>46058</v>
      </c>
      <c r="B222" s="235" t="inlineStr">
        <is>
          <t>JULIO GADRET</t>
        </is>
      </c>
      <c r="C222" s="235" t="inlineStr">
        <is>
          <t>BEM ESTAR 43</t>
        </is>
      </c>
      <c r="D222" s="235" t="inlineStr">
        <is>
          <t>55.548.736/4396-21</t>
        </is>
      </c>
      <c r="E222" s="235" t="inlineStr">
        <is>
          <t>SC</t>
        </is>
      </c>
      <c r="F222" s="235" t="inlineStr">
        <is>
          <t>CIA DA SAUDE</t>
        </is>
      </c>
      <c r="G222" s="235" t="inlineStr">
        <is>
          <t>ATIVO</t>
        </is>
      </c>
      <c r="H222" s="235" t="n">
        <v>30</v>
      </c>
      <c r="I222" s="235" t="n"/>
      <c r="J222" s="235" t="n"/>
      <c r="K222" s="235" t="n"/>
      <c r="L222" s="235" t="n"/>
      <c r="M222" s="235" t="n"/>
      <c r="N222" s="235" t="inlineStr">
        <is>
          <t>SIM</t>
        </is>
      </c>
      <c r="O222" s="235" t="inlineStr">
        <is>
          <t>NÃO</t>
        </is>
      </c>
      <c r="P222" s="235" t="inlineStr">
        <is>
          <t>N/A</t>
        </is>
      </c>
      <c r="Q222" s="235" t="inlineStr">
        <is>
          <t>PERDA / NUTRIÇÃO</t>
        </is>
      </c>
      <c r="R222" s="235" t="inlineStr">
        <is>
          <t>PERDA / FECHOU LOJA</t>
        </is>
      </c>
      <c r="S222" s="235" t="inlineStr">
        <is>
          <t>PROPRIETARIO / INDISPONÍVEL</t>
        </is>
      </c>
      <c r="T222" s="235" t="n"/>
      <c r="U222" s="235" t="n"/>
      <c r="V222" s="235" t="n"/>
      <c r="W222" s="235" t="inlineStr">
        <is>
          <t>SIM</t>
        </is>
      </c>
      <c r="X222" s="235" t="n"/>
    </row>
    <row r="223">
      <c r="A223" s="391" t="n">
        <v>46079</v>
      </c>
      <c r="B223" s="235" t="inlineStr">
        <is>
          <t>MANU DITZEL</t>
        </is>
      </c>
      <c r="C223" s="235" t="inlineStr">
        <is>
          <t>FIT STORE 90</t>
        </is>
      </c>
      <c r="D223" s="235" t="inlineStr">
        <is>
          <t>17.964.263/1700-63</t>
        </is>
      </c>
      <c r="E223" s="235" t="inlineStr">
        <is>
          <t>GO</t>
        </is>
      </c>
      <c r="F223" s="235" t="inlineStr">
        <is>
          <t>DIVINA TERRA</t>
        </is>
      </c>
      <c r="G223" s="235" t="inlineStr">
        <is>
          <t>INAT.REC</t>
        </is>
      </c>
      <c r="H223" s="235" t="n">
        <v>75</v>
      </c>
      <c r="I223" s="235" t="n"/>
      <c r="J223" s="235" t="n"/>
      <c r="K223" s="235" t="n"/>
      <c r="L223" s="235" t="n"/>
      <c r="M223" s="235" t="n"/>
      <c r="N223" s="235" t="inlineStr">
        <is>
          <t>SIM</t>
        </is>
      </c>
      <c r="O223" s="235" t="inlineStr">
        <is>
          <t>SIM</t>
        </is>
      </c>
      <c r="P223" s="235" t="inlineStr">
        <is>
          <t>NÃO</t>
        </is>
      </c>
      <c r="Q223" s="235" t="inlineStr">
        <is>
          <t>NEGOCIAÇÃO</t>
        </is>
      </c>
      <c r="R223" s="235" t="inlineStr">
        <is>
          <t>ORÇAMENTO</t>
        </is>
      </c>
      <c r="S223" s="235" t="n"/>
      <c r="T223" s="235" t="n"/>
      <c r="U223" s="235" t="n"/>
      <c r="V223" s="235" t="n"/>
      <c r="W223" s="235" t="inlineStr">
        <is>
          <t>NÃO</t>
        </is>
      </c>
      <c r="X223" s="235" t="n"/>
    </row>
    <row r="224">
      <c r="A224" s="391" t="n">
        <v>46058</v>
      </c>
      <c r="B224" s="235" t="inlineStr">
        <is>
          <t>LARISSA PADILHA</t>
        </is>
      </c>
      <c r="C224" s="235" t="inlineStr">
        <is>
          <t>POWER NATURAL 15</t>
        </is>
      </c>
      <c r="D224" s="235" t="inlineStr">
        <is>
          <t>62.551.147/1038-43</t>
        </is>
      </c>
      <c r="E224" s="235" t="inlineStr">
        <is>
          <t>SP</t>
        </is>
      </c>
      <c r="F224" s="235" t="inlineStr">
        <is>
          <t>MUNDO VERDE</t>
        </is>
      </c>
      <c r="G224" s="235" t="inlineStr">
        <is>
          <t>NOVO</t>
        </is>
      </c>
      <c r="H224" s="235" t="inlineStr"/>
      <c r="I224" s="235" t="n"/>
      <c r="J224" s="235" t="n"/>
      <c r="K224" s="235" t="n"/>
      <c r="L224" s="235" t="n"/>
      <c r="M224" s="235" t="n"/>
      <c r="N224" s="235" t="inlineStr">
        <is>
          <t>NÃO</t>
        </is>
      </c>
      <c r="O224" s="235" t="inlineStr">
        <is>
          <t>SIM</t>
        </is>
      </c>
      <c r="P224" s="235" t="inlineStr">
        <is>
          <t>NÃO</t>
        </is>
      </c>
      <c r="Q224" s="235" t="inlineStr">
        <is>
          <t>ATEND. CLIENTES ATIVOS</t>
        </is>
      </c>
      <c r="R224" s="235" t="inlineStr">
        <is>
          <t>SUPORTE</t>
        </is>
      </c>
      <c r="S224" s="235" t="n"/>
      <c r="T224" s="235" t="n"/>
      <c r="U224" s="235" t="n"/>
      <c r="V224" s="235" t="n"/>
      <c r="W224" s="235" t="inlineStr">
        <is>
          <t>NÃO</t>
        </is>
      </c>
      <c r="X224" s="235" t="n"/>
    </row>
    <row r="225">
      <c r="A225" s="391" t="n">
        <v>46070</v>
      </c>
      <c r="B225" s="235" t="inlineStr">
        <is>
          <t>LARISSA PADILHA</t>
        </is>
      </c>
      <c r="C225" s="235" t="inlineStr">
        <is>
          <t>CORPO E MENTE 13</t>
        </is>
      </c>
      <c r="D225" s="235" t="inlineStr">
        <is>
          <t>65.777.844/4073-71</t>
        </is>
      </c>
      <c r="E225" s="235" t="inlineStr">
        <is>
          <t>SC</t>
        </is>
      </c>
      <c r="F225" s="235" t="inlineStr">
        <is>
          <t>TUDO EM GRAOS</t>
        </is>
      </c>
      <c r="G225" s="235" t="inlineStr">
        <is>
          <t>EM RISCO</t>
        </is>
      </c>
      <c r="H225" s="235" t="n">
        <v>59</v>
      </c>
      <c r="I225" s="235" t="n"/>
      <c r="J225" s="235" t="n"/>
      <c r="K225" s="235" t="n"/>
      <c r="L225" s="235" t="n"/>
      <c r="M225" s="235" t="n"/>
      <c r="N225" s="235" t="inlineStr">
        <is>
          <t>SIM</t>
        </is>
      </c>
      <c r="O225" s="235" t="inlineStr">
        <is>
          <t>NÃO</t>
        </is>
      </c>
      <c r="P225" s="235" t="inlineStr">
        <is>
          <t>N/A</t>
        </is>
      </c>
      <c r="Q225" s="235" t="inlineStr">
        <is>
          <t>PÓS-VENDA / RELACIONAMENTO</t>
        </is>
      </c>
      <c r="R225" s="235" t="inlineStr">
        <is>
          <t>SUPORTE</t>
        </is>
      </c>
      <c r="S225" s="235" t="n"/>
      <c r="T225" s="235" t="n"/>
      <c r="U225" s="235" t="n"/>
      <c r="V225" s="235" t="n"/>
      <c r="W225" s="235" t="inlineStr">
        <is>
          <t>SIM</t>
        </is>
      </c>
      <c r="X225" s="235" t="n"/>
    </row>
    <row r="226">
      <c r="A226" s="391" t="n">
        <v>46069</v>
      </c>
      <c r="B226" s="235" t="inlineStr">
        <is>
          <t>DAIANE STAVICKI</t>
        </is>
      </c>
      <c r="C226" s="235" t="inlineStr">
        <is>
          <t>BEM ESTAR 10</t>
        </is>
      </c>
      <c r="D226" s="235" t="inlineStr">
        <is>
          <t>72.428.346/5422-45</t>
        </is>
      </c>
      <c r="E226" s="235" t="inlineStr">
        <is>
          <t>PR</t>
        </is>
      </c>
      <c r="F226" s="235" t="inlineStr">
        <is>
          <t>BIOMUNDO</t>
        </is>
      </c>
      <c r="G226" s="235" t="inlineStr">
        <is>
          <t>INAT.ANT</t>
        </is>
      </c>
      <c r="H226" s="235" t="n">
        <v>194</v>
      </c>
      <c r="I226" s="235" t="n"/>
      <c r="J226" s="235" t="n"/>
      <c r="K226" s="235" t="n"/>
      <c r="L226" s="235" t="n"/>
      <c r="M226" s="235" t="n"/>
      <c r="N226" s="235" t="inlineStr">
        <is>
          <t>SIM</t>
        </is>
      </c>
      <c r="O226" s="235" t="inlineStr">
        <is>
          <t>NÃO</t>
        </is>
      </c>
      <c r="P226" s="235" t="inlineStr">
        <is>
          <t>N/A</t>
        </is>
      </c>
      <c r="Q226" s="235" t="inlineStr">
        <is>
          <t>PÓS-VENDA / RELACIONAMENTO</t>
        </is>
      </c>
      <c r="R226" s="235" t="inlineStr">
        <is>
          <t>RELACIONAMENTO</t>
        </is>
      </c>
      <c r="S226" s="235" t="n"/>
      <c r="T226" s="235" t="n"/>
      <c r="U226" s="235" t="n"/>
      <c r="V226" s="235" t="n"/>
      <c r="W226" s="235" t="inlineStr">
        <is>
          <t>SIM</t>
        </is>
      </c>
      <c r="X226" s="235" t="n"/>
    </row>
    <row r="227">
      <c r="A227" s="391" t="n">
        <v>46069</v>
      </c>
      <c r="B227" s="235" t="inlineStr">
        <is>
          <t>LARISSA PADILHA</t>
        </is>
      </c>
      <c r="C227" s="235" t="inlineStr">
        <is>
          <t>CASA DO GRANEL 64</t>
        </is>
      </c>
      <c r="D227" s="235" t="inlineStr">
        <is>
          <t>93.118.205/6610-62</t>
        </is>
      </c>
      <c r="E227" s="235" t="inlineStr">
        <is>
          <t>PR</t>
        </is>
      </c>
      <c r="F227" s="235" t="inlineStr">
        <is>
          <t>VIDA LEVE</t>
        </is>
      </c>
      <c r="G227" s="235" t="inlineStr">
        <is>
          <t>NOVO</t>
        </is>
      </c>
      <c r="H227" s="235" t="inlineStr"/>
      <c r="I227" s="235" t="n"/>
      <c r="J227" s="235" t="n"/>
      <c r="K227" s="235" t="n"/>
      <c r="L227" s="235" t="n"/>
      <c r="M227" s="235" t="n"/>
      <c r="N227" s="235" t="inlineStr">
        <is>
          <t>SIM</t>
        </is>
      </c>
      <c r="O227" s="235" t="inlineStr">
        <is>
          <t>NÃO</t>
        </is>
      </c>
      <c r="P227" s="235" t="inlineStr">
        <is>
          <t>N/A</t>
        </is>
      </c>
      <c r="Q227" s="235" t="inlineStr">
        <is>
          <t>PÓS-VENDA / RELACIONAMENTO</t>
        </is>
      </c>
      <c r="R227" s="235" t="inlineStr">
        <is>
          <t>ORÇAMENTO</t>
        </is>
      </c>
      <c r="S227" s="235" t="n"/>
      <c r="T227" s="235" t="n"/>
      <c r="U227" s="235" t="n"/>
      <c r="V227" s="235" t="n"/>
      <c r="W227" s="235" t="inlineStr">
        <is>
          <t>SIM</t>
        </is>
      </c>
      <c r="X227" s="235" t="n"/>
    </row>
    <row r="228">
      <c r="A228" s="391" t="n">
        <v>46074</v>
      </c>
      <c r="B228" s="235" t="inlineStr">
        <is>
          <t>JULIO GADRET</t>
        </is>
      </c>
      <c r="C228" s="235" t="inlineStr">
        <is>
          <t>SAUDE TOTAL 47</t>
        </is>
      </c>
      <c r="D228" s="235" t="inlineStr">
        <is>
          <t>16.936.328/7446-52</t>
        </is>
      </c>
      <c r="E228" s="235" t="inlineStr">
        <is>
          <t>SP</t>
        </is>
      </c>
      <c r="F228" s="235" t="inlineStr">
        <is>
          <t>VIDA LEVE</t>
        </is>
      </c>
      <c r="G228" s="235" t="inlineStr">
        <is>
          <t>EM RISCO</t>
        </is>
      </c>
      <c r="H228" s="235" t="n">
        <v>56</v>
      </c>
      <c r="I228" s="235" t="n"/>
      <c r="J228" s="235" t="n"/>
      <c r="K228" s="235" t="n"/>
      <c r="L228" s="235" t="n"/>
      <c r="M228" s="235" t="n"/>
      <c r="N228" s="235" t="inlineStr">
        <is>
          <t>NÃO</t>
        </is>
      </c>
      <c r="O228" s="235" t="inlineStr">
        <is>
          <t>SIM</t>
        </is>
      </c>
      <c r="P228" s="235" t="inlineStr">
        <is>
          <t>SIM</t>
        </is>
      </c>
      <c r="Q228" s="235" t="inlineStr">
        <is>
          <t>ATEND. CLIENTES INATIVOS</t>
        </is>
      </c>
      <c r="R228" s="235" t="inlineStr">
        <is>
          <t>EM ATENDIMENTO</t>
        </is>
      </c>
      <c r="S228" s="235" t="n"/>
      <c r="T228" s="235" t="n"/>
      <c r="U228" s="235" t="n"/>
      <c r="V228" s="235" t="n"/>
      <c r="W228" s="235" t="inlineStr">
        <is>
          <t>NÃO</t>
        </is>
      </c>
      <c r="X228" s="235" t="n"/>
    </row>
    <row r="229">
      <c r="A229" s="391" t="n">
        <v>46079</v>
      </c>
      <c r="B229" s="235" t="inlineStr">
        <is>
          <t>MANU DITZEL</t>
        </is>
      </c>
      <c r="C229" s="235" t="inlineStr">
        <is>
          <t>LOJA NATURAL 48</t>
        </is>
      </c>
      <c r="D229" s="235" t="inlineStr">
        <is>
          <t>99.208.146/2690-73</t>
        </is>
      </c>
      <c r="E229" s="235" t="inlineStr">
        <is>
          <t>PR</t>
        </is>
      </c>
      <c r="F229" s="235" t="inlineStr">
        <is>
          <t>DEMAIS CLIENTES</t>
        </is>
      </c>
      <c r="G229" s="235" t="inlineStr">
        <is>
          <t>INAT.ANT</t>
        </is>
      </c>
      <c r="H229" s="235" t="n">
        <v>118</v>
      </c>
      <c r="I229" s="235" t="n"/>
      <c r="J229" s="235" t="n"/>
      <c r="K229" s="235" t="n"/>
      <c r="L229" s="235" t="n"/>
      <c r="M229" s="235" t="n"/>
      <c r="N229" s="235" t="inlineStr">
        <is>
          <t>SIM</t>
        </is>
      </c>
      <c r="O229" s="235" t="inlineStr">
        <is>
          <t>NÃO</t>
        </is>
      </c>
      <c r="P229" s="235" t="inlineStr">
        <is>
          <t>N/A</t>
        </is>
      </c>
      <c r="Q229" s="235" t="inlineStr">
        <is>
          <t>FOLLOW UP</t>
        </is>
      </c>
      <c r="R229" s="235" t="inlineStr">
        <is>
          <t>ORÇAMENTO</t>
        </is>
      </c>
      <c r="S229" s="235" t="n"/>
      <c r="T229" s="235" t="n"/>
      <c r="U229" s="235" t="n"/>
      <c r="V229" s="235" t="n"/>
      <c r="W229" s="235" t="inlineStr">
        <is>
          <t>SIM</t>
        </is>
      </c>
      <c r="X229" s="235" t="n"/>
    </row>
    <row r="230">
      <c r="A230" s="391" t="n">
        <v>46080</v>
      </c>
      <c r="B230" s="235" t="inlineStr">
        <is>
          <t>DAIANE STAVICKI</t>
        </is>
      </c>
      <c r="C230" s="235" t="inlineStr">
        <is>
          <t>SAUDE TOTAL 14</t>
        </is>
      </c>
      <c r="D230" s="235" t="inlineStr">
        <is>
          <t>63.147.748/9648-25</t>
        </is>
      </c>
      <c r="E230" s="235" t="inlineStr">
        <is>
          <t>RJ</t>
        </is>
      </c>
      <c r="F230" s="235" t="inlineStr">
        <is>
          <t>DIVINA TERRA</t>
        </is>
      </c>
      <c r="G230" s="235" t="inlineStr">
        <is>
          <t>INAT.ANT</t>
        </is>
      </c>
      <c r="H230" s="235" t="n">
        <v>220</v>
      </c>
      <c r="I230" s="235" t="n"/>
      <c r="J230" s="235" t="n"/>
      <c r="K230" s="235" t="n"/>
      <c r="L230" s="235" t="n"/>
      <c r="M230" s="235" t="n"/>
      <c r="N230" s="235" t="inlineStr">
        <is>
          <t>SIM</t>
        </is>
      </c>
      <c r="O230" s="235" t="inlineStr">
        <is>
          <t>SIM</t>
        </is>
      </c>
      <c r="P230" s="235" t="inlineStr">
        <is>
          <t>NÃO</t>
        </is>
      </c>
      <c r="Q230" s="235" t="inlineStr">
        <is>
          <t>PROSPECÇÃO</t>
        </is>
      </c>
      <c r="R230" s="235" t="inlineStr">
        <is>
          <t>CADASTRO</t>
        </is>
      </c>
      <c r="S230" s="235" t="n"/>
      <c r="T230" s="235" t="n"/>
      <c r="U230" s="235" t="n"/>
      <c r="V230" s="235" t="n"/>
      <c r="W230" s="235" t="inlineStr">
        <is>
          <t>NÃO</t>
        </is>
      </c>
      <c r="X230" s="235" t="n"/>
    </row>
    <row r="231">
      <c r="A231" s="391" t="n">
        <v>46069</v>
      </c>
      <c r="B231" s="235" t="inlineStr">
        <is>
          <t>DAIANE STAVICKI</t>
        </is>
      </c>
      <c r="C231" s="235" t="inlineStr">
        <is>
          <t>VERDE VIDA 89</t>
        </is>
      </c>
      <c r="D231" s="235" t="inlineStr">
        <is>
          <t>84.277.848/2104-23</t>
        </is>
      </c>
      <c r="E231" s="235" t="inlineStr">
        <is>
          <t>SC</t>
        </is>
      </c>
      <c r="F231" s="235" t="inlineStr">
        <is>
          <t>VIDA LEVE</t>
        </is>
      </c>
      <c r="G231" s="235" t="inlineStr">
        <is>
          <t>NOVO</t>
        </is>
      </c>
      <c r="H231" s="235" t="inlineStr"/>
      <c r="I231" s="235" t="n"/>
      <c r="J231" s="235" t="n"/>
      <c r="K231" s="235" t="n"/>
      <c r="L231" s="235" t="n"/>
      <c r="M231" s="235" t="n"/>
      <c r="N231" s="235" t="inlineStr">
        <is>
          <t>NÃO</t>
        </is>
      </c>
      <c r="O231" s="235" t="inlineStr">
        <is>
          <t>NÃO</t>
        </is>
      </c>
      <c r="P231" s="235" t="inlineStr">
        <is>
          <t>N/A</t>
        </is>
      </c>
      <c r="Q231" s="235" t="inlineStr">
        <is>
          <t>ATEND. CLIENTES ATIVOS</t>
        </is>
      </c>
      <c r="R231" s="235" t="inlineStr">
        <is>
          <t>RELACIONAMENTO</t>
        </is>
      </c>
      <c r="S231" s="235" t="n"/>
      <c r="T231" s="235" t="n"/>
      <c r="U231" s="235" t="n"/>
      <c r="V231" s="235" t="n"/>
      <c r="W231" s="235" t="inlineStr">
        <is>
          <t>NÃO</t>
        </is>
      </c>
      <c r="X231" s="235" t="n"/>
    </row>
    <row r="232">
      <c r="A232" s="391" t="n">
        <v>46062</v>
      </c>
      <c r="B232" s="235" t="inlineStr">
        <is>
          <t>LARISSA PADILHA</t>
        </is>
      </c>
      <c r="C232" s="235" t="inlineStr">
        <is>
          <t>SAUDE TOTAL 38</t>
        </is>
      </c>
      <c r="D232" s="235" t="inlineStr">
        <is>
          <t>67.924.236/2264-62</t>
        </is>
      </c>
      <c r="E232" s="235" t="inlineStr">
        <is>
          <t>SP</t>
        </is>
      </c>
      <c r="F232" s="235" t="inlineStr">
        <is>
          <t>DEMAIS CLIENTES</t>
        </is>
      </c>
      <c r="G232" s="235" t="inlineStr">
        <is>
          <t>INAT.REC</t>
        </is>
      </c>
      <c r="H232" s="235" t="n">
        <v>87</v>
      </c>
      <c r="I232" s="235" t="n"/>
      <c r="J232" s="235" t="n"/>
      <c r="K232" s="235" t="n"/>
      <c r="L232" s="235" t="n"/>
      <c r="M232" s="235" t="n"/>
      <c r="N232" s="235" t="inlineStr">
        <is>
          <t>NÃO</t>
        </is>
      </c>
      <c r="O232" s="235" t="inlineStr">
        <is>
          <t>NÃO</t>
        </is>
      </c>
      <c r="P232" s="235" t="inlineStr">
        <is>
          <t>N/A</t>
        </is>
      </c>
      <c r="Q232" s="235" t="inlineStr">
        <is>
          <t>ATEND. CLIENTES INATIVOS</t>
        </is>
      </c>
      <c r="R232" s="235" t="inlineStr">
        <is>
          <t>PERDA / FECHOU LOJA</t>
        </is>
      </c>
      <c r="S232" s="235" t="inlineStr">
        <is>
          <t>PROBLEMA LOGÍSTICO / ENTREGA</t>
        </is>
      </c>
      <c r="T232" s="235" t="n"/>
      <c r="U232" s="235" t="n"/>
      <c r="V232" s="235" t="n"/>
      <c r="W232" s="235" t="inlineStr">
        <is>
          <t>SIM</t>
        </is>
      </c>
      <c r="X232" s="235" t="n"/>
    </row>
    <row r="233">
      <c r="A233" s="391" t="n">
        <v>46073</v>
      </c>
      <c r="B233" s="235" t="inlineStr">
        <is>
          <t>JULIO GADRET</t>
        </is>
      </c>
      <c r="C233" s="235" t="inlineStr">
        <is>
          <t>MARKET FIT 87</t>
        </is>
      </c>
      <c r="D233" s="235" t="inlineStr">
        <is>
          <t>26.827.765/2914-74</t>
        </is>
      </c>
      <c r="E233" s="235" t="inlineStr">
        <is>
          <t>RS</t>
        </is>
      </c>
      <c r="F233" s="235" t="inlineStr">
        <is>
          <t>TUDO EM GRAOS</t>
        </is>
      </c>
      <c r="G233" s="235" t="inlineStr">
        <is>
          <t>INAT.ANT</t>
        </is>
      </c>
      <c r="H233" s="235" t="n">
        <v>285</v>
      </c>
      <c r="I233" s="235" t="n"/>
      <c r="J233" s="235" t="n"/>
      <c r="K233" s="235" t="n"/>
      <c r="L233" s="235" t="n"/>
      <c r="M233" s="235" t="n"/>
      <c r="N233" s="235" t="inlineStr">
        <is>
          <t>SIM</t>
        </is>
      </c>
      <c r="O233" s="235" t="inlineStr">
        <is>
          <t>NÃO</t>
        </is>
      </c>
      <c r="P233" s="235" t="inlineStr">
        <is>
          <t>N/A</t>
        </is>
      </c>
      <c r="Q233" s="235" t="inlineStr">
        <is>
          <t>FOLLOW UP</t>
        </is>
      </c>
      <c r="R233" s="235" t="inlineStr">
        <is>
          <t>FOLLOW UP 7</t>
        </is>
      </c>
      <c r="S233" s="235" t="inlineStr">
        <is>
          <t>LOJA ANEXO/PROXIMO - SM</t>
        </is>
      </c>
      <c r="T233" s="235" t="n"/>
      <c r="U233" s="235" t="n"/>
      <c r="V233" s="235" t="n"/>
      <c r="W233" s="235" t="inlineStr">
        <is>
          <t>NÃO</t>
        </is>
      </c>
      <c r="X233" s="235" t="n"/>
    </row>
    <row r="234">
      <c r="A234" s="391" t="n">
        <v>46080</v>
      </c>
      <c r="B234" s="235" t="inlineStr">
        <is>
          <t>LARISSA PADILHA</t>
        </is>
      </c>
      <c r="C234" s="235" t="inlineStr">
        <is>
          <t>SAUDE NA MESA 02</t>
        </is>
      </c>
      <c r="D234" s="235" t="inlineStr">
        <is>
          <t>76.209.125/6241-28</t>
        </is>
      </c>
      <c r="E234" s="235" t="inlineStr">
        <is>
          <t>PR</t>
        </is>
      </c>
      <c r="F234" s="235" t="inlineStr">
        <is>
          <t>MUNDO VERDE</t>
        </is>
      </c>
      <c r="G234" s="235" t="inlineStr">
        <is>
          <t>ATIVO</t>
        </is>
      </c>
      <c r="H234" s="235" t="n">
        <v>15</v>
      </c>
      <c r="I234" s="235" t="n"/>
      <c r="J234" s="235" t="n"/>
      <c r="K234" s="235" t="n"/>
      <c r="L234" s="235" t="n"/>
      <c r="M234" s="235" t="n"/>
      <c r="N234" s="235" t="inlineStr">
        <is>
          <t>SIM</t>
        </is>
      </c>
      <c r="O234" s="235" t="inlineStr">
        <is>
          <t>SIM</t>
        </is>
      </c>
      <c r="P234" s="235" t="inlineStr">
        <is>
          <t>NÃO</t>
        </is>
      </c>
      <c r="Q234" s="235" t="inlineStr">
        <is>
          <t>PERDA / NUTRIÇÃO</t>
        </is>
      </c>
      <c r="R234" s="235" t="inlineStr">
        <is>
          <t>NÃO RESPONDE</t>
        </is>
      </c>
      <c r="S234" s="235" t="inlineStr">
        <is>
          <t>AINDA TEM ESTOQUE</t>
        </is>
      </c>
      <c r="T234" s="235" t="n"/>
      <c r="U234" s="235" t="n"/>
      <c r="V234" s="235" t="n"/>
      <c r="W234" s="235" t="inlineStr">
        <is>
          <t>SIM</t>
        </is>
      </c>
      <c r="X234" s="235" t="n"/>
    </row>
    <row r="235">
      <c r="A235" s="391" t="n">
        <v>46065</v>
      </c>
      <c r="B235" s="235" t="inlineStr">
        <is>
          <t>DAIANE STAVICKI</t>
        </is>
      </c>
      <c r="C235" s="235" t="inlineStr">
        <is>
          <t>NATURAL POINT 79</t>
        </is>
      </c>
      <c r="D235" s="235" t="inlineStr">
        <is>
          <t>96.857.675/3676-92</t>
        </is>
      </c>
      <c r="E235" s="235" t="inlineStr">
        <is>
          <t>SP</t>
        </is>
      </c>
      <c r="F235" s="235" t="inlineStr">
        <is>
          <t>BIOMUNDO</t>
        </is>
      </c>
      <c r="G235" s="235" t="inlineStr">
        <is>
          <t>INAT.ANT</t>
        </is>
      </c>
      <c r="H235" s="235" t="n">
        <v>295</v>
      </c>
      <c r="I235" s="235" t="n"/>
      <c r="J235" s="235" t="n"/>
      <c r="K235" s="235" t="n"/>
      <c r="L235" s="235" t="n"/>
      <c r="M235" s="235" t="n"/>
      <c r="N235" s="235" t="inlineStr">
        <is>
          <t>SIM</t>
        </is>
      </c>
      <c r="O235" s="235" t="inlineStr">
        <is>
          <t>SIM</t>
        </is>
      </c>
      <c r="P235" s="235" t="inlineStr">
        <is>
          <t>SIM</t>
        </is>
      </c>
      <c r="Q235" s="235" t="inlineStr">
        <is>
          <t>ATEND. CLIENTES INATIVOS</t>
        </is>
      </c>
      <c r="R235" s="235" t="inlineStr">
        <is>
          <t>ORÇAMENTO</t>
        </is>
      </c>
      <c r="S235" s="235" t="n"/>
      <c r="T235" s="235" t="n"/>
      <c r="U235" s="235" t="n"/>
      <c r="V235" s="235" t="n"/>
      <c r="W235" s="235" t="inlineStr">
        <is>
          <t>NÃO</t>
        </is>
      </c>
      <c r="X235" s="235" t="n"/>
    </row>
    <row r="236">
      <c r="A236" s="391" t="n">
        <v>46075</v>
      </c>
      <c r="B236" s="235" t="inlineStr">
        <is>
          <t>MANU DITZEL</t>
        </is>
      </c>
      <c r="C236" s="235" t="inlineStr">
        <is>
          <t>ESSENCE FOOD 07</t>
        </is>
      </c>
      <c r="D236" s="235" t="inlineStr">
        <is>
          <t>11.861.357/3328-89</t>
        </is>
      </c>
      <c r="E236" s="235" t="inlineStr">
        <is>
          <t>BA</t>
        </is>
      </c>
      <c r="F236" s="235" t="inlineStr">
        <is>
          <t>DEMAIS CLIENTES</t>
        </is>
      </c>
      <c r="G236" s="235" t="inlineStr">
        <is>
          <t>EM RISCO</t>
        </is>
      </c>
      <c r="H236" s="235" t="n">
        <v>54</v>
      </c>
      <c r="I236" s="235" t="n"/>
      <c r="J236" s="235" t="n"/>
      <c r="K236" s="235" t="n"/>
      <c r="L236" s="235" t="n"/>
      <c r="M236" s="235" t="n"/>
      <c r="N236" s="235" t="inlineStr">
        <is>
          <t>SIM</t>
        </is>
      </c>
      <c r="O236" s="235" t="inlineStr">
        <is>
          <t>NÃO</t>
        </is>
      </c>
      <c r="P236" s="235" t="inlineStr">
        <is>
          <t>N/A</t>
        </is>
      </c>
      <c r="Q236" s="235" t="inlineStr">
        <is>
          <t>PÓS-VENDA / RELACIONAMENTO</t>
        </is>
      </c>
      <c r="R236" s="235" t="inlineStr">
        <is>
          <t>SUPORTE</t>
        </is>
      </c>
      <c r="S236" s="235" t="n"/>
      <c r="T236" s="235" t="n"/>
      <c r="U236" s="235" t="n"/>
      <c r="V236" s="235" t="n"/>
      <c r="W236" s="235" t="inlineStr">
        <is>
          <t>SIM</t>
        </is>
      </c>
      <c r="X236" s="235" t="n"/>
    </row>
    <row r="237">
      <c r="A237" s="391" t="n">
        <v>46073</v>
      </c>
      <c r="B237" s="235" t="inlineStr">
        <is>
          <t>MANU DITZEL</t>
        </is>
      </c>
      <c r="C237" s="235" t="inlineStr">
        <is>
          <t>CIA SAUDE SP 38</t>
        </is>
      </c>
      <c r="D237" s="235" t="inlineStr">
        <is>
          <t>67.281.799/1221-33</t>
        </is>
      </c>
      <c r="E237" s="235" t="inlineStr">
        <is>
          <t>DF</t>
        </is>
      </c>
      <c r="F237" s="235" t="inlineStr">
        <is>
          <t>DEMAIS CLIENTES</t>
        </is>
      </c>
      <c r="G237" s="235" t="inlineStr">
        <is>
          <t>ATIVO</t>
        </is>
      </c>
      <c r="H237" s="235" t="n">
        <v>7</v>
      </c>
      <c r="I237" s="235" t="n"/>
      <c r="J237" s="235" t="n"/>
      <c r="K237" s="235" t="n"/>
      <c r="L237" s="235" t="n"/>
      <c r="M237" s="235" t="n"/>
      <c r="N237" s="235" t="inlineStr">
        <is>
          <t>SIM</t>
        </is>
      </c>
      <c r="O237" s="235" t="inlineStr">
        <is>
          <t>NÃO</t>
        </is>
      </c>
      <c r="P237" s="235" t="inlineStr">
        <is>
          <t>N/A</t>
        </is>
      </c>
      <c r="Q237" s="235" t="inlineStr">
        <is>
          <t>ATEND. CLIENTES ATIVOS</t>
        </is>
      </c>
      <c r="R237" s="235" t="inlineStr">
        <is>
          <t>FOLLOW UP 7</t>
        </is>
      </c>
      <c r="S237" s="235" t="inlineStr">
        <is>
          <t>PRODUTO NÃO VENDEU / SEM GIRO</t>
        </is>
      </c>
      <c r="T237" s="235" t="n"/>
      <c r="U237" s="235" t="n"/>
      <c r="V237" s="235" t="n"/>
      <c r="W237" s="235" t="inlineStr">
        <is>
          <t>SIM</t>
        </is>
      </c>
      <c r="X237" s="235" t="n"/>
    </row>
    <row r="238">
      <c r="A238" s="391" t="n">
        <v>46076</v>
      </c>
      <c r="B238" s="235" t="inlineStr">
        <is>
          <t>DAIANE STAVICKI</t>
        </is>
      </c>
      <c r="C238" s="235" t="inlineStr">
        <is>
          <t>MUNDO VERDE CWB 20</t>
        </is>
      </c>
      <c r="D238" s="235" t="inlineStr">
        <is>
          <t>51.711.152/4935-72</t>
        </is>
      </c>
      <c r="E238" s="235" t="inlineStr">
        <is>
          <t>MG</t>
        </is>
      </c>
      <c r="F238" s="235" t="inlineStr">
        <is>
          <t>VIDA LEVE</t>
        </is>
      </c>
      <c r="G238" s="235" t="inlineStr">
        <is>
          <t>ATIVO</t>
        </is>
      </c>
      <c r="H238" s="235" t="n">
        <v>50</v>
      </c>
      <c r="I238" s="235" t="n"/>
      <c r="J238" s="235" t="n"/>
      <c r="K238" s="235" t="n"/>
      <c r="L238" s="235" t="n"/>
      <c r="M238" s="235" t="n"/>
      <c r="N238" s="235" t="inlineStr">
        <is>
          <t>SIM</t>
        </is>
      </c>
      <c r="O238" s="235" t="inlineStr">
        <is>
          <t>SIM</t>
        </is>
      </c>
      <c r="P238" s="235" t="inlineStr">
        <is>
          <t>SIM</t>
        </is>
      </c>
      <c r="Q238" s="235" t="inlineStr">
        <is>
          <t>FOLLOW UP</t>
        </is>
      </c>
      <c r="R238" s="235" t="inlineStr">
        <is>
          <t>ORÇAMENTO</t>
        </is>
      </c>
      <c r="S238" s="235" t="n"/>
      <c r="T238" s="235" t="n"/>
      <c r="U238" s="235" t="n"/>
      <c r="V238" s="235" t="n"/>
      <c r="W238" s="235" t="inlineStr">
        <is>
          <t>SIM</t>
        </is>
      </c>
      <c r="X238" s="235" t="n"/>
    </row>
    <row r="239">
      <c r="A239" s="391" t="n">
        <v>46071</v>
      </c>
      <c r="B239" s="235" t="inlineStr">
        <is>
          <t>LARISSA PADILHA</t>
        </is>
      </c>
      <c r="C239" s="235" t="inlineStr">
        <is>
          <t>MARKET FIT 29</t>
        </is>
      </c>
      <c r="D239" s="235" t="inlineStr">
        <is>
          <t>37.779.439/5425-56</t>
        </is>
      </c>
      <c r="E239" s="235" t="inlineStr">
        <is>
          <t>SC</t>
        </is>
      </c>
      <c r="F239" s="235" t="inlineStr">
        <is>
          <t>DEMAIS CLIENTES</t>
        </is>
      </c>
      <c r="G239" s="235" t="inlineStr">
        <is>
          <t>INAT.REC</t>
        </is>
      </c>
      <c r="H239" s="235" t="n">
        <v>76</v>
      </c>
      <c r="I239" s="235" t="n"/>
      <c r="J239" s="235" t="n"/>
      <c r="K239" s="235" t="n"/>
      <c r="L239" s="235" t="n"/>
      <c r="M239" s="235" t="n"/>
      <c r="N239" s="235" t="inlineStr">
        <is>
          <t>NÃO</t>
        </is>
      </c>
      <c r="O239" s="235" t="inlineStr">
        <is>
          <t>SIM</t>
        </is>
      </c>
      <c r="P239" s="235" t="inlineStr">
        <is>
          <t>NÃO</t>
        </is>
      </c>
      <c r="Q239" s="235" t="inlineStr">
        <is>
          <t>PERDA / NUTRIÇÃO</t>
        </is>
      </c>
      <c r="R239" s="235" t="inlineStr">
        <is>
          <t>FOLLOW UP 15</t>
        </is>
      </c>
      <c r="S239" s="235" t="inlineStr">
        <is>
          <t>LOJA ANEXO/PROXIMO - SM</t>
        </is>
      </c>
      <c r="T239" s="235" t="n"/>
      <c r="U239" s="235" t="n"/>
      <c r="V239" s="235" t="n"/>
      <c r="W239" s="235" t="inlineStr">
        <is>
          <t>NÃO</t>
        </is>
      </c>
      <c r="X239" s="235" t="n"/>
    </row>
    <row r="240">
      <c r="A240" s="391" t="n">
        <v>46073</v>
      </c>
      <c r="B240" s="235" t="inlineStr">
        <is>
          <t>DAIANE STAVICKI</t>
        </is>
      </c>
      <c r="C240" s="235" t="inlineStr">
        <is>
          <t>ARMAZEM FIT 06</t>
        </is>
      </c>
      <c r="D240" s="235" t="inlineStr">
        <is>
          <t>97.428.490/1858-59</t>
        </is>
      </c>
      <c r="E240" s="235" t="inlineStr">
        <is>
          <t>SC</t>
        </is>
      </c>
      <c r="F240" s="235" t="inlineStr">
        <is>
          <t>DEMAIS CLIENTES</t>
        </is>
      </c>
      <c r="G240" s="235" t="inlineStr">
        <is>
          <t>ATIVO</t>
        </is>
      </c>
      <c r="H240" s="235" t="n">
        <v>38</v>
      </c>
      <c r="I240" s="235" t="n"/>
      <c r="J240" s="235" t="n"/>
      <c r="K240" s="235" t="n"/>
      <c r="L240" s="235" t="n"/>
      <c r="M240" s="235" t="n"/>
      <c r="N240" s="235" t="inlineStr">
        <is>
          <t>NÃO</t>
        </is>
      </c>
      <c r="O240" s="235" t="inlineStr">
        <is>
          <t>SIM</t>
        </is>
      </c>
      <c r="P240" s="235" t="inlineStr">
        <is>
          <t>SIM</t>
        </is>
      </c>
      <c r="Q240" s="235" t="inlineStr">
        <is>
          <t>PÓS-VENDA / RELACIONAMENTO</t>
        </is>
      </c>
      <c r="R240" s="235" t="inlineStr">
        <is>
          <t>FOLLOW UP 7</t>
        </is>
      </c>
      <c r="S240" s="235" t="inlineStr">
        <is>
          <t>SEM INTERESSE NO MOMENTO</t>
        </is>
      </c>
      <c r="T240" s="235" t="n"/>
      <c r="U240" s="235" t="n"/>
      <c r="V240" s="235" t="n"/>
      <c r="W240" s="235" t="inlineStr">
        <is>
          <t>SIM</t>
        </is>
      </c>
      <c r="X240" s="235" t="n"/>
    </row>
    <row r="241">
      <c r="A241" s="391" t="n">
        <v>46070</v>
      </c>
      <c r="B241" s="235" t="inlineStr">
        <is>
          <t>MANU DITZEL</t>
        </is>
      </c>
      <c r="C241" s="235" t="inlineStr">
        <is>
          <t>NATURAL POINT 22</t>
        </is>
      </c>
      <c r="D241" s="235" t="inlineStr">
        <is>
          <t>78.646.107/1073-36</t>
        </is>
      </c>
      <c r="E241" s="235" t="inlineStr">
        <is>
          <t>SP</t>
        </is>
      </c>
      <c r="F241" s="235" t="inlineStr">
        <is>
          <t>DEMAIS CLIENTES</t>
        </is>
      </c>
      <c r="G241" s="235" t="inlineStr">
        <is>
          <t>NOVO</t>
        </is>
      </c>
      <c r="H241" s="235" t="inlineStr"/>
      <c r="I241" s="235" t="n"/>
      <c r="J241" s="235" t="n"/>
      <c r="K241" s="235" t="n"/>
      <c r="L241" s="235" t="n"/>
      <c r="M241" s="235" t="n"/>
      <c r="N241" s="235" t="inlineStr">
        <is>
          <t>SIM</t>
        </is>
      </c>
      <c r="O241" s="235" t="inlineStr">
        <is>
          <t>NÃO</t>
        </is>
      </c>
      <c r="P241" s="235" t="inlineStr">
        <is>
          <t>N/A</t>
        </is>
      </c>
      <c r="Q241" s="235" t="inlineStr">
        <is>
          <t>ATEND. CLIENTES ATIVOS</t>
        </is>
      </c>
      <c r="R241" s="235" t="inlineStr">
        <is>
          <t>VENDA / PEDIDO</t>
        </is>
      </c>
      <c r="S241" s="235" t="n"/>
      <c r="T241" s="235" t="n"/>
      <c r="U241" s="235" t="n"/>
      <c r="V241" s="235" t="n"/>
      <c r="W241" s="235" t="inlineStr">
        <is>
          <t>NÃO</t>
        </is>
      </c>
      <c r="X241" s="235" t="n"/>
    </row>
    <row r="242">
      <c r="A242" s="391" t="n">
        <v>46078</v>
      </c>
      <c r="B242" s="235" t="inlineStr">
        <is>
          <t>LARISSA PADILHA</t>
        </is>
      </c>
      <c r="C242" s="235" t="inlineStr">
        <is>
          <t>VIDA SAUDÁVEL 96</t>
        </is>
      </c>
      <c r="D242" s="235" t="inlineStr">
        <is>
          <t>97.257.124/7524-52</t>
        </is>
      </c>
      <c r="E242" s="235" t="inlineStr">
        <is>
          <t>PR</t>
        </is>
      </c>
      <c r="F242" s="235" t="inlineStr">
        <is>
          <t>MUNDO VERDE</t>
        </is>
      </c>
      <c r="G242" s="235" t="inlineStr">
        <is>
          <t>ATIVO</t>
        </is>
      </c>
      <c r="H242" s="235" t="n">
        <v>21</v>
      </c>
      <c r="I242" s="235" t="n"/>
      <c r="J242" s="235" t="n"/>
      <c r="K242" s="235" t="n"/>
      <c r="L242" s="235" t="n"/>
      <c r="M242" s="235" t="n"/>
      <c r="N242" s="235" t="inlineStr">
        <is>
          <t>SIM</t>
        </is>
      </c>
      <c r="O242" s="235" t="inlineStr">
        <is>
          <t>SIM</t>
        </is>
      </c>
      <c r="P242" s="235" t="inlineStr">
        <is>
          <t>SIM</t>
        </is>
      </c>
      <c r="Q242" s="235" t="inlineStr">
        <is>
          <t>ATEND. CLIENTES ATIVOS</t>
        </is>
      </c>
      <c r="R242" s="235" t="inlineStr">
        <is>
          <t>FOLLOW UP 7</t>
        </is>
      </c>
      <c r="S242" s="235" t="inlineStr">
        <is>
          <t>PROBLEMA LOGÍSTICO / ENTREGA</t>
        </is>
      </c>
      <c r="T242" s="235" t="n"/>
      <c r="U242" s="235" t="n"/>
      <c r="V242" s="235" t="n"/>
      <c r="W242" s="235" t="inlineStr">
        <is>
          <t>SIM</t>
        </is>
      </c>
      <c r="X242" s="235" t="n"/>
    </row>
    <row r="243">
      <c r="A243" s="391" t="n">
        <v>46054</v>
      </c>
      <c r="B243" s="235" t="inlineStr">
        <is>
          <t>LARISSA PADILHA</t>
        </is>
      </c>
      <c r="C243" s="235" t="inlineStr">
        <is>
          <t>CASA DO GRANEL 69</t>
        </is>
      </c>
      <c r="D243" s="235" t="inlineStr">
        <is>
          <t>10.756.837/1037-84</t>
        </is>
      </c>
      <c r="E243" s="235" t="inlineStr">
        <is>
          <t>PR</t>
        </is>
      </c>
      <c r="F243" s="235" t="inlineStr">
        <is>
          <t>DEMAIS CLIENTES</t>
        </is>
      </c>
      <c r="G243" s="235" t="inlineStr">
        <is>
          <t>EM RISCO</t>
        </is>
      </c>
      <c r="H243" s="235" t="n">
        <v>59</v>
      </c>
      <c r="I243" s="235" t="n"/>
      <c r="J243" s="235" t="n"/>
      <c r="K243" s="235" t="n"/>
      <c r="L243" s="235" t="n"/>
      <c r="M243" s="235" t="n"/>
      <c r="N243" s="235" t="inlineStr">
        <is>
          <t>SIM</t>
        </is>
      </c>
      <c r="O243" s="235" t="inlineStr">
        <is>
          <t>SIM</t>
        </is>
      </c>
      <c r="P243" s="235" t="inlineStr">
        <is>
          <t>NÃO</t>
        </is>
      </c>
      <c r="Q243" s="235" t="inlineStr">
        <is>
          <t>PROSPECÇÃO</t>
        </is>
      </c>
      <c r="R243" s="235" t="inlineStr">
        <is>
          <t>NÃO RESPONDE</t>
        </is>
      </c>
      <c r="S243" s="235" t="inlineStr">
        <is>
          <t>LOJA ANEXO/PROXIMO - SM</t>
        </is>
      </c>
      <c r="T243" s="235" t="n"/>
      <c r="U243" s="235" t="n"/>
      <c r="V243" s="235" t="n"/>
      <c r="W243" s="235" t="inlineStr">
        <is>
          <t>SIM</t>
        </is>
      </c>
      <c r="X243" s="235" t="n"/>
    </row>
    <row r="244">
      <c r="A244" s="391" t="n">
        <v>46075</v>
      </c>
      <c r="B244" s="235" t="inlineStr">
        <is>
          <t>MANU DITZEL</t>
        </is>
      </c>
      <c r="C244" s="235" t="inlineStr">
        <is>
          <t>BEM ESTAR 69</t>
        </is>
      </c>
      <c r="D244" s="235" t="inlineStr">
        <is>
          <t>38.239.864/6407-79</t>
        </is>
      </c>
      <c r="E244" s="235" t="inlineStr">
        <is>
          <t>SC</t>
        </is>
      </c>
      <c r="F244" s="235" t="inlineStr">
        <is>
          <t>TUDO EM GRAOS</t>
        </is>
      </c>
      <c r="G244" s="235" t="inlineStr">
        <is>
          <t>ATIVO</t>
        </is>
      </c>
      <c r="H244" s="235" t="n">
        <v>46</v>
      </c>
      <c r="I244" s="235" t="n"/>
      <c r="J244" s="235" t="n"/>
      <c r="K244" s="235" t="n"/>
      <c r="L244" s="235" t="n"/>
      <c r="M244" s="235" t="n"/>
      <c r="N244" s="235" t="inlineStr">
        <is>
          <t>SIM</t>
        </is>
      </c>
      <c r="O244" s="235" t="inlineStr">
        <is>
          <t>NÃO</t>
        </is>
      </c>
      <c r="P244" s="235" t="inlineStr">
        <is>
          <t>N/A</t>
        </is>
      </c>
      <c r="Q244" s="235" t="inlineStr">
        <is>
          <t>ATEND. CLIENTES ATIVOS</t>
        </is>
      </c>
      <c r="R244" s="235" t="inlineStr">
        <is>
          <t>EM ATENDIMENTO</t>
        </is>
      </c>
      <c r="S244" s="235" t="n"/>
      <c r="T244" s="235" t="n"/>
      <c r="U244" s="235" t="n"/>
      <c r="V244" s="235" t="n"/>
      <c r="W244" s="235" t="inlineStr">
        <is>
          <t>SIM</t>
        </is>
      </c>
      <c r="X244" s="235" t="n"/>
    </row>
    <row r="245">
      <c r="A245" s="391" t="n">
        <v>46054</v>
      </c>
      <c r="B245" s="235" t="inlineStr">
        <is>
          <t>LARISSA PADILHA</t>
        </is>
      </c>
      <c r="C245" s="235" t="inlineStr">
        <is>
          <t>TUDO GRÃOS SC 69</t>
        </is>
      </c>
      <c r="D245" s="235" t="inlineStr">
        <is>
          <t>80.187.412/3442-54</t>
        </is>
      </c>
      <c r="E245" s="235" t="inlineStr">
        <is>
          <t>PR</t>
        </is>
      </c>
      <c r="F245" s="235" t="inlineStr">
        <is>
          <t>DEMAIS CLIENTES</t>
        </is>
      </c>
      <c r="G245" s="235" t="inlineStr">
        <is>
          <t>NOVO</t>
        </is>
      </c>
      <c r="H245" s="235" t="inlineStr"/>
      <c r="I245" s="235" t="n"/>
      <c r="J245" s="235" t="n"/>
      <c r="K245" s="235" t="n"/>
      <c r="L245" s="235" t="n"/>
      <c r="M245" s="235" t="n"/>
      <c r="N245" s="235" t="inlineStr">
        <is>
          <t>SIM</t>
        </is>
      </c>
      <c r="O245" s="235" t="inlineStr">
        <is>
          <t>SIM</t>
        </is>
      </c>
      <c r="P245" s="235" t="inlineStr">
        <is>
          <t>SIM</t>
        </is>
      </c>
      <c r="Q245" s="235" t="inlineStr">
        <is>
          <t>PROSPECÇÃO</t>
        </is>
      </c>
      <c r="R245" s="235" t="inlineStr">
        <is>
          <t>EM ATENDIMENTO</t>
        </is>
      </c>
      <c r="S245" s="235" t="n"/>
      <c r="T245" s="235" t="n"/>
      <c r="U245" s="235" t="n"/>
      <c r="V245" s="235" t="n"/>
      <c r="W245" s="235" t="inlineStr">
        <is>
          <t>NÃO</t>
        </is>
      </c>
      <c r="X245" s="235" t="n"/>
    </row>
    <row r="246">
      <c r="A246" s="391" t="n">
        <v>46072</v>
      </c>
      <c r="B246" s="235" t="inlineStr">
        <is>
          <t>DAIANE STAVICKI</t>
        </is>
      </c>
      <c r="C246" s="235" t="inlineStr">
        <is>
          <t>ESSENCE FOOD 60</t>
        </is>
      </c>
      <c r="D246" s="235" t="inlineStr">
        <is>
          <t>92.662.174/4763-95</t>
        </is>
      </c>
      <c r="E246" s="235" t="inlineStr">
        <is>
          <t>PR</t>
        </is>
      </c>
      <c r="F246" s="235" t="inlineStr">
        <is>
          <t>MUNDO VERDE</t>
        </is>
      </c>
      <c r="G246" s="235" t="inlineStr">
        <is>
          <t>INAT.ANT</t>
        </is>
      </c>
      <c r="H246" s="235" t="n">
        <v>215</v>
      </c>
      <c r="I246" s="235" t="n"/>
      <c r="J246" s="235" t="n"/>
      <c r="K246" s="235" t="n"/>
      <c r="L246" s="235" t="n"/>
      <c r="M246" s="235" t="n"/>
      <c r="N246" s="235" t="inlineStr">
        <is>
          <t>SIM</t>
        </is>
      </c>
      <c r="O246" s="235" t="inlineStr">
        <is>
          <t>SIM</t>
        </is>
      </c>
      <c r="P246" s="235" t="inlineStr">
        <is>
          <t>SIM</t>
        </is>
      </c>
      <c r="Q246" s="235" t="inlineStr">
        <is>
          <t>PERDA / NUTRIÇÃO</t>
        </is>
      </c>
      <c r="R246" s="235" t="inlineStr">
        <is>
          <t>NÃO ATENDE</t>
        </is>
      </c>
      <c r="S246" s="235" t="inlineStr">
        <is>
          <t>AINDA TEM ESTOQUE</t>
        </is>
      </c>
      <c r="T246" s="235" t="n"/>
      <c r="U246" s="235" t="n"/>
      <c r="V246" s="235" t="n"/>
      <c r="W246" s="235" t="inlineStr">
        <is>
          <t>SIM</t>
        </is>
      </c>
      <c r="X246" s="235" t="n"/>
    </row>
    <row r="247">
      <c r="A247" s="391" t="n">
        <v>46069</v>
      </c>
      <c r="B247" s="235" t="inlineStr">
        <is>
          <t>LARISSA PADILHA</t>
        </is>
      </c>
      <c r="C247" s="235" t="inlineStr">
        <is>
          <t>CORPO E MENTE 85</t>
        </is>
      </c>
      <c r="D247" s="235" t="inlineStr">
        <is>
          <t>49.810.698/2497-82</t>
        </is>
      </c>
      <c r="E247" s="235" t="inlineStr">
        <is>
          <t>SP</t>
        </is>
      </c>
      <c r="F247" s="235" t="inlineStr">
        <is>
          <t>DEMAIS CLIENTES</t>
        </is>
      </c>
      <c r="G247" s="235" t="inlineStr">
        <is>
          <t>PROSPECT</t>
        </is>
      </c>
      <c r="H247" s="235" t="inlineStr"/>
      <c r="I247" s="235" t="n"/>
      <c r="J247" s="235" t="n"/>
      <c r="K247" s="235" t="n"/>
      <c r="L247" s="235" t="n"/>
      <c r="M247" s="235" t="n"/>
      <c r="N247" s="235" t="inlineStr">
        <is>
          <t>NÃO</t>
        </is>
      </c>
      <c r="O247" s="235" t="inlineStr">
        <is>
          <t>NÃO</t>
        </is>
      </c>
      <c r="P247" s="235" t="inlineStr">
        <is>
          <t>N/A</t>
        </is>
      </c>
      <c r="Q247" s="235" t="inlineStr">
        <is>
          <t>NEGOCIAÇÃO</t>
        </is>
      </c>
      <c r="R247" s="235" t="inlineStr">
        <is>
          <t>ORÇAMENTO</t>
        </is>
      </c>
      <c r="S247" s="235" t="n"/>
      <c r="T247" s="235" t="n"/>
      <c r="U247" s="235" t="n"/>
      <c r="V247" s="235" t="n"/>
      <c r="W247" s="235" t="inlineStr">
        <is>
          <t>SIM</t>
        </is>
      </c>
      <c r="X247" s="235" t="n"/>
    </row>
    <row r="248">
      <c r="A248" s="391" t="n">
        <v>46062</v>
      </c>
      <c r="B248" s="235" t="inlineStr">
        <is>
          <t>DAIANE STAVICKI</t>
        </is>
      </c>
      <c r="C248" s="235" t="inlineStr">
        <is>
          <t>FIT STORE 87</t>
        </is>
      </c>
      <c r="D248" s="235" t="inlineStr">
        <is>
          <t>52.998.591/7584-67</t>
        </is>
      </c>
      <c r="E248" s="235" t="inlineStr">
        <is>
          <t>SC</t>
        </is>
      </c>
      <c r="F248" s="235" t="inlineStr">
        <is>
          <t>CIA DA SAUDE</t>
        </is>
      </c>
      <c r="G248" s="235" t="inlineStr">
        <is>
          <t>INAT.REC</t>
        </is>
      </c>
      <c r="H248" s="235" t="n">
        <v>66</v>
      </c>
      <c r="I248" s="235" t="n"/>
      <c r="J248" s="235" t="n"/>
      <c r="K248" s="235" t="n"/>
      <c r="L248" s="235" t="n"/>
      <c r="M248" s="235" t="n"/>
      <c r="N248" s="235" t="inlineStr">
        <is>
          <t>SIM</t>
        </is>
      </c>
      <c r="O248" s="235" t="inlineStr">
        <is>
          <t>NÃO</t>
        </is>
      </c>
      <c r="P248" s="235" t="inlineStr">
        <is>
          <t>N/A</t>
        </is>
      </c>
      <c r="Q248" s="235" t="inlineStr">
        <is>
          <t>ATEND. CLIENTES INATIVOS</t>
        </is>
      </c>
      <c r="R248" s="235" t="inlineStr">
        <is>
          <t>EM ATENDIMENTO</t>
        </is>
      </c>
      <c r="S248" s="235" t="n"/>
      <c r="T248" s="235" t="n"/>
      <c r="U248" s="235" t="n"/>
      <c r="V248" s="235" t="n"/>
      <c r="W248" s="235" t="inlineStr">
        <is>
          <t>NÃO</t>
        </is>
      </c>
      <c r="X248" s="235" t="n"/>
    </row>
    <row r="249">
      <c r="A249" s="391" t="n">
        <v>46060</v>
      </c>
      <c r="B249" s="235" t="inlineStr">
        <is>
          <t>MANU DITZEL</t>
        </is>
      </c>
      <c r="C249" s="235" t="inlineStr">
        <is>
          <t>VIDA SAUDÁVEL 94</t>
        </is>
      </c>
      <c r="D249" s="235" t="inlineStr">
        <is>
          <t>19.119.969/8310-90</t>
        </is>
      </c>
      <c r="E249" s="235" t="inlineStr">
        <is>
          <t>PR</t>
        </is>
      </c>
      <c r="F249" s="235" t="inlineStr">
        <is>
          <t>VIDA LEVE</t>
        </is>
      </c>
      <c r="G249" s="235" t="inlineStr">
        <is>
          <t>EM RISCO</t>
        </is>
      </c>
      <c r="H249" s="235" t="n">
        <v>60</v>
      </c>
      <c r="I249" s="235" t="n"/>
      <c r="J249" s="235" t="n"/>
      <c r="K249" s="235" t="n"/>
      <c r="L249" s="235" t="n"/>
      <c r="M249" s="235" t="n"/>
      <c r="N249" s="235" t="inlineStr">
        <is>
          <t>SIM</t>
        </is>
      </c>
      <c r="O249" s="235" t="inlineStr">
        <is>
          <t>NÃO</t>
        </is>
      </c>
      <c r="P249" s="235" t="inlineStr">
        <is>
          <t>N/A</t>
        </is>
      </c>
      <c r="Q249" s="235" t="inlineStr">
        <is>
          <t>NEGOCIAÇÃO</t>
        </is>
      </c>
      <c r="R249" s="235" t="inlineStr">
        <is>
          <t>EM ATENDIMENTO</t>
        </is>
      </c>
      <c r="S249" s="235" t="n"/>
      <c r="T249" s="235" t="n"/>
      <c r="U249" s="235" t="n"/>
      <c r="V249" s="235" t="n"/>
      <c r="W249" s="235" t="inlineStr">
        <is>
          <t>SIM</t>
        </is>
      </c>
      <c r="X249" s="235" t="n"/>
    </row>
    <row r="250">
      <c r="A250" s="391" t="n">
        <v>46074</v>
      </c>
      <c r="B250" s="235" t="inlineStr">
        <is>
          <t>DAIANE STAVICKI</t>
        </is>
      </c>
      <c r="C250" s="235" t="inlineStr">
        <is>
          <t>GRANEL &amp; CIA 51</t>
        </is>
      </c>
      <c r="D250" s="235" t="inlineStr">
        <is>
          <t>38.890.703/4768-27</t>
        </is>
      </c>
      <c r="E250" s="235" t="inlineStr">
        <is>
          <t>RS</t>
        </is>
      </c>
      <c r="F250" s="235" t="inlineStr">
        <is>
          <t>DIVINA TERRA</t>
        </is>
      </c>
      <c r="G250" s="235" t="inlineStr">
        <is>
          <t>EM RISCO</t>
        </is>
      </c>
      <c r="H250" s="235" t="n">
        <v>59</v>
      </c>
      <c r="I250" s="235" t="n"/>
      <c r="J250" s="235" t="n"/>
      <c r="K250" s="235" t="n"/>
      <c r="L250" s="235" t="n"/>
      <c r="M250" s="235" t="n"/>
      <c r="N250" s="235" t="inlineStr">
        <is>
          <t>NÃO</t>
        </is>
      </c>
      <c r="O250" s="235" t="inlineStr">
        <is>
          <t>NÃO</t>
        </is>
      </c>
      <c r="P250" s="235" t="inlineStr">
        <is>
          <t>N/A</t>
        </is>
      </c>
      <c r="Q250" s="235" t="inlineStr">
        <is>
          <t>PROSPECÇÃO</t>
        </is>
      </c>
      <c r="R250" s="235" t="inlineStr">
        <is>
          <t>EM ATENDIMENTO</t>
        </is>
      </c>
      <c r="S250" s="235" t="n"/>
      <c r="T250" s="235" t="n"/>
      <c r="U250" s="235" t="n"/>
      <c r="V250" s="235" t="n"/>
      <c r="W250" s="235" t="inlineStr">
        <is>
          <t>NÃO</t>
        </is>
      </c>
      <c r="X250" s="235" t="n"/>
    </row>
    <row r="251">
      <c r="A251" s="391" t="n">
        <v>46078</v>
      </c>
      <c r="B251" s="235" t="inlineStr">
        <is>
          <t>LARISSA PADILHA</t>
        </is>
      </c>
      <c r="C251" s="235" t="inlineStr">
        <is>
          <t>EMPÓRIO BIO 21</t>
        </is>
      </c>
      <c r="D251" s="235" t="inlineStr">
        <is>
          <t>32.679.679/2396-71</t>
        </is>
      </c>
      <c r="E251" s="235" t="inlineStr">
        <is>
          <t>GO</t>
        </is>
      </c>
      <c r="F251" s="235" t="inlineStr">
        <is>
          <t>MUNDO VERDE</t>
        </is>
      </c>
      <c r="G251" s="235" t="inlineStr">
        <is>
          <t>INAT.ANT</t>
        </is>
      </c>
      <c r="H251" s="235" t="n">
        <v>150</v>
      </c>
      <c r="I251" s="235" t="n"/>
      <c r="J251" s="235" t="n"/>
      <c r="K251" s="235" t="n"/>
      <c r="L251" s="235" t="n"/>
      <c r="M251" s="235" t="n"/>
      <c r="N251" s="235" t="inlineStr">
        <is>
          <t>SIM</t>
        </is>
      </c>
      <c r="O251" s="235" t="inlineStr">
        <is>
          <t>SIM</t>
        </is>
      </c>
      <c r="P251" s="235" t="inlineStr">
        <is>
          <t>NÃO</t>
        </is>
      </c>
      <c r="Q251" s="235" t="inlineStr">
        <is>
          <t>PROSPECÇÃO</t>
        </is>
      </c>
      <c r="R251" s="235" t="inlineStr">
        <is>
          <t>CADASTRO</t>
        </is>
      </c>
      <c r="S251" s="235" t="n"/>
      <c r="T251" s="235" t="n"/>
      <c r="U251" s="235" t="n"/>
      <c r="V251" s="235" t="n"/>
      <c r="W251" s="235" t="inlineStr">
        <is>
          <t>SIM</t>
        </is>
      </c>
      <c r="X251" s="235" t="n"/>
    </row>
    <row r="252">
      <c r="A252" s="391" t="n">
        <v>46069</v>
      </c>
      <c r="B252" s="235" t="inlineStr">
        <is>
          <t>DAIANE STAVICKI</t>
        </is>
      </c>
      <c r="C252" s="235" t="inlineStr">
        <is>
          <t>MUNDO VERDE CWB 06</t>
        </is>
      </c>
      <c r="D252" s="235" t="inlineStr">
        <is>
          <t>93.431.205/8543-91</t>
        </is>
      </c>
      <c r="E252" s="235" t="inlineStr">
        <is>
          <t>MG</t>
        </is>
      </c>
      <c r="F252" s="235" t="inlineStr">
        <is>
          <t>DEMAIS CLIENTES</t>
        </is>
      </c>
      <c r="G252" s="235" t="inlineStr">
        <is>
          <t>ATIVO</t>
        </is>
      </c>
      <c r="H252" s="235" t="n">
        <v>39</v>
      </c>
      <c r="I252" s="235" t="n"/>
      <c r="J252" s="235" t="n"/>
      <c r="K252" s="235" t="n"/>
      <c r="L252" s="235" t="n"/>
      <c r="M252" s="235" t="n"/>
      <c r="N252" s="235" t="inlineStr">
        <is>
          <t>SIM</t>
        </is>
      </c>
      <c r="O252" s="235" t="inlineStr">
        <is>
          <t>NÃO</t>
        </is>
      </c>
      <c r="P252" s="235" t="inlineStr">
        <is>
          <t>N/A</t>
        </is>
      </c>
      <c r="Q252" s="235" t="inlineStr">
        <is>
          <t>ATEND. CLIENTES ATIVOS</t>
        </is>
      </c>
      <c r="R252" s="235" t="inlineStr">
        <is>
          <t>RELACIONAMENTO</t>
        </is>
      </c>
      <c r="S252" s="235" t="n"/>
      <c r="T252" s="235" t="n"/>
      <c r="U252" s="235" t="n"/>
      <c r="V252" s="235" t="n"/>
      <c r="W252" s="235" t="inlineStr">
        <is>
          <t>NÃO</t>
        </is>
      </c>
      <c r="X252" s="235" t="n"/>
    </row>
    <row r="253">
      <c r="A253" s="391" t="n">
        <v>46056</v>
      </c>
      <c r="B253" s="235" t="inlineStr">
        <is>
          <t>LARISSA PADILHA</t>
        </is>
      </c>
      <c r="C253" s="235" t="inlineStr">
        <is>
          <t>VIDA LEVE PR 29</t>
        </is>
      </c>
      <c r="D253" s="235" t="inlineStr">
        <is>
          <t>76.515.461/5654-72</t>
        </is>
      </c>
      <c r="E253" s="235" t="inlineStr">
        <is>
          <t>MG</t>
        </is>
      </c>
      <c r="F253" s="235" t="inlineStr">
        <is>
          <t>DEMAIS CLIENTES</t>
        </is>
      </c>
      <c r="G253" s="235" t="inlineStr">
        <is>
          <t>ATIVO</t>
        </is>
      </c>
      <c r="H253" s="235" t="n">
        <v>13</v>
      </c>
      <c r="I253" s="235" t="n"/>
      <c r="J253" s="235" t="n"/>
      <c r="K253" s="235" t="n"/>
      <c r="L253" s="235" t="n"/>
      <c r="M253" s="235" t="n"/>
      <c r="N253" s="235" t="inlineStr">
        <is>
          <t>SIM</t>
        </is>
      </c>
      <c r="O253" s="235" t="inlineStr">
        <is>
          <t>SIM</t>
        </is>
      </c>
      <c r="P253" s="235" t="inlineStr">
        <is>
          <t>SIM</t>
        </is>
      </c>
      <c r="Q253" s="235" t="inlineStr">
        <is>
          <t>ATEND. CLIENTES ATIVOS</t>
        </is>
      </c>
      <c r="R253" s="235" t="inlineStr">
        <is>
          <t>ORÇAMENTO</t>
        </is>
      </c>
      <c r="S253" s="235" t="n"/>
      <c r="T253" s="235" t="n"/>
      <c r="U253" s="235" t="n"/>
      <c r="V253" s="235" t="n"/>
      <c r="W253" s="235" t="inlineStr">
        <is>
          <t>SIM</t>
        </is>
      </c>
      <c r="X253" s="235" t="n"/>
    </row>
    <row r="254">
      <c r="A254" s="391" t="n">
        <v>46073</v>
      </c>
      <c r="B254" s="235" t="inlineStr">
        <is>
          <t>JULIO GADRET</t>
        </is>
      </c>
      <c r="C254" s="235" t="inlineStr">
        <is>
          <t>CASA DO GRANEL 85</t>
        </is>
      </c>
      <c r="D254" s="235" t="inlineStr">
        <is>
          <t>39.524.930/5411-24</t>
        </is>
      </c>
      <c r="E254" s="235" t="inlineStr">
        <is>
          <t>RS</t>
        </is>
      </c>
      <c r="F254" s="235" t="inlineStr">
        <is>
          <t>DIVINA TERRA</t>
        </is>
      </c>
      <c r="G254" s="235" t="inlineStr">
        <is>
          <t>ATIVO</t>
        </is>
      </c>
      <c r="H254" s="235" t="n">
        <v>15</v>
      </c>
      <c r="I254" s="235" t="n"/>
      <c r="J254" s="235" t="n"/>
      <c r="K254" s="235" t="n"/>
      <c r="L254" s="235" t="n"/>
      <c r="M254" s="235" t="n"/>
      <c r="N254" s="235" t="inlineStr">
        <is>
          <t>SIM</t>
        </is>
      </c>
      <c r="O254" s="235" t="inlineStr">
        <is>
          <t>SIM</t>
        </is>
      </c>
      <c r="P254" s="235" t="inlineStr">
        <is>
          <t>NÃO</t>
        </is>
      </c>
      <c r="Q254" s="235" t="inlineStr">
        <is>
          <t>ATEND. CLIENTES INATIVOS</t>
        </is>
      </c>
      <c r="R254" s="235" t="inlineStr">
        <is>
          <t>NÃO RESPONDE</t>
        </is>
      </c>
      <c r="S254" s="235" t="inlineStr">
        <is>
          <t>AINDA TEM ESTOQUE</t>
        </is>
      </c>
      <c r="T254" s="235" t="n"/>
      <c r="U254" s="235" t="n"/>
      <c r="V254" s="235" t="n"/>
      <c r="W254" s="235" t="inlineStr">
        <is>
          <t>SIM</t>
        </is>
      </c>
      <c r="X254" s="235" t="n"/>
    </row>
    <row r="255">
      <c r="A255" s="391" t="n">
        <v>46072</v>
      </c>
      <c r="B255" s="235" t="inlineStr">
        <is>
          <t>MANU DITZEL</t>
        </is>
      </c>
      <c r="C255" s="235" t="inlineStr">
        <is>
          <t>BEM ESTAR 34</t>
        </is>
      </c>
      <c r="D255" s="235" t="inlineStr">
        <is>
          <t>33.629.515/9820-82</t>
        </is>
      </c>
      <c r="E255" s="235" t="inlineStr">
        <is>
          <t>SP</t>
        </is>
      </c>
      <c r="F255" s="235" t="inlineStr">
        <is>
          <t>DEMAIS CLIENTES</t>
        </is>
      </c>
      <c r="G255" s="235" t="inlineStr">
        <is>
          <t>INAT.ANT</t>
        </is>
      </c>
      <c r="H255" s="235" t="n">
        <v>163</v>
      </c>
      <c r="I255" s="235" t="n"/>
      <c r="J255" s="235" t="n"/>
      <c r="K255" s="235" t="n"/>
      <c r="L255" s="235" t="n"/>
      <c r="M255" s="235" t="n"/>
      <c r="N255" s="235" t="inlineStr">
        <is>
          <t>SIM</t>
        </is>
      </c>
      <c r="O255" s="235" t="inlineStr">
        <is>
          <t>NÃO</t>
        </is>
      </c>
      <c r="P255" s="235" t="inlineStr">
        <is>
          <t>N/A</t>
        </is>
      </c>
      <c r="Q255" s="235" t="inlineStr">
        <is>
          <t>PERDA / NUTRIÇÃO</t>
        </is>
      </c>
      <c r="R255" s="235" t="inlineStr">
        <is>
          <t>PERDA / FECHOU LOJA</t>
        </is>
      </c>
      <c r="S255" s="235" t="inlineStr">
        <is>
          <t>SÓ QUER COMPRAR GRANEL</t>
        </is>
      </c>
      <c r="T255" s="235" t="n"/>
      <c r="U255" s="235" t="n"/>
      <c r="V255" s="235" t="n"/>
      <c r="W255" s="235" t="inlineStr">
        <is>
          <t>SIM</t>
        </is>
      </c>
      <c r="X255" s="235" t="n"/>
    </row>
    <row r="256">
      <c r="A256" s="391" t="n">
        <v>46067</v>
      </c>
      <c r="B256" s="235" t="inlineStr">
        <is>
          <t>JULIO GADRET</t>
        </is>
      </c>
      <c r="C256" s="235" t="inlineStr">
        <is>
          <t>VERDE ESSENCE 99</t>
        </is>
      </c>
      <c r="D256" s="235" t="inlineStr">
        <is>
          <t>33.738.775/8370-43</t>
        </is>
      </c>
      <c r="E256" s="235" t="inlineStr">
        <is>
          <t>PR</t>
        </is>
      </c>
      <c r="F256" s="235" t="inlineStr">
        <is>
          <t>TUDO EM GRAOS</t>
        </is>
      </c>
      <c r="G256" s="235" t="inlineStr">
        <is>
          <t>PROSPECT</t>
        </is>
      </c>
      <c r="H256" s="235" t="inlineStr"/>
      <c r="I256" s="235" t="n"/>
      <c r="J256" s="235" t="n"/>
      <c r="K256" s="235" t="n"/>
      <c r="L256" s="235" t="n"/>
      <c r="M256" s="235" t="n"/>
      <c r="N256" s="235" t="inlineStr">
        <is>
          <t>SIM</t>
        </is>
      </c>
      <c r="O256" s="235" t="inlineStr">
        <is>
          <t>SIM</t>
        </is>
      </c>
      <c r="P256" s="235" t="inlineStr">
        <is>
          <t>SIM</t>
        </is>
      </c>
      <c r="Q256" s="235" t="inlineStr">
        <is>
          <t>ATEND. CLIENTES ATIVOS</t>
        </is>
      </c>
      <c r="R256" s="235" t="inlineStr">
        <is>
          <t>VENDA / PEDIDO</t>
        </is>
      </c>
      <c r="S256" s="235" t="n"/>
      <c r="T256" s="235" t="n"/>
      <c r="U256" s="235" t="n"/>
      <c r="V256" s="235" t="n"/>
      <c r="W256" s="235" t="inlineStr">
        <is>
          <t>SIM</t>
        </is>
      </c>
      <c r="X256" s="235" t="n"/>
    </row>
    <row r="257">
      <c r="A257" s="391" t="n">
        <v>46070</v>
      </c>
      <c r="B257" s="235" t="inlineStr">
        <is>
          <t>JULIO GADRET</t>
        </is>
      </c>
      <c r="C257" s="235" t="inlineStr">
        <is>
          <t>SABOR NATURAL 78</t>
        </is>
      </c>
      <c r="D257" s="235" t="inlineStr">
        <is>
          <t>22.281.587/9828-14</t>
        </is>
      </c>
      <c r="E257" s="235" t="inlineStr">
        <is>
          <t>BA</t>
        </is>
      </c>
      <c r="F257" s="235" t="inlineStr">
        <is>
          <t>VIDA LEVE</t>
        </is>
      </c>
      <c r="G257" s="235" t="inlineStr">
        <is>
          <t>INAT.ANT</t>
        </is>
      </c>
      <c r="H257" s="235" t="n">
        <v>114</v>
      </c>
      <c r="I257" s="235" t="n"/>
      <c r="J257" s="235" t="n"/>
      <c r="K257" s="235" t="n"/>
      <c r="L257" s="235" t="n"/>
      <c r="M257" s="235" t="n"/>
      <c r="N257" s="235" t="inlineStr">
        <is>
          <t>SIM</t>
        </is>
      </c>
      <c r="O257" s="235" t="inlineStr">
        <is>
          <t>NÃO</t>
        </is>
      </c>
      <c r="P257" s="235" t="inlineStr">
        <is>
          <t>N/A</t>
        </is>
      </c>
      <c r="Q257" s="235" t="inlineStr">
        <is>
          <t>ATEND. CLIENTES ATIVOS</t>
        </is>
      </c>
      <c r="R257" s="235" t="inlineStr">
        <is>
          <t>VENDA / PEDIDO</t>
        </is>
      </c>
      <c r="S257" s="235" t="n"/>
      <c r="T257" s="235" t="n"/>
      <c r="U257" s="235" t="n"/>
      <c r="V257" s="235" t="n"/>
      <c r="W257" s="235" t="inlineStr">
        <is>
          <t>NÃO</t>
        </is>
      </c>
      <c r="X257" s="235" t="n"/>
    </row>
    <row r="258">
      <c r="A258" s="391" t="n">
        <v>46078</v>
      </c>
      <c r="B258" s="235" t="inlineStr">
        <is>
          <t>JULIO GADRET</t>
        </is>
      </c>
      <c r="C258" s="235" t="inlineStr">
        <is>
          <t>SAUDE NA MESA 67</t>
        </is>
      </c>
      <c r="D258" s="235" t="inlineStr">
        <is>
          <t>63.479.995/0712-99</t>
        </is>
      </c>
      <c r="E258" s="235" t="inlineStr">
        <is>
          <t>RS</t>
        </is>
      </c>
      <c r="F258" s="235" t="inlineStr">
        <is>
          <t>BIOMUNDO</t>
        </is>
      </c>
      <c r="G258" s="235" t="inlineStr">
        <is>
          <t>NOVO</t>
        </is>
      </c>
      <c r="H258" s="235" t="inlineStr"/>
      <c r="I258" s="235" t="n"/>
      <c r="J258" s="235" t="n"/>
      <c r="K258" s="235" t="n"/>
      <c r="L258" s="235" t="n"/>
      <c r="M258" s="235" t="n"/>
      <c r="N258" s="235" t="inlineStr">
        <is>
          <t>SIM</t>
        </is>
      </c>
      <c r="O258" s="235" t="inlineStr">
        <is>
          <t>NÃO</t>
        </is>
      </c>
      <c r="P258" s="235" t="inlineStr">
        <is>
          <t>N/A</t>
        </is>
      </c>
      <c r="Q258" s="235" t="inlineStr">
        <is>
          <t>PÓS-VENDA / RELACIONAMENTO</t>
        </is>
      </c>
      <c r="R258" s="235" t="inlineStr">
        <is>
          <t>FOLLOW UP 7</t>
        </is>
      </c>
      <c r="S258" s="235" t="inlineStr">
        <is>
          <t>PROPRIETARIO / INDISPONÍVEL</t>
        </is>
      </c>
      <c r="T258" s="235" t="n"/>
      <c r="U258" s="235" t="n"/>
      <c r="V258" s="235" t="n"/>
      <c r="W258" s="235" t="inlineStr">
        <is>
          <t>NÃO</t>
        </is>
      </c>
      <c r="X258" s="235" t="n"/>
    </row>
    <row r="259">
      <c r="A259" s="391" t="n">
        <v>46057</v>
      </c>
      <c r="B259" s="235" t="inlineStr">
        <is>
          <t>LARISSA PADILHA</t>
        </is>
      </c>
      <c r="C259" s="235" t="inlineStr">
        <is>
          <t>PONTO VERDE 62</t>
        </is>
      </c>
      <c r="D259" s="235" t="inlineStr">
        <is>
          <t>39.979.185/4642-86</t>
        </is>
      </c>
      <c r="E259" s="235" t="inlineStr">
        <is>
          <t>BA</t>
        </is>
      </c>
      <c r="F259" s="235" t="inlineStr">
        <is>
          <t>FIT LAND</t>
        </is>
      </c>
      <c r="G259" s="235" t="inlineStr">
        <is>
          <t>ATIVO</t>
        </is>
      </c>
      <c r="H259" s="235" t="n">
        <v>50</v>
      </c>
      <c r="I259" s="235" t="n"/>
      <c r="J259" s="235" t="n"/>
      <c r="K259" s="235" t="n"/>
      <c r="L259" s="235" t="n"/>
      <c r="M259" s="235" t="n"/>
      <c r="N259" s="235" t="inlineStr">
        <is>
          <t>SIM</t>
        </is>
      </c>
      <c r="O259" s="235" t="inlineStr">
        <is>
          <t>NÃO</t>
        </is>
      </c>
      <c r="P259" s="235" t="inlineStr">
        <is>
          <t>N/A</t>
        </is>
      </c>
      <c r="Q259" s="235" t="inlineStr">
        <is>
          <t>ATEND. CLIENTES INATIVOS</t>
        </is>
      </c>
      <c r="R259" s="235" t="inlineStr">
        <is>
          <t>EM ATENDIMENTO</t>
        </is>
      </c>
      <c r="S259" s="235" t="n"/>
      <c r="T259" s="235" t="n"/>
      <c r="U259" s="235" t="n"/>
      <c r="V259" s="235" t="n"/>
      <c r="W259" s="235" t="inlineStr">
        <is>
          <t>SIM</t>
        </is>
      </c>
      <c r="X259" s="235" t="n"/>
    </row>
    <row r="260">
      <c r="A260" s="391" t="n">
        <v>46060</v>
      </c>
      <c r="B260" s="235" t="inlineStr">
        <is>
          <t>JULIO GADRET</t>
        </is>
      </c>
      <c r="C260" s="235" t="inlineStr">
        <is>
          <t>BIO GRÃOS 53</t>
        </is>
      </c>
      <c r="D260" s="235" t="inlineStr">
        <is>
          <t>56.209.258/6981-93</t>
        </is>
      </c>
      <c r="E260" s="235" t="inlineStr">
        <is>
          <t>SP</t>
        </is>
      </c>
      <c r="F260" s="235" t="inlineStr">
        <is>
          <t>CIA DA SAUDE</t>
        </is>
      </c>
      <c r="G260" s="235" t="inlineStr">
        <is>
          <t>INAT.REC</t>
        </is>
      </c>
      <c r="H260" s="235" t="n">
        <v>79</v>
      </c>
      <c r="I260" s="235" t="n"/>
      <c r="J260" s="235" t="n"/>
      <c r="K260" s="235" t="n"/>
      <c r="L260" s="235" t="n"/>
      <c r="M260" s="235" t="n"/>
      <c r="N260" s="235" t="inlineStr">
        <is>
          <t>SIM</t>
        </is>
      </c>
      <c r="O260" s="235" t="inlineStr">
        <is>
          <t>NÃO</t>
        </is>
      </c>
      <c r="P260" s="235" t="inlineStr">
        <is>
          <t>N/A</t>
        </is>
      </c>
      <c r="Q260" s="235" t="inlineStr">
        <is>
          <t>FOLLOW UP</t>
        </is>
      </c>
      <c r="R260" s="235" t="inlineStr">
        <is>
          <t>ORÇAMENTO</t>
        </is>
      </c>
      <c r="S260" s="235" t="n"/>
      <c r="T260" s="235" t="n"/>
      <c r="U260" s="235" t="n"/>
      <c r="V260" s="235" t="n"/>
      <c r="W260" s="235" t="inlineStr">
        <is>
          <t>SIM</t>
        </is>
      </c>
      <c r="X260" s="235" t="n"/>
    </row>
    <row r="261">
      <c r="A261" s="391" t="n">
        <v>46079</v>
      </c>
      <c r="B261" s="235" t="inlineStr">
        <is>
          <t>LARISSA PADILHA</t>
        </is>
      </c>
      <c r="C261" s="235" t="inlineStr">
        <is>
          <t>VERDE VIDA 48</t>
        </is>
      </c>
      <c r="D261" s="235" t="inlineStr">
        <is>
          <t>81.668.595/4158-49</t>
        </is>
      </c>
      <c r="E261" s="235" t="inlineStr">
        <is>
          <t>SP</t>
        </is>
      </c>
      <c r="F261" s="235" t="inlineStr">
        <is>
          <t>DEMAIS CLIENTES</t>
        </is>
      </c>
      <c r="G261" s="235" t="inlineStr">
        <is>
          <t>EM RISCO</t>
        </is>
      </c>
      <c r="H261" s="235" t="n">
        <v>53</v>
      </c>
      <c r="I261" s="235" t="n"/>
      <c r="J261" s="235" t="n"/>
      <c r="K261" s="235" t="n"/>
      <c r="L261" s="235" t="n"/>
      <c r="M261" s="235" t="n"/>
      <c r="N261" s="235" t="inlineStr">
        <is>
          <t>NÃO</t>
        </is>
      </c>
      <c r="O261" s="235" t="inlineStr">
        <is>
          <t>SIM</t>
        </is>
      </c>
      <c r="P261" s="235" t="inlineStr">
        <is>
          <t>NÃO</t>
        </is>
      </c>
      <c r="Q261" s="235" t="inlineStr">
        <is>
          <t>PÓS-VENDA / RELACIONAMENTO</t>
        </is>
      </c>
      <c r="R261" s="235" t="inlineStr">
        <is>
          <t>SUPORTE</t>
        </is>
      </c>
      <c r="S261" s="235" t="n"/>
      <c r="T261" s="235" t="n"/>
      <c r="U261" s="235" t="n"/>
      <c r="V261" s="235" t="n"/>
      <c r="W261" s="235" t="inlineStr">
        <is>
          <t>SIM</t>
        </is>
      </c>
      <c r="X261" s="235" t="n"/>
    </row>
    <row r="262">
      <c r="A262" s="391" t="n">
        <v>46060</v>
      </c>
      <c r="B262" s="235" t="inlineStr">
        <is>
          <t>LARISSA PADILHA</t>
        </is>
      </c>
      <c r="C262" s="235" t="inlineStr">
        <is>
          <t>SAUDE TOTAL 71</t>
        </is>
      </c>
      <c r="D262" s="235" t="inlineStr">
        <is>
          <t>88.813.800/0853-30</t>
        </is>
      </c>
      <c r="E262" s="235" t="inlineStr">
        <is>
          <t>SC</t>
        </is>
      </c>
      <c r="F262" s="235" t="inlineStr">
        <is>
          <t>TUDO EM GRAOS</t>
        </is>
      </c>
      <c r="G262" s="235" t="inlineStr">
        <is>
          <t>NOVO</t>
        </is>
      </c>
      <c r="H262" s="235" t="inlineStr"/>
      <c r="I262" s="235" t="n"/>
      <c r="J262" s="235" t="n"/>
      <c r="K262" s="235" t="n"/>
      <c r="L262" s="235" t="n"/>
      <c r="M262" s="235" t="n"/>
      <c r="N262" s="235" t="inlineStr">
        <is>
          <t>SIM</t>
        </is>
      </c>
      <c r="O262" s="235" t="inlineStr">
        <is>
          <t>SIM</t>
        </is>
      </c>
      <c r="P262" s="235" t="inlineStr">
        <is>
          <t>SIM</t>
        </is>
      </c>
      <c r="Q262" s="235" t="inlineStr">
        <is>
          <t>PÓS-VENDA / RELACIONAMENTO</t>
        </is>
      </c>
      <c r="R262" s="235" t="inlineStr">
        <is>
          <t>FOLLOW UP 15</t>
        </is>
      </c>
      <c r="S262" s="235" t="inlineStr">
        <is>
          <t>PRODUTO NÃO VENDEU / SEM GIRO</t>
        </is>
      </c>
      <c r="T262" s="235" t="n"/>
      <c r="U262" s="235" t="n"/>
      <c r="V262" s="235" t="n"/>
      <c r="W262" s="235" t="inlineStr">
        <is>
          <t>SIM</t>
        </is>
      </c>
      <c r="X262" s="235" t="n"/>
    </row>
    <row r="263">
      <c r="A263" s="391" t="n">
        <v>46077</v>
      </c>
      <c r="B263" s="235" t="inlineStr">
        <is>
          <t>LARISSA PADILHA</t>
        </is>
      </c>
      <c r="C263" s="235" t="inlineStr">
        <is>
          <t>TUDO GRÃOS SC 79</t>
        </is>
      </c>
      <c r="D263" s="235" t="inlineStr">
        <is>
          <t>93.633.393/9789-17</t>
        </is>
      </c>
      <c r="E263" s="235" t="inlineStr">
        <is>
          <t>DF</t>
        </is>
      </c>
      <c r="F263" s="235" t="inlineStr">
        <is>
          <t>DEMAIS CLIENTES</t>
        </is>
      </c>
      <c r="G263" s="235" t="inlineStr">
        <is>
          <t>INAT.ANT</t>
        </is>
      </c>
      <c r="H263" s="235" t="n">
        <v>203</v>
      </c>
      <c r="I263" s="235" t="n"/>
      <c r="J263" s="235" t="n"/>
      <c r="K263" s="235" t="n"/>
      <c r="L263" s="235" t="n"/>
      <c r="M263" s="235" t="n"/>
      <c r="N263" s="235" t="inlineStr">
        <is>
          <t>NÃO</t>
        </is>
      </c>
      <c r="O263" s="235" t="inlineStr">
        <is>
          <t>NÃO</t>
        </is>
      </c>
      <c r="P263" s="235" t="inlineStr">
        <is>
          <t>N/A</t>
        </is>
      </c>
      <c r="Q263" s="235" t="inlineStr">
        <is>
          <t>PROSPECÇÃO</t>
        </is>
      </c>
      <c r="R263" s="235" t="inlineStr">
        <is>
          <t>RECUSOU LIGAÇÃO</t>
        </is>
      </c>
      <c r="S263" s="235" t="inlineStr">
        <is>
          <t>AINDA TEM ESTOQUE</t>
        </is>
      </c>
      <c r="T263" s="235" t="n"/>
      <c r="U263" s="235" t="n"/>
      <c r="V263" s="235" t="n"/>
      <c r="W263" s="235" t="inlineStr">
        <is>
          <t>NÃO</t>
        </is>
      </c>
      <c r="X263" s="235" t="n"/>
    </row>
    <row r="264">
      <c r="A264" s="391" t="n">
        <v>46070</v>
      </c>
      <c r="B264" s="235" t="inlineStr">
        <is>
          <t>LARISSA PADILHA</t>
        </is>
      </c>
      <c r="C264" s="235" t="inlineStr">
        <is>
          <t>FITLAND PR 79</t>
        </is>
      </c>
      <c r="D264" s="235" t="inlineStr">
        <is>
          <t>31.790.136/5894-40</t>
        </is>
      </c>
      <c r="E264" s="235" t="inlineStr">
        <is>
          <t>SP</t>
        </is>
      </c>
      <c r="F264" s="235" t="inlineStr">
        <is>
          <t>DEMAIS CLIENTES</t>
        </is>
      </c>
      <c r="G264" s="235" t="inlineStr">
        <is>
          <t>ATIVO</t>
        </is>
      </c>
      <c r="H264" s="235" t="n">
        <v>22</v>
      </c>
      <c r="I264" s="235" t="n"/>
      <c r="J264" s="235" t="n"/>
      <c r="K264" s="235" t="n"/>
      <c r="L264" s="235" t="n"/>
      <c r="M264" s="235" t="n"/>
      <c r="N264" s="235" t="inlineStr">
        <is>
          <t>SIM</t>
        </is>
      </c>
      <c r="O264" s="235" t="inlineStr">
        <is>
          <t>NÃO</t>
        </is>
      </c>
      <c r="P264" s="235" t="inlineStr">
        <is>
          <t>N/A</t>
        </is>
      </c>
      <c r="Q264" s="235" t="inlineStr">
        <is>
          <t>PÓS-VENDA / RELACIONAMENTO</t>
        </is>
      </c>
      <c r="R264" s="235" t="inlineStr">
        <is>
          <t>FOLLOW UP 7</t>
        </is>
      </c>
      <c r="S264" s="235" t="inlineStr">
        <is>
          <t>SÓ QUER COMPRAR GRANEL</t>
        </is>
      </c>
      <c r="T264" s="235" t="n"/>
      <c r="U264" s="235" t="n"/>
      <c r="V264" s="235" t="n"/>
      <c r="W264" s="235" t="inlineStr">
        <is>
          <t>NÃO</t>
        </is>
      </c>
      <c r="X264" s="235" t="n"/>
    </row>
    <row r="265">
      <c r="A265" s="391" t="n">
        <v>46056</v>
      </c>
      <c r="B265" s="235" t="inlineStr">
        <is>
          <t>DAIANE STAVICKI</t>
        </is>
      </c>
      <c r="C265" s="235" t="inlineStr">
        <is>
          <t>ESSENCE FOOD 37</t>
        </is>
      </c>
      <c r="D265" s="235" t="inlineStr">
        <is>
          <t>81.696.456/5694-45</t>
        </is>
      </c>
      <c r="E265" s="235" t="inlineStr">
        <is>
          <t>PR</t>
        </is>
      </c>
      <c r="F265" s="235" t="inlineStr">
        <is>
          <t>DEMAIS CLIENTES</t>
        </is>
      </c>
      <c r="G265" s="235" t="inlineStr">
        <is>
          <t>EM RISCO</t>
        </is>
      </c>
      <c r="H265" s="235" t="n">
        <v>57</v>
      </c>
      <c r="I265" s="235" t="n"/>
      <c r="J265" s="235" t="n"/>
      <c r="K265" s="235" t="n"/>
      <c r="L265" s="235" t="n"/>
      <c r="M265" s="235" t="n"/>
      <c r="N265" s="235" t="inlineStr">
        <is>
          <t>SIM</t>
        </is>
      </c>
      <c r="O265" s="235" t="inlineStr">
        <is>
          <t>SIM</t>
        </is>
      </c>
      <c r="P265" s="235" t="inlineStr">
        <is>
          <t>SIM</t>
        </is>
      </c>
      <c r="Q265" s="235" t="inlineStr">
        <is>
          <t>ATEND. CLIENTES ATIVOS</t>
        </is>
      </c>
      <c r="R265" s="235" t="inlineStr">
        <is>
          <t>ORÇAMENTO</t>
        </is>
      </c>
      <c r="S265" s="235" t="n"/>
      <c r="T265" s="235" t="n"/>
      <c r="U265" s="235" t="n"/>
      <c r="V265" s="235" t="n"/>
      <c r="W265" s="235" t="inlineStr">
        <is>
          <t>SIM</t>
        </is>
      </c>
      <c r="X265" s="235" t="n"/>
    </row>
    <row r="266">
      <c r="A266" s="391" t="n">
        <v>46057</v>
      </c>
      <c r="B266" s="235" t="inlineStr">
        <is>
          <t>DAIANE STAVICKI</t>
        </is>
      </c>
      <c r="C266" s="235" t="inlineStr">
        <is>
          <t>PONTO VERDE 69</t>
        </is>
      </c>
      <c r="D266" s="235" t="inlineStr">
        <is>
          <t>83.356.810/7255-58</t>
        </is>
      </c>
      <c r="E266" s="235" t="inlineStr">
        <is>
          <t>SP</t>
        </is>
      </c>
      <c r="F266" s="235" t="inlineStr">
        <is>
          <t>DEMAIS CLIENTES</t>
        </is>
      </c>
      <c r="G266" s="235" t="inlineStr">
        <is>
          <t>INAT.ANT</t>
        </is>
      </c>
      <c r="H266" s="235" t="n">
        <v>289</v>
      </c>
      <c r="I266" s="235" t="n"/>
      <c r="J266" s="235" t="n"/>
      <c r="K266" s="235" t="n"/>
      <c r="L266" s="235" t="n"/>
      <c r="M266" s="235" t="n"/>
      <c r="N266" s="235" t="inlineStr">
        <is>
          <t>SIM</t>
        </is>
      </c>
      <c r="O266" s="235" t="inlineStr">
        <is>
          <t>SIM</t>
        </is>
      </c>
      <c r="P266" s="235" t="inlineStr">
        <is>
          <t>SIM</t>
        </is>
      </c>
      <c r="Q266" s="235" t="inlineStr">
        <is>
          <t>ATEND. CLIENTES ATIVOS</t>
        </is>
      </c>
      <c r="R266" s="235" t="inlineStr">
        <is>
          <t>RELACIONAMENTO</t>
        </is>
      </c>
      <c r="S266" s="235" t="n"/>
      <c r="T266" s="235" t="n"/>
      <c r="U266" s="235" t="n"/>
      <c r="V266" s="235" t="n"/>
      <c r="W266" s="235" t="inlineStr">
        <is>
          <t>SIM</t>
        </is>
      </c>
      <c r="X266" s="235" t="n"/>
    </row>
    <row r="267">
      <c r="A267" s="391" t="n">
        <v>46074</v>
      </c>
      <c r="B267" s="235" t="inlineStr">
        <is>
          <t>DAIANE STAVICKI</t>
        </is>
      </c>
      <c r="C267" s="235" t="inlineStr">
        <is>
          <t>FITLAND PR 87</t>
        </is>
      </c>
      <c r="D267" s="235" t="inlineStr">
        <is>
          <t>99.335.919/5173-62</t>
        </is>
      </c>
      <c r="E267" s="235" t="inlineStr">
        <is>
          <t>DF</t>
        </is>
      </c>
      <c r="F267" s="235" t="inlineStr">
        <is>
          <t>DIVINA TERRA</t>
        </is>
      </c>
      <c r="G267" s="235" t="inlineStr">
        <is>
          <t>ATIVO</t>
        </is>
      </c>
      <c r="H267" s="235" t="n">
        <v>21</v>
      </c>
      <c r="I267" s="235" t="n"/>
      <c r="J267" s="235" t="n"/>
      <c r="K267" s="235" t="n"/>
      <c r="L267" s="235" t="n"/>
      <c r="M267" s="235" t="n"/>
      <c r="N267" s="235" t="inlineStr">
        <is>
          <t>SIM</t>
        </is>
      </c>
      <c r="O267" s="235" t="inlineStr">
        <is>
          <t>NÃO</t>
        </is>
      </c>
      <c r="P267" s="235" t="inlineStr">
        <is>
          <t>N/A</t>
        </is>
      </c>
      <c r="Q267" s="235" t="inlineStr">
        <is>
          <t>NEGOCIAÇÃO</t>
        </is>
      </c>
      <c r="R267" s="235" t="inlineStr">
        <is>
          <t>EM ATENDIMENTO</t>
        </is>
      </c>
      <c r="S267" s="235" t="n"/>
      <c r="T267" s="235" t="n"/>
      <c r="U267" s="235" t="n"/>
      <c r="V267" s="235" t="n"/>
      <c r="W267" s="235" t="inlineStr">
        <is>
          <t>SIM</t>
        </is>
      </c>
      <c r="X267" s="235" t="n"/>
    </row>
    <row r="268">
      <c r="A268" s="391" t="n">
        <v>46059</v>
      </c>
      <c r="B268" s="235" t="inlineStr">
        <is>
          <t>LARISSA PADILHA</t>
        </is>
      </c>
      <c r="C268" s="235" t="inlineStr">
        <is>
          <t>MARKET FIT 28</t>
        </is>
      </c>
      <c r="D268" s="235" t="inlineStr">
        <is>
          <t>83.375.287/3116-73</t>
        </is>
      </c>
      <c r="E268" s="235" t="inlineStr">
        <is>
          <t>RJ</t>
        </is>
      </c>
      <c r="F268" s="235" t="inlineStr">
        <is>
          <t>BIOMUNDO</t>
        </is>
      </c>
      <c r="G268" s="235" t="inlineStr">
        <is>
          <t>ATIVO</t>
        </is>
      </c>
      <c r="H268" s="235" t="n">
        <v>21</v>
      </c>
      <c r="I268" s="235" t="n"/>
      <c r="J268" s="235" t="n"/>
      <c r="K268" s="235" t="n"/>
      <c r="L268" s="235" t="n"/>
      <c r="M268" s="235" t="n"/>
      <c r="N268" s="235" t="inlineStr">
        <is>
          <t>SIM</t>
        </is>
      </c>
      <c r="O268" s="235" t="inlineStr">
        <is>
          <t>NÃO</t>
        </is>
      </c>
      <c r="P268" s="235" t="inlineStr">
        <is>
          <t>N/A</t>
        </is>
      </c>
      <c r="Q268" s="235" t="inlineStr">
        <is>
          <t>NEGOCIAÇÃO</t>
        </is>
      </c>
      <c r="R268" s="235" t="inlineStr">
        <is>
          <t>ORÇAMENTO</t>
        </is>
      </c>
      <c r="S268" s="235" t="n"/>
      <c r="T268" s="235" t="n"/>
      <c r="U268" s="235" t="n"/>
      <c r="V268" s="235" t="n"/>
      <c r="W268" s="235" t="inlineStr">
        <is>
          <t>SIM</t>
        </is>
      </c>
      <c r="X268" s="235" t="n"/>
    </row>
    <row r="269">
      <c r="A269" s="391" t="n">
        <v>46057</v>
      </c>
      <c r="B269" s="235" t="inlineStr">
        <is>
          <t>MANU DITZEL</t>
        </is>
      </c>
      <c r="C269" s="235" t="inlineStr">
        <is>
          <t>GRÃO DE OURO 87</t>
        </is>
      </c>
      <c r="D269" s="235" t="inlineStr">
        <is>
          <t>94.604.728/0109-79</t>
        </is>
      </c>
      <c r="E269" s="235" t="inlineStr">
        <is>
          <t>DF</t>
        </is>
      </c>
      <c r="F269" s="235" t="inlineStr">
        <is>
          <t>DEMAIS CLIENTES</t>
        </is>
      </c>
      <c r="G269" s="235" t="inlineStr">
        <is>
          <t>EM RISCO</t>
        </is>
      </c>
      <c r="H269" s="235" t="n">
        <v>56</v>
      </c>
      <c r="I269" s="235" t="n"/>
      <c r="J269" s="235" t="n"/>
      <c r="K269" s="235" t="n"/>
      <c r="L269" s="235" t="n"/>
      <c r="M269" s="235" t="n"/>
      <c r="N269" s="235" t="inlineStr">
        <is>
          <t>NÃO</t>
        </is>
      </c>
      <c r="O269" s="235" t="inlineStr">
        <is>
          <t>NÃO</t>
        </is>
      </c>
      <c r="P269" s="235" t="inlineStr">
        <is>
          <t>N/A</t>
        </is>
      </c>
      <c r="Q269" s="235" t="inlineStr">
        <is>
          <t>ATEND. CLIENTES ATIVOS</t>
        </is>
      </c>
      <c r="R269" s="235" t="inlineStr">
        <is>
          <t>NÃO ATENDE</t>
        </is>
      </c>
      <c r="S269" s="235" t="inlineStr">
        <is>
          <t>SÓ QUER COMPRAR GRANEL</t>
        </is>
      </c>
      <c r="T269" s="235" t="n"/>
      <c r="U269" s="235" t="n"/>
      <c r="V269" s="235" t="n"/>
      <c r="W269" s="235" t="inlineStr">
        <is>
          <t>NÃO</t>
        </is>
      </c>
      <c r="X269" s="235" t="n"/>
    </row>
    <row r="270">
      <c r="A270" s="391" t="n">
        <v>46070</v>
      </c>
      <c r="B270" s="235" t="inlineStr">
        <is>
          <t>MANU DITZEL</t>
        </is>
      </c>
      <c r="C270" s="235" t="inlineStr">
        <is>
          <t>FITLAND PR 97</t>
        </is>
      </c>
      <c r="D270" s="235" t="inlineStr">
        <is>
          <t>83.231.155/8614-64</t>
        </is>
      </c>
      <c r="E270" s="235" t="inlineStr">
        <is>
          <t>RS</t>
        </is>
      </c>
      <c r="F270" s="235" t="inlineStr">
        <is>
          <t>VIDA LEVE</t>
        </is>
      </c>
      <c r="G270" s="235" t="inlineStr">
        <is>
          <t>INAT.REC</t>
        </is>
      </c>
      <c r="H270" s="235" t="n">
        <v>73</v>
      </c>
      <c r="I270" s="235" t="n"/>
      <c r="J270" s="235" t="n"/>
      <c r="K270" s="235" t="n"/>
      <c r="L270" s="235" t="n"/>
      <c r="M270" s="235" t="n"/>
      <c r="N270" s="235" t="inlineStr">
        <is>
          <t>SIM</t>
        </is>
      </c>
      <c r="O270" s="235" t="inlineStr">
        <is>
          <t>SIM</t>
        </is>
      </c>
      <c r="P270" s="235" t="inlineStr">
        <is>
          <t>SIM</t>
        </is>
      </c>
      <c r="Q270" s="235" t="inlineStr">
        <is>
          <t>PÓS-VENDA / RELACIONAMENTO</t>
        </is>
      </c>
      <c r="R270" s="235" t="inlineStr">
        <is>
          <t>VENDA / PEDIDO</t>
        </is>
      </c>
      <c r="S270" s="235" t="n"/>
      <c r="T270" s="235" t="n"/>
      <c r="U270" s="235" t="n"/>
      <c r="V270" s="235" t="n"/>
      <c r="W270" s="235" t="inlineStr">
        <is>
          <t>SIM</t>
        </is>
      </c>
      <c r="X270" s="235" t="n"/>
    </row>
    <row r="271">
      <c r="A271" s="391" t="n">
        <v>46054</v>
      </c>
      <c r="B271" s="235" t="inlineStr">
        <is>
          <t>MANU DITZEL</t>
        </is>
      </c>
      <c r="C271" s="235" t="inlineStr">
        <is>
          <t>DIVINA TERRA RJ 49</t>
        </is>
      </c>
      <c r="D271" s="235" t="inlineStr">
        <is>
          <t>84.203.433/5925-88</t>
        </is>
      </c>
      <c r="E271" s="235" t="inlineStr">
        <is>
          <t>BA</t>
        </is>
      </c>
      <c r="F271" s="235" t="inlineStr">
        <is>
          <t>BIOMUNDO</t>
        </is>
      </c>
      <c r="G271" s="235" t="inlineStr">
        <is>
          <t>ATIVO</t>
        </is>
      </c>
      <c r="H271" s="235" t="n">
        <v>22</v>
      </c>
      <c r="I271" s="235" t="n"/>
      <c r="J271" s="235" t="n"/>
      <c r="K271" s="235" t="n"/>
      <c r="L271" s="235" t="n"/>
      <c r="M271" s="235" t="n"/>
      <c r="N271" s="235" t="inlineStr">
        <is>
          <t>SIM</t>
        </is>
      </c>
      <c r="O271" s="235" t="inlineStr">
        <is>
          <t>NÃO</t>
        </is>
      </c>
      <c r="P271" s="235" t="inlineStr">
        <is>
          <t>N/A</t>
        </is>
      </c>
      <c r="Q271" s="235" t="inlineStr">
        <is>
          <t>ATEND. CLIENTES ATIVOS</t>
        </is>
      </c>
      <c r="R271" s="235" t="inlineStr">
        <is>
          <t>FOLLOW UP 7</t>
        </is>
      </c>
      <c r="S271" s="235" t="inlineStr">
        <is>
          <t>AINDA TEM ESTOQUE</t>
        </is>
      </c>
      <c r="T271" s="235" t="n"/>
      <c r="U271" s="235" t="n"/>
      <c r="V271" s="235" t="n"/>
      <c r="W271" s="235" t="inlineStr">
        <is>
          <t>NÃO</t>
        </is>
      </c>
      <c r="X271" s="235" t="n"/>
    </row>
    <row r="272">
      <c r="A272" s="391" t="n">
        <v>46065</v>
      </c>
      <c r="B272" s="235" t="inlineStr">
        <is>
          <t>LARISSA PADILHA</t>
        </is>
      </c>
      <c r="C272" s="235" t="inlineStr">
        <is>
          <t>TUDO GRÃOS SC 36</t>
        </is>
      </c>
      <c r="D272" s="235" t="inlineStr">
        <is>
          <t>67.284.685/2149-83</t>
        </is>
      </c>
      <c r="E272" s="235" t="inlineStr">
        <is>
          <t>SP</t>
        </is>
      </c>
      <c r="F272" s="235" t="inlineStr">
        <is>
          <t>DEMAIS CLIENTES</t>
        </is>
      </c>
      <c r="G272" s="235" t="inlineStr">
        <is>
          <t>INAT.ANT</t>
        </is>
      </c>
      <c r="H272" s="235" t="n">
        <v>296</v>
      </c>
      <c r="I272" s="235" t="n"/>
      <c r="J272" s="235" t="n"/>
      <c r="K272" s="235" t="n"/>
      <c r="L272" s="235" t="n"/>
      <c r="M272" s="235" t="n"/>
      <c r="N272" s="235" t="inlineStr">
        <is>
          <t>SIM</t>
        </is>
      </c>
      <c r="O272" s="235" t="inlineStr">
        <is>
          <t>SIM</t>
        </is>
      </c>
      <c r="P272" s="235" t="inlineStr">
        <is>
          <t>NÃO</t>
        </is>
      </c>
      <c r="Q272" s="235" t="inlineStr">
        <is>
          <t>NEGOCIAÇÃO</t>
        </is>
      </c>
      <c r="R272" s="235" t="inlineStr">
        <is>
          <t>ORÇAMENTO</t>
        </is>
      </c>
      <c r="S272" s="235" t="n"/>
      <c r="T272" s="235" t="n"/>
      <c r="U272" s="235" t="n"/>
      <c r="V272" s="235" t="n"/>
      <c r="W272" s="235" t="inlineStr">
        <is>
          <t>SIM</t>
        </is>
      </c>
      <c r="X272" s="235" t="n"/>
    </row>
    <row r="273">
      <c r="A273" s="391" t="n">
        <v>46079</v>
      </c>
      <c r="B273" s="235" t="inlineStr">
        <is>
          <t>MANU DITZEL</t>
        </is>
      </c>
      <c r="C273" s="235" t="inlineStr">
        <is>
          <t>NUTRI SHOP 64</t>
        </is>
      </c>
      <c r="D273" s="235" t="inlineStr">
        <is>
          <t>27.969.745/8471-78</t>
        </is>
      </c>
      <c r="E273" s="235" t="inlineStr">
        <is>
          <t>RJ</t>
        </is>
      </c>
      <c r="F273" s="235" t="inlineStr">
        <is>
          <t>DEMAIS CLIENTES</t>
        </is>
      </c>
      <c r="G273" s="235" t="inlineStr">
        <is>
          <t>ATIVO</t>
        </is>
      </c>
      <c r="H273" s="235" t="n">
        <v>40</v>
      </c>
      <c r="I273" s="235" t="n"/>
      <c r="J273" s="235" t="n"/>
      <c r="K273" s="235" t="n"/>
      <c r="L273" s="235" t="n"/>
      <c r="M273" s="235" t="n"/>
      <c r="N273" s="235" t="inlineStr">
        <is>
          <t>SIM</t>
        </is>
      </c>
      <c r="O273" s="235" t="inlineStr">
        <is>
          <t>SIM</t>
        </is>
      </c>
      <c r="P273" s="235" t="inlineStr">
        <is>
          <t>SIM</t>
        </is>
      </c>
      <c r="Q273" s="235" t="inlineStr">
        <is>
          <t>PÓS-VENDA / RELACIONAMENTO</t>
        </is>
      </c>
      <c r="R273" s="235" t="inlineStr">
        <is>
          <t>RELACIONAMENTO</t>
        </is>
      </c>
      <c r="S273" s="235" t="n"/>
      <c r="T273" s="235" t="n"/>
      <c r="U273" s="235" t="n"/>
      <c r="V273" s="235" t="n"/>
      <c r="W273" s="235" t="inlineStr">
        <is>
          <t>SIM</t>
        </is>
      </c>
      <c r="X273" s="235" t="n"/>
    </row>
    <row r="274">
      <c r="A274" s="391" t="n">
        <v>46080</v>
      </c>
      <c r="B274" s="235" t="inlineStr">
        <is>
          <t>JULIO GADRET</t>
        </is>
      </c>
      <c r="C274" s="235" t="inlineStr">
        <is>
          <t>EMPÓRIO BIO 96</t>
        </is>
      </c>
      <c r="D274" s="235" t="inlineStr">
        <is>
          <t>52.366.469/5904-81</t>
        </is>
      </c>
      <c r="E274" s="235" t="inlineStr">
        <is>
          <t>SP</t>
        </is>
      </c>
      <c r="F274" s="235" t="inlineStr">
        <is>
          <t>DEMAIS CLIENTES</t>
        </is>
      </c>
      <c r="G274" s="235" t="inlineStr">
        <is>
          <t>ATIVO</t>
        </is>
      </c>
      <c r="H274" s="235" t="n">
        <v>31</v>
      </c>
      <c r="I274" s="235" t="n"/>
      <c r="J274" s="235" t="n"/>
      <c r="K274" s="235" t="n"/>
      <c r="L274" s="235" t="n"/>
      <c r="M274" s="235" t="n"/>
      <c r="N274" s="235" t="inlineStr">
        <is>
          <t>NÃO</t>
        </is>
      </c>
      <c r="O274" s="235" t="inlineStr">
        <is>
          <t>SIM</t>
        </is>
      </c>
      <c r="P274" s="235" t="inlineStr">
        <is>
          <t>NÃO</t>
        </is>
      </c>
      <c r="Q274" s="235" t="inlineStr">
        <is>
          <t>PROSPECÇÃO</t>
        </is>
      </c>
      <c r="R274" s="235" t="inlineStr">
        <is>
          <t>RECUSOU LIGAÇÃO</t>
        </is>
      </c>
      <c r="S274" s="235" t="inlineStr">
        <is>
          <t>PROBLEMA LOGÍSTICO / ENTREGA</t>
        </is>
      </c>
      <c r="T274" s="235" t="n"/>
      <c r="U274" s="235" t="n"/>
      <c r="V274" s="235" t="n"/>
      <c r="W274" s="235" t="inlineStr">
        <is>
          <t>SIM</t>
        </is>
      </c>
      <c r="X274" s="235" t="n"/>
    </row>
    <row r="275">
      <c r="A275" s="391" t="n">
        <v>46078</v>
      </c>
      <c r="B275" s="235" t="inlineStr">
        <is>
          <t>MANU DITZEL</t>
        </is>
      </c>
      <c r="C275" s="235" t="inlineStr">
        <is>
          <t>BIO GRÃOS 87</t>
        </is>
      </c>
      <c r="D275" s="235" t="inlineStr">
        <is>
          <t>75.599.893/7323-20</t>
        </is>
      </c>
      <c r="E275" s="235" t="inlineStr">
        <is>
          <t>SC</t>
        </is>
      </c>
      <c r="F275" s="235" t="inlineStr">
        <is>
          <t>CIA DA SAUDE</t>
        </is>
      </c>
      <c r="G275" s="235" t="inlineStr">
        <is>
          <t>INAT.ANT</t>
        </is>
      </c>
      <c r="H275" s="235" t="n">
        <v>128</v>
      </c>
      <c r="I275" s="235" t="n"/>
      <c r="J275" s="235" t="n"/>
      <c r="K275" s="235" t="n"/>
      <c r="L275" s="235" t="n"/>
      <c r="M275" s="235" t="n"/>
      <c r="N275" s="235" t="inlineStr">
        <is>
          <t>NÃO</t>
        </is>
      </c>
      <c r="O275" s="235" t="inlineStr">
        <is>
          <t>SIM</t>
        </is>
      </c>
      <c r="P275" s="235" t="inlineStr">
        <is>
          <t>NÃO</t>
        </is>
      </c>
      <c r="Q275" s="235" t="inlineStr">
        <is>
          <t>PÓS-VENDA / RELACIONAMENTO</t>
        </is>
      </c>
      <c r="R275" s="235" t="inlineStr">
        <is>
          <t>SUPORTE</t>
        </is>
      </c>
      <c r="S275" s="235" t="n"/>
      <c r="T275" s="235" t="n"/>
      <c r="U275" s="235" t="n"/>
      <c r="V275" s="235" t="n"/>
      <c r="W275" s="235" t="inlineStr">
        <is>
          <t>SIM</t>
        </is>
      </c>
      <c r="X275" s="235" t="n"/>
    </row>
    <row r="276">
      <c r="A276" s="391" t="n">
        <v>46056</v>
      </c>
      <c r="B276" s="235" t="inlineStr">
        <is>
          <t>MANU DITZEL</t>
        </is>
      </c>
      <c r="C276" s="235" t="inlineStr">
        <is>
          <t>SAUDE TOTAL 30</t>
        </is>
      </c>
      <c r="D276" s="235" t="inlineStr">
        <is>
          <t>50.424.768/4774-44</t>
        </is>
      </c>
      <c r="E276" s="235" t="inlineStr">
        <is>
          <t>SP</t>
        </is>
      </c>
      <c r="F276" s="235" t="inlineStr">
        <is>
          <t>FIT LAND</t>
        </is>
      </c>
      <c r="G276" s="235" t="inlineStr">
        <is>
          <t>NOVO</t>
        </is>
      </c>
      <c r="H276" s="235" t="inlineStr"/>
      <c r="I276" s="235" t="n"/>
      <c r="J276" s="235" t="n"/>
      <c r="K276" s="235" t="n"/>
      <c r="L276" s="235" t="n"/>
      <c r="M276" s="235" t="n"/>
      <c r="N276" s="235" t="inlineStr">
        <is>
          <t>NÃO</t>
        </is>
      </c>
      <c r="O276" s="235" t="inlineStr">
        <is>
          <t>NÃO</t>
        </is>
      </c>
      <c r="P276" s="235" t="inlineStr">
        <is>
          <t>N/A</t>
        </is>
      </c>
      <c r="Q276" s="235" t="inlineStr">
        <is>
          <t>PÓS-VENDA / RELACIONAMENTO</t>
        </is>
      </c>
      <c r="R276" s="235" t="inlineStr">
        <is>
          <t>NÃO RESPONDE</t>
        </is>
      </c>
      <c r="S276" s="235" t="inlineStr">
        <is>
          <t>SÓ QUER COMPRAR GRANEL</t>
        </is>
      </c>
      <c r="T276" s="235" t="n"/>
      <c r="U276" s="235" t="n"/>
      <c r="V276" s="235" t="n"/>
      <c r="W276" s="235" t="inlineStr">
        <is>
          <t>SIM</t>
        </is>
      </c>
      <c r="X276" s="235" t="n"/>
    </row>
    <row r="277">
      <c r="A277" s="391" t="n">
        <v>46081</v>
      </c>
      <c r="B277" s="235" t="inlineStr">
        <is>
          <t>MANU DITZEL</t>
        </is>
      </c>
      <c r="C277" s="235" t="inlineStr">
        <is>
          <t>ARMAZEM FIT 85</t>
        </is>
      </c>
      <c r="D277" s="235" t="inlineStr">
        <is>
          <t>42.861.817/1312-36</t>
        </is>
      </c>
      <c r="E277" s="235" t="inlineStr">
        <is>
          <t>PR</t>
        </is>
      </c>
      <c r="F277" s="235" t="inlineStr">
        <is>
          <t>MUNDO VERDE</t>
        </is>
      </c>
      <c r="G277" s="235" t="inlineStr">
        <is>
          <t>ATIVO</t>
        </is>
      </c>
      <c r="H277" s="235" t="n">
        <v>35</v>
      </c>
      <c r="I277" s="235" t="n"/>
      <c r="J277" s="235" t="n"/>
      <c r="K277" s="235" t="n"/>
      <c r="L277" s="235" t="n"/>
      <c r="M277" s="235" t="n"/>
      <c r="N277" s="235" t="inlineStr">
        <is>
          <t>SIM</t>
        </is>
      </c>
      <c r="O277" s="235" t="inlineStr">
        <is>
          <t>NÃO</t>
        </is>
      </c>
      <c r="P277" s="235" t="inlineStr">
        <is>
          <t>N/A</t>
        </is>
      </c>
      <c r="Q277" s="235" t="inlineStr">
        <is>
          <t>ATEND. CLIENTES ATIVOS</t>
        </is>
      </c>
      <c r="R277" s="235" t="inlineStr">
        <is>
          <t>VENDA / PEDIDO</t>
        </is>
      </c>
      <c r="S277" s="235" t="n"/>
      <c r="T277" s="235" t="n"/>
      <c r="U277" s="235" t="n"/>
      <c r="V277" s="235" t="n"/>
      <c r="W277" s="235" t="inlineStr">
        <is>
          <t>SIM</t>
        </is>
      </c>
      <c r="X277" s="235" t="n"/>
    </row>
    <row r="278">
      <c r="A278" s="391" t="n">
        <v>46062</v>
      </c>
      <c r="B278" s="235" t="inlineStr">
        <is>
          <t>JULIO GADRET</t>
        </is>
      </c>
      <c r="C278" s="235" t="inlineStr">
        <is>
          <t>GRÃO DE OURO 84</t>
        </is>
      </c>
      <c r="D278" s="235" t="inlineStr">
        <is>
          <t>59.416.334/4054-46</t>
        </is>
      </c>
      <c r="E278" s="235" t="inlineStr">
        <is>
          <t>RS</t>
        </is>
      </c>
      <c r="F278" s="235" t="inlineStr">
        <is>
          <t>MUNDO VERDE</t>
        </is>
      </c>
      <c r="G278" s="235" t="inlineStr">
        <is>
          <t>INAT.REC</t>
        </is>
      </c>
      <c r="H278" s="235" t="n">
        <v>66</v>
      </c>
      <c r="I278" s="235" t="n"/>
      <c r="J278" s="235" t="n"/>
      <c r="K278" s="235" t="n"/>
      <c r="L278" s="235" t="n"/>
      <c r="M278" s="235" t="n"/>
      <c r="N278" s="235" t="inlineStr">
        <is>
          <t>NÃO</t>
        </is>
      </c>
      <c r="O278" s="235" t="inlineStr">
        <is>
          <t>SIM</t>
        </is>
      </c>
      <c r="P278" s="235" t="inlineStr">
        <is>
          <t>SIM</t>
        </is>
      </c>
      <c r="Q278" s="235" t="inlineStr">
        <is>
          <t>PROSPECÇÃO</t>
        </is>
      </c>
      <c r="R278" s="235" t="inlineStr">
        <is>
          <t>NÃO ATENDE</t>
        </is>
      </c>
      <c r="S278" s="235" t="inlineStr">
        <is>
          <t>PRIMEIRO CONTATO / SEM RESPOSTA</t>
        </is>
      </c>
      <c r="T278" s="235" t="n"/>
      <c r="U278" s="235" t="n"/>
      <c r="V278" s="235" t="n"/>
      <c r="W278" s="235" t="inlineStr">
        <is>
          <t>SIM</t>
        </is>
      </c>
      <c r="X278" s="235" t="n"/>
    </row>
    <row r="279">
      <c r="A279" s="391" t="n">
        <v>46062</v>
      </c>
      <c r="B279" s="235" t="inlineStr">
        <is>
          <t>LARISSA PADILHA</t>
        </is>
      </c>
      <c r="C279" s="235" t="inlineStr">
        <is>
          <t>FIT STORE 90</t>
        </is>
      </c>
      <c r="D279" s="235" t="inlineStr">
        <is>
          <t>79.281.705/9791-68</t>
        </is>
      </c>
      <c r="E279" s="235" t="inlineStr">
        <is>
          <t>SP</t>
        </is>
      </c>
      <c r="F279" s="235" t="inlineStr">
        <is>
          <t>TUDO EM GRAOS</t>
        </is>
      </c>
      <c r="G279" s="235" t="inlineStr">
        <is>
          <t>INAT.REC</t>
        </is>
      </c>
      <c r="H279" s="235" t="n">
        <v>77</v>
      </c>
      <c r="I279" s="235" t="n"/>
      <c r="J279" s="235" t="n"/>
      <c r="K279" s="235" t="n"/>
      <c r="L279" s="235" t="n"/>
      <c r="M279" s="235" t="n"/>
      <c r="N279" s="235" t="inlineStr">
        <is>
          <t>NÃO</t>
        </is>
      </c>
      <c r="O279" s="235" t="inlineStr">
        <is>
          <t>NÃO</t>
        </is>
      </c>
      <c r="P279" s="235" t="inlineStr">
        <is>
          <t>N/A</t>
        </is>
      </c>
      <c r="Q279" s="235" t="inlineStr">
        <is>
          <t>ATEND. CLIENTES INATIVOS</t>
        </is>
      </c>
      <c r="R279" s="235" t="inlineStr">
        <is>
          <t>RECUSOU LIGAÇÃO</t>
        </is>
      </c>
      <c r="S279" s="235" t="inlineStr">
        <is>
          <t>AINDA TEM ESTOQUE</t>
        </is>
      </c>
      <c r="T279" s="235" t="n"/>
      <c r="U279" s="235" t="n"/>
      <c r="V279" s="235" t="n"/>
      <c r="W279" s="235" t="inlineStr">
        <is>
          <t>SIM</t>
        </is>
      </c>
      <c r="X279" s="235" t="n"/>
    </row>
    <row r="280">
      <c r="A280" s="391" t="n">
        <v>46063</v>
      </c>
      <c r="B280" s="235" t="inlineStr">
        <is>
          <t>LARISSA PADILHA</t>
        </is>
      </c>
      <c r="C280" s="235" t="inlineStr">
        <is>
          <t>PONTO VERDE 20</t>
        </is>
      </c>
      <c r="D280" s="235" t="inlineStr">
        <is>
          <t>48.110.100/8575-27</t>
        </is>
      </c>
      <c r="E280" s="235" t="inlineStr">
        <is>
          <t>SC</t>
        </is>
      </c>
      <c r="F280" s="235" t="inlineStr">
        <is>
          <t>DIVINA TERRA</t>
        </is>
      </c>
      <c r="G280" s="235" t="inlineStr">
        <is>
          <t>ATIVO</t>
        </is>
      </c>
      <c r="H280" s="235" t="n">
        <v>36</v>
      </c>
      <c r="I280" s="235" t="n"/>
      <c r="J280" s="235" t="n"/>
      <c r="K280" s="235" t="n"/>
      <c r="L280" s="235" t="n"/>
      <c r="M280" s="235" t="n"/>
      <c r="N280" s="235" t="inlineStr">
        <is>
          <t>SIM</t>
        </is>
      </c>
      <c r="O280" s="235" t="inlineStr">
        <is>
          <t>SIM</t>
        </is>
      </c>
      <c r="P280" s="235" t="inlineStr">
        <is>
          <t>SIM</t>
        </is>
      </c>
      <c r="Q280" s="235" t="inlineStr">
        <is>
          <t>PERDA / NUTRIÇÃO</t>
        </is>
      </c>
      <c r="R280" s="235" t="inlineStr">
        <is>
          <t>NÃO ATENDE</t>
        </is>
      </c>
      <c r="S280" s="235" t="inlineStr">
        <is>
          <t>AINDA TEM ESTOQUE</t>
        </is>
      </c>
      <c r="T280" s="235" t="n"/>
      <c r="U280" s="235" t="n"/>
      <c r="V280" s="235" t="n"/>
      <c r="W280" s="235" t="inlineStr">
        <is>
          <t>SIM</t>
        </is>
      </c>
      <c r="X280" s="235" t="n"/>
    </row>
    <row r="281">
      <c r="A281" s="391" t="n">
        <v>46065</v>
      </c>
      <c r="B281" s="235" t="inlineStr">
        <is>
          <t>MANU DITZEL</t>
        </is>
      </c>
      <c r="C281" s="235" t="inlineStr">
        <is>
          <t>ESSENCE FOOD 56</t>
        </is>
      </c>
      <c r="D281" s="235" t="inlineStr">
        <is>
          <t>60.355.267/6386-58</t>
        </is>
      </c>
      <c r="E281" s="235" t="inlineStr">
        <is>
          <t>PR</t>
        </is>
      </c>
      <c r="F281" s="235" t="inlineStr">
        <is>
          <t>MUNDO VERDE</t>
        </is>
      </c>
      <c r="G281" s="235" t="inlineStr">
        <is>
          <t>INAT.ANT</t>
        </is>
      </c>
      <c r="H281" s="235" t="n">
        <v>223</v>
      </c>
      <c r="I281" s="235" t="n"/>
      <c r="J281" s="235" t="n"/>
      <c r="K281" s="235" t="n"/>
      <c r="L281" s="235" t="n"/>
      <c r="M281" s="235" t="n"/>
      <c r="N281" s="235" t="inlineStr">
        <is>
          <t>NÃO</t>
        </is>
      </c>
      <c r="O281" s="235" t="inlineStr">
        <is>
          <t>NÃO</t>
        </is>
      </c>
      <c r="P281" s="235" t="inlineStr">
        <is>
          <t>N/A</t>
        </is>
      </c>
      <c r="Q281" s="235" t="inlineStr">
        <is>
          <t>PÓS-VENDA / RELACIONAMENTO</t>
        </is>
      </c>
      <c r="R281" s="235" t="inlineStr">
        <is>
          <t>NÃO RESPONDE</t>
        </is>
      </c>
      <c r="S281" s="235" t="inlineStr">
        <is>
          <t>PRODUTO NÃO VENDEU / SEM GIRO</t>
        </is>
      </c>
      <c r="T281" s="235" t="n"/>
      <c r="U281" s="235" t="n"/>
      <c r="V281" s="235" t="n"/>
      <c r="W281" s="235" t="inlineStr">
        <is>
          <t>NÃO</t>
        </is>
      </c>
      <c r="X281" s="235" t="n"/>
    </row>
    <row r="282">
      <c r="A282" s="391" t="n">
        <v>46079</v>
      </c>
      <c r="B282" s="235" t="inlineStr">
        <is>
          <t>MANU DITZEL</t>
        </is>
      </c>
      <c r="C282" s="235" t="inlineStr">
        <is>
          <t>CIA SAUDE SP 09</t>
        </is>
      </c>
      <c r="D282" s="235" t="inlineStr">
        <is>
          <t>33.239.396/1809-91</t>
        </is>
      </c>
      <c r="E282" s="235" t="inlineStr">
        <is>
          <t>RS</t>
        </is>
      </c>
      <c r="F282" s="235" t="inlineStr">
        <is>
          <t>DIVINA TERRA</t>
        </is>
      </c>
      <c r="G282" s="235" t="inlineStr">
        <is>
          <t>INAT.ANT</t>
        </is>
      </c>
      <c r="H282" s="235" t="n">
        <v>216</v>
      </c>
      <c r="I282" s="235" t="n"/>
      <c r="J282" s="235" t="n"/>
      <c r="K282" s="235" t="n"/>
      <c r="L282" s="235" t="n"/>
      <c r="M282" s="235" t="n"/>
      <c r="N282" s="235" t="inlineStr">
        <is>
          <t>SIM</t>
        </is>
      </c>
      <c r="O282" s="235" t="inlineStr">
        <is>
          <t>NÃO</t>
        </is>
      </c>
      <c r="P282" s="235" t="inlineStr">
        <is>
          <t>N/A</t>
        </is>
      </c>
      <c r="Q282" s="235" t="inlineStr">
        <is>
          <t>NEGOCIAÇÃO</t>
        </is>
      </c>
      <c r="R282" s="235" t="inlineStr">
        <is>
          <t>EM ATENDIMENTO</t>
        </is>
      </c>
      <c r="S282" s="235" t="n"/>
      <c r="T282" s="235" t="n"/>
      <c r="U282" s="235" t="n"/>
      <c r="V282" s="235" t="n"/>
      <c r="W282" s="235" t="inlineStr">
        <is>
          <t>SIM</t>
        </is>
      </c>
      <c r="X282" s="235" t="n"/>
    </row>
    <row r="283">
      <c r="A283" s="391" t="n">
        <v>46057</v>
      </c>
      <c r="B283" s="235" t="inlineStr">
        <is>
          <t>MANU DITZEL</t>
        </is>
      </c>
      <c r="C283" s="235" t="inlineStr">
        <is>
          <t>FIT STORE 92</t>
        </is>
      </c>
      <c r="D283" s="235" t="inlineStr">
        <is>
          <t>66.844.108/3815-21</t>
        </is>
      </c>
      <c r="E283" s="235" t="inlineStr">
        <is>
          <t>PR</t>
        </is>
      </c>
      <c r="F283" s="235" t="inlineStr">
        <is>
          <t>DIVINA TERRA</t>
        </is>
      </c>
      <c r="G283" s="235" t="inlineStr">
        <is>
          <t>ATIVO</t>
        </is>
      </c>
      <c r="H283" s="235" t="n">
        <v>24</v>
      </c>
      <c r="I283" s="235" t="n"/>
      <c r="J283" s="235" t="n"/>
      <c r="K283" s="235" t="n"/>
      <c r="L283" s="235" t="n"/>
      <c r="M283" s="235" t="n"/>
      <c r="N283" s="235" t="inlineStr">
        <is>
          <t>SIM</t>
        </is>
      </c>
      <c r="O283" s="235" t="inlineStr">
        <is>
          <t>NÃO</t>
        </is>
      </c>
      <c r="P283" s="235" t="inlineStr">
        <is>
          <t>N/A</t>
        </is>
      </c>
      <c r="Q283" s="235" t="inlineStr">
        <is>
          <t>PÓS-VENDA / RELACIONAMENTO</t>
        </is>
      </c>
      <c r="R283" s="235" t="inlineStr">
        <is>
          <t>FOLLOW UP 15</t>
        </is>
      </c>
      <c r="S283" s="235" t="inlineStr">
        <is>
          <t>AINDA TEM ESTOQUE</t>
        </is>
      </c>
      <c r="T283" s="235" t="n"/>
      <c r="U283" s="235" t="n"/>
      <c r="V283" s="235" t="n"/>
      <c r="W283" s="235" t="inlineStr">
        <is>
          <t>SIM</t>
        </is>
      </c>
      <c r="X283" s="235" t="n"/>
    </row>
    <row r="284">
      <c r="A284" s="391" t="n">
        <v>46078</v>
      </c>
      <c r="B284" s="235" t="inlineStr">
        <is>
          <t>DAIANE STAVICKI</t>
        </is>
      </c>
      <c r="C284" s="235" t="inlineStr">
        <is>
          <t>BIOMUNDO CTB 35</t>
        </is>
      </c>
      <c r="D284" s="235" t="inlineStr">
        <is>
          <t>60.173.656/7703-33</t>
        </is>
      </c>
      <c r="E284" s="235" t="inlineStr">
        <is>
          <t>PR</t>
        </is>
      </c>
      <c r="F284" s="235" t="inlineStr">
        <is>
          <t>DEMAIS CLIENTES</t>
        </is>
      </c>
      <c r="G284" s="235" t="inlineStr">
        <is>
          <t>NOVO</t>
        </is>
      </c>
      <c r="H284" s="235" t="inlineStr"/>
      <c r="I284" s="235" t="n"/>
      <c r="J284" s="235" t="n"/>
      <c r="K284" s="235" t="n"/>
      <c r="L284" s="235" t="n"/>
      <c r="M284" s="235" t="n"/>
      <c r="N284" s="235" t="inlineStr">
        <is>
          <t>NÃO</t>
        </is>
      </c>
      <c r="O284" s="235" t="inlineStr">
        <is>
          <t>SIM</t>
        </is>
      </c>
      <c r="P284" s="235" t="inlineStr">
        <is>
          <t>NÃO</t>
        </is>
      </c>
      <c r="Q284" s="235" t="inlineStr">
        <is>
          <t>PÓS-VENDA / RELACIONAMENTO</t>
        </is>
      </c>
      <c r="R284" s="235" t="inlineStr">
        <is>
          <t>RELACIONAMENTO</t>
        </is>
      </c>
      <c r="S284" s="235" t="n"/>
      <c r="T284" s="235" t="n"/>
      <c r="U284" s="235" t="n"/>
      <c r="V284" s="235" t="n"/>
      <c r="W284" s="235" t="inlineStr">
        <is>
          <t>SIM</t>
        </is>
      </c>
      <c r="X284" s="235" t="n"/>
    </row>
    <row r="285">
      <c r="A285" s="391" t="n">
        <v>46077</v>
      </c>
      <c r="B285" s="235" t="inlineStr">
        <is>
          <t>DAIANE STAVICKI</t>
        </is>
      </c>
      <c r="C285" s="235" t="inlineStr">
        <is>
          <t>CIA SAUDE SP 59</t>
        </is>
      </c>
      <c r="D285" s="235" t="inlineStr">
        <is>
          <t>22.633.781/3416-70</t>
        </is>
      </c>
      <c r="E285" s="235" t="inlineStr">
        <is>
          <t>SC</t>
        </is>
      </c>
      <c r="F285" s="235" t="inlineStr">
        <is>
          <t>DEMAIS CLIENTES</t>
        </is>
      </c>
      <c r="G285" s="235" t="inlineStr">
        <is>
          <t>PROSPECT</t>
        </is>
      </c>
      <c r="H285" s="235" t="inlineStr"/>
      <c r="I285" s="235" t="n"/>
      <c r="J285" s="235" t="n"/>
      <c r="K285" s="235" t="n"/>
      <c r="L285" s="235" t="n"/>
      <c r="M285" s="235" t="n"/>
      <c r="N285" s="235" t="inlineStr">
        <is>
          <t>NÃO</t>
        </is>
      </c>
      <c r="O285" s="235" t="inlineStr">
        <is>
          <t>NÃO</t>
        </is>
      </c>
      <c r="P285" s="235" t="inlineStr">
        <is>
          <t>N/A</t>
        </is>
      </c>
      <c r="Q285" s="235" t="inlineStr">
        <is>
          <t>NEGOCIAÇÃO</t>
        </is>
      </c>
      <c r="R285" s="235" t="inlineStr">
        <is>
          <t>VENDA / PEDIDO</t>
        </is>
      </c>
      <c r="S285" s="235" t="n"/>
      <c r="T285" s="235" t="n"/>
      <c r="U285" s="235" t="n"/>
      <c r="V285" s="235" t="n"/>
      <c r="W285" s="235" t="inlineStr">
        <is>
          <t>SIM</t>
        </is>
      </c>
      <c r="X285" s="235" t="n"/>
    </row>
    <row r="286">
      <c r="A286" s="391" t="n">
        <v>46069</v>
      </c>
      <c r="B286" s="235" t="inlineStr">
        <is>
          <t>JULIO GADRET</t>
        </is>
      </c>
      <c r="C286" s="235" t="inlineStr">
        <is>
          <t>CIA SAUDE SP 47</t>
        </is>
      </c>
      <c r="D286" s="235" t="inlineStr">
        <is>
          <t>16.984.782/3569-24</t>
        </is>
      </c>
      <c r="E286" s="235" t="inlineStr">
        <is>
          <t>PR</t>
        </is>
      </c>
      <c r="F286" s="235" t="inlineStr">
        <is>
          <t>FIT LAND</t>
        </is>
      </c>
      <c r="G286" s="235" t="inlineStr">
        <is>
          <t>ATIVO</t>
        </is>
      </c>
      <c r="H286" s="235" t="n">
        <v>22</v>
      </c>
      <c r="I286" s="235" t="n"/>
      <c r="J286" s="235" t="n"/>
      <c r="K286" s="235" t="n"/>
      <c r="L286" s="235" t="n"/>
      <c r="M286" s="235" t="n"/>
      <c r="N286" s="235" t="inlineStr">
        <is>
          <t>SIM</t>
        </is>
      </c>
      <c r="O286" s="235" t="inlineStr">
        <is>
          <t>NÃO</t>
        </is>
      </c>
      <c r="P286" s="235" t="inlineStr">
        <is>
          <t>N/A</t>
        </is>
      </c>
      <c r="Q286" s="235" t="inlineStr">
        <is>
          <t>ATEND. CLIENTES ATIVOS</t>
        </is>
      </c>
      <c r="R286" s="235" t="inlineStr">
        <is>
          <t>RELACIONAMENTO</t>
        </is>
      </c>
      <c r="S286" s="235" t="n"/>
      <c r="T286" s="235" t="n"/>
      <c r="U286" s="235" t="n"/>
      <c r="V286" s="235" t="n"/>
      <c r="W286" s="235" t="inlineStr">
        <is>
          <t>SIM</t>
        </is>
      </c>
      <c r="X286" s="235" t="n"/>
    </row>
    <row r="287">
      <c r="A287" s="391" t="n">
        <v>46076</v>
      </c>
      <c r="B287" s="235" t="inlineStr">
        <is>
          <t>LARISSA PADILHA</t>
        </is>
      </c>
      <c r="C287" s="235" t="inlineStr">
        <is>
          <t>MUNDO BIO 20</t>
        </is>
      </c>
      <c r="D287" s="235" t="inlineStr">
        <is>
          <t>57.889.191/4076-30</t>
        </is>
      </c>
      <c r="E287" s="235" t="inlineStr">
        <is>
          <t>RS</t>
        </is>
      </c>
      <c r="F287" s="235" t="inlineStr">
        <is>
          <t>TUDO EM GRAOS</t>
        </is>
      </c>
      <c r="G287" s="235" t="inlineStr">
        <is>
          <t>ATIVO</t>
        </is>
      </c>
      <c r="H287" s="235" t="n">
        <v>45</v>
      </c>
      <c r="I287" s="235" t="n"/>
      <c r="J287" s="235" t="n"/>
      <c r="K287" s="235" t="n"/>
      <c r="L287" s="235" t="n"/>
      <c r="M287" s="235" t="n"/>
      <c r="N287" s="235" t="inlineStr">
        <is>
          <t>SIM</t>
        </is>
      </c>
      <c r="O287" s="235" t="inlineStr">
        <is>
          <t>NÃO</t>
        </is>
      </c>
      <c r="P287" s="235" t="inlineStr">
        <is>
          <t>N/A</t>
        </is>
      </c>
      <c r="Q287" s="235" t="inlineStr">
        <is>
          <t>PROSPECÇÃO</t>
        </is>
      </c>
      <c r="R287" s="235" t="inlineStr">
        <is>
          <t>CADASTRO</t>
        </is>
      </c>
      <c r="S287" s="235" t="n"/>
      <c r="T287" s="235" t="n"/>
      <c r="U287" s="235" t="n"/>
      <c r="V287" s="235" t="n"/>
      <c r="W287" s="235" t="inlineStr">
        <is>
          <t>SIM</t>
        </is>
      </c>
      <c r="X287" s="235" t="n"/>
    </row>
    <row r="288">
      <c r="A288" s="391" t="n">
        <v>46069</v>
      </c>
      <c r="B288" s="235" t="inlineStr">
        <is>
          <t>MANU DITZEL</t>
        </is>
      </c>
      <c r="C288" s="235" t="inlineStr">
        <is>
          <t>ESSENCE FOOD 83</t>
        </is>
      </c>
      <c r="D288" s="235" t="inlineStr">
        <is>
          <t>54.924.549/3162-12</t>
        </is>
      </c>
      <c r="E288" s="235" t="inlineStr">
        <is>
          <t>SP</t>
        </is>
      </c>
      <c r="F288" s="235" t="inlineStr">
        <is>
          <t>CIA DA SAUDE</t>
        </is>
      </c>
      <c r="G288" s="235" t="inlineStr">
        <is>
          <t>ATIVO</t>
        </is>
      </c>
      <c r="H288" s="235" t="n">
        <v>7</v>
      </c>
      <c r="I288" s="235" t="n"/>
      <c r="J288" s="235" t="n"/>
      <c r="K288" s="235" t="n"/>
      <c r="L288" s="235" t="n"/>
      <c r="M288" s="235" t="n"/>
      <c r="N288" s="235" t="inlineStr">
        <is>
          <t>SIM</t>
        </is>
      </c>
      <c r="O288" s="235" t="inlineStr">
        <is>
          <t>NÃO</t>
        </is>
      </c>
      <c r="P288" s="235" t="inlineStr">
        <is>
          <t>N/A</t>
        </is>
      </c>
      <c r="Q288" s="235" t="inlineStr">
        <is>
          <t>ATEND. CLIENTES ATIVOS</t>
        </is>
      </c>
      <c r="R288" s="235" t="inlineStr">
        <is>
          <t>RELACIONAMENTO</t>
        </is>
      </c>
      <c r="S288" s="235" t="n"/>
      <c r="T288" s="235" t="n"/>
      <c r="U288" s="235" t="n"/>
      <c r="V288" s="235" t="n"/>
      <c r="W288" s="235" t="inlineStr">
        <is>
          <t>SIM</t>
        </is>
      </c>
      <c r="X288" s="235" t="n"/>
    </row>
    <row r="289">
      <c r="A289" s="391" t="n">
        <v>46059</v>
      </c>
      <c r="B289" s="235" t="inlineStr">
        <is>
          <t>LARISSA PADILHA</t>
        </is>
      </c>
      <c r="C289" s="235" t="inlineStr">
        <is>
          <t>BIO GRÃOS 94</t>
        </is>
      </c>
      <c r="D289" s="235" t="inlineStr">
        <is>
          <t>69.381.988/9809-80</t>
        </is>
      </c>
      <c r="E289" s="235" t="inlineStr">
        <is>
          <t>PR</t>
        </is>
      </c>
      <c r="F289" s="235" t="inlineStr">
        <is>
          <t>VIDA LEVE</t>
        </is>
      </c>
      <c r="G289" s="235" t="inlineStr">
        <is>
          <t>EM RISCO</t>
        </is>
      </c>
      <c r="H289" s="235" t="n">
        <v>55</v>
      </c>
      <c r="I289" s="235" t="n"/>
      <c r="J289" s="235" t="n"/>
      <c r="K289" s="235" t="n"/>
      <c r="L289" s="235" t="n"/>
      <c r="M289" s="235" t="n"/>
      <c r="N289" s="235" t="inlineStr">
        <is>
          <t>NÃO</t>
        </is>
      </c>
      <c r="O289" s="235" t="inlineStr">
        <is>
          <t>NÃO</t>
        </is>
      </c>
      <c r="P289" s="235" t="inlineStr">
        <is>
          <t>N/A</t>
        </is>
      </c>
      <c r="Q289" s="235" t="inlineStr">
        <is>
          <t>ATEND. CLIENTES ATIVOS</t>
        </is>
      </c>
      <c r="R289" s="235" t="inlineStr">
        <is>
          <t>RELACIONAMENTO</t>
        </is>
      </c>
      <c r="S289" s="235" t="n"/>
      <c r="T289" s="235" t="n"/>
      <c r="U289" s="235" t="n"/>
      <c r="V289" s="235" t="n"/>
      <c r="W289" s="235" t="inlineStr">
        <is>
          <t>NÃO</t>
        </is>
      </c>
      <c r="X289" s="235" t="n"/>
    </row>
    <row r="290">
      <c r="A290" s="391" t="n">
        <v>46054</v>
      </c>
      <c r="B290" s="235" t="inlineStr">
        <is>
          <t>JULIO GADRET</t>
        </is>
      </c>
      <c r="C290" s="235" t="inlineStr">
        <is>
          <t>GRANEL &amp; CIA 80</t>
        </is>
      </c>
      <c r="D290" s="235" t="inlineStr">
        <is>
          <t>40.428.838/1038-94</t>
        </is>
      </c>
      <c r="E290" s="235" t="inlineStr">
        <is>
          <t>DF</t>
        </is>
      </c>
      <c r="F290" s="235" t="inlineStr">
        <is>
          <t>DEMAIS CLIENTES</t>
        </is>
      </c>
      <c r="G290" s="235" t="inlineStr">
        <is>
          <t>ATIVO</t>
        </is>
      </c>
      <c r="H290" s="235" t="n">
        <v>48</v>
      </c>
      <c r="I290" s="235" t="n"/>
      <c r="J290" s="235" t="n"/>
      <c r="K290" s="235" t="n"/>
      <c r="L290" s="235" t="n"/>
      <c r="M290" s="235" t="n"/>
      <c r="N290" s="235" t="inlineStr">
        <is>
          <t>SIM</t>
        </is>
      </c>
      <c r="O290" s="235" t="inlineStr">
        <is>
          <t>SIM</t>
        </is>
      </c>
      <c r="P290" s="235" t="inlineStr">
        <is>
          <t>NÃO</t>
        </is>
      </c>
      <c r="Q290" s="235" t="inlineStr">
        <is>
          <t>ATEND. CLIENTES ATIVOS</t>
        </is>
      </c>
      <c r="R290" s="235" t="inlineStr">
        <is>
          <t>FOLLOW UP 7</t>
        </is>
      </c>
      <c r="S290" s="235" t="inlineStr">
        <is>
          <t>AINDA TEM ESTOQUE</t>
        </is>
      </c>
      <c r="T290" s="235" t="n"/>
      <c r="U290" s="235" t="n"/>
      <c r="V290" s="235" t="n"/>
      <c r="W290" s="235" t="inlineStr">
        <is>
          <t>SIM</t>
        </is>
      </c>
      <c r="X290" s="235" t="n"/>
    </row>
    <row r="291">
      <c r="A291" s="391" t="n">
        <v>46056</v>
      </c>
      <c r="B291" s="235" t="inlineStr">
        <is>
          <t>MANU DITZEL</t>
        </is>
      </c>
      <c r="C291" s="235" t="inlineStr">
        <is>
          <t>FIT STORE 23</t>
        </is>
      </c>
      <c r="D291" s="235" t="inlineStr">
        <is>
          <t>14.306.209/7953-34</t>
        </is>
      </c>
      <c r="E291" s="235" t="inlineStr">
        <is>
          <t>PR</t>
        </is>
      </c>
      <c r="F291" s="235" t="inlineStr">
        <is>
          <t>VIDA LEVE</t>
        </is>
      </c>
      <c r="G291" s="235" t="inlineStr">
        <is>
          <t>NOVO</t>
        </is>
      </c>
      <c r="H291" s="235" t="inlineStr"/>
      <c r="I291" s="235" t="n"/>
      <c r="J291" s="235" t="n"/>
      <c r="K291" s="235" t="n"/>
      <c r="L291" s="235" t="n"/>
      <c r="M291" s="235" t="n"/>
      <c r="N291" s="235" t="inlineStr">
        <is>
          <t>NÃO</t>
        </is>
      </c>
      <c r="O291" s="235" t="inlineStr">
        <is>
          <t>SIM</t>
        </is>
      </c>
      <c r="P291" s="235" t="inlineStr">
        <is>
          <t>SIM</t>
        </is>
      </c>
      <c r="Q291" s="235" t="inlineStr">
        <is>
          <t>ATEND. CLIENTES INATIVOS</t>
        </is>
      </c>
      <c r="R291" s="235" t="inlineStr">
        <is>
          <t>RECUSOU LIGAÇÃO</t>
        </is>
      </c>
      <c r="S291" s="235" t="inlineStr">
        <is>
          <t>PROBLEMA LOGÍSTICO / ENTREGA</t>
        </is>
      </c>
      <c r="T291" s="235" t="n"/>
      <c r="U291" s="235" t="n"/>
      <c r="V291" s="235" t="n"/>
      <c r="W291" s="235" t="inlineStr">
        <is>
          <t>SIM</t>
        </is>
      </c>
      <c r="X291" s="235" t="n"/>
    </row>
    <row r="292">
      <c r="A292" s="391" t="n">
        <v>46060</v>
      </c>
      <c r="B292" s="235" t="inlineStr">
        <is>
          <t>JULIO GADRET</t>
        </is>
      </c>
      <c r="C292" s="235" t="inlineStr">
        <is>
          <t>GRÃO DE OURO 60</t>
        </is>
      </c>
      <c r="D292" s="235" t="inlineStr">
        <is>
          <t>91.162.469/9143-63</t>
        </is>
      </c>
      <c r="E292" s="235" t="inlineStr">
        <is>
          <t>MG</t>
        </is>
      </c>
      <c r="F292" s="235" t="inlineStr">
        <is>
          <t>DEMAIS CLIENTES</t>
        </is>
      </c>
      <c r="G292" s="235" t="inlineStr">
        <is>
          <t>ATIVO</t>
        </is>
      </c>
      <c r="H292" s="235" t="n">
        <v>44</v>
      </c>
      <c r="I292" s="235" t="n"/>
      <c r="J292" s="235" t="n"/>
      <c r="K292" s="235" t="n"/>
      <c r="L292" s="235" t="n"/>
      <c r="M292" s="235" t="n"/>
      <c r="N292" s="235" t="inlineStr">
        <is>
          <t>SIM</t>
        </is>
      </c>
      <c r="O292" s="235" t="inlineStr">
        <is>
          <t>SIM</t>
        </is>
      </c>
      <c r="P292" s="235" t="inlineStr">
        <is>
          <t>NÃO</t>
        </is>
      </c>
      <c r="Q292" s="235" t="inlineStr">
        <is>
          <t>FOLLOW UP</t>
        </is>
      </c>
      <c r="R292" s="235" t="inlineStr">
        <is>
          <t>EM ATENDIMENTO</t>
        </is>
      </c>
      <c r="S292" s="235" t="n"/>
      <c r="T292" s="235" t="n"/>
      <c r="U292" s="235" t="n"/>
      <c r="V292" s="235" t="n"/>
      <c r="W292" s="235" t="inlineStr">
        <is>
          <t>NÃO</t>
        </is>
      </c>
      <c r="X292" s="235" t="n"/>
    </row>
    <row r="293">
      <c r="A293" s="391" t="n">
        <v>46057</v>
      </c>
      <c r="B293" s="235" t="inlineStr">
        <is>
          <t>MANU DITZEL</t>
        </is>
      </c>
      <c r="C293" s="235" t="inlineStr">
        <is>
          <t>FITLAND PR 69</t>
        </is>
      </c>
      <c r="D293" s="235" t="inlineStr">
        <is>
          <t>59.294.297/8622-94</t>
        </is>
      </c>
      <c r="E293" s="235" t="inlineStr">
        <is>
          <t>PR</t>
        </is>
      </c>
      <c r="F293" s="235" t="inlineStr">
        <is>
          <t>VIDA LEVE</t>
        </is>
      </c>
      <c r="G293" s="235" t="inlineStr">
        <is>
          <t>ATIVO</t>
        </is>
      </c>
      <c r="H293" s="235" t="n">
        <v>40</v>
      </c>
      <c r="I293" s="235" t="n"/>
      <c r="J293" s="235" t="n"/>
      <c r="K293" s="235" t="n"/>
      <c r="L293" s="235" t="n"/>
      <c r="M293" s="235" t="n"/>
      <c r="N293" s="235" t="inlineStr">
        <is>
          <t>SIM</t>
        </is>
      </c>
      <c r="O293" s="235" t="inlineStr">
        <is>
          <t>SIM</t>
        </is>
      </c>
      <c r="P293" s="235" t="inlineStr">
        <is>
          <t>SIM</t>
        </is>
      </c>
      <c r="Q293" s="235" t="inlineStr">
        <is>
          <t>ATEND. CLIENTES ATIVOS</t>
        </is>
      </c>
      <c r="R293" s="235" t="inlineStr">
        <is>
          <t>VENDA / PEDIDO</t>
        </is>
      </c>
      <c r="S293" s="235" t="n"/>
      <c r="T293" s="235" t="n"/>
      <c r="U293" s="235" t="n"/>
      <c r="V293" s="235" t="n"/>
      <c r="W293" s="235" t="inlineStr">
        <is>
          <t>NÃO</t>
        </is>
      </c>
      <c r="X293" s="235" t="n"/>
    </row>
    <row r="294">
      <c r="A294" s="391" t="n">
        <v>46057</v>
      </c>
      <c r="B294" s="235" t="inlineStr">
        <is>
          <t>MANU DITZEL</t>
        </is>
      </c>
      <c r="C294" s="235" t="inlineStr">
        <is>
          <t>VERDE VIDA 71</t>
        </is>
      </c>
      <c r="D294" s="235" t="inlineStr">
        <is>
          <t>61.616.445/2592-78</t>
        </is>
      </c>
      <c r="E294" s="235" t="inlineStr">
        <is>
          <t>CE</t>
        </is>
      </c>
      <c r="F294" s="235" t="inlineStr">
        <is>
          <t>FIT LAND</t>
        </is>
      </c>
      <c r="G294" s="235" t="inlineStr">
        <is>
          <t>EM RISCO</t>
        </is>
      </c>
      <c r="H294" s="235" t="n">
        <v>56</v>
      </c>
      <c r="I294" s="235" t="n"/>
      <c r="J294" s="235" t="n"/>
      <c r="K294" s="235" t="n"/>
      <c r="L294" s="235" t="n"/>
      <c r="M294" s="235" t="n"/>
      <c r="N294" s="235" t="inlineStr">
        <is>
          <t>NÃO</t>
        </is>
      </c>
      <c r="O294" s="235" t="inlineStr">
        <is>
          <t>SIM</t>
        </is>
      </c>
      <c r="P294" s="235" t="inlineStr">
        <is>
          <t>NÃO</t>
        </is>
      </c>
      <c r="Q294" s="235" t="inlineStr">
        <is>
          <t>ATEND. CLIENTES ATIVOS</t>
        </is>
      </c>
      <c r="R294" s="235" t="inlineStr">
        <is>
          <t>NÃO ATENDE</t>
        </is>
      </c>
      <c r="S294" s="235" t="inlineStr">
        <is>
          <t>FECHANDO / FECHOU LOJA</t>
        </is>
      </c>
      <c r="T294" s="235" t="n"/>
      <c r="U294" s="235" t="n"/>
      <c r="V294" s="235" t="n"/>
      <c r="W294" s="235" t="inlineStr">
        <is>
          <t>SIM</t>
        </is>
      </c>
      <c r="X294" s="235" t="n"/>
    </row>
    <row r="295">
      <c r="A295" s="391" t="n">
        <v>46061</v>
      </c>
      <c r="B295" s="235" t="inlineStr">
        <is>
          <t>LARISSA PADILHA</t>
        </is>
      </c>
      <c r="C295" s="235" t="inlineStr">
        <is>
          <t>DIVINA TERRA RJ 49</t>
        </is>
      </c>
      <c r="D295" s="235" t="inlineStr">
        <is>
          <t>80.862.360/5899-67</t>
        </is>
      </c>
      <c r="E295" s="235" t="inlineStr">
        <is>
          <t>RS</t>
        </is>
      </c>
      <c r="F295" s="235" t="inlineStr">
        <is>
          <t>FIT LAND</t>
        </is>
      </c>
      <c r="G295" s="235" t="inlineStr">
        <is>
          <t>INAT.ANT</t>
        </is>
      </c>
      <c r="H295" s="235" t="n">
        <v>163</v>
      </c>
      <c r="I295" s="235" t="n"/>
      <c r="J295" s="235" t="n"/>
      <c r="K295" s="235" t="n"/>
      <c r="L295" s="235" t="n"/>
      <c r="M295" s="235" t="n"/>
      <c r="N295" s="235" t="inlineStr">
        <is>
          <t>NÃO</t>
        </is>
      </c>
      <c r="O295" s="235" t="inlineStr">
        <is>
          <t>SIM</t>
        </is>
      </c>
      <c r="P295" s="235" t="inlineStr">
        <is>
          <t>SIM</t>
        </is>
      </c>
      <c r="Q295" s="235" t="inlineStr">
        <is>
          <t>ATEND. CLIENTES ATIVOS</t>
        </is>
      </c>
      <c r="R295" s="235" t="inlineStr">
        <is>
          <t>RELACIONAMENTO</t>
        </is>
      </c>
      <c r="S295" s="235" t="n"/>
      <c r="T295" s="235" t="n"/>
      <c r="U295" s="235" t="n"/>
      <c r="V295" s="235" t="n"/>
      <c r="W295" s="235" t="inlineStr">
        <is>
          <t>SIM</t>
        </is>
      </c>
      <c r="X295" s="235" t="n"/>
    </row>
    <row r="296">
      <c r="A296" s="391" t="n">
        <v>46081</v>
      </c>
      <c r="B296" s="235" t="inlineStr">
        <is>
          <t>MANU DITZEL</t>
        </is>
      </c>
      <c r="C296" s="235" t="inlineStr">
        <is>
          <t>NATUR LIFE 71</t>
        </is>
      </c>
      <c r="D296" s="235" t="inlineStr">
        <is>
          <t>75.669.684/9366-29</t>
        </is>
      </c>
      <c r="E296" s="235" t="inlineStr">
        <is>
          <t>PR</t>
        </is>
      </c>
      <c r="F296" s="235" t="inlineStr">
        <is>
          <t>DIVINA TERRA</t>
        </is>
      </c>
      <c r="G296" s="235" t="inlineStr">
        <is>
          <t>ATIVO</t>
        </is>
      </c>
      <c r="H296" s="235" t="n">
        <v>21</v>
      </c>
      <c r="I296" s="235" t="n"/>
      <c r="J296" s="235" t="n"/>
      <c r="K296" s="235" t="n"/>
      <c r="L296" s="235" t="n"/>
      <c r="M296" s="235" t="n"/>
      <c r="N296" s="235" t="inlineStr">
        <is>
          <t>SIM</t>
        </is>
      </c>
      <c r="O296" s="235" t="inlineStr">
        <is>
          <t>NÃO</t>
        </is>
      </c>
      <c r="P296" s="235" t="inlineStr">
        <is>
          <t>N/A</t>
        </is>
      </c>
      <c r="Q296" s="235" t="inlineStr">
        <is>
          <t>FOLLOW UP</t>
        </is>
      </c>
      <c r="R296" s="235" t="inlineStr">
        <is>
          <t>FOLLOW UP 7</t>
        </is>
      </c>
      <c r="S296" s="235" t="inlineStr">
        <is>
          <t>AINDA TEM ESTOQUE</t>
        </is>
      </c>
      <c r="T296" s="235" t="n"/>
      <c r="U296" s="235" t="n"/>
      <c r="V296" s="235" t="n"/>
      <c r="W296" s="235" t="inlineStr">
        <is>
          <t>SIM</t>
        </is>
      </c>
      <c r="X296" s="235" t="n"/>
    </row>
    <row r="297">
      <c r="A297" s="391" t="n">
        <v>46060</v>
      </c>
      <c r="B297" s="235" t="inlineStr">
        <is>
          <t>JULIO GADRET</t>
        </is>
      </c>
      <c r="C297" s="235" t="inlineStr">
        <is>
          <t>BIO GRÃOS 62</t>
        </is>
      </c>
      <c r="D297" s="235" t="inlineStr">
        <is>
          <t>32.599.945/9441-22</t>
        </is>
      </c>
      <c r="E297" s="235" t="inlineStr">
        <is>
          <t>SP</t>
        </is>
      </c>
      <c r="F297" s="235" t="inlineStr">
        <is>
          <t>CIA DA SAUDE</t>
        </is>
      </c>
      <c r="G297" s="235" t="inlineStr">
        <is>
          <t>INAT.ANT</t>
        </is>
      </c>
      <c r="H297" s="235" t="n">
        <v>238</v>
      </c>
      <c r="I297" s="235" t="n"/>
      <c r="J297" s="235" t="n"/>
      <c r="K297" s="235" t="n"/>
      <c r="L297" s="235" t="n"/>
      <c r="M297" s="235" t="n"/>
      <c r="N297" s="235" t="inlineStr">
        <is>
          <t>NÃO</t>
        </is>
      </c>
      <c r="O297" s="235" t="inlineStr">
        <is>
          <t>SIM</t>
        </is>
      </c>
      <c r="P297" s="235" t="inlineStr">
        <is>
          <t>NÃO</t>
        </is>
      </c>
      <c r="Q297" s="235" t="inlineStr">
        <is>
          <t>ATEND. CLIENTES ATIVOS</t>
        </is>
      </c>
      <c r="R297" s="235" t="inlineStr">
        <is>
          <t>SUPORTE</t>
        </is>
      </c>
      <c r="S297" s="235" t="n"/>
      <c r="T297" s="235" t="n"/>
      <c r="U297" s="235" t="n"/>
      <c r="V297" s="235" t="n"/>
      <c r="W297" s="235" t="inlineStr">
        <is>
          <t>SIM</t>
        </is>
      </c>
      <c r="X297" s="235" t="n"/>
    </row>
    <row r="298">
      <c r="A298" s="391" t="n">
        <v>46081</v>
      </c>
      <c r="B298" s="235" t="inlineStr">
        <is>
          <t>MANU DITZEL</t>
        </is>
      </c>
      <c r="C298" s="235" t="inlineStr">
        <is>
          <t>FITLAND PR 96</t>
        </is>
      </c>
      <c r="D298" s="235" t="inlineStr">
        <is>
          <t>93.969.716/0188-91</t>
        </is>
      </c>
      <c r="E298" s="235" t="inlineStr">
        <is>
          <t>RJ</t>
        </is>
      </c>
      <c r="F298" s="235" t="inlineStr">
        <is>
          <t>FIT LAND</t>
        </is>
      </c>
      <c r="G298" s="235" t="inlineStr">
        <is>
          <t>ATIVO</t>
        </is>
      </c>
      <c r="H298" s="235" t="n">
        <v>7</v>
      </c>
      <c r="I298" s="235" t="n"/>
      <c r="J298" s="235" t="n"/>
      <c r="K298" s="235" t="n"/>
      <c r="L298" s="235" t="n"/>
      <c r="M298" s="235" t="n"/>
      <c r="N298" s="235" t="inlineStr">
        <is>
          <t>SIM</t>
        </is>
      </c>
      <c r="O298" s="235" t="inlineStr">
        <is>
          <t>NÃO</t>
        </is>
      </c>
      <c r="P298" s="235" t="inlineStr">
        <is>
          <t>N/A</t>
        </is>
      </c>
      <c r="Q298" s="235" t="inlineStr">
        <is>
          <t>FOLLOW UP</t>
        </is>
      </c>
      <c r="R298" s="235" t="inlineStr">
        <is>
          <t>FOLLOW UP 7</t>
        </is>
      </c>
      <c r="S298" s="235" t="inlineStr">
        <is>
          <t>AINDA TEM ESTOQUE</t>
        </is>
      </c>
      <c r="T298" s="235" t="n"/>
      <c r="U298" s="235" t="n"/>
      <c r="V298" s="235" t="n"/>
      <c r="W298" s="235" t="inlineStr">
        <is>
          <t>NÃO</t>
        </is>
      </c>
      <c r="X298" s="235" t="n"/>
    </row>
    <row r="299">
      <c r="A299" s="391" t="n">
        <v>46066</v>
      </c>
      <c r="B299" s="235" t="inlineStr">
        <is>
          <t>DAIANE STAVICKI</t>
        </is>
      </c>
      <c r="C299" s="235" t="inlineStr">
        <is>
          <t>MUNDO BIO 74</t>
        </is>
      </c>
      <c r="D299" s="235" t="inlineStr">
        <is>
          <t>74.192.327/7077-47</t>
        </is>
      </c>
      <c r="E299" s="235" t="inlineStr">
        <is>
          <t>MG</t>
        </is>
      </c>
      <c r="F299" s="235" t="inlineStr">
        <is>
          <t>MUNDO VERDE</t>
        </is>
      </c>
      <c r="G299" s="235" t="inlineStr">
        <is>
          <t>ATIVO</t>
        </is>
      </c>
      <c r="H299" s="235" t="n">
        <v>35</v>
      </c>
      <c r="I299" s="235" t="n"/>
      <c r="J299" s="235" t="n"/>
      <c r="K299" s="235" t="n"/>
      <c r="L299" s="235" t="n"/>
      <c r="M299" s="235" t="n"/>
      <c r="N299" s="235" t="inlineStr">
        <is>
          <t>SIM</t>
        </is>
      </c>
      <c r="O299" s="235" t="inlineStr">
        <is>
          <t>SIM</t>
        </is>
      </c>
      <c r="P299" s="235" t="inlineStr">
        <is>
          <t>SIM</t>
        </is>
      </c>
      <c r="Q299" s="235" t="inlineStr">
        <is>
          <t>ATEND. CLIENTES ATIVOS</t>
        </is>
      </c>
      <c r="R299" s="235" t="inlineStr">
        <is>
          <t>VENDA / PEDIDO</t>
        </is>
      </c>
      <c r="S299" s="235" t="n"/>
      <c r="T299" s="235" t="n"/>
      <c r="U299" s="235" t="n"/>
      <c r="V299" s="235" t="n"/>
      <c r="W299" s="235" t="inlineStr">
        <is>
          <t>NÃO</t>
        </is>
      </c>
      <c r="X299" s="235" t="n"/>
    </row>
    <row r="300">
      <c r="A300" s="391" t="n">
        <v>46058</v>
      </c>
      <c r="B300" s="235" t="inlineStr">
        <is>
          <t>DAIANE STAVICKI</t>
        </is>
      </c>
      <c r="C300" s="235" t="inlineStr">
        <is>
          <t>FEIRA VERDE 72</t>
        </is>
      </c>
      <c r="D300" s="235" t="inlineStr">
        <is>
          <t>35.599.504/9361-35</t>
        </is>
      </c>
      <c r="E300" s="235" t="inlineStr">
        <is>
          <t>SP</t>
        </is>
      </c>
      <c r="F300" s="235" t="inlineStr">
        <is>
          <t>DEMAIS CLIENTES</t>
        </is>
      </c>
      <c r="G300" s="235" t="inlineStr">
        <is>
          <t>INAT.REC</t>
        </is>
      </c>
      <c r="H300" s="235" t="n">
        <v>68</v>
      </c>
      <c r="I300" s="235" t="n"/>
      <c r="J300" s="235" t="n"/>
      <c r="K300" s="235" t="n"/>
      <c r="L300" s="235" t="n"/>
      <c r="M300" s="235" t="n"/>
      <c r="N300" s="235" t="inlineStr">
        <is>
          <t>SIM</t>
        </is>
      </c>
      <c r="O300" s="235" t="inlineStr">
        <is>
          <t>NÃO</t>
        </is>
      </c>
      <c r="P300" s="235" t="inlineStr">
        <is>
          <t>N/A</t>
        </is>
      </c>
      <c r="Q300" s="235" t="inlineStr">
        <is>
          <t>PROSPECÇÃO</t>
        </is>
      </c>
      <c r="R300" s="235" t="inlineStr">
        <is>
          <t>NÃO RESPONDE</t>
        </is>
      </c>
      <c r="S300" s="235" t="inlineStr">
        <is>
          <t>AINDA TEM ESTOQUE</t>
        </is>
      </c>
      <c r="T300" s="235" t="n"/>
      <c r="U300" s="235" t="n"/>
      <c r="V300" s="235" t="n"/>
      <c r="W300" s="235" t="inlineStr">
        <is>
          <t>NÃO</t>
        </is>
      </c>
      <c r="X300" s="235" t="n"/>
    </row>
    <row r="301">
      <c r="A301" s="391" t="n">
        <v>46067</v>
      </c>
      <c r="B301" s="235" t="inlineStr">
        <is>
          <t>LARISSA PADILHA</t>
        </is>
      </c>
      <c r="C301" s="235" t="inlineStr">
        <is>
          <t>CIA SAUDE SP 42</t>
        </is>
      </c>
      <c r="D301" s="235" t="inlineStr">
        <is>
          <t>54.708.771/0397-49</t>
        </is>
      </c>
      <c r="E301" s="235" t="inlineStr">
        <is>
          <t>PR</t>
        </is>
      </c>
      <c r="F301" s="235" t="inlineStr">
        <is>
          <t>CIA DA SAUDE</t>
        </is>
      </c>
      <c r="G301" s="235" t="inlineStr">
        <is>
          <t>NOVO</t>
        </is>
      </c>
      <c r="H301" s="235" t="inlineStr"/>
      <c r="I301" s="235" t="n"/>
      <c r="J301" s="235" t="n"/>
      <c r="K301" s="235" t="n"/>
      <c r="L301" s="235" t="n"/>
      <c r="M301" s="235" t="n"/>
      <c r="N301" s="235" t="inlineStr">
        <is>
          <t>SIM</t>
        </is>
      </c>
      <c r="O301" s="235" t="inlineStr">
        <is>
          <t>NÃO</t>
        </is>
      </c>
      <c r="P301" s="235" t="inlineStr">
        <is>
          <t>N/A</t>
        </is>
      </c>
      <c r="Q301" s="235" t="inlineStr">
        <is>
          <t>PÓS-VENDA / RELACIONAMENTO</t>
        </is>
      </c>
      <c r="R301" s="235" t="inlineStr">
        <is>
          <t>SUPORTE</t>
        </is>
      </c>
      <c r="S301" s="235" t="n"/>
      <c r="T301" s="235" t="n"/>
      <c r="U301" s="235" t="n"/>
      <c r="V301" s="235" t="n"/>
      <c r="W301" s="235" t="inlineStr">
        <is>
          <t>SIM</t>
        </is>
      </c>
      <c r="X301" s="235" t="n"/>
    </row>
    <row r="302">
      <c r="A302" s="391" t="n">
        <v>46075</v>
      </c>
      <c r="B302" s="235" t="inlineStr">
        <is>
          <t>LARISSA PADILHA</t>
        </is>
      </c>
      <c r="C302" s="235" t="inlineStr">
        <is>
          <t>GRÃO DE OURO 15</t>
        </is>
      </c>
      <c r="D302" s="235" t="inlineStr">
        <is>
          <t>16.348.735/2420-46</t>
        </is>
      </c>
      <c r="E302" s="235" t="inlineStr">
        <is>
          <t>PR</t>
        </is>
      </c>
      <c r="F302" s="235" t="inlineStr">
        <is>
          <t>TUDO EM GRAOS</t>
        </is>
      </c>
      <c r="G302" s="235" t="inlineStr">
        <is>
          <t>ATIVO</t>
        </is>
      </c>
      <c r="H302" s="235" t="n">
        <v>33</v>
      </c>
      <c r="I302" s="235" t="n"/>
      <c r="J302" s="235" t="n"/>
      <c r="K302" s="235" t="n"/>
      <c r="L302" s="235" t="n"/>
      <c r="M302" s="235" t="n"/>
      <c r="N302" s="235" t="inlineStr">
        <is>
          <t>NÃO</t>
        </is>
      </c>
      <c r="O302" s="235" t="inlineStr">
        <is>
          <t>SIM</t>
        </is>
      </c>
      <c r="P302" s="235" t="inlineStr">
        <is>
          <t>SIM</t>
        </is>
      </c>
      <c r="Q302" s="235" t="inlineStr">
        <is>
          <t>ATEND. CLIENTES ATIVOS</t>
        </is>
      </c>
      <c r="R302" s="235" t="inlineStr">
        <is>
          <t>ORÇAMENTO</t>
        </is>
      </c>
      <c r="S302" s="235" t="n"/>
      <c r="T302" s="235" t="n"/>
      <c r="U302" s="235" t="n"/>
      <c r="V302" s="235" t="n"/>
      <c r="W302" s="235" t="inlineStr">
        <is>
          <t>NÃO</t>
        </is>
      </c>
      <c r="X302" s="235" t="n"/>
    </row>
    <row r="303">
      <c r="A303" s="391" t="n">
        <v>46071</v>
      </c>
      <c r="B303" s="235" t="inlineStr">
        <is>
          <t>LARISSA PADILHA</t>
        </is>
      </c>
      <c r="C303" s="235" t="inlineStr">
        <is>
          <t>SABOR NATURAL 89</t>
        </is>
      </c>
      <c r="D303" s="235" t="inlineStr">
        <is>
          <t>99.784.118/6171-84</t>
        </is>
      </c>
      <c r="E303" s="235" t="inlineStr">
        <is>
          <t>GO</t>
        </is>
      </c>
      <c r="F303" s="235" t="inlineStr">
        <is>
          <t>DIVINA TERRA</t>
        </is>
      </c>
      <c r="G303" s="235" t="inlineStr">
        <is>
          <t>ATIVO</t>
        </is>
      </c>
      <c r="H303" s="235" t="n">
        <v>8</v>
      </c>
      <c r="I303" s="235" t="n"/>
      <c r="J303" s="235" t="n"/>
      <c r="K303" s="235" t="n"/>
      <c r="L303" s="235" t="n"/>
      <c r="M303" s="235" t="n"/>
      <c r="N303" s="235" t="inlineStr">
        <is>
          <t>SIM</t>
        </is>
      </c>
      <c r="O303" s="235" t="inlineStr">
        <is>
          <t>SIM</t>
        </is>
      </c>
      <c r="P303" s="235" t="inlineStr">
        <is>
          <t>NÃO</t>
        </is>
      </c>
      <c r="Q303" s="235" t="inlineStr">
        <is>
          <t>FOLLOW UP</t>
        </is>
      </c>
      <c r="R303" s="235" t="inlineStr">
        <is>
          <t>NÃO ATENDE</t>
        </is>
      </c>
      <c r="S303" s="235" t="inlineStr">
        <is>
          <t>AINDA TEM ESTOQUE</t>
        </is>
      </c>
      <c r="T303" s="235" t="n"/>
      <c r="U303" s="235" t="n"/>
      <c r="V303" s="235" t="n"/>
      <c r="W303" s="235" t="inlineStr">
        <is>
          <t>SIM</t>
        </is>
      </c>
      <c r="X303" s="235" t="n"/>
    </row>
    <row r="304">
      <c r="A304" s="391" t="n">
        <v>46062</v>
      </c>
      <c r="B304" s="235" t="inlineStr">
        <is>
          <t>JULIO GADRET</t>
        </is>
      </c>
      <c r="C304" s="235" t="inlineStr">
        <is>
          <t>GRANEL &amp; CIA 14</t>
        </is>
      </c>
      <c r="D304" s="235" t="inlineStr">
        <is>
          <t>12.399.988/6333-39</t>
        </is>
      </c>
      <c r="E304" s="235" t="inlineStr">
        <is>
          <t>CE</t>
        </is>
      </c>
      <c r="F304" s="235" t="inlineStr">
        <is>
          <t>DIVINA TERRA</t>
        </is>
      </c>
      <c r="G304" s="235" t="inlineStr">
        <is>
          <t>INAT.ANT</t>
        </is>
      </c>
      <c r="H304" s="235" t="n">
        <v>171</v>
      </c>
      <c r="I304" s="235" t="n"/>
      <c r="J304" s="235" t="n"/>
      <c r="K304" s="235" t="n"/>
      <c r="L304" s="235" t="n"/>
      <c r="M304" s="235" t="n"/>
      <c r="N304" s="235" t="inlineStr">
        <is>
          <t>SIM</t>
        </is>
      </c>
      <c r="O304" s="235" t="inlineStr">
        <is>
          <t>SIM</t>
        </is>
      </c>
      <c r="P304" s="235" t="inlineStr">
        <is>
          <t>NÃO</t>
        </is>
      </c>
      <c r="Q304" s="235" t="inlineStr">
        <is>
          <t>ATEND. CLIENTES ATIVOS</t>
        </is>
      </c>
      <c r="R304" s="235" t="inlineStr">
        <is>
          <t>FOLLOW UP 7</t>
        </is>
      </c>
      <c r="S304" s="235" t="inlineStr">
        <is>
          <t>PROBLEMA LOGÍSTICO / ENTREGA</t>
        </is>
      </c>
      <c r="T304" s="235" t="n"/>
      <c r="U304" s="235" t="n"/>
      <c r="V304" s="235" t="n"/>
      <c r="W304" s="235" t="inlineStr">
        <is>
          <t>NÃO</t>
        </is>
      </c>
      <c r="X304" s="235" t="n"/>
    </row>
    <row r="305">
      <c r="A305" s="391" t="n">
        <v>46055</v>
      </c>
      <c r="B305" s="235" t="inlineStr">
        <is>
          <t>MANU DITZEL</t>
        </is>
      </c>
      <c r="C305" s="235" t="inlineStr">
        <is>
          <t>LOJA NATURAL 40</t>
        </is>
      </c>
      <c r="D305" s="235" t="inlineStr">
        <is>
          <t>52.601.502/2573-12</t>
        </is>
      </c>
      <c r="E305" s="235" t="inlineStr">
        <is>
          <t>SC</t>
        </is>
      </c>
      <c r="F305" s="235" t="inlineStr">
        <is>
          <t>CIA DA SAUDE</t>
        </is>
      </c>
      <c r="G305" s="235" t="inlineStr">
        <is>
          <t>INAT.ANT</t>
        </is>
      </c>
      <c r="H305" s="235" t="n">
        <v>151</v>
      </c>
      <c r="I305" s="235" t="n"/>
      <c r="J305" s="235" t="n"/>
      <c r="K305" s="235" t="n"/>
      <c r="L305" s="235" t="n"/>
      <c r="M305" s="235" t="n"/>
      <c r="N305" s="235" t="inlineStr">
        <is>
          <t>SIM</t>
        </is>
      </c>
      <c r="O305" s="235" t="inlineStr">
        <is>
          <t>SIM</t>
        </is>
      </c>
      <c r="P305" s="235" t="inlineStr">
        <is>
          <t>SIM</t>
        </is>
      </c>
      <c r="Q305" s="235" t="inlineStr">
        <is>
          <t>PERDA / NUTRIÇÃO</t>
        </is>
      </c>
      <c r="R305" s="235" t="inlineStr">
        <is>
          <t>SUPORTE</t>
        </is>
      </c>
      <c r="S305" s="235" t="n"/>
      <c r="T305" s="235" t="n"/>
      <c r="U305" s="235" t="n"/>
      <c r="V305" s="235" t="n"/>
      <c r="W305" s="235" t="inlineStr">
        <is>
          <t>SIM</t>
        </is>
      </c>
      <c r="X305" s="235" t="n"/>
    </row>
    <row r="306">
      <c r="A306" s="391" t="n">
        <v>46080</v>
      </c>
      <c r="B306" s="235" t="inlineStr">
        <is>
          <t>DAIANE STAVICKI</t>
        </is>
      </c>
      <c r="C306" s="235" t="inlineStr">
        <is>
          <t>ESSENCE FOOD 36</t>
        </is>
      </c>
      <c r="D306" s="235" t="inlineStr">
        <is>
          <t>38.255.449/6437-94</t>
        </is>
      </c>
      <c r="E306" s="235" t="inlineStr">
        <is>
          <t>PR</t>
        </is>
      </c>
      <c r="F306" s="235" t="inlineStr">
        <is>
          <t>DEMAIS CLIENTES</t>
        </is>
      </c>
      <c r="G306" s="235" t="inlineStr">
        <is>
          <t>INAT.REC</t>
        </is>
      </c>
      <c r="H306" s="235" t="n">
        <v>82</v>
      </c>
      <c r="I306" s="235" t="n"/>
      <c r="J306" s="235" t="n"/>
      <c r="K306" s="235" t="n"/>
      <c r="L306" s="235" t="n"/>
      <c r="M306" s="235" t="n"/>
      <c r="N306" s="235" t="inlineStr">
        <is>
          <t>SIM</t>
        </is>
      </c>
      <c r="O306" s="235" t="inlineStr">
        <is>
          <t>SIM</t>
        </is>
      </c>
      <c r="P306" s="235" t="inlineStr">
        <is>
          <t>SIM</t>
        </is>
      </c>
      <c r="Q306" s="235" t="inlineStr">
        <is>
          <t>ATEND. CLIENTES ATIVOS</t>
        </is>
      </c>
      <c r="R306" s="235" t="inlineStr">
        <is>
          <t>FOLLOW UP 7</t>
        </is>
      </c>
      <c r="S306" s="235" t="inlineStr">
        <is>
          <t>PRIMEIRO CONTATO / SEM RESPOSTA</t>
        </is>
      </c>
      <c r="T306" s="235" t="n"/>
      <c r="U306" s="235" t="n"/>
      <c r="V306" s="235" t="n"/>
      <c r="W306" s="235" t="inlineStr">
        <is>
          <t>NÃO</t>
        </is>
      </c>
      <c r="X306" s="235" t="n"/>
    </row>
    <row r="307">
      <c r="A307" s="391" t="n">
        <v>46064</v>
      </c>
      <c r="B307" s="235" t="inlineStr">
        <is>
          <t>LARISSA PADILHA</t>
        </is>
      </c>
      <c r="C307" s="235" t="inlineStr">
        <is>
          <t>FIT STORE 27</t>
        </is>
      </c>
      <c r="D307" s="235" t="inlineStr">
        <is>
          <t>93.241.694/8870-97</t>
        </is>
      </c>
      <c r="E307" s="235" t="inlineStr">
        <is>
          <t>MG</t>
        </is>
      </c>
      <c r="F307" s="235" t="inlineStr">
        <is>
          <t>DEMAIS CLIENTES</t>
        </is>
      </c>
      <c r="G307" s="235" t="inlineStr">
        <is>
          <t>ATIVO</t>
        </is>
      </c>
      <c r="H307" s="235" t="n">
        <v>50</v>
      </c>
      <c r="I307" s="235" t="n"/>
      <c r="J307" s="235" t="n"/>
      <c r="K307" s="235" t="n"/>
      <c r="L307" s="235" t="n"/>
      <c r="M307" s="235" t="n"/>
      <c r="N307" s="235" t="inlineStr">
        <is>
          <t>SIM</t>
        </is>
      </c>
      <c r="O307" s="235" t="inlineStr">
        <is>
          <t>NÃO</t>
        </is>
      </c>
      <c r="P307" s="235" t="inlineStr">
        <is>
          <t>N/A</t>
        </is>
      </c>
      <c r="Q307" s="235" t="inlineStr">
        <is>
          <t>PÓS-VENDA / RELACIONAMENTO</t>
        </is>
      </c>
      <c r="R307" s="235" t="inlineStr">
        <is>
          <t>NÃO RESPONDE</t>
        </is>
      </c>
      <c r="S307" s="235" t="inlineStr">
        <is>
          <t>PROPRIETARIO / INDISPONÍVEL</t>
        </is>
      </c>
      <c r="T307" s="235" t="n"/>
      <c r="U307" s="235" t="n"/>
      <c r="V307" s="235" t="n"/>
      <c r="W307" s="235" t="inlineStr">
        <is>
          <t>NÃO</t>
        </is>
      </c>
      <c r="X307" s="235" t="n"/>
    </row>
    <row r="308">
      <c r="A308" s="391" t="n">
        <v>46072</v>
      </c>
      <c r="B308" s="235" t="inlineStr">
        <is>
          <t>DAIANE STAVICKI</t>
        </is>
      </c>
      <c r="C308" s="235" t="inlineStr">
        <is>
          <t>BIO GRÃOS 09</t>
        </is>
      </c>
      <c r="D308" s="235" t="inlineStr">
        <is>
          <t>81.645.836/1940-33</t>
        </is>
      </c>
      <c r="E308" s="235" t="inlineStr">
        <is>
          <t>SC</t>
        </is>
      </c>
      <c r="F308" s="235" t="inlineStr">
        <is>
          <t>DEMAIS CLIENTES</t>
        </is>
      </c>
      <c r="G308" s="235" t="inlineStr">
        <is>
          <t>INAT.ANT</t>
        </is>
      </c>
      <c r="H308" s="235" t="n">
        <v>286</v>
      </c>
      <c r="I308" s="235" t="n"/>
      <c r="J308" s="235" t="n"/>
      <c r="K308" s="235" t="n"/>
      <c r="L308" s="235" t="n"/>
      <c r="M308" s="235" t="n"/>
      <c r="N308" s="235" t="inlineStr">
        <is>
          <t>NÃO</t>
        </is>
      </c>
      <c r="O308" s="235" t="inlineStr">
        <is>
          <t>SIM</t>
        </is>
      </c>
      <c r="P308" s="235" t="inlineStr">
        <is>
          <t>NÃO</t>
        </is>
      </c>
      <c r="Q308" s="235" t="inlineStr">
        <is>
          <t>FOLLOW UP</t>
        </is>
      </c>
      <c r="R308" s="235" t="inlineStr">
        <is>
          <t>SUPORTE</t>
        </is>
      </c>
      <c r="S308" s="235" t="n"/>
      <c r="T308" s="235" t="n"/>
      <c r="U308" s="235" t="n"/>
      <c r="V308" s="235" t="n"/>
      <c r="W308" s="235" t="inlineStr">
        <is>
          <t>NÃO</t>
        </is>
      </c>
      <c r="X308" s="235" t="n"/>
    </row>
    <row r="309">
      <c r="A309" s="391" t="n">
        <v>46074</v>
      </c>
      <c r="B309" s="235" t="inlineStr">
        <is>
          <t>DAIANE STAVICKI</t>
        </is>
      </c>
      <c r="C309" s="235" t="inlineStr">
        <is>
          <t>NATUR LIFE 20</t>
        </is>
      </c>
      <c r="D309" s="235" t="inlineStr">
        <is>
          <t>34.209.234/3027-13</t>
        </is>
      </c>
      <c r="E309" s="235" t="inlineStr">
        <is>
          <t>RJ</t>
        </is>
      </c>
      <c r="F309" s="235" t="inlineStr">
        <is>
          <t>VIDA LEVE</t>
        </is>
      </c>
      <c r="G309" s="235" t="inlineStr">
        <is>
          <t>ATIVO</t>
        </is>
      </c>
      <c r="H309" s="235" t="n">
        <v>41</v>
      </c>
      <c r="I309" s="235" t="n"/>
      <c r="J309" s="235" t="n"/>
      <c r="K309" s="235" t="n"/>
      <c r="L309" s="235" t="n"/>
      <c r="M309" s="235" t="n"/>
      <c r="N309" s="235" t="inlineStr">
        <is>
          <t>SIM</t>
        </is>
      </c>
      <c r="O309" s="235" t="inlineStr">
        <is>
          <t>SIM</t>
        </is>
      </c>
      <c r="P309" s="235" t="inlineStr">
        <is>
          <t>SIM</t>
        </is>
      </c>
      <c r="Q309" s="235" t="inlineStr">
        <is>
          <t>ATEND. CLIENTES ATIVOS</t>
        </is>
      </c>
      <c r="R309" s="235" t="inlineStr">
        <is>
          <t>FOLLOW UP 7</t>
        </is>
      </c>
      <c r="S309" s="235" t="inlineStr">
        <is>
          <t>PROPRIETARIO / INDISPONÍVEL</t>
        </is>
      </c>
      <c r="T309" s="235" t="n"/>
      <c r="U309" s="235" t="n"/>
      <c r="V309" s="235" t="n"/>
      <c r="W309" s="235" t="inlineStr">
        <is>
          <t>SIM</t>
        </is>
      </c>
      <c r="X309" s="235" t="n"/>
    </row>
    <row r="310">
      <c r="A310" s="391" t="n">
        <v>46081</v>
      </c>
      <c r="B310" s="235" t="inlineStr">
        <is>
          <t>JULIO GADRET</t>
        </is>
      </c>
      <c r="C310" s="235" t="inlineStr">
        <is>
          <t>GRANEL &amp; CIA 24</t>
        </is>
      </c>
      <c r="D310" s="235" t="inlineStr">
        <is>
          <t>59.603.585/2254-30</t>
        </is>
      </c>
      <c r="E310" s="235" t="inlineStr">
        <is>
          <t>PR</t>
        </is>
      </c>
      <c r="F310" s="235" t="inlineStr">
        <is>
          <t>MUNDO VERDE</t>
        </is>
      </c>
      <c r="G310" s="235" t="inlineStr">
        <is>
          <t>INAT.ANT</t>
        </is>
      </c>
      <c r="H310" s="235" t="n">
        <v>94</v>
      </c>
      <c r="I310" s="235" t="n"/>
      <c r="J310" s="235" t="n"/>
      <c r="K310" s="235" t="n"/>
      <c r="L310" s="235" t="n"/>
      <c r="M310" s="235" t="n"/>
      <c r="N310" s="235" t="inlineStr">
        <is>
          <t>SIM</t>
        </is>
      </c>
      <c r="O310" s="235" t="inlineStr">
        <is>
          <t>NÃO</t>
        </is>
      </c>
      <c r="P310" s="235" t="inlineStr">
        <is>
          <t>N/A</t>
        </is>
      </c>
      <c r="Q310" s="235" t="inlineStr">
        <is>
          <t>PÓS-VENDA / RELACIONAMENTO</t>
        </is>
      </c>
      <c r="R310" s="235" t="inlineStr">
        <is>
          <t>ORÇAMENTO</t>
        </is>
      </c>
      <c r="S310" s="235" t="n"/>
      <c r="T310" s="235" t="n"/>
      <c r="U310" s="235" t="n"/>
      <c r="V310" s="235" t="n"/>
      <c r="W310" s="235" t="inlineStr">
        <is>
          <t>SIM</t>
        </is>
      </c>
      <c r="X310" s="235" t="n"/>
    </row>
    <row r="311">
      <c r="A311" s="391" t="n">
        <v>46060</v>
      </c>
      <c r="B311" s="235" t="inlineStr">
        <is>
          <t>MANU DITZEL</t>
        </is>
      </c>
      <c r="C311" s="235" t="inlineStr">
        <is>
          <t>EMPÓRIO BIO 79</t>
        </is>
      </c>
      <c r="D311" s="235" t="inlineStr">
        <is>
          <t>72.804.432/7497-41</t>
        </is>
      </c>
      <c r="E311" s="235" t="inlineStr">
        <is>
          <t>RS</t>
        </is>
      </c>
      <c r="F311" s="235" t="inlineStr">
        <is>
          <t>DEMAIS CLIENTES</t>
        </is>
      </c>
      <c r="G311" s="235" t="inlineStr">
        <is>
          <t>INAT.REC</t>
        </is>
      </c>
      <c r="H311" s="235" t="n">
        <v>87</v>
      </c>
      <c r="I311" s="235" t="n"/>
      <c r="J311" s="235" t="n"/>
      <c r="K311" s="235" t="n"/>
      <c r="L311" s="235" t="n"/>
      <c r="M311" s="235" t="n"/>
      <c r="N311" s="235" t="inlineStr">
        <is>
          <t>SIM</t>
        </is>
      </c>
      <c r="O311" s="235" t="inlineStr">
        <is>
          <t>NÃO</t>
        </is>
      </c>
      <c r="P311" s="235" t="inlineStr">
        <is>
          <t>N/A</t>
        </is>
      </c>
      <c r="Q311" s="235" t="inlineStr">
        <is>
          <t>ATEND. CLIENTES ATIVOS</t>
        </is>
      </c>
      <c r="R311" s="235" t="inlineStr">
        <is>
          <t>ORÇAMENTO</t>
        </is>
      </c>
      <c r="S311" s="235" t="n"/>
      <c r="T311" s="235" t="n"/>
      <c r="U311" s="235" t="n"/>
      <c r="V311" s="235" t="n"/>
      <c r="W311" s="235" t="inlineStr">
        <is>
          <t>SIM</t>
        </is>
      </c>
      <c r="X311" s="235" t="n"/>
    </row>
    <row r="312">
      <c r="A312" s="391" t="n">
        <v>46070</v>
      </c>
      <c r="B312" s="235" t="inlineStr">
        <is>
          <t>JULIO GADRET</t>
        </is>
      </c>
      <c r="C312" s="235" t="inlineStr">
        <is>
          <t>MUNDO VERDE CWB 67</t>
        </is>
      </c>
      <c r="D312" s="235" t="inlineStr">
        <is>
          <t>23.562.567/0695-41</t>
        </is>
      </c>
      <c r="E312" s="235" t="inlineStr">
        <is>
          <t>RS</t>
        </is>
      </c>
      <c r="F312" s="235" t="inlineStr">
        <is>
          <t>FIT LAND</t>
        </is>
      </c>
      <c r="G312" s="235" t="inlineStr">
        <is>
          <t>INAT.ANT</t>
        </is>
      </c>
      <c r="H312" s="235" t="n">
        <v>233</v>
      </c>
      <c r="I312" s="235" t="n"/>
      <c r="J312" s="235" t="n"/>
      <c r="K312" s="235" t="n"/>
      <c r="L312" s="235" t="n"/>
      <c r="M312" s="235" t="n"/>
      <c r="N312" s="235" t="inlineStr">
        <is>
          <t>NÃO</t>
        </is>
      </c>
      <c r="O312" s="235" t="inlineStr">
        <is>
          <t>SIM</t>
        </is>
      </c>
      <c r="P312" s="235" t="inlineStr">
        <is>
          <t>SIM</t>
        </is>
      </c>
      <c r="Q312" s="235" t="inlineStr">
        <is>
          <t>ATEND. CLIENTES ATIVOS</t>
        </is>
      </c>
      <c r="R312" s="235" t="inlineStr">
        <is>
          <t>SUPORTE</t>
        </is>
      </c>
      <c r="S312" s="235" t="n"/>
      <c r="T312" s="235" t="n"/>
      <c r="U312" s="235" t="n"/>
      <c r="V312" s="235" t="n"/>
      <c r="W312" s="235" t="inlineStr">
        <is>
          <t>NÃO</t>
        </is>
      </c>
      <c r="X312" s="235" t="n"/>
    </row>
    <row r="313">
      <c r="A313" s="391" t="n">
        <v>46078</v>
      </c>
      <c r="B313" s="235" t="inlineStr">
        <is>
          <t>DAIANE STAVICKI</t>
        </is>
      </c>
      <c r="C313" s="235" t="inlineStr">
        <is>
          <t>NATURAL HOUSE 22</t>
        </is>
      </c>
      <c r="D313" s="235" t="inlineStr">
        <is>
          <t>64.401.727/0894-98</t>
        </is>
      </c>
      <c r="E313" s="235" t="inlineStr">
        <is>
          <t>RS</t>
        </is>
      </c>
      <c r="F313" s="235" t="inlineStr">
        <is>
          <t>MUNDO VERDE</t>
        </is>
      </c>
      <c r="G313" s="235" t="inlineStr">
        <is>
          <t>NOVO</t>
        </is>
      </c>
      <c r="H313" s="235" t="inlineStr"/>
      <c r="I313" s="235" t="n"/>
      <c r="J313" s="235" t="n"/>
      <c r="K313" s="235" t="n"/>
      <c r="L313" s="235" t="n"/>
      <c r="M313" s="235" t="n"/>
      <c r="N313" s="235" t="inlineStr">
        <is>
          <t>SIM</t>
        </is>
      </c>
      <c r="O313" s="235" t="inlineStr">
        <is>
          <t>NÃO</t>
        </is>
      </c>
      <c r="P313" s="235" t="inlineStr">
        <is>
          <t>N/A</t>
        </is>
      </c>
      <c r="Q313" s="235" t="inlineStr">
        <is>
          <t>ATEND. CLIENTES ATIVOS</t>
        </is>
      </c>
      <c r="R313" s="235" t="inlineStr">
        <is>
          <t>SUPORTE</t>
        </is>
      </c>
      <c r="S313" s="235" t="n"/>
      <c r="T313" s="235" t="n"/>
      <c r="U313" s="235" t="n"/>
      <c r="V313" s="235" t="n"/>
      <c r="W313" s="235" t="inlineStr">
        <is>
          <t>NÃO</t>
        </is>
      </c>
      <c r="X313" s="235" t="n"/>
    </row>
    <row r="314">
      <c r="A314" s="391" t="n">
        <v>46076</v>
      </c>
      <c r="B314" s="235" t="inlineStr">
        <is>
          <t>LARISSA PADILHA</t>
        </is>
      </c>
      <c r="C314" s="235" t="inlineStr">
        <is>
          <t>TUDO GRÃOS SC 53</t>
        </is>
      </c>
      <c r="D314" s="235" t="inlineStr">
        <is>
          <t>51.561.125/2931-68</t>
        </is>
      </c>
      <c r="E314" s="235" t="inlineStr">
        <is>
          <t>SP</t>
        </is>
      </c>
      <c r="F314" s="235" t="inlineStr">
        <is>
          <t>DEMAIS CLIENTES</t>
        </is>
      </c>
      <c r="G314" s="235" t="inlineStr">
        <is>
          <t>ATIVO</t>
        </is>
      </c>
      <c r="H314" s="235" t="n">
        <v>34</v>
      </c>
      <c r="I314" s="235" t="n"/>
      <c r="J314" s="235" t="n"/>
      <c r="K314" s="235" t="n"/>
      <c r="L314" s="235" t="n"/>
      <c r="M314" s="235" t="n"/>
      <c r="N314" s="235" t="inlineStr">
        <is>
          <t>SIM</t>
        </is>
      </c>
      <c r="O314" s="235" t="inlineStr">
        <is>
          <t>NÃO</t>
        </is>
      </c>
      <c r="P314" s="235" t="inlineStr">
        <is>
          <t>N/A</t>
        </is>
      </c>
      <c r="Q314" s="235" t="inlineStr">
        <is>
          <t>PROSPECÇÃO</t>
        </is>
      </c>
      <c r="R314" s="235" t="inlineStr">
        <is>
          <t>ORÇAMENTO</t>
        </is>
      </c>
      <c r="S314" s="235" t="n"/>
      <c r="T314" s="235" t="n"/>
      <c r="U314" s="235" t="n"/>
      <c r="V314" s="235" t="n"/>
      <c r="W314" s="235" t="inlineStr">
        <is>
          <t>SIM</t>
        </is>
      </c>
      <c r="X314" s="235" t="n"/>
    </row>
    <row r="315">
      <c r="A315" s="391" t="n">
        <v>46077</v>
      </c>
      <c r="B315" s="235" t="inlineStr">
        <is>
          <t>MANU DITZEL</t>
        </is>
      </c>
      <c r="C315" s="235" t="inlineStr">
        <is>
          <t>CASA DO GRANEL 91</t>
        </is>
      </c>
      <c r="D315" s="235" t="inlineStr">
        <is>
          <t>67.749.471/1398-77</t>
        </is>
      </c>
      <c r="E315" s="235" t="inlineStr">
        <is>
          <t>RJ</t>
        </is>
      </c>
      <c r="F315" s="235" t="inlineStr">
        <is>
          <t>DEMAIS CLIENTES</t>
        </is>
      </c>
      <c r="G315" s="235" t="inlineStr">
        <is>
          <t>PROSPECT</t>
        </is>
      </c>
      <c r="H315" s="235" t="inlineStr"/>
      <c r="I315" s="235" t="n"/>
      <c r="J315" s="235" t="n"/>
      <c r="K315" s="235" t="n"/>
      <c r="L315" s="235" t="n"/>
      <c r="M315" s="235" t="n"/>
      <c r="N315" s="235" t="inlineStr">
        <is>
          <t>SIM</t>
        </is>
      </c>
      <c r="O315" s="235" t="inlineStr">
        <is>
          <t>SIM</t>
        </is>
      </c>
      <c r="P315" s="235" t="inlineStr">
        <is>
          <t>SIM</t>
        </is>
      </c>
      <c r="Q315" s="235" t="inlineStr">
        <is>
          <t>ATEND. CLIENTES ATIVOS</t>
        </is>
      </c>
      <c r="R315" s="235" t="inlineStr">
        <is>
          <t>VENDA / PEDIDO</t>
        </is>
      </c>
      <c r="S315" s="235" t="n"/>
      <c r="T315" s="235" t="n"/>
      <c r="U315" s="235" t="n"/>
      <c r="V315" s="235" t="n"/>
      <c r="W315" s="235" t="inlineStr">
        <is>
          <t>SIM</t>
        </is>
      </c>
      <c r="X315" s="235" t="n"/>
    </row>
    <row r="316">
      <c r="A316" s="391" t="n">
        <v>46081</v>
      </c>
      <c r="B316" s="235" t="inlineStr">
        <is>
          <t>JULIO GADRET</t>
        </is>
      </c>
      <c r="C316" s="235" t="inlineStr">
        <is>
          <t>SABOR NATURAL 21</t>
        </is>
      </c>
      <c r="D316" s="235" t="inlineStr">
        <is>
          <t>28.283.887/0841-63</t>
        </is>
      </c>
      <c r="E316" s="235" t="inlineStr">
        <is>
          <t>SC</t>
        </is>
      </c>
      <c r="F316" s="235" t="inlineStr">
        <is>
          <t>DEMAIS CLIENTES</t>
        </is>
      </c>
      <c r="G316" s="235" t="inlineStr">
        <is>
          <t>PROSPECT</t>
        </is>
      </c>
      <c r="H316" s="235" t="inlineStr"/>
      <c r="I316" s="235" t="n"/>
      <c r="J316" s="235" t="n"/>
      <c r="K316" s="235" t="n"/>
      <c r="L316" s="235" t="n"/>
      <c r="M316" s="235" t="n"/>
      <c r="N316" s="235" t="inlineStr">
        <is>
          <t>NÃO</t>
        </is>
      </c>
      <c r="O316" s="235" t="inlineStr">
        <is>
          <t>NÃO</t>
        </is>
      </c>
      <c r="P316" s="235" t="inlineStr">
        <is>
          <t>N/A</t>
        </is>
      </c>
      <c r="Q316" s="235" t="inlineStr">
        <is>
          <t>FOLLOW UP</t>
        </is>
      </c>
      <c r="R316" s="235" t="inlineStr">
        <is>
          <t>ORÇAMENTO</t>
        </is>
      </c>
      <c r="S316" s="235" t="n"/>
      <c r="T316" s="235" t="n"/>
      <c r="U316" s="235" t="n"/>
      <c r="V316" s="235" t="n"/>
      <c r="W316" s="235" t="inlineStr">
        <is>
          <t>SIM</t>
        </is>
      </c>
      <c r="X316" s="235" t="n"/>
    </row>
    <row r="317">
      <c r="A317" s="391" t="n">
        <v>46078</v>
      </c>
      <c r="B317" s="235" t="inlineStr">
        <is>
          <t>MANU DITZEL</t>
        </is>
      </c>
      <c r="C317" s="235" t="inlineStr">
        <is>
          <t>NATURAL HOUSE 64</t>
        </is>
      </c>
      <c r="D317" s="235" t="inlineStr">
        <is>
          <t>73.656.926/0095-87</t>
        </is>
      </c>
      <c r="E317" s="235" t="inlineStr">
        <is>
          <t>BA</t>
        </is>
      </c>
      <c r="F317" s="235" t="inlineStr">
        <is>
          <t>BIOMUNDO</t>
        </is>
      </c>
      <c r="G317" s="235" t="inlineStr">
        <is>
          <t>INAT.REC</t>
        </is>
      </c>
      <c r="H317" s="235" t="n">
        <v>76</v>
      </c>
      <c r="I317" s="235" t="n"/>
      <c r="J317" s="235" t="n"/>
      <c r="K317" s="235" t="n"/>
      <c r="L317" s="235" t="n"/>
      <c r="M317" s="235" t="n"/>
      <c r="N317" s="235" t="inlineStr">
        <is>
          <t>SIM</t>
        </is>
      </c>
      <c r="O317" s="235" t="inlineStr">
        <is>
          <t>SIM</t>
        </is>
      </c>
      <c r="P317" s="235" t="inlineStr">
        <is>
          <t>NÃO</t>
        </is>
      </c>
      <c r="Q317" s="235" t="inlineStr">
        <is>
          <t>ATEND. CLIENTES ATIVOS</t>
        </is>
      </c>
      <c r="R317" s="235" t="inlineStr">
        <is>
          <t>RELACIONAMENTO</t>
        </is>
      </c>
      <c r="S317" s="235" t="n"/>
      <c r="T317" s="235" t="n"/>
      <c r="U317" s="235" t="n"/>
      <c r="V317" s="235" t="n"/>
      <c r="W317" s="235" t="inlineStr">
        <is>
          <t>SIM</t>
        </is>
      </c>
      <c r="X317" s="235" t="n"/>
    </row>
    <row r="318">
      <c r="A318" s="391" t="n">
        <v>46074</v>
      </c>
      <c r="B318" s="235" t="inlineStr">
        <is>
          <t>LARISSA PADILHA</t>
        </is>
      </c>
      <c r="C318" s="235" t="inlineStr">
        <is>
          <t>DIVINA TERRA RJ 07</t>
        </is>
      </c>
      <c r="D318" s="235" t="inlineStr">
        <is>
          <t>33.251.156/5719-14</t>
        </is>
      </c>
      <c r="E318" s="235" t="inlineStr">
        <is>
          <t>PR</t>
        </is>
      </c>
      <c r="F318" s="235" t="inlineStr">
        <is>
          <t>MUNDO VERDE</t>
        </is>
      </c>
      <c r="G318" s="235" t="inlineStr">
        <is>
          <t>INAT.REC</t>
        </is>
      </c>
      <c r="H318" s="235" t="n">
        <v>80</v>
      </c>
      <c r="I318" s="235" t="n"/>
      <c r="J318" s="235" t="n"/>
      <c r="K318" s="235" t="n"/>
      <c r="L318" s="235" t="n"/>
      <c r="M318" s="235" t="n"/>
      <c r="N318" s="235" t="inlineStr">
        <is>
          <t>SIM</t>
        </is>
      </c>
      <c r="O318" s="235" t="inlineStr">
        <is>
          <t>SIM</t>
        </is>
      </c>
      <c r="P318" s="235" t="inlineStr">
        <is>
          <t>SIM</t>
        </is>
      </c>
      <c r="Q318" s="235" t="inlineStr">
        <is>
          <t>FOLLOW UP</t>
        </is>
      </c>
      <c r="R318" s="235" t="inlineStr">
        <is>
          <t>RELACIONAMENTO</t>
        </is>
      </c>
      <c r="S318" s="235" t="n"/>
      <c r="T318" s="235" t="n"/>
      <c r="U318" s="235" t="n"/>
      <c r="V318" s="235" t="n"/>
      <c r="W318" s="235" t="inlineStr">
        <is>
          <t>NÃO</t>
        </is>
      </c>
      <c r="X318" s="235" t="n"/>
    </row>
    <row r="319">
      <c r="A319" s="391" t="n">
        <v>46073</v>
      </c>
      <c r="B319" s="235" t="inlineStr">
        <is>
          <t>JULIO GADRET</t>
        </is>
      </c>
      <c r="C319" s="235" t="inlineStr">
        <is>
          <t>MUNDO BIO 74</t>
        </is>
      </c>
      <c r="D319" s="235" t="inlineStr">
        <is>
          <t>81.281.566/9486-56</t>
        </is>
      </c>
      <c r="E319" s="235" t="inlineStr">
        <is>
          <t>GO</t>
        </is>
      </c>
      <c r="F319" s="235" t="inlineStr">
        <is>
          <t>MUNDO VERDE</t>
        </is>
      </c>
      <c r="G319" s="235" t="inlineStr">
        <is>
          <t>ATIVO</t>
        </is>
      </c>
      <c r="H319" s="235" t="n">
        <v>28</v>
      </c>
      <c r="I319" s="235" t="n"/>
      <c r="J319" s="235" t="n"/>
      <c r="K319" s="235" t="n"/>
      <c r="L319" s="235" t="n"/>
      <c r="M319" s="235" t="n"/>
      <c r="N319" s="235" t="inlineStr">
        <is>
          <t>NÃO</t>
        </is>
      </c>
      <c r="O319" s="235" t="inlineStr">
        <is>
          <t>NÃO</t>
        </is>
      </c>
      <c r="P319" s="235" t="inlineStr">
        <is>
          <t>N/A</t>
        </is>
      </c>
      <c r="Q319" s="235" t="inlineStr">
        <is>
          <t>PÓS-VENDA / RELACIONAMENTO</t>
        </is>
      </c>
      <c r="R319" s="235" t="inlineStr">
        <is>
          <t>VENDA / PEDIDO</t>
        </is>
      </c>
      <c r="S319" s="235" t="n"/>
      <c r="T319" s="235" t="n"/>
      <c r="U319" s="235" t="n"/>
      <c r="V319" s="235" t="n"/>
      <c r="W319" s="235" t="inlineStr">
        <is>
          <t>SIM</t>
        </is>
      </c>
      <c r="X319" s="235" t="n"/>
    </row>
    <row r="320">
      <c r="A320" s="391" t="n">
        <v>46069</v>
      </c>
      <c r="B320" s="235" t="inlineStr">
        <is>
          <t>MANU DITZEL</t>
        </is>
      </c>
      <c r="C320" s="235" t="inlineStr">
        <is>
          <t>NATUR LIFE 43</t>
        </is>
      </c>
      <c r="D320" s="235" t="inlineStr">
        <is>
          <t>77.523.637/3439-99</t>
        </is>
      </c>
      <c r="E320" s="235" t="inlineStr">
        <is>
          <t>PR</t>
        </is>
      </c>
      <c r="F320" s="235" t="inlineStr">
        <is>
          <t>MUNDO VERDE</t>
        </is>
      </c>
      <c r="G320" s="235" t="inlineStr">
        <is>
          <t>INAT.REC</t>
        </is>
      </c>
      <c r="H320" s="235" t="n">
        <v>81</v>
      </c>
      <c r="I320" s="235" t="n"/>
      <c r="J320" s="235" t="n"/>
      <c r="K320" s="235" t="n"/>
      <c r="L320" s="235" t="n"/>
      <c r="M320" s="235" t="n"/>
      <c r="N320" s="235" t="inlineStr">
        <is>
          <t>NÃO</t>
        </is>
      </c>
      <c r="O320" s="235" t="inlineStr">
        <is>
          <t>NÃO</t>
        </is>
      </c>
      <c r="P320" s="235" t="inlineStr">
        <is>
          <t>N/A</t>
        </is>
      </c>
      <c r="Q320" s="235" t="inlineStr">
        <is>
          <t>ATEND. CLIENTES ATIVOS</t>
        </is>
      </c>
      <c r="R320" s="235" t="inlineStr">
        <is>
          <t>VENDA / PEDIDO</t>
        </is>
      </c>
      <c r="S320" s="235" t="n"/>
      <c r="T320" s="235" t="n"/>
      <c r="U320" s="235" t="n"/>
      <c r="V320" s="235" t="n"/>
      <c r="W320" s="235" t="inlineStr">
        <is>
          <t>NÃO</t>
        </is>
      </c>
      <c r="X320" s="235" t="n"/>
    </row>
    <row r="321">
      <c r="A321" s="391" t="n">
        <v>46076</v>
      </c>
      <c r="B321" s="235" t="inlineStr">
        <is>
          <t>MANU DITZEL</t>
        </is>
      </c>
      <c r="C321" s="235" t="inlineStr">
        <is>
          <t>MUNDO BIO 41</t>
        </is>
      </c>
      <c r="D321" s="235" t="inlineStr">
        <is>
          <t>43.638.688/5798-26</t>
        </is>
      </c>
      <c r="E321" s="235" t="inlineStr">
        <is>
          <t>SP</t>
        </is>
      </c>
      <c r="F321" s="235" t="inlineStr">
        <is>
          <t>DIVINA TERRA</t>
        </is>
      </c>
      <c r="G321" s="235" t="inlineStr">
        <is>
          <t>INAT.ANT</t>
        </is>
      </c>
      <c r="H321" s="235" t="n">
        <v>218</v>
      </c>
      <c r="I321" s="235" t="n"/>
      <c r="J321" s="235" t="n"/>
      <c r="K321" s="235" t="n"/>
      <c r="L321" s="235" t="n"/>
      <c r="M321" s="235" t="n"/>
      <c r="N321" s="235" t="inlineStr">
        <is>
          <t>SIM</t>
        </is>
      </c>
      <c r="O321" s="235" t="inlineStr">
        <is>
          <t>NÃO</t>
        </is>
      </c>
      <c r="P321" s="235" t="inlineStr">
        <is>
          <t>N/A</t>
        </is>
      </c>
      <c r="Q321" s="235" t="inlineStr">
        <is>
          <t>ATEND. CLIENTES ATIVOS</t>
        </is>
      </c>
      <c r="R321" s="235" t="inlineStr">
        <is>
          <t>VENDA / PEDIDO</t>
        </is>
      </c>
      <c r="S321" s="235" t="n"/>
      <c r="T321" s="235" t="n"/>
      <c r="U321" s="235" t="n"/>
      <c r="V321" s="235" t="n"/>
      <c r="W321" s="235" t="inlineStr">
        <is>
          <t>NÃO</t>
        </is>
      </c>
      <c r="X321" s="235" t="n"/>
    </row>
    <row r="322">
      <c r="A322" s="391" t="n">
        <v>46054</v>
      </c>
      <c r="B322" s="235" t="inlineStr">
        <is>
          <t>MANU DITZEL</t>
        </is>
      </c>
      <c r="C322" s="235" t="inlineStr">
        <is>
          <t>NATURAL HOUSE 81</t>
        </is>
      </c>
      <c r="D322" s="235" t="inlineStr">
        <is>
          <t>25.855.968/3397-88</t>
        </is>
      </c>
      <c r="E322" s="235" t="inlineStr">
        <is>
          <t>CE</t>
        </is>
      </c>
      <c r="F322" s="235" t="inlineStr">
        <is>
          <t>FIT LAND</t>
        </is>
      </c>
      <c r="G322" s="235" t="inlineStr">
        <is>
          <t>ATIVO</t>
        </is>
      </c>
      <c r="H322" s="235" t="n">
        <v>40</v>
      </c>
      <c r="I322" s="235" t="n"/>
      <c r="J322" s="235" t="n"/>
      <c r="K322" s="235" t="n"/>
      <c r="L322" s="235" t="n"/>
      <c r="M322" s="235" t="n"/>
      <c r="N322" s="235" t="inlineStr">
        <is>
          <t>SIM</t>
        </is>
      </c>
      <c r="O322" s="235" t="inlineStr">
        <is>
          <t>NÃO</t>
        </is>
      </c>
      <c r="P322" s="235" t="inlineStr">
        <is>
          <t>N/A</t>
        </is>
      </c>
      <c r="Q322" s="235" t="inlineStr">
        <is>
          <t>PÓS-VENDA / RELACIONAMENTO</t>
        </is>
      </c>
      <c r="R322" s="235" t="inlineStr">
        <is>
          <t>RELACIONAMENTO</t>
        </is>
      </c>
      <c r="S322" s="235" t="n"/>
      <c r="T322" s="235" t="n"/>
      <c r="U322" s="235" t="n"/>
      <c r="V322" s="235" t="n"/>
      <c r="W322" s="235" t="inlineStr">
        <is>
          <t>SIM</t>
        </is>
      </c>
      <c r="X322" s="235" t="n"/>
    </row>
    <row r="323">
      <c r="A323" s="391" t="n">
        <v>46056</v>
      </c>
      <c r="B323" s="235" t="inlineStr">
        <is>
          <t>MANU DITZEL</t>
        </is>
      </c>
      <c r="C323" s="235" t="inlineStr">
        <is>
          <t>GRÃO FINO 71</t>
        </is>
      </c>
      <c r="D323" s="235" t="inlineStr">
        <is>
          <t>51.885.106/1866-97</t>
        </is>
      </c>
      <c r="E323" s="235" t="inlineStr">
        <is>
          <t>SC</t>
        </is>
      </c>
      <c r="F323" s="235" t="inlineStr">
        <is>
          <t>FIT LAND</t>
        </is>
      </c>
      <c r="G323" s="235" t="inlineStr">
        <is>
          <t>INAT.REC</t>
        </is>
      </c>
      <c r="H323" s="235" t="n">
        <v>61</v>
      </c>
      <c r="I323" s="235" t="n"/>
      <c r="J323" s="235" t="n"/>
      <c r="K323" s="235" t="n"/>
      <c r="L323" s="235" t="n"/>
      <c r="M323" s="235" t="n"/>
      <c r="N323" s="235" t="inlineStr">
        <is>
          <t>NÃO</t>
        </is>
      </c>
      <c r="O323" s="235" t="inlineStr">
        <is>
          <t>NÃO</t>
        </is>
      </c>
      <c r="P323" s="235" t="inlineStr">
        <is>
          <t>N/A</t>
        </is>
      </c>
      <c r="Q323" s="235" t="inlineStr">
        <is>
          <t>PÓS-VENDA / RELACIONAMENTO</t>
        </is>
      </c>
      <c r="R323" s="235" t="inlineStr">
        <is>
          <t>RELACIONAMENTO</t>
        </is>
      </c>
      <c r="S323" s="235" t="n"/>
      <c r="T323" s="235" t="n"/>
      <c r="U323" s="235" t="n"/>
      <c r="V323" s="235" t="n"/>
      <c r="W323" s="235" t="inlineStr">
        <is>
          <t>SIM</t>
        </is>
      </c>
      <c r="X323" s="235" t="n"/>
    </row>
    <row r="324">
      <c r="A324" s="391" t="n">
        <v>46069</v>
      </c>
      <c r="B324" s="235" t="inlineStr">
        <is>
          <t>DAIANE STAVICKI</t>
        </is>
      </c>
      <c r="C324" s="235" t="inlineStr">
        <is>
          <t>FIT STORE 62</t>
        </is>
      </c>
      <c r="D324" s="235" t="inlineStr">
        <is>
          <t>29.742.571/8798-52</t>
        </is>
      </c>
      <c r="E324" s="235" t="inlineStr">
        <is>
          <t>RS</t>
        </is>
      </c>
      <c r="F324" s="235" t="inlineStr">
        <is>
          <t>DEMAIS CLIENTES</t>
        </is>
      </c>
      <c r="G324" s="235" t="inlineStr">
        <is>
          <t>PROSPECT</t>
        </is>
      </c>
      <c r="H324" s="235" t="inlineStr"/>
      <c r="I324" s="235" t="n"/>
      <c r="J324" s="235" t="n"/>
      <c r="K324" s="235" t="n"/>
      <c r="L324" s="235" t="n"/>
      <c r="M324" s="235" t="n"/>
      <c r="N324" s="235" t="inlineStr">
        <is>
          <t>SIM</t>
        </is>
      </c>
      <c r="O324" s="235" t="inlineStr">
        <is>
          <t>NÃO</t>
        </is>
      </c>
      <c r="P324" s="235" t="inlineStr">
        <is>
          <t>N/A</t>
        </is>
      </c>
      <c r="Q324" s="235" t="inlineStr">
        <is>
          <t>PROSPECÇÃO</t>
        </is>
      </c>
      <c r="R324" s="235" t="inlineStr">
        <is>
          <t>NÃO ATENDE</t>
        </is>
      </c>
      <c r="S324" s="235" t="inlineStr">
        <is>
          <t>PROBLEMA LOGÍSTICO / ENTREGA</t>
        </is>
      </c>
      <c r="T324" s="235" t="n"/>
      <c r="U324" s="235" t="n"/>
      <c r="V324" s="235" t="n"/>
      <c r="W324" s="235" t="inlineStr">
        <is>
          <t>SIM</t>
        </is>
      </c>
      <c r="X324" s="235" t="n"/>
    </row>
    <row r="325">
      <c r="A325" s="391" t="n">
        <v>46072</v>
      </c>
      <c r="B325" s="235" t="inlineStr">
        <is>
          <t>JULIO GADRET</t>
        </is>
      </c>
      <c r="C325" s="235" t="inlineStr">
        <is>
          <t>MARKET FIT 09</t>
        </is>
      </c>
      <c r="D325" s="235" t="inlineStr">
        <is>
          <t>29.387.960/0511-53</t>
        </is>
      </c>
      <c r="E325" s="235" t="inlineStr">
        <is>
          <t>CE</t>
        </is>
      </c>
      <c r="F325" s="235" t="inlineStr">
        <is>
          <t>VIDA LEVE</t>
        </is>
      </c>
      <c r="G325" s="235" t="inlineStr">
        <is>
          <t>NOVO</t>
        </is>
      </c>
      <c r="H325" s="235" t="inlineStr"/>
      <c r="I325" s="235" t="n"/>
      <c r="J325" s="235" t="n"/>
      <c r="K325" s="235" t="n"/>
      <c r="L325" s="235" t="n"/>
      <c r="M325" s="235" t="n"/>
      <c r="N325" s="235" t="inlineStr">
        <is>
          <t>SIM</t>
        </is>
      </c>
      <c r="O325" s="235" t="inlineStr">
        <is>
          <t>NÃO</t>
        </is>
      </c>
      <c r="P325" s="235" t="inlineStr">
        <is>
          <t>N/A</t>
        </is>
      </c>
      <c r="Q325" s="235" t="inlineStr">
        <is>
          <t>ATEND. CLIENTES ATIVOS</t>
        </is>
      </c>
      <c r="R325" s="235" t="inlineStr">
        <is>
          <t>RELACIONAMENTO</t>
        </is>
      </c>
      <c r="S325" s="235" t="n"/>
      <c r="T325" s="235" t="n"/>
      <c r="U325" s="235" t="n"/>
      <c r="V325" s="235" t="n"/>
      <c r="W325" s="235" t="inlineStr">
        <is>
          <t>NÃO</t>
        </is>
      </c>
      <c r="X325" s="235" t="n"/>
    </row>
    <row r="326">
      <c r="A326" s="391" t="n">
        <v>46076</v>
      </c>
      <c r="B326" s="235" t="inlineStr">
        <is>
          <t>DAIANE STAVICKI</t>
        </is>
      </c>
      <c r="C326" s="235" t="inlineStr">
        <is>
          <t>MUNDO VERDE CWB 35</t>
        </is>
      </c>
      <c r="D326" s="235" t="inlineStr">
        <is>
          <t>62.188.608/3894-57</t>
        </is>
      </c>
      <c r="E326" s="235" t="inlineStr">
        <is>
          <t>RS</t>
        </is>
      </c>
      <c r="F326" s="235" t="inlineStr">
        <is>
          <t>DEMAIS CLIENTES</t>
        </is>
      </c>
      <c r="G326" s="235" t="inlineStr">
        <is>
          <t>ATIVO</t>
        </is>
      </c>
      <c r="H326" s="235" t="n">
        <v>24</v>
      </c>
      <c r="I326" s="235" t="n"/>
      <c r="J326" s="235" t="n"/>
      <c r="K326" s="235" t="n"/>
      <c r="L326" s="235" t="n"/>
      <c r="M326" s="235" t="n"/>
      <c r="N326" s="235" t="inlineStr">
        <is>
          <t>SIM</t>
        </is>
      </c>
      <c r="O326" s="235" t="inlineStr">
        <is>
          <t>SIM</t>
        </is>
      </c>
      <c r="P326" s="235" t="inlineStr">
        <is>
          <t>SIM</t>
        </is>
      </c>
      <c r="Q326" s="235" t="inlineStr">
        <is>
          <t>NEGOCIAÇÃO</t>
        </is>
      </c>
      <c r="R326" s="235" t="inlineStr">
        <is>
          <t>ORÇAMENTO</t>
        </is>
      </c>
      <c r="S326" s="235" t="n"/>
      <c r="T326" s="235" t="n"/>
      <c r="U326" s="235" t="n"/>
      <c r="V326" s="235" t="n"/>
      <c r="W326" s="235" t="inlineStr">
        <is>
          <t>SIM</t>
        </is>
      </c>
      <c r="X326" s="235" t="n"/>
    </row>
    <row r="327">
      <c r="A327" s="391" t="n">
        <v>46079</v>
      </c>
      <c r="B327" s="235" t="inlineStr">
        <is>
          <t>LARISSA PADILHA</t>
        </is>
      </c>
      <c r="C327" s="235" t="inlineStr">
        <is>
          <t>GRÃO FINO 20</t>
        </is>
      </c>
      <c r="D327" s="235" t="inlineStr">
        <is>
          <t>34.448.595/8580-49</t>
        </is>
      </c>
      <c r="E327" s="235" t="inlineStr">
        <is>
          <t>RJ</t>
        </is>
      </c>
      <c r="F327" s="235" t="inlineStr">
        <is>
          <t>MUNDO VERDE</t>
        </is>
      </c>
      <c r="G327" s="235" t="inlineStr">
        <is>
          <t>NOVO</t>
        </is>
      </c>
      <c r="H327" s="235" t="inlineStr"/>
      <c r="I327" s="235" t="n"/>
      <c r="J327" s="235" t="n"/>
      <c r="K327" s="235" t="n"/>
      <c r="L327" s="235" t="n"/>
      <c r="M327" s="235" t="n"/>
      <c r="N327" s="235" t="inlineStr">
        <is>
          <t>SIM</t>
        </is>
      </c>
      <c r="O327" s="235" t="inlineStr">
        <is>
          <t>SIM</t>
        </is>
      </c>
      <c r="P327" s="235" t="inlineStr">
        <is>
          <t>NÃO</t>
        </is>
      </c>
      <c r="Q327" s="235" t="inlineStr">
        <is>
          <t>PÓS-VENDA / RELACIONAMENTO</t>
        </is>
      </c>
      <c r="R327" s="235" t="inlineStr">
        <is>
          <t>NÃO RESPONDE</t>
        </is>
      </c>
      <c r="S327" s="235" t="inlineStr">
        <is>
          <t>SÓ QUER COMPRAR GRANEL</t>
        </is>
      </c>
      <c r="T327" s="235" t="n"/>
      <c r="U327" s="235" t="n"/>
      <c r="V327" s="235" t="n"/>
      <c r="W327" s="235" t="inlineStr">
        <is>
          <t>NÃO</t>
        </is>
      </c>
      <c r="X327" s="235" t="n"/>
    </row>
    <row r="328">
      <c r="A328" s="391" t="n">
        <v>46070</v>
      </c>
      <c r="B328" s="235" t="inlineStr">
        <is>
          <t>MANU DITZEL</t>
        </is>
      </c>
      <c r="C328" s="235" t="inlineStr">
        <is>
          <t>EMPÓRIO DO CAMPO 06</t>
        </is>
      </c>
      <c r="D328" s="235" t="inlineStr">
        <is>
          <t>97.968.708/1427-52</t>
        </is>
      </c>
      <c r="E328" s="235" t="inlineStr">
        <is>
          <t>RS</t>
        </is>
      </c>
      <c r="F328" s="235" t="inlineStr">
        <is>
          <t>MUNDO VERDE</t>
        </is>
      </c>
      <c r="G328" s="235" t="inlineStr">
        <is>
          <t>INAT.REC</t>
        </is>
      </c>
      <c r="H328" s="235" t="n">
        <v>82</v>
      </c>
      <c r="I328" s="235" t="n"/>
      <c r="J328" s="235" t="n"/>
      <c r="K328" s="235" t="n"/>
      <c r="L328" s="235" t="n"/>
      <c r="M328" s="235" t="n"/>
      <c r="N328" s="235" t="inlineStr">
        <is>
          <t>NÃO</t>
        </is>
      </c>
      <c r="O328" s="235" t="inlineStr">
        <is>
          <t>NÃO</t>
        </is>
      </c>
      <c r="P328" s="235" t="inlineStr">
        <is>
          <t>N/A</t>
        </is>
      </c>
      <c r="Q328" s="235" t="inlineStr">
        <is>
          <t>ATEND. CLIENTES INATIVOS</t>
        </is>
      </c>
      <c r="R328" s="235" t="inlineStr">
        <is>
          <t>EM ATENDIMENTO</t>
        </is>
      </c>
      <c r="S328" s="235" t="n"/>
      <c r="T328" s="235" t="n"/>
      <c r="U328" s="235" t="n"/>
      <c r="V328" s="235" t="n"/>
      <c r="W328" s="235" t="inlineStr">
        <is>
          <t>SIM</t>
        </is>
      </c>
      <c r="X328" s="235" t="n"/>
    </row>
    <row r="329">
      <c r="A329" s="391" t="n">
        <v>46060</v>
      </c>
      <c r="B329" s="235" t="inlineStr">
        <is>
          <t>MANU DITZEL</t>
        </is>
      </c>
      <c r="C329" s="235" t="inlineStr">
        <is>
          <t>NATUR LIFE 69</t>
        </is>
      </c>
      <c r="D329" s="235" t="inlineStr">
        <is>
          <t>50.891.551/1928-44</t>
        </is>
      </c>
      <c r="E329" s="235" t="inlineStr">
        <is>
          <t>PR</t>
        </is>
      </c>
      <c r="F329" s="235" t="inlineStr">
        <is>
          <t>CIA DA SAUDE</t>
        </is>
      </c>
      <c r="G329" s="235" t="inlineStr">
        <is>
          <t>ATIVO</t>
        </is>
      </c>
      <c r="H329" s="235" t="n">
        <v>44</v>
      </c>
      <c r="I329" s="235" t="n"/>
      <c r="J329" s="235" t="n"/>
      <c r="K329" s="235" t="n"/>
      <c r="L329" s="235" t="n"/>
      <c r="M329" s="235" t="n"/>
      <c r="N329" s="235" t="inlineStr">
        <is>
          <t>SIM</t>
        </is>
      </c>
      <c r="O329" s="235" t="inlineStr">
        <is>
          <t>NÃO</t>
        </is>
      </c>
      <c r="P329" s="235" t="inlineStr">
        <is>
          <t>N/A</t>
        </is>
      </c>
      <c r="Q329" s="235" t="inlineStr">
        <is>
          <t>ATEND. CLIENTES ATIVOS</t>
        </is>
      </c>
      <c r="R329" s="235" t="inlineStr">
        <is>
          <t>VENDA / PEDIDO</t>
        </is>
      </c>
      <c r="S329" s="235" t="n"/>
      <c r="T329" s="235" t="n"/>
      <c r="U329" s="235" t="n"/>
      <c r="V329" s="235" t="n"/>
      <c r="W329" s="235" t="inlineStr">
        <is>
          <t>SIM</t>
        </is>
      </c>
      <c r="X329" s="235" t="n"/>
    </row>
    <row r="330">
      <c r="A330" s="391" t="n">
        <v>46076</v>
      </c>
      <c r="B330" s="235" t="inlineStr">
        <is>
          <t>DAIANE STAVICKI</t>
        </is>
      </c>
      <c r="C330" s="235" t="inlineStr">
        <is>
          <t>PURA VIDA 32</t>
        </is>
      </c>
      <c r="D330" s="235" t="inlineStr">
        <is>
          <t>31.172.418/5550-79</t>
        </is>
      </c>
      <c r="E330" s="235" t="inlineStr">
        <is>
          <t>RS</t>
        </is>
      </c>
      <c r="F330" s="235" t="inlineStr">
        <is>
          <t>MUNDO VERDE</t>
        </is>
      </c>
      <c r="G330" s="235" t="inlineStr">
        <is>
          <t>EM RISCO</t>
        </is>
      </c>
      <c r="H330" s="235" t="n">
        <v>51</v>
      </c>
      <c r="I330" s="235" t="n"/>
      <c r="J330" s="235" t="n"/>
      <c r="K330" s="235" t="n"/>
      <c r="L330" s="235" t="n"/>
      <c r="M330" s="235" t="n"/>
      <c r="N330" s="235" t="inlineStr">
        <is>
          <t>SIM</t>
        </is>
      </c>
      <c r="O330" s="235" t="inlineStr">
        <is>
          <t>SIM</t>
        </is>
      </c>
      <c r="P330" s="235" t="inlineStr">
        <is>
          <t>NÃO</t>
        </is>
      </c>
      <c r="Q330" s="235" t="inlineStr">
        <is>
          <t>PROSPECÇÃO</t>
        </is>
      </c>
      <c r="R330" s="235" t="inlineStr">
        <is>
          <t>EM ATENDIMENTO</t>
        </is>
      </c>
      <c r="S330" s="235" t="n"/>
      <c r="T330" s="235" t="n"/>
      <c r="U330" s="235" t="n"/>
      <c r="V330" s="235" t="n"/>
      <c r="W330" s="235" t="inlineStr">
        <is>
          <t>SIM</t>
        </is>
      </c>
      <c r="X330" s="235" t="n"/>
    </row>
    <row r="331">
      <c r="A331" s="391" t="n">
        <v>46080</v>
      </c>
      <c r="B331" s="235" t="inlineStr">
        <is>
          <t>JULIO GADRET</t>
        </is>
      </c>
      <c r="C331" s="235" t="inlineStr">
        <is>
          <t>EMPÓRIO BIO 79</t>
        </is>
      </c>
      <c r="D331" s="235" t="inlineStr">
        <is>
          <t>55.419.440/3247-95</t>
        </is>
      </c>
      <c r="E331" s="235" t="inlineStr">
        <is>
          <t>MG</t>
        </is>
      </c>
      <c r="F331" s="235" t="inlineStr">
        <is>
          <t>MUNDO VERDE</t>
        </is>
      </c>
      <c r="G331" s="235" t="inlineStr">
        <is>
          <t>PROSPECT</t>
        </is>
      </c>
      <c r="H331" s="235" t="inlineStr"/>
      <c r="I331" s="235" t="n"/>
      <c r="J331" s="235" t="n"/>
      <c r="K331" s="235" t="n"/>
      <c r="L331" s="235" t="n"/>
      <c r="M331" s="235" t="n"/>
      <c r="N331" s="235" t="inlineStr">
        <is>
          <t>SIM</t>
        </is>
      </c>
      <c r="O331" s="235" t="inlineStr">
        <is>
          <t>NÃO</t>
        </is>
      </c>
      <c r="P331" s="235" t="inlineStr">
        <is>
          <t>N/A</t>
        </is>
      </c>
      <c r="Q331" s="235" t="inlineStr">
        <is>
          <t>PÓS-VENDA / RELACIONAMENTO</t>
        </is>
      </c>
      <c r="R331" s="235" t="inlineStr">
        <is>
          <t>SUPORTE</t>
        </is>
      </c>
      <c r="S331" s="235" t="n"/>
      <c r="T331" s="235" t="n"/>
      <c r="U331" s="235" t="n"/>
      <c r="V331" s="235" t="n"/>
      <c r="W331" s="235" t="inlineStr">
        <is>
          <t>NÃO</t>
        </is>
      </c>
      <c r="X331" s="235" t="n"/>
    </row>
    <row r="332">
      <c r="A332" s="391" t="n">
        <v>46057</v>
      </c>
      <c r="B332" s="235" t="inlineStr">
        <is>
          <t>LARISSA PADILHA</t>
        </is>
      </c>
      <c r="C332" s="235" t="inlineStr">
        <is>
          <t>NATURAL HOUSE 61</t>
        </is>
      </c>
      <c r="D332" s="235" t="inlineStr">
        <is>
          <t>39.329.247/4228-56</t>
        </is>
      </c>
      <c r="E332" s="235" t="inlineStr">
        <is>
          <t>SC</t>
        </is>
      </c>
      <c r="F332" s="235" t="inlineStr">
        <is>
          <t>TUDO EM GRAOS</t>
        </is>
      </c>
      <c r="G332" s="235" t="inlineStr">
        <is>
          <t>INAT.ANT</t>
        </is>
      </c>
      <c r="H332" s="235" t="n">
        <v>292</v>
      </c>
      <c r="I332" s="235" t="n"/>
      <c r="J332" s="235" t="n"/>
      <c r="K332" s="235" t="n"/>
      <c r="L332" s="235" t="n"/>
      <c r="M332" s="235" t="n"/>
      <c r="N332" s="235" t="inlineStr">
        <is>
          <t>SIM</t>
        </is>
      </c>
      <c r="O332" s="235" t="inlineStr">
        <is>
          <t>SIM</t>
        </is>
      </c>
      <c r="P332" s="235" t="inlineStr">
        <is>
          <t>SIM</t>
        </is>
      </c>
      <c r="Q332" s="235" t="inlineStr">
        <is>
          <t>PÓS-VENDA / RELACIONAMENTO</t>
        </is>
      </c>
      <c r="R332" s="235" t="inlineStr">
        <is>
          <t>FOLLOW UP 7</t>
        </is>
      </c>
      <c r="S332" s="235" t="inlineStr">
        <is>
          <t>SÓ QUER COMPRAR GRANEL</t>
        </is>
      </c>
      <c r="T332" s="235" t="n"/>
      <c r="U332" s="235" t="n"/>
      <c r="V332" s="235" t="n"/>
      <c r="W332" s="235" t="inlineStr">
        <is>
          <t>NÃO</t>
        </is>
      </c>
      <c r="X332" s="235" t="n"/>
    </row>
    <row r="333">
      <c r="A333" s="391" t="n">
        <v>46063</v>
      </c>
      <c r="B333" s="235" t="inlineStr">
        <is>
          <t>DAIANE STAVICKI</t>
        </is>
      </c>
      <c r="C333" s="235" t="inlineStr">
        <is>
          <t>MUNDO BIO 74</t>
        </is>
      </c>
      <c r="D333" s="235" t="inlineStr">
        <is>
          <t>26.620.205/6647-23</t>
        </is>
      </c>
      <c r="E333" s="235" t="inlineStr">
        <is>
          <t>SC</t>
        </is>
      </c>
      <c r="F333" s="235" t="inlineStr">
        <is>
          <t>TUDO EM GRAOS</t>
        </is>
      </c>
      <c r="G333" s="235" t="inlineStr">
        <is>
          <t>INAT.ANT</t>
        </is>
      </c>
      <c r="H333" s="235" t="n">
        <v>227</v>
      </c>
      <c r="I333" s="235" t="n"/>
      <c r="J333" s="235" t="n"/>
      <c r="K333" s="235" t="n"/>
      <c r="L333" s="235" t="n"/>
      <c r="M333" s="235" t="n"/>
      <c r="N333" s="235" t="inlineStr">
        <is>
          <t>SIM</t>
        </is>
      </c>
      <c r="O333" s="235" t="inlineStr">
        <is>
          <t>SIM</t>
        </is>
      </c>
      <c r="P333" s="235" t="inlineStr">
        <is>
          <t>SIM</t>
        </is>
      </c>
      <c r="Q333" s="235" t="inlineStr">
        <is>
          <t>ATEND. CLIENTES ATIVOS</t>
        </is>
      </c>
      <c r="R333" s="235" t="inlineStr">
        <is>
          <t>FOLLOW UP 7</t>
        </is>
      </c>
      <c r="S333" s="235" t="inlineStr">
        <is>
          <t>SÓ QUER COMPRAR GRANEL</t>
        </is>
      </c>
      <c r="T333" s="235" t="n"/>
      <c r="U333" s="235" t="n"/>
      <c r="V333" s="235" t="n"/>
      <c r="W333" s="235" t="inlineStr">
        <is>
          <t>SIM</t>
        </is>
      </c>
      <c r="X333" s="235" t="n"/>
    </row>
    <row r="334">
      <c r="A334" s="391" t="n">
        <v>46060</v>
      </c>
      <c r="B334" s="235" t="inlineStr">
        <is>
          <t>DAIANE STAVICKI</t>
        </is>
      </c>
      <c r="C334" s="235" t="inlineStr">
        <is>
          <t>VERDE ESSENCE 56</t>
        </is>
      </c>
      <c r="D334" s="235" t="inlineStr">
        <is>
          <t>65.680.906/5607-79</t>
        </is>
      </c>
      <c r="E334" s="235" t="inlineStr">
        <is>
          <t>SP</t>
        </is>
      </c>
      <c r="F334" s="235" t="inlineStr">
        <is>
          <t>BIOMUNDO</t>
        </is>
      </c>
      <c r="G334" s="235" t="inlineStr">
        <is>
          <t>INAT.ANT</t>
        </is>
      </c>
      <c r="H334" s="235" t="n">
        <v>280</v>
      </c>
      <c r="I334" s="235" t="n"/>
      <c r="J334" s="235" t="n"/>
      <c r="K334" s="235" t="n"/>
      <c r="L334" s="235" t="n"/>
      <c r="M334" s="235" t="n"/>
      <c r="N334" s="235" t="inlineStr">
        <is>
          <t>SIM</t>
        </is>
      </c>
      <c r="O334" s="235" t="inlineStr">
        <is>
          <t>NÃO</t>
        </is>
      </c>
      <c r="P334" s="235" t="inlineStr">
        <is>
          <t>N/A</t>
        </is>
      </c>
      <c r="Q334" s="235" t="inlineStr">
        <is>
          <t>PERDA / NUTRIÇÃO</t>
        </is>
      </c>
      <c r="R334" s="235" t="inlineStr">
        <is>
          <t>NÃO RESPONDE</t>
        </is>
      </c>
      <c r="S334" s="235" t="inlineStr">
        <is>
          <t>SÓ QUER COMPRAR GRANEL</t>
        </is>
      </c>
      <c r="T334" s="235" t="n"/>
      <c r="U334" s="235" t="n"/>
      <c r="V334" s="235" t="n"/>
      <c r="W334" s="235" t="inlineStr">
        <is>
          <t>SIM</t>
        </is>
      </c>
      <c r="X334" s="235" t="n"/>
    </row>
    <row r="335">
      <c r="A335" s="391" t="n">
        <v>46080</v>
      </c>
      <c r="B335" s="235" t="inlineStr">
        <is>
          <t>LARISSA PADILHA</t>
        </is>
      </c>
      <c r="C335" s="235" t="inlineStr">
        <is>
          <t>EMPÓRIO DO CAMPO 52</t>
        </is>
      </c>
      <c r="D335" s="235" t="inlineStr">
        <is>
          <t>18.712.211/9772-58</t>
        </is>
      </c>
      <c r="E335" s="235" t="inlineStr">
        <is>
          <t>SC</t>
        </is>
      </c>
      <c r="F335" s="235" t="inlineStr">
        <is>
          <t>TUDO EM GRAOS</t>
        </is>
      </c>
      <c r="G335" s="235" t="inlineStr">
        <is>
          <t>ATIVO</t>
        </is>
      </c>
      <c r="H335" s="235" t="n">
        <v>18</v>
      </c>
      <c r="I335" s="235" t="n"/>
      <c r="J335" s="235" t="n"/>
      <c r="K335" s="235" t="n"/>
      <c r="L335" s="235" t="n"/>
      <c r="M335" s="235" t="n"/>
      <c r="N335" s="235" t="inlineStr">
        <is>
          <t>NÃO</t>
        </is>
      </c>
      <c r="O335" s="235" t="inlineStr">
        <is>
          <t>NÃO</t>
        </is>
      </c>
      <c r="P335" s="235" t="inlineStr">
        <is>
          <t>N/A</t>
        </is>
      </c>
      <c r="Q335" s="235" t="inlineStr">
        <is>
          <t>PÓS-VENDA / RELACIONAMENTO</t>
        </is>
      </c>
      <c r="R335" s="235" t="inlineStr">
        <is>
          <t>NÃO ATENDE</t>
        </is>
      </c>
      <c r="S335" s="235" t="inlineStr">
        <is>
          <t>AINDA TEM ESTOQUE</t>
        </is>
      </c>
      <c r="T335" s="235" t="n"/>
      <c r="U335" s="235" t="n"/>
      <c r="V335" s="235" t="n"/>
      <c r="W335" s="235" t="inlineStr">
        <is>
          <t>SIM</t>
        </is>
      </c>
      <c r="X335" s="235" t="n"/>
    </row>
    <row r="336">
      <c r="A336" s="391" t="n">
        <v>46058</v>
      </c>
      <c r="B336" s="235" t="inlineStr">
        <is>
          <t>LARISSA PADILHA</t>
        </is>
      </c>
      <c r="C336" s="235" t="inlineStr">
        <is>
          <t>ECO SAUDE 50</t>
        </is>
      </c>
      <c r="D336" s="235" t="inlineStr">
        <is>
          <t>88.691.557/3206-36</t>
        </is>
      </c>
      <c r="E336" s="235" t="inlineStr">
        <is>
          <t>SP</t>
        </is>
      </c>
      <c r="F336" s="235" t="inlineStr">
        <is>
          <t>CIA DA SAUDE</t>
        </is>
      </c>
      <c r="G336" s="235" t="inlineStr">
        <is>
          <t>INAT.REC</t>
        </is>
      </c>
      <c r="H336" s="235" t="n">
        <v>90</v>
      </c>
      <c r="I336" s="235" t="n"/>
      <c r="J336" s="235" t="n"/>
      <c r="K336" s="235" t="n"/>
      <c r="L336" s="235" t="n"/>
      <c r="M336" s="235" t="n"/>
      <c r="N336" s="235" t="inlineStr">
        <is>
          <t>NÃO</t>
        </is>
      </c>
      <c r="O336" s="235" t="inlineStr">
        <is>
          <t>NÃO</t>
        </is>
      </c>
      <c r="P336" s="235" t="inlineStr">
        <is>
          <t>N/A</t>
        </is>
      </c>
      <c r="Q336" s="235" t="inlineStr">
        <is>
          <t>ATEND. CLIENTES INATIVOS</t>
        </is>
      </c>
      <c r="R336" s="235" t="inlineStr">
        <is>
          <t>FOLLOW UP 7</t>
        </is>
      </c>
      <c r="S336" s="235" t="inlineStr">
        <is>
          <t>SEM INTERESSE NO MOMENTO</t>
        </is>
      </c>
      <c r="T336" s="235" t="n"/>
      <c r="U336" s="235" t="n"/>
      <c r="V336" s="235" t="n"/>
      <c r="W336" s="235" t="inlineStr">
        <is>
          <t>NÃO</t>
        </is>
      </c>
      <c r="X336" s="235" t="n"/>
    </row>
    <row r="337">
      <c r="A337" s="391" t="n">
        <v>46072</v>
      </c>
      <c r="B337" s="235" t="inlineStr">
        <is>
          <t>MANU DITZEL</t>
        </is>
      </c>
      <c r="C337" s="235" t="inlineStr">
        <is>
          <t>GRÃO FINO 52</t>
        </is>
      </c>
      <c r="D337" s="235" t="inlineStr">
        <is>
          <t>26.972.401/1023-57</t>
        </is>
      </c>
      <c r="E337" s="235" t="inlineStr">
        <is>
          <t>GO</t>
        </is>
      </c>
      <c r="F337" s="235" t="inlineStr">
        <is>
          <t>DEMAIS CLIENTES</t>
        </is>
      </c>
      <c r="G337" s="235" t="inlineStr">
        <is>
          <t>ATIVO</t>
        </is>
      </c>
      <c r="H337" s="235" t="n">
        <v>40</v>
      </c>
      <c r="I337" s="235" t="n"/>
      <c r="J337" s="235" t="n"/>
      <c r="K337" s="235" t="n"/>
      <c r="L337" s="235" t="n"/>
      <c r="M337" s="235" t="n"/>
      <c r="N337" s="235" t="inlineStr">
        <is>
          <t>NÃO</t>
        </is>
      </c>
      <c r="O337" s="235" t="inlineStr">
        <is>
          <t>NÃO</t>
        </is>
      </c>
      <c r="P337" s="235" t="inlineStr">
        <is>
          <t>N/A</t>
        </is>
      </c>
      <c r="Q337" s="235" t="inlineStr">
        <is>
          <t>PÓS-VENDA / RELACIONAMENTO</t>
        </is>
      </c>
      <c r="R337" s="235" t="inlineStr">
        <is>
          <t>FOLLOW UP 7</t>
        </is>
      </c>
      <c r="S337" s="235" t="inlineStr">
        <is>
          <t>AINDA TEM ESTOQUE</t>
        </is>
      </c>
      <c r="T337" s="235" t="n"/>
      <c r="U337" s="235" t="n"/>
      <c r="V337" s="235" t="n"/>
      <c r="W337" s="235" t="inlineStr">
        <is>
          <t>NÃO</t>
        </is>
      </c>
      <c r="X337" s="235" t="n"/>
    </row>
    <row r="338">
      <c r="A338" s="391" t="n">
        <v>46066</v>
      </c>
      <c r="B338" s="235" t="inlineStr">
        <is>
          <t>JULIO GADRET</t>
        </is>
      </c>
      <c r="C338" s="235" t="inlineStr">
        <is>
          <t>VIDA LEVE PR 52</t>
        </is>
      </c>
      <c r="D338" s="235" t="inlineStr">
        <is>
          <t>58.545.658/3461-94</t>
        </is>
      </c>
      <c r="E338" s="235" t="inlineStr">
        <is>
          <t>PR</t>
        </is>
      </c>
      <c r="F338" s="235" t="inlineStr">
        <is>
          <t>MUNDO VERDE</t>
        </is>
      </c>
      <c r="G338" s="235" t="inlineStr">
        <is>
          <t>INAT.REC</t>
        </is>
      </c>
      <c r="H338" s="235" t="n">
        <v>87</v>
      </c>
      <c r="I338" s="235" t="n"/>
      <c r="J338" s="235" t="n"/>
      <c r="K338" s="235" t="n"/>
      <c r="L338" s="235" t="n"/>
      <c r="M338" s="235" t="n"/>
      <c r="N338" s="235" t="inlineStr">
        <is>
          <t>SIM</t>
        </is>
      </c>
      <c r="O338" s="235" t="inlineStr">
        <is>
          <t>NÃO</t>
        </is>
      </c>
      <c r="P338" s="235" t="inlineStr">
        <is>
          <t>N/A</t>
        </is>
      </c>
      <c r="Q338" s="235" t="inlineStr">
        <is>
          <t>PÓS-VENDA / RELACIONAMENTO</t>
        </is>
      </c>
      <c r="R338" s="235" t="inlineStr">
        <is>
          <t>VENDA / PEDIDO</t>
        </is>
      </c>
      <c r="S338" s="235" t="n"/>
      <c r="T338" s="235" t="n"/>
      <c r="U338" s="235" t="n"/>
      <c r="V338" s="235" t="n"/>
      <c r="W338" s="235" t="inlineStr">
        <is>
          <t>NÃO</t>
        </is>
      </c>
      <c r="X338" s="235" t="n"/>
    </row>
    <row r="339">
      <c r="A339" s="391" t="n">
        <v>46058</v>
      </c>
      <c r="B339" s="235" t="inlineStr">
        <is>
          <t>MANU DITZEL</t>
        </is>
      </c>
      <c r="C339" s="235" t="inlineStr">
        <is>
          <t>EMPÓRIO NATURAL 19</t>
        </is>
      </c>
      <c r="D339" s="235" t="inlineStr">
        <is>
          <t>72.773.547/2225-20</t>
        </is>
      </c>
      <c r="E339" s="235" t="inlineStr">
        <is>
          <t>PR</t>
        </is>
      </c>
      <c r="F339" s="235" t="inlineStr">
        <is>
          <t>DEMAIS CLIENTES</t>
        </is>
      </c>
      <c r="G339" s="235" t="inlineStr">
        <is>
          <t>NOVO</t>
        </is>
      </c>
      <c r="H339" s="235" t="inlineStr"/>
      <c r="I339" s="235" t="n"/>
      <c r="J339" s="235" t="n"/>
      <c r="K339" s="235" t="n"/>
      <c r="L339" s="235" t="n"/>
      <c r="M339" s="235" t="n"/>
      <c r="N339" s="235" t="inlineStr">
        <is>
          <t>NÃO</t>
        </is>
      </c>
      <c r="O339" s="235" t="inlineStr">
        <is>
          <t>NÃO</t>
        </is>
      </c>
      <c r="P339" s="235" t="inlineStr">
        <is>
          <t>N/A</t>
        </is>
      </c>
      <c r="Q339" s="235" t="inlineStr">
        <is>
          <t>PÓS-VENDA / RELACIONAMENTO</t>
        </is>
      </c>
      <c r="R339" s="235" t="inlineStr">
        <is>
          <t>SUPORTE</t>
        </is>
      </c>
      <c r="S339" s="235" t="n"/>
      <c r="T339" s="235" t="n"/>
      <c r="U339" s="235" t="n"/>
      <c r="V339" s="235" t="n"/>
      <c r="W339" s="235" t="inlineStr">
        <is>
          <t>SIM</t>
        </is>
      </c>
      <c r="X339" s="235" t="n"/>
    </row>
    <row r="340">
      <c r="A340" s="391" t="n">
        <v>46067</v>
      </c>
      <c r="B340" s="235" t="inlineStr">
        <is>
          <t>LARISSA PADILHA</t>
        </is>
      </c>
      <c r="C340" s="235" t="inlineStr">
        <is>
          <t>EMPÓRIO BIO 50</t>
        </is>
      </c>
      <c r="D340" s="235" t="inlineStr">
        <is>
          <t>55.331.290/6960-87</t>
        </is>
      </c>
      <c r="E340" s="235" t="inlineStr">
        <is>
          <t>PR</t>
        </is>
      </c>
      <c r="F340" s="235" t="inlineStr">
        <is>
          <t>DIVINA TERRA</t>
        </is>
      </c>
      <c r="G340" s="235" t="inlineStr">
        <is>
          <t>INAT.ANT</t>
        </is>
      </c>
      <c r="H340" s="235" t="n">
        <v>273</v>
      </c>
      <c r="I340" s="235" t="n"/>
      <c r="J340" s="235" t="n"/>
      <c r="K340" s="235" t="n"/>
      <c r="L340" s="235" t="n"/>
      <c r="M340" s="235" t="n"/>
      <c r="N340" s="235" t="inlineStr">
        <is>
          <t>SIM</t>
        </is>
      </c>
      <c r="O340" s="235" t="inlineStr">
        <is>
          <t>SIM</t>
        </is>
      </c>
      <c r="P340" s="235" t="inlineStr">
        <is>
          <t>NÃO</t>
        </is>
      </c>
      <c r="Q340" s="235" t="inlineStr">
        <is>
          <t>ATEND. CLIENTES ATIVOS</t>
        </is>
      </c>
      <c r="R340" s="235" t="inlineStr">
        <is>
          <t>RELACIONAMENTO</t>
        </is>
      </c>
      <c r="S340" s="235" t="n"/>
      <c r="T340" s="235" t="n"/>
      <c r="U340" s="235" t="n"/>
      <c r="V340" s="235" t="n"/>
      <c r="W340" s="235" t="inlineStr">
        <is>
          <t>SIM</t>
        </is>
      </c>
      <c r="X340" s="235" t="n"/>
    </row>
    <row r="341">
      <c r="A341" s="391" t="n">
        <v>46076</v>
      </c>
      <c r="B341" s="235" t="inlineStr">
        <is>
          <t>LARISSA PADILHA</t>
        </is>
      </c>
      <c r="C341" s="235" t="inlineStr">
        <is>
          <t>VERDE ESSENCE 62</t>
        </is>
      </c>
      <c r="D341" s="235" t="inlineStr">
        <is>
          <t>98.181.245/8625-45</t>
        </is>
      </c>
      <c r="E341" s="235" t="inlineStr">
        <is>
          <t>RS</t>
        </is>
      </c>
      <c r="F341" s="235" t="inlineStr">
        <is>
          <t>MUNDO VERDE</t>
        </is>
      </c>
      <c r="G341" s="235" t="inlineStr">
        <is>
          <t>NOVO</t>
        </is>
      </c>
      <c r="H341" s="235" t="inlineStr"/>
      <c r="I341" s="235" t="n"/>
      <c r="J341" s="235" t="n"/>
      <c r="K341" s="235" t="n"/>
      <c r="L341" s="235" t="n"/>
      <c r="M341" s="235" t="n"/>
      <c r="N341" s="235" t="inlineStr">
        <is>
          <t>NÃO</t>
        </is>
      </c>
      <c r="O341" s="235" t="inlineStr">
        <is>
          <t>NÃO</t>
        </is>
      </c>
      <c r="P341" s="235" t="inlineStr">
        <is>
          <t>N/A</t>
        </is>
      </c>
      <c r="Q341" s="235" t="inlineStr">
        <is>
          <t>PROSPECÇÃO</t>
        </is>
      </c>
      <c r="R341" s="235" t="inlineStr">
        <is>
          <t>CADASTRO</t>
        </is>
      </c>
      <c r="S341" s="235" t="n"/>
      <c r="T341" s="235" t="n"/>
      <c r="U341" s="235" t="n"/>
      <c r="V341" s="235" t="n"/>
      <c r="W341" s="235" t="inlineStr">
        <is>
          <t>SIM</t>
        </is>
      </c>
      <c r="X341" s="235" t="n"/>
    </row>
    <row r="342">
      <c r="A342" s="391" t="n">
        <v>46074</v>
      </c>
      <c r="B342" s="235" t="inlineStr">
        <is>
          <t>LARISSA PADILHA</t>
        </is>
      </c>
      <c r="C342" s="235" t="inlineStr">
        <is>
          <t>VERDE ESSENCE 40</t>
        </is>
      </c>
      <c r="D342" s="235" t="inlineStr">
        <is>
          <t>88.154.451/8766-11</t>
        </is>
      </c>
      <c r="E342" s="235" t="inlineStr">
        <is>
          <t>RS</t>
        </is>
      </c>
      <c r="F342" s="235" t="inlineStr">
        <is>
          <t>DIVINA TERRA</t>
        </is>
      </c>
      <c r="G342" s="235" t="inlineStr">
        <is>
          <t>EM RISCO</t>
        </is>
      </c>
      <c r="H342" s="235" t="n">
        <v>56</v>
      </c>
      <c r="I342" s="235" t="n"/>
      <c r="J342" s="235" t="n"/>
      <c r="K342" s="235" t="n"/>
      <c r="L342" s="235" t="n"/>
      <c r="M342" s="235" t="n"/>
      <c r="N342" s="235" t="inlineStr">
        <is>
          <t>NÃO</t>
        </is>
      </c>
      <c r="O342" s="235" t="inlineStr">
        <is>
          <t>SIM</t>
        </is>
      </c>
      <c r="P342" s="235" t="inlineStr">
        <is>
          <t>SIM</t>
        </is>
      </c>
      <c r="Q342" s="235" t="inlineStr">
        <is>
          <t>ATEND. CLIENTES ATIVOS</t>
        </is>
      </c>
      <c r="R342" s="235" t="inlineStr">
        <is>
          <t>NÃO ATENDE</t>
        </is>
      </c>
      <c r="S342" s="235" t="inlineStr">
        <is>
          <t>SEM INTERESSE NO MOMENTO</t>
        </is>
      </c>
      <c r="T342" s="235" t="n"/>
      <c r="U342" s="235" t="n"/>
      <c r="V342" s="235" t="n"/>
      <c r="W342" s="235" t="inlineStr">
        <is>
          <t>NÃO</t>
        </is>
      </c>
      <c r="X342" s="235" t="n"/>
    </row>
    <row r="343">
      <c r="A343" s="391" t="n">
        <v>46077</v>
      </c>
      <c r="B343" s="235" t="inlineStr">
        <is>
          <t>DAIANE STAVICKI</t>
        </is>
      </c>
      <c r="C343" s="235" t="inlineStr">
        <is>
          <t>PONTO VERDE 08</t>
        </is>
      </c>
      <c r="D343" s="235" t="inlineStr">
        <is>
          <t>90.584.692/2771-83</t>
        </is>
      </c>
      <c r="E343" s="235" t="inlineStr">
        <is>
          <t>PR</t>
        </is>
      </c>
      <c r="F343" s="235" t="inlineStr">
        <is>
          <t>DEMAIS CLIENTES</t>
        </is>
      </c>
      <c r="G343" s="235" t="inlineStr">
        <is>
          <t>NOVO</t>
        </is>
      </c>
      <c r="H343" s="235" t="inlineStr"/>
      <c r="I343" s="235" t="n"/>
      <c r="J343" s="235" t="n"/>
      <c r="K343" s="235" t="n"/>
      <c r="L343" s="235" t="n"/>
      <c r="M343" s="235" t="n"/>
      <c r="N343" s="235" t="inlineStr">
        <is>
          <t>SIM</t>
        </is>
      </c>
      <c r="O343" s="235" t="inlineStr">
        <is>
          <t>NÃO</t>
        </is>
      </c>
      <c r="P343" s="235" t="inlineStr">
        <is>
          <t>N/A</t>
        </is>
      </c>
      <c r="Q343" s="235" t="inlineStr">
        <is>
          <t>ATEND. CLIENTES INATIVOS</t>
        </is>
      </c>
      <c r="R343" s="235" t="inlineStr">
        <is>
          <t>NÃO ATENDE</t>
        </is>
      </c>
      <c r="S343" s="235" t="inlineStr">
        <is>
          <t>SEM INTERESSE NO MOMENTO</t>
        </is>
      </c>
      <c r="T343" s="235" t="n"/>
      <c r="U343" s="235" t="n"/>
      <c r="V343" s="235" t="n"/>
      <c r="W343" s="235" t="inlineStr">
        <is>
          <t>SIM</t>
        </is>
      </c>
      <c r="X343" s="235" t="n"/>
    </row>
    <row r="344">
      <c r="A344" s="391" t="n">
        <v>46058</v>
      </c>
      <c r="B344" s="235" t="inlineStr">
        <is>
          <t>JULIO GADRET</t>
        </is>
      </c>
      <c r="C344" s="235" t="inlineStr">
        <is>
          <t>NATUR LIFE 33</t>
        </is>
      </c>
      <c r="D344" s="235" t="inlineStr">
        <is>
          <t>11.859.214/9894-32</t>
        </is>
      </c>
      <c r="E344" s="235" t="inlineStr">
        <is>
          <t>GO</t>
        </is>
      </c>
      <c r="F344" s="235" t="inlineStr">
        <is>
          <t>DEMAIS CLIENTES</t>
        </is>
      </c>
      <c r="G344" s="235" t="inlineStr">
        <is>
          <t>INAT.ANT</t>
        </is>
      </c>
      <c r="H344" s="235" t="n">
        <v>185</v>
      </c>
      <c r="I344" s="235" t="n"/>
      <c r="J344" s="235" t="n"/>
      <c r="K344" s="235" t="n"/>
      <c r="L344" s="235" t="n"/>
      <c r="M344" s="235" t="n"/>
      <c r="N344" s="235" t="inlineStr">
        <is>
          <t>NÃO</t>
        </is>
      </c>
      <c r="O344" s="235" t="inlineStr">
        <is>
          <t>NÃO</t>
        </is>
      </c>
      <c r="P344" s="235" t="inlineStr">
        <is>
          <t>N/A</t>
        </is>
      </c>
      <c r="Q344" s="235" t="inlineStr">
        <is>
          <t>PÓS-VENDA / RELACIONAMENTO</t>
        </is>
      </c>
      <c r="R344" s="235" t="inlineStr">
        <is>
          <t>RELACIONAMENTO</t>
        </is>
      </c>
      <c r="S344" s="235" t="n"/>
      <c r="T344" s="235" t="n"/>
      <c r="U344" s="235" t="n"/>
      <c r="V344" s="235" t="n"/>
      <c r="W344" s="235" t="inlineStr">
        <is>
          <t>NÃO</t>
        </is>
      </c>
      <c r="X344" s="235" t="n"/>
    </row>
    <row r="345">
      <c r="A345" s="391" t="n">
        <v>46081</v>
      </c>
      <c r="B345" s="235" t="inlineStr">
        <is>
          <t>MANU DITZEL</t>
        </is>
      </c>
      <c r="C345" s="235" t="inlineStr">
        <is>
          <t>GRÃO DE OURO 19</t>
        </is>
      </c>
      <c r="D345" s="235" t="inlineStr">
        <is>
          <t>86.941.257/8126-62</t>
        </is>
      </c>
      <c r="E345" s="235" t="inlineStr">
        <is>
          <t>RJ</t>
        </is>
      </c>
      <c r="F345" s="235" t="inlineStr">
        <is>
          <t>BIOMUNDO</t>
        </is>
      </c>
      <c r="G345" s="235" t="inlineStr">
        <is>
          <t>EM RISCO</t>
        </is>
      </c>
      <c r="H345" s="235" t="n">
        <v>53</v>
      </c>
      <c r="I345" s="235" t="n"/>
      <c r="J345" s="235" t="n"/>
      <c r="K345" s="235" t="n"/>
      <c r="L345" s="235" t="n"/>
      <c r="M345" s="235" t="n"/>
      <c r="N345" s="235" t="inlineStr">
        <is>
          <t>SIM</t>
        </is>
      </c>
      <c r="O345" s="235" t="inlineStr">
        <is>
          <t>NÃO</t>
        </is>
      </c>
      <c r="P345" s="235" t="inlineStr">
        <is>
          <t>N/A</t>
        </is>
      </c>
      <c r="Q345" s="235" t="inlineStr">
        <is>
          <t>NEGOCIAÇÃO</t>
        </is>
      </c>
      <c r="R345" s="235" t="inlineStr">
        <is>
          <t>VENDA / PEDIDO</t>
        </is>
      </c>
      <c r="S345" s="235" t="n"/>
      <c r="T345" s="235" t="n"/>
      <c r="U345" s="235" t="n"/>
      <c r="V345" s="235" t="n"/>
      <c r="W345" s="235" t="inlineStr">
        <is>
          <t>NÃO</t>
        </is>
      </c>
      <c r="X345" s="235" t="n"/>
    </row>
    <row r="346">
      <c r="A346" s="391" t="n">
        <v>46057</v>
      </c>
      <c r="B346" s="235" t="inlineStr">
        <is>
          <t>MANU DITZEL</t>
        </is>
      </c>
      <c r="C346" s="235" t="inlineStr">
        <is>
          <t>NATURAL HOUSE 52</t>
        </is>
      </c>
      <c r="D346" s="235" t="inlineStr">
        <is>
          <t>70.408.587/8725-39</t>
        </is>
      </c>
      <c r="E346" s="235" t="inlineStr">
        <is>
          <t>SC</t>
        </is>
      </c>
      <c r="F346" s="235" t="inlineStr">
        <is>
          <t>DEMAIS CLIENTES</t>
        </is>
      </c>
      <c r="G346" s="235" t="inlineStr">
        <is>
          <t>EM RISCO</t>
        </is>
      </c>
      <c r="H346" s="235" t="n">
        <v>53</v>
      </c>
      <c r="I346" s="235" t="n"/>
      <c r="J346" s="235" t="n"/>
      <c r="K346" s="235" t="n"/>
      <c r="L346" s="235" t="n"/>
      <c r="M346" s="235" t="n"/>
      <c r="N346" s="235" t="inlineStr">
        <is>
          <t>SIM</t>
        </is>
      </c>
      <c r="O346" s="235" t="inlineStr">
        <is>
          <t>NÃO</t>
        </is>
      </c>
      <c r="P346" s="235" t="inlineStr">
        <is>
          <t>N/A</t>
        </is>
      </c>
      <c r="Q346" s="235" t="inlineStr">
        <is>
          <t>ATEND. CLIENTES ATIVOS</t>
        </is>
      </c>
      <c r="R346" s="235" t="inlineStr">
        <is>
          <t>RELACIONAMENTO</t>
        </is>
      </c>
      <c r="S346" s="235" t="n"/>
      <c r="T346" s="235" t="n"/>
      <c r="U346" s="235" t="n"/>
      <c r="V346" s="235" t="n"/>
      <c r="W346" s="235" t="inlineStr">
        <is>
          <t>SIM</t>
        </is>
      </c>
      <c r="X346" s="235" t="n"/>
    </row>
    <row r="347">
      <c r="A347" s="391" t="n">
        <v>46064</v>
      </c>
      <c r="B347" s="235" t="inlineStr">
        <is>
          <t>DAIANE STAVICKI</t>
        </is>
      </c>
      <c r="C347" s="235" t="inlineStr">
        <is>
          <t>MUNDO VERDE CWB 13</t>
        </is>
      </c>
      <c r="D347" s="235" t="inlineStr">
        <is>
          <t>78.752.462/7075-88</t>
        </is>
      </c>
      <c r="E347" s="235" t="inlineStr">
        <is>
          <t>GO</t>
        </is>
      </c>
      <c r="F347" s="235" t="inlineStr">
        <is>
          <t>DEMAIS CLIENTES</t>
        </is>
      </c>
      <c r="G347" s="235" t="inlineStr">
        <is>
          <t>ATIVO</t>
        </is>
      </c>
      <c r="H347" s="235" t="n">
        <v>22</v>
      </c>
      <c r="I347" s="235" t="n"/>
      <c r="J347" s="235" t="n"/>
      <c r="K347" s="235" t="n"/>
      <c r="L347" s="235" t="n"/>
      <c r="M347" s="235" t="n"/>
      <c r="N347" s="235" t="inlineStr">
        <is>
          <t>SIM</t>
        </is>
      </c>
      <c r="O347" s="235" t="inlineStr">
        <is>
          <t>NÃO</t>
        </is>
      </c>
      <c r="P347" s="235" t="inlineStr">
        <is>
          <t>N/A</t>
        </is>
      </c>
      <c r="Q347" s="235" t="inlineStr">
        <is>
          <t>PÓS-VENDA / RELACIONAMENTO</t>
        </is>
      </c>
      <c r="R347" s="235" t="inlineStr">
        <is>
          <t>RELACIONAMENTO</t>
        </is>
      </c>
      <c r="S347" s="235" t="n"/>
      <c r="T347" s="235" t="n"/>
      <c r="U347" s="235" t="n"/>
      <c r="V347" s="235" t="n"/>
      <c r="W347" s="235" t="inlineStr">
        <is>
          <t>NÃO</t>
        </is>
      </c>
      <c r="X347" s="235" t="n"/>
    </row>
    <row r="348">
      <c r="A348" s="391" t="n">
        <v>46061</v>
      </c>
      <c r="B348" s="235" t="inlineStr">
        <is>
          <t>JULIO GADRET</t>
        </is>
      </c>
      <c r="C348" s="235" t="inlineStr">
        <is>
          <t>VERDE ESSENCE 99</t>
        </is>
      </c>
      <c r="D348" s="235" t="inlineStr">
        <is>
          <t>34.632.445/2948-50</t>
        </is>
      </c>
      <c r="E348" s="235" t="inlineStr">
        <is>
          <t>RS</t>
        </is>
      </c>
      <c r="F348" s="235" t="inlineStr">
        <is>
          <t>TUDO EM GRAOS</t>
        </is>
      </c>
      <c r="G348" s="235" t="inlineStr">
        <is>
          <t>NOVO</t>
        </is>
      </c>
      <c r="H348" s="235" t="inlineStr"/>
      <c r="I348" s="235" t="n"/>
      <c r="J348" s="235" t="n"/>
      <c r="K348" s="235" t="n"/>
      <c r="L348" s="235" t="n"/>
      <c r="M348" s="235" t="n"/>
      <c r="N348" s="235" t="inlineStr">
        <is>
          <t>SIM</t>
        </is>
      </c>
      <c r="O348" s="235" t="inlineStr">
        <is>
          <t>SIM</t>
        </is>
      </c>
      <c r="P348" s="235" t="inlineStr">
        <is>
          <t>SIM</t>
        </is>
      </c>
      <c r="Q348" s="235" t="inlineStr">
        <is>
          <t>PROSPECÇÃO</t>
        </is>
      </c>
      <c r="R348" s="235" t="inlineStr">
        <is>
          <t>EM ATENDIMENTO</t>
        </is>
      </c>
      <c r="S348" s="235" t="n"/>
      <c r="T348" s="235" t="n"/>
      <c r="U348" s="235" t="n"/>
      <c r="V348" s="235" t="n"/>
      <c r="W348" s="235" t="inlineStr">
        <is>
          <t>SIM</t>
        </is>
      </c>
      <c r="X348" s="235" t="n"/>
    </row>
    <row r="349">
      <c r="A349" s="391" t="n">
        <v>46060</v>
      </c>
      <c r="B349" s="235" t="inlineStr">
        <is>
          <t>MANU DITZEL</t>
        </is>
      </c>
      <c r="C349" s="235" t="inlineStr">
        <is>
          <t>CORPO E MENTE 12</t>
        </is>
      </c>
      <c r="D349" s="235" t="inlineStr">
        <is>
          <t>17.708.772/3553-86</t>
        </is>
      </c>
      <c r="E349" s="235" t="inlineStr">
        <is>
          <t>SP</t>
        </is>
      </c>
      <c r="F349" s="235" t="inlineStr">
        <is>
          <t>DEMAIS CLIENTES</t>
        </is>
      </c>
      <c r="G349" s="235" t="inlineStr">
        <is>
          <t>ATIVO</t>
        </is>
      </c>
      <c r="H349" s="235" t="n">
        <v>43</v>
      </c>
      <c r="I349" s="235" t="n"/>
      <c r="J349" s="235" t="n"/>
      <c r="K349" s="235" t="n"/>
      <c r="L349" s="235" t="n"/>
      <c r="M349" s="235" t="n"/>
      <c r="N349" s="235" t="inlineStr">
        <is>
          <t>NÃO</t>
        </is>
      </c>
      <c r="O349" s="235" t="inlineStr">
        <is>
          <t>NÃO</t>
        </is>
      </c>
      <c r="P349" s="235" t="inlineStr">
        <is>
          <t>N/A</t>
        </is>
      </c>
      <c r="Q349" s="235" t="inlineStr">
        <is>
          <t>PROSPECÇÃO</t>
        </is>
      </c>
      <c r="R349" s="235" t="inlineStr">
        <is>
          <t>NÃO ATENDE</t>
        </is>
      </c>
      <c r="S349" s="235" t="inlineStr">
        <is>
          <t>PRIMEIRO CONTATO / SEM RESPOSTA</t>
        </is>
      </c>
      <c r="T349" s="235" t="n"/>
      <c r="U349" s="235" t="n"/>
      <c r="V349" s="235" t="n"/>
      <c r="W349" s="235" t="inlineStr">
        <is>
          <t>NÃO</t>
        </is>
      </c>
      <c r="X349" s="235" t="n"/>
    </row>
    <row r="350">
      <c r="A350" s="391" t="n">
        <v>46076</v>
      </c>
      <c r="B350" s="235" t="inlineStr">
        <is>
          <t>MANU DITZEL</t>
        </is>
      </c>
      <c r="C350" s="235" t="inlineStr">
        <is>
          <t>ECO SAUDE 60</t>
        </is>
      </c>
      <c r="D350" s="235" t="inlineStr">
        <is>
          <t>94.177.754/7430-45</t>
        </is>
      </c>
      <c r="E350" s="235" t="inlineStr">
        <is>
          <t>RJ</t>
        </is>
      </c>
      <c r="F350" s="235" t="inlineStr">
        <is>
          <t>TUDO EM GRAOS</t>
        </is>
      </c>
      <c r="G350" s="235" t="inlineStr">
        <is>
          <t>INAT.ANT</t>
        </is>
      </c>
      <c r="H350" s="235" t="n">
        <v>288</v>
      </c>
      <c r="I350" s="235" t="n"/>
      <c r="J350" s="235" t="n"/>
      <c r="K350" s="235" t="n"/>
      <c r="L350" s="235" t="n"/>
      <c r="M350" s="235" t="n"/>
      <c r="N350" s="235" t="inlineStr">
        <is>
          <t>SIM</t>
        </is>
      </c>
      <c r="O350" s="235" t="inlineStr">
        <is>
          <t>NÃO</t>
        </is>
      </c>
      <c r="P350" s="235" t="inlineStr">
        <is>
          <t>N/A</t>
        </is>
      </c>
      <c r="Q350" s="235" t="inlineStr">
        <is>
          <t>FOLLOW UP</t>
        </is>
      </c>
      <c r="R350" s="235" t="inlineStr">
        <is>
          <t>ORÇAMENTO</t>
        </is>
      </c>
      <c r="S350" s="235" t="n"/>
      <c r="T350" s="235" t="n"/>
      <c r="U350" s="235" t="n"/>
      <c r="V350" s="235" t="n"/>
      <c r="W350" s="235" t="inlineStr">
        <is>
          <t>SIM</t>
        </is>
      </c>
      <c r="X350" s="235" t="n"/>
    </row>
    <row r="351">
      <c r="A351" s="391" t="n">
        <v>46064</v>
      </c>
      <c r="B351" s="235" t="inlineStr">
        <is>
          <t>DAIANE STAVICKI</t>
        </is>
      </c>
      <c r="C351" s="235" t="inlineStr">
        <is>
          <t>PONTO VERDE 34</t>
        </is>
      </c>
      <c r="D351" s="235" t="inlineStr">
        <is>
          <t>32.551.171/8057-35</t>
        </is>
      </c>
      <c r="E351" s="235" t="inlineStr">
        <is>
          <t>SP</t>
        </is>
      </c>
      <c r="F351" s="235" t="inlineStr">
        <is>
          <t>BIOMUNDO</t>
        </is>
      </c>
      <c r="G351" s="235" t="inlineStr">
        <is>
          <t>EM RISCO</t>
        </is>
      </c>
      <c r="H351" s="235" t="n">
        <v>53</v>
      </c>
      <c r="I351" s="235" t="n"/>
      <c r="J351" s="235" t="n"/>
      <c r="K351" s="235" t="n"/>
      <c r="L351" s="235" t="n"/>
      <c r="M351" s="235" t="n"/>
      <c r="N351" s="235" t="inlineStr">
        <is>
          <t>SIM</t>
        </is>
      </c>
      <c r="O351" s="235" t="inlineStr">
        <is>
          <t>SIM</t>
        </is>
      </c>
      <c r="P351" s="235" t="inlineStr">
        <is>
          <t>SIM</t>
        </is>
      </c>
      <c r="Q351" s="235" t="inlineStr">
        <is>
          <t>ATEND. CLIENTES ATIVOS</t>
        </is>
      </c>
      <c r="R351" s="235" t="inlineStr">
        <is>
          <t>RELACIONAMENTO</t>
        </is>
      </c>
      <c r="S351" s="235" t="n"/>
      <c r="T351" s="235" t="n"/>
      <c r="U351" s="235" t="n"/>
      <c r="V351" s="235" t="n"/>
      <c r="W351" s="235" t="inlineStr">
        <is>
          <t>SIM</t>
        </is>
      </c>
      <c r="X351" s="235" t="n"/>
    </row>
    <row r="352">
      <c r="A352" s="391" t="n">
        <v>46055</v>
      </c>
      <c r="B352" s="235" t="inlineStr">
        <is>
          <t>MANU DITZEL</t>
        </is>
      </c>
      <c r="C352" s="235" t="inlineStr">
        <is>
          <t>PURA VIDA 94</t>
        </is>
      </c>
      <c r="D352" s="235" t="inlineStr">
        <is>
          <t>42.895.556/0308-73</t>
        </is>
      </c>
      <c r="E352" s="235" t="inlineStr">
        <is>
          <t>PR</t>
        </is>
      </c>
      <c r="F352" s="235" t="inlineStr">
        <is>
          <t>TUDO EM GRAOS</t>
        </is>
      </c>
      <c r="G352" s="235" t="inlineStr">
        <is>
          <t>PROSPECT</t>
        </is>
      </c>
      <c r="H352" s="235" t="inlineStr"/>
      <c r="I352" s="235" t="n"/>
      <c r="J352" s="235" t="n"/>
      <c r="K352" s="235" t="n"/>
      <c r="L352" s="235" t="n"/>
      <c r="M352" s="235" t="n"/>
      <c r="N352" s="235" t="inlineStr">
        <is>
          <t>NÃO</t>
        </is>
      </c>
      <c r="O352" s="235" t="inlineStr">
        <is>
          <t>NÃO</t>
        </is>
      </c>
      <c r="P352" s="235" t="inlineStr">
        <is>
          <t>N/A</t>
        </is>
      </c>
      <c r="Q352" s="235" t="inlineStr">
        <is>
          <t>ATEND. CLIENTES INATIVOS</t>
        </is>
      </c>
      <c r="R352" s="235" t="inlineStr">
        <is>
          <t>NÃO ATENDE</t>
        </is>
      </c>
      <c r="S352" s="235" t="inlineStr">
        <is>
          <t>PROBLEMA LOGÍSTICO / ENTREGA</t>
        </is>
      </c>
      <c r="T352" s="235" t="n"/>
      <c r="U352" s="235" t="n"/>
      <c r="V352" s="235" t="n"/>
      <c r="W352" s="235" t="inlineStr">
        <is>
          <t>SIM</t>
        </is>
      </c>
      <c r="X352" s="235" t="n"/>
    </row>
    <row r="353">
      <c r="A353" s="391" t="n">
        <v>46078</v>
      </c>
      <c r="B353" s="235" t="inlineStr">
        <is>
          <t>LARISSA PADILHA</t>
        </is>
      </c>
      <c r="C353" s="235" t="inlineStr">
        <is>
          <t>SAUDE NA MESA 52</t>
        </is>
      </c>
      <c r="D353" s="235" t="inlineStr">
        <is>
          <t>18.653.331/0055-59</t>
        </is>
      </c>
      <c r="E353" s="235" t="inlineStr">
        <is>
          <t>DF</t>
        </is>
      </c>
      <c r="F353" s="235" t="inlineStr">
        <is>
          <t>DEMAIS CLIENTES</t>
        </is>
      </c>
      <c r="G353" s="235" t="inlineStr">
        <is>
          <t>EM RISCO</t>
        </is>
      </c>
      <c r="H353" s="235" t="n">
        <v>60</v>
      </c>
      <c r="I353" s="235" t="n"/>
      <c r="J353" s="235" t="n"/>
      <c r="K353" s="235" t="n"/>
      <c r="L353" s="235" t="n"/>
      <c r="M353" s="235" t="n"/>
      <c r="N353" s="235" t="inlineStr">
        <is>
          <t>SIM</t>
        </is>
      </c>
      <c r="O353" s="235" t="inlineStr">
        <is>
          <t>SIM</t>
        </is>
      </c>
      <c r="P353" s="235" t="inlineStr">
        <is>
          <t>SIM</t>
        </is>
      </c>
      <c r="Q353" s="235" t="inlineStr">
        <is>
          <t>ATEND. CLIENTES ATIVOS</t>
        </is>
      </c>
      <c r="R353" s="235" t="inlineStr">
        <is>
          <t>NÃO ATENDE</t>
        </is>
      </c>
      <c r="S353" s="235" t="inlineStr">
        <is>
          <t>PRIMEIRO CONTATO / SEM RESPOSTA</t>
        </is>
      </c>
      <c r="T353" s="235" t="n"/>
      <c r="U353" s="235" t="n"/>
      <c r="V353" s="235" t="n"/>
      <c r="W353" s="235" t="inlineStr">
        <is>
          <t>SIM</t>
        </is>
      </c>
      <c r="X353" s="235" t="n"/>
    </row>
    <row r="354">
      <c r="A354" s="391" t="n">
        <v>46065</v>
      </c>
      <c r="B354" s="235" t="inlineStr">
        <is>
          <t>LARISSA PADILHA</t>
        </is>
      </c>
      <c r="C354" s="235" t="inlineStr">
        <is>
          <t>SAUDE TOTAL 11</t>
        </is>
      </c>
      <c r="D354" s="235" t="inlineStr">
        <is>
          <t>68.878.884/4751-92</t>
        </is>
      </c>
      <c r="E354" s="235" t="inlineStr">
        <is>
          <t>PR</t>
        </is>
      </c>
      <c r="F354" s="235" t="inlineStr">
        <is>
          <t>VIDA LEVE</t>
        </is>
      </c>
      <c r="G354" s="235" t="inlineStr">
        <is>
          <t>PROSPECT</t>
        </is>
      </c>
      <c r="H354" s="235" t="inlineStr"/>
      <c r="I354" s="235" t="n"/>
      <c r="J354" s="235" t="n"/>
      <c r="K354" s="235" t="n"/>
      <c r="L354" s="235" t="n"/>
      <c r="M354" s="235" t="n"/>
      <c r="N354" s="235" t="inlineStr">
        <is>
          <t>SIM</t>
        </is>
      </c>
      <c r="O354" s="235" t="inlineStr">
        <is>
          <t>SIM</t>
        </is>
      </c>
      <c r="P354" s="235" t="inlineStr">
        <is>
          <t>NÃO</t>
        </is>
      </c>
      <c r="Q354" s="235" t="inlineStr">
        <is>
          <t>ATEND. CLIENTES INATIVOS</t>
        </is>
      </c>
      <c r="R354" s="235" t="inlineStr">
        <is>
          <t>NÃO ATENDE</t>
        </is>
      </c>
      <c r="S354" s="235" t="inlineStr">
        <is>
          <t>SÓ QUER COMPRAR GRANEL</t>
        </is>
      </c>
      <c r="T354" s="235" t="n"/>
      <c r="U354" s="235" t="n"/>
      <c r="V354" s="235" t="n"/>
      <c r="W354" s="235" t="inlineStr">
        <is>
          <t>NÃO</t>
        </is>
      </c>
      <c r="X354" s="235" t="n"/>
    </row>
    <row r="355">
      <c r="A355" s="391" t="n">
        <v>46068</v>
      </c>
      <c r="B355" s="235" t="inlineStr">
        <is>
          <t>JULIO GADRET</t>
        </is>
      </c>
      <c r="C355" s="235" t="inlineStr">
        <is>
          <t>FIT STORE 05</t>
        </is>
      </c>
      <c r="D355" s="235" t="inlineStr">
        <is>
          <t>34.125.837/9715-40</t>
        </is>
      </c>
      <c r="E355" s="235" t="inlineStr">
        <is>
          <t>RS</t>
        </is>
      </c>
      <c r="F355" s="235" t="inlineStr">
        <is>
          <t>MUNDO VERDE</t>
        </is>
      </c>
      <c r="G355" s="235" t="inlineStr">
        <is>
          <t>INAT.REC</t>
        </is>
      </c>
      <c r="H355" s="235" t="n">
        <v>70</v>
      </c>
      <c r="I355" s="235" t="n"/>
      <c r="J355" s="235" t="n"/>
      <c r="K355" s="235" t="n"/>
      <c r="L355" s="235" t="n"/>
      <c r="M355" s="235" t="n"/>
      <c r="N355" s="235" t="inlineStr">
        <is>
          <t>NÃO</t>
        </is>
      </c>
      <c r="O355" s="235" t="inlineStr">
        <is>
          <t>NÃO</t>
        </is>
      </c>
      <c r="P355" s="235" t="inlineStr">
        <is>
          <t>N/A</t>
        </is>
      </c>
      <c r="Q355" s="235" t="inlineStr">
        <is>
          <t>ATEND. CLIENTES ATIVOS</t>
        </is>
      </c>
      <c r="R355" s="235" t="inlineStr">
        <is>
          <t>NÃO ATENDE</t>
        </is>
      </c>
      <c r="S355" s="235" t="inlineStr">
        <is>
          <t>AINDA TEM ESTOQUE</t>
        </is>
      </c>
      <c r="T355" s="235" t="n"/>
      <c r="U355" s="235" t="n"/>
      <c r="V355" s="235" t="n"/>
      <c r="W355" s="235" t="inlineStr">
        <is>
          <t>SIM</t>
        </is>
      </c>
      <c r="X355" s="235" t="n"/>
    </row>
    <row r="356">
      <c r="A356" s="391" t="n">
        <v>46064</v>
      </c>
      <c r="B356" s="235" t="inlineStr">
        <is>
          <t>DAIANE STAVICKI</t>
        </is>
      </c>
      <c r="C356" s="235" t="inlineStr">
        <is>
          <t>MUNDO VERDE CWB 52</t>
        </is>
      </c>
      <c r="D356" s="235" t="inlineStr">
        <is>
          <t>25.316.926/8571-68</t>
        </is>
      </c>
      <c r="E356" s="235" t="inlineStr">
        <is>
          <t>DF</t>
        </is>
      </c>
      <c r="F356" s="235" t="inlineStr">
        <is>
          <t>DEMAIS CLIENTES</t>
        </is>
      </c>
      <c r="G356" s="235" t="inlineStr">
        <is>
          <t>INAT.REC</t>
        </is>
      </c>
      <c r="H356" s="235" t="n">
        <v>84</v>
      </c>
      <c r="I356" s="235" t="n"/>
      <c r="J356" s="235" t="n"/>
      <c r="K356" s="235" t="n"/>
      <c r="L356" s="235" t="n"/>
      <c r="M356" s="235" t="n"/>
      <c r="N356" s="235" t="inlineStr">
        <is>
          <t>SIM</t>
        </is>
      </c>
      <c r="O356" s="235" t="inlineStr">
        <is>
          <t>SIM</t>
        </is>
      </c>
      <c r="P356" s="235" t="inlineStr">
        <is>
          <t>NÃO</t>
        </is>
      </c>
      <c r="Q356" s="235" t="inlineStr">
        <is>
          <t>ATEND. CLIENTES ATIVOS</t>
        </is>
      </c>
      <c r="R356" s="235" t="inlineStr">
        <is>
          <t>EM ATENDIMENTO</t>
        </is>
      </c>
      <c r="S356" s="235" t="n"/>
      <c r="T356" s="235" t="n"/>
      <c r="U356" s="235" t="n"/>
      <c r="V356" s="235" t="n"/>
      <c r="W356" s="235" t="inlineStr">
        <is>
          <t>SIM</t>
        </is>
      </c>
      <c r="X356" s="235" t="n"/>
    </row>
    <row r="357">
      <c r="A357" s="391" t="n">
        <v>46073</v>
      </c>
      <c r="B357" s="235" t="inlineStr">
        <is>
          <t>MANU DITZEL</t>
        </is>
      </c>
      <c r="C357" s="235" t="inlineStr">
        <is>
          <t>FIT STORE 02</t>
        </is>
      </c>
      <c r="D357" s="235" t="inlineStr">
        <is>
          <t>32.747.151/5036-22</t>
        </is>
      </c>
      <c r="E357" s="235" t="inlineStr">
        <is>
          <t>RS</t>
        </is>
      </c>
      <c r="F357" s="235" t="inlineStr">
        <is>
          <t>BIOMUNDO</t>
        </is>
      </c>
      <c r="G357" s="235" t="inlineStr">
        <is>
          <t>INAT.REC</t>
        </is>
      </c>
      <c r="H357" s="235" t="n">
        <v>87</v>
      </c>
      <c r="I357" s="235" t="n"/>
      <c r="J357" s="235" t="n"/>
      <c r="K357" s="235" t="n"/>
      <c r="L357" s="235" t="n"/>
      <c r="M357" s="235" t="n"/>
      <c r="N357" s="235" t="inlineStr">
        <is>
          <t>SIM</t>
        </is>
      </c>
      <c r="O357" s="235" t="inlineStr">
        <is>
          <t>NÃO</t>
        </is>
      </c>
      <c r="P357" s="235" t="inlineStr">
        <is>
          <t>N/A</t>
        </is>
      </c>
      <c r="Q357" s="235" t="inlineStr">
        <is>
          <t>PÓS-VENDA / RELACIONAMENTO</t>
        </is>
      </c>
      <c r="R357" s="235" t="inlineStr">
        <is>
          <t>RELACIONAMENTO</t>
        </is>
      </c>
      <c r="S357" s="235" t="n"/>
      <c r="T357" s="235" t="n"/>
      <c r="U357" s="235" t="n"/>
      <c r="V357" s="235" t="n"/>
      <c r="W357" s="235" t="inlineStr">
        <is>
          <t>SIM</t>
        </is>
      </c>
      <c r="X357" s="235" t="n"/>
    </row>
    <row r="358">
      <c r="A358" s="391" t="n">
        <v>46060</v>
      </c>
      <c r="B358" s="235" t="inlineStr">
        <is>
          <t>LARISSA PADILHA</t>
        </is>
      </c>
      <c r="C358" s="235" t="inlineStr">
        <is>
          <t>TUDO GRÃOS SC 42</t>
        </is>
      </c>
      <c r="D358" s="235" t="inlineStr">
        <is>
          <t>25.800.689/8944-27</t>
        </is>
      </c>
      <c r="E358" s="235" t="inlineStr">
        <is>
          <t>SC</t>
        </is>
      </c>
      <c r="F358" s="235" t="inlineStr">
        <is>
          <t>DEMAIS CLIENTES</t>
        </is>
      </c>
      <c r="G358" s="235" t="inlineStr">
        <is>
          <t>ATIVO</t>
        </is>
      </c>
      <c r="H358" s="235" t="n">
        <v>7</v>
      </c>
      <c r="I358" s="235" t="n"/>
      <c r="J358" s="235" t="n"/>
      <c r="K358" s="235" t="n"/>
      <c r="L358" s="235" t="n"/>
      <c r="M358" s="235" t="n"/>
      <c r="N358" s="235" t="inlineStr">
        <is>
          <t>SIM</t>
        </is>
      </c>
      <c r="O358" s="235" t="inlineStr">
        <is>
          <t>SIM</t>
        </is>
      </c>
      <c r="P358" s="235" t="inlineStr">
        <is>
          <t>SIM</t>
        </is>
      </c>
      <c r="Q358" s="235" t="inlineStr">
        <is>
          <t>ATEND. CLIENTES ATIVOS</t>
        </is>
      </c>
      <c r="R358" s="235" t="inlineStr">
        <is>
          <t>ORÇAMENTO</t>
        </is>
      </c>
      <c r="S358" s="235" t="n"/>
      <c r="T358" s="235" t="n"/>
      <c r="U358" s="235" t="n"/>
      <c r="V358" s="235" t="n"/>
      <c r="W358" s="235" t="inlineStr">
        <is>
          <t>NÃO</t>
        </is>
      </c>
      <c r="X358" s="235" t="n"/>
    </row>
    <row r="359">
      <c r="A359" s="391" t="n">
        <v>46071</v>
      </c>
      <c r="B359" s="235" t="inlineStr">
        <is>
          <t>MANU DITZEL</t>
        </is>
      </c>
      <c r="C359" s="235" t="inlineStr">
        <is>
          <t>ARMAZEM FIT 75</t>
        </is>
      </c>
      <c r="D359" s="235" t="inlineStr">
        <is>
          <t>15.236.202/6163-30</t>
        </is>
      </c>
      <c r="E359" s="235" t="inlineStr">
        <is>
          <t>PR</t>
        </is>
      </c>
      <c r="F359" s="235" t="inlineStr">
        <is>
          <t>DIVINA TERRA</t>
        </is>
      </c>
      <c r="G359" s="235" t="inlineStr">
        <is>
          <t>ATIVO</t>
        </is>
      </c>
      <c r="H359" s="235" t="n">
        <v>16</v>
      </c>
      <c r="I359" s="235" t="n"/>
      <c r="J359" s="235" t="n"/>
      <c r="K359" s="235" t="n"/>
      <c r="L359" s="235" t="n"/>
      <c r="M359" s="235" t="n"/>
      <c r="N359" s="235" t="inlineStr">
        <is>
          <t>SIM</t>
        </is>
      </c>
      <c r="O359" s="235" t="inlineStr">
        <is>
          <t>SIM</t>
        </is>
      </c>
      <c r="P359" s="235" t="inlineStr">
        <is>
          <t>NÃO</t>
        </is>
      </c>
      <c r="Q359" s="235" t="inlineStr">
        <is>
          <t>PÓS-VENDA / RELACIONAMENTO</t>
        </is>
      </c>
      <c r="R359" s="235" t="inlineStr">
        <is>
          <t>SUPORTE</t>
        </is>
      </c>
      <c r="S359" s="235" t="n"/>
      <c r="T359" s="235" t="n"/>
      <c r="U359" s="235" t="n"/>
      <c r="V359" s="235" t="n"/>
      <c r="W359" s="235" t="inlineStr">
        <is>
          <t>NÃO</t>
        </is>
      </c>
      <c r="X359" s="235" t="n"/>
    </row>
    <row r="360">
      <c r="A360" s="391" t="n">
        <v>46069</v>
      </c>
      <c r="B360" s="235" t="inlineStr">
        <is>
          <t>JULIO GADRET</t>
        </is>
      </c>
      <c r="C360" s="235" t="inlineStr">
        <is>
          <t>DIVINA TERRA RJ 19</t>
        </is>
      </c>
      <c r="D360" s="235" t="inlineStr">
        <is>
          <t>91.377.635/7380-62</t>
        </is>
      </c>
      <c r="E360" s="235" t="inlineStr">
        <is>
          <t>PR</t>
        </is>
      </c>
      <c r="F360" s="235" t="inlineStr">
        <is>
          <t>BIOMUNDO</t>
        </is>
      </c>
      <c r="G360" s="235" t="inlineStr">
        <is>
          <t>INAT.ANT</t>
        </is>
      </c>
      <c r="H360" s="235" t="n">
        <v>243</v>
      </c>
      <c r="I360" s="235" t="n"/>
      <c r="J360" s="235" t="n"/>
      <c r="K360" s="235" t="n"/>
      <c r="L360" s="235" t="n"/>
      <c r="M360" s="235" t="n"/>
      <c r="N360" s="235" t="inlineStr">
        <is>
          <t>NÃO</t>
        </is>
      </c>
      <c r="O360" s="235" t="inlineStr">
        <is>
          <t>NÃO</t>
        </is>
      </c>
      <c r="P360" s="235" t="inlineStr">
        <is>
          <t>N/A</t>
        </is>
      </c>
      <c r="Q360" s="235" t="inlineStr">
        <is>
          <t>NEGOCIAÇÃO</t>
        </is>
      </c>
      <c r="R360" s="235" t="inlineStr">
        <is>
          <t>CADASTRO</t>
        </is>
      </c>
      <c r="S360" s="235" t="n"/>
      <c r="T360" s="235" t="n"/>
      <c r="U360" s="235" t="n"/>
      <c r="V360" s="235" t="n"/>
      <c r="W360" s="235" t="inlineStr">
        <is>
          <t>NÃO</t>
        </is>
      </c>
      <c r="X360" s="235" t="n"/>
    </row>
    <row r="361">
      <c r="A361" s="391" t="n">
        <v>46065</v>
      </c>
      <c r="B361" s="235" t="inlineStr">
        <is>
          <t>LARISSA PADILHA</t>
        </is>
      </c>
      <c r="C361" s="235" t="inlineStr">
        <is>
          <t>ESSENCE FOOD 31</t>
        </is>
      </c>
      <c r="D361" s="235" t="inlineStr">
        <is>
          <t>34.220.642/1568-89</t>
        </is>
      </c>
      <c r="E361" s="235" t="inlineStr">
        <is>
          <t>SC</t>
        </is>
      </c>
      <c r="F361" s="235" t="inlineStr">
        <is>
          <t>DEMAIS CLIENTES</t>
        </is>
      </c>
      <c r="G361" s="235" t="inlineStr">
        <is>
          <t>INAT.REC</t>
        </is>
      </c>
      <c r="H361" s="235" t="n">
        <v>68</v>
      </c>
      <c r="I361" s="235" t="n"/>
      <c r="J361" s="235" t="n"/>
      <c r="K361" s="235" t="n"/>
      <c r="L361" s="235" t="n"/>
      <c r="M361" s="235" t="n"/>
      <c r="N361" s="235" t="inlineStr">
        <is>
          <t>SIM</t>
        </is>
      </c>
      <c r="O361" s="235" t="inlineStr">
        <is>
          <t>SIM</t>
        </is>
      </c>
      <c r="P361" s="235" t="inlineStr">
        <is>
          <t>SIM</t>
        </is>
      </c>
      <c r="Q361" s="235" t="inlineStr">
        <is>
          <t>ATEND. CLIENTES ATIVOS</t>
        </is>
      </c>
      <c r="R361" s="235" t="inlineStr">
        <is>
          <t>FOLLOW UP 7</t>
        </is>
      </c>
      <c r="S361" s="235" t="inlineStr">
        <is>
          <t>AINDA TEM ESTOQUE</t>
        </is>
      </c>
      <c r="T361" s="235" t="n"/>
      <c r="U361" s="235" t="n"/>
      <c r="V361" s="235" t="n"/>
      <c r="W361" s="235" t="inlineStr">
        <is>
          <t>NÃO</t>
        </is>
      </c>
      <c r="X361" s="235" t="n"/>
    </row>
    <row r="362">
      <c r="A362" s="391" t="n">
        <v>46069</v>
      </c>
      <c r="B362" s="235" t="inlineStr">
        <is>
          <t>LARISSA PADILHA</t>
        </is>
      </c>
      <c r="C362" s="235" t="inlineStr">
        <is>
          <t>BEM ESTAR 86</t>
        </is>
      </c>
      <c r="D362" s="235" t="inlineStr">
        <is>
          <t>15.155.760/5967-46</t>
        </is>
      </c>
      <c r="E362" s="235" t="inlineStr">
        <is>
          <t>PR</t>
        </is>
      </c>
      <c r="F362" s="235" t="inlineStr">
        <is>
          <t>CIA DA SAUDE</t>
        </is>
      </c>
      <c r="G362" s="235" t="inlineStr">
        <is>
          <t>INAT.REC</t>
        </is>
      </c>
      <c r="H362" s="235" t="n">
        <v>89</v>
      </c>
      <c r="I362" s="235" t="n"/>
      <c r="J362" s="235" t="n"/>
      <c r="K362" s="235" t="n"/>
      <c r="L362" s="235" t="n"/>
      <c r="M362" s="235" t="n"/>
      <c r="N362" s="235" t="inlineStr">
        <is>
          <t>NÃO</t>
        </is>
      </c>
      <c r="O362" s="235" t="inlineStr">
        <is>
          <t>NÃO</t>
        </is>
      </c>
      <c r="P362" s="235" t="inlineStr">
        <is>
          <t>N/A</t>
        </is>
      </c>
      <c r="Q362" s="235" t="inlineStr">
        <is>
          <t>PÓS-VENDA / RELACIONAMENTO</t>
        </is>
      </c>
      <c r="R362" s="235" t="inlineStr">
        <is>
          <t>RELACIONAMENTO</t>
        </is>
      </c>
      <c r="S362" s="235" t="n"/>
      <c r="T362" s="235" t="n"/>
      <c r="U362" s="235" t="n"/>
      <c r="V362" s="235" t="n"/>
      <c r="W362" s="235" t="inlineStr">
        <is>
          <t>SIM</t>
        </is>
      </c>
      <c r="X362" s="235" t="n"/>
    </row>
    <row r="363">
      <c r="A363" s="391" t="n">
        <v>46079</v>
      </c>
      <c r="B363" s="235" t="inlineStr">
        <is>
          <t>MANU DITZEL</t>
        </is>
      </c>
      <c r="C363" s="235" t="inlineStr">
        <is>
          <t>GRÃO FINO 15</t>
        </is>
      </c>
      <c r="D363" s="235" t="inlineStr">
        <is>
          <t>19.340.838/7288-85</t>
        </is>
      </c>
      <c r="E363" s="235" t="inlineStr">
        <is>
          <t>SP</t>
        </is>
      </c>
      <c r="F363" s="235" t="inlineStr">
        <is>
          <t>FIT LAND</t>
        </is>
      </c>
      <c r="G363" s="235" t="inlineStr">
        <is>
          <t>INAT.ANT</t>
        </is>
      </c>
      <c r="H363" s="235" t="n">
        <v>174</v>
      </c>
      <c r="I363" s="235" t="n"/>
      <c r="J363" s="235" t="n"/>
      <c r="K363" s="235" t="n"/>
      <c r="L363" s="235" t="n"/>
      <c r="M363" s="235" t="n"/>
      <c r="N363" s="235" t="inlineStr">
        <is>
          <t>SIM</t>
        </is>
      </c>
      <c r="O363" s="235" t="inlineStr">
        <is>
          <t>SIM</t>
        </is>
      </c>
      <c r="P363" s="235" t="inlineStr">
        <is>
          <t>SIM</t>
        </is>
      </c>
      <c r="Q363" s="235" t="inlineStr">
        <is>
          <t>NEGOCIAÇÃO</t>
        </is>
      </c>
      <c r="R363" s="235" t="inlineStr">
        <is>
          <t>EM ATENDIMENTO</t>
        </is>
      </c>
      <c r="S363" s="235" t="n"/>
      <c r="T363" s="235" t="n"/>
      <c r="U363" s="235" t="n"/>
      <c r="V363" s="235" t="n"/>
      <c r="W363" s="235" t="inlineStr">
        <is>
          <t>SIM</t>
        </is>
      </c>
      <c r="X363" s="235" t="n"/>
    </row>
    <row r="364">
      <c r="A364" s="391" t="n">
        <v>46061</v>
      </c>
      <c r="B364" s="235" t="inlineStr">
        <is>
          <t>MANU DITZEL</t>
        </is>
      </c>
      <c r="C364" s="235" t="inlineStr">
        <is>
          <t>VERDE ESSENCE 63</t>
        </is>
      </c>
      <c r="D364" s="235" t="inlineStr">
        <is>
          <t>16.546.248/3542-88</t>
        </is>
      </c>
      <c r="E364" s="235" t="inlineStr">
        <is>
          <t>RS</t>
        </is>
      </c>
      <c r="F364" s="235" t="inlineStr">
        <is>
          <t>FIT LAND</t>
        </is>
      </c>
      <c r="G364" s="235" t="inlineStr">
        <is>
          <t>ATIVO</t>
        </is>
      </c>
      <c r="H364" s="235" t="n">
        <v>17</v>
      </c>
      <c r="I364" s="235" t="n"/>
      <c r="J364" s="235" t="n"/>
      <c r="K364" s="235" t="n"/>
      <c r="L364" s="235" t="n"/>
      <c r="M364" s="235" t="n"/>
      <c r="N364" s="235" t="inlineStr">
        <is>
          <t>SIM</t>
        </is>
      </c>
      <c r="O364" s="235" t="inlineStr">
        <is>
          <t>SIM</t>
        </is>
      </c>
      <c r="P364" s="235" t="inlineStr">
        <is>
          <t>NÃO</t>
        </is>
      </c>
      <c r="Q364" s="235" t="inlineStr">
        <is>
          <t>ATEND. CLIENTES INATIVOS</t>
        </is>
      </c>
      <c r="R364" s="235" t="inlineStr">
        <is>
          <t>FOLLOW UP 15</t>
        </is>
      </c>
      <c r="S364" s="235" t="inlineStr">
        <is>
          <t>AINDA TEM ESTOQUE</t>
        </is>
      </c>
      <c r="T364" s="235" t="n"/>
      <c r="U364" s="235" t="n"/>
      <c r="V364" s="235" t="n"/>
      <c r="W364" s="235" t="inlineStr">
        <is>
          <t>SIM</t>
        </is>
      </c>
      <c r="X364" s="235" t="n"/>
    </row>
    <row r="365">
      <c r="A365" s="391" t="n">
        <v>46081</v>
      </c>
      <c r="B365" s="235" t="inlineStr">
        <is>
          <t>LARISSA PADILHA</t>
        </is>
      </c>
      <c r="C365" s="235" t="inlineStr">
        <is>
          <t>NUTRI SHOP 22</t>
        </is>
      </c>
      <c r="D365" s="235" t="inlineStr">
        <is>
          <t>53.325.402/9890-30</t>
        </is>
      </c>
      <c r="E365" s="235" t="inlineStr">
        <is>
          <t>MG</t>
        </is>
      </c>
      <c r="F365" s="235" t="inlineStr">
        <is>
          <t>TUDO EM GRAOS</t>
        </is>
      </c>
      <c r="G365" s="235" t="inlineStr">
        <is>
          <t>INAT.REC</t>
        </is>
      </c>
      <c r="H365" s="235" t="n">
        <v>66</v>
      </c>
      <c r="I365" s="235" t="n"/>
      <c r="J365" s="235" t="n"/>
      <c r="K365" s="235" t="n"/>
      <c r="L365" s="235" t="n"/>
      <c r="M365" s="235" t="n"/>
      <c r="N365" s="235" t="inlineStr">
        <is>
          <t>SIM</t>
        </is>
      </c>
      <c r="O365" s="235" t="inlineStr">
        <is>
          <t>SIM</t>
        </is>
      </c>
      <c r="P365" s="235" t="inlineStr">
        <is>
          <t>SIM</t>
        </is>
      </c>
      <c r="Q365" s="235" t="inlineStr">
        <is>
          <t>ATEND. CLIENTES ATIVOS</t>
        </is>
      </c>
      <c r="R365" s="235" t="inlineStr">
        <is>
          <t>FOLLOW UP 7</t>
        </is>
      </c>
      <c r="S365" s="235" t="inlineStr">
        <is>
          <t>SEM INTERESSE NO MOMENTO</t>
        </is>
      </c>
      <c r="T365" s="235" t="n"/>
      <c r="U365" s="235" t="n"/>
      <c r="V365" s="235" t="n"/>
      <c r="W365" s="235" t="inlineStr">
        <is>
          <t>SIM</t>
        </is>
      </c>
      <c r="X365" s="235" t="n"/>
    </row>
    <row r="366">
      <c r="A366" s="391" t="n">
        <v>46069</v>
      </c>
      <c r="B366" s="235" t="inlineStr">
        <is>
          <t>DAIANE STAVICKI</t>
        </is>
      </c>
      <c r="C366" s="235" t="inlineStr">
        <is>
          <t>NATUR LIFE 02</t>
        </is>
      </c>
      <c r="D366" s="235" t="inlineStr">
        <is>
          <t>64.853.993/4042-41</t>
        </is>
      </c>
      <c r="E366" s="235" t="inlineStr">
        <is>
          <t>SC</t>
        </is>
      </c>
      <c r="F366" s="235" t="inlineStr">
        <is>
          <t>VIDA LEVE</t>
        </is>
      </c>
      <c r="G366" s="235" t="inlineStr">
        <is>
          <t>NOVO</t>
        </is>
      </c>
      <c r="H366" s="235" t="inlineStr"/>
      <c r="I366" s="235" t="n"/>
      <c r="J366" s="235" t="n"/>
      <c r="K366" s="235" t="n"/>
      <c r="L366" s="235" t="n"/>
      <c r="M366" s="235" t="n"/>
      <c r="N366" s="235" t="inlineStr">
        <is>
          <t>SIM</t>
        </is>
      </c>
      <c r="O366" s="235" t="inlineStr">
        <is>
          <t>SIM</t>
        </is>
      </c>
      <c r="P366" s="235" t="inlineStr">
        <is>
          <t>NÃO</t>
        </is>
      </c>
      <c r="Q366" s="235" t="inlineStr">
        <is>
          <t>ATEND. CLIENTES ATIVOS</t>
        </is>
      </c>
      <c r="R366" s="235" t="inlineStr">
        <is>
          <t>VENDA / PEDIDO</t>
        </is>
      </c>
      <c r="S366" s="235" t="n"/>
      <c r="T366" s="235" t="n"/>
      <c r="U366" s="235" t="n"/>
      <c r="V366" s="235" t="n"/>
      <c r="W366" s="235" t="inlineStr">
        <is>
          <t>SIM</t>
        </is>
      </c>
      <c r="X366" s="235" t="n"/>
    </row>
    <row r="367">
      <c r="A367" s="391" t="n">
        <v>46069</v>
      </c>
      <c r="B367" s="235" t="inlineStr">
        <is>
          <t>JULIO GADRET</t>
        </is>
      </c>
      <c r="C367" s="235" t="inlineStr">
        <is>
          <t>GRÃO FINO 05</t>
        </is>
      </c>
      <c r="D367" s="235" t="inlineStr">
        <is>
          <t>64.643.503/7853-99</t>
        </is>
      </c>
      <c r="E367" s="235" t="inlineStr">
        <is>
          <t>MG</t>
        </is>
      </c>
      <c r="F367" s="235" t="inlineStr">
        <is>
          <t>DIVINA TERRA</t>
        </is>
      </c>
      <c r="G367" s="235" t="inlineStr">
        <is>
          <t>ATIVO</t>
        </is>
      </c>
      <c r="H367" s="235" t="n">
        <v>40</v>
      </c>
      <c r="I367" s="235" t="n"/>
      <c r="J367" s="235" t="n"/>
      <c r="K367" s="235" t="n"/>
      <c r="L367" s="235" t="n"/>
      <c r="M367" s="235" t="n"/>
      <c r="N367" s="235" t="inlineStr">
        <is>
          <t>SIM</t>
        </is>
      </c>
      <c r="O367" s="235" t="inlineStr">
        <is>
          <t>SIM</t>
        </is>
      </c>
      <c r="P367" s="235" t="inlineStr">
        <is>
          <t>SIM</t>
        </is>
      </c>
      <c r="Q367" s="235" t="inlineStr">
        <is>
          <t>PÓS-VENDA / RELACIONAMENTO</t>
        </is>
      </c>
      <c r="R367" s="235" t="inlineStr">
        <is>
          <t>SUPORTE</t>
        </is>
      </c>
      <c r="S367" s="235" t="n"/>
      <c r="T367" s="235" t="n"/>
      <c r="U367" s="235" t="n"/>
      <c r="V367" s="235" t="n"/>
      <c r="W367" s="235" t="inlineStr">
        <is>
          <t>SIM</t>
        </is>
      </c>
      <c r="X367" s="235" t="n"/>
    </row>
    <row r="368">
      <c r="A368" s="391" t="n">
        <v>46056</v>
      </c>
      <c r="B368" s="235" t="inlineStr">
        <is>
          <t>MANU DITZEL</t>
        </is>
      </c>
      <c r="C368" s="235" t="inlineStr">
        <is>
          <t>EMPÓRIO DO CAMPO 21</t>
        </is>
      </c>
      <c r="D368" s="235" t="inlineStr">
        <is>
          <t>68.978.684/9563-13</t>
        </is>
      </c>
      <c r="E368" s="235" t="inlineStr">
        <is>
          <t>CE</t>
        </is>
      </c>
      <c r="F368" s="235" t="inlineStr">
        <is>
          <t>DIVINA TERRA</t>
        </is>
      </c>
      <c r="G368" s="235" t="inlineStr">
        <is>
          <t>ATIVO</t>
        </is>
      </c>
      <c r="H368" s="235" t="n">
        <v>50</v>
      </c>
      <c r="I368" s="235" t="n"/>
      <c r="J368" s="235" t="n"/>
      <c r="K368" s="235" t="n"/>
      <c r="L368" s="235" t="n"/>
      <c r="M368" s="235" t="n"/>
      <c r="N368" s="235" t="inlineStr">
        <is>
          <t>SIM</t>
        </is>
      </c>
      <c r="O368" s="235" t="inlineStr">
        <is>
          <t>NÃO</t>
        </is>
      </c>
      <c r="P368" s="235" t="inlineStr">
        <is>
          <t>N/A</t>
        </is>
      </c>
      <c r="Q368" s="235" t="inlineStr">
        <is>
          <t>ATEND. CLIENTES ATIVOS</t>
        </is>
      </c>
      <c r="R368" s="235" t="inlineStr">
        <is>
          <t>SUPORTE</t>
        </is>
      </c>
      <c r="S368" s="235" t="n"/>
      <c r="T368" s="235" t="n"/>
      <c r="U368" s="235" t="n"/>
      <c r="V368" s="235" t="n"/>
      <c r="W368" s="235" t="inlineStr">
        <is>
          <t>SIM</t>
        </is>
      </c>
      <c r="X368" s="235" t="n"/>
    </row>
    <row r="369">
      <c r="A369" s="391" t="n">
        <v>46081</v>
      </c>
      <c r="B369" s="235" t="inlineStr">
        <is>
          <t>JULIO GADRET</t>
        </is>
      </c>
      <c r="C369" s="235" t="inlineStr">
        <is>
          <t>VIDA LEVE PR 89</t>
        </is>
      </c>
      <c r="D369" s="235" t="inlineStr">
        <is>
          <t>52.643.133/4860-64</t>
        </is>
      </c>
      <c r="E369" s="235" t="inlineStr">
        <is>
          <t>RJ</t>
        </is>
      </c>
      <c r="F369" s="235" t="inlineStr">
        <is>
          <t>TUDO EM GRAOS</t>
        </is>
      </c>
      <c r="G369" s="235" t="inlineStr">
        <is>
          <t>INAT.REC</t>
        </is>
      </c>
      <c r="H369" s="235" t="n">
        <v>79</v>
      </c>
      <c r="I369" s="235" t="n"/>
      <c r="J369" s="235" t="n"/>
      <c r="K369" s="235" t="n"/>
      <c r="L369" s="235" t="n"/>
      <c r="M369" s="235" t="n"/>
      <c r="N369" s="235" t="inlineStr">
        <is>
          <t>SIM</t>
        </is>
      </c>
      <c r="O369" s="235" t="inlineStr">
        <is>
          <t>NÃO</t>
        </is>
      </c>
      <c r="P369" s="235" t="inlineStr">
        <is>
          <t>N/A</t>
        </is>
      </c>
      <c r="Q369" s="235" t="inlineStr">
        <is>
          <t>PÓS-VENDA / RELACIONAMENTO</t>
        </is>
      </c>
      <c r="R369" s="235" t="inlineStr">
        <is>
          <t>VENDA / PEDIDO</t>
        </is>
      </c>
      <c r="S369" s="235" t="n"/>
      <c r="T369" s="235" t="n"/>
      <c r="U369" s="235" t="n"/>
      <c r="V369" s="235" t="n"/>
      <c r="W369" s="235" t="inlineStr">
        <is>
          <t>NÃO</t>
        </is>
      </c>
      <c r="X369" s="235" t="n"/>
    </row>
    <row r="370">
      <c r="A370" s="391" t="n">
        <v>46055</v>
      </c>
      <c r="B370" s="235" t="inlineStr">
        <is>
          <t>LARISSA PADILHA</t>
        </is>
      </c>
      <c r="C370" s="235" t="inlineStr">
        <is>
          <t>GRANEL &amp; CIA 07</t>
        </is>
      </c>
      <c r="D370" s="235" t="inlineStr">
        <is>
          <t>24.492.474/7625-89</t>
        </is>
      </c>
      <c r="E370" s="235" t="inlineStr">
        <is>
          <t>PR</t>
        </is>
      </c>
      <c r="F370" s="235" t="inlineStr">
        <is>
          <t>CIA DA SAUDE</t>
        </is>
      </c>
      <c r="G370" s="235" t="inlineStr">
        <is>
          <t>INAT.ANT</t>
        </is>
      </c>
      <c r="H370" s="235" t="n">
        <v>271</v>
      </c>
      <c r="I370" s="235" t="n"/>
      <c r="J370" s="235" t="n"/>
      <c r="K370" s="235" t="n"/>
      <c r="L370" s="235" t="n"/>
      <c r="M370" s="235" t="n"/>
      <c r="N370" s="235" t="inlineStr">
        <is>
          <t>SIM</t>
        </is>
      </c>
      <c r="O370" s="235" t="inlineStr">
        <is>
          <t>NÃO</t>
        </is>
      </c>
      <c r="P370" s="235" t="inlineStr">
        <is>
          <t>N/A</t>
        </is>
      </c>
      <c r="Q370" s="235" t="inlineStr">
        <is>
          <t>PROSPECÇÃO</t>
        </is>
      </c>
      <c r="R370" s="235" t="inlineStr">
        <is>
          <t>NÃO RESPONDE</t>
        </is>
      </c>
      <c r="S370" s="235" t="inlineStr">
        <is>
          <t>AINDA TEM ESTOQUE</t>
        </is>
      </c>
      <c r="T370" s="235" t="n"/>
      <c r="U370" s="235" t="n"/>
      <c r="V370" s="235" t="n"/>
      <c r="W370" s="235" t="inlineStr">
        <is>
          <t>SIM</t>
        </is>
      </c>
      <c r="X370" s="235" t="n"/>
    </row>
    <row r="371">
      <c r="A371" s="391" t="n">
        <v>46069</v>
      </c>
      <c r="B371" s="235" t="inlineStr">
        <is>
          <t>JULIO GADRET</t>
        </is>
      </c>
      <c r="C371" s="235" t="inlineStr">
        <is>
          <t>VERDE ESSENCE 90</t>
        </is>
      </c>
      <c r="D371" s="235" t="inlineStr">
        <is>
          <t>36.871.862/3694-51</t>
        </is>
      </c>
      <c r="E371" s="235" t="inlineStr">
        <is>
          <t>SC</t>
        </is>
      </c>
      <c r="F371" s="235" t="inlineStr">
        <is>
          <t>CIA DA SAUDE</t>
        </is>
      </c>
      <c r="G371" s="235" t="inlineStr">
        <is>
          <t>INAT.ANT</t>
        </is>
      </c>
      <c r="H371" s="235" t="n">
        <v>161</v>
      </c>
      <c r="I371" s="235" t="n"/>
      <c r="J371" s="235" t="n"/>
      <c r="K371" s="235" t="n"/>
      <c r="L371" s="235" t="n"/>
      <c r="M371" s="235" t="n"/>
      <c r="N371" s="235" t="inlineStr">
        <is>
          <t>SIM</t>
        </is>
      </c>
      <c r="O371" s="235" t="inlineStr">
        <is>
          <t>NÃO</t>
        </is>
      </c>
      <c r="P371" s="235" t="inlineStr">
        <is>
          <t>N/A</t>
        </is>
      </c>
      <c r="Q371" s="235" t="inlineStr">
        <is>
          <t>PROSPECÇÃO</t>
        </is>
      </c>
      <c r="R371" s="235" t="inlineStr">
        <is>
          <t>CADASTRO</t>
        </is>
      </c>
      <c r="S371" s="235" t="n"/>
      <c r="T371" s="235" t="n"/>
      <c r="U371" s="235" t="n"/>
      <c r="V371" s="235" t="n"/>
      <c r="W371" s="235" t="inlineStr">
        <is>
          <t>NÃO</t>
        </is>
      </c>
      <c r="X371" s="235" t="n"/>
    </row>
    <row r="372">
      <c r="A372" s="391" t="n">
        <v>46069</v>
      </c>
      <c r="B372" s="235" t="inlineStr">
        <is>
          <t>JULIO GADRET</t>
        </is>
      </c>
      <c r="C372" s="235" t="inlineStr">
        <is>
          <t>BIO FIT 38</t>
        </is>
      </c>
      <c r="D372" s="235" t="inlineStr">
        <is>
          <t>67.735.476/1076-34</t>
        </is>
      </c>
      <c r="E372" s="235" t="inlineStr">
        <is>
          <t>BA</t>
        </is>
      </c>
      <c r="F372" s="235" t="inlineStr">
        <is>
          <t>DIVINA TERRA</t>
        </is>
      </c>
      <c r="G372" s="235" t="inlineStr">
        <is>
          <t>ATIVO</t>
        </is>
      </c>
      <c r="H372" s="235" t="n">
        <v>16</v>
      </c>
      <c r="I372" s="235" t="n"/>
      <c r="J372" s="235" t="n"/>
      <c r="K372" s="235" t="n"/>
      <c r="L372" s="235" t="n"/>
      <c r="M372" s="235" t="n"/>
      <c r="N372" s="235" t="inlineStr">
        <is>
          <t>SIM</t>
        </is>
      </c>
      <c r="O372" s="235" t="inlineStr">
        <is>
          <t>SIM</t>
        </is>
      </c>
      <c r="P372" s="235" t="inlineStr">
        <is>
          <t>NÃO</t>
        </is>
      </c>
      <c r="Q372" s="235" t="inlineStr">
        <is>
          <t>FOLLOW UP</t>
        </is>
      </c>
      <c r="R372" s="235" t="inlineStr">
        <is>
          <t>SUPORTE</t>
        </is>
      </c>
      <c r="S372" s="235" t="n"/>
      <c r="T372" s="235" t="n"/>
      <c r="U372" s="235" t="n"/>
      <c r="V372" s="235" t="n"/>
      <c r="W372" s="235" t="inlineStr">
        <is>
          <t>SIM</t>
        </is>
      </c>
      <c r="X372" s="235" t="n"/>
    </row>
    <row r="373">
      <c r="A373" s="391" t="n">
        <v>46081</v>
      </c>
      <c r="B373" s="235" t="inlineStr">
        <is>
          <t>MANU DITZEL</t>
        </is>
      </c>
      <c r="C373" s="235" t="inlineStr">
        <is>
          <t>EMPÓRIO NATURAL 38</t>
        </is>
      </c>
      <c r="D373" s="235" t="inlineStr">
        <is>
          <t>63.798.654/2164-70</t>
        </is>
      </c>
      <c r="E373" s="235" t="inlineStr">
        <is>
          <t>SC</t>
        </is>
      </c>
      <c r="F373" s="235" t="inlineStr">
        <is>
          <t>FIT LAND</t>
        </is>
      </c>
      <c r="G373" s="235" t="inlineStr">
        <is>
          <t>INAT.ANT</t>
        </is>
      </c>
      <c r="H373" s="235" t="n">
        <v>165</v>
      </c>
      <c r="I373" s="235" t="n"/>
      <c r="J373" s="235" t="n"/>
      <c r="K373" s="235" t="n"/>
      <c r="L373" s="235" t="n"/>
      <c r="M373" s="235" t="n"/>
      <c r="N373" s="235" t="inlineStr">
        <is>
          <t>NÃO</t>
        </is>
      </c>
      <c r="O373" s="235" t="inlineStr">
        <is>
          <t>NÃO</t>
        </is>
      </c>
      <c r="P373" s="235" t="inlineStr">
        <is>
          <t>N/A</t>
        </is>
      </c>
      <c r="Q373" s="235" t="inlineStr">
        <is>
          <t>NEGOCIAÇÃO</t>
        </is>
      </c>
      <c r="R373" s="235" t="inlineStr">
        <is>
          <t>EM ATENDIMENTO</t>
        </is>
      </c>
      <c r="S373" s="235" t="n"/>
      <c r="T373" s="235" t="n"/>
      <c r="U373" s="235" t="n"/>
      <c r="V373" s="235" t="n"/>
      <c r="W373" s="235" t="inlineStr">
        <is>
          <t>SIM</t>
        </is>
      </c>
      <c r="X373" s="235" t="n"/>
    </row>
    <row r="374">
      <c r="A374" s="391" t="n">
        <v>46064</v>
      </c>
      <c r="B374" s="235" t="inlineStr">
        <is>
          <t>LARISSA PADILHA</t>
        </is>
      </c>
      <c r="C374" s="235" t="inlineStr">
        <is>
          <t>SAUDE TOTAL 84</t>
        </is>
      </c>
      <c r="D374" s="235" t="inlineStr">
        <is>
          <t>92.905.434/7966-85</t>
        </is>
      </c>
      <c r="E374" s="235" t="inlineStr">
        <is>
          <t>SP</t>
        </is>
      </c>
      <c r="F374" s="235" t="inlineStr">
        <is>
          <t>VIDA LEVE</t>
        </is>
      </c>
      <c r="G374" s="235" t="inlineStr">
        <is>
          <t>INAT.REC</t>
        </is>
      </c>
      <c r="H374" s="235" t="n">
        <v>75</v>
      </c>
      <c r="I374" s="235" t="n"/>
      <c r="J374" s="235" t="n"/>
      <c r="K374" s="235" t="n"/>
      <c r="L374" s="235" t="n"/>
      <c r="M374" s="235" t="n"/>
      <c r="N374" s="235" t="inlineStr">
        <is>
          <t>NÃO</t>
        </is>
      </c>
      <c r="O374" s="235" t="inlineStr">
        <is>
          <t>SIM</t>
        </is>
      </c>
      <c r="P374" s="235" t="inlineStr">
        <is>
          <t>SIM</t>
        </is>
      </c>
      <c r="Q374" s="235" t="inlineStr">
        <is>
          <t>FOLLOW UP</t>
        </is>
      </c>
      <c r="R374" s="235" t="inlineStr">
        <is>
          <t>EM ATENDIMENTO</t>
        </is>
      </c>
      <c r="S374" s="235" t="n"/>
      <c r="T374" s="235" t="n"/>
      <c r="U374" s="235" t="n"/>
      <c r="V374" s="235" t="n"/>
      <c r="W374" s="235" t="inlineStr">
        <is>
          <t>SIM</t>
        </is>
      </c>
      <c r="X374" s="235" t="n"/>
    </row>
    <row r="375">
      <c r="A375" s="391" t="n">
        <v>46063</v>
      </c>
      <c r="B375" s="235" t="inlineStr">
        <is>
          <t>DAIANE STAVICKI</t>
        </is>
      </c>
      <c r="C375" s="235" t="inlineStr">
        <is>
          <t>BIOMUNDO CTB 19</t>
        </is>
      </c>
      <c r="D375" s="235" t="inlineStr">
        <is>
          <t>55.391.566/2726-89</t>
        </is>
      </c>
      <c r="E375" s="235" t="inlineStr">
        <is>
          <t>GO</t>
        </is>
      </c>
      <c r="F375" s="235" t="inlineStr">
        <is>
          <t>DEMAIS CLIENTES</t>
        </is>
      </c>
      <c r="G375" s="235" t="inlineStr">
        <is>
          <t>ATIVO</t>
        </is>
      </c>
      <c r="H375" s="235" t="n">
        <v>16</v>
      </c>
      <c r="I375" s="235" t="n"/>
      <c r="J375" s="235" t="n"/>
      <c r="K375" s="235" t="n"/>
      <c r="L375" s="235" t="n"/>
      <c r="M375" s="235" t="n"/>
      <c r="N375" s="235" t="inlineStr">
        <is>
          <t>SIM</t>
        </is>
      </c>
      <c r="O375" s="235" t="inlineStr">
        <is>
          <t>SIM</t>
        </is>
      </c>
      <c r="P375" s="235" t="inlineStr">
        <is>
          <t>SIM</t>
        </is>
      </c>
      <c r="Q375" s="235" t="inlineStr">
        <is>
          <t>PÓS-VENDA / RELACIONAMENTO</t>
        </is>
      </c>
      <c r="R375" s="235" t="inlineStr">
        <is>
          <t>SUPORTE</t>
        </is>
      </c>
      <c r="S375" s="235" t="n"/>
      <c r="T375" s="235" t="n"/>
      <c r="U375" s="235" t="n"/>
      <c r="V375" s="235" t="n"/>
      <c r="W375" s="235" t="inlineStr">
        <is>
          <t>SIM</t>
        </is>
      </c>
      <c r="X375" s="235" t="n"/>
    </row>
    <row r="376">
      <c r="A376" s="391" t="n">
        <v>46064</v>
      </c>
      <c r="B376" s="235" t="inlineStr">
        <is>
          <t>LARISSA PADILHA</t>
        </is>
      </c>
      <c r="C376" s="235" t="inlineStr">
        <is>
          <t>EMPÓRIO BIO 34</t>
        </is>
      </c>
      <c r="D376" s="235" t="inlineStr">
        <is>
          <t>57.288.310/9216-14</t>
        </is>
      </c>
      <c r="E376" s="235" t="inlineStr">
        <is>
          <t>SP</t>
        </is>
      </c>
      <c r="F376" s="235" t="inlineStr">
        <is>
          <t>DEMAIS CLIENTES</t>
        </is>
      </c>
      <c r="G376" s="235" t="inlineStr">
        <is>
          <t>ATIVO</t>
        </is>
      </c>
      <c r="H376" s="235" t="n">
        <v>33</v>
      </c>
      <c r="I376" s="235" t="n"/>
      <c r="J376" s="235" t="n"/>
      <c r="K376" s="235" t="n"/>
      <c r="L376" s="235" t="n"/>
      <c r="M376" s="235" t="n"/>
      <c r="N376" s="235" t="inlineStr">
        <is>
          <t>SIM</t>
        </is>
      </c>
      <c r="O376" s="235" t="inlineStr">
        <is>
          <t>NÃO</t>
        </is>
      </c>
      <c r="P376" s="235" t="inlineStr">
        <is>
          <t>N/A</t>
        </is>
      </c>
      <c r="Q376" s="235" t="inlineStr">
        <is>
          <t>ATEND. CLIENTES ATIVOS</t>
        </is>
      </c>
      <c r="R376" s="235" t="inlineStr">
        <is>
          <t>VENDA / PEDIDO</t>
        </is>
      </c>
      <c r="S376" s="235" t="n"/>
      <c r="T376" s="235" t="n"/>
      <c r="U376" s="235" t="n"/>
      <c r="V376" s="235" t="n"/>
      <c r="W376" s="235" t="inlineStr">
        <is>
          <t>SIM</t>
        </is>
      </c>
      <c r="X376" s="235" t="n"/>
    </row>
    <row r="377">
      <c r="A377" s="391" t="n">
        <v>46069</v>
      </c>
      <c r="B377" s="235" t="inlineStr">
        <is>
          <t>DAIANE STAVICKI</t>
        </is>
      </c>
      <c r="C377" s="235" t="inlineStr">
        <is>
          <t>NATURAL HOUSE 41</t>
        </is>
      </c>
      <c r="D377" s="235" t="inlineStr">
        <is>
          <t>29.104.856/8949-74</t>
        </is>
      </c>
      <c r="E377" s="235" t="inlineStr">
        <is>
          <t>SC</t>
        </is>
      </c>
      <c r="F377" s="235" t="inlineStr">
        <is>
          <t>DEMAIS CLIENTES</t>
        </is>
      </c>
      <c r="G377" s="235" t="inlineStr">
        <is>
          <t>EM RISCO</t>
        </is>
      </c>
      <c r="H377" s="235" t="n">
        <v>55</v>
      </c>
      <c r="I377" s="235" t="n"/>
      <c r="J377" s="235" t="n"/>
      <c r="K377" s="235" t="n"/>
      <c r="L377" s="235" t="n"/>
      <c r="M377" s="235" t="n"/>
      <c r="N377" s="235" t="inlineStr">
        <is>
          <t>NÃO</t>
        </is>
      </c>
      <c r="O377" s="235" t="inlineStr">
        <is>
          <t>NÃO</t>
        </is>
      </c>
      <c r="P377" s="235" t="inlineStr">
        <is>
          <t>N/A</t>
        </is>
      </c>
      <c r="Q377" s="235" t="inlineStr">
        <is>
          <t>PERDA / NUTRIÇÃO</t>
        </is>
      </c>
      <c r="R377" s="235" t="inlineStr">
        <is>
          <t>RECUSOU LIGAÇÃO</t>
        </is>
      </c>
      <c r="S377" s="235" t="inlineStr">
        <is>
          <t>PROPRIETARIO / INDISPONÍVEL</t>
        </is>
      </c>
      <c r="T377" s="235" t="n"/>
      <c r="U377" s="235" t="n"/>
      <c r="V377" s="235" t="n"/>
      <c r="W377" s="235" t="inlineStr">
        <is>
          <t>NÃO</t>
        </is>
      </c>
      <c r="X377" s="235" t="n"/>
    </row>
    <row r="378">
      <c r="A378" s="391" t="n">
        <v>46068</v>
      </c>
      <c r="B378" s="235" t="inlineStr">
        <is>
          <t>MANU DITZEL</t>
        </is>
      </c>
      <c r="C378" s="235" t="inlineStr">
        <is>
          <t>CASA DO GRANEL 94</t>
        </is>
      </c>
      <c r="D378" s="235" t="inlineStr">
        <is>
          <t>71.141.242/9027-24</t>
        </is>
      </c>
      <c r="E378" s="235" t="inlineStr">
        <is>
          <t>SC</t>
        </is>
      </c>
      <c r="F378" s="235" t="inlineStr">
        <is>
          <t>FIT LAND</t>
        </is>
      </c>
      <c r="G378" s="235" t="inlineStr">
        <is>
          <t>NOVO</t>
        </is>
      </c>
      <c r="H378" s="235" t="inlineStr"/>
      <c r="I378" s="235" t="n"/>
      <c r="J378" s="235" t="n"/>
      <c r="K378" s="235" t="n"/>
      <c r="L378" s="235" t="n"/>
      <c r="M378" s="235" t="n"/>
      <c r="N378" s="235" t="inlineStr">
        <is>
          <t>SIM</t>
        </is>
      </c>
      <c r="O378" s="235" t="inlineStr">
        <is>
          <t>NÃO</t>
        </is>
      </c>
      <c r="P378" s="235" t="inlineStr">
        <is>
          <t>N/A</t>
        </is>
      </c>
      <c r="Q378" s="235" t="inlineStr">
        <is>
          <t>ATEND. CLIENTES ATIVOS</t>
        </is>
      </c>
      <c r="R378" s="235" t="inlineStr">
        <is>
          <t>VENDA / PEDIDO</t>
        </is>
      </c>
      <c r="S378" s="235" t="n"/>
      <c r="T378" s="235" t="n"/>
      <c r="U378" s="235" t="n"/>
      <c r="V378" s="235" t="n"/>
      <c r="W378" s="235" t="inlineStr">
        <is>
          <t>SIM</t>
        </is>
      </c>
      <c r="X378" s="235" t="n"/>
    </row>
    <row r="379">
      <c r="A379" s="391" t="n">
        <v>46061</v>
      </c>
      <c r="B379" s="235" t="inlineStr">
        <is>
          <t>DAIANE STAVICKI</t>
        </is>
      </c>
      <c r="C379" s="235" t="inlineStr">
        <is>
          <t>NATUR LIFE 26</t>
        </is>
      </c>
      <c r="D379" s="235" t="inlineStr">
        <is>
          <t>12.185.651/7299-96</t>
        </is>
      </c>
      <c r="E379" s="235" t="inlineStr">
        <is>
          <t>SP</t>
        </is>
      </c>
      <c r="F379" s="235" t="inlineStr">
        <is>
          <t>MUNDO VERDE</t>
        </is>
      </c>
      <c r="G379" s="235" t="inlineStr">
        <is>
          <t>INAT.REC</t>
        </is>
      </c>
      <c r="H379" s="235" t="n">
        <v>67</v>
      </c>
      <c r="I379" s="235" t="n"/>
      <c r="J379" s="235" t="n"/>
      <c r="K379" s="235" t="n"/>
      <c r="L379" s="235" t="n"/>
      <c r="M379" s="235" t="n"/>
      <c r="N379" s="235" t="inlineStr">
        <is>
          <t>SIM</t>
        </is>
      </c>
      <c r="O379" s="235" t="inlineStr">
        <is>
          <t>SIM</t>
        </is>
      </c>
      <c r="P379" s="235" t="inlineStr">
        <is>
          <t>NÃO</t>
        </is>
      </c>
      <c r="Q379" s="235" t="inlineStr">
        <is>
          <t>ATEND. CLIENTES ATIVOS</t>
        </is>
      </c>
      <c r="R379" s="235" t="inlineStr">
        <is>
          <t>FOLLOW UP 7</t>
        </is>
      </c>
      <c r="S379" s="235" t="inlineStr">
        <is>
          <t>PRODUTO NÃO VENDEU / SEM GIRO</t>
        </is>
      </c>
      <c r="T379" s="235" t="n"/>
      <c r="U379" s="235" t="n"/>
      <c r="V379" s="235" t="n"/>
      <c r="W379" s="235" t="inlineStr">
        <is>
          <t>NÃO</t>
        </is>
      </c>
      <c r="X379" s="235" t="n"/>
    </row>
    <row r="380">
      <c r="A380" s="391" t="n">
        <v>46067</v>
      </c>
      <c r="B380" s="235" t="inlineStr">
        <is>
          <t>LARISSA PADILHA</t>
        </is>
      </c>
      <c r="C380" s="235" t="inlineStr">
        <is>
          <t>GRANEL &amp; CIA 02</t>
        </is>
      </c>
      <c r="D380" s="235" t="inlineStr">
        <is>
          <t>46.453.459/5048-67</t>
        </is>
      </c>
      <c r="E380" s="235" t="inlineStr">
        <is>
          <t>BA</t>
        </is>
      </c>
      <c r="F380" s="235" t="inlineStr">
        <is>
          <t>MUNDO VERDE</t>
        </is>
      </c>
      <c r="G380" s="235" t="inlineStr">
        <is>
          <t>INAT.ANT</t>
        </is>
      </c>
      <c r="H380" s="235" t="n">
        <v>204</v>
      </c>
      <c r="I380" s="235" t="n"/>
      <c r="J380" s="235" t="n"/>
      <c r="K380" s="235" t="n"/>
      <c r="L380" s="235" t="n"/>
      <c r="M380" s="235" t="n"/>
      <c r="N380" s="235" t="inlineStr">
        <is>
          <t>SIM</t>
        </is>
      </c>
      <c r="O380" s="235" t="inlineStr">
        <is>
          <t>SIM</t>
        </is>
      </c>
      <c r="P380" s="235" t="inlineStr">
        <is>
          <t>NÃO</t>
        </is>
      </c>
      <c r="Q380" s="235" t="inlineStr">
        <is>
          <t>ATEND. CLIENTES INATIVOS</t>
        </is>
      </c>
      <c r="R380" s="235" t="inlineStr">
        <is>
          <t>NÃO RESPONDE</t>
        </is>
      </c>
      <c r="S380" s="235" t="inlineStr">
        <is>
          <t>SEM INTERESSE NO MOMENTO</t>
        </is>
      </c>
      <c r="T380" s="235" t="n"/>
      <c r="U380" s="235" t="n"/>
      <c r="V380" s="235" t="n"/>
      <c r="W380" s="235" t="inlineStr">
        <is>
          <t>NÃO</t>
        </is>
      </c>
      <c r="X380" s="235" t="n"/>
    </row>
    <row r="381">
      <c r="A381" s="391" t="n">
        <v>46067</v>
      </c>
      <c r="B381" s="235" t="inlineStr">
        <is>
          <t>MANU DITZEL</t>
        </is>
      </c>
      <c r="C381" s="235" t="inlineStr">
        <is>
          <t>VERDE ESSENCE 77</t>
        </is>
      </c>
      <c r="D381" s="235" t="inlineStr">
        <is>
          <t>21.247.312/4969-70</t>
        </is>
      </c>
      <c r="E381" s="235" t="inlineStr">
        <is>
          <t>CE</t>
        </is>
      </c>
      <c r="F381" s="235" t="inlineStr">
        <is>
          <t>DIVINA TERRA</t>
        </is>
      </c>
      <c r="G381" s="235" t="inlineStr">
        <is>
          <t>ATIVO</t>
        </is>
      </c>
      <c r="H381" s="235" t="n">
        <v>42</v>
      </c>
      <c r="I381" s="235" t="n"/>
      <c r="J381" s="235" t="n"/>
      <c r="K381" s="235" t="n"/>
      <c r="L381" s="235" t="n"/>
      <c r="M381" s="235" t="n"/>
      <c r="N381" s="235" t="inlineStr">
        <is>
          <t>SIM</t>
        </is>
      </c>
      <c r="O381" s="235" t="inlineStr">
        <is>
          <t>NÃO</t>
        </is>
      </c>
      <c r="P381" s="235" t="inlineStr">
        <is>
          <t>N/A</t>
        </is>
      </c>
      <c r="Q381" s="235" t="inlineStr">
        <is>
          <t>PÓS-VENDA / RELACIONAMENTO</t>
        </is>
      </c>
      <c r="R381" s="235" t="inlineStr">
        <is>
          <t>RELACIONAMENTO</t>
        </is>
      </c>
      <c r="S381" s="235" t="n"/>
      <c r="T381" s="235" t="n"/>
      <c r="U381" s="235" t="n"/>
      <c r="V381" s="235" t="n"/>
      <c r="W381" s="235" t="inlineStr">
        <is>
          <t>SIM</t>
        </is>
      </c>
      <c r="X381" s="235" t="n"/>
    </row>
    <row r="382">
      <c r="A382" s="391" t="n">
        <v>46071</v>
      </c>
      <c r="B382" s="235" t="inlineStr">
        <is>
          <t>LARISSA PADILHA</t>
        </is>
      </c>
      <c r="C382" s="235" t="inlineStr">
        <is>
          <t>PURA VIDA 97</t>
        </is>
      </c>
      <c r="D382" s="235" t="inlineStr">
        <is>
          <t>27.304.290/6255-47</t>
        </is>
      </c>
      <c r="E382" s="235" t="inlineStr">
        <is>
          <t>SP</t>
        </is>
      </c>
      <c r="F382" s="235" t="inlineStr">
        <is>
          <t>MUNDO VERDE</t>
        </is>
      </c>
      <c r="G382" s="235" t="inlineStr">
        <is>
          <t>NOVO</t>
        </is>
      </c>
      <c r="H382" s="235" t="inlineStr"/>
      <c r="I382" s="235" t="n"/>
      <c r="J382" s="235" t="n"/>
      <c r="K382" s="235" t="n"/>
      <c r="L382" s="235" t="n"/>
      <c r="M382" s="235" t="n"/>
      <c r="N382" s="235" t="inlineStr">
        <is>
          <t>SIM</t>
        </is>
      </c>
      <c r="O382" s="235" t="inlineStr">
        <is>
          <t>NÃO</t>
        </is>
      </c>
      <c r="P382" s="235" t="inlineStr">
        <is>
          <t>N/A</t>
        </is>
      </c>
      <c r="Q382" s="235" t="inlineStr">
        <is>
          <t>PÓS-VENDA / RELACIONAMENTO</t>
        </is>
      </c>
      <c r="R382" s="235" t="inlineStr">
        <is>
          <t>FOLLOW UP 7</t>
        </is>
      </c>
      <c r="S382" s="235" t="inlineStr">
        <is>
          <t>AINDA TEM ESTOQUE</t>
        </is>
      </c>
      <c r="T382" s="235" t="n"/>
      <c r="U382" s="235" t="n"/>
      <c r="V382" s="235" t="n"/>
      <c r="W382" s="235" t="inlineStr">
        <is>
          <t>SIM</t>
        </is>
      </c>
      <c r="X382" s="235" t="n"/>
    </row>
    <row r="383">
      <c r="A383" s="391" t="n">
        <v>46062</v>
      </c>
      <c r="B383" s="235" t="inlineStr">
        <is>
          <t>MANU DITZEL</t>
        </is>
      </c>
      <c r="C383" s="235" t="inlineStr">
        <is>
          <t>FEIRA VERDE 16</t>
        </is>
      </c>
      <c r="D383" s="235" t="inlineStr">
        <is>
          <t>93.781.394/6835-32</t>
        </is>
      </c>
      <c r="E383" s="235" t="inlineStr">
        <is>
          <t>RS</t>
        </is>
      </c>
      <c r="F383" s="235" t="inlineStr">
        <is>
          <t>TUDO EM GRAOS</t>
        </is>
      </c>
      <c r="G383" s="235" t="inlineStr">
        <is>
          <t>ATIVO</t>
        </is>
      </c>
      <c r="H383" s="235" t="n">
        <v>12</v>
      </c>
      <c r="I383" s="235" t="n"/>
      <c r="J383" s="235" t="n"/>
      <c r="K383" s="235" t="n"/>
      <c r="L383" s="235" t="n"/>
      <c r="M383" s="235" t="n"/>
      <c r="N383" s="235" t="inlineStr">
        <is>
          <t>NÃO</t>
        </is>
      </c>
      <c r="O383" s="235" t="inlineStr">
        <is>
          <t>NÃO</t>
        </is>
      </c>
      <c r="P383" s="235" t="inlineStr">
        <is>
          <t>N/A</t>
        </is>
      </c>
      <c r="Q383" s="235" t="inlineStr">
        <is>
          <t>PÓS-VENDA / RELACIONAMENTO</t>
        </is>
      </c>
      <c r="R383" s="235" t="inlineStr">
        <is>
          <t>FOLLOW UP 15</t>
        </is>
      </c>
      <c r="S383" s="235" t="inlineStr">
        <is>
          <t>PRODUTO NÃO VENDEU / SEM GIRO</t>
        </is>
      </c>
      <c r="T383" s="235" t="n"/>
      <c r="U383" s="235" t="n"/>
      <c r="V383" s="235" t="n"/>
      <c r="W383" s="235" t="inlineStr">
        <is>
          <t>SIM</t>
        </is>
      </c>
      <c r="X383" s="235" t="n"/>
    </row>
    <row r="384">
      <c r="A384" s="391" t="n">
        <v>46067</v>
      </c>
      <c r="B384" s="235" t="inlineStr">
        <is>
          <t>DAIANE STAVICKI</t>
        </is>
      </c>
      <c r="C384" s="235" t="inlineStr">
        <is>
          <t>FEIRA VERDE 89</t>
        </is>
      </c>
      <c r="D384" s="235" t="inlineStr">
        <is>
          <t>25.482.624/9426-12</t>
        </is>
      </c>
      <c r="E384" s="235" t="inlineStr">
        <is>
          <t>MG</t>
        </is>
      </c>
      <c r="F384" s="235" t="inlineStr">
        <is>
          <t>BIOMUNDO</t>
        </is>
      </c>
      <c r="G384" s="235" t="inlineStr">
        <is>
          <t>ATIVO</t>
        </is>
      </c>
      <c r="H384" s="235" t="n">
        <v>25</v>
      </c>
      <c r="I384" s="235" t="n"/>
      <c r="J384" s="235" t="n"/>
      <c r="K384" s="235" t="n"/>
      <c r="L384" s="235" t="n"/>
      <c r="M384" s="235" t="n"/>
      <c r="N384" s="235" t="inlineStr">
        <is>
          <t>SIM</t>
        </is>
      </c>
      <c r="O384" s="235" t="inlineStr">
        <is>
          <t>SIM</t>
        </is>
      </c>
      <c r="P384" s="235" t="inlineStr">
        <is>
          <t>SIM</t>
        </is>
      </c>
      <c r="Q384" s="235" t="inlineStr">
        <is>
          <t>ATEND. CLIENTES ATIVOS</t>
        </is>
      </c>
      <c r="R384" s="235" t="inlineStr">
        <is>
          <t>FOLLOW UP 15</t>
        </is>
      </c>
      <c r="S384" s="235" t="inlineStr">
        <is>
          <t>PROBLEMA LOGÍSTICO / ENTREGA</t>
        </is>
      </c>
      <c r="T384" s="235" t="n"/>
      <c r="U384" s="235" t="n"/>
      <c r="V384" s="235" t="n"/>
      <c r="W384" s="235" t="inlineStr">
        <is>
          <t>NÃO</t>
        </is>
      </c>
      <c r="X384" s="235" t="n"/>
    </row>
    <row r="385">
      <c r="A385" s="391" t="n">
        <v>46055</v>
      </c>
      <c r="B385" s="235" t="inlineStr">
        <is>
          <t>MANU DITZEL</t>
        </is>
      </c>
      <c r="C385" s="235" t="inlineStr">
        <is>
          <t>LOJA NATURAL 82</t>
        </is>
      </c>
      <c r="D385" s="235" t="inlineStr">
        <is>
          <t>19.626.298/3003-22</t>
        </is>
      </c>
      <c r="E385" s="235" t="inlineStr">
        <is>
          <t>SP</t>
        </is>
      </c>
      <c r="F385" s="235" t="inlineStr">
        <is>
          <t>BIOMUNDO</t>
        </is>
      </c>
      <c r="G385" s="235" t="inlineStr">
        <is>
          <t>ATIVO</t>
        </is>
      </c>
      <c r="H385" s="235" t="n">
        <v>25</v>
      </c>
      <c r="I385" s="235" t="n"/>
      <c r="J385" s="235" t="n"/>
      <c r="K385" s="235" t="n"/>
      <c r="L385" s="235" t="n"/>
      <c r="M385" s="235" t="n"/>
      <c r="N385" s="235" t="inlineStr">
        <is>
          <t>SIM</t>
        </is>
      </c>
      <c r="O385" s="235" t="inlineStr">
        <is>
          <t>NÃO</t>
        </is>
      </c>
      <c r="P385" s="235" t="inlineStr">
        <is>
          <t>N/A</t>
        </is>
      </c>
      <c r="Q385" s="235" t="inlineStr">
        <is>
          <t>PÓS-VENDA / RELACIONAMENTO</t>
        </is>
      </c>
      <c r="R385" s="235" t="inlineStr">
        <is>
          <t>SUPORTE</t>
        </is>
      </c>
      <c r="S385" s="235" t="n"/>
      <c r="T385" s="235" t="n"/>
      <c r="U385" s="235" t="n"/>
      <c r="V385" s="235" t="n"/>
      <c r="W385" s="235" t="inlineStr">
        <is>
          <t>NÃO</t>
        </is>
      </c>
      <c r="X385" s="235" t="n"/>
    </row>
    <row r="386">
      <c r="A386" s="391" t="n">
        <v>46057</v>
      </c>
      <c r="B386" s="235" t="inlineStr">
        <is>
          <t>LARISSA PADILHA</t>
        </is>
      </c>
      <c r="C386" s="235" t="inlineStr">
        <is>
          <t>MARKET FIT 19</t>
        </is>
      </c>
      <c r="D386" s="235" t="inlineStr">
        <is>
          <t>11.240.630/4611-57</t>
        </is>
      </c>
      <c r="E386" s="235" t="inlineStr">
        <is>
          <t>RJ</t>
        </is>
      </c>
      <c r="F386" s="235" t="inlineStr">
        <is>
          <t>FIT LAND</t>
        </is>
      </c>
      <c r="G386" s="235" t="inlineStr">
        <is>
          <t>PROSPECT</t>
        </is>
      </c>
      <c r="H386" s="235" t="inlineStr"/>
      <c r="I386" s="235" t="n"/>
      <c r="J386" s="235" t="n"/>
      <c r="K386" s="235" t="n"/>
      <c r="L386" s="235" t="n"/>
      <c r="M386" s="235" t="n"/>
      <c r="N386" s="235" t="inlineStr">
        <is>
          <t>SIM</t>
        </is>
      </c>
      <c r="O386" s="235" t="inlineStr">
        <is>
          <t>NÃO</t>
        </is>
      </c>
      <c r="P386" s="235" t="inlineStr">
        <is>
          <t>N/A</t>
        </is>
      </c>
      <c r="Q386" s="235" t="inlineStr">
        <is>
          <t>NEGOCIAÇÃO</t>
        </is>
      </c>
      <c r="R386" s="235" t="inlineStr">
        <is>
          <t>ORÇAMENTO</t>
        </is>
      </c>
      <c r="S386" s="235" t="n"/>
      <c r="T386" s="235" t="n"/>
      <c r="U386" s="235" t="n"/>
      <c r="V386" s="235" t="n"/>
      <c r="W386" s="235" t="inlineStr">
        <is>
          <t>NÃO</t>
        </is>
      </c>
      <c r="X386" s="235" t="n"/>
    </row>
    <row r="387">
      <c r="A387" s="391" t="n">
        <v>46071</v>
      </c>
      <c r="B387" s="235" t="inlineStr">
        <is>
          <t>JULIO GADRET</t>
        </is>
      </c>
      <c r="C387" s="235" t="inlineStr">
        <is>
          <t>LOJA NATURAL 69</t>
        </is>
      </c>
      <c r="D387" s="235" t="inlineStr">
        <is>
          <t>80.819.874/1868-63</t>
        </is>
      </c>
      <c r="E387" s="235" t="inlineStr">
        <is>
          <t>RS</t>
        </is>
      </c>
      <c r="F387" s="235" t="inlineStr">
        <is>
          <t>MUNDO VERDE</t>
        </is>
      </c>
      <c r="G387" s="235" t="inlineStr">
        <is>
          <t>NOVO</t>
        </is>
      </c>
      <c r="H387" s="235" t="inlineStr"/>
      <c r="I387" s="235" t="n"/>
      <c r="J387" s="235" t="n"/>
      <c r="K387" s="235" t="n"/>
      <c r="L387" s="235" t="n"/>
      <c r="M387" s="235" t="n"/>
      <c r="N387" s="235" t="inlineStr">
        <is>
          <t>SIM</t>
        </is>
      </c>
      <c r="O387" s="235" t="inlineStr">
        <is>
          <t>SIM</t>
        </is>
      </c>
      <c r="P387" s="235" t="inlineStr">
        <is>
          <t>NÃO</t>
        </is>
      </c>
      <c r="Q387" s="235" t="inlineStr">
        <is>
          <t>PÓS-VENDA / RELACIONAMENTO</t>
        </is>
      </c>
      <c r="R387" s="235" t="inlineStr">
        <is>
          <t>FOLLOW UP 15</t>
        </is>
      </c>
      <c r="S387" s="235" t="inlineStr">
        <is>
          <t>SEM INTERESSE NO MOMENTO</t>
        </is>
      </c>
      <c r="T387" s="235" t="n"/>
      <c r="U387" s="235" t="n"/>
      <c r="V387" s="235" t="n"/>
      <c r="W387" s="235" t="inlineStr">
        <is>
          <t>SIM</t>
        </is>
      </c>
      <c r="X387" s="235" t="n"/>
    </row>
    <row r="388">
      <c r="A388" s="391" t="n">
        <v>46078</v>
      </c>
      <c r="B388" s="235" t="inlineStr">
        <is>
          <t>DAIANE STAVICKI</t>
        </is>
      </c>
      <c r="C388" s="235" t="inlineStr">
        <is>
          <t>VERDE VIDA 91</t>
        </is>
      </c>
      <c r="D388" s="235" t="inlineStr">
        <is>
          <t>48.129.862/1944-38</t>
        </is>
      </c>
      <c r="E388" s="235" t="inlineStr">
        <is>
          <t>PR</t>
        </is>
      </c>
      <c r="F388" s="235" t="inlineStr">
        <is>
          <t>TUDO EM GRAOS</t>
        </is>
      </c>
      <c r="G388" s="235" t="inlineStr">
        <is>
          <t>INAT.ANT</t>
        </is>
      </c>
      <c r="H388" s="235" t="n">
        <v>169</v>
      </c>
      <c r="I388" s="235" t="n"/>
      <c r="J388" s="235" t="n"/>
      <c r="K388" s="235" t="n"/>
      <c r="L388" s="235" t="n"/>
      <c r="M388" s="235" t="n"/>
      <c r="N388" s="235" t="inlineStr">
        <is>
          <t>SIM</t>
        </is>
      </c>
      <c r="O388" s="235" t="inlineStr">
        <is>
          <t>NÃO</t>
        </is>
      </c>
      <c r="P388" s="235" t="inlineStr">
        <is>
          <t>N/A</t>
        </is>
      </c>
      <c r="Q388" s="235" t="inlineStr">
        <is>
          <t>PROSPECÇÃO</t>
        </is>
      </c>
      <c r="R388" s="235" t="inlineStr">
        <is>
          <t>EM ATENDIMENTO</t>
        </is>
      </c>
      <c r="S388" s="235" t="n"/>
      <c r="T388" s="235" t="n"/>
      <c r="U388" s="235" t="n"/>
      <c r="V388" s="235" t="n"/>
      <c r="W388" s="235" t="inlineStr">
        <is>
          <t>NÃO</t>
        </is>
      </c>
      <c r="X388" s="235" t="n"/>
    </row>
    <row r="389">
      <c r="A389" s="391" t="n">
        <v>46056</v>
      </c>
      <c r="B389" s="235" t="inlineStr">
        <is>
          <t>MANU DITZEL</t>
        </is>
      </c>
      <c r="C389" s="235" t="inlineStr">
        <is>
          <t>FEIRA VERDE 97</t>
        </is>
      </c>
      <c r="D389" s="235" t="inlineStr">
        <is>
          <t>65.143.301/1767-14</t>
        </is>
      </c>
      <c r="E389" s="235" t="inlineStr">
        <is>
          <t>MG</t>
        </is>
      </c>
      <c r="F389" s="235" t="inlineStr">
        <is>
          <t>DIVINA TERRA</t>
        </is>
      </c>
      <c r="G389" s="235" t="inlineStr">
        <is>
          <t>ATIVO</t>
        </is>
      </c>
      <c r="H389" s="235" t="n">
        <v>12</v>
      </c>
      <c r="I389" s="235" t="n"/>
      <c r="J389" s="235" t="n"/>
      <c r="K389" s="235" t="n"/>
      <c r="L389" s="235" t="n"/>
      <c r="M389" s="235" t="n"/>
      <c r="N389" s="235" t="inlineStr">
        <is>
          <t>SIM</t>
        </is>
      </c>
      <c r="O389" s="235" t="inlineStr">
        <is>
          <t>SIM</t>
        </is>
      </c>
      <c r="P389" s="235" t="inlineStr">
        <is>
          <t>SIM</t>
        </is>
      </c>
      <c r="Q389" s="235" t="inlineStr">
        <is>
          <t>PÓS-VENDA / RELACIONAMENTO</t>
        </is>
      </c>
      <c r="R389" s="235" t="inlineStr">
        <is>
          <t>RELACIONAMENTO</t>
        </is>
      </c>
      <c r="S389" s="235" t="n"/>
      <c r="T389" s="235" t="n"/>
      <c r="U389" s="235" t="n"/>
      <c r="V389" s="235" t="n"/>
      <c r="W389" s="235" t="inlineStr">
        <is>
          <t>SIM</t>
        </is>
      </c>
      <c r="X389" s="235" t="n"/>
    </row>
    <row r="390">
      <c r="A390" s="391" t="n">
        <v>46073</v>
      </c>
      <c r="B390" s="235" t="inlineStr">
        <is>
          <t>MANU DITZEL</t>
        </is>
      </c>
      <c r="C390" s="235" t="inlineStr">
        <is>
          <t>CIA SAUDE SP 24</t>
        </is>
      </c>
      <c r="D390" s="235" t="inlineStr">
        <is>
          <t>95.459.129/1488-28</t>
        </is>
      </c>
      <c r="E390" s="235" t="inlineStr">
        <is>
          <t>MG</t>
        </is>
      </c>
      <c r="F390" s="235" t="inlineStr">
        <is>
          <t>DEMAIS CLIENTES</t>
        </is>
      </c>
      <c r="G390" s="235" t="inlineStr">
        <is>
          <t>PROSPECT</t>
        </is>
      </c>
      <c r="H390" s="235" t="inlineStr"/>
      <c r="I390" s="235" t="n"/>
      <c r="J390" s="235" t="n"/>
      <c r="K390" s="235" t="n"/>
      <c r="L390" s="235" t="n"/>
      <c r="M390" s="235" t="n"/>
      <c r="N390" s="235" t="inlineStr">
        <is>
          <t>SIM</t>
        </is>
      </c>
      <c r="O390" s="235" t="inlineStr">
        <is>
          <t>NÃO</t>
        </is>
      </c>
      <c r="P390" s="235" t="inlineStr">
        <is>
          <t>N/A</t>
        </is>
      </c>
      <c r="Q390" s="235" t="inlineStr">
        <is>
          <t>FOLLOW UP</t>
        </is>
      </c>
      <c r="R390" s="235" t="inlineStr">
        <is>
          <t>ORÇAMENTO</t>
        </is>
      </c>
      <c r="S390" s="235" t="n"/>
      <c r="T390" s="235" t="n"/>
      <c r="U390" s="235" t="n"/>
      <c r="V390" s="235" t="n"/>
      <c r="W390" s="235" t="inlineStr">
        <is>
          <t>SIM</t>
        </is>
      </c>
      <c r="X390" s="235" t="n"/>
    </row>
    <row r="391">
      <c r="A391" s="391" t="n">
        <v>46072</v>
      </c>
      <c r="B391" s="235" t="inlineStr">
        <is>
          <t>MANU DITZEL</t>
        </is>
      </c>
      <c r="C391" s="235" t="inlineStr">
        <is>
          <t>VERDE ESSENCE 98</t>
        </is>
      </c>
      <c r="D391" s="235" t="inlineStr">
        <is>
          <t>11.641.322/3139-46</t>
        </is>
      </c>
      <c r="E391" s="235" t="inlineStr">
        <is>
          <t>PR</t>
        </is>
      </c>
      <c r="F391" s="235" t="inlineStr">
        <is>
          <t>DEMAIS CLIENTES</t>
        </is>
      </c>
      <c r="G391" s="235" t="inlineStr">
        <is>
          <t>ATIVO</t>
        </is>
      </c>
      <c r="H391" s="235" t="n">
        <v>11</v>
      </c>
      <c r="I391" s="235" t="n"/>
      <c r="J391" s="235" t="n"/>
      <c r="K391" s="235" t="n"/>
      <c r="L391" s="235" t="n"/>
      <c r="M391" s="235" t="n"/>
      <c r="N391" s="235" t="inlineStr">
        <is>
          <t>NÃO</t>
        </is>
      </c>
      <c r="O391" s="235" t="inlineStr">
        <is>
          <t>NÃO</t>
        </is>
      </c>
      <c r="P391" s="235" t="inlineStr">
        <is>
          <t>N/A</t>
        </is>
      </c>
      <c r="Q391" s="235" t="inlineStr">
        <is>
          <t>PÓS-VENDA / RELACIONAMENTO</t>
        </is>
      </c>
      <c r="R391" s="235" t="inlineStr">
        <is>
          <t>NÃO RESPONDE</t>
        </is>
      </c>
      <c r="S391" s="235" t="inlineStr">
        <is>
          <t>PROBLEMA FINANCEIRO / CRÉDITO</t>
        </is>
      </c>
      <c r="T391" s="235" t="n"/>
      <c r="U391" s="235" t="n"/>
      <c r="V391" s="235" t="n"/>
      <c r="W391" s="235" t="inlineStr">
        <is>
          <t>SIM</t>
        </is>
      </c>
      <c r="X391" s="235" t="n"/>
    </row>
    <row r="392">
      <c r="A392" s="391" t="n">
        <v>46075</v>
      </c>
      <c r="B392" s="235" t="inlineStr">
        <is>
          <t>DAIANE STAVICKI</t>
        </is>
      </c>
      <c r="C392" s="235" t="inlineStr">
        <is>
          <t>VERDE VIDA 46</t>
        </is>
      </c>
      <c r="D392" s="235" t="inlineStr">
        <is>
          <t>58.534.319/8426-39</t>
        </is>
      </c>
      <c r="E392" s="235" t="inlineStr">
        <is>
          <t>RS</t>
        </is>
      </c>
      <c r="F392" s="235" t="inlineStr">
        <is>
          <t>DEMAIS CLIENTES</t>
        </is>
      </c>
      <c r="G392" s="235" t="inlineStr">
        <is>
          <t>ATIVO</t>
        </is>
      </c>
      <c r="H392" s="235" t="n">
        <v>34</v>
      </c>
      <c r="I392" s="235" t="n"/>
      <c r="J392" s="235" t="n"/>
      <c r="K392" s="235" t="n"/>
      <c r="L392" s="235" t="n"/>
      <c r="M392" s="235" t="n"/>
      <c r="N392" s="235" t="inlineStr">
        <is>
          <t>NÃO</t>
        </is>
      </c>
      <c r="O392" s="235" t="inlineStr">
        <is>
          <t>NÃO</t>
        </is>
      </c>
      <c r="P392" s="235" t="inlineStr">
        <is>
          <t>N/A</t>
        </is>
      </c>
      <c r="Q392" s="235" t="inlineStr">
        <is>
          <t>PROSPECÇÃO</t>
        </is>
      </c>
      <c r="R392" s="235" t="inlineStr">
        <is>
          <t>EM ATENDIMENTO</t>
        </is>
      </c>
      <c r="S392" s="235" t="n"/>
      <c r="T392" s="235" t="n"/>
      <c r="U392" s="235" t="n"/>
      <c r="V392" s="235" t="n"/>
      <c r="W392" s="235" t="inlineStr">
        <is>
          <t>SIM</t>
        </is>
      </c>
      <c r="X392" s="235" t="n"/>
    </row>
    <row r="393">
      <c r="A393" s="391" t="n">
        <v>46055</v>
      </c>
      <c r="B393" s="235" t="inlineStr">
        <is>
          <t>MANU DITZEL</t>
        </is>
      </c>
      <c r="C393" s="235" t="inlineStr">
        <is>
          <t>POWER NATURAL 15</t>
        </is>
      </c>
      <c r="D393" s="235" t="inlineStr">
        <is>
          <t>59.390.567/9837-49</t>
        </is>
      </c>
      <c r="E393" s="235" t="inlineStr">
        <is>
          <t>SP</t>
        </is>
      </c>
      <c r="F393" s="235" t="inlineStr">
        <is>
          <t>DEMAIS CLIENTES</t>
        </is>
      </c>
      <c r="G393" s="235" t="inlineStr">
        <is>
          <t>ATIVO</t>
        </is>
      </c>
      <c r="H393" s="235" t="n">
        <v>31</v>
      </c>
      <c r="I393" s="235" t="n"/>
      <c r="J393" s="235" t="n"/>
      <c r="K393" s="235" t="n"/>
      <c r="L393" s="235" t="n"/>
      <c r="M393" s="235" t="n"/>
      <c r="N393" s="235" t="inlineStr">
        <is>
          <t>SIM</t>
        </is>
      </c>
      <c r="O393" s="235" t="inlineStr">
        <is>
          <t>SIM</t>
        </is>
      </c>
      <c r="P393" s="235" t="inlineStr">
        <is>
          <t>NÃO</t>
        </is>
      </c>
      <c r="Q393" s="235" t="inlineStr">
        <is>
          <t>FOLLOW UP</t>
        </is>
      </c>
      <c r="R393" s="235" t="inlineStr">
        <is>
          <t>NÃO RESPONDE</t>
        </is>
      </c>
      <c r="S393" s="235" t="inlineStr">
        <is>
          <t>SÓ QUER COMPRAR GRANEL</t>
        </is>
      </c>
      <c r="T393" s="235" t="n"/>
      <c r="U393" s="235" t="n"/>
      <c r="V393" s="235" t="n"/>
      <c r="W393" s="235" t="inlineStr">
        <is>
          <t>NÃO</t>
        </is>
      </c>
      <c r="X393" s="235" t="n"/>
    </row>
    <row r="394">
      <c r="A394" s="391" t="n">
        <v>46059</v>
      </c>
      <c r="B394" s="235" t="inlineStr">
        <is>
          <t>MANU DITZEL</t>
        </is>
      </c>
      <c r="C394" s="235" t="inlineStr">
        <is>
          <t>POWER NATURAL 87</t>
        </is>
      </c>
      <c r="D394" s="235" t="inlineStr">
        <is>
          <t>23.505.548/8564-94</t>
        </is>
      </c>
      <c r="E394" s="235" t="inlineStr">
        <is>
          <t>SP</t>
        </is>
      </c>
      <c r="F394" s="235" t="inlineStr">
        <is>
          <t>MUNDO VERDE</t>
        </is>
      </c>
      <c r="G394" s="235" t="inlineStr">
        <is>
          <t>EM RISCO</t>
        </is>
      </c>
      <c r="H394" s="235" t="n">
        <v>60</v>
      </c>
      <c r="I394" s="235" t="n"/>
      <c r="J394" s="235" t="n"/>
      <c r="K394" s="235" t="n"/>
      <c r="L394" s="235" t="n"/>
      <c r="M394" s="235" t="n"/>
      <c r="N394" s="235" t="inlineStr">
        <is>
          <t>NÃO</t>
        </is>
      </c>
      <c r="O394" s="235" t="inlineStr">
        <is>
          <t>SIM</t>
        </is>
      </c>
      <c r="P394" s="235" t="inlineStr">
        <is>
          <t>SIM</t>
        </is>
      </c>
      <c r="Q394" s="235" t="inlineStr">
        <is>
          <t>PERDA / NUTRIÇÃO</t>
        </is>
      </c>
      <c r="R394" s="235" t="inlineStr">
        <is>
          <t>RECUSOU LIGAÇÃO</t>
        </is>
      </c>
      <c r="S394" s="235" t="inlineStr">
        <is>
          <t>AINDA TEM ESTOQUE</t>
        </is>
      </c>
      <c r="T394" s="235" t="n"/>
      <c r="U394" s="235" t="n"/>
      <c r="V394" s="235" t="n"/>
      <c r="W394" s="235" t="inlineStr">
        <is>
          <t>SIM</t>
        </is>
      </c>
      <c r="X394" s="235" t="n"/>
    </row>
    <row r="395">
      <c r="A395" s="391" t="n">
        <v>46081</v>
      </c>
      <c r="B395" s="235" t="inlineStr">
        <is>
          <t>DAIANE STAVICKI</t>
        </is>
      </c>
      <c r="C395" s="235" t="inlineStr">
        <is>
          <t>CASA DO GRANEL 30</t>
        </is>
      </c>
      <c r="D395" s="235" t="inlineStr">
        <is>
          <t>64.842.611/4564-84</t>
        </is>
      </c>
      <c r="E395" s="235" t="inlineStr">
        <is>
          <t>SP</t>
        </is>
      </c>
      <c r="F395" s="235" t="inlineStr">
        <is>
          <t>DEMAIS CLIENTES</t>
        </is>
      </c>
      <c r="G395" s="235" t="inlineStr">
        <is>
          <t>NOVO</t>
        </is>
      </c>
      <c r="H395" s="235" t="inlineStr"/>
      <c r="I395" s="235" t="n"/>
      <c r="J395" s="235" t="n"/>
      <c r="K395" s="235" t="n"/>
      <c r="L395" s="235" t="n"/>
      <c r="M395" s="235" t="n"/>
      <c r="N395" s="235" t="inlineStr">
        <is>
          <t>SIM</t>
        </is>
      </c>
      <c r="O395" s="235" t="inlineStr">
        <is>
          <t>NÃO</t>
        </is>
      </c>
      <c r="P395" s="235" t="inlineStr">
        <is>
          <t>N/A</t>
        </is>
      </c>
      <c r="Q395" s="235" t="inlineStr">
        <is>
          <t>PERDA / NUTRIÇÃO</t>
        </is>
      </c>
      <c r="R395" s="235" t="inlineStr">
        <is>
          <t>NÃO ATENDE</t>
        </is>
      </c>
      <c r="S395" s="235" t="inlineStr">
        <is>
          <t>PRIMEIRO CONTATO / SEM RESPOSTA</t>
        </is>
      </c>
      <c r="T395" s="235" t="n"/>
      <c r="U395" s="235" t="n"/>
      <c r="V395" s="235" t="n"/>
      <c r="W395" s="235" t="inlineStr">
        <is>
          <t>SIM</t>
        </is>
      </c>
      <c r="X395" s="235" t="n"/>
    </row>
    <row r="396">
      <c r="A396" s="391" t="n">
        <v>46058</v>
      </c>
      <c r="B396" s="235" t="inlineStr">
        <is>
          <t>DAIANE STAVICKI</t>
        </is>
      </c>
      <c r="C396" s="235" t="inlineStr">
        <is>
          <t>NATURAL POINT 16</t>
        </is>
      </c>
      <c r="D396" s="235" t="inlineStr">
        <is>
          <t>42.601.609/3782-90</t>
        </is>
      </c>
      <c r="E396" s="235" t="inlineStr">
        <is>
          <t>DF</t>
        </is>
      </c>
      <c r="F396" s="235" t="inlineStr">
        <is>
          <t>MUNDO VERDE</t>
        </is>
      </c>
      <c r="G396" s="235" t="inlineStr">
        <is>
          <t>INAT.ANT</t>
        </is>
      </c>
      <c r="H396" s="235" t="n">
        <v>108</v>
      </c>
      <c r="I396" s="235" t="n"/>
      <c r="J396" s="235" t="n"/>
      <c r="K396" s="235" t="n"/>
      <c r="L396" s="235" t="n"/>
      <c r="M396" s="235" t="n"/>
      <c r="N396" s="235" t="inlineStr">
        <is>
          <t>SIM</t>
        </is>
      </c>
      <c r="O396" s="235" t="inlineStr">
        <is>
          <t>NÃO</t>
        </is>
      </c>
      <c r="P396" s="235" t="inlineStr">
        <is>
          <t>N/A</t>
        </is>
      </c>
      <c r="Q396" s="235" t="inlineStr">
        <is>
          <t>ATEND. CLIENTES ATIVOS</t>
        </is>
      </c>
      <c r="R396" s="235" t="inlineStr">
        <is>
          <t>VENDA / PEDIDO</t>
        </is>
      </c>
      <c r="S396" s="235" t="n"/>
      <c r="T396" s="235" t="n"/>
      <c r="U396" s="235" t="n"/>
      <c r="V396" s="235" t="n"/>
      <c r="W396" s="235" t="inlineStr">
        <is>
          <t>SIM</t>
        </is>
      </c>
      <c r="X396" s="235" t="n"/>
    </row>
    <row r="397">
      <c r="A397" s="391" t="n">
        <v>46063</v>
      </c>
      <c r="B397" s="235" t="inlineStr">
        <is>
          <t>JULIO GADRET</t>
        </is>
      </c>
      <c r="C397" s="235" t="inlineStr">
        <is>
          <t>NATURAL POINT 98</t>
        </is>
      </c>
      <c r="D397" s="235" t="inlineStr">
        <is>
          <t>19.776.869/8519-73</t>
        </is>
      </c>
      <c r="E397" s="235" t="inlineStr">
        <is>
          <t>MG</t>
        </is>
      </c>
      <c r="F397" s="235" t="inlineStr">
        <is>
          <t>BIOMUNDO</t>
        </is>
      </c>
      <c r="G397" s="235" t="inlineStr">
        <is>
          <t>INAT.ANT</t>
        </is>
      </c>
      <c r="H397" s="235" t="n">
        <v>216</v>
      </c>
      <c r="I397" s="235" t="n"/>
      <c r="J397" s="235" t="n"/>
      <c r="K397" s="235" t="n"/>
      <c r="L397" s="235" t="n"/>
      <c r="M397" s="235" t="n"/>
      <c r="N397" s="235" t="inlineStr">
        <is>
          <t>NÃO</t>
        </is>
      </c>
      <c r="O397" s="235" t="inlineStr">
        <is>
          <t>NÃO</t>
        </is>
      </c>
      <c r="P397" s="235" t="inlineStr">
        <is>
          <t>N/A</t>
        </is>
      </c>
      <c r="Q397" s="235" t="inlineStr">
        <is>
          <t>ATEND. CLIENTES ATIVOS</t>
        </is>
      </c>
      <c r="R397" s="235" t="inlineStr">
        <is>
          <t>RELACIONAMENTO</t>
        </is>
      </c>
      <c r="S397" s="235" t="n"/>
      <c r="T397" s="235" t="n"/>
      <c r="U397" s="235" t="n"/>
      <c r="V397" s="235" t="n"/>
      <c r="W397" s="235" t="inlineStr">
        <is>
          <t>SIM</t>
        </is>
      </c>
      <c r="X397" s="235" t="n"/>
    </row>
    <row r="398">
      <c r="A398" s="391" t="n">
        <v>46078</v>
      </c>
      <c r="B398" s="235" t="inlineStr">
        <is>
          <t>MANU DITZEL</t>
        </is>
      </c>
      <c r="C398" s="235" t="inlineStr">
        <is>
          <t>SAUDE NA MESA 16</t>
        </is>
      </c>
      <c r="D398" s="235" t="inlineStr">
        <is>
          <t>59.560.422/6166-66</t>
        </is>
      </c>
      <c r="E398" s="235" t="inlineStr">
        <is>
          <t>RS</t>
        </is>
      </c>
      <c r="F398" s="235" t="inlineStr">
        <is>
          <t>MUNDO VERDE</t>
        </is>
      </c>
      <c r="G398" s="235" t="inlineStr">
        <is>
          <t>INAT.REC</t>
        </is>
      </c>
      <c r="H398" s="235" t="n">
        <v>88</v>
      </c>
      <c r="I398" s="235" t="n"/>
      <c r="J398" s="235" t="n"/>
      <c r="K398" s="235" t="n"/>
      <c r="L398" s="235" t="n"/>
      <c r="M398" s="235" t="n"/>
      <c r="N398" s="235" t="inlineStr">
        <is>
          <t>SIM</t>
        </is>
      </c>
      <c r="O398" s="235" t="inlineStr">
        <is>
          <t>SIM</t>
        </is>
      </c>
      <c r="P398" s="235" t="inlineStr">
        <is>
          <t>SIM</t>
        </is>
      </c>
      <c r="Q398" s="235" t="inlineStr">
        <is>
          <t>PÓS-VENDA / RELACIONAMENTO</t>
        </is>
      </c>
      <c r="R398" s="235" t="inlineStr">
        <is>
          <t>NÃO ATENDE</t>
        </is>
      </c>
      <c r="S398" s="235" t="inlineStr">
        <is>
          <t>PRODUTO NÃO VENDEU / SEM GIRO</t>
        </is>
      </c>
      <c r="T398" s="235" t="n"/>
      <c r="U398" s="235" t="n"/>
      <c r="V398" s="235" t="n"/>
      <c r="W398" s="235" t="inlineStr">
        <is>
          <t>NÃO</t>
        </is>
      </c>
      <c r="X398" s="235" t="n"/>
    </row>
    <row r="399">
      <c r="A399" s="391" t="n">
        <v>46072</v>
      </c>
      <c r="B399" s="235" t="inlineStr">
        <is>
          <t>JULIO GADRET</t>
        </is>
      </c>
      <c r="C399" s="235" t="inlineStr">
        <is>
          <t>ESSENCE FOOD 88</t>
        </is>
      </c>
      <c r="D399" s="235" t="inlineStr">
        <is>
          <t>79.685.581/7798-81</t>
        </is>
      </c>
      <c r="E399" s="235" t="inlineStr">
        <is>
          <t>BA</t>
        </is>
      </c>
      <c r="F399" s="235" t="inlineStr">
        <is>
          <t>DIVINA TERRA</t>
        </is>
      </c>
      <c r="G399" s="235" t="inlineStr">
        <is>
          <t>EM RISCO</t>
        </is>
      </c>
      <c r="H399" s="235" t="n">
        <v>58</v>
      </c>
      <c r="I399" s="235" t="n"/>
      <c r="J399" s="235" t="n"/>
      <c r="K399" s="235" t="n"/>
      <c r="L399" s="235" t="n"/>
      <c r="M399" s="235" t="n"/>
      <c r="N399" s="235" t="inlineStr">
        <is>
          <t>SIM</t>
        </is>
      </c>
      <c r="O399" s="235" t="inlineStr">
        <is>
          <t>NÃO</t>
        </is>
      </c>
      <c r="P399" s="235" t="inlineStr">
        <is>
          <t>N/A</t>
        </is>
      </c>
      <c r="Q399" s="235" t="inlineStr">
        <is>
          <t>ATEND. CLIENTES ATIVOS</t>
        </is>
      </c>
      <c r="R399" s="235" t="inlineStr">
        <is>
          <t>RELACIONAMENTO</t>
        </is>
      </c>
      <c r="S399" s="235" t="n"/>
      <c r="T399" s="235" t="n"/>
      <c r="U399" s="235" t="n"/>
      <c r="V399" s="235" t="n"/>
      <c r="W399" s="235" t="inlineStr">
        <is>
          <t>SIM</t>
        </is>
      </c>
      <c r="X399" s="235" t="n"/>
    </row>
    <row r="400">
      <c r="A400" s="391" t="n">
        <v>46055</v>
      </c>
      <c r="B400" s="235" t="inlineStr">
        <is>
          <t>MANU DITZEL</t>
        </is>
      </c>
      <c r="C400" s="235" t="inlineStr">
        <is>
          <t>MUNDO VERDE CWB 17</t>
        </is>
      </c>
      <c r="D400" s="235" t="inlineStr">
        <is>
          <t>56.457.928/9568-13</t>
        </is>
      </c>
      <c r="E400" s="235" t="inlineStr">
        <is>
          <t>RJ</t>
        </is>
      </c>
      <c r="F400" s="235" t="inlineStr">
        <is>
          <t>VIDA LEVE</t>
        </is>
      </c>
      <c r="G400" s="235" t="inlineStr">
        <is>
          <t>EM RISCO</t>
        </is>
      </c>
      <c r="H400" s="235" t="n">
        <v>57</v>
      </c>
      <c r="I400" s="235" t="n"/>
      <c r="J400" s="235" t="n"/>
      <c r="K400" s="235" t="n"/>
      <c r="L400" s="235" t="n"/>
      <c r="M400" s="235" t="n"/>
      <c r="N400" s="235" t="inlineStr">
        <is>
          <t>SIM</t>
        </is>
      </c>
      <c r="O400" s="235" t="inlineStr">
        <is>
          <t>NÃO</t>
        </is>
      </c>
      <c r="P400" s="235" t="inlineStr">
        <is>
          <t>N/A</t>
        </is>
      </c>
      <c r="Q400" s="235" t="inlineStr">
        <is>
          <t>FOLLOW UP</t>
        </is>
      </c>
      <c r="R400" s="235" t="inlineStr">
        <is>
          <t>VENDA / PEDIDO</t>
        </is>
      </c>
      <c r="S400" s="235" t="n"/>
      <c r="T400" s="235" t="n"/>
      <c r="U400" s="235" t="n"/>
      <c r="V400" s="235" t="n"/>
      <c r="W400" s="235" t="inlineStr">
        <is>
          <t>SIM</t>
        </is>
      </c>
      <c r="X400" s="235" t="n"/>
    </row>
    <row r="401">
      <c r="A401" s="391" t="n">
        <v>46074</v>
      </c>
      <c r="B401" s="235" t="inlineStr">
        <is>
          <t>MANU DITZEL</t>
        </is>
      </c>
      <c r="C401" s="235" t="inlineStr">
        <is>
          <t>GRÃO DE OURO 89</t>
        </is>
      </c>
      <c r="D401" s="235" t="inlineStr">
        <is>
          <t>18.989.412/1876-53</t>
        </is>
      </c>
      <c r="E401" s="235" t="inlineStr">
        <is>
          <t>PR</t>
        </is>
      </c>
      <c r="F401" s="235" t="inlineStr">
        <is>
          <t>VIDA LEVE</t>
        </is>
      </c>
      <c r="G401" s="235" t="inlineStr">
        <is>
          <t>ATIVO</t>
        </is>
      </c>
      <c r="H401" s="235" t="n">
        <v>47</v>
      </c>
      <c r="I401" s="235" t="n"/>
      <c r="J401" s="235" t="n"/>
      <c r="K401" s="235" t="n"/>
      <c r="L401" s="235" t="n"/>
      <c r="M401" s="235" t="n"/>
      <c r="N401" s="235" t="inlineStr">
        <is>
          <t>NÃO</t>
        </is>
      </c>
      <c r="O401" s="235" t="inlineStr">
        <is>
          <t>SIM</t>
        </is>
      </c>
      <c r="P401" s="235" t="inlineStr">
        <is>
          <t>NÃO</t>
        </is>
      </c>
      <c r="Q401" s="235" t="inlineStr">
        <is>
          <t>PÓS-VENDA / RELACIONAMENTO</t>
        </is>
      </c>
      <c r="R401" s="235" t="inlineStr">
        <is>
          <t>SUPORTE</t>
        </is>
      </c>
      <c r="S401" s="235" t="n"/>
      <c r="T401" s="235" t="n"/>
      <c r="U401" s="235" t="n"/>
      <c r="V401" s="235" t="n"/>
      <c r="W401" s="235" t="inlineStr">
        <is>
          <t>SIM</t>
        </is>
      </c>
      <c r="X401" s="235" t="n"/>
    </row>
    <row r="402">
      <c r="A402" s="391" t="n">
        <v>46064</v>
      </c>
      <c r="B402" s="235" t="inlineStr">
        <is>
          <t>LARISSA PADILHA</t>
        </is>
      </c>
      <c r="C402" s="235" t="inlineStr">
        <is>
          <t>VIDA LEVE PR 42</t>
        </is>
      </c>
      <c r="D402" s="235" t="inlineStr">
        <is>
          <t>83.200.927/8002-22</t>
        </is>
      </c>
      <c r="E402" s="235" t="inlineStr">
        <is>
          <t>SP</t>
        </is>
      </c>
      <c r="F402" s="235" t="inlineStr">
        <is>
          <t>BIOMUNDO</t>
        </is>
      </c>
      <c r="G402" s="235" t="inlineStr">
        <is>
          <t>EM RISCO</t>
        </is>
      </c>
      <c r="H402" s="235" t="n">
        <v>56</v>
      </c>
      <c r="I402" s="235" t="n"/>
      <c r="J402" s="235" t="n"/>
      <c r="K402" s="235" t="n"/>
      <c r="L402" s="235" t="n"/>
      <c r="M402" s="235" t="n"/>
      <c r="N402" s="235" t="inlineStr">
        <is>
          <t>NÃO</t>
        </is>
      </c>
      <c r="O402" s="235" t="inlineStr">
        <is>
          <t>SIM</t>
        </is>
      </c>
      <c r="P402" s="235" t="inlineStr">
        <is>
          <t>NÃO</t>
        </is>
      </c>
      <c r="Q402" s="235" t="inlineStr">
        <is>
          <t>NEGOCIAÇÃO</t>
        </is>
      </c>
      <c r="R402" s="235" t="inlineStr">
        <is>
          <t>ORÇAMENTO</t>
        </is>
      </c>
      <c r="S402" s="235" t="n"/>
      <c r="T402" s="235" t="n"/>
      <c r="U402" s="235" t="n"/>
      <c r="V402" s="235" t="n"/>
      <c r="W402" s="235" t="inlineStr">
        <is>
          <t>NÃO</t>
        </is>
      </c>
      <c r="X402" s="235" t="n"/>
    </row>
    <row r="403">
      <c r="A403" s="391" t="n">
        <v>46056</v>
      </c>
      <c r="B403" s="235" t="inlineStr">
        <is>
          <t>DAIANE STAVICKI</t>
        </is>
      </c>
      <c r="C403" s="235" t="inlineStr">
        <is>
          <t>BIO FIT 28</t>
        </is>
      </c>
      <c r="D403" s="235" t="inlineStr">
        <is>
          <t>46.371.148/4872-83</t>
        </is>
      </c>
      <c r="E403" s="235" t="inlineStr">
        <is>
          <t>RS</t>
        </is>
      </c>
      <c r="F403" s="235" t="inlineStr">
        <is>
          <t>BIOMUNDO</t>
        </is>
      </c>
      <c r="G403" s="235" t="inlineStr">
        <is>
          <t>INAT.ANT</t>
        </is>
      </c>
      <c r="H403" s="235" t="n">
        <v>114</v>
      </c>
      <c r="I403" s="235" t="n"/>
      <c r="J403" s="235" t="n"/>
      <c r="K403" s="235" t="n"/>
      <c r="L403" s="235" t="n"/>
      <c r="M403" s="235" t="n"/>
      <c r="N403" s="235" t="inlineStr">
        <is>
          <t>SIM</t>
        </is>
      </c>
      <c r="O403" s="235" t="inlineStr">
        <is>
          <t>SIM</t>
        </is>
      </c>
      <c r="P403" s="235" t="inlineStr">
        <is>
          <t>NÃO</t>
        </is>
      </c>
      <c r="Q403" s="235" t="inlineStr">
        <is>
          <t>ATEND. CLIENTES INATIVOS</t>
        </is>
      </c>
      <c r="R403" s="235" t="inlineStr">
        <is>
          <t>RECUSOU LIGAÇÃO</t>
        </is>
      </c>
      <c r="S403" s="235" t="inlineStr">
        <is>
          <t>PROBLEMA LOGÍSTICO / ENTREGA</t>
        </is>
      </c>
      <c r="T403" s="235" t="n"/>
      <c r="U403" s="235" t="n"/>
      <c r="V403" s="235" t="n"/>
      <c r="W403" s="235" t="inlineStr">
        <is>
          <t>SIM</t>
        </is>
      </c>
      <c r="X403" s="235" t="n"/>
    </row>
    <row r="404">
      <c r="A404" s="391" t="n">
        <v>46065</v>
      </c>
      <c r="B404" s="235" t="inlineStr">
        <is>
          <t>DAIANE STAVICKI</t>
        </is>
      </c>
      <c r="C404" s="235" t="inlineStr">
        <is>
          <t>EMPÓRIO DO CAMPO 65</t>
        </is>
      </c>
      <c r="D404" s="235" t="inlineStr">
        <is>
          <t>48.543.779/8847-50</t>
        </is>
      </c>
      <c r="E404" s="235" t="inlineStr">
        <is>
          <t>PR</t>
        </is>
      </c>
      <c r="F404" s="235" t="inlineStr">
        <is>
          <t>FIT LAND</t>
        </is>
      </c>
      <c r="G404" s="235" t="inlineStr">
        <is>
          <t>INAT.ANT</t>
        </is>
      </c>
      <c r="H404" s="235" t="n">
        <v>207</v>
      </c>
      <c r="I404" s="235" t="n"/>
      <c r="J404" s="235" t="n"/>
      <c r="K404" s="235" t="n"/>
      <c r="L404" s="235" t="n"/>
      <c r="M404" s="235" t="n"/>
      <c r="N404" s="235" t="inlineStr">
        <is>
          <t>NÃO</t>
        </is>
      </c>
      <c r="O404" s="235" t="inlineStr">
        <is>
          <t>NÃO</t>
        </is>
      </c>
      <c r="P404" s="235" t="inlineStr">
        <is>
          <t>N/A</t>
        </is>
      </c>
      <c r="Q404" s="235" t="inlineStr">
        <is>
          <t>ATEND. CLIENTES INATIVOS</t>
        </is>
      </c>
      <c r="R404" s="235" t="inlineStr">
        <is>
          <t>RECUSOU LIGAÇÃO</t>
        </is>
      </c>
      <c r="S404" s="235" t="inlineStr">
        <is>
          <t>SÓ QUER COMPRAR GRANEL</t>
        </is>
      </c>
      <c r="T404" s="235" t="n"/>
      <c r="U404" s="235" t="n"/>
      <c r="V404" s="235" t="n"/>
      <c r="W404" s="235" t="inlineStr">
        <is>
          <t>SIM</t>
        </is>
      </c>
      <c r="X404" s="235" t="n"/>
    </row>
    <row r="405">
      <c r="A405" s="391" t="n">
        <v>46069</v>
      </c>
      <c r="B405" s="235" t="inlineStr">
        <is>
          <t>MANU DITZEL</t>
        </is>
      </c>
      <c r="C405" s="235" t="inlineStr">
        <is>
          <t>NATURAL HOUSE 35</t>
        </is>
      </c>
      <c r="D405" s="235" t="inlineStr">
        <is>
          <t>91.645.928/7107-82</t>
        </is>
      </c>
      <c r="E405" s="235" t="inlineStr">
        <is>
          <t>RJ</t>
        </is>
      </c>
      <c r="F405" s="235" t="inlineStr">
        <is>
          <t>MUNDO VERDE</t>
        </is>
      </c>
      <c r="G405" s="235" t="inlineStr">
        <is>
          <t>ATIVO</t>
        </is>
      </c>
      <c r="H405" s="235" t="n">
        <v>34</v>
      </c>
      <c r="I405" s="235" t="n"/>
      <c r="J405" s="235" t="n"/>
      <c r="K405" s="235" t="n"/>
      <c r="L405" s="235" t="n"/>
      <c r="M405" s="235" t="n"/>
      <c r="N405" s="235" t="inlineStr">
        <is>
          <t>SIM</t>
        </is>
      </c>
      <c r="O405" s="235" t="inlineStr">
        <is>
          <t>SIM</t>
        </is>
      </c>
      <c r="P405" s="235" t="inlineStr">
        <is>
          <t>SIM</t>
        </is>
      </c>
      <c r="Q405" s="235" t="inlineStr">
        <is>
          <t>PROSPECÇÃO</t>
        </is>
      </c>
      <c r="R405" s="235" t="inlineStr">
        <is>
          <t>EM ATENDIMENTO</t>
        </is>
      </c>
      <c r="S405" s="235" t="n"/>
      <c r="T405" s="235" t="n"/>
      <c r="U405" s="235" t="n"/>
      <c r="V405" s="235" t="n"/>
      <c r="W405" s="235" t="inlineStr">
        <is>
          <t>SIM</t>
        </is>
      </c>
      <c r="X405" s="235" t="n"/>
    </row>
    <row r="406">
      <c r="A406" s="391" t="n">
        <v>46080</v>
      </c>
      <c r="B406" s="235" t="inlineStr">
        <is>
          <t>DAIANE STAVICKI</t>
        </is>
      </c>
      <c r="C406" s="235" t="inlineStr">
        <is>
          <t>DIVINA TERRA RJ 53</t>
        </is>
      </c>
      <c r="D406" s="235" t="inlineStr">
        <is>
          <t>44.943.393/2632-42</t>
        </is>
      </c>
      <c r="E406" s="235" t="inlineStr">
        <is>
          <t>SP</t>
        </is>
      </c>
      <c r="F406" s="235" t="inlineStr">
        <is>
          <t>BIOMUNDO</t>
        </is>
      </c>
      <c r="G406" s="235" t="inlineStr">
        <is>
          <t>ATIVO</t>
        </is>
      </c>
      <c r="H406" s="235" t="n">
        <v>14</v>
      </c>
      <c r="I406" s="235" t="n"/>
      <c r="J406" s="235" t="n"/>
      <c r="K406" s="235" t="n"/>
      <c r="L406" s="235" t="n"/>
      <c r="M406" s="235" t="n"/>
      <c r="N406" s="235" t="inlineStr">
        <is>
          <t>NÃO</t>
        </is>
      </c>
      <c r="O406" s="235" t="inlineStr">
        <is>
          <t>NÃO</t>
        </is>
      </c>
      <c r="P406" s="235" t="inlineStr">
        <is>
          <t>N/A</t>
        </is>
      </c>
      <c r="Q406" s="235" t="inlineStr">
        <is>
          <t>NEGOCIAÇÃO</t>
        </is>
      </c>
      <c r="R406" s="235" t="inlineStr">
        <is>
          <t>ORÇAMENTO</t>
        </is>
      </c>
      <c r="S406" s="235" t="n"/>
      <c r="T406" s="235" t="n"/>
      <c r="U406" s="235" t="n"/>
      <c r="V406" s="235" t="n"/>
      <c r="W406" s="235" t="inlineStr">
        <is>
          <t>SIM</t>
        </is>
      </c>
      <c r="X406" s="235" t="n"/>
    </row>
    <row r="407">
      <c r="A407" s="391" t="n">
        <v>46067</v>
      </c>
      <c r="B407" s="235" t="inlineStr">
        <is>
          <t>LARISSA PADILHA</t>
        </is>
      </c>
      <c r="C407" s="235" t="inlineStr">
        <is>
          <t>MUNDO VERDE CWB 26</t>
        </is>
      </c>
      <c r="D407" s="235" t="inlineStr">
        <is>
          <t>30.379.239/0478-43</t>
        </is>
      </c>
      <c r="E407" s="235" t="inlineStr">
        <is>
          <t>MG</t>
        </is>
      </c>
      <c r="F407" s="235" t="inlineStr">
        <is>
          <t>CIA DA SAUDE</t>
        </is>
      </c>
      <c r="G407" s="235" t="inlineStr">
        <is>
          <t>INAT.REC</t>
        </is>
      </c>
      <c r="H407" s="235" t="n">
        <v>81</v>
      </c>
      <c r="I407" s="235" t="n"/>
      <c r="J407" s="235" t="n"/>
      <c r="K407" s="235" t="n"/>
      <c r="L407" s="235" t="n"/>
      <c r="M407" s="235" t="n"/>
      <c r="N407" s="235" t="inlineStr">
        <is>
          <t>SIM</t>
        </is>
      </c>
      <c r="O407" s="235" t="inlineStr">
        <is>
          <t>SIM</t>
        </is>
      </c>
      <c r="P407" s="235" t="inlineStr">
        <is>
          <t>NÃO</t>
        </is>
      </c>
      <c r="Q407" s="235" t="inlineStr">
        <is>
          <t>PÓS-VENDA / RELACIONAMENTO</t>
        </is>
      </c>
      <c r="R407" s="235" t="inlineStr">
        <is>
          <t>ORÇAMENTO</t>
        </is>
      </c>
      <c r="S407" s="235" t="n"/>
      <c r="T407" s="235" t="n"/>
      <c r="U407" s="235" t="n"/>
      <c r="V407" s="235" t="n"/>
      <c r="W407" s="235" t="inlineStr">
        <is>
          <t>SIM</t>
        </is>
      </c>
      <c r="X407" s="235" t="n"/>
    </row>
    <row r="408">
      <c r="A408" s="391" t="n">
        <v>46073</v>
      </c>
      <c r="B408" s="235" t="inlineStr">
        <is>
          <t>MANU DITZEL</t>
        </is>
      </c>
      <c r="C408" s="235" t="inlineStr">
        <is>
          <t>VIDA SAUDÁVEL 53</t>
        </is>
      </c>
      <c r="D408" s="235" t="inlineStr">
        <is>
          <t>56.787.773/1480-60</t>
        </is>
      </c>
      <c r="E408" s="235" t="inlineStr">
        <is>
          <t>DF</t>
        </is>
      </c>
      <c r="F408" s="235" t="inlineStr">
        <is>
          <t>DEMAIS CLIENTES</t>
        </is>
      </c>
      <c r="G408" s="235" t="inlineStr">
        <is>
          <t>ATIVO</t>
        </is>
      </c>
      <c r="H408" s="235" t="n">
        <v>12</v>
      </c>
      <c r="I408" s="235" t="n"/>
      <c r="J408" s="235" t="n"/>
      <c r="K408" s="235" t="n"/>
      <c r="L408" s="235" t="n"/>
      <c r="M408" s="235" t="n"/>
      <c r="N408" s="235" t="inlineStr">
        <is>
          <t>SIM</t>
        </is>
      </c>
      <c r="O408" s="235" t="inlineStr">
        <is>
          <t>NÃO</t>
        </is>
      </c>
      <c r="P408" s="235" t="inlineStr">
        <is>
          <t>N/A</t>
        </is>
      </c>
      <c r="Q408" s="235" t="inlineStr">
        <is>
          <t>ATEND. CLIENTES ATIVOS</t>
        </is>
      </c>
      <c r="R408" s="235" t="inlineStr">
        <is>
          <t>RELACIONAMENTO</t>
        </is>
      </c>
      <c r="S408" s="235" t="n"/>
      <c r="T408" s="235" t="n"/>
      <c r="U408" s="235" t="n"/>
      <c r="V408" s="235" t="n"/>
      <c r="W408" s="235" t="inlineStr">
        <is>
          <t>SIM</t>
        </is>
      </c>
      <c r="X408" s="235" t="n"/>
    </row>
    <row r="409">
      <c r="A409" s="391" t="n">
        <v>46078</v>
      </c>
      <c r="B409" s="235" t="inlineStr">
        <is>
          <t>DAIANE STAVICKI</t>
        </is>
      </c>
      <c r="C409" s="235" t="inlineStr">
        <is>
          <t>PONTO VERDE 64</t>
        </is>
      </c>
      <c r="D409" s="235" t="inlineStr">
        <is>
          <t>21.343.714/2004-50</t>
        </is>
      </c>
      <c r="E409" s="235" t="inlineStr">
        <is>
          <t>SC</t>
        </is>
      </c>
      <c r="F409" s="235" t="inlineStr">
        <is>
          <t>VIDA LEVE</t>
        </is>
      </c>
      <c r="G409" s="235" t="inlineStr">
        <is>
          <t>EM RISCO</t>
        </is>
      </c>
      <c r="H409" s="235" t="n">
        <v>54</v>
      </c>
      <c r="I409" s="235" t="n"/>
      <c r="J409" s="235" t="n"/>
      <c r="K409" s="235" t="n"/>
      <c r="L409" s="235" t="n"/>
      <c r="M409" s="235" t="n"/>
      <c r="N409" s="235" t="inlineStr">
        <is>
          <t>SIM</t>
        </is>
      </c>
      <c r="O409" s="235" t="inlineStr">
        <is>
          <t>SIM</t>
        </is>
      </c>
      <c r="P409" s="235" t="inlineStr">
        <is>
          <t>SIM</t>
        </is>
      </c>
      <c r="Q409" s="235" t="inlineStr">
        <is>
          <t>PERDA / NUTRIÇÃO</t>
        </is>
      </c>
      <c r="R409" s="235" t="inlineStr">
        <is>
          <t>PERDA / FECHOU LOJA</t>
        </is>
      </c>
      <c r="S409" s="235" t="inlineStr">
        <is>
          <t>LOJA ANEXO/PROXIMO - SM</t>
        </is>
      </c>
      <c r="T409" s="235" t="n"/>
      <c r="U409" s="235" t="n"/>
      <c r="V409" s="235" t="n"/>
      <c r="W409" s="235" t="inlineStr">
        <is>
          <t>NÃO</t>
        </is>
      </c>
      <c r="X409" s="235" t="n"/>
    </row>
    <row r="410">
      <c r="A410" s="391" t="n">
        <v>46055</v>
      </c>
      <c r="B410" s="235" t="inlineStr">
        <is>
          <t>LARISSA PADILHA</t>
        </is>
      </c>
      <c r="C410" s="235" t="inlineStr">
        <is>
          <t>GRANEL &amp; CIA 90</t>
        </is>
      </c>
      <c r="D410" s="235" t="inlineStr">
        <is>
          <t>24.424.658/6944-70</t>
        </is>
      </c>
      <c r="E410" s="235" t="inlineStr">
        <is>
          <t>SP</t>
        </is>
      </c>
      <c r="F410" s="235" t="inlineStr">
        <is>
          <t>DEMAIS CLIENTES</t>
        </is>
      </c>
      <c r="G410" s="235" t="inlineStr">
        <is>
          <t>NOVO</t>
        </is>
      </c>
      <c r="H410" s="235" t="inlineStr"/>
      <c r="I410" s="235" t="n"/>
      <c r="J410" s="235" t="n"/>
      <c r="K410" s="235" t="n"/>
      <c r="L410" s="235" t="n"/>
      <c r="M410" s="235" t="n"/>
      <c r="N410" s="235" t="inlineStr">
        <is>
          <t>NÃO</t>
        </is>
      </c>
      <c r="O410" s="235" t="inlineStr">
        <is>
          <t>NÃO</t>
        </is>
      </c>
      <c r="P410" s="235" t="inlineStr">
        <is>
          <t>N/A</t>
        </is>
      </c>
      <c r="Q410" s="235" t="inlineStr">
        <is>
          <t>PERDA / NUTRIÇÃO</t>
        </is>
      </c>
      <c r="R410" s="235" t="inlineStr">
        <is>
          <t>NÃO ATENDE</t>
        </is>
      </c>
      <c r="S410" s="235" t="inlineStr">
        <is>
          <t>AINDA TEM ESTOQUE</t>
        </is>
      </c>
      <c r="T410" s="235" t="n"/>
      <c r="U410" s="235" t="n"/>
      <c r="V410" s="235" t="n"/>
      <c r="W410" s="235" t="inlineStr">
        <is>
          <t>NÃO</t>
        </is>
      </c>
      <c r="X410" s="235" t="n"/>
    </row>
    <row r="411">
      <c r="A411" s="391" t="n">
        <v>46073</v>
      </c>
      <c r="B411" s="235" t="inlineStr">
        <is>
          <t>MANU DITZEL</t>
        </is>
      </c>
      <c r="C411" s="235" t="inlineStr">
        <is>
          <t>BIOMUNDO CTB 89</t>
        </is>
      </c>
      <c r="D411" s="235" t="inlineStr">
        <is>
          <t>95.345.359/9056-59</t>
        </is>
      </c>
      <c r="E411" s="235" t="inlineStr">
        <is>
          <t>SC</t>
        </is>
      </c>
      <c r="F411" s="235" t="inlineStr">
        <is>
          <t>DEMAIS CLIENTES</t>
        </is>
      </c>
      <c r="G411" s="235" t="inlineStr">
        <is>
          <t>EM RISCO</t>
        </is>
      </c>
      <c r="H411" s="235" t="n">
        <v>52</v>
      </c>
      <c r="I411" s="235" t="n"/>
      <c r="J411" s="235" t="n"/>
      <c r="K411" s="235" t="n"/>
      <c r="L411" s="235" t="n"/>
      <c r="M411" s="235" t="n"/>
      <c r="N411" s="235" t="inlineStr">
        <is>
          <t>SIM</t>
        </is>
      </c>
      <c r="O411" s="235" t="inlineStr">
        <is>
          <t>SIM</t>
        </is>
      </c>
      <c r="P411" s="235" t="inlineStr">
        <is>
          <t>NÃO</t>
        </is>
      </c>
      <c r="Q411" s="235" t="inlineStr">
        <is>
          <t>ATEND. CLIENTES ATIVOS</t>
        </is>
      </c>
      <c r="R411" s="235" t="inlineStr">
        <is>
          <t>ORÇAMENTO</t>
        </is>
      </c>
      <c r="S411" s="235" t="n"/>
      <c r="T411" s="235" t="n"/>
      <c r="U411" s="235" t="n"/>
      <c r="V411" s="235" t="n"/>
      <c r="W411" s="235" t="inlineStr">
        <is>
          <t>NÃO</t>
        </is>
      </c>
      <c r="X411" s="235" t="n"/>
    </row>
    <row r="412">
      <c r="A412" s="391" t="n">
        <v>46062</v>
      </c>
      <c r="B412" s="235" t="inlineStr">
        <is>
          <t>MANU DITZEL</t>
        </is>
      </c>
      <c r="C412" s="235" t="inlineStr">
        <is>
          <t>ARMAZEM FIT 39</t>
        </is>
      </c>
      <c r="D412" s="235" t="inlineStr">
        <is>
          <t>36.980.264/7191-90</t>
        </is>
      </c>
      <c r="E412" s="235" t="inlineStr">
        <is>
          <t>SC</t>
        </is>
      </c>
      <c r="F412" s="235" t="inlineStr">
        <is>
          <t>DEMAIS CLIENTES</t>
        </is>
      </c>
      <c r="G412" s="235" t="inlineStr">
        <is>
          <t>INAT.ANT</t>
        </is>
      </c>
      <c r="H412" s="235" t="n">
        <v>293</v>
      </c>
      <c r="I412" s="235" t="n"/>
      <c r="J412" s="235" t="n"/>
      <c r="K412" s="235" t="n"/>
      <c r="L412" s="235" t="n"/>
      <c r="M412" s="235" t="n"/>
      <c r="N412" s="235" t="inlineStr">
        <is>
          <t>NÃO</t>
        </is>
      </c>
      <c r="O412" s="235" t="inlineStr">
        <is>
          <t>NÃO</t>
        </is>
      </c>
      <c r="P412" s="235" t="inlineStr">
        <is>
          <t>N/A</t>
        </is>
      </c>
      <c r="Q412" s="235" t="inlineStr">
        <is>
          <t>PROSPECÇÃO</t>
        </is>
      </c>
      <c r="R412" s="235" t="inlineStr">
        <is>
          <t>RECUSOU LIGAÇÃO</t>
        </is>
      </c>
      <c r="S412" s="235" t="inlineStr">
        <is>
          <t>SÓ QUER COMPRAR GRANEL</t>
        </is>
      </c>
      <c r="T412" s="235" t="n"/>
      <c r="U412" s="235" t="n"/>
      <c r="V412" s="235" t="n"/>
      <c r="W412" s="235" t="inlineStr">
        <is>
          <t>SIM</t>
        </is>
      </c>
      <c r="X412" s="235" t="n"/>
    </row>
    <row r="413">
      <c r="A413" s="391" t="n">
        <v>46080</v>
      </c>
      <c r="B413" s="235" t="inlineStr">
        <is>
          <t>MANU DITZEL</t>
        </is>
      </c>
      <c r="C413" s="235" t="inlineStr">
        <is>
          <t>SAUDE NA MESA 13</t>
        </is>
      </c>
      <c r="D413" s="235" t="inlineStr">
        <is>
          <t>30.815.367/8296-18</t>
        </is>
      </c>
      <c r="E413" s="235" t="inlineStr">
        <is>
          <t>SC</t>
        </is>
      </c>
      <c r="F413" s="235" t="inlineStr">
        <is>
          <t>VIDA LEVE</t>
        </is>
      </c>
      <c r="G413" s="235" t="inlineStr">
        <is>
          <t>NOVO</t>
        </is>
      </c>
      <c r="H413" s="235" t="inlineStr"/>
      <c r="I413" s="235" t="n"/>
      <c r="J413" s="235" t="n"/>
      <c r="K413" s="235" t="n"/>
      <c r="L413" s="235" t="n"/>
      <c r="M413" s="235" t="n"/>
      <c r="N413" s="235" t="inlineStr">
        <is>
          <t>SIM</t>
        </is>
      </c>
      <c r="O413" s="235" t="inlineStr">
        <is>
          <t>SIM</t>
        </is>
      </c>
      <c r="P413" s="235" t="inlineStr">
        <is>
          <t>NÃO</t>
        </is>
      </c>
      <c r="Q413" s="235" t="inlineStr">
        <is>
          <t>ATEND. CLIENTES INATIVOS</t>
        </is>
      </c>
      <c r="R413" s="235" t="inlineStr">
        <is>
          <t>NÃO RESPONDE</t>
        </is>
      </c>
      <c r="S413" s="235" t="inlineStr">
        <is>
          <t>PROBLEMA LOGÍSTICO / ENTREGA</t>
        </is>
      </c>
      <c r="T413" s="235" t="n"/>
      <c r="U413" s="235" t="n"/>
      <c r="V413" s="235" t="n"/>
      <c r="W413" s="235" t="inlineStr">
        <is>
          <t>NÃO</t>
        </is>
      </c>
      <c r="X413" s="235" t="n"/>
    </row>
    <row r="414">
      <c r="A414" s="391" t="n">
        <v>46058</v>
      </c>
      <c r="B414" s="235" t="inlineStr">
        <is>
          <t>MANU DITZEL</t>
        </is>
      </c>
      <c r="C414" s="235" t="inlineStr">
        <is>
          <t>CIA SAUDE SP 81</t>
        </is>
      </c>
      <c r="D414" s="235" t="inlineStr">
        <is>
          <t>49.421.689/1348-24</t>
        </is>
      </c>
      <c r="E414" s="235" t="inlineStr">
        <is>
          <t>PR</t>
        </is>
      </c>
      <c r="F414" s="235" t="inlineStr">
        <is>
          <t>DIVINA TERRA</t>
        </is>
      </c>
      <c r="G414" s="235" t="inlineStr">
        <is>
          <t>PROSPECT</t>
        </is>
      </c>
      <c r="H414" s="235" t="inlineStr"/>
      <c r="I414" s="235" t="n"/>
      <c r="J414" s="235" t="n"/>
      <c r="K414" s="235" t="n"/>
      <c r="L414" s="235" t="n"/>
      <c r="M414" s="235" t="n"/>
      <c r="N414" s="235" t="inlineStr">
        <is>
          <t>NÃO</t>
        </is>
      </c>
      <c r="O414" s="235" t="inlineStr">
        <is>
          <t>NÃO</t>
        </is>
      </c>
      <c r="P414" s="235" t="inlineStr">
        <is>
          <t>N/A</t>
        </is>
      </c>
      <c r="Q414" s="235" t="inlineStr">
        <is>
          <t>PÓS-VENDA / RELACIONAMENTO</t>
        </is>
      </c>
      <c r="R414" s="235" t="inlineStr">
        <is>
          <t>VENDA / PEDIDO</t>
        </is>
      </c>
      <c r="S414" s="235" t="n"/>
      <c r="T414" s="235" t="n"/>
      <c r="U414" s="235" t="n"/>
      <c r="V414" s="235" t="n"/>
      <c r="W414" s="235" t="inlineStr">
        <is>
          <t>NÃO</t>
        </is>
      </c>
      <c r="X414" s="235" t="n"/>
    </row>
    <row r="415">
      <c r="A415" s="391" t="n">
        <v>46064</v>
      </c>
      <c r="B415" s="235" t="inlineStr">
        <is>
          <t>LARISSA PADILHA</t>
        </is>
      </c>
      <c r="C415" s="235" t="inlineStr">
        <is>
          <t>FIT STORE 34</t>
        </is>
      </c>
      <c r="D415" s="235" t="inlineStr">
        <is>
          <t>32.803.707/5368-46</t>
        </is>
      </c>
      <c r="E415" s="235" t="inlineStr">
        <is>
          <t>PR</t>
        </is>
      </c>
      <c r="F415" s="235" t="inlineStr">
        <is>
          <t>FIT LAND</t>
        </is>
      </c>
      <c r="G415" s="235" t="inlineStr">
        <is>
          <t>ATIVO</t>
        </is>
      </c>
      <c r="H415" s="235" t="n">
        <v>29</v>
      </c>
      <c r="I415" s="235" t="n"/>
      <c r="J415" s="235" t="n"/>
      <c r="K415" s="235" t="n"/>
      <c r="L415" s="235" t="n"/>
      <c r="M415" s="235" t="n"/>
      <c r="N415" s="235" t="inlineStr">
        <is>
          <t>SIM</t>
        </is>
      </c>
      <c r="O415" s="235" t="inlineStr">
        <is>
          <t>NÃO</t>
        </is>
      </c>
      <c r="P415" s="235" t="inlineStr">
        <is>
          <t>N/A</t>
        </is>
      </c>
      <c r="Q415" s="235" t="inlineStr">
        <is>
          <t>PERDA / NUTRIÇÃO</t>
        </is>
      </c>
      <c r="R415" s="235" t="inlineStr">
        <is>
          <t>FOLLOW UP 15</t>
        </is>
      </c>
      <c r="S415" s="235" t="inlineStr">
        <is>
          <t>SEM INTERESSE NO MOMENTO</t>
        </is>
      </c>
      <c r="T415" s="235" t="n"/>
      <c r="U415" s="235" t="n"/>
      <c r="V415" s="235" t="n"/>
      <c r="W415" s="235" t="inlineStr">
        <is>
          <t>SIM</t>
        </is>
      </c>
      <c r="X415" s="235" t="n"/>
    </row>
    <row r="416">
      <c r="A416" s="391" t="n">
        <v>46074</v>
      </c>
      <c r="B416" s="235" t="inlineStr">
        <is>
          <t>MANU DITZEL</t>
        </is>
      </c>
      <c r="C416" s="235" t="inlineStr">
        <is>
          <t>GRÃO DE OURO 60</t>
        </is>
      </c>
      <c r="D416" s="235" t="inlineStr">
        <is>
          <t>35.368.818/2765-16</t>
        </is>
      </c>
      <c r="E416" s="235" t="inlineStr">
        <is>
          <t>RS</t>
        </is>
      </c>
      <c r="F416" s="235" t="inlineStr">
        <is>
          <t>FIT LAND</t>
        </is>
      </c>
      <c r="G416" s="235" t="inlineStr">
        <is>
          <t>ATIVO</t>
        </is>
      </c>
      <c r="H416" s="235" t="n">
        <v>10</v>
      </c>
      <c r="I416" s="235" t="n"/>
      <c r="J416" s="235" t="n"/>
      <c r="K416" s="235" t="n"/>
      <c r="L416" s="235" t="n"/>
      <c r="M416" s="235" t="n"/>
      <c r="N416" s="235" t="inlineStr">
        <is>
          <t>SIM</t>
        </is>
      </c>
      <c r="O416" s="235" t="inlineStr">
        <is>
          <t>SIM</t>
        </is>
      </c>
      <c r="P416" s="235" t="inlineStr">
        <is>
          <t>SIM</t>
        </is>
      </c>
      <c r="Q416" s="235" t="inlineStr">
        <is>
          <t>PERDA / NUTRIÇÃO</t>
        </is>
      </c>
      <c r="R416" s="235" t="inlineStr">
        <is>
          <t>PERDA / FECHOU LOJA</t>
        </is>
      </c>
      <c r="S416" s="235" t="inlineStr">
        <is>
          <t>PROPRIETARIO / INDISPONÍVEL</t>
        </is>
      </c>
      <c r="T416" s="235" t="n"/>
      <c r="U416" s="235" t="n"/>
      <c r="V416" s="235" t="n"/>
      <c r="W416" s="235" t="inlineStr">
        <is>
          <t>NÃO</t>
        </is>
      </c>
      <c r="X416" s="235" t="n"/>
    </row>
    <row r="417">
      <c r="A417" s="391" t="n">
        <v>46080</v>
      </c>
      <c r="B417" s="235" t="inlineStr">
        <is>
          <t>JULIO GADRET</t>
        </is>
      </c>
      <c r="C417" s="235" t="inlineStr">
        <is>
          <t>CASA DO GRANEL 29</t>
        </is>
      </c>
      <c r="D417" s="235" t="inlineStr">
        <is>
          <t>36.295.982/4362-46</t>
        </is>
      </c>
      <c r="E417" s="235" t="inlineStr">
        <is>
          <t>RJ</t>
        </is>
      </c>
      <c r="F417" s="235" t="inlineStr">
        <is>
          <t>FIT LAND</t>
        </is>
      </c>
      <c r="G417" s="235" t="inlineStr">
        <is>
          <t>EM RISCO</t>
        </is>
      </c>
      <c r="H417" s="235" t="n">
        <v>54</v>
      </c>
      <c r="I417" s="235" t="n"/>
      <c r="J417" s="235" t="n"/>
      <c r="K417" s="235" t="n"/>
      <c r="L417" s="235" t="n"/>
      <c r="M417" s="235" t="n"/>
      <c r="N417" s="235" t="inlineStr">
        <is>
          <t>SIM</t>
        </is>
      </c>
      <c r="O417" s="235" t="inlineStr">
        <is>
          <t>NÃO</t>
        </is>
      </c>
      <c r="P417" s="235" t="inlineStr">
        <is>
          <t>N/A</t>
        </is>
      </c>
      <c r="Q417" s="235" t="inlineStr">
        <is>
          <t>ATEND. CLIENTES ATIVOS</t>
        </is>
      </c>
      <c r="R417" s="235" t="inlineStr">
        <is>
          <t>NÃO ATENDE</t>
        </is>
      </c>
      <c r="S417" s="235" t="inlineStr">
        <is>
          <t>LOJA ANEXO/PROXIMO - SM</t>
        </is>
      </c>
      <c r="T417" s="235" t="n"/>
      <c r="U417" s="235" t="n"/>
      <c r="V417" s="235" t="n"/>
      <c r="W417" s="235" t="inlineStr">
        <is>
          <t>SIM</t>
        </is>
      </c>
      <c r="X417" s="235" t="n"/>
    </row>
    <row r="418">
      <c r="A418" s="391" t="n">
        <v>46058</v>
      </c>
      <c r="B418" s="235" t="inlineStr">
        <is>
          <t>MANU DITZEL</t>
        </is>
      </c>
      <c r="C418" s="235" t="inlineStr">
        <is>
          <t>PONTO VERDE 31</t>
        </is>
      </c>
      <c r="D418" s="235" t="inlineStr">
        <is>
          <t>89.561.354/6057-84</t>
        </is>
      </c>
      <c r="E418" s="235" t="inlineStr">
        <is>
          <t>SP</t>
        </is>
      </c>
      <c r="F418" s="235" t="inlineStr">
        <is>
          <t>DIVINA TERRA</t>
        </is>
      </c>
      <c r="G418" s="235" t="inlineStr">
        <is>
          <t>ATIVO</t>
        </is>
      </c>
      <c r="H418" s="235" t="n">
        <v>13</v>
      </c>
      <c r="I418" s="235" t="n"/>
      <c r="J418" s="235" t="n"/>
      <c r="K418" s="235" t="n"/>
      <c r="L418" s="235" t="n"/>
      <c r="M418" s="235" t="n"/>
      <c r="N418" s="235" t="inlineStr">
        <is>
          <t>SIM</t>
        </is>
      </c>
      <c r="O418" s="235" t="inlineStr">
        <is>
          <t>SIM</t>
        </is>
      </c>
      <c r="P418" s="235" t="inlineStr">
        <is>
          <t>SIM</t>
        </is>
      </c>
      <c r="Q418" s="235" t="inlineStr">
        <is>
          <t>PÓS-VENDA / RELACIONAMENTO</t>
        </is>
      </c>
      <c r="R418" s="235" t="inlineStr">
        <is>
          <t>ORÇAMENTO</t>
        </is>
      </c>
      <c r="S418" s="235" t="n"/>
      <c r="T418" s="235" t="n"/>
      <c r="U418" s="235" t="n"/>
      <c r="V418" s="235" t="n"/>
      <c r="W418" s="235" t="inlineStr">
        <is>
          <t>SIM</t>
        </is>
      </c>
      <c r="X418" s="235" t="n"/>
    </row>
    <row r="419">
      <c r="A419" s="391" t="n">
        <v>46073</v>
      </c>
      <c r="B419" s="235" t="inlineStr">
        <is>
          <t>MANU DITZEL</t>
        </is>
      </c>
      <c r="C419" s="235" t="inlineStr">
        <is>
          <t>NATURAL POINT 72</t>
        </is>
      </c>
      <c r="D419" s="235" t="inlineStr">
        <is>
          <t>17.153.440/3848-70</t>
        </is>
      </c>
      <c r="E419" s="235" t="inlineStr">
        <is>
          <t>GO</t>
        </is>
      </c>
      <c r="F419" s="235" t="inlineStr">
        <is>
          <t>DEMAIS CLIENTES</t>
        </is>
      </c>
      <c r="G419" s="235" t="inlineStr">
        <is>
          <t>PROSPECT</t>
        </is>
      </c>
      <c r="H419" s="235" t="inlineStr"/>
      <c r="I419" s="235" t="n"/>
      <c r="J419" s="235" t="n"/>
      <c r="K419" s="235" t="n"/>
      <c r="L419" s="235" t="n"/>
      <c r="M419" s="235" t="n"/>
      <c r="N419" s="235" t="inlineStr">
        <is>
          <t>NÃO</t>
        </is>
      </c>
      <c r="O419" s="235" t="inlineStr">
        <is>
          <t>SIM</t>
        </is>
      </c>
      <c r="P419" s="235" t="inlineStr">
        <is>
          <t>SIM</t>
        </is>
      </c>
      <c r="Q419" s="235" t="inlineStr">
        <is>
          <t>PERDA / NUTRIÇÃO</t>
        </is>
      </c>
      <c r="R419" s="235" t="inlineStr">
        <is>
          <t>NÃO RESPONDE</t>
        </is>
      </c>
      <c r="S419" s="235" t="inlineStr">
        <is>
          <t>PROBLEMA LOGÍSTICO / ENTREGA</t>
        </is>
      </c>
      <c r="T419" s="235" t="n"/>
      <c r="U419" s="235" t="n"/>
      <c r="V419" s="235" t="n"/>
      <c r="W419" s="235" t="inlineStr">
        <is>
          <t>SIM</t>
        </is>
      </c>
      <c r="X419" s="235" t="n"/>
    </row>
    <row r="420">
      <c r="A420" s="391" t="n">
        <v>46066</v>
      </c>
      <c r="B420" s="235" t="inlineStr">
        <is>
          <t>JULIO GADRET</t>
        </is>
      </c>
      <c r="C420" s="235" t="inlineStr">
        <is>
          <t>FIT STORE 72</t>
        </is>
      </c>
      <c r="D420" s="235" t="inlineStr">
        <is>
          <t>15.694.283/4265-31</t>
        </is>
      </c>
      <c r="E420" s="235" t="inlineStr">
        <is>
          <t>RS</t>
        </is>
      </c>
      <c r="F420" s="235" t="inlineStr">
        <is>
          <t>DEMAIS CLIENTES</t>
        </is>
      </c>
      <c r="G420" s="235" t="inlineStr">
        <is>
          <t>NOVO</t>
        </is>
      </c>
      <c r="H420" s="235" t="inlineStr"/>
      <c r="I420" s="235" t="n"/>
      <c r="J420" s="235" t="n"/>
      <c r="K420" s="235" t="n"/>
      <c r="L420" s="235" t="n"/>
      <c r="M420" s="235" t="n"/>
      <c r="N420" s="235" t="inlineStr">
        <is>
          <t>SIM</t>
        </is>
      </c>
      <c r="O420" s="235" t="inlineStr">
        <is>
          <t>SIM</t>
        </is>
      </c>
      <c r="P420" s="235" t="inlineStr">
        <is>
          <t>SIM</t>
        </is>
      </c>
      <c r="Q420" s="235" t="inlineStr">
        <is>
          <t>PROSPECÇÃO</t>
        </is>
      </c>
      <c r="R420" s="235" t="inlineStr">
        <is>
          <t>ORÇAMENTO</t>
        </is>
      </c>
      <c r="S420" s="235" t="n"/>
      <c r="T420" s="235" t="n"/>
      <c r="U420" s="235" t="n"/>
      <c r="V420" s="235" t="n"/>
      <c r="W420" s="235" t="inlineStr">
        <is>
          <t>SIM</t>
        </is>
      </c>
      <c r="X420" s="235" t="n"/>
    </row>
    <row r="421">
      <c r="A421" s="391" t="n">
        <v>46058</v>
      </c>
      <c r="B421" s="235" t="inlineStr">
        <is>
          <t>LARISSA PADILHA</t>
        </is>
      </c>
      <c r="C421" s="235" t="inlineStr">
        <is>
          <t>NATUR LIFE 96</t>
        </is>
      </c>
      <c r="D421" s="235" t="inlineStr">
        <is>
          <t>56.540.389/4313-88</t>
        </is>
      </c>
      <c r="E421" s="235" t="inlineStr">
        <is>
          <t>MG</t>
        </is>
      </c>
      <c r="F421" s="235" t="inlineStr">
        <is>
          <t>DEMAIS CLIENTES</t>
        </is>
      </c>
      <c r="G421" s="235" t="inlineStr">
        <is>
          <t>INAT.REC</t>
        </is>
      </c>
      <c r="H421" s="235" t="n">
        <v>74</v>
      </c>
      <c r="I421" s="235" t="n"/>
      <c r="J421" s="235" t="n"/>
      <c r="K421" s="235" t="n"/>
      <c r="L421" s="235" t="n"/>
      <c r="M421" s="235" t="n"/>
      <c r="N421" s="235" t="inlineStr">
        <is>
          <t>NÃO</t>
        </is>
      </c>
      <c r="O421" s="235" t="inlineStr">
        <is>
          <t>NÃO</t>
        </is>
      </c>
      <c r="P421" s="235" t="inlineStr">
        <is>
          <t>N/A</t>
        </is>
      </c>
      <c r="Q421" s="235" t="inlineStr">
        <is>
          <t>PÓS-VENDA / RELACIONAMENTO</t>
        </is>
      </c>
      <c r="R421" s="235" t="inlineStr">
        <is>
          <t>FOLLOW UP 7</t>
        </is>
      </c>
      <c r="S421" s="235" t="inlineStr">
        <is>
          <t>AINDA TEM ESTOQUE</t>
        </is>
      </c>
      <c r="T421" s="235" t="n"/>
      <c r="U421" s="235" t="n"/>
      <c r="V421" s="235" t="n"/>
      <c r="W421" s="235" t="inlineStr">
        <is>
          <t>NÃO</t>
        </is>
      </c>
      <c r="X421" s="235" t="n"/>
    </row>
    <row r="422">
      <c r="A422" s="391" t="n">
        <v>46075</v>
      </c>
      <c r="B422" s="235" t="inlineStr">
        <is>
          <t>JULIO GADRET</t>
        </is>
      </c>
      <c r="C422" s="235" t="inlineStr">
        <is>
          <t>EMPÓRIO BIO 07</t>
        </is>
      </c>
      <c r="D422" s="235" t="inlineStr">
        <is>
          <t>34.252.155/3767-33</t>
        </is>
      </c>
      <c r="E422" s="235" t="inlineStr">
        <is>
          <t>PR</t>
        </is>
      </c>
      <c r="F422" s="235" t="inlineStr">
        <is>
          <t>CIA DA SAUDE</t>
        </is>
      </c>
      <c r="G422" s="235" t="inlineStr">
        <is>
          <t>INAT.ANT</t>
        </is>
      </c>
      <c r="H422" s="235" t="n">
        <v>202</v>
      </c>
      <c r="I422" s="235" t="n"/>
      <c r="J422" s="235" t="n"/>
      <c r="K422" s="235" t="n"/>
      <c r="L422" s="235" t="n"/>
      <c r="M422" s="235" t="n"/>
      <c r="N422" s="235" t="inlineStr">
        <is>
          <t>SIM</t>
        </is>
      </c>
      <c r="O422" s="235" t="inlineStr">
        <is>
          <t>SIM</t>
        </is>
      </c>
      <c r="P422" s="235" t="inlineStr">
        <is>
          <t>NÃO</t>
        </is>
      </c>
      <c r="Q422" s="235" t="inlineStr">
        <is>
          <t>PROSPECÇÃO</t>
        </is>
      </c>
      <c r="R422" s="235" t="inlineStr">
        <is>
          <t>RECUSOU LIGAÇÃO</t>
        </is>
      </c>
      <c r="S422" s="235" t="inlineStr">
        <is>
          <t>PROBLEMA LOGÍSTICO / ENTREGA</t>
        </is>
      </c>
      <c r="T422" s="235" t="n"/>
      <c r="U422" s="235" t="n"/>
      <c r="V422" s="235" t="n"/>
      <c r="W422" s="235" t="inlineStr">
        <is>
          <t>SIM</t>
        </is>
      </c>
      <c r="X422" s="235" t="n"/>
    </row>
    <row r="423">
      <c r="A423" s="391" t="n">
        <v>46057</v>
      </c>
      <c r="B423" s="235" t="inlineStr">
        <is>
          <t>DAIANE STAVICKI</t>
        </is>
      </c>
      <c r="C423" s="235" t="inlineStr">
        <is>
          <t>SABOR NATURAL 16</t>
        </is>
      </c>
      <c r="D423" s="235" t="inlineStr">
        <is>
          <t>54.195.308/4655-33</t>
        </is>
      </c>
      <c r="E423" s="235" t="inlineStr">
        <is>
          <t>MG</t>
        </is>
      </c>
      <c r="F423" s="235" t="inlineStr">
        <is>
          <t>DEMAIS CLIENTES</t>
        </is>
      </c>
      <c r="G423" s="235" t="inlineStr">
        <is>
          <t>NOVO</t>
        </is>
      </c>
      <c r="H423" s="235" t="inlineStr"/>
      <c r="I423" s="235" t="n"/>
      <c r="J423" s="235" t="n"/>
      <c r="K423" s="235" t="n"/>
      <c r="L423" s="235" t="n"/>
      <c r="M423" s="235" t="n"/>
      <c r="N423" s="235" t="inlineStr">
        <is>
          <t>SIM</t>
        </is>
      </c>
      <c r="O423" s="235" t="inlineStr">
        <is>
          <t>NÃO</t>
        </is>
      </c>
      <c r="P423" s="235" t="inlineStr">
        <is>
          <t>N/A</t>
        </is>
      </c>
      <c r="Q423" s="235" t="inlineStr">
        <is>
          <t>ATEND. CLIENTES ATIVOS</t>
        </is>
      </c>
      <c r="R423" s="235" t="inlineStr">
        <is>
          <t>FOLLOW UP 15</t>
        </is>
      </c>
      <c r="S423" s="235" t="inlineStr">
        <is>
          <t>AINDA TEM ESTOQUE</t>
        </is>
      </c>
      <c r="T423" s="235" t="n"/>
      <c r="U423" s="235" t="n"/>
      <c r="V423" s="235" t="n"/>
      <c r="W423" s="235" t="inlineStr">
        <is>
          <t>NÃO</t>
        </is>
      </c>
      <c r="X423" s="235" t="n"/>
    </row>
    <row r="424">
      <c r="A424" s="391" t="n">
        <v>46059</v>
      </c>
      <c r="B424" s="235" t="inlineStr">
        <is>
          <t>LARISSA PADILHA</t>
        </is>
      </c>
      <c r="C424" s="235" t="inlineStr">
        <is>
          <t>VIDA SAUDÁVEL 32</t>
        </is>
      </c>
      <c r="D424" s="235" t="inlineStr">
        <is>
          <t>73.793.196/5385-13</t>
        </is>
      </c>
      <c r="E424" s="235" t="inlineStr">
        <is>
          <t>SC</t>
        </is>
      </c>
      <c r="F424" s="235" t="inlineStr">
        <is>
          <t>DEMAIS CLIENTES</t>
        </is>
      </c>
      <c r="G424" s="235" t="inlineStr">
        <is>
          <t>ATIVO</t>
        </is>
      </c>
      <c r="H424" s="235" t="n">
        <v>28</v>
      </c>
      <c r="I424" s="235" t="n"/>
      <c r="J424" s="235" t="n"/>
      <c r="K424" s="235" t="n"/>
      <c r="L424" s="235" t="n"/>
      <c r="M424" s="235" t="n"/>
      <c r="N424" s="235" t="inlineStr">
        <is>
          <t>NÃO</t>
        </is>
      </c>
      <c r="O424" s="235" t="inlineStr">
        <is>
          <t>SIM</t>
        </is>
      </c>
      <c r="P424" s="235" t="inlineStr">
        <is>
          <t>SIM</t>
        </is>
      </c>
      <c r="Q424" s="235" t="inlineStr">
        <is>
          <t>ATEND. CLIENTES ATIVOS</t>
        </is>
      </c>
      <c r="R424" s="235" t="inlineStr">
        <is>
          <t>NÃO ATENDE</t>
        </is>
      </c>
      <c r="S424" s="235" t="inlineStr">
        <is>
          <t>SEM INTERESSE NO MOMENTO</t>
        </is>
      </c>
      <c r="T424" s="235" t="n"/>
      <c r="U424" s="235" t="n"/>
      <c r="V424" s="235" t="n"/>
      <c r="W424" s="235" t="inlineStr">
        <is>
          <t>NÃO</t>
        </is>
      </c>
      <c r="X424" s="235" t="n"/>
    </row>
    <row r="425">
      <c r="A425" s="391" t="n">
        <v>46068</v>
      </c>
      <c r="B425" s="235" t="inlineStr">
        <is>
          <t>JULIO GADRET</t>
        </is>
      </c>
      <c r="C425" s="235" t="inlineStr">
        <is>
          <t>NATUR LIFE 77</t>
        </is>
      </c>
      <c r="D425" s="235" t="inlineStr">
        <is>
          <t>94.105.437/0719-93</t>
        </is>
      </c>
      <c r="E425" s="235" t="inlineStr">
        <is>
          <t>SP</t>
        </is>
      </c>
      <c r="F425" s="235" t="inlineStr">
        <is>
          <t>DIVINA TERRA</t>
        </is>
      </c>
      <c r="G425" s="235" t="inlineStr">
        <is>
          <t>PROSPECT</t>
        </is>
      </c>
      <c r="H425" s="235" t="inlineStr"/>
      <c r="I425" s="235" t="n"/>
      <c r="J425" s="235" t="n"/>
      <c r="K425" s="235" t="n"/>
      <c r="L425" s="235" t="n"/>
      <c r="M425" s="235" t="n"/>
      <c r="N425" s="235" t="inlineStr">
        <is>
          <t>NÃO</t>
        </is>
      </c>
      <c r="O425" s="235" t="inlineStr">
        <is>
          <t>SIM</t>
        </is>
      </c>
      <c r="P425" s="235" t="inlineStr">
        <is>
          <t>NÃO</t>
        </is>
      </c>
      <c r="Q425" s="235" t="inlineStr">
        <is>
          <t>PERDA / NUTRIÇÃO</t>
        </is>
      </c>
      <c r="R425" s="235" t="inlineStr">
        <is>
          <t>EM ATENDIMENTO</t>
        </is>
      </c>
      <c r="S425" s="235" t="n"/>
      <c r="T425" s="235" t="n"/>
      <c r="U425" s="235" t="n"/>
      <c r="V425" s="235" t="n"/>
      <c r="W425" s="235" t="inlineStr">
        <is>
          <t>NÃO</t>
        </is>
      </c>
      <c r="X425" s="235" t="n"/>
    </row>
    <row r="426">
      <c r="A426" s="391" t="n">
        <v>46063</v>
      </c>
      <c r="B426" s="235" t="inlineStr">
        <is>
          <t>MANU DITZEL</t>
        </is>
      </c>
      <c r="C426" s="235" t="inlineStr">
        <is>
          <t>BIOMUNDO CTB 96</t>
        </is>
      </c>
      <c r="D426" s="235" t="inlineStr">
        <is>
          <t>19.660.716/6249-21</t>
        </is>
      </c>
      <c r="E426" s="235" t="inlineStr">
        <is>
          <t>SC</t>
        </is>
      </c>
      <c r="F426" s="235" t="inlineStr">
        <is>
          <t>BIOMUNDO</t>
        </is>
      </c>
      <c r="G426" s="235" t="inlineStr">
        <is>
          <t>PROSPECT</t>
        </is>
      </c>
      <c r="H426" s="235" t="inlineStr"/>
      <c r="I426" s="235" t="n"/>
      <c r="J426" s="235" t="n"/>
      <c r="K426" s="235" t="n"/>
      <c r="L426" s="235" t="n"/>
      <c r="M426" s="235" t="n"/>
      <c r="N426" s="235" t="inlineStr">
        <is>
          <t>NÃO</t>
        </is>
      </c>
      <c r="O426" s="235" t="inlineStr">
        <is>
          <t>SIM</t>
        </is>
      </c>
      <c r="P426" s="235" t="inlineStr">
        <is>
          <t>NÃO</t>
        </is>
      </c>
      <c r="Q426" s="235" t="inlineStr">
        <is>
          <t>PÓS-VENDA / RELACIONAMENTO</t>
        </is>
      </c>
      <c r="R426" s="235" t="inlineStr">
        <is>
          <t>RELACIONAMENTO</t>
        </is>
      </c>
      <c r="S426" s="235" t="n"/>
      <c r="T426" s="235" t="n"/>
      <c r="U426" s="235" t="n"/>
      <c r="V426" s="235" t="n"/>
      <c r="W426" s="235" t="inlineStr">
        <is>
          <t>SIM</t>
        </is>
      </c>
      <c r="X426" s="235" t="n"/>
    </row>
    <row r="427">
      <c r="A427" s="391" t="n">
        <v>46078</v>
      </c>
      <c r="B427" s="235" t="inlineStr">
        <is>
          <t>DAIANE STAVICKI</t>
        </is>
      </c>
      <c r="C427" s="235" t="inlineStr">
        <is>
          <t>SABOR NATURAL 16</t>
        </is>
      </c>
      <c r="D427" s="235" t="inlineStr">
        <is>
          <t>48.602.920/7084-49</t>
        </is>
      </c>
      <c r="E427" s="235" t="inlineStr">
        <is>
          <t>GO</t>
        </is>
      </c>
      <c r="F427" s="235" t="inlineStr">
        <is>
          <t>VIDA LEVE</t>
        </is>
      </c>
      <c r="G427" s="235" t="inlineStr">
        <is>
          <t>EM RISCO</t>
        </is>
      </c>
      <c r="H427" s="235" t="n">
        <v>52</v>
      </c>
      <c r="I427" s="235" t="n"/>
      <c r="J427" s="235" t="n"/>
      <c r="K427" s="235" t="n"/>
      <c r="L427" s="235" t="n"/>
      <c r="M427" s="235" t="n"/>
      <c r="N427" s="235" t="inlineStr">
        <is>
          <t>SIM</t>
        </is>
      </c>
      <c r="O427" s="235" t="inlineStr">
        <is>
          <t>NÃO</t>
        </is>
      </c>
      <c r="P427" s="235" t="inlineStr">
        <is>
          <t>N/A</t>
        </is>
      </c>
      <c r="Q427" s="235" t="inlineStr">
        <is>
          <t>PÓS-VENDA / RELACIONAMENTO</t>
        </is>
      </c>
      <c r="R427" s="235" t="inlineStr">
        <is>
          <t>FOLLOW UP 15</t>
        </is>
      </c>
      <c r="S427" s="235" t="inlineStr">
        <is>
          <t>SÓ QUER COMPRAR GRANEL</t>
        </is>
      </c>
      <c r="T427" s="235" t="n"/>
      <c r="U427" s="235" t="n"/>
      <c r="V427" s="235" t="n"/>
      <c r="W427" s="235" t="inlineStr">
        <is>
          <t>SIM</t>
        </is>
      </c>
      <c r="X427" s="235" t="n"/>
    </row>
    <row r="428">
      <c r="A428" s="391" t="n">
        <v>46067</v>
      </c>
      <c r="B428" s="235" t="inlineStr">
        <is>
          <t>MANU DITZEL</t>
        </is>
      </c>
      <c r="C428" s="235" t="inlineStr">
        <is>
          <t>SAUDE NA MESA 48</t>
        </is>
      </c>
      <c r="D428" s="235" t="inlineStr">
        <is>
          <t>88.290.544/6980-21</t>
        </is>
      </c>
      <c r="E428" s="235" t="inlineStr">
        <is>
          <t>PR</t>
        </is>
      </c>
      <c r="F428" s="235" t="inlineStr">
        <is>
          <t>CIA DA SAUDE</t>
        </is>
      </c>
      <c r="G428" s="235" t="inlineStr">
        <is>
          <t>EM RISCO</t>
        </is>
      </c>
      <c r="H428" s="235" t="n">
        <v>54</v>
      </c>
      <c r="I428" s="235" t="n"/>
      <c r="J428" s="235" t="n"/>
      <c r="K428" s="235" t="n"/>
      <c r="L428" s="235" t="n"/>
      <c r="M428" s="235" t="n"/>
      <c r="N428" s="235" t="inlineStr">
        <is>
          <t>NÃO</t>
        </is>
      </c>
      <c r="O428" s="235" t="inlineStr">
        <is>
          <t>NÃO</t>
        </is>
      </c>
      <c r="P428" s="235" t="inlineStr">
        <is>
          <t>N/A</t>
        </is>
      </c>
      <c r="Q428" s="235" t="inlineStr">
        <is>
          <t>ATEND. CLIENTES INATIVOS</t>
        </is>
      </c>
      <c r="R428" s="235" t="inlineStr">
        <is>
          <t>CADASTRO</t>
        </is>
      </c>
      <c r="S428" s="235" t="n"/>
      <c r="T428" s="235" t="n"/>
      <c r="U428" s="235" t="n"/>
      <c r="V428" s="235" t="n"/>
      <c r="W428" s="235" t="inlineStr">
        <is>
          <t>SIM</t>
        </is>
      </c>
      <c r="X428" s="235" t="n"/>
    </row>
    <row r="429">
      <c r="A429" s="391" t="n">
        <v>46056</v>
      </c>
      <c r="B429" s="235" t="inlineStr">
        <is>
          <t>MANU DITZEL</t>
        </is>
      </c>
      <c r="C429" s="235" t="inlineStr">
        <is>
          <t>SAUDE NA MESA 11</t>
        </is>
      </c>
      <c r="D429" s="235" t="inlineStr">
        <is>
          <t>71.407.252/2094-97</t>
        </is>
      </c>
      <c r="E429" s="235" t="inlineStr">
        <is>
          <t>GO</t>
        </is>
      </c>
      <c r="F429" s="235" t="inlineStr">
        <is>
          <t>DEMAIS CLIENTES</t>
        </is>
      </c>
      <c r="G429" s="235" t="inlineStr">
        <is>
          <t>INAT.REC</t>
        </is>
      </c>
      <c r="H429" s="235" t="n">
        <v>70</v>
      </c>
      <c r="I429" s="235" t="n"/>
      <c r="J429" s="235" t="n"/>
      <c r="K429" s="235" t="n"/>
      <c r="L429" s="235" t="n"/>
      <c r="M429" s="235" t="n"/>
      <c r="N429" s="235" t="inlineStr">
        <is>
          <t>NÃO</t>
        </is>
      </c>
      <c r="O429" s="235" t="inlineStr">
        <is>
          <t>NÃO</t>
        </is>
      </c>
      <c r="P429" s="235" t="inlineStr">
        <is>
          <t>N/A</t>
        </is>
      </c>
      <c r="Q429" s="235" t="inlineStr">
        <is>
          <t>ATEND. CLIENTES ATIVOS</t>
        </is>
      </c>
      <c r="R429" s="235" t="inlineStr">
        <is>
          <t>FOLLOW UP 7</t>
        </is>
      </c>
      <c r="S429" s="235" t="inlineStr">
        <is>
          <t>SÓ QUER COMPRAR GRANEL</t>
        </is>
      </c>
      <c r="T429" s="235" t="n"/>
      <c r="U429" s="235" t="n"/>
      <c r="V429" s="235" t="n"/>
      <c r="W429" s="235" t="inlineStr">
        <is>
          <t>SIM</t>
        </is>
      </c>
      <c r="X429" s="235" t="n"/>
    </row>
    <row r="430">
      <c r="A430" s="391" t="n">
        <v>46068</v>
      </c>
      <c r="B430" s="235" t="inlineStr">
        <is>
          <t>JULIO GADRET</t>
        </is>
      </c>
      <c r="C430" s="235" t="inlineStr">
        <is>
          <t>PURA VIDA 33</t>
        </is>
      </c>
      <c r="D430" s="235" t="inlineStr">
        <is>
          <t>55.360.699/1340-74</t>
        </is>
      </c>
      <c r="E430" s="235" t="inlineStr">
        <is>
          <t>PR</t>
        </is>
      </c>
      <c r="F430" s="235" t="inlineStr">
        <is>
          <t>DEMAIS CLIENTES</t>
        </is>
      </c>
      <c r="G430" s="235" t="inlineStr">
        <is>
          <t>EM RISCO</t>
        </is>
      </c>
      <c r="H430" s="235" t="n">
        <v>53</v>
      </c>
      <c r="I430" s="235" t="n"/>
      <c r="J430" s="235" t="n"/>
      <c r="K430" s="235" t="n"/>
      <c r="L430" s="235" t="n"/>
      <c r="M430" s="235" t="n"/>
      <c r="N430" s="235" t="inlineStr">
        <is>
          <t>SIM</t>
        </is>
      </c>
      <c r="O430" s="235" t="inlineStr">
        <is>
          <t>NÃO</t>
        </is>
      </c>
      <c r="P430" s="235" t="inlineStr">
        <is>
          <t>N/A</t>
        </is>
      </c>
      <c r="Q430" s="235" t="inlineStr">
        <is>
          <t>PÓS-VENDA / RELACIONAMENTO</t>
        </is>
      </c>
      <c r="R430" s="235" t="inlineStr">
        <is>
          <t>RELACIONAMENTO</t>
        </is>
      </c>
      <c r="S430" s="235" t="n"/>
      <c r="T430" s="235" t="n"/>
      <c r="U430" s="235" t="n"/>
      <c r="V430" s="235" t="n"/>
      <c r="W430" s="235" t="inlineStr">
        <is>
          <t>SIM</t>
        </is>
      </c>
      <c r="X430" s="235" t="n"/>
    </row>
    <row r="431">
      <c r="A431" s="391" t="n">
        <v>46077</v>
      </c>
      <c r="B431" s="235" t="inlineStr">
        <is>
          <t>LARISSA PADILHA</t>
        </is>
      </c>
      <c r="C431" s="235" t="inlineStr">
        <is>
          <t>EMPÓRIO BIO 80</t>
        </is>
      </c>
      <c r="D431" s="235" t="inlineStr">
        <is>
          <t>43.449.992/3067-37</t>
        </is>
      </c>
      <c r="E431" s="235" t="inlineStr">
        <is>
          <t>PR</t>
        </is>
      </c>
      <c r="F431" s="235" t="inlineStr">
        <is>
          <t>DEMAIS CLIENTES</t>
        </is>
      </c>
      <c r="G431" s="235" t="inlineStr">
        <is>
          <t>INAT.REC</t>
        </is>
      </c>
      <c r="H431" s="235" t="n">
        <v>88</v>
      </c>
      <c r="I431" s="235" t="n"/>
      <c r="J431" s="235" t="n"/>
      <c r="K431" s="235" t="n"/>
      <c r="L431" s="235" t="n"/>
      <c r="M431" s="235" t="n"/>
      <c r="N431" s="235" t="inlineStr">
        <is>
          <t>SIM</t>
        </is>
      </c>
      <c r="O431" s="235" t="inlineStr">
        <is>
          <t>SIM</t>
        </is>
      </c>
      <c r="P431" s="235" t="inlineStr">
        <is>
          <t>SIM</t>
        </is>
      </c>
      <c r="Q431" s="235" t="inlineStr">
        <is>
          <t>ATEND. CLIENTES INATIVOS</t>
        </is>
      </c>
      <c r="R431" s="235" t="inlineStr">
        <is>
          <t>NÃO RESPONDE</t>
        </is>
      </c>
      <c r="S431" s="235" t="inlineStr">
        <is>
          <t>PROBLEMA FINANCEIRO / CRÉDITO</t>
        </is>
      </c>
      <c r="T431" s="235" t="n"/>
      <c r="U431" s="235" t="n"/>
      <c r="V431" s="235" t="n"/>
      <c r="W431" s="235" t="inlineStr">
        <is>
          <t>SIM</t>
        </is>
      </c>
      <c r="X431" s="235" t="n"/>
    </row>
    <row r="432">
      <c r="A432" s="391" t="n">
        <v>46066</v>
      </c>
      <c r="B432" s="235" t="inlineStr">
        <is>
          <t>DAIANE STAVICKI</t>
        </is>
      </c>
      <c r="C432" s="235" t="inlineStr">
        <is>
          <t>MUNDO BIO 93</t>
        </is>
      </c>
      <c r="D432" s="235" t="inlineStr">
        <is>
          <t>72.410.733/5911-98</t>
        </is>
      </c>
      <c r="E432" s="235" t="inlineStr">
        <is>
          <t>SP</t>
        </is>
      </c>
      <c r="F432" s="235" t="inlineStr">
        <is>
          <t>TUDO EM GRAOS</t>
        </is>
      </c>
      <c r="G432" s="235" t="inlineStr">
        <is>
          <t>EM RISCO</t>
        </is>
      </c>
      <c r="H432" s="235" t="n">
        <v>55</v>
      </c>
      <c r="I432" s="235" t="n"/>
      <c r="J432" s="235" t="n"/>
      <c r="K432" s="235" t="n"/>
      <c r="L432" s="235" t="n"/>
      <c r="M432" s="235" t="n"/>
      <c r="N432" s="235" t="inlineStr">
        <is>
          <t>SIM</t>
        </is>
      </c>
      <c r="O432" s="235" t="inlineStr">
        <is>
          <t>NÃO</t>
        </is>
      </c>
      <c r="P432" s="235" t="inlineStr">
        <is>
          <t>N/A</t>
        </is>
      </c>
      <c r="Q432" s="235" t="inlineStr">
        <is>
          <t>PROSPECÇÃO</t>
        </is>
      </c>
      <c r="R432" s="235" t="inlineStr">
        <is>
          <t>EM ATENDIMENTO</t>
        </is>
      </c>
      <c r="S432" s="235" t="n"/>
      <c r="T432" s="235" t="n"/>
      <c r="U432" s="235" t="n"/>
      <c r="V432" s="235" t="n"/>
      <c r="W432" s="235" t="inlineStr">
        <is>
          <t>NÃO</t>
        </is>
      </c>
      <c r="X432" s="235" t="n"/>
    </row>
    <row r="433">
      <c r="A433" s="391" t="n">
        <v>46060</v>
      </c>
      <c r="B433" s="235" t="inlineStr">
        <is>
          <t>DAIANE STAVICKI</t>
        </is>
      </c>
      <c r="C433" s="235" t="inlineStr">
        <is>
          <t>DIVINA TERRA RJ 62</t>
        </is>
      </c>
      <c r="D433" s="235" t="inlineStr">
        <is>
          <t>93.248.765/3962-65</t>
        </is>
      </c>
      <c r="E433" s="235" t="inlineStr">
        <is>
          <t>MG</t>
        </is>
      </c>
      <c r="F433" s="235" t="inlineStr">
        <is>
          <t>DEMAIS CLIENTES</t>
        </is>
      </c>
      <c r="G433" s="235" t="inlineStr">
        <is>
          <t>INAT.REC</t>
        </is>
      </c>
      <c r="H433" s="235" t="n">
        <v>63</v>
      </c>
      <c r="I433" s="235" t="n"/>
      <c r="J433" s="235" t="n"/>
      <c r="K433" s="235" t="n"/>
      <c r="L433" s="235" t="n"/>
      <c r="M433" s="235" t="n"/>
      <c r="N433" s="235" t="inlineStr">
        <is>
          <t>SIM</t>
        </is>
      </c>
      <c r="O433" s="235" t="inlineStr">
        <is>
          <t>SIM</t>
        </is>
      </c>
      <c r="P433" s="235" t="inlineStr">
        <is>
          <t>SIM</t>
        </is>
      </c>
      <c r="Q433" s="235" t="inlineStr">
        <is>
          <t>FOLLOW UP</t>
        </is>
      </c>
      <c r="R433" s="235" t="inlineStr">
        <is>
          <t>FOLLOW UP 7</t>
        </is>
      </c>
      <c r="S433" s="235" t="inlineStr">
        <is>
          <t>AINDA TEM ESTOQUE</t>
        </is>
      </c>
      <c r="T433" s="235" t="n"/>
      <c r="U433" s="235" t="n"/>
      <c r="V433" s="235" t="n"/>
      <c r="W433" s="235" t="inlineStr">
        <is>
          <t>NÃO</t>
        </is>
      </c>
      <c r="X433" s="235" t="n"/>
    </row>
    <row r="434">
      <c r="A434" s="391" t="n">
        <v>46069</v>
      </c>
      <c r="B434" s="235" t="inlineStr">
        <is>
          <t>LARISSA PADILHA</t>
        </is>
      </c>
      <c r="C434" s="235" t="inlineStr">
        <is>
          <t>EMPÓRIO BIO 75</t>
        </is>
      </c>
      <c r="D434" s="235" t="inlineStr">
        <is>
          <t>41.306.401/9330-60</t>
        </is>
      </c>
      <c r="E434" s="235" t="inlineStr">
        <is>
          <t>PR</t>
        </is>
      </c>
      <c r="F434" s="235" t="inlineStr">
        <is>
          <t>MUNDO VERDE</t>
        </is>
      </c>
      <c r="G434" s="235" t="inlineStr">
        <is>
          <t>INAT.ANT</t>
        </is>
      </c>
      <c r="H434" s="235" t="n">
        <v>273</v>
      </c>
      <c r="I434" s="235" t="n"/>
      <c r="J434" s="235" t="n"/>
      <c r="K434" s="235" t="n"/>
      <c r="L434" s="235" t="n"/>
      <c r="M434" s="235" t="n"/>
      <c r="N434" s="235" t="inlineStr">
        <is>
          <t>SIM</t>
        </is>
      </c>
      <c r="O434" s="235" t="inlineStr">
        <is>
          <t>NÃO</t>
        </is>
      </c>
      <c r="P434" s="235" t="inlineStr">
        <is>
          <t>N/A</t>
        </is>
      </c>
      <c r="Q434" s="235" t="inlineStr">
        <is>
          <t>ATEND. CLIENTES ATIVOS</t>
        </is>
      </c>
      <c r="R434" s="235" t="inlineStr">
        <is>
          <t>RELACIONAMENTO</t>
        </is>
      </c>
      <c r="S434" s="235" t="n"/>
      <c r="T434" s="235" t="n"/>
      <c r="U434" s="235" t="n"/>
      <c r="V434" s="235" t="n"/>
      <c r="W434" s="235" t="inlineStr">
        <is>
          <t>NÃO</t>
        </is>
      </c>
      <c r="X434" s="235" t="n"/>
    </row>
    <row r="435">
      <c r="A435" s="391" t="n">
        <v>46063</v>
      </c>
      <c r="B435" s="235" t="inlineStr">
        <is>
          <t>MANU DITZEL</t>
        </is>
      </c>
      <c r="C435" s="235" t="inlineStr">
        <is>
          <t>TUDO GRÃOS SC 63</t>
        </is>
      </c>
      <c r="D435" s="235" t="inlineStr">
        <is>
          <t>75.705.842/7994-39</t>
        </is>
      </c>
      <c r="E435" s="235" t="inlineStr">
        <is>
          <t>RJ</t>
        </is>
      </c>
      <c r="F435" s="235" t="inlineStr">
        <is>
          <t>DIVINA TERRA</t>
        </is>
      </c>
      <c r="G435" s="235" t="inlineStr">
        <is>
          <t>EM RISCO</t>
        </is>
      </c>
      <c r="H435" s="235" t="n">
        <v>56</v>
      </c>
      <c r="I435" s="235" t="n"/>
      <c r="J435" s="235" t="n"/>
      <c r="K435" s="235" t="n"/>
      <c r="L435" s="235" t="n"/>
      <c r="M435" s="235" t="n"/>
      <c r="N435" s="235" t="inlineStr">
        <is>
          <t>SIM</t>
        </is>
      </c>
      <c r="O435" s="235" t="inlineStr">
        <is>
          <t>NÃO</t>
        </is>
      </c>
      <c r="P435" s="235" t="inlineStr">
        <is>
          <t>N/A</t>
        </is>
      </c>
      <c r="Q435" s="235" t="inlineStr">
        <is>
          <t>ATEND. CLIENTES ATIVOS</t>
        </is>
      </c>
      <c r="R435" s="235" t="inlineStr">
        <is>
          <t>ORÇAMENTO</t>
        </is>
      </c>
      <c r="S435" s="235" t="n"/>
      <c r="T435" s="235" t="n"/>
      <c r="U435" s="235" t="n"/>
      <c r="V435" s="235" t="n"/>
      <c r="W435" s="235" t="inlineStr">
        <is>
          <t>SIM</t>
        </is>
      </c>
      <c r="X435" s="235" t="n"/>
    </row>
    <row r="436">
      <c r="A436" s="391" t="n">
        <v>46073</v>
      </c>
      <c r="B436" s="235" t="inlineStr">
        <is>
          <t>DAIANE STAVICKI</t>
        </is>
      </c>
      <c r="C436" s="235" t="inlineStr">
        <is>
          <t>MARKET FIT 58</t>
        </is>
      </c>
      <c r="D436" s="235" t="inlineStr">
        <is>
          <t>99.546.121/2644-46</t>
        </is>
      </c>
      <c r="E436" s="235" t="inlineStr">
        <is>
          <t>RJ</t>
        </is>
      </c>
      <c r="F436" s="235" t="inlineStr">
        <is>
          <t>DIVINA TERRA</t>
        </is>
      </c>
      <c r="G436" s="235" t="inlineStr">
        <is>
          <t>EM RISCO</t>
        </is>
      </c>
      <c r="H436" s="235" t="n">
        <v>59</v>
      </c>
      <c r="I436" s="235" t="n"/>
      <c r="J436" s="235" t="n"/>
      <c r="K436" s="235" t="n"/>
      <c r="L436" s="235" t="n"/>
      <c r="M436" s="235" t="n"/>
      <c r="N436" s="235" t="inlineStr">
        <is>
          <t>SIM</t>
        </is>
      </c>
      <c r="O436" s="235" t="inlineStr">
        <is>
          <t>NÃO</t>
        </is>
      </c>
      <c r="P436" s="235" t="inlineStr">
        <is>
          <t>N/A</t>
        </is>
      </c>
      <c r="Q436" s="235" t="inlineStr">
        <is>
          <t>NEGOCIAÇÃO</t>
        </is>
      </c>
      <c r="R436" s="235" t="inlineStr">
        <is>
          <t>FOLLOW UP 7</t>
        </is>
      </c>
      <c r="S436" s="235" t="inlineStr">
        <is>
          <t>SEM INTERESSE NO MOMENTO</t>
        </is>
      </c>
      <c r="T436" s="235" t="n"/>
      <c r="U436" s="235" t="n"/>
      <c r="V436" s="235" t="n"/>
      <c r="W436" s="235" t="inlineStr">
        <is>
          <t>NÃO</t>
        </is>
      </c>
      <c r="X436" s="235" t="n"/>
    </row>
    <row r="437">
      <c r="A437" s="391" t="n">
        <v>46058</v>
      </c>
      <c r="B437" s="235" t="inlineStr">
        <is>
          <t>DAIANE STAVICKI</t>
        </is>
      </c>
      <c r="C437" s="235" t="inlineStr">
        <is>
          <t>VIDA LEVE PR 54</t>
        </is>
      </c>
      <c r="D437" s="235" t="inlineStr">
        <is>
          <t>96.768.852/5903-70</t>
        </is>
      </c>
      <c r="E437" s="235" t="inlineStr">
        <is>
          <t>MG</t>
        </is>
      </c>
      <c r="F437" s="235" t="inlineStr">
        <is>
          <t>DEMAIS CLIENTES</t>
        </is>
      </c>
      <c r="G437" s="235" t="inlineStr">
        <is>
          <t>INAT.ANT</t>
        </is>
      </c>
      <c r="H437" s="235" t="n">
        <v>163</v>
      </c>
      <c r="I437" s="235" t="n"/>
      <c r="J437" s="235" t="n"/>
      <c r="K437" s="235" t="n"/>
      <c r="L437" s="235" t="n"/>
      <c r="M437" s="235" t="n"/>
      <c r="N437" s="235" t="inlineStr">
        <is>
          <t>SIM</t>
        </is>
      </c>
      <c r="O437" s="235" t="inlineStr">
        <is>
          <t>SIM</t>
        </is>
      </c>
      <c r="P437" s="235" t="inlineStr">
        <is>
          <t>SIM</t>
        </is>
      </c>
      <c r="Q437" s="235" t="inlineStr">
        <is>
          <t>ATEND. CLIENTES INATIVOS</t>
        </is>
      </c>
      <c r="R437" s="235" t="inlineStr">
        <is>
          <t>EM ATENDIMENTO</t>
        </is>
      </c>
      <c r="S437" s="235" t="n"/>
      <c r="T437" s="235" t="n"/>
      <c r="U437" s="235" t="n"/>
      <c r="V437" s="235" t="n"/>
      <c r="W437" s="235" t="inlineStr">
        <is>
          <t>SIM</t>
        </is>
      </c>
      <c r="X437" s="235" t="n"/>
    </row>
    <row r="438">
      <c r="A438" s="391" t="n">
        <v>46079</v>
      </c>
      <c r="B438" s="235" t="inlineStr">
        <is>
          <t>LARISSA PADILHA</t>
        </is>
      </c>
      <c r="C438" s="235" t="inlineStr">
        <is>
          <t>POWER NATURAL 39</t>
        </is>
      </c>
      <c r="D438" s="235" t="inlineStr">
        <is>
          <t>40.314.670/0771-12</t>
        </is>
      </c>
      <c r="E438" s="235" t="inlineStr">
        <is>
          <t>SC</t>
        </is>
      </c>
      <c r="F438" s="235" t="inlineStr">
        <is>
          <t>CIA DA SAUDE</t>
        </is>
      </c>
      <c r="G438" s="235" t="inlineStr">
        <is>
          <t>INAT.ANT</t>
        </is>
      </c>
      <c r="H438" s="235" t="n">
        <v>135</v>
      </c>
      <c r="I438" s="235" t="n"/>
      <c r="J438" s="235" t="n"/>
      <c r="K438" s="235" t="n"/>
      <c r="L438" s="235" t="n"/>
      <c r="M438" s="235" t="n"/>
      <c r="N438" s="235" t="inlineStr">
        <is>
          <t>SIM</t>
        </is>
      </c>
      <c r="O438" s="235" t="inlineStr">
        <is>
          <t>SIM</t>
        </is>
      </c>
      <c r="P438" s="235" t="inlineStr">
        <is>
          <t>SIM</t>
        </is>
      </c>
      <c r="Q438" s="235" t="inlineStr">
        <is>
          <t>PÓS-VENDA / RELACIONAMENTO</t>
        </is>
      </c>
      <c r="R438" s="235" t="inlineStr">
        <is>
          <t>NÃO ATENDE</t>
        </is>
      </c>
      <c r="S438" s="235" t="inlineStr">
        <is>
          <t>PROBLEMA LOGÍSTICO / ENTREGA</t>
        </is>
      </c>
      <c r="T438" s="235" t="n"/>
      <c r="U438" s="235" t="n"/>
      <c r="V438" s="235" t="n"/>
      <c r="W438" s="235" t="inlineStr">
        <is>
          <t>SIM</t>
        </is>
      </c>
      <c r="X438" s="235" t="n"/>
    </row>
    <row r="439">
      <c r="A439" s="391" t="n">
        <v>46061</v>
      </c>
      <c r="B439" s="235" t="inlineStr">
        <is>
          <t>LARISSA PADILHA</t>
        </is>
      </c>
      <c r="C439" s="235" t="inlineStr">
        <is>
          <t>SAUDE TOTAL 46</t>
        </is>
      </c>
      <c r="D439" s="235" t="inlineStr">
        <is>
          <t>15.888.998/9127-44</t>
        </is>
      </c>
      <c r="E439" s="235" t="inlineStr">
        <is>
          <t>BA</t>
        </is>
      </c>
      <c r="F439" s="235" t="inlineStr">
        <is>
          <t>DEMAIS CLIENTES</t>
        </is>
      </c>
      <c r="G439" s="235" t="inlineStr">
        <is>
          <t>NOVO</t>
        </is>
      </c>
      <c r="H439" s="235" t="inlineStr"/>
      <c r="I439" s="235" t="n"/>
      <c r="J439" s="235" t="n"/>
      <c r="K439" s="235" t="n"/>
      <c r="L439" s="235" t="n"/>
      <c r="M439" s="235" t="n"/>
      <c r="N439" s="235" t="inlineStr">
        <is>
          <t>SIM</t>
        </is>
      </c>
      <c r="O439" s="235" t="inlineStr">
        <is>
          <t>NÃO</t>
        </is>
      </c>
      <c r="P439" s="235" t="inlineStr">
        <is>
          <t>N/A</t>
        </is>
      </c>
      <c r="Q439" s="235" t="inlineStr">
        <is>
          <t>ATEND. CLIENTES ATIVOS</t>
        </is>
      </c>
      <c r="R439" s="235" t="inlineStr">
        <is>
          <t>VENDA / PEDIDO</t>
        </is>
      </c>
      <c r="S439" s="235" t="n"/>
      <c r="T439" s="235" t="n"/>
      <c r="U439" s="235" t="n"/>
      <c r="V439" s="235" t="n"/>
      <c r="W439" s="235" t="inlineStr">
        <is>
          <t>NÃO</t>
        </is>
      </c>
      <c r="X439" s="235" t="n"/>
    </row>
    <row r="440">
      <c r="A440" s="391" t="n">
        <v>46080</v>
      </c>
      <c r="B440" s="235" t="inlineStr">
        <is>
          <t>DAIANE STAVICKI</t>
        </is>
      </c>
      <c r="C440" s="235" t="inlineStr">
        <is>
          <t>NATURAL POINT 79</t>
        </is>
      </c>
      <c r="D440" s="235" t="inlineStr">
        <is>
          <t>88.900.978/1670-81</t>
        </is>
      </c>
      <c r="E440" s="235" t="inlineStr">
        <is>
          <t>PR</t>
        </is>
      </c>
      <c r="F440" s="235" t="inlineStr">
        <is>
          <t>MUNDO VERDE</t>
        </is>
      </c>
      <c r="G440" s="235" t="inlineStr">
        <is>
          <t>INAT.ANT</t>
        </is>
      </c>
      <c r="H440" s="235" t="n">
        <v>143</v>
      </c>
      <c r="I440" s="235" t="n"/>
      <c r="J440" s="235" t="n"/>
      <c r="K440" s="235" t="n"/>
      <c r="L440" s="235" t="n"/>
      <c r="M440" s="235" t="n"/>
      <c r="N440" s="235" t="inlineStr">
        <is>
          <t>SIM</t>
        </is>
      </c>
      <c r="O440" s="235" t="inlineStr">
        <is>
          <t>SIM</t>
        </is>
      </c>
      <c r="P440" s="235" t="inlineStr">
        <is>
          <t>SIM</t>
        </is>
      </c>
      <c r="Q440" s="235" t="inlineStr">
        <is>
          <t>PÓS-VENDA / RELACIONAMENTO</t>
        </is>
      </c>
      <c r="R440" s="235" t="inlineStr">
        <is>
          <t>RELACIONAMENTO</t>
        </is>
      </c>
      <c r="S440" s="235" t="n"/>
      <c r="T440" s="235" t="n"/>
      <c r="U440" s="235" t="n"/>
      <c r="V440" s="235" t="n"/>
      <c r="W440" s="235" t="inlineStr">
        <is>
          <t>NÃO</t>
        </is>
      </c>
      <c r="X440" s="235" t="n"/>
    </row>
    <row r="441">
      <c r="A441" s="391" t="n">
        <v>46057</v>
      </c>
      <c r="B441" s="235" t="inlineStr">
        <is>
          <t>MANU DITZEL</t>
        </is>
      </c>
      <c r="C441" s="235" t="inlineStr">
        <is>
          <t>GRANEL &amp; CIA 43</t>
        </is>
      </c>
      <c r="D441" s="235" t="inlineStr">
        <is>
          <t>27.225.968/3308-66</t>
        </is>
      </c>
      <c r="E441" s="235" t="inlineStr">
        <is>
          <t>DF</t>
        </is>
      </c>
      <c r="F441" s="235" t="inlineStr">
        <is>
          <t>DEMAIS CLIENTES</t>
        </is>
      </c>
      <c r="G441" s="235" t="inlineStr">
        <is>
          <t>ATIVO</t>
        </is>
      </c>
      <c r="H441" s="235" t="n">
        <v>35</v>
      </c>
      <c r="I441" s="235" t="n"/>
      <c r="J441" s="235" t="n"/>
      <c r="K441" s="235" t="n"/>
      <c r="L441" s="235" t="n"/>
      <c r="M441" s="235" t="n"/>
      <c r="N441" s="235" t="inlineStr">
        <is>
          <t>SIM</t>
        </is>
      </c>
      <c r="O441" s="235" t="inlineStr">
        <is>
          <t>SIM</t>
        </is>
      </c>
      <c r="P441" s="235" t="inlineStr">
        <is>
          <t>NÃO</t>
        </is>
      </c>
      <c r="Q441" s="235" t="inlineStr">
        <is>
          <t>FOLLOW UP</t>
        </is>
      </c>
      <c r="R441" s="235" t="inlineStr">
        <is>
          <t>FOLLOW UP 7</t>
        </is>
      </c>
      <c r="S441" s="235" t="inlineStr">
        <is>
          <t>PRODUTO NÃO VENDEU / SEM GIRO</t>
        </is>
      </c>
      <c r="T441" s="235" t="n"/>
      <c r="U441" s="235" t="n"/>
      <c r="V441" s="235" t="n"/>
      <c r="W441" s="235" t="inlineStr">
        <is>
          <t>NÃO</t>
        </is>
      </c>
      <c r="X441" s="235" t="n"/>
    </row>
    <row r="442">
      <c r="A442" s="391" t="n">
        <v>46058</v>
      </c>
      <c r="B442" s="235" t="inlineStr">
        <is>
          <t>DAIANE STAVICKI</t>
        </is>
      </c>
      <c r="C442" s="235" t="inlineStr">
        <is>
          <t>LOJA NATURAL 54</t>
        </is>
      </c>
      <c r="D442" s="235" t="inlineStr">
        <is>
          <t>39.241.921/7026-62</t>
        </is>
      </c>
      <c r="E442" s="235" t="inlineStr">
        <is>
          <t>GO</t>
        </is>
      </c>
      <c r="F442" s="235" t="inlineStr">
        <is>
          <t>DEMAIS CLIENTES</t>
        </is>
      </c>
      <c r="G442" s="235" t="inlineStr">
        <is>
          <t>PROSPECT</t>
        </is>
      </c>
      <c r="H442" s="235" t="inlineStr"/>
      <c r="I442" s="235" t="n"/>
      <c r="J442" s="235" t="n"/>
      <c r="K442" s="235" t="n"/>
      <c r="L442" s="235" t="n"/>
      <c r="M442" s="235" t="n"/>
      <c r="N442" s="235" t="inlineStr">
        <is>
          <t>NÃO</t>
        </is>
      </c>
      <c r="O442" s="235" t="inlineStr">
        <is>
          <t>SIM</t>
        </is>
      </c>
      <c r="P442" s="235" t="inlineStr">
        <is>
          <t>NÃO</t>
        </is>
      </c>
      <c r="Q442" s="235" t="inlineStr">
        <is>
          <t>ATEND. CLIENTES ATIVOS</t>
        </is>
      </c>
      <c r="R442" s="235" t="inlineStr">
        <is>
          <t>FOLLOW UP 15</t>
        </is>
      </c>
      <c r="S442" s="235" t="inlineStr">
        <is>
          <t>PROBLEMA FINANCEIRO / CRÉDITO</t>
        </is>
      </c>
      <c r="T442" s="235" t="n"/>
      <c r="U442" s="235" t="n"/>
      <c r="V442" s="235" t="n"/>
      <c r="W442" s="235" t="inlineStr">
        <is>
          <t>SIM</t>
        </is>
      </c>
      <c r="X442" s="235" t="n"/>
    </row>
    <row r="443">
      <c r="A443" s="235" t="n"/>
      <c r="B443" s="235" t="n"/>
      <c r="C443" s="235" t="n"/>
      <c r="D443" s="235" t="n"/>
      <c r="E443" s="235" t="n"/>
      <c r="F443" s="235" t="n"/>
      <c r="G443" s="235" t="n"/>
      <c r="H443" s="235" t="n"/>
      <c r="I443" s="235" t="n"/>
      <c r="J443" s="235" t="n"/>
      <c r="K443" s="235" t="n"/>
      <c r="L443" s="235" t="n"/>
      <c r="M443" s="235" t="n"/>
      <c r="N443" s="235" t="n"/>
      <c r="O443" s="235" t="n"/>
      <c r="P443" s="235" t="n"/>
      <c r="Q443" s="235" t="n"/>
      <c r="R443" s="235" t="n"/>
      <c r="S443" s="235" t="n"/>
      <c r="T443" s="235" t="n"/>
      <c r="U443" s="235" t="n"/>
      <c r="V443" s="235" t="n"/>
      <c r="W443" s="235" t="n"/>
      <c r="X443" s="235" t="n"/>
    </row>
    <row r="444">
      <c r="A444" s="235" t="n"/>
      <c r="B444" s="235" t="n"/>
      <c r="C444" s="235" t="n"/>
      <c r="D444" s="235" t="n"/>
      <c r="E444" s="235" t="n"/>
      <c r="F444" s="235" t="n"/>
      <c r="G444" s="235" t="n"/>
      <c r="H444" s="235" t="n"/>
      <c r="I444" s="235" t="n"/>
      <c r="J444" s="235" t="n"/>
      <c r="K444" s="235" t="n"/>
      <c r="L444" s="235" t="n"/>
      <c r="M444" s="235" t="n"/>
      <c r="N444" s="235" t="n"/>
      <c r="O444" s="235" t="n"/>
      <c r="P444" s="235" t="n"/>
      <c r="Q444" s="235" t="n"/>
      <c r="R444" s="235" t="n"/>
      <c r="S444" s="235" t="n"/>
      <c r="T444" s="235" t="n"/>
      <c r="U444" s="235" t="n"/>
      <c r="V444" s="235" t="n"/>
      <c r="W444" s="235" t="n"/>
      <c r="X444" s="235" t="n"/>
    </row>
    <row r="445">
      <c r="A445" s="235" t="n"/>
      <c r="B445" s="235" t="n"/>
      <c r="C445" s="235" t="n"/>
      <c r="D445" s="235" t="n"/>
      <c r="E445" s="235" t="n"/>
      <c r="F445" s="235" t="n"/>
      <c r="G445" s="235" t="n"/>
      <c r="H445" s="235" t="n"/>
      <c r="I445" s="235" t="n"/>
      <c r="J445" s="235" t="n"/>
      <c r="K445" s="235" t="n"/>
      <c r="L445" s="235" t="n"/>
      <c r="M445" s="235" t="n"/>
      <c r="N445" s="235" t="n"/>
      <c r="O445" s="235" t="n"/>
      <c r="P445" s="235" t="n"/>
      <c r="Q445" s="235" t="n"/>
      <c r="R445" s="235" t="n"/>
      <c r="S445" s="235" t="n"/>
      <c r="T445" s="235" t="n"/>
      <c r="U445" s="235" t="n"/>
      <c r="V445" s="235" t="n"/>
      <c r="W445" s="235" t="n"/>
      <c r="X445" s="235" t="n"/>
    </row>
    <row r="446">
      <c r="A446" s="235" t="n"/>
      <c r="B446" s="235" t="n"/>
      <c r="C446" s="235" t="n"/>
      <c r="D446" s="235" t="n"/>
      <c r="E446" s="235" t="n"/>
      <c r="F446" s="235" t="n"/>
      <c r="G446" s="235" t="n"/>
      <c r="H446" s="235" t="n"/>
      <c r="I446" s="235" t="n"/>
      <c r="J446" s="235" t="n"/>
      <c r="K446" s="235" t="n"/>
      <c r="L446" s="235" t="n"/>
      <c r="M446" s="235" t="n"/>
      <c r="N446" s="235" t="n"/>
      <c r="O446" s="235" t="n"/>
      <c r="P446" s="235" t="n"/>
      <c r="Q446" s="235" t="n"/>
      <c r="R446" s="235" t="n"/>
      <c r="S446" s="235" t="n"/>
      <c r="T446" s="235" t="n"/>
      <c r="U446" s="235" t="n"/>
      <c r="V446" s="235" t="n"/>
      <c r="W446" s="235" t="n"/>
      <c r="X446" s="235" t="n"/>
    </row>
    <row r="447">
      <c r="A447" s="235" t="n"/>
      <c r="B447" s="235" t="n"/>
      <c r="C447" s="235" t="n"/>
      <c r="D447" s="235" t="n"/>
      <c r="E447" s="235" t="n"/>
      <c r="F447" s="235" t="n"/>
      <c r="G447" s="235" t="n"/>
      <c r="H447" s="235" t="n"/>
      <c r="I447" s="235" t="n"/>
      <c r="J447" s="235" t="n"/>
      <c r="K447" s="235" t="n"/>
      <c r="L447" s="235" t="n"/>
      <c r="M447" s="235" t="n"/>
      <c r="N447" s="235" t="n"/>
      <c r="O447" s="235" t="n"/>
      <c r="P447" s="235" t="n"/>
      <c r="Q447" s="235" t="n"/>
      <c r="R447" s="235" t="n"/>
      <c r="S447" s="235" t="n"/>
      <c r="T447" s="235" t="n"/>
      <c r="U447" s="235" t="n"/>
      <c r="V447" s="235" t="n"/>
      <c r="W447" s="235" t="n"/>
      <c r="X447" s="235" t="n"/>
    </row>
    <row r="448">
      <c r="A448" s="235" t="n"/>
      <c r="B448" s="235" t="n"/>
      <c r="C448" s="235" t="n"/>
      <c r="D448" s="235" t="n"/>
      <c r="E448" s="235" t="n"/>
      <c r="F448" s="235" t="n"/>
      <c r="G448" s="235" t="n"/>
      <c r="H448" s="235" t="n"/>
      <c r="I448" s="235" t="n"/>
      <c r="J448" s="235" t="n"/>
      <c r="K448" s="235" t="n"/>
      <c r="L448" s="235" t="n"/>
      <c r="M448" s="235" t="n"/>
      <c r="N448" s="235" t="n"/>
      <c r="O448" s="235" t="n"/>
      <c r="P448" s="235" t="n"/>
      <c r="Q448" s="235" t="n"/>
      <c r="R448" s="235" t="n"/>
      <c r="S448" s="235" t="n"/>
      <c r="T448" s="235" t="n"/>
      <c r="U448" s="235" t="n"/>
      <c r="V448" s="235" t="n"/>
      <c r="W448" s="235" t="n"/>
      <c r="X448" s="235" t="n"/>
    </row>
    <row r="449">
      <c r="A449" s="235" t="n"/>
      <c r="B449" s="235" t="n"/>
      <c r="C449" s="235" t="n"/>
      <c r="D449" s="235" t="n"/>
      <c r="E449" s="235" t="n"/>
      <c r="F449" s="235" t="n"/>
      <c r="G449" s="235" t="n"/>
      <c r="H449" s="235" t="n"/>
      <c r="I449" s="235" t="n"/>
      <c r="J449" s="235" t="n"/>
      <c r="K449" s="235" t="n"/>
      <c r="L449" s="235" t="n"/>
      <c r="M449" s="235" t="n"/>
      <c r="N449" s="235" t="n"/>
      <c r="O449" s="235" t="n"/>
      <c r="P449" s="235" t="n"/>
      <c r="Q449" s="235" t="n"/>
      <c r="R449" s="235" t="n"/>
      <c r="S449" s="235" t="n"/>
      <c r="T449" s="235" t="n"/>
      <c r="U449" s="235" t="n"/>
      <c r="V449" s="235" t="n"/>
      <c r="W449" s="235" t="n"/>
      <c r="X449" s="235" t="n"/>
    </row>
    <row r="450">
      <c r="A450" s="235" t="n"/>
      <c r="B450" s="235" t="n"/>
      <c r="C450" s="235" t="n"/>
      <c r="D450" s="235" t="n"/>
      <c r="E450" s="235" t="n"/>
      <c r="F450" s="235" t="n"/>
      <c r="G450" s="235" t="n"/>
      <c r="H450" s="235" t="n"/>
      <c r="I450" s="235" t="n"/>
      <c r="J450" s="235" t="n"/>
      <c r="K450" s="235" t="n"/>
      <c r="L450" s="235" t="n"/>
      <c r="M450" s="235" t="n"/>
      <c r="N450" s="235" t="n"/>
      <c r="O450" s="235" t="n"/>
      <c r="P450" s="235" t="n"/>
      <c r="Q450" s="235" t="n"/>
      <c r="R450" s="235" t="n"/>
      <c r="S450" s="235" t="n"/>
      <c r="T450" s="235" t="n"/>
      <c r="U450" s="235" t="n"/>
      <c r="V450" s="235" t="n"/>
      <c r="W450" s="235" t="n"/>
      <c r="X450" s="235" t="n"/>
    </row>
    <row r="451">
      <c r="A451" s="235" t="n"/>
      <c r="B451" s="235" t="n"/>
      <c r="C451" s="235" t="n"/>
      <c r="D451" s="235" t="n"/>
      <c r="E451" s="235" t="n"/>
      <c r="F451" s="235" t="n"/>
      <c r="G451" s="235" t="n"/>
      <c r="H451" s="235" t="n"/>
      <c r="I451" s="235" t="n"/>
      <c r="J451" s="235" t="n"/>
      <c r="K451" s="235" t="n"/>
      <c r="L451" s="235" t="n"/>
      <c r="M451" s="235" t="n"/>
      <c r="N451" s="235" t="n"/>
      <c r="O451" s="235" t="n"/>
      <c r="P451" s="235" t="n"/>
      <c r="Q451" s="235" t="n"/>
      <c r="R451" s="235" t="n"/>
      <c r="S451" s="235" t="n"/>
      <c r="T451" s="235" t="n"/>
      <c r="U451" s="235" t="n"/>
      <c r="V451" s="235" t="n"/>
      <c r="W451" s="235" t="n"/>
      <c r="X451" s="235" t="n"/>
    </row>
    <row r="452">
      <c r="A452" s="235" t="n"/>
      <c r="B452" s="235" t="n"/>
      <c r="C452" s="235" t="n"/>
      <c r="D452" s="235" t="n"/>
      <c r="E452" s="235" t="n"/>
      <c r="F452" s="235" t="n"/>
      <c r="G452" s="235" t="n"/>
      <c r="H452" s="235" t="n"/>
      <c r="I452" s="235" t="n"/>
      <c r="J452" s="235" t="n"/>
      <c r="K452" s="235" t="n"/>
      <c r="L452" s="235" t="n"/>
      <c r="M452" s="235" t="n"/>
      <c r="N452" s="235" t="n"/>
      <c r="O452" s="235" t="n"/>
      <c r="P452" s="235" t="n"/>
      <c r="Q452" s="235" t="n"/>
      <c r="R452" s="235" t="n"/>
      <c r="S452" s="235" t="n"/>
      <c r="T452" s="235" t="n"/>
      <c r="U452" s="235" t="n"/>
      <c r="V452" s="235" t="n"/>
      <c r="W452" s="235" t="n"/>
      <c r="X452" s="235" t="n"/>
    </row>
    <row r="453">
      <c r="A453" s="235" t="n"/>
      <c r="B453" s="235" t="n"/>
      <c r="C453" s="235" t="n"/>
      <c r="D453" s="235" t="n"/>
      <c r="E453" s="235" t="n"/>
      <c r="F453" s="235" t="n"/>
      <c r="G453" s="235" t="n"/>
      <c r="H453" s="235" t="n"/>
      <c r="I453" s="235" t="n"/>
      <c r="J453" s="235" t="n"/>
      <c r="K453" s="235" t="n"/>
      <c r="L453" s="235" t="n"/>
      <c r="M453" s="235" t="n"/>
      <c r="N453" s="235" t="n"/>
      <c r="O453" s="235" t="n"/>
      <c r="P453" s="235" t="n"/>
      <c r="Q453" s="235" t="n"/>
      <c r="R453" s="235" t="n"/>
      <c r="S453" s="235" t="n"/>
      <c r="T453" s="235" t="n"/>
      <c r="U453" s="235" t="n"/>
      <c r="V453" s="235" t="n"/>
      <c r="W453" s="235" t="n"/>
      <c r="X453" s="235" t="n"/>
    </row>
    <row r="454">
      <c r="A454" s="235" t="n"/>
      <c r="B454" s="235" t="n"/>
      <c r="C454" s="235" t="n"/>
      <c r="D454" s="235" t="n"/>
      <c r="E454" s="235" t="n"/>
      <c r="F454" s="235" t="n"/>
      <c r="G454" s="235" t="n"/>
      <c r="H454" s="235" t="n"/>
      <c r="I454" s="235" t="n"/>
      <c r="J454" s="235" t="n"/>
      <c r="K454" s="235" t="n"/>
      <c r="L454" s="235" t="n"/>
      <c r="M454" s="235" t="n"/>
      <c r="N454" s="235" t="n"/>
      <c r="O454" s="235" t="n"/>
      <c r="P454" s="235" t="n"/>
      <c r="Q454" s="235" t="n"/>
      <c r="R454" s="235" t="n"/>
      <c r="S454" s="235" t="n"/>
      <c r="T454" s="235" t="n"/>
      <c r="U454" s="235" t="n"/>
      <c r="V454" s="235" t="n"/>
      <c r="W454" s="235" t="n"/>
      <c r="X454" s="235" t="n"/>
    </row>
    <row r="455">
      <c r="A455" s="235" t="n"/>
      <c r="B455" s="235" t="n"/>
      <c r="C455" s="235" t="n"/>
      <c r="D455" s="235" t="n"/>
      <c r="E455" s="235" t="n"/>
      <c r="F455" s="235" t="n"/>
      <c r="G455" s="235" t="n"/>
      <c r="H455" s="235" t="n"/>
      <c r="I455" s="235" t="n"/>
      <c r="J455" s="235" t="n"/>
      <c r="K455" s="235" t="n"/>
      <c r="L455" s="235" t="n"/>
      <c r="M455" s="235" t="n"/>
      <c r="N455" s="235" t="n"/>
      <c r="O455" s="235" t="n"/>
      <c r="P455" s="235" t="n"/>
      <c r="Q455" s="235" t="n"/>
      <c r="R455" s="235" t="n"/>
      <c r="S455" s="235" t="n"/>
      <c r="T455" s="235" t="n"/>
      <c r="U455" s="235" t="n"/>
      <c r="V455" s="235" t="n"/>
      <c r="W455" s="235" t="n"/>
      <c r="X455" s="235" t="n"/>
    </row>
    <row r="456">
      <c r="A456" s="235" t="n"/>
      <c r="B456" s="235" t="n"/>
      <c r="C456" s="235" t="n"/>
      <c r="D456" s="235" t="n"/>
      <c r="E456" s="235" t="n"/>
      <c r="F456" s="235" t="n"/>
      <c r="G456" s="235" t="n"/>
      <c r="H456" s="235" t="n"/>
      <c r="I456" s="235" t="n"/>
      <c r="J456" s="235" t="n"/>
      <c r="K456" s="235" t="n"/>
      <c r="L456" s="235" t="n"/>
      <c r="M456" s="235" t="n"/>
      <c r="N456" s="235" t="n"/>
      <c r="O456" s="235" t="n"/>
      <c r="P456" s="235" t="n"/>
      <c r="Q456" s="235" t="n"/>
      <c r="R456" s="235" t="n"/>
      <c r="S456" s="235" t="n"/>
      <c r="T456" s="235" t="n"/>
      <c r="U456" s="235" t="n"/>
      <c r="V456" s="235" t="n"/>
      <c r="W456" s="235" t="n"/>
      <c r="X456" s="235" t="n"/>
    </row>
    <row r="457">
      <c r="A457" s="235" t="n"/>
      <c r="B457" s="235" t="n"/>
      <c r="C457" s="235" t="n"/>
      <c r="D457" s="235" t="n"/>
      <c r="E457" s="235" t="n"/>
      <c r="F457" s="235" t="n"/>
      <c r="G457" s="235" t="n"/>
      <c r="H457" s="235" t="n"/>
      <c r="I457" s="235" t="n"/>
      <c r="J457" s="235" t="n"/>
      <c r="K457" s="235" t="n"/>
      <c r="L457" s="235" t="n"/>
      <c r="M457" s="235" t="n"/>
      <c r="N457" s="235" t="n"/>
      <c r="O457" s="235" t="n"/>
      <c r="P457" s="235" t="n"/>
      <c r="Q457" s="235" t="n"/>
      <c r="R457" s="235" t="n"/>
      <c r="S457" s="235" t="n"/>
      <c r="T457" s="235" t="n"/>
      <c r="U457" s="235" t="n"/>
      <c r="V457" s="235" t="n"/>
      <c r="W457" s="235" t="n"/>
      <c r="X457" s="235" t="n"/>
    </row>
    <row r="458">
      <c r="A458" s="235" t="n"/>
      <c r="B458" s="235" t="n"/>
      <c r="C458" s="235" t="n"/>
      <c r="D458" s="235" t="n"/>
      <c r="E458" s="235" t="n"/>
      <c r="F458" s="235" t="n"/>
      <c r="G458" s="235" t="n"/>
      <c r="H458" s="235" t="n"/>
      <c r="I458" s="235" t="n"/>
      <c r="J458" s="235" t="n"/>
      <c r="K458" s="235" t="n"/>
      <c r="L458" s="235" t="n"/>
      <c r="M458" s="235" t="n"/>
      <c r="N458" s="235" t="n"/>
      <c r="O458" s="235" t="n"/>
      <c r="P458" s="235" t="n"/>
      <c r="Q458" s="235" t="n"/>
      <c r="R458" s="235" t="n"/>
      <c r="S458" s="235" t="n"/>
      <c r="T458" s="235" t="n"/>
      <c r="U458" s="235" t="n"/>
      <c r="V458" s="235" t="n"/>
      <c r="W458" s="235" t="n"/>
      <c r="X458" s="235" t="n"/>
    </row>
    <row r="459">
      <c r="A459" s="235" t="n"/>
      <c r="B459" s="235" t="n"/>
      <c r="C459" s="235" t="n"/>
      <c r="D459" s="235" t="n"/>
      <c r="E459" s="235" t="n"/>
      <c r="F459" s="235" t="n"/>
      <c r="G459" s="235" t="n"/>
      <c r="H459" s="235" t="n"/>
      <c r="I459" s="235" t="n"/>
      <c r="J459" s="235" t="n"/>
      <c r="K459" s="235" t="n"/>
      <c r="L459" s="235" t="n"/>
      <c r="M459" s="235" t="n"/>
      <c r="N459" s="235" t="n"/>
      <c r="O459" s="235" t="n"/>
      <c r="P459" s="235" t="n"/>
      <c r="Q459" s="235" t="n"/>
      <c r="R459" s="235" t="n"/>
      <c r="S459" s="235" t="n"/>
      <c r="T459" s="235" t="n"/>
      <c r="U459" s="235" t="n"/>
      <c r="V459" s="235" t="n"/>
      <c r="W459" s="235" t="n"/>
      <c r="X459" s="235" t="n"/>
    </row>
    <row r="460">
      <c r="A460" s="235" t="n"/>
      <c r="B460" s="235" t="n"/>
      <c r="C460" s="235" t="n"/>
      <c r="D460" s="235" t="n"/>
      <c r="E460" s="235" t="n"/>
      <c r="F460" s="235" t="n"/>
      <c r="G460" s="235" t="n"/>
      <c r="H460" s="235" t="n"/>
      <c r="I460" s="235" t="n"/>
      <c r="J460" s="235" t="n"/>
      <c r="K460" s="235" t="n"/>
      <c r="L460" s="235" t="n"/>
      <c r="M460" s="235" t="n"/>
      <c r="N460" s="235" t="n"/>
      <c r="O460" s="235" t="n"/>
      <c r="P460" s="235" t="n"/>
      <c r="Q460" s="235" t="n"/>
      <c r="R460" s="235" t="n"/>
      <c r="S460" s="235" t="n"/>
      <c r="T460" s="235" t="n"/>
      <c r="U460" s="235" t="n"/>
      <c r="V460" s="235" t="n"/>
      <c r="W460" s="235" t="n"/>
      <c r="X460" s="235" t="n"/>
    </row>
    <row r="461">
      <c r="A461" s="235" t="n"/>
      <c r="B461" s="235" t="n"/>
      <c r="C461" s="235" t="n"/>
      <c r="D461" s="235" t="n"/>
      <c r="E461" s="235" t="n"/>
      <c r="F461" s="235" t="n"/>
      <c r="G461" s="235" t="n"/>
      <c r="H461" s="235" t="n"/>
      <c r="I461" s="235" t="n"/>
      <c r="J461" s="235" t="n"/>
      <c r="K461" s="235" t="n"/>
      <c r="L461" s="235" t="n"/>
      <c r="M461" s="235" t="n"/>
      <c r="N461" s="235" t="n"/>
      <c r="O461" s="235" t="n"/>
      <c r="P461" s="235" t="n"/>
      <c r="Q461" s="235" t="n"/>
      <c r="R461" s="235" t="n"/>
      <c r="S461" s="235" t="n"/>
      <c r="T461" s="235" t="n"/>
      <c r="U461" s="235" t="n"/>
      <c r="V461" s="235" t="n"/>
      <c r="W461" s="235" t="n"/>
      <c r="X461" s="235" t="n"/>
    </row>
    <row r="462">
      <c r="A462" s="235" t="n"/>
      <c r="B462" s="235" t="n"/>
      <c r="C462" s="235" t="n"/>
      <c r="D462" s="235" t="n"/>
      <c r="E462" s="235" t="n"/>
      <c r="F462" s="235" t="n"/>
      <c r="G462" s="235" t="n"/>
      <c r="H462" s="235" t="n"/>
      <c r="I462" s="235" t="n"/>
      <c r="J462" s="235" t="n"/>
      <c r="K462" s="235" t="n"/>
      <c r="L462" s="235" t="n"/>
      <c r="M462" s="235" t="n"/>
      <c r="N462" s="235" t="n"/>
      <c r="O462" s="235" t="n"/>
      <c r="P462" s="235" t="n"/>
      <c r="Q462" s="235" t="n"/>
      <c r="R462" s="235" t="n"/>
      <c r="S462" s="235" t="n"/>
      <c r="T462" s="235" t="n"/>
      <c r="U462" s="235" t="n"/>
      <c r="V462" s="235" t="n"/>
      <c r="W462" s="235" t="n"/>
      <c r="X462" s="235" t="n"/>
    </row>
    <row r="463">
      <c r="A463" s="235" t="n"/>
      <c r="B463" s="235" t="n"/>
      <c r="C463" s="235" t="n"/>
      <c r="D463" s="235" t="n"/>
      <c r="E463" s="235" t="n"/>
      <c r="F463" s="235" t="n"/>
      <c r="G463" s="235" t="n"/>
      <c r="H463" s="235" t="n"/>
      <c r="I463" s="235" t="n"/>
      <c r="J463" s="235" t="n"/>
      <c r="K463" s="235" t="n"/>
      <c r="L463" s="235" t="n"/>
      <c r="M463" s="235" t="n"/>
      <c r="N463" s="235" t="n"/>
      <c r="O463" s="235" t="n"/>
      <c r="P463" s="235" t="n"/>
      <c r="Q463" s="235" t="n"/>
      <c r="R463" s="235" t="n"/>
      <c r="S463" s="235" t="n"/>
      <c r="T463" s="235" t="n"/>
      <c r="U463" s="235" t="n"/>
      <c r="V463" s="235" t="n"/>
      <c r="W463" s="235" t="n"/>
      <c r="X463" s="235" t="n"/>
    </row>
    <row r="464">
      <c r="A464" s="235" t="n"/>
      <c r="B464" s="235" t="n"/>
      <c r="C464" s="235" t="n"/>
      <c r="D464" s="235" t="n"/>
      <c r="E464" s="235" t="n"/>
      <c r="F464" s="235" t="n"/>
      <c r="G464" s="235" t="n"/>
      <c r="H464" s="235" t="n"/>
      <c r="I464" s="235" t="n"/>
      <c r="J464" s="235" t="n"/>
      <c r="K464" s="235" t="n"/>
      <c r="L464" s="235" t="n"/>
      <c r="M464" s="235" t="n"/>
      <c r="N464" s="235" t="n"/>
      <c r="O464" s="235" t="n"/>
      <c r="P464" s="235" t="n"/>
      <c r="Q464" s="235" t="n"/>
      <c r="R464" s="235" t="n"/>
      <c r="S464" s="235" t="n"/>
      <c r="T464" s="235" t="n"/>
      <c r="U464" s="235" t="n"/>
      <c r="V464" s="235" t="n"/>
      <c r="W464" s="235" t="n"/>
      <c r="X464" s="235" t="n"/>
    </row>
    <row r="465">
      <c r="A465" s="235" t="n"/>
      <c r="B465" s="235" t="n"/>
      <c r="C465" s="235" t="n"/>
      <c r="D465" s="235" t="n"/>
      <c r="E465" s="235" t="n"/>
      <c r="F465" s="235" t="n"/>
      <c r="G465" s="235" t="n"/>
      <c r="H465" s="235" t="n"/>
      <c r="I465" s="235" t="n"/>
      <c r="J465" s="235" t="n"/>
      <c r="K465" s="235" t="n"/>
      <c r="L465" s="235" t="n"/>
      <c r="M465" s="235" t="n"/>
      <c r="N465" s="235" t="n"/>
      <c r="O465" s="235" t="n"/>
      <c r="P465" s="235" t="n"/>
      <c r="Q465" s="235" t="n"/>
      <c r="R465" s="235" t="n"/>
      <c r="S465" s="235" t="n"/>
      <c r="T465" s="235" t="n"/>
      <c r="U465" s="235" t="n"/>
      <c r="V465" s="235" t="n"/>
      <c r="W465" s="235" t="n"/>
      <c r="X465" s="235" t="n"/>
    </row>
    <row r="466">
      <c r="A466" s="235" t="n"/>
      <c r="B466" s="235" t="n"/>
      <c r="C466" s="235" t="n"/>
      <c r="D466" s="235" t="n"/>
      <c r="E466" s="235" t="n"/>
      <c r="F466" s="235" t="n"/>
      <c r="G466" s="235" t="n"/>
      <c r="H466" s="235" t="n"/>
      <c r="I466" s="235" t="n"/>
      <c r="J466" s="235" t="n"/>
      <c r="K466" s="235" t="n"/>
      <c r="L466" s="235" t="n"/>
      <c r="M466" s="235" t="n"/>
      <c r="N466" s="235" t="n"/>
      <c r="O466" s="235" t="n"/>
      <c r="P466" s="235" t="n"/>
      <c r="Q466" s="235" t="n"/>
      <c r="R466" s="235" t="n"/>
      <c r="S466" s="235" t="n"/>
      <c r="T466" s="235" t="n"/>
      <c r="U466" s="235" t="n"/>
      <c r="V466" s="235" t="n"/>
      <c r="W466" s="235" t="n"/>
      <c r="X466" s="235" t="n"/>
    </row>
    <row r="467">
      <c r="A467" s="235" t="n"/>
      <c r="B467" s="235" t="n"/>
      <c r="C467" s="235" t="n"/>
      <c r="D467" s="235" t="n"/>
      <c r="E467" s="235" t="n"/>
      <c r="F467" s="235" t="n"/>
      <c r="G467" s="235" t="n"/>
      <c r="H467" s="235" t="n"/>
      <c r="I467" s="235" t="n"/>
      <c r="J467" s="235" t="n"/>
      <c r="K467" s="235" t="n"/>
      <c r="L467" s="235" t="n"/>
      <c r="M467" s="235" t="n"/>
      <c r="N467" s="235" t="n"/>
      <c r="O467" s="235" t="n"/>
      <c r="P467" s="235" t="n"/>
      <c r="Q467" s="235" t="n"/>
      <c r="R467" s="235" t="n"/>
      <c r="S467" s="235" t="n"/>
      <c r="T467" s="235" t="n"/>
      <c r="U467" s="235" t="n"/>
      <c r="V467" s="235" t="n"/>
      <c r="W467" s="235" t="n"/>
      <c r="X467" s="235" t="n"/>
    </row>
    <row r="468">
      <c r="A468" s="235" t="n"/>
      <c r="B468" s="235" t="n"/>
      <c r="C468" s="235" t="n"/>
      <c r="D468" s="235" t="n"/>
      <c r="E468" s="235" t="n"/>
      <c r="F468" s="235" t="n"/>
      <c r="G468" s="235" t="n"/>
      <c r="H468" s="235" t="n"/>
      <c r="I468" s="235" t="n"/>
      <c r="J468" s="235" t="n"/>
      <c r="K468" s="235" t="n"/>
      <c r="L468" s="235" t="n"/>
      <c r="M468" s="235" t="n"/>
      <c r="N468" s="235" t="n"/>
      <c r="O468" s="235" t="n"/>
      <c r="P468" s="235" t="n"/>
      <c r="Q468" s="235" t="n"/>
      <c r="R468" s="235" t="n"/>
      <c r="S468" s="235" t="n"/>
      <c r="T468" s="235" t="n"/>
      <c r="U468" s="235" t="n"/>
      <c r="V468" s="235" t="n"/>
      <c r="W468" s="235" t="n"/>
      <c r="X468" s="235" t="n"/>
    </row>
    <row r="469">
      <c r="A469" s="235" t="n"/>
      <c r="B469" s="235" t="n"/>
      <c r="C469" s="235" t="n"/>
      <c r="D469" s="235" t="n"/>
      <c r="E469" s="235" t="n"/>
      <c r="F469" s="235" t="n"/>
      <c r="G469" s="235" t="n"/>
      <c r="H469" s="235" t="n"/>
      <c r="I469" s="235" t="n"/>
      <c r="J469" s="235" t="n"/>
      <c r="K469" s="235" t="n"/>
      <c r="L469" s="235" t="n"/>
      <c r="M469" s="235" t="n"/>
      <c r="N469" s="235" t="n"/>
      <c r="O469" s="235" t="n"/>
      <c r="P469" s="235" t="n"/>
      <c r="Q469" s="235" t="n"/>
      <c r="R469" s="235" t="n"/>
      <c r="S469" s="235" t="n"/>
      <c r="T469" s="235" t="n"/>
      <c r="U469" s="235" t="n"/>
      <c r="V469" s="235" t="n"/>
      <c r="W469" s="235" t="n"/>
      <c r="X469" s="235" t="n"/>
    </row>
    <row r="470">
      <c r="A470" s="235" t="n"/>
      <c r="B470" s="235" t="n"/>
      <c r="C470" s="235" t="n"/>
      <c r="D470" s="235" t="n"/>
      <c r="E470" s="235" t="n"/>
      <c r="F470" s="235" t="n"/>
      <c r="G470" s="235" t="n"/>
      <c r="H470" s="235" t="n"/>
      <c r="I470" s="235" t="n"/>
      <c r="J470" s="235" t="n"/>
      <c r="K470" s="235" t="n"/>
      <c r="L470" s="235" t="n"/>
      <c r="M470" s="235" t="n"/>
      <c r="N470" s="235" t="n"/>
      <c r="O470" s="235" t="n"/>
      <c r="P470" s="235" t="n"/>
      <c r="Q470" s="235" t="n"/>
      <c r="R470" s="235" t="n"/>
      <c r="S470" s="235" t="n"/>
      <c r="T470" s="235" t="n"/>
      <c r="U470" s="235" t="n"/>
      <c r="V470" s="235" t="n"/>
      <c r="W470" s="235" t="n"/>
      <c r="X470" s="235" t="n"/>
    </row>
    <row r="471">
      <c r="A471" s="235" t="n"/>
      <c r="B471" s="235" t="n"/>
      <c r="C471" s="235" t="n"/>
      <c r="D471" s="235" t="n"/>
      <c r="E471" s="235" t="n"/>
      <c r="F471" s="235" t="n"/>
      <c r="G471" s="235" t="n"/>
      <c r="H471" s="235" t="n"/>
      <c r="I471" s="235" t="n"/>
      <c r="J471" s="235" t="n"/>
      <c r="K471" s="235" t="n"/>
      <c r="L471" s="235" t="n"/>
      <c r="M471" s="235" t="n"/>
      <c r="N471" s="235" t="n"/>
      <c r="O471" s="235" t="n"/>
      <c r="P471" s="235" t="n"/>
      <c r="Q471" s="235" t="n"/>
      <c r="R471" s="235" t="n"/>
      <c r="S471" s="235" t="n"/>
      <c r="T471" s="235" t="n"/>
      <c r="U471" s="235" t="n"/>
      <c r="V471" s="235" t="n"/>
      <c r="W471" s="235" t="n"/>
      <c r="X471" s="235" t="n"/>
    </row>
    <row r="472">
      <c r="A472" s="235" t="n"/>
      <c r="B472" s="235" t="n"/>
      <c r="C472" s="235" t="n"/>
      <c r="D472" s="235" t="n"/>
      <c r="E472" s="235" t="n"/>
      <c r="F472" s="235" t="n"/>
      <c r="G472" s="235" t="n"/>
      <c r="H472" s="235" t="n"/>
      <c r="I472" s="235" t="n"/>
      <c r="J472" s="235" t="n"/>
      <c r="K472" s="235" t="n"/>
      <c r="L472" s="235" t="n"/>
      <c r="M472" s="235" t="n"/>
      <c r="N472" s="235" t="n"/>
      <c r="O472" s="235" t="n"/>
      <c r="P472" s="235" t="n"/>
      <c r="Q472" s="235" t="n"/>
      <c r="R472" s="235" t="n"/>
      <c r="S472" s="235" t="n"/>
      <c r="T472" s="235" t="n"/>
      <c r="U472" s="235" t="n"/>
      <c r="V472" s="235" t="n"/>
      <c r="W472" s="235" t="n"/>
      <c r="X472" s="235" t="n"/>
    </row>
    <row r="473">
      <c r="A473" s="235" t="n"/>
      <c r="B473" s="235" t="n"/>
      <c r="C473" s="235" t="n"/>
      <c r="D473" s="235" t="n"/>
      <c r="E473" s="235" t="n"/>
      <c r="F473" s="235" t="n"/>
      <c r="G473" s="235" t="n"/>
      <c r="H473" s="235" t="n"/>
      <c r="I473" s="235" t="n"/>
      <c r="J473" s="235" t="n"/>
      <c r="K473" s="235" t="n"/>
      <c r="L473" s="235" t="n"/>
      <c r="M473" s="235" t="n"/>
      <c r="N473" s="235" t="n"/>
      <c r="O473" s="235" t="n"/>
      <c r="P473" s="235" t="n"/>
      <c r="Q473" s="235" t="n"/>
      <c r="R473" s="235" t="n"/>
      <c r="S473" s="235" t="n"/>
      <c r="T473" s="235" t="n"/>
      <c r="U473" s="235" t="n"/>
      <c r="V473" s="235" t="n"/>
      <c r="W473" s="235" t="n"/>
      <c r="X473" s="235" t="n"/>
    </row>
    <row r="474">
      <c r="A474" s="235" t="n"/>
      <c r="B474" s="235" t="n"/>
      <c r="C474" s="235" t="n"/>
      <c r="D474" s="235" t="n"/>
      <c r="E474" s="235" t="n"/>
      <c r="F474" s="235" t="n"/>
      <c r="G474" s="235" t="n"/>
      <c r="H474" s="235" t="n"/>
      <c r="I474" s="235" t="n"/>
      <c r="J474" s="235" t="n"/>
      <c r="K474" s="235" t="n"/>
      <c r="L474" s="235" t="n"/>
      <c r="M474" s="235" t="n"/>
      <c r="N474" s="235" t="n"/>
      <c r="O474" s="235" t="n"/>
      <c r="P474" s="235" t="n"/>
      <c r="Q474" s="235" t="n"/>
      <c r="R474" s="235" t="n"/>
      <c r="S474" s="235" t="n"/>
      <c r="T474" s="235" t="n"/>
      <c r="U474" s="235" t="n"/>
      <c r="V474" s="235" t="n"/>
      <c r="W474" s="235" t="n"/>
      <c r="X474" s="235" t="n"/>
    </row>
    <row r="475">
      <c r="A475" s="235" t="n"/>
      <c r="B475" s="235" t="n"/>
      <c r="C475" s="235" t="n"/>
      <c r="D475" s="235" t="n"/>
      <c r="E475" s="235" t="n"/>
      <c r="F475" s="235" t="n"/>
      <c r="G475" s="235" t="n"/>
      <c r="H475" s="235" t="n"/>
      <c r="I475" s="235" t="n"/>
      <c r="J475" s="235" t="n"/>
      <c r="K475" s="235" t="n"/>
      <c r="L475" s="235" t="n"/>
      <c r="M475" s="235" t="n"/>
      <c r="N475" s="235" t="n"/>
      <c r="O475" s="235" t="n"/>
      <c r="P475" s="235" t="n"/>
      <c r="Q475" s="235" t="n"/>
      <c r="R475" s="235" t="n"/>
      <c r="S475" s="235" t="n"/>
      <c r="T475" s="235" t="n"/>
      <c r="U475" s="235" t="n"/>
      <c r="V475" s="235" t="n"/>
      <c r="W475" s="235" t="n"/>
      <c r="X475" s="235" t="n"/>
    </row>
    <row r="476">
      <c r="A476" s="235" t="n"/>
      <c r="B476" s="235" t="n"/>
      <c r="C476" s="235" t="n"/>
      <c r="D476" s="235" t="n"/>
      <c r="E476" s="235" t="n"/>
      <c r="F476" s="235" t="n"/>
      <c r="G476" s="235" t="n"/>
      <c r="H476" s="235" t="n"/>
      <c r="I476" s="235" t="n"/>
      <c r="J476" s="235" t="n"/>
      <c r="K476" s="235" t="n"/>
      <c r="L476" s="235" t="n"/>
      <c r="M476" s="235" t="n"/>
      <c r="N476" s="235" t="n"/>
      <c r="O476" s="235" t="n"/>
      <c r="P476" s="235" t="n"/>
      <c r="Q476" s="235" t="n"/>
      <c r="R476" s="235" t="n"/>
      <c r="S476" s="235" t="n"/>
      <c r="T476" s="235" t="n"/>
      <c r="U476" s="235" t="n"/>
      <c r="V476" s="235" t="n"/>
      <c r="W476" s="235" t="n"/>
      <c r="X476" s="235" t="n"/>
    </row>
    <row r="477">
      <c r="A477" s="235" t="n"/>
      <c r="B477" s="235" t="n"/>
      <c r="C477" s="235" t="n"/>
      <c r="D477" s="235" t="n"/>
      <c r="E477" s="235" t="n"/>
      <c r="F477" s="235" t="n"/>
      <c r="G477" s="235" t="n"/>
      <c r="H477" s="235" t="n"/>
      <c r="I477" s="235" t="n"/>
      <c r="J477" s="235" t="n"/>
      <c r="K477" s="235" t="n"/>
      <c r="L477" s="235" t="n"/>
      <c r="M477" s="235" t="n"/>
      <c r="N477" s="235" t="n"/>
      <c r="O477" s="235" t="n"/>
      <c r="P477" s="235" t="n"/>
      <c r="Q477" s="235" t="n"/>
      <c r="R477" s="235" t="n"/>
      <c r="S477" s="235" t="n"/>
      <c r="T477" s="235" t="n"/>
      <c r="U477" s="235" t="n"/>
      <c r="V477" s="235" t="n"/>
      <c r="W477" s="235" t="n"/>
      <c r="X477" s="235" t="n"/>
    </row>
    <row r="478">
      <c r="A478" s="235" t="n"/>
      <c r="B478" s="235" t="n"/>
      <c r="C478" s="235" t="n"/>
      <c r="D478" s="235" t="n"/>
      <c r="E478" s="235" t="n"/>
      <c r="F478" s="235" t="n"/>
      <c r="G478" s="235" t="n"/>
      <c r="H478" s="235" t="n"/>
      <c r="I478" s="235" t="n"/>
      <c r="J478" s="235" t="n"/>
      <c r="K478" s="235" t="n"/>
      <c r="L478" s="235" t="n"/>
      <c r="M478" s="235" t="n"/>
      <c r="N478" s="235" t="n"/>
      <c r="O478" s="235" t="n"/>
      <c r="P478" s="235" t="n"/>
      <c r="Q478" s="235" t="n"/>
      <c r="R478" s="235" t="n"/>
      <c r="S478" s="235" t="n"/>
      <c r="T478" s="235" t="n"/>
      <c r="U478" s="235" t="n"/>
      <c r="V478" s="235" t="n"/>
      <c r="W478" s="235" t="n"/>
      <c r="X478" s="235" t="n"/>
    </row>
    <row r="479">
      <c r="A479" s="235" t="n"/>
      <c r="B479" s="235" t="n"/>
      <c r="C479" s="235" t="n"/>
      <c r="D479" s="235" t="n"/>
      <c r="E479" s="235" t="n"/>
      <c r="F479" s="235" t="n"/>
      <c r="G479" s="235" t="n"/>
      <c r="H479" s="235" t="n"/>
      <c r="I479" s="235" t="n"/>
      <c r="J479" s="235" t="n"/>
      <c r="K479" s="235" t="n"/>
      <c r="L479" s="235" t="n"/>
      <c r="M479" s="235" t="n"/>
      <c r="N479" s="235" t="n"/>
      <c r="O479" s="235" t="n"/>
      <c r="P479" s="235" t="n"/>
      <c r="Q479" s="235" t="n"/>
      <c r="R479" s="235" t="n"/>
      <c r="S479" s="235" t="n"/>
      <c r="T479" s="235" t="n"/>
      <c r="U479" s="235" t="n"/>
      <c r="V479" s="235" t="n"/>
      <c r="W479" s="235" t="n"/>
      <c r="X479" s="235" t="n"/>
    </row>
    <row r="480">
      <c r="A480" s="235" t="n"/>
      <c r="B480" s="235" t="n"/>
      <c r="C480" s="235" t="n"/>
      <c r="D480" s="235" t="n"/>
      <c r="E480" s="235" t="n"/>
      <c r="F480" s="235" t="n"/>
      <c r="G480" s="235" t="n"/>
      <c r="H480" s="235" t="n"/>
      <c r="I480" s="235" t="n"/>
      <c r="J480" s="235" t="n"/>
      <c r="K480" s="235" t="n"/>
      <c r="L480" s="235" t="n"/>
      <c r="M480" s="235" t="n"/>
      <c r="N480" s="235" t="n"/>
      <c r="O480" s="235" t="n"/>
      <c r="P480" s="235" t="n"/>
      <c r="Q480" s="235" t="n"/>
      <c r="R480" s="235" t="n"/>
      <c r="S480" s="235" t="n"/>
      <c r="T480" s="235" t="n"/>
      <c r="U480" s="235" t="n"/>
      <c r="V480" s="235" t="n"/>
      <c r="W480" s="235" t="n"/>
      <c r="X480" s="235" t="n"/>
    </row>
    <row r="481">
      <c r="A481" s="235" t="n"/>
      <c r="B481" s="235" t="n"/>
      <c r="C481" s="235" t="n"/>
      <c r="D481" s="235" t="n"/>
      <c r="E481" s="235" t="n"/>
      <c r="F481" s="235" t="n"/>
      <c r="G481" s="235" t="n"/>
      <c r="H481" s="235" t="n"/>
      <c r="I481" s="235" t="n"/>
      <c r="J481" s="235" t="n"/>
      <c r="K481" s="235" t="n"/>
      <c r="L481" s="235" t="n"/>
      <c r="M481" s="235" t="n"/>
      <c r="N481" s="235" t="n"/>
      <c r="O481" s="235" t="n"/>
      <c r="P481" s="235" t="n"/>
      <c r="Q481" s="235" t="n"/>
      <c r="R481" s="235" t="n"/>
      <c r="S481" s="235" t="n"/>
      <c r="T481" s="235" t="n"/>
      <c r="U481" s="235" t="n"/>
      <c r="V481" s="235" t="n"/>
      <c r="W481" s="235" t="n"/>
      <c r="X481" s="235" t="n"/>
    </row>
    <row r="482">
      <c r="A482" s="235" t="n"/>
      <c r="B482" s="235" t="n"/>
      <c r="C482" s="235" t="n"/>
      <c r="D482" s="235" t="n"/>
      <c r="E482" s="235" t="n"/>
      <c r="F482" s="235" t="n"/>
      <c r="G482" s="235" t="n"/>
      <c r="H482" s="235" t="n"/>
      <c r="I482" s="235" t="n"/>
      <c r="J482" s="235" t="n"/>
      <c r="K482" s="235" t="n"/>
      <c r="L482" s="235" t="n"/>
      <c r="M482" s="235" t="n"/>
      <c r="N482" s="235" t="n"/>
      <c r="O482" s="235" t="n"/>
      <c r="P482" s="235" t="n"/>
      <c r="Q482" s="235" t="n"/>
      <c r="R482" s="235" t="n"/>
      <c r="S482" s="235" t="n"/>
      <c r="T482" s="235" t="n"/>
      <c r="U482" s="235" t="n"/>
      <c r="V482" s="235" t="n"/>
      <c r="W482" s="235" t="n"/>
      <c r="X482" s="235" t="n"/>
    </row>
    <row r="483">
      <c r="A483" s="235" t="n"/>
      <c r="B483" s="235" t="n"/>
      <c r="C483" s="235" t="n"/>
      <c r="D483" s="235" t="n"/>
      <c r="E483" s="235" t="n"/>
      <c r="F483" s="235" t="n"/>
      <c r="G483" s="235" t="n"/>
      <c r="H483" s="235" t="n"/>
      <c r="I483" s="235" t="n"/>
      <c r="J483" s="235" t="n"/>
      <c r="K483" s="235" t="n"/>
      <c r="L483" s="235" t="n"/>
      <c r="M483" s="235" t="n"/>
      <c r="N483" s="235" t="n"/>
      <c r="O483" s="235" t="n"/>
      <c r="P483" s="235" t="n"/>
      <c r="Q483" s="235" t="n"/>
      <c r="R483" s="235" t="n"/>
      <c r="S483" s="235" t="n"/>
      <c r="T483" s="235" t="n"/>
      <c r="U483" s="235" t="n"/>
      <c r="V483" s="235" t="n"/>
      <c r="W483" s="235" t="n"/>
      <c r="X483" s="235" t="n"/>
    </row>
    <row r="484">
      <c r="A484" s="235" t="n"/>
      <c r="B484" s="235" t="n"/>
      <c r="C484" s="235" t="n"/>
      <c r="D484" s="235" t="n"/>
      <c r="E484" s="235" t="n"/>
      <c r="F484" s="235" t="n"/>
      <c r="G484" s="235" t="n"/>
      <c r="H484" s="235" t="n"/>
      <c r="I484" s="235" t="n"/>
      <c r="J484" s="235" t="n"/>
      <c r="K484" s="235" t="n"/>
      <c r="L484" s="235" t="n"/>
      <c r="M484" s="235" t="n"/>
      <c r="N484" s="235" t="n"/>
      <c r="O484" s="235" t="n"/>
      <c r="P484" s="235" t="n"/>
      <c r="Q484" s="235" t="n"/>
      <c r="R484" s="235" t="n"/>
      <c r="S484" s="235" t="n"/>
      <c r="T484" s="235" t="n"/>
      <c r="U484" s="235" t="n"/>
      <c r="V484" s="235" t="n"/>
      <c r="W484" s="235" t="n"/>
      <c r="X484" s="235" t="n"/>
    </row>
    <row r="485">
      <c r="A485" s="235" t="n"/>
      <c r="B485" s="235" t="n"/>
      <c r="C485" s="235" t="n"/>
      <c r="D485" s="235" t="n"/>
      <c r="E485" s="235" t="n"/>
      <c r="F485" s="235" t="n"/>
      <c r="G485" s="235" t="n"/>
      <c r="H485" s="235" t="n"/>
      <c r="I485" s="235" t="n"/>
      <c r="J485" s="235" t="n"/>
      <c r="K485" s="235" t="n"/>
      <c r="L485" s="235" t="n"/>
      <c r="M485" s="235" t="n"/>
      <c r="N485" s="235" t="n"/>
      <c r="O485" s="235" t="n"/>
      <c r="P485" s="235" t="n"/>
      <c r="Q485" s="235" t="n"/>
      <c r="R485" s="235" t="n"/>
      <c r="S485" s="235" t="n"/>
      <c r="T485" s="235" t="n"/>
      <c r="U485" s="235" t="n"/>
      <c r="V485" s="235" t="n"/>
      <c r="W485" s="235" t="n"/>
      <c r="X485" s="235" t="n"/>
    </row>
    <row r="486">
      <c r="A486" s="235" t="n"/>
      <c r="B486" s="235" t="n"/>
      <c r="C486" s="235" t="n"/>
      <c r="D486" s="235" t="n"/>
      <c r="E486" s="235" t="n"/>
      <c r="F486" s="235" t="n"/>
      <c r="G486" s="235" t="n"/>
      <c r="H486" s="235" t="n"/>
      <c r="I486" s="235" t="n"/>
      <c r="J486" s="235" t="n"/>
      <c r="K486" s="235" t="n"/>
      <c r="L486" s="235" t="n"/>
      <c r="M486" s="235" t="n"/>
      <c r="N486" s="235" t="n"/>
      <c r="O486" s="235" t="n"/>
      <c r="P486" s="235" t="n"/>
      <c r="Q486" s="235" t="n"/>
      <c r="R486" s="235" t="n"/>
      <c r="S486" s="235" t="n"/>
      <c r="T486" s="235" t="n"/>
      <c r="U486" s="235" t="n"/>
      <c r="V486" s="235" t="n"/>
      <c r="W486" s="235" t="n"/>
      <c r="X486" s="235" t="n"/>
    </row>
    <row r="487">
      <c r="A487" s="235" t="n"/>
      <c r="B487" s="235" t="n"/>
      <c r="C487" s="235" t="n"/>
      <c r="D487" s="235" t="n"/>
      <c r="E487" s="235" t="n"/>
      <c r="F487" s="235" t="n"/>
      <c r="G487" s="235" t="n"/>
      <c r="H487" s="235" t="n"/>
      <c r="I487" s="235" t="n"/>
      <c r="J487" s="235" t="n"/>
      <c r="K487" s="235" t="n"/>
      <c r="L487" s="235" t="n"/>
      <c r="M487" s="235" t="n"/>
      <c r="N487" s="235" t="n"/>
      <c r="O487" s="235" t="n"/>
      <c r="P487" s="235" t="n"/>
      <c r="Q487" s="235" t="n"/>
      <c r="R487" s="235" t="n"/>
      <c r="S487" s="235" t="n"/>
      <c r="T487" s="235" t="n"/>
      <c r="U487" s="235" t="n"/>
      <c r="V487" s="235" t="n"/>
      <c r="W487" s="235" t="n"/>
      <c r="X487" s="235" t="n"/>
    </row>
    <row r="488">
      <c r="A488" s="235" t="n"/>
      <c r="B488" s="235" t="n"/>
      <c r="C488" s="235" t="n"/>
      <c r="D488" s="235" t="n"/>
      <c r="E488" s="235" t="n"/>
      <c r="F488" s="235" t="n"/>
      <c r="G488" s="235" t="n"/>
      <c r="H488" s="235" t="n"/>
      <c r="I488" s="235" t="n"/>
      <c r="J488" s="235" t="n"/>
      <c r="K488" s="235" t="n"/>
      <c r="L488" s="235" t="n"/>
      <c r="M488" s="235" t="n"/>
      <c r="N488" s="235" t="n"/>
      <c r="O488" s="235" t="n"/>
      <c r="P488" s="235" t="n"/>
      <c r="Q488" s="235" t="n"/>
      <c r="R488" s="235" t="n"/>
      <c r="S488" s="235" t="n"/>
      <c r="T488" s="235" t="n"/>
      <c r="U488" s="235" t="n"/>
      <c r="V488" s="235" t="n"/>
      <c r="W488" s="235" t="n"/>
      <c r="X488" s="235" t="n"/>
    </row>
    <row r="489">
      <c r="A489" s="235" t="n"/>
      <c r="B489" s="235" t="n"/>
      <c r="C489" s="235" t="n"/>
      <c r="D489" s="235" t="n"/>
      <c r="E489" s="235" t="n"/>
      <c r="F489" s="235" t="n"/>
      <c r="G489" s="235" t="n"/>
      <c r="H489" s="235" t="n"/>
      <c r="I489" s="235" t="n"/>
      <c r="J489" s="235" t="n"/>
      <c r="K489" s="235" t="n"/>
      <c r="L489" s="235" t="n"/>
      <c r="M489" s="235" t="n"/>
      <c r="N489" s="235" t="n"/>
      <c r="O489" s="235" t="n"/>
      <c r="P489" s="235" t="n"/>
      <c r="Q489" s="235" t="n"/>
      <c r="R489" s="235" t="n"/>
      <c r="S489" s="235" t="n"/>
      <c r="T489" s="235" t="n"/>
      <c r="U489" s="235" t="n"/>
      <c r="V489" s="235" t="n"/>
      <c r="W489" s="235" t="n"/>
      <c r="X489" s="235" t="n"/>
    </row>
    <row r="490">
      <c r="A490" s="235" t="n"/>
      <c r="B490" s="235" t="n"/>
      <c r="C490" s="235" t="n"/>
      <c r="D490" s="235" t="n"/>
      <c r="E490" s="235" t="n"/>
      <c r="F490" s="235" t="n"/>
      <c r="G490" s="235" t="n"/>
      <c r="H490" s="235" t="n"/>
      <c r="I490" s="235" t="n"/>
      <c r="J490" s="235" t="n"/>
      <c r="K490" s="235" t="n"/>
      <c r="L490" s="235" t="n"/>
      <c r="M490" s="235" t="n"/>
      <c r="N490" s="235" t="n"/>
      <c r="O490" s="235" t="n"/>
      <c r="P490" s="235" t="n"/>
      <c r="Q490" s="235" t="n"/>
      <c r="R490" s="235" t="n"/>
      <c r="S490" s="235" t="n"/>
      <c r="T490" s="235" t="n"/>
      <c r="U490" s="235" t="n"/>
      <c r="V490" s="235" t="n"/>
      <c r="W490" s="235" t="n"/>
      <c r="X490" s="235" t="n"/>
    </row>
    <row r="491">
      <c r="A491" s="235" t="n"/>
      <c r="B491" s="235" t="n"/>
      <c r="C491" s="235" t="n"/>
      <c r="D491" s="235" t="n"/>
      <c r="E491" s="235" t="n"/>
      <c r="F491" s="235" t="n"/>
      <c r="G491" s="235" t="n"/>
      <c r="H491" s="235" t="n"/>
      <c r="I491" s="235" t="n"/>
      <c r="J491" s="235" t="n"/>
      <c r="K491" s="235" t="n"/>
      <c r="L491" s="235" t="n"/>
      <c r="M491" s="235" t="n"/>
      <c r="N491" s="235" t="n"/>
      <c r="O491" s="235" t="n"/>
      <c r="P491" s="235" t="n"/>
      <c r="Q491" s="235" t="n"/>
      <c r="R491" s="235" t="n"/>
      <c r="S491" s="235" t="n"/>
      <c r="T491" s="235" t="n"/>
      <c r="U491" s="235" t="n"/>
      <c r="V491" s="235" t="n"/>
      <c r="W491" s="235" t="n"/>
      <c r="X491" s="235" t="n"/>
    </row>
    <row r="492">
      <c r="A492" s="235" t="n"/>
      <c r="B492" s="235" t="n"/>
      <c r="C492" s="235" t="n"/>
      <c r="D492" s="235" t="n"/>
      <c r="E492" s="235" t="n"/>
      <c r="F492" s="235" t="n"/>
      <c r="G492" s="235" t="n"/>
      <c r="H492" s="235" t="n"/>
      <c r="I492" s="235" t="n"/>
      <c r="J492" s="235" t="n"/>
      <c r="K492" s="235" t="n"/>
      <c r="L492" s="235" t="n"/>
      <c r="M492" s="235" t="n"/>
      <c r="N492" s="235" t="n"/>
      <c r="O492" s="235" t="n"/>
      <c r="P492" s="235" t="n"/>
      <c r="Q492" s="235" t="n"/>
      <c r="R492" s="235" t="n"/>
      <c r="S492" s="235" t="n"/>
      <c r="T492" s="235" t="n"/>
      <c r="U492" s="235" t="n"/>
      <c r="V492" s="235" t="n"/>
      <c r="W492" s="235" t="n"/>
      <c r="X492" s="235" t="n"/>
    </row>
    <row r="493">
      <c r="A493" s="235" t="n"/>
      <c r="B493" s="235" t="n"/>
      <c r="C493" s="235" t="n"/>
      <c r="D493" s="235" t="n"/>
      <c r="E493" s="235" t="n"/>
      <c r="F493" s="235" t="n"/>
      <c r="G493" s="235" t="n"/>
      <c r="H493" s="235" t="n"/>
      <c r="I493" s="235" t="n"/>
      <c r="J493" s="235" t="n"/>
      <c r="K493" s="235" t="n"/>
      <c r="L493" s="235" t="n"/>
      <c r="M493" s="235" t="n"/>
      <c r="N493" s="235" t="n"/>
      <c r="O493" s="235" t="n"/>
      <c r="P493" s="235" t="n"/>
      <c r="Q493" s="235" t="n"/>
      <c r="R493" s="235" t="n"/>
      <c r="S493" s="235" t="n"/>
      <c r="T493" s="235" t="n"/>
      <c r="U493" s="235" t="n"/>
      <c r="V493" s="235" t="n"/>
      <c r="W493" s="235" t="n"/>
      <c r="X493" s="235" t="n"/>
    </row>
    <row r="494">
      <c r="A494" s="235" t="n"/>
      <c r="B494" s="235" t="n"/>
      <c r="C494" s="235" t="n"/>
      <c r="D494" s="235" t="n"/>
      <c r="E494" s="235" t="n"/>
      <c r="F494" s="235" t="n"/>
      <c r="G494" s="235" t="n"/>
      <c r="H494" s="235" t="n"/>
      <c r="I494" s="235" t="n"/>
      <c r="J494" s="235" t="n"/>
      <c r="K494" s="235" t="n"/>
      <c r="L494" s="235" t="n"/>
      <c r="M494" s="235" t="n"/>
      <c r="N494" s="235" t="n"/>
      <c r="O494" s="235" t="n"/>
      <c r="P494" s="235" t="n"/>
      <c r="Q494" s="235" t="n"/>
      <c r="R494" s="235" t="n"/>
      <c r="S494" s="235" t="n"/>
      <c r="T494" s="235" t="n"/>
      <c r="U494" s="235" t="n"/>
      <c r="V494" s="235" t="n"/>
      <c r="W494" s="235" t="n"/>
      <c r="X494" s="235" t="n"/>
    </row>
    <row r="495">
      <c r="A495" s="235" t="n"/>
      <c r="B495" s="235" t="n"/>
      <c r="C495" s="235" t="n"/>
      <c r="D495" s="235" t="n"/>
      <c r="E495" s="235" t="n"/>
      <c r="F495" s="235" t="n"/>
      <c r="G495" s="235" t="n"/>
      <c r="H495" s="235" t="n"/>
      <c r="I495" s="235" t="n"/>
      <c r="J495" s="235" t="n"/>
      <c r="K495" s="235" t="n"/>
      <c r="L495" s="235" t="n"/>
      <c r="M495" s="235" t="n"/>
      <c r="N495" s="235" t="n"/>
      <c r="O495" s="235" t="n"/>
      <c r="P495" s="235" t="n"/>
      <c r="Q495" s="235" t="n"/>
      <c r="R495" s="235" t="n"/>
      <c r="S495" s="235" t="n"/>
      <c r="T495" s="235" t="n"/>
      <c r="U495" s="235" t="n"/>
      <c r="V495" s="235" t="n"/>
      <c r="W495" s="235" t="n"/>
      <c r="X495" s="235" t="n"/>
    </row>
    <row r="496">
      <c r="A496" s="235" t="n"/>
      <c r="B496" s="235" t="n"/>
      <c r="C496" s="235" t="n"/>
      <c r="D496" s="235" t="n"/>
      <c r="E496" s="235" t="n"/>
      <c r="F496" s="235" t="n"/>
      <c r="G496" s="235" t="n"/>
      <c r="H496" s="235" t="n"/>
      <c r="I496" s="235" t="n"/>
      <c r="J496" s="235" t="n"/>
      <c r="K496" s="235" t="n"/>
      <c r="L496" s="235" t="n"/>
      <c r="M496" s="235" t="n"/>
      <c r="N496" s="235" t="n"/>
      <c r="O496" s="235" t="n"/>
      <c r="P496" s="235" t="n"/>
      <c r="Q496" s="235" t="n"/>
      <c r="R496" s="235" t="n"/>
      <c r="S496" s="235" t="n"/>
      <c r="T496" s="235" t="n"/>
      <c r="U496" s="235" t="n"/>
      <c r="V496" s="235" t="n"/>
      <c r="W496" s="235" t="n"/>
      <c r="X496" s="235" t="n"/>
    </row>
    <row r="497">
      <c r="A497" s="235" t="n"/>
      <c r="B497" s="235" t="n"/>
      <c r="C497" s="235" t="n"/>
      <c r="D497" s="235" t="n"/>
      <c r="E497" s="235" t="n"/>
      <c r="F497" s="235" t="n"/>
      <c r="G497" s="235" t="n"/>
      <c r="H497" s="235" t="n"/>
      <c r="I497" s="235" t="n"/>
      <c r="J497" s="235" t="n"/>
      <c r="K497" s="235" t="n"/>
      <c r="L497" s="235" t="n"/>
      <c r="M497" s="235" t="n"/>
      <c r="N497" s="235" t="n"/>
      <c r="O497" s="235" t="n"/>
      <c r="P497" s="235" t="n"/>
      <c r="Q497" s="235" t="n"/>
      <c r="R497" s="235" t="n"/>
      <c r="S497" s="235" t="n"/>
      <c r="T497" s="235" t="n"/>
      <c r="U497" s="235" t="n"/>
      <c r="V497" s="235" t="n"/>
      <c r="W497" s="235" t="n"/>
      <c r="X497" s="235" t="n"/>
    </row>
    <row r="498">
      <c r="A498" s="235" t="n"/>
      <c r="B498" s="235" t="n"/>
      <c r="C498" s="235" t="n"/>
      <c r="D498" s="235" t="n"/>
      <c r="E498" s="235" t="n"/>
      <c r="F498" s="235" t="n"/>
      <c r="G498" s="235" t="n"/>
      <c r="H498" s="235" t="n"/>
      <c r="I498" s="235" t="n"/>
      <c r="J498" s="235" t="n"/>
      <c r="K498" s="235" t="n"/>
      <c r="L498" s="235" t="n"/>
      <c r="M498" s="235" t="n"/>
      <c r="N498" s="235" t="n"/>
      <c r="O498" s="235" t="n"/>
      <c r="P498" s="235" t="n"/>
      <c r="Q498" s="235" t="n"/>
      <c r="R498" s="235" t="n"/>
      <c r="S498" s="235" t="n"/>
      <c r="T498" s="235" t="n"/>
      <c r="U498" s="235" t="n"/>
      <c r="V498" s="235" t="n"/>
      <c r="W498" s="235" t="n"/>
      <c r="X498" s="235" t="n"/>
    </row>
    <row r="499">
      <c r="A499" s="235" t="n"/>
      <c r="B499" s="235" t="n"/>
      <c r="C499" s="235" t="n"/>
      <c r="D499" s="235" t="n"/>
      <c r="E499" s="235" t="n"/>
      <c r="F499" s="235" t="n"/>
      <c r="G499" s="235" t="n"/>
      <c r="H499" s="235" t="n"/>
      <c r="I499" s="235" t="n"/>
      <c r="J499" s="235" t="n"/>
      <c r="K499" s="235" t="n"/>
      <c r="L499" s="235" t="n"/>
      <c r="M499" s="235" t="n"/>
      <c r="N499" s="235" t="n"/>
      <c r="O499" s="235" t="n"/>
      <c r="P499" s="235" t="n"/>
      <c r="Q499" s="235" t="n"/>
      <c r="R499" s="235" t="n"/>
      <c r="S499" s="235" t="n"/>
      <c r="T499" s="235" t="n"/>
      <c r="U499" s="235" t="n"/>
      <c r="V499" s="235" t="n"/>
      <c r="W499" s="235" t="n"/>
      <c r="X499" s="235" t="n"/>
    </row>
    <row r="500">
      <c r="A500" s="235" t="n"/>
      <c r="B500" s="235" t="n"/>
      <c r="C500" s="235" t="n"/>
      <c r="D500" s="235" t="n"/>
      <c r="E500" s="235" t="n"/>
      <c r="F500" s="235" t="n"/>
      <c r="G500" s="235" t="n"/>
      <c r="H500" s="235" t="n"/>
      <c r="I500" s="235" t="n"/>
      <c r="J500" s="235" t="n"/>
      <c r="K500" s="235" t="n"/>
      <c r="L500" s="235" t="n"/>
      <c r="M500" s="235" t="n"/>
      <c r="N500" s="235" t="n"/>
      <c r="O500" s="235" t="n"/>
      <c r="P500" s="235" t="n"/>
      <c r="Q500" s="235" t="n"/>
      <c r="R500" s="235" t="n"/>
      <c r="S500" s="235" t="n"/>
      <c r="T500" s="235" t="n"/>
      <c r="U500" s="235" t="n"/>
      <c r="V500" s="235" t="n"/>
      <c r="W500" s="235" t="n"/>
      <c r="X500" s="235" t="n"/>
    </row>
    <row r="501">
      <c r="A501" s="235" t="n"/>
      <c r="B501" s="235" t="n"/>
      <c r="C501" s="235" t="n"/>
      <c r="D501" s="235" t="n"/>
      <c r="E501" s="235" t="n"/>
      <c r="F501" s="235" t="n"/>
      <c r="G501" s="235" t="n"/>
      <c r="H501" s="235" t="n"/>
      <c r="I501" s="235" t="n"/>
      <c r="J501" s="235" t="n"/>
      <c r="K501" s="235" t="n"/>
      <c r="L501" s="235" t="n"/>
      <c r="M501" s="235" t="n"/>
      <c r="N501" s="235" t="n"/>
      <c r="O501" s="235" t="n"/>
      <c r="P501" s="235" t="n"/>
      <c r="Q501" s="235" t="n"/>
      <c r="R501" s="235" t="n"/>
      <c r="S501" s="235" t="n"/>
      <c r="T501" s="235" t="n"/>
      <c r="U501" s="235" t="n"/>
      <c r="V501" s="235" t="n"/>
      <c r="W501" s="235" t="n"/>
      <c r="X501" s="235" t="n"/>
    </row>
    <row r="502">
      <c r="A502" s="235" t="n"/>
      <c r="B502" s="235" t="n"/>
      <c r="C502" s="235" t="n"/>
      <c r="D502" s="235" t="n"/>
      <c r="E502" s="235" t="n"/>
      <c r="F502" s="235" t="n"/>
      <c r="G502" s="235" t="n"/>
      <c r="H502" s="235" t="n"/>
      <c r="I502" s="235" t="n"/>
      <c r="J502" s="235" t="n"/>
      <c r="K502" s="235" t="n"/>
      <c r="L502" s="235" t="n"/>
      <c r="M502" s="235" t="n"/>
      <c r="N502" s="235" t="n"/>
      <c r="O502" s="235" t="n"/>
      <c r="P502" s="235" t="n"/>
      <c r="Q502" s="235" t="n"/>
      <c r="R502" s="235" t="n"/>
      <c r="S502" s="235" t="n"/>
      <c r="T502" s="235" t="n"/>
      <c r="U502" s="235" t="n"/>
      <c r="V502" s="235" t="n"/>
      <c r="W502" s="235" t="n"/>
      <c r="X502" s="235" t="n"/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X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style="117" min="1" max="1"/>
    <col width="18" customWidth="1" style="117" min="2" max="2"/>
    <col width="5" customWidth="1" style="117" min="3" max="3"/>
    <col width="18" customWidth="1" style="117" min="4" max="4"/>
    <col width="12" customWidth="1" style="117" min="5" max="5"/>
    <col width="14" customWidth="1" style="117" min="6" max="6"/>
    <col width="15" customWidth="1" style="117" min="7" max="7"/>
    <col width="14" customWidth="1" style="117" min="8" max="8"/>
    <col width="15" customWidth="1" style="117" min="9" max="9"/>
    <col width="14" customWidth="1" style="117" min="10" max="10"/>
    <col width="12" customWidth="1" style="117" min="11" max="11"/>
    <col width="20" customWidth="1" style="117" min="12" max="12"/>
    <col width="10" customWidth="1" style="117" min="13" max="13"/>
    <col width="10" customWidth="1" style="117" min="14" max="14"/>
    <col width="10" customWidth="1" style="117" min="15" max="15"/>
    <col width="14" customWidth="1" style="117" min="16" max="16"/>
    <col width="22" customWidth="1" style="117" min="17" max="17"/>
    <col width="22" customWidth="1" style="117" min="18" max="18"/>
    <col width="30" customWidth="1" style="117" min="19" max="19"/>
    <col width="12" customWidth="1" style="117" min="20" max="20"/>
    <col width="25" customWidth="1" style="117" min="21" max="21"/>
    <col width="30" customWidth="1" style="117" min="22" max="22"/>
    <col width="14" customWidth="1" style="117" min="23" max="23"/>
    <col width="30" customWidth="1" style="117" min="24" max="24"/>
  </cols>
  <sheetData>
    <row r="1" ht="30" customHeight="1" s="117">
      <c r="A1" s="240" t="inlineStr">
        <is>
          <t>📋 AGENDA DIÁRIA — [CONSULTOR]</t>
        </is>
      </c>
    </row>
    <row r="2" ht="20" customHeight="1" s="117">
      <c r="A2" s="241" t="inlineStr">
        <is>
          <t>Cart:__ | Prosp:__ | Follow-ups:__ | Novos:__ | Data: ___/___/2026</t>
        </is>
      </c>
    </row>
    <row r="3" ht="22" customHeight="1" s="117">
      <c r="A3" s="242" t="inlineStr">
        <is>
          <t>🔵 CONTEXTO DO CLIENTE (automático — não editar)</t>
        </is>
      </c>
      <c r="N3" s="243" t="inlineStr">
        <is>
          <t>✅ RESULTADO DO ATENDIMENTO (preencher)</t>
        </is>
      </c>
    </row>
    <row r="4" ht="28" customHeight="1" s="117">
      <c r="A4" s="244" t="inlineStr">
        <is>
          <t>NOME FANTASIA</t>
        </is>
      </c>
      <c r="B4" s="244" t="inlineStr">
        <is>
          <t>CNPJ</t>
        </is>
      </c>
      <c r="C4" s="244" t="inlineStr">
        <is>
          <t>UF</t>
        </is>
      </c>
      <c r="D4" s="244" t="inlineStr">
        <is>
          <t>REDE / REGIONAL</t>
        </is>
      </c>
      <c r="E4" s="244" t="inlineStr">
        <is>
          <t>SITUAÇÃO</t>
        </is>
      </c>
      <c r="F4" s="244" t="inlineStr">
        <is>
          <t>DIAS SEM COMPRA</t>
        </is>
      </c>
      <c r="G4" s="244" t="inlineStr">
        <is>
          <t>ESTÁGIO FUNIL</t>
        </is>
      </c>
      <c r="H4" s="244" t="inlineStr">
        <is>
          <t>TIPO CLIENTE</t>
        </is>
      </c>
      <c r="I4" s="244" t="inlineStr">
        <is>
          <t>FASE</t>
        </is>
      </c>
      <c r="J4" s="244" t="inlineStr">
        <is>
          <t>🔥 TEMPERATURA</t>
        </is>
      </c>
      <c r="K4" s="244" t="inlineStr">
        <is>
          <t>🚦 SINALEIRO</t>
        </is>
      </c>
      <c r="L4" s="244" t="inlineStr">
        <is>
          <t>PRÓX. AÇÃO</t>
        </is>
      </c>
      <c r="M4" s="244" t="inlineStr">
        <is>
          <t>TENTATIVA</t>
        </is>
      </c>
      <c r="N4" s="245" t="inlineStr">
        <is>
          <t>WHATSAPP</t>
        </is>
      </c>
      <c r="O4" s="245" t="inlineStr">
        <is>
          <t>LIGAÇÃO</t>
        </is>
      </c>
      <c r="P4" s="245" t="inlineStr">
        <is>
          <t>LIGAÇÃO ATENDIDA</t>
        </is>
      </c>
      <c r="Q4" s="245" t="inlineStr">
        <is>
          <t>TIPO DO CONTATO</t>
        </is>
      </c>
      <c r="R4" s="245" t="inlineStr">
        <is>
          <t>RESULTADO</t>
        </is>
      </c>
      <c r="S4" s="245" t="inlineStr">
        <is>
          <t>MOTIVO</t>
        </is>
      </c>
      <c r="T4" s="245" t="inlineStr">
        <is>
          <t>FOLLOW-UP</t>
        </is>
      </c>
      <c r="U4" s="245" t="inlineStr">
        <is>
          <t>AÇÃO FUTURA</t>
        </is>
      </c>
      <c r="V4" s="245" t="inlineStr">
        <is>
          <t>AÇÃO DETALHADA</t>
        </is>
      </c>
      <c r="W4" s="245" t="inlineStr">
        <is>
          <t>MERCOS ATUALIZADO</t>
        </is>
      </c>
      <c r="X4" s="245" t="inlineStr">
        <is>
          <t>NOTA DO DIA</t>
        </is>
      </c>
    </row>
    <row r="5">
      <c r="A5" s="246" t="inlineStr">
        <is>
          <t>[cliente carregado da CARTEIRA]</t>
        </is>
      </c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8" t="n"/>
      <c r="O5" s="248" t="n"/>
      <c r="P5" s="248" t="n"/>
      <c r="Q5" s="248" t="n"/>
      <c r="R5" s="248" t="n"/>
      <c r="S5" s="248" t="n"/>
      <c r="T5" s="257">
        <f>IF(R5="","",IFERROR(TODAY()+VLOOKUP(R5,REGRAS!$B$2:$C$13,2,0),""))</f>
        <v/>
      </c>
      <c r="U5" s="248" t="n"/>
      <c r="V5" s="248" t="n"/>
      <c r="W5" s="248" t="n"/>
      <c r="X5" s="248" t="n"/>
    </row>
    <row r="6">
      <c r="A6" s="247" t="n"/>
      <c r="B6" s="247" t="n"/>
      <c r="C6" s="247" t="n"/>
      <c r="D6" s="247" t="n"/>
      <c r="E6" s="247" t="n"/>
      <c r="F6" s="247" t="n"/>
      <c r="G6" s="247" t="n"/>
      <c r="H6" s="247" t="n"/>
      <c r="I6" s="247" t="n"/>
      <c r="J6" s="247" t="n"/>
      <c r="K6" s="247" t="n"/>
      <c r="L6" s="247" t="n"/>
      <c r="M6" s="247" t="n"/>
      <c r="N6" s="248" t="n"/>
      <c r="O6" s="248" t="n"/>
      <c r="P6" s="248" t="n"/>
      <c r="Q6" s="248" t="n"/>
      <c r="R6" s="248" t="n"/>
      <c r="S6" s="248" t="n"/>
      <c r="T6" s="257">
        <f>IF(R6="","",IFERROR(TODAY()+VLOOKUP(R6,REGRAS!$B$2:$C$13,2,0),""))</f>
        <v/>
      </c>
      <c r="U6" s="248" t="n"/>
      <c r="V6" s="248" t="n"/>
      <c r="W6" s="248" t="n"/>
      <c r="X6" s="248" t="n"/>
    </row>
    <row r="7">
      <c r="A7" s="247" t="n"/>
      <c r="B7" s="247" t="n"/>
      <c r="C7" s="247" t="n"/>
      <c r="D7" s="247" t="n"/>
      <c r="E7" s="247" t="n"/>
      <c r="F7" s="247" t="n"/>
      <c r="G7" s="247" t="n"/>
      <c r="H7" s="247" t="n"/>
      <c r="I7" s="247" t="n"/>
      <c r="J7" s="247" t="n"/>
      <c r="K7" s="247" t="n"/>
      <c r="L7" s="247" t="n"/>
      <c r="M7" s="247" t="n"/>
      <c r="N7" s="248" t="n"/>
      <c r="O7" s="248" t="n"/>
      <c r="P7" s="248" t="n"/>
      <c r="Q7" s="248" t="n"/>
      <c r="R7" s="248" t="n"/>
      <c r="S7" s="248" t="n"/>
      <c r="T7" s="257">
        <f>IF(R7="","",IFERROR(TODAY()+VLOOKUP(R7,REGRAS!$B$2:$C$13,2,0),""))</f>
        <v/>
      </c>
      <c r="U7" s="248" t="n"/>
      <c r="V7" s="248" t="n"/>
      <c r="W7" s="248" t="n"/>
      <c r="X7" s="248" t="n"/>
    </row>
    <row r="8">
      <c r="A8" s="247" t="n"/>
      <c r="B8" s="247" t="n"/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8" t="n"/>
      <c r="O8" s="248" t="n"/>
      <c r="P8" s="248" t="n"/>
      <c r="Q8" s="248" t="n"/>
      <c r="R8" s="248" t="n"/>
      <c r="S8" s="248" t="n"/>
      <c r="T8" s="257">
        <f>IF(R8="","",IFERROR(TODAY()+VLOOKUP(R8,REGRAS!$B$2:$C$13,2,0),""))</f>
        <v/>
      </c>
      <c r="U8" s="248" t="n"/>
      <c r="V8" s="248" t="n"/>
      <c r="W8" s="248" t="n"/>
      <c r="X8" s="248" t="n"/>
    </row>
    <row r="9">
      <c r="A9" s="247" t="n"/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8" t="n"/>
      <c r="O9" s="248" t="n"/>
      <c r="P9" s="248" t="n"/>
      <c r="Q9" s="248" t="n"/>
      <c r="R9" s="248" t="n"/>
      <c r="S9" s="248" t="n"/>
      <c r="T9" s="257">
        <f>IF(R9="","",IFERROR(TODAY()+VLOOKUP(R9,REGRAS!$B$2:$C$13,2,0),""))</f>
        <v/>
      </c>
      <c r="U9" s="248" t="n"/>
      <c r="V9" s="248" t="n"/>
      <c r="W9" s="248" t="n"/>
      <c r="X9" s="248" t="n"/>
    </row>
    <row r="10">
      <c r="A10" s="247" t="n"/>
      <c r="B10" s="247" t="n"/>
      <c r="C10" s="247" t="n"/>
      <c r="D10" s="247" t="n"/>
      <c r="E10" s="247" t="n"/>
      <c r="F10" s="247" t="n"/>
      <c r="G10" s="247" t="n"/>
      <c r="H10" s="247" t="n"/>
      <c r="I10" s="247" t="n"/>
      <c r="J10" s="247" t="n"/>
      <c r="K10" s="247" t="n"/>
      <c r="L10" s="247" t="n"/>
      <c r="M10" s="247" t="n"/>
      <c r="N10" s="248" t="n"/>
      <c r="O10" s="248" t="n"/>
      <c r="P10" s="248" t="n"/>
      <c r="Q10" s="248" t="n"/>
      <c r="R10" s="248" t="n"/>
      <c r="S10" s="248" t="n"/>
      <c r="T10" s="257">
        <f>IF(R10="","",IFERROR(TODAY()+VLOOKUP(R10,REGRAS!$B$2:$C$13,2,0),""))</f>
        <v/>
      </c>
      <c r="U10" s="248" t="n"/>
      <c r="V10" s="248" t="n"/>
      <c r="W10" s="248" t="n"/>
      <c r="X10" s="248" t="n"/>
    </row>
    <row r="11">
      <c r="A11" s="247" t="n"/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8" t="n"/>
      <c r="O11" s="248" t="n"/>
      <c r="P11" s="248" t="n"/>
      <c r="Q11" s="248" t="n"/>
      <c r="R11" s="248" t="n"/>
      <c r="S11" s="248" t="n"/>
      <c r="T11" s="257">
        <f>IF(R11="","",IFERROR(TODAY()+VLOOKUP(R11,REGRAS!$B$2:$C$13,2,0),""))</f>
        <v/>
      </c>
      <c r="U11" s="248" t="n"/>
      <c r="V11" s="248" t="n"/>
      <c r="W11" s="248" t="n"/>
      <c r="X11" s="248" t="n"/>
    </row>
    <row r="12">
      <c r="A12" s="247" t="n"/>
      <c r="B12" s="247" t="n"/>
      <c r="C12" s="247" t="n"/>
      <c r="D12" s="247" t="n"/>
      <c r="E12" s="247" t="n"/>
      <c r="F12" s="247" t="n"/>
      <c r="G12" s="247" t="n"/>
      <c r="H12" s="247" t="n"/>
      <c r="I12" s="247" t="n"/>
      <c r="J12" s="247" t="n"/>
      <c r="K12" s="247" t="n"/>
      <c r="L12" s="247" t="n"/>
      <c r="M12" s="247" t="n"/>
      <c r="N12" s="248" t="n"/>
      <c r="O12" s="248" t="n"/>
      <c r="P12" s="248" t="n"/>
      <c r="Q12" s="248" t="n"/>
      <c r="R12" s="248" t="n"/>
      <c r="S12" s="248" t="n"/>
      <c r="T12" s="257">
        <f>IF(R12="","",IFERROR(TODAY()+VLOOKUP(R12,REGRAS!$B$2:$C$13,2,0),""))</f>
        <v/>
      </c>
      <c r="U12" s="248" t="n"/>
      <c r="V12" s="248" t="n"/>
      <c r="W12" s="248" t="n"/>
      <c r="X12" s="248" t="n"/>
    </row>
    <row r="13">
      <c r="A13" s="247" t="n"/>
      <c r="B13" s="247" t="n"/>
      <c r="C13" s="247" t="n"/>
      <c r="D13" s="247" t="n"/>
      <c r="E13" s="247" t="n"/>
      <c r="F13" s="247" t="n"/>
      <c r="G13" s="247" t="n"/>
      <c r="H13" s="247" t="n"/>
      <c r="I13" s="247" t="n"/>
      <c r="J13" s="247" t="n"/>
      <c r="K13" s="247" t="n"/>
      <c r="L13" s="247" t="n"/>
      <c r="M13" s="247" t="n"/>
      <c r="N13" s="248" t="n"/>
      <c r="O13" s="248" t="n"/>
      <c r="P13" s="248" t="n"/>
      <c r="Q13" s="248" t="n"/>
      <c r="R13" s="248" t="n"/>
      <c r="S13" s="248" t="n"/>
      <c r="T13" s="257">
        <f>IF(R13="","",IFERROR(TODAY()+VLOOKUP(R13,REGRAS!$B$2:$C$13,2,0),""))</f>
        <v/>
      </c>
      <c r="U13" s="248" t="n"/>
      <c r="V13" s="248" t="n"/>
      <c r="W13" s="248" t="n"/>
      <c r="X13" s="248" t="n"/>
    </row>
    <row r="14">
      <c r="A14" s="247" t="n"/>
      <c r="B14" s="247" t="n"/>
      <c r="C14" s="247" t="n"/>
      <c r="D14" s="247" t="n"/>
      <c r="E14" s="247" t="n"/>
      <c r="F14" s="247" t="n"/>
      <c r="G14" s="247" t="n"/>
      <c r="H14" s="247" t="n"/>
      <c r="I14" s="247" t="n"/>
      <c r="J14" s="247" t="n"/>
      <c r="K14" s="247" t="n"/>
      <c r="L14" s="247" t="n"/>
      <c r="M14" s="247" t="n"/>
      <c r="N14" s="248" t="n"/>
      <c r="O14" s="248" t="n"/>
      <c r="P14" s="248" t="n"/>
      <c r="Q14" s="248" t="n"/>
      <c r="R14" s="248" t="n"/>
      <c r="S14" s="248" t="n"/>
      <c r="T14" s="257">
        <f>IF(R14="","",IFERROR(TODAY()+VLOOKUP(R14,REGRAS!$B$2:$C$13,2,0),""))</f>
        <v/>
      </c>
      <c r="U14" s="248" t="n"/>
      <c r="V14" s="248" t="n"/>
      <c r="W14" s="248" t="n"/>
      <c r="X14" s="248" t="n"/>
    </row>
    <row r="15">
      <c r="A15" s="247" t="n"/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8" t="n"/>
      <c r="O15" s="248" t="n"/>
      <c r="P15" s="248" t="n"/>
      <c r="Q15" s="248" t="n"/>
      <c r="R15" s="248" t="n"/>
      <c r="S15" s="248" t="n"/>
      <c r="T15" s="257">
        <f>IF(R15="","",IFERROR(TODAY()+VLOOKUP(R15,REGRAS!$B$2:$C$13,2,0),""))</f>
        <v/>
      </c>
      <c r="U15" s="248" t="n"/>
      <c r="V15" s="248" t="n"/>
      <c r="W15" s="248" t="n"/>
      <c r="X15" s="248" t="n"/>
    </row>
    <row r="16">
      <c r="A16" s="247" t="n"/>
      <c r="B16" s="247" t="n"/>
      <c r="C16" s="247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  <c r="M16" s="247" t="n"/>
      <c r="N16" s="248" t="n"/>
      <c r="O16" s="248" t="n"/>
      <c r="P16" s="248" t="n"/>
      <c r="Q16" s="248" t="n"/>
      <c r="R16" s="248" t="n"/>
      <c r="S16" s="248" t="n"/>
      <c r="T16" s="257">
        <f>IF(R16="","",IFERROR(TODAY()+VLOOKUP(R16,REGRAS!$B$2:$C$13,2,0),""))</f>
        <v/>
      </c>
      <c r="U16" s="248" t="n"/>
      <c r="V16" s="248" t="n"/>
      <c r="W16" s="248" t="n"/>
      <c r="X16" s="248" t="n"/>
    </row>
    <row r="17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8" t="n"/>
      <c r="O17" s="248" t="n"/>
      <c r="P17" s="248" t="n"/>
      <c r="Q17" s="248" t="n"/>
      <c r="R17" s="248" t="n"/>
      <c r="S17" s="248" t="n"/>
      <c r="T17" s="257">
        <f>IF(R17="","",IFERROR(TODAY()+VLOOKUP(R17,REGRAS!$B$2:$C$13,2,0),""))</f>
        <v/>
      </c>
      <c r="U17" s="248" t="n"/>
      <c r="V17" s="248" t="n"/>
      <c r="W17" s="248" t="n"/>
      <c r="X17" s="248" t="n"/>
    </row>
    <row r="18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8" t="n"/>
      <c r="O18" s="248" t="n"/>
      <c r="P18" s="248" t="n"/>
      <c r="Q18" s="248" t="n"/>
      <c r="R18" s="248" t="n"/>
      <c r="S18" s="248" t="n"/>
      <c r="T18" s="257">
        <f>IF(R18="","",IFERROR(TODAY()+VLOOKUP(R18,REGRAS!$B$2:$C$13,2,0),""))</f>
        <v/>
      </c>
      <c r="U18" s="248" t="n"/>
      <c r="V18" s="248" t="n"/>
      <c r="W18" s="248" t="n"/>
      <c r="X18" s="248" t="n"/>
    </row>
    <row r="19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8" t="n"/>
      <c r="O19" s="248" t="n"/>
      <c r="P19" s="248" t="n"/>
      <c r="Q19" s="248" t="n"/>
      <c r="R19" s="248" t="n"/>
      <c r="S19" s="248" t="n"/>
      <c r="T19" s="257">
        <f>IF(R19="","",IFERROR(TODAY()+VLOOKUP(R19,REGRAS!$B$2:$C$13,2,0),""))</f>
        <v/>
      </c>
      <c r="U19" s="248" t="n"/>
      <c r="V19" s="248" t="n"/>
      <c r="W19" s="248" t="n"/>
      <c r="X19" s="248" t="n"/>
    </row>
    <row r="20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8" t="n"/>
      <c r="O20" s="248" t="n"/>
      <c r="P20" s="248" t="n"/>
      <c r="Q20" s="248" t="n"/>
      <c r="R20" s="248" t="n"/>
      <c r="S20" s="248" t="n"/>
      <c r="T20" s="257">
        <f>IF(R20="","",IFERROR(TODAY()+VLOOKUP(R20,REGRAS!$B$2:$C$13,2,0),""))</f>
        <v/>
      </c>
      <c r="U20" s="248" t="n"/>
      <c r="V20" s="248" t="n"/>
      <c r="W20" s="248" t="n"/>
      <c r="X20" s="248" t="n"/>
    </row>
    <row r="2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8" t="n"/>
      <c r="O21" s="248" t="n"/>
      <c r="P21" s="248" t="n"/>
      <c r="Q21" s="248" t="n"/>
      <c r="R21" s="248" t="n"/>
      <c r="S21" s="248" t="n"/>
      <c r="T21" s="257">
        <f>IF(R21="","",IFERROR(TODAY()+VLOOKUP(R21,REGRAS!$B$2:$C$13,2,0),""))</f>
        <v/>
      </c>
      <c r="U21" s="248" t="n"/>
      <c r="V21" s="248" t="n"/>
      <c r="W21" s="248" t="n"/>
      <c r="X21" s="248" t="n"/>
    </row>
    <row r="22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8" t="n"/>
      <c r="O22" s="248" t="n"/>
      <c r="P22" s="248" t="n"/>
      <c r="Q22" s="248" t="n"/>
      <c r="R22" s="248" t="n"/>
      <c r="S22" s="248" t="n"/>
      <c r="T22" s="257">
        <f>IF(R22="","",IFERROR(TODAY()+VLOOKUP(R22,REGRAS!$B$2:$C$13,2,0),""))</f>
        <v/>
      </c>
      <c r="U22" s="248" t="n"/>
      <c r="V22" s="248" t="n"/>
      <c r="W22" s="248" t="n"/>
      <c r="X22" s="248" t="n"/>
    </row>
    <row r="23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8" t="n"/>
      <c r="O23" s="248" t="n"/>
      <c r="P23" s="248" t="n"/>
      <c r="Q23" s="248" t="n"/>
      <c r="R23" s="248" t="n"/>
      <c r="S23" s="248" t="n"/>
      <c r="T23" s="257">
        <f>IF(R23="","",IFERROR(TODAY()+VLOOKUP(R23,REGRAS!$B$2:$C$13,2,0),""))</f>
        <v/>
      </c>
      <c r="U23" s="248" t="n"/>
      <c r="V23" s="248" t="n"/>
      <c r="W23" s="248" t="n"/>
      <c r="X23" s="248" t="n"/>
    </row>
    <row r="24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8" t="n"/>
      <c r="O24" s="248" t="n"/>
      <c r="P24" s="248" t="n"/>
      <c r="Q24" s="248" t="n"/>
      <c r="R24" s="248" t="n"/>
      <c r="S24" s="248" t="n"/>
      <c r="T24" s="257">
        <f>IF(R24="","",IFERROR(TODAY()+VLOOKUP(R24,REGRAS!$B$2:$C$13,2,0),""))</f>
        <v/>
      </c>
      <c r="U24" s="248" t="n"/>
      <c r="V24" s="248" t="n"/>
      <c r="W24" s="248" t="n"/>
      <c r="X24" s="248" t="n"/>
    </row>
    <row r="25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8" t="n"/>
      <c r="O25" s="248" t="n"/>
      <c r="P25" s="248" t="n"/>
      <c r="Q25" s="248" t="n"/>
      <c r="R25" s="248" t="n"/>
      <c r="S25" s="248" t="n"/>
      <c r="T25" s="257">
        <f>IF(R25="","",IFERROR(TODAY()+VLOOKUP(R25,REGRAS!$B$2:$C$13,2,0),""))</f>
        <v/>
      </c>
      <c r="U25" s="248" t="n"/>
      <c r="V25" s="248" t="n"/>
      <c r="W25" s="248" t="n"/>
      <c r="X25" s="248" t="n"/>
    </row>
    <row r="26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8" t="n"/>
      <c r="O26" s="248" t="n"/>
      <c r="P26" s="248" t="n"/>
      <c r="Q26" s="248" t="n"/>
      <c r="R26" s="248" t="n"/>
      <c r="S26" s="248" t="n"/>
      <c r="T26" s="257">
        <f>IF(R26="","",IFERROR(TODAY()+VLOOKUP(R26,REGRAS!$B$2:$C$13,2,0),""))</f>
        <v/>
      </c>
      <c r="U26" s="248" t="n"/>
      <c r="V26" s="248" t="n"/>
      <c r="W26" s="248" t="n"/>
      <c r="X26" s="248" t="n"/>
    </row>
    <row r="27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8" t="n"/>
      <c r="O27" s="248" t="n"/>
      <c r="P27" s="248" t="n"/>
      <c r="Q27" s="248" t="n"/>
      <c r="R27" s="248" t="n"/>
      <c r="S27" s="248" t="n"/>
      <c r="T27" s="257">
        <f>IF(R27="","",IFERROR(TODAY()+VLOOKUP(R27,REGRAS!$B$2:$C$13,2,0),""))</f>
        <v/>
      </c>
      <c r="U27" s="248" t="n"/>
      <c r="V27" s="248" t="n"/>
      <c r="W27" s="248" t="n"/>
      <c r="X27" s="248" t="n"/>
    </row>
    <row r="28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8" t="n"/>
      <c r="O28" s="248" t="n"/>
      <c r="P28" s="248" t="n"/>
      <c r="Q28" s="248" t="n"/>
      <c r="R28" s="248" t="n"/>
      <c r="S28" s="248" t="n"/>
      <c r="T28" s="257">
        <f>IF(R28="","",IFERROR(TODAY()+VLOOKUP(R28,REGRAS!$B$2:$C$13,2,0),""))</f>
        <v/>
      </c>
      <c r="U28" s="248" t="n"/>
      <c r="V28" s="248" t="n"/>
      <c r="W28" s="248" t="n"/>
      <c r="X28" s="248" t="n"/>
    </row>
    <row r="29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8" t="n"/>
      <c r="O29" s="248" t="n"/>
      <c r="P29" s="248" t="n"/>
      <c r="Q29" s="248" t="n"/>
      <c r="R29" s="248" t="n"/>
      <c r="S29" s="248" t="n"/>
      <c r="T29" s="257">
        <f>IF(R29="","",IFERROR(TODAY()+VLOOKUP(R29,REGRAS!$B$2:$C$13,2,0),""))</f>
        <v/>
      </c>
      <c r="U29" s="248" t="n"/>
      <c r="V29" s="248" t="n"/>
      <c r="W29" s="248" t="n"/>
      <c r="X29" s="248" t="n"/>
    </row>
    <row r="30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8" t="n"/>
      <c r="O30" s="248" t="n"/>
      <c r="P30" s="248" t="n"/>
      <c r="Q30" s="248" t="n"/>
      <c r="R30" s="248" t="n"/>
      <c r="S30" s="248" t="n"/>
      <c r="T30" s="257">
        <f>IF(R30="","",IFERROR(TODAY()+VLOOKUP(R30,REGRAS!$B$2:$C$13,2,0),""))</f>
        <v/>
      </c>
      <c r="U30" s="248" t="n"/>
      <c r="V30" s="248" t="n"/>
      <c r="W30" s="248" t="n"/>
      <c r="X30" s="248" t="n"/>
    </row>
    <row r="3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8" t="n"/>
      <c r="O31" s="248" t="n"/>
      <c r="P31" s="248" t="n"/>
      <c r="Q31" s="248" t="n"/>
      <c r="R31" s="248" t="n"/>
      <c r="S31" s="248" t="n"/>
      <c r="T31" s="257">
        <f>IF(R31="","",IFERROR(TODAY()+VLOOKUP(R31,REGRAS!$B$2:$C$13,2,0),""))</f>
        <v/>
      </c>
      <c r="U31" s="248" t="n"/>
      <c r="V31" s="248" t="n"/>
      <c r="W31" s="248" t="n"/>
      <c r="X31" s="248" t="n"/>
    </row>
    <row r="32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8" t="n"/>
      <c r="O32" s="248" t="n"/>
      <c r="P32" s="248" t="n"/>
      <c r="Q32" s="248" t="n"/>
      <c r="R32" s="248" t="n"/>
      <c r="S32" s="248" t="n"/>
      <c r="T32" s="257">
        <f>IF(R32="","",IFERROR(TODAY()+VLOOKUP(R32,REGRAS!$B$2:$C$13,2,0),""))</f>
        <v/>
      </c>
      <c r="U32" s="248" t="n"/>
      <c r="V32" s="248" t="n"/>
      <c r="W32" s="248" t="n"/>
      <c r="X32" s="248" t="n"/>
    </row>
    <row r="33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8" t="n"/>
      <c r="O33" s="248" t="n"/>
      <c r="P33" s="248" t="n"/>
      <c r="Q33" s="248" t="n"/>
      <c r="R33" s="248" t="n"/>
      <c r="S33" s="248" t="n"/>
      <c r="T33" s="257">
        <f>IF(R33="","",IFERROR(TODAY()+VLOOKUP(R33,REGRAS!$B$2:$C$13,2,0),""))</f>
        <v/>
      </c>
      <c r="U33" s="248" t="n"/>
      <c r="V33" s="248" t="n"/>
      <c r="W33" s="248" t="n"/>
      <c r="X33" s="248" t="n"/>
    </row>
    <row r="34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8" t="n"/>
      <c r="O34" s="248" t="n"/>
      <c r="P34" s="248" t="n"/>
      <c r="Q34" s="248" t="n"/>
      <c r="R34" s="248" t="n"/>
      <c r="S34" s="248" t="n"/>
      <c r="T34" s="257">
        <f>IF(R34="","",IFERROR(TODAY()+VLOOKUP(R34,REGRAS!$B$2:$C$13,2,0),""))</f>
        <v/>
      </c>
      <c r="U34" s="248" t="n"/>
      <c r="V34" s="248" t="n"/>
      <c r="W34" s="248" t="n"/>
      <c r="X34" s="248" t="n"/>
    </row>
    <row r="35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8" t="n"/>
      <c r="O35" s="248" t="n"/>
      <c r="P35" s="248" t="n"/>
      <c r="Q35" s="248" t="n"/>
      <c r="R35" s="248" t="n"/>
      <c r="S35" s="248" t="n"/>
      <c r="T35" s="257">
        <f>IF(R35="","",IFERROR(TODAY()+VLOOKUP(R35,REGRAS!$B$2:$C$13,2,0),""))</f>
        <v/>
      </c>
      <c r="U35" s="248" t="n"/>
      <c r="V35" s="248" t="n"/>
      <c r="W35" s="248" t="n"/>
      <c r="X35" s="248" t="n"/>
    </row>
    <row r="36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8" t="n"/>
      <c r="O36" s="248" t="n"/>
      <c r="P36" s="248" t="n"/>
      <c r="Q36" s="248" t="n"/>
      <c r="R36" s="248" t="n"/>
      <c r="S36" s="248" t="n"/>
      <c r="T36" s="257">
        <f>IF(R36="","",IFERROR(TODAY()+VLOOKUP(R36,REGRAS!$B$2:$C$13,2,0),""))</f>
        <v/>
      </c>
      <c r="U36" s="248" t="n"/>
      <c r="V36" s="248" t="n"/>
      <c r="W36" s="248" t="n"/>
      <c r="X36" s="248" t="n"/>
    </row>
    <row r="37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8" t="n"/>
      <c r="O37" s="248" t="n"/>
      <c r="P37" s="248" t="n"/>
      <c r="Q37" s="248" t="n"/>
      <c r="R37" s="248" t="n"/>
      <c r="S37" s="248" t="n"/>
      <c r="T37" s="257">
        <f>IF(R37="","",IFERROR(TODAY()+VLOOKUP(R37,REGRAS!$B$2:$C$13,2,0),""))</f>
        <v/>
      </c>
      <c r="U37" s="248" t="n"/>
      <c r="V37" s="248" t="n"/>
      <c r="W37" s="248" t="n"/>
      <c r="X37" s="248" t="n"/>
    </row>
    <row r="38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48" t="n"/>
      <c r="P38" s="248" t="n"/>
      <c r="Q38" s="248" t="n"/>
      <c r="R38" s="248" t="n"/>
      <c r="S38" s="248" t="n"/>
      <c r="T38" s="257">
        <f>IF(R38="","",IFERROR(TODAY()+VLOOKUP(R38,REGRAS!$B$2:$C$13,2,0),""))</f>
        <v/>
      </c>
      <c r="U38" s="248" t="n"/>
      <c r="V38" s="248" t="n"/>
      <c r="W38" s="248" t="n"/>
      <c r="X38" s="248" t="n"/>
    </row>
    <row r="39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48" t="n"/>
      <c r="P39" s="248" t="n"/>
      <c r="Q39" s="248" t="n"/>
      <c r="R39" s="248" t="n"/>
      <c r="S39" s="248" t="n"/>
      <c r="T39" s="257">
        <f>IF(R39="","",IFERROR(TODAY()+VLOOKUP(R39,REGRAS!$B$2:$C$13,2,0),""))</f>
        <v/>
      </c>
      <c r="U39" s="248" t="n"/>
      <c r="V39" s="248" t="n"/>
      <c r="W39" s="248" t="n"/>
      <c r="X39" s="248" t="n"/>
    </row>
    <row r="40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248" t="n"/>
      <c r="P40" s="248" t="n"/>
      <c r="Q40" s="248" t="n"/>
      <c r="R40" s="248" t="n"/>
      <c r="S40" s="248" t="n"/>
      <c r="T40" s="257">
        <f>IF(R40="","",IFERROR(TODAY()+VLOOKUP(R40,REGRAS!$B$2:$C$13,2,0),""))</f>
        <v/>
      </c>
      <c r="U40" s="248" t="n"/>
      <c r="V40" s="248" t="n"/>
      <c r="W40" s="248" t="n"/>
      <c r="X40" s="248" t="n"/>
    </row>
    <row r="4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8" t="n"/>
      <c r="S41" s="248" t="n"/>
      <c r="T41" s="257">
        <f>IF(R41="","",IFERROR(TODAY()+VLOOKUP(R41,REGRAS!$B$2:$C$13,2,0),""))</f>
        <v/>
      </c>
      <c r="U41" s="248" t="n"/>
      <c r="V41" s="248" t="n"/>
      <c r="W41" s="248" t="n"/>
      <c r="X41" s="248" t="n"/>
    </row>
    <row r="42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8" t="n"/>
      <c r="S42" s="248" t="n"/>
      <c r="T42" s="257">
        <f>IF(R42="","",IFERROR(TODAY()+VLOOKUP(R42,REGRAS!$B$2:$C$13,2,0),""))</f>
        <v/>
      </c>
      <c r="U42" s="248" t="n"/>
      <c r="V42" s="248" t="n"/>
      <c r="W42" s="248" t="n"/>
      <c r="X42" s="248" t="n"/>
    </row>
    <row r="43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8" t="n"/>
      <c r="S43" s="248" t="n"/>
      <c r="T43" s="257">
        <f>IF(R43="","",IFERROR(TODAY()+VLOOKUP(R43,REGRAS!$B$2:$C$13,2,0),""))</f>
        <v/>
      </c>
      <c r="U43" s="248" t="n"/>
      <c r="V43" s="248" t="n"/>
      <c r="W43" s="248" t="n"/>
      <c r="X43" s="248" t="n"/>
    </row>
    <row r="44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8" t="n"/>
      <c r="S44" s="248" t="n"/>
      <c r="T44" s="257">
        <f>IF(R44="","",IFERROR(TODAY()+VLOOKUP(R44,REGRAS!$B$2:$C$13,2,0),""))</f>
        <v/>
      </c>
      <c r="U44" s="248" t="n"/>
      <c r="V44" s="248" t="n"/>
      <c r="W44" s="248" t="n"/>
      <c r="X44" s="248" t="n"/>
    </row>
    <row r="45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8" t="n"/>
      <c r="S45" s="248" t="n"/>
      <c r="T45" s="257">
        <f>IF(R45="","",IFERROR(TODAY()+VLOOKUP(R45,REGRAS!$B$2:$C$13,2,0),""))</f>
        <v/>
      </c>
      <c r="U45" s="248" t="n"/>
      <c r="V45" s="248" t="n"/>
      <c r="W45" s="248" t="n"/>
      <c r="X45" s="248" t="n"/>
    </row>
    <row r="46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8" t="n"/>
      <c r="O46" s="248" t="n"/>
      <c r="P46" s="248" t="n"/>
      <c r="Q46" s="248" t="n"/>
      <c r="R46" s="248" t="n"/>
      <c r="S46" s="248" t="n"/>
      <c r="T46" s="257">
        <f>IF(R46="","",IFERROR(TODAY()+VLOOKUP(R46,REGRAS!$B$2:$C$13,2,0),""))</f>
        <v/>
      </c>
      <c r="U46" s="248" t="n"/>
      <c r="V46" s="248" t="n"/>
      <c r="W46" s="248" t="n"/>
      <c r="X46" s="248" t="n"/>
    </row>
    <row r="47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8" t="n"/>
      <c r="O47" s="248" t="n"/>
      <c r="P47" s="248" t="n"/>
      <c r="Q47" s="248" t="n"/>
      <c r="R47" s="248" t="n"/>
      <c r="S47" s="248" t="n"/>
      <c r="T47" s="257">
        <f>IF(R47="","",IFERROR(TODAY()+VLOOKUP(R47,REGRAS!$B$2:$C$13,2,0),""))</f>
        <v/>
      </c>
      <c r="U47" s="248" t="n"/>
      <c r="V47" s="248" t="n"/>
      <c r="W47" s="248" t="n"/>
      <c r="X47" s="248" t="n"/>
    </row>
    <row r="48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8" t="n"/>
      <c r="O48" s="248" t="n"/>
      <c r="P48" s="248" t="n"/>
      <c r="Q48" s="248" t="n"/>
      <c r="R48" s="248" t="n"/>
      <c r="S48" s="248" t="n"/>
      <c r="T48" s="257">
        <f>IF(R48="","",IFERROR(TODAY()+VLOOKUP(R48,REGRAS!$B$2:$C$13,2,0),""))</f>
        <v/>
      </c>
      <c r="U48" s="248" t="n"/>
      <c r="V48" s="248" t="n"/>
      <c r="W48" s="248" t="n"/>
      <c r="X48" s="248" t="n"/>
    </row>
    <row r="49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8" t="n"/>
      <c r="O49" s="248" t="n"/>
      <c r="P49" s="248" t="n"/>
      <c r="Q49" s="248" t="n"/>
      <c r="R49" s="248" t="n"/>
      <c r="S49" s="248" t="n"/>
      <c r="T49" s="257">
        <f>IF(R49="","",IFERROR(TODAY()+VLOOKUP(R49,REGRAS!$B$2:$C$13,2,0),""))</f>
        <v/>
      </c>
      <c r="U49" s="248" t="n"/>
      <c r="V49" s="248" t="n"/>
      <c r="W49" s="248" t="n"/>
      <c r="X49" s="248" t="n"/>
    </row>
    <row r="50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8" t="n"/>
      <c r="O50" s="248" t="n"/>
      <c r="P50" s="248" t="n"/>
      <c r="Q50" s="248" t="n"/>
      <c r="R50" s="248" t="n"/>
      <c r="S50" s="248" t="n"/>
      <c r="T50" s="257">
        <f>IF(R50="","",IFERROR(TODAY()+VLOOKUP(R50,REGRAS!$B$2:$C$13,2,0),""))</f>
        <v/>
      </c>
      <c r="U50" s="248" t="n"/>
      <c r="V50" s="248" t="n"/>
      <c r="W50" s="248" t="n"/>
      <c r="X50" s="248" t="n"/>
    </row>
    <row r="51">
      <c r="T51" s="258">
        <f>IF(R51="","",IFERROR(TODAY()+VLOOKUP(R51,REGRAS!$B$2:$C$13,2,0),""))</f>
        <v/>
      </c>
    </row>
    <row r="52">
      <c r="T52" s="258">
        <f>IF(R52="","",IFERROR(TODAY()+VLOOKUP(R52,REGRAS!$B$2:$C$13,2,0),""))</f>
        <v/>
      </c>
    </row>
    <row r="53">
      <c r="T53" s="258">
        <f>IF(R53="","",IFERROR(TODAY()+VLOOKUP(R53,REGRAS!$B$2:$C$13,2,0),""))</f>
        <v/>
      </c>
    </row>
    <row r="54">
      <c r="T54" s="258">
        <f>IF(R54="","",IFERROR(TODAY()+VLOOKUP(R54,REGRAS!$B$2:$C$13,2,0),""))</f>
        <v/>
      </c>
    </row>
    <row r="55">
      <c r="T55" s="258">
        <f>IF(R55="","",IFERROR(TODAY()+VLOOKUP(R55,REGRAS!$B$2:$C$13,2,0),""))</f>
        <v/>
      </c>
    </row>
    <row r="56">
      <c r="T56" s="258">
        <f>IF(R56="","",IFERROR(TODAY()+VLOOKUP(R56,REGRAS!$B$2:$C$13,2,0),""))</f>
        <v/>
      </c>
    </row>
    <row r="57">
      <c r="T57" s="258">
        <f>IF(R57="","",IFERROR(TODAY()+VLOOKUP(R57,REGRAS!$B$2:$C$13,2,0),""))</f>
        <v/>
      </c>
    </row>
    <row r="58">
      <c r="T58" s="258">
        <f>IF(R58="","",IFERROR(TODAY()+VLOOKUP(R58,REGRAS!$B$2:$C$13,2,0),""))</f>
        <v/>
      </c>
    </row>
    <row r="59">
      <c r="T59" s="258">
        <f>IF(R59="","",IFERROR(TODAY()+VLOOKUP(R59,REGRAS!$B$2:$C$13,2,0),""))</f>
        <v/>
      </c>
    </row>
    <row r="60">
      <c r="T60" s="258">
        <f>IF(R60="","",IFERROR(TODAY()+VLOOKUP(R60,REGRAS!$B$2:$C$13,2,0),""))</f>
        <v/>
      </c>
    </row>
    <row r="61">
      <c r="T61" s="258">
        <f>IF(R61="","",IFERROR(TODAY()+VLOOKUP(R61,REGRAS!$B$2:$C$13,2,0),""))</f>
        <v/>
      </c>
    </row>
    <row r="62">
      <c r="T62" s="258">
        <f>IF(R62="","",IFERROR(TODAY()+VLOOKUP(R62,REGRAS!$B$2:$C$13,2,0),""))</f>
        <v/>
      </c>
    </row>
    <row r="63">
      <c r="T63" s="258">
        <f>IF(R63="","",IFERROR(TODAY()+VLOOKUP(R63,REGRAS!$B$2:$C$13,2,0),""))</f>
        <v/>
      </c>
    </row>
    <row r="64">
      <c r="T64" s="258">
        <f>IF(R64="","",IFERROR(TODAY()+VLOOKUP(R64,REGRAS!$B$2:$C$13,2,0),""))</f>
        <v/>
      </c>
    </row>
    <row r="65">
      <c r="T65" s="258">
        <f>IF(R65="","",IFERROR(TODAY()+VLOOKUP(R65,REGRAS!$B$2:$C$13,2,0),""))</f>
        <v/>
      </c>
    </row>
    <row r="66">
      <c r="T66" s="258">
        <f>IF(R66="","",IFERROR(TODAY()+VLOOKUP(R66,REGRAS!$B$2:$C$13,2,0),""))</f>
        <v/>
      </c>
    </row>
    <row r="67">
      <c r="T67" s="258">
        <f>IF(R67="","",IFERROR(TODAY()+VLOOKUP(R67,REGRAS!$B$2:$C$13,2,0),""))</f>
        <v/>
      </c>
    </row>
    <row r="68">
      <c r="T68" s="258">
        <f>IF(R68="","",IFERROR(TODAY()+VLOOKUP(R68,REGRAS!$B$2:$C$13,2,0),""))</f>
        <v/>
      </c>
    </row>
    <row r="69">
      <c r="T69" s="258">
        <f>IF(R69="","",IFERROR(TODAY()+VLOOKUP(R69,REGRAS!$B$2:$C$13,2,0),""))</f>
        <v/>
      </c>
    </row>
    <row r="70">
      <c r="T70" s="258">
        <f>IF(R70="","",IFERROR(TODAY()+VLOOKUP(R70,REGRAS!$B$2:$C$13,2,0),""))</f>
        <v/>
      </c>
    </row>
    <row r="71">
      <c r="T71" s="258">
        <f>IF(R71="","",IFERROR(TODAY()+VLOOKUP(R71,REGRAS!$B$2:$C$13,2,0),""))</f>
        <v/>
      </c>
    </row>
    <row r="72">
      <c r="T72" s="258">
        <f>IF(R72="","",IFERROR(TODAY()+VLOOKUP(R72,REGRAS!$B$2:$C$13,2,0),""))</f>
        <v/>
      </c>
    </row>
    <row r="73">
      <c r="T73" s="258">
        <f>IF(R73="","",IFERROR(TODAY()+VLOOKUP(R73,REGRAS!$B$2:$C$13,2,0),""))</f>
        <v/>
      </c>
    </row>
    <row r="74">
      <c r="T74" s="258">
        <f>IF(R74="","",IFERROR(TODAY()+VLOOKUP(R74,REGRAS!$B$2:$C$13,2,0),""))</f>
        <v/>
      </c>
    </row>
    <row r="75">
      <c r="T75" s="258">
        <f>IF(R75="","",IFERROR(TODAY()+VLOOKUP(R75,REGRAS!$B$2:$C$13,2,0),""))</f>
        <v/>
      </c>
    </row>
    <row r="76">
      <c r="T76" s="258">
        <f>IF(R76="","",IFERROR(TODAY()+VLOOKUP(R76,REGRAS!$B$2:$C$13,2,0),""))</f>
        <v/>
      </c>
    </row>
    <row r="77">
      <c r="T77" s="258">
        <f>IF(R77="","",IFERROR(TODAY()+VLOOKUP(R77,REGRAS!$B$2:$C$13,2,0),""))</f>
        <v/>
      </c>
    </row>
    <row r="78">
      <c r="T78" s="258">
        <f>IF(R78="","",IFERROR(TODAY()+VLOOKUP(R78,REGRAS!$B$2:$C$13,2,0),""))</f>
        <v/>
      </c>
    </row>
    <row r="79">
      <c r="T79" s="258">
        <f>IF(R79="","",IFERROR(TODAY()+VLOOKUP(R79,REGRAS!$B$2:$C$13,2,0),""))</f>
        <v/>
      </c>
    </row>
    <row r="80">
      <c r="T80" s="258">
        <f>IF(R80="","",IFERROR(TODAY()+VLOOKUP(R80,REGRAS!$B$2:$C$13,2,0),""))</f>
        <v/>
      </c>
    </row>
    <row r="81">
      <c r="T81" s="258">
        <f>IF(R81="","",IFERROR(TODAY()+VLOOKUP(R81,REGRAS!$B$2:$C$13,2,0),""))</f>
        <v/>
      </c>
    </row>
    <row r="82">
      <c r="T82" s="258">
        <f>IF(R82="","",IFERROR(TODAY()+VLOOKUP(R82,REGRAS!$B$2:$C$13,2,0),""))</f>
        <v/>
      </c>
    </row>
    <row r="83">
      <c r="T83" s="258">
        <f>IF(R83="","",IFERROR(TODAY()+VLOOKUP(R83,REGRAS!$B$2:$C$13,2,0),""))</f>
        <v/>
      </c>
    </row>
    <row r="84">
      <c r="T84" s="258">
        <f>IF(R84="","",IFERROR(TODAY()+VLOOKUP(R84,REGRAS!$B$2:$C$13,2,0),""))</f>
        <v/>
      </c>
    </row>
    <row r="85">
      <c r="T85" s="258">
        <f>IF(R85="","",IFERROR(TODAY()+VLOOKUP(R85,REGRAS!$B$2:$C$13,2,0),""))</f>
        <v/>
      </c>
    </row>
    <row r="86">
      <c r="T86" s="258">
        <f>IF(R86="","",IFERROR(TODAY()+VLOOKUP(R86,REGRAS!$B$2:$C$13,2,0),""))</f>
        <v/>
      </c>
    </row>
    <row r="87">
      <c r="T87" s="258">
        <f>IF(R87="","",IFERROR(TODAY()+VLOOKUP(R87,REGRAS!$B$2:$C$13,2,0),""))</f>
        <v/>
      </c>
    </row>
    <row r="88">
      <c r="T88" s="258">
        <f>IF(R88="","",IFERROR(TODAY()+VLOOKUP(R88,REGRAS!$B$2:$C$13,2,0),""))</f>
        <v/>
      </c>
    </row>
    <row r="89">
      <c r="T89" s="258">
        <f>IF(R89="","",IFERROR(TODAY()+VLOOKUP(R89,REGRAS!$B$2:$C$13,2,0),""))</f>
        <v/>
      </c>
    </row>
    <row r="90">
      <c r="T90" s="258">
        <f>IF(R90="","",IFERROR(TODAY()+VLOOKUP(R90,REGRAS!$B$2:$C$13,2,0),""))</f>
        <v/>
      </c>
    </row>
    <row r="91">
      <c r="T91" s="258">
        <f>IF(R91="","",IFERROR(TODAY()+VLOOKUP(R91,REGRAS!$B$2:$C$13,2,0),""))</f>
        <v/>
      </c>
    </row>
    <row r="92">
      <c r="T92" s="258">
        <f>IF(R92="","",IFERROR(TODAY()+VLOOKUP(R92,REGRAS!$B$2:$C$13,2,0),""))</f>
        <v/>
      </c>
    </row>
    <row r="93">
      <c r="T93" s="258">
        <f>IF(R93="","",IFERROR(TODAY()+VLOOKUP(R93,REGRAS!$B$2:$C$13,2,0),""))</f>
        <v/>
      </c>
    </row>
    <row r="94">
      <c r="T94" s="258">
        <f>IF(R94="","",IFERROR(TODAY()+VLOOKUP(R94,REGRAS!$B$2:$C$13,2,0),""))</f>
        <v/>
      </c>
    </row>
    <row r="95">
      <c r="T95" s="258">
        <f>IF(R95="","",IFERROR(TODAY()+VLOOKUP(R95,REGRAS!$B$2:$C$13,2,0),""))</f>
        <v/>
      </c>
    </row>
    <row r="96">
      <c r="T96" s="258">
        <f>IF(R96="","",IFERROR(TODAY()+VLOOKUP(R96,REGRAS!$B$2:$C$13,2,0),""))</f>
        <v/>
      </c>
    </row>
    <row r="97">
      <c r="T97" s="258">
        <f>IF(R97="","",IFERROR(TODAY()+VLOOKUP(R97,REGRAS!$B$2:$C$13,2,0),""))</f>
        <v/>
      </c>
    </row>
    <row r="98">
      <c r="T98" s="258">
        <f>IF(R98="","",IFERROR(TODAY()+VLOOKUP(R98,REGRAS!$B$2:$C$13,2,0),""))</f>
        <v/>
      </c>
    </row>
    <row r="99">
      <c r="T99" s="258">
        <f>IF(R99="","",IFERROR(TODAY()+VLOOKUP(R99,REGRAS!$B$2:$C$13,2,0),""))</f>
        <v/>
      </c>
    </row>
    <row r="100">
      <c r="T100" s="258">
        <f>IF(R100="","",IFERROR(TODAY()+VLOOKUP(R100,REGRAS!$B$2:$C$13,2,0),""))</f>
        <v/>
      </c>
    </row>
    <row r="101">
      <c r="T101" s="258">
        <f>IF(R101="","",IFERROR(TODAY()+VLOOKUP(R101,REGRAS!$B$2:$C$13,2,0),""))</f>
        <v/>
      </c>
    </row>
    <row r="102">
      <c r="T102" s="258">
        <f>IF(R102="","",IFERROR(TODAY()+VLOOKUP(R102,REGRAS!$B$2:$C$13,2,0),""))</f>
        <v/>
      </c>
    </row>
    <row r="103">
      <c r="T103" s="258">
        <f>IF(R103="","",IFERROR(TODAY()+VLOOKUP(R103,REGRAS!$B$2:$C$13,2,0),""))</f>
        <v/>
      </c>
    </row>
    <row r="104">
      <c r="T104" s="258">
        <f>IF(R104="","",IFERROR(TODAY()+VLOOKUP(R104,REGRAS!$B$2:$C$13,2,0),""))</f>
        <v/>
      </c>
    </row>
    <row r="105">
      <c r="T105" s="258">
        <f>IF(R105="","",IFERROR(TODAY()+VLOOKUP(R105,REGRAS!$B$2:$C$13,2,0),""))</f>
        <v/>
      </c>
    </row>
    <row r="106">
      <c r="T106" s="258">
        <f>IF(R106="","",IFERROR(TODAY()+VLOOKUP(R106,REGRAS!$B$2:$C$13,2,0),""))</f>
        <v/>
      </c>
    </row>
    <row r="107">
      <c r="T107" s="258">
        <f>IF(R107="","",IFERROR(TODAY()+VLOOKUP(R107,REGRAS!$B$2:$C$13,2,0),""))</f>
        <v/>
      </c>
    </row>
    <row r="108">
      <c r="T108" s="258">
        <f>IF(R108="","",IFERROR(TODAY()+VLOOKUP(R108,REGRAS!$B$2:$C$13,2,0),""))</f>
        <v/>
      </c>
    </row>
    <row r="109">
      <c r="T109" s="258">
        <f>IF(R109="","",IFERROR(TODAY()+VLOOKUP(R109,REGRAS!$B$2:$C$13,2,0),""))</f>
        <v/>
      </c>
    </row>
    <row r="110">
      <c r="T110" s="258">
        <f>IF(R110="","",IFERROR(TODAY()+VLOOKUP(R110,REGRAS!$B$2:$C$13,2,0),""))</f>
        <v/>
      </c>
    </row>
    <row r="111">
      <c r="T111" s="258">
        <f>IF(R111="","",IFERROR(TODAY()+VLOOKUP(R111,REGRAS!$B$2:$C$13,2,0),""))</f>
        <v/>
      </c>
    </row>
    <row r="112">
      <c r="T112" s="258">
        <f>IF(R112="","",IFERROR(TODAY()+VLOOKUP(R112,REGRAS!$B$2:$C$13,2,0),""))</f>
        <v/>
      </c>
    </row>
    <row r="113">
      <c r="T113" s="258">
        <f>IF(R113="","",IFERROR(TODAY()+VLOOKUP(R113,REGRAS!$B$2:$C$13,2,0),""))</f>
        <v/>
      </c>
    </row>
    <row r="114">
      <c r="T114" s="258">
        <f>IF(R114="","",IFERROR(TODAY()+VLOOKUP(R114,REGRAS!$B$2:$C$13,2,0),""))</f>
        <v/>
      </c>
    </row>
    <row r="115">
      <c r="T115" s="258">
        <f>IF(R115="","",IFERROR(TODAY()+VLOOKUP(R115,REGRAS!$B$2:$C$13,2,0),""))</f>
        <v/>
      </c>
    </row>
    <row r="116">
      <c r="T116" s="258">
        <f>IF(R116="","",IFERROR(TODAY()+VLOOKUP(R116,REGRAS!$B$2:$C$13,2,0),""))</f>
        <v/>
      </c>
    </row>
    <row r="117">
      <c r="T117" s="258">
        <f>IF(R117="","",IFERROR(TODAY()+VLOOKUP(R117,REGRAS!$B$2:$C$13,2,0),""))</f>
        <v/>
      </c>
    </row>
    <row r="118">
      <c r="T118" s="258">
        <f>IF(R118="","",IFERROR(TODAY()+VLOOKUP(R118,REGRAS!$B$2:$C$13,2,0),""))</f>
        <v/>
      </c>
    </row>
    <row r="119">
      <c r="T119" s="258">
        <f>IF(R119="","",IFERROR(TODAY()+VLOOKUP(R119,REGRAS!$B$2:$C$13,2,0),""))</f>
        <v/>
      </c>
    </row>
    <row r="120">
      <c r="T120" s="258">
        <f>IF(R120="","",IFERROR(TODAY()+VLOOKUP(R120,REGRAS!$B$2:$C$13,2,0),""))</f>
        <v/>
      </c>
    </row>
    <row r="121">
      <c r="T121" s="258">
        <f>IF(R121="","",IFERROR(TODAY()+VLOOKUP(R121,REGRAS!$B$2:$C$13,2,0),""))</f>
        <v/>
      </c>
    </row>
    <row r="122">
      <c r="T122" s="258">
        <f>IF(R122="","",IFERROR(TODAY()+VLOOKUP(R122,REGRAS!$B$2:$C$13,2,0),""))</f>
        <v/>
      </c>
    </row>
    <row r="123">
      <c r="T123" s="258">
        <f>IF(R123="","",IFERROR(TODAY()+VLOOKUP(R123,REGRAS!$B$2:$C$13,2,0),""))</f>
        <v/>
      </c>
    </row>
    <row r="124">
      <c r="T124" s="258">
        <f>IF(R124="","",IFERROR(TODAY()+VLOOKUP(R124,REGRAS!$B$2:$C$13,2,0),""))</f>
        <v/>
      </c>
    </row>
    <row r="125">
      <c r="T125" s="258">
        <f>IF(R125="","",IFERROR(TODAY()+VLOOKUP(R125,REGRAS!$B$2:$C$13,2,0),""))</f>
        <v/>
      </c>
    </row>
    <row r="126">
      <c r="T126" s="258">
        <f>IF(R126="","",IFERROR(TODAY()+VLOOKUP(R126,REGRAS!$B$2:$C$13,2,0),""))</f>
        <v/>
      </c>
    </row>
    <row r="127">
      <c r="T127" s="258">
        <f>IF(R127="","",IFERROR(TODAY()+VLOOKUP(R127,REGRAS!$B$2:$C$13,2,0),""))</f>
        <v/>
      </c>
    </row>
    <row r="128">
      <c r="T128" s="258">
        <f>IF(R128="","",IFERROR(TODAY()+VLOOKUP(R128,REGRAS!$B$2:$C$13,2,0),""))</f>
        <v/>
      </c>
    </row>
    <row r="129">
      <c r="T129" s="258">
        <f>IF(R129="","",IFERROR(TODAY()+VLOOKUP(R129,REGRAS!$B$2:$C$13,2,0),""))</f>
        <v/>
      </c>
    </row>
    <row r="130">
      <c r="T130" s="258">
        <f>IF(R130="","",IFERROR(TODAY()+VLOOKUP(R130,REGRAS!$B$2:$C$13,2,0),""))</f>
        <v/>
      </c>
    </row>
    <row r="131">
      <c r="T131" s="258">
        <f>IF(R131="","",IFERROR(TODAY()+VLOOKUP(R131,REGRAS!$B$2:$C$13,2,0),""))</f>
        <v/>
      </c>
    </row>
    <row r="132">
      <c r="T132" s="258">
        <f>IF(R132="","",IFERROR(TODAY()+VLOOKUP(R132,REGRAS!$B$2:$C$13,2,0),""))</f>
        <v/>
      </c>
    </row>
    <row r="133">
      <c r="T133" s="258">
        <f>IF(R133="","",IFERROR(TODAY()+VLOOKUP(R133,REGRAS!$B$2:$C$13,2,0),""))</f>
        <v/>
      </c>
    </row>
    <row r="134">
      <c r="T134" s="258">
        <f>IF(R134="","",IFERROR(TODAY()+VLOOKUP(R134,REGRAS!$B$2:$C$13,2,0),""))</f>
        <v/>
      </c>
    </row>
    <row r="135">
      <c r="T135" s="258">
        <f>IF(R135="","",IFERROR(TODAY()+VLOOKUP(R135,REGRAS!$B$2:$C$13,2,0),""))</f>
        <v/>
      </c>
    </row>
    <row r="136">
      <c r="T136" s="258">
        <f>IF(R136="","",IFERROR(TODAY()+VLOOKUP(R136,REGRAS!$B$2:$C$13,2,0),""))</f>
        <v/>
      </c>
    </row>
    <row r="137">
      <c r="T137" s="258">
        <f>IF(R137="","",IFERROR(TODAY()+VLOOKUP(R137,REGRAS!$B$2:$C$13,2,0),""))</f>
        <v/>
      </c>
    </row>
    <row r="138">
      <c r="T138" s="258">
        <f>IF(R138="","",IFERROR(TODAY()+VLOOKUP(R138,REGRAS!$B$2:$C$13,2,0),""))</f>
        <v/>
      </c>
    </row>
    <row r="139">
      <c r="T139" s="258">
        <f>IF(R139="","",IFERROR(TODAY()+VLOOKUP(R139,REGRAS!$B$2:$C$13,2,0),""))</f>
        <v/>
      </c>
    </row>
    <row r="140">
      <c r="T140" s="258">
        <f>IF(R140="","",IFERROR(TODAY()+VLOOKUP(R140,REGRAS!$B$2:$C$13,2,0),""))</f>
        <v/>
      </c>
    </row>
    <row r="141">
      <c r="T141" s="258">
        <f>IF(R141="","",IFERROR(TODAY()+VLOOKUP(R141,REGRAS!$B$2:$C$13,2,0),""))</f>
        <v/>
      </c>
    </row>
    <row r="142">
      <c r="T142" s="258">
        <f>IF(R142="","",IFERROR(TODAY()+VLOOKUP(R142,REGRAS!$B$2:$C$13,2,0),""))</f>
        <v/>
      </c>
    </row>
    <row r="143">
      <c r="T143" s="258">
        <f>IF(R143="","",IFERROR(TODAY()+VLOOKUP(R143,REGRAS!$B$2:$C$13,2,0),""))</f>
        <v/>
      </c>
    </row>
    <row r="144">
      <c r="T144" s="258">
        <f>IF(R144="","",IFERROR(TODAY()+VLOOKUP(R144,REGRAS!$B$2:$C$13,2,0),""))</f>
        <v/>
      </c>
    </row>
    <row r="145">
      <c r="T145" s="258">
        <f>IF(R145="","",IFERROR(TODAY()+VLOOKUP(R145,REGRAS!$B$2:$C$13,2,0),""))</f>
        <v/>
      </c>
    </row>
    <row r="146">
      <c r="T146" s="258">
        <f>IF(R146="","",IFERROR(TODAY()+VLOOKUP(R146,REGRAS!$B$2:$C$13,2,0),""))</f>
        <v/>
      </c>
    </row>
    <row r="147">
      <c r="T147" s="258">
        <f>IF(R147="","",IFERROR(TODAY()+VLOOKUP(R147,REGRAS!$B$2:$C$13,2,0),""))</f>
        <v/>
      </c>
    </row>
    <row r="148">
      <c r="T148" s="258">
        <f>IF(R148="","",IFERROR(TODAY()+VLOOKUP(R148,REGRAS!$B$2:$C$13,2,0),""))</f>
        <v/>
      </c>
    </row>
    <row r="149">
      <c r="T149" s="258">
        <f>IF(R149="","",IFERROR(TODAY()+VLOOKUP(R149,REGRAS!$B$2:$C$13,2,0),""))</f>
        <v/>
      </c>
    </row>
    <row r="150">
      <c r="T150" s="258">
        <f>IF(R150="","",IFERROR(TODAY()+VLOOKUP(R150,REGRAS!$B$2:$C$13,2,0),""))</f>
        <v/>
      </c>
    </row>
    <row r="151">
      <c r="T151" s="258">
        <f>IF(R151="","",IFERROR(TODAY()+VLOOKUP(R151,REGRAS!$B$2:$C$13,2,0),""))</f>
        <v/>
      </c>
    </row>
    <row r="152">
      <c r="T152" s="258">
        <f>IF(R152="","",IFERROR(TODAY()+VLOOKUP(R152,REGRAS!$B$2:$C$13,2,0),""))</f>
        <v/>
      </c>
    </row>
    <row r="153">
      <c r="T153" s="258">
        <f>IF(R153="","",IFERROR(TODAY()+VLOOKUP(R153,REGRAS!$B$2:$C$13,2,0),""))</f>
        <v/>
      </c>
    </row>
    <row r="154">
      <c r="T154" s="258">
        <f>IF(R154="","",IFERROR(TODAY()+VLOOKUP(R154,REGRAS!$B$2:$C$13,2,0),""))</f>
        <v/>
      </c>
    </row>
    <row r="155">
      <c r="T155" s="258">
        <f>IF(R155="","",IFERROR(TODAY()+VLOOKUP(R155,REGRAS!$B$2:$C$13,2,0),""))</f>
        <v/>
      </c>
    </row>
    <row r="156">
      <c r="T156" s="258">
        <f>IF(R156="","",IFERROR(TODAY()+VLOOKUP(R156,REGRAS!$B$2:$C$13,2,0),""))</f>
        <v/>
      </c>
    </row>
    <row r="157">
      <c r="T157" s="258">
        <f>IF(R157="","",IFERROR(TODAY()+VLOOKUP(R157,REGRAS!$B$2:$C$13,2,0),""))</f>
        <v/>
      </c>
    </row>
    <row r="158">
      <c r="T158" s="258">
        <f>IF(R158="","",IFERROR(TODAY()+VLOOKUP(R158,REGRAS!$B$2:$C$13,2,0),""))</f>
        <v/>
      </c>
    </row>
    <row r="159">
      <c r="T159" s="258">
        <f>IF(R159="","",IFERROR(TODAY()+VLOOKUP(R159,REGRAS!$B$2:$C$13,2,0),""))</f>
        <v/>
      </c>
    </row>
    <row r="160">
      <c r="T160" s="258">
        <f>IF(R160="","",IFERROR(TODAY()+VLOOKUP(R160,REGRAS!$B$2:$C$13,2,0),""))</f>
        <v/>
      </c>
    </row>
    <row r="161">
      <c r="T161" s="258">
        <f>IF(R161="","",IFERROR(TODAY()+VLOOKUP(R161,REGRAS!$B$2:$C$13,2,0),""))</f>
        <v/>
      </c>
    </row>
    <row r="162">
      <c r="T162" s="258">
        <f>IF(R162="","",IFERROR(TODAY()+VLOOKUP(R162,REGRAS!$B$2:$C$13,2,0),""))</f>
        <v/>
      </c>
    </row>
    <row r="163">
      <c r="T163" s="258">
        <f>IF(R163="","",IFERROR(TODAY()+VLOOKUP(R163,REGRAS!$B$2:$C$13,2,0),""))</f>
        <v/>
      </c>
    </row>
    <row r="164">
      <c r="T164" s="258">
        <f>IF(R164="","",IFERROR(TODAY()+VLOOKUP(R164,REGRAS!$B$2:$C$13,2,0),""))</f>
        <v/>
      </c>
    </row>
    <row r="165">
      <c r="T165" s="258">
        <f>IF(R165="","",IFERROR(TODAY()+VLOOKUP(R165,REGRAS!$B$2:$C$13,2,0),""))</f>
        <v/>
      </c>
    </row>
    <row r="166">
      <c r="T166" s="258">
        <f>IF(R166="","",IFERROR(TODAY()+VLOOKUP(R166,REGRAS!$B$2:$C$13,2,0),""))</f>
        <v/>
      </c>
    </row>
    <row r="167">
      <c r="T167" s="258">
        <f>IF(R167="","",IFERROR(TODAY()+VLOOKUP(R167,REGRAS!$B$2:$C$13,2,0),""))</f>
        <v/>
      </c>
    </row>
    <row r="168">
      <c r="T168" s="258">
        <f>IF(R168="","",IFERROR(TODAY()+VLOOKUP(R168,REGRAS!$B$2:$C$13,2,0),""))</f>
        <v/>
      </c>
    </row>
    <row r="169">
      <c r="T169" s="258">
        <f>IF(R169="","",IFERROR(TODAY()+VLOOKUP(R169,REGRAS!$B$2:$C$13,2,0),""))</f>
        <v/>
      </c>
    </row>
    <row r="170">
      <c r="T170" s="258">
        <f>IF(R170="","",IFERROR(TODAY()+VLOOKUP(R170,REGRAS!$B$2:$C$13,2,0),""))</f>
        <v/>
      </c>
    </row>
    <row r="171">
      <c r="T171" s="258">
        <f>IF(R171="","",IFERROR(TODAY()+VLOOKUP(R171,REGRAS!$B$2:$C$13,2,0),""))</f>
        <v/>
      </c>
    </row>
    <row r="172">
      <c r="T172" s="258">
        <f>IF(R172="","",IFERROR(TODAY()+VLOOKUP(R172,REGRAS!$B$2:$C$13,2,0),""))</f>
        <v/>
      </c>
    </row>
    <row r="173">
      <c r="T173" s="258">
        <f>IF(R173="","",IFERROR(TODAY()+VLOOKUP(R173,REGRAS!$B$2:$C$13,2,0),""))</f>
        <v/>
      </c>
    </row>
    <row r="174">
      <c r="T174" s="258">
        <f>IF(R174="","",IFERROR(TODAY()+VLOOKUP(R174,REGRAS!$B$2:$C$13,2,0),""))</f>
        <v/>
      </c>
    </row>
    <row r="175">
      <c r="T175" s="258">
        <f>IF(R175="","",IFERROR(TODAY()+VLOOKUP(R175,REGRAS!$B$2:$C$13,2,0),""))</f>
        <v/>
      </c>
    </row>
    <row r="176">
      <c r="T176" s="258">
        <f>IF(R176="","",IFERROR(TODAY()+VLOOKUP(R176,REGRAS!$B$2:$C$13,2,0),""))</f>
        <v/>
      </c>
    </row>
    <row r="177">
      <c r="T177" s="258">
        <f>IF(R177="","",IFERROR(TODAY()+VLOOKUP(R177,REGRAS!$B$2:$C$13,2,0),""))</f>
        <v/>
      </c>
    </row>
    <row r="178">
      <c r="T178" s="258">
        <f>IF(R178="","",IFERROR(TODAY()+VLOOKUP(R178,REGRAS!$B$2:$C$13,2,0),""))</f>
        <v/>
      </c>
    </row>
    <row r="179">
      <c r="T179" s="258">
        <f>IF(R179="","",IFERROR(TODAY()+VLOOKUP(R179,REGRAS!$B$2:$C$13,2,0),""))</f>
        <v/>
      </c>
    </row>
    <row r="180">
      <c r="T180" s="258">
        <f>IF(R180="","",IFERROR(TODAY()+VLOOKUP(R180,REGRAS!$B$2:$C$13,2,0),""))</f>
        <v/>
      </c>
    </row>
    <row r="181">
      <c r="T181" s="258">
        <f>IF(R181="","",IFERROR(TODAY()+VLOOKUP(R181,REGRAS!$B$2:$C$13,2,0),""))</f>
        <v/>
      </c>
    </row>
    <row r="182">
      <c r="T182" s="258">
        <f>IF(R182="","",IFERROR(TODAY()+VLOOKUP(R182,REGRAS!$B$2:$C$13,2,0),""))</f>
        <v/>
      </c>
    </row>
    <row r="183">
      <c r="T183" s="258">
        <f>IF(R183="","",IFERROR(TODAY()+VLOOKUP(R183,REGRAS!$B$2:$C$13,2,0),""))</f>
        <v/>
      </c>
    </row>
    <row r="184">
      <c r="T184" s="258">
        <f>IF(R184="","",IFERROR(TODAY()+VLOOKUP(R184,REGRAS!$B$2:$C$13,2,0),""))</f>
        <v/>
      </c>
    </row>
    <row r="185">
      <c r="T185" s="258">
        <f>IF(R185="","",IFERROR(TODAY()+VLOOKUP(R185,REGRAS!$B$2:$C$13,2,0),""))</f>
        <v/>
      </c>
    </row>
    <row r="186">
      <c r="T186" s="258">
        <f>IF(R186="","",IFERROR(TODAY()+VLOOKUP(R186,REGRAS!$B$2:$C$13,2,0),""))</f>
        <v/>
      </c>
    </row>
    <row r="187">
      <c r="T187" s="258">
        <f>IF(R187="","",IFERROR(TODAY()+VLOOKUP(R187,REGRAS!$B$2:$C$13,2,0),""))</f>
        <v/>
      </c>
    </row>
    <row r="188">
      <c r="T188" s="258">
        <f>IF(R188="","",IFERROR(TODAY()+VLOOKUP(R188,REGRAS!$B$2:$C$13,2,0),""))</f>
        <v/>
      </c>
    </row>
    <row r="189">
      <c r="T189" s="258">
        <f>IF(R189="","",IFERROR(TODAY()+VLOOKUP(R189,REGRAS!$B$2:$C$13,2,0),""))</f>
        <v/>
      </c>
    </row>
    <row r="190">
      <c r="T190" s="258">
        <f>IF(R190="","",IFERROR(TODAY()+VLOOKUP(R190,REGRAS!$B$2:$C$13,2,0),""))</f>
        <v/>
      </c>
    </row>
    <row r="191">
      <c r="T191" s="258">
        <f>IF(R191="","",IFERROR(TODAY()+VLOOKUP(R191,REGRAS!$B$2:$C$13,2,0),""))</f>
        <v/>
      </c>
    </row>
    <row r="192">
      <c r="T192" s="258">
        <f>IF(R192="","",IFERROR(TODAY()+VLOOKUP(R192,REGRAS!$B$2:$C$13,2,0),""))</f>
        <v/>
      </c>
    </row>
    <row r="193">
      <c r="T193" s="258">
        <f>IF(R193="","",IFERROR(TODAY()+VLOOKUP(R193,REGRAS!$B$2:$C$13,2,0),""))</f>
        <v/>
      </c>
    </row>
    <row r="194">
      <c r="T194" s="258">
        <f>IF(R194="","",IFERROR(TODAY()+VLOOKUP(R194,REGRAS!$B$2:$C$13,2,0),""))</f>
        <v/>
      </c>
    </row>
    <row r="195">
      <c r="T195" s="258">
        <f>IF(R195="","",IFERROR(TODAY()+VLOOKUP(R195,REGRAS!$B$2:$C$13,2,0),""))</f>
        <v/>
      </c>
    </row>
    <row r="196">
      <c r="T196" s="258">
        <f>IF(R196="","",IFERROR(TODAY()+VLOOKUP(R196,REGRAS!$B$2:$C$13,2,0),""))</f>
        <v/>
      </c>
    </row>
    <row r="197">
      <c r="T197" s="258">
        <f>IF(R197="","",IFERROR(TODAY()+VLOOKUP(R197,REGRAS!$B$2:$C$13,2,0),""))</f>
        <v/>
      </c>
    </row>
    <row r="198">
      <c r="T198" s="258">
        <f>IF(R198="","",IFERROR(TODAY()+VLOOKUP(R198,REGRAS!$B$2:$C$13,2,0),""))</f>
        <v/>
      </c>
    </row>
    <row r="199">
      <c r="T199" s="258">
        <f>IF(R199="","",IFERROR(TODAY()+VLOOKUP(R199,REGRAS!$B$2:$C$13,2,0),""))</f>
        <v/>
      </c>
    </row>
    <row r="200">
      <c r="T200" s="258">
        <f>IF(R200="","",IFERROR(TODAY()+VLOOKUP(R200,REGRAS!$B$2:$C$13,2,0),""))</f>
        <v/>
      </c>
    </row>
    <row r="201">
      <c r="T201" s="258">
        <f>IF(R201="","",IFERROR(TODAY()+VLOOKUP(R201,REGRAS!$B$2:$C$13,2,0),""))</f>
        <v/>
      </c>
    </row>
    <row r="202">
      <c r="T202" s="258">
        <f>IF(R202="","",IFERROR(TODAY()+VLOOKUP(R202,REGRAS!$B$2:$C$13,2,0),""))</f>
        <v/>
      </c>
    </row>
    <row r="203">
      <c r="T203" s="258">
        <f>IF(R203="","",IFERROR(TODAY()+VLOOKUP(R203,REGRAS!$B$2:$C$13,2,0),""))</f>
        <v/>
      </c>
    </row>
    <row r="204">
      <c r="T204" s="258">
        <f>IF(R204="","",IFERROR(TODAY()+VLOOKUP(R204,REGRAS!$B$2:$C$13,2,0),""))</f>
        <v/>
      </c>
    </row>
    <row r="205">
      <c r="T205" s="258">
        <f>IF(R205="","",IFERROR(TODAY()+VLOOKUP(R205,REGRAS!$B$2:$C$13,2,0),""))</f>
        <v/>
      </c>
    </row>
    <row r="206">
      <c r="T206" s="258">
        <f>IF(R206="","",IFERROR(TODAY()+VLOOKUP(R206,REGRAS!$B$2:$C$13,2,0),""))</f>
        <v/>
      </c>
    </row>
    <row r="207">
      <c r="T207" s="258">
        <f>IF(R207="","",IFERROR(TODAY()+VLOOKUP(R207,REGRAS!$B$2:$C$13,2,0),""))</f>
        <v/>
      </c>
    </row>
    <row r="208">
      <c r="T208" s="258">
        <f>IF(R208="","",IFERROR(TODAY()+VLOOKUP(R208,REGRAS!$B$2:$C$13,2,0),""))</f>
        <v/>
      </c>
    </row>
    <row r="209">
      <c r="T209" s="258">
        <f>IF(R209="","",IFERROR(TODAY()+VLOOKUP(R209,REGRAS!$B$2:$C$13,2,0),""))</f>
        <v/>
      </c>
    </row>
    <row r="210">
      <c r="T210" s="258">
        <f>IF(R210="","",IFERROR(TODAY()+VLOOKUP(R210,REGRAS!$B$2:$C$13,2,0),""))</f>
        <v/>
      </c>
    </row>
    <row r="211">
      <c r="T211" s="258">
        <f>IF(R211="","",IFERROR(TODAY()+VLOOKUP(R211,REGRAS!$B$2:$C$13,2,0),""))</f>
        <v/>
      </c>
    </row>
    <row r="212">
      <c r="T212" s="258">
        <f>IF(R212="","",IFERROR(TODAY()+VLOOKUP(R212,REGRAS!$B$2:$C$13,2,0),""))</f>
        <v/>
      </c>
    </row>
    <row r="213">
      <c r="T213" s="258">
        <f>IF(R213="","",IFERROR(TODAY()+VLOOKUP(R213,REGRAS!$B$2:$C$13,2,0),""))</f>
        <v/>
      </c>
    </row>
    <row r="214">
      <c r="T214" s="258">
        <f>IF(R214="","",IFERROR(TODAY()+VLOOKUP(R214,REGRAS!$B$2:$C$13,2,0),""))</f>
        <v/>
      </c>
    </row>
    <row r="215">
      <c r="T215" s="258">
        <f>IF(R215="","",IFERROR(TODAY()+VLOOKUP(R215,REGRAS!$B$2:$C$13,2,0),""))</f>
        <v/>
      </c>
    </row>
    <row r="216">
      <c r="T216" s="258">
        <f>IF(R216="","",IFERROR(TODAY()+VLOOKUP(R216,REGRAS!$B$2:$C$13,2,0),""))</f>
        <v/>
      </c>
    </row>
    <row r="217">
      <c r="T217" s="258">
        <f>IF(R217="","",IFERROR(TODAY()+VLOOKUP(R217,REGRAS!$B$2:$C$13,2,0),""))</f>
        <v/>
      </c>
    </row>
    <row r="218">
      <c r="T218" s="258">
        <f>IF(R218="","",IFERROR(TODAY()+VLOOKUP(R218,REGRAS!$B$2:$C$13,2,0),""))</f>
        <v/>
      </c>
    </row>
    <row r="219">
      <c r="T219" s="258">
        <f>IF(R219="","",IFERROR(TODAY()+VLOOKUP(R219,REGRAS!$B$2:$C$13,2,0),""))</f>
        <v/>
      </c>
    </row>
    <row r="220">
      <c r="T220" s="258">
        <f>IF(R220="","",IFERROR(TODAY()+VLOOKUP(R220,REGRAS!$B$2:$C$13,2,0),""))</f>
        <v/>
      </c>
    </row>
    <row r="221">
      <c r="T221" s="258">
        <f>IF(R221="","",IFERROR(TODAY()+VLOOKUP(R221,REGRAS!$B$2:$C$13,2,0),""))</f>
        <v/>
      </c>
    </row>
    <row r="222">
      <c r="T222" s="258">
        <f>IF(R222="","",IFERROR(TODAY()+VLOOKUP(R222,REGRAS!$B$2:$C$13,2,0),""))</f>
        <v/>
      </c>
    </row>
    <row r="223">
      <c r="T223" s="258">
        <f>IF(R223="","",IFERROR(TODAY()+VLOOKUP(R223,REGRAS!$B$2:$C$13,2,0),""))</f>
        <v/>
      </c>
    </row>
    <row r="224">
      <c r="T224" s="258">
        <f>IF(R224="","",IFERROR(TODAY()+VLOOKUP(R224,REGRAS!$B$2:$C$13,2,0),""))</f>
        <v/>
      </c>
    </row>
    <row r="225">
      <c r="T225" s="258">
        <f>IF(R225="","",IFERROR(TODAY()+VLOOKUP(R225,REGRAS!$B$2:$C$13,2,0),""))</f>
        <v/>
      </c>
    </row>
    <row r="226">
      <c r="T226" s="258">
        <f>IF(R226="","",IFERROR(TODAY()+VLOOKUP(R226,REGRAS!$B$2:$C$13,2,0),""))</f>
        <v/>
      </c>
    </row>
    <row r="227">
      <c r="T227" s="258">
        <f>IF(R227="","",IFERROR(TODAY()+VLOOKUP(R227,REGRAS!$B$2:$C$13,2,0),""))</f>
        <v/>
      </c>
    </row>
    <row r="228">
      <c r="T228" s="258">
        <f>IF(R228="","",IFERROR(TODAY()+VLOOKUP(R228,REGRAS!$B$2:$C$13,2,0),""))</f>
        <v/>
      </c>
    </row>
    <row r="229">
      <c r="T229" s="258">
        <f>IF(R229="","",IFERROR(TODAY()+VLOOKUP(R229,REGRAS!$B$2:$C$13,2,0),""))</f>
        <v/>
      </c>
    </row>
    <row r="230">
      <c r="T230" s="258">
        <f>IF(R230="","",IFERROR(TODAY()+VLOOKUP(R230,REGRAS!$B$2:$C$13,2,0),""))</f>
        <v/>
      </c>
    </row>
    <row r="231">
      <c r="T231" s="258">
        <f>IF(R231="","",IFERROR(TODAY()+VLOOKUP(R231,REGRAS!$B$2:$C$13,2,0),""))</f>
        <v/>
      </c>
    </row>
    <row r="232">
      <c r="T232" s="258">
        <f>IF(R232="","",IFERROR(TODAY()+VLOOKUP(R232,REGRAS!$B$2:$C$13,2,0),""))</f>
        <v/>
      </c>
    </row>
    <row r="233">
      <c r="T233" s="258">
        <f>IF(R233="","",IFERROR(TODAY()+VLOOKUP(R233,REGRAS!$B$2:$C$13,2,0),""))</f>
        <v/>
      </c>
    </row>
    <row r="234">
      <c r="T234" s="258">
        <f>IF(R234="","",IFERROR(TODAY()+VLOOKUP(R234,REGRAS!$B$2:$C$13,2,0),""))</f>
        <v/>
      </c>
    </row>
    <row r="235">
      <c r="T235" s="258">
        <f>IF(R235="","",IFERROR(TODAY()+VLOOKUP(R235,REGRAS!$B$2:$C$13,2,0),""))</f>
        <v/>
      </c>
    </row>
    <row r="236">
      <c r="T236" s="258">
        <f>IF(R236="","",IFERROR(TODAY()+VLOOKUP(R236,REGRAS!$B$2:$C$13,2,0),""))</f>
        <v/>
      </c>
    </row>
    <row r="237">
      <c r="T237" s="258">
        <f>IF(R237="","",IFERROR(TODAY()+VLOOKUP(R237,REGRAS!$B$2:$C$13,2,0),""))</f>
        <v/>
      </c>
    </row>
    <row r="238">
      <c r="T238" s="258">
        <f>IF(R238="","",IFERROR(TODAY()+VLOOKUP(R238,REGRAS!$B$2:$C$13,2,0),""))</f>
        <v/>
      </c>
    </row>
    <row r="239">
      <c r="T239" s="258">
        <f>IF(R239="","",IFERROR(TODAY()+VLOOKUP(R239,REGRAS!$B$2:$C$13,2,0),""))</f>
        <v/>
      </c>
    </row>
    <row r="240">
      <c r="T240" s="258">
        <f>IF(R240="","",IFERROR(TODAY()+VLOOKUP(R240,REGRAS!$B$2:$C$13,2,0),""))</f>
        <v/>
      </c>
    </row>
    <row r="241">
      <c r="T241" s="258">
        <f>IF(R241="","",IFERROR(TODAY()+VLOOKUP(R241,REGRAS!$B$2:$C$13,2,0),""))</f>
        <v/>
      </c>
    </row>
    <row r="242">
      <c r="T242" s="258">
        <f>IF(R242="","",IFERROR(TODAY()+VLOOKUP(R242,REGRAS!$B$2:$C$13,2,0),""))</f>
        <v/>
      </c>
    </row>
    <row r="243">
      <c r="T243" s="258">
        <f>IF(R243="","",IFERROR(TODAY()+VLOOKUP(R243,REGRAS!$B$2:$C$13,2,0),""))</f>
        <v/>
      </c>
    </row>
    <row r="244">
      <c r="T244" s="258">
        <f>IF(R244="","",IFERROR(TODAY()+VLOOKUP(R244,REGRAS!$B$2:$C$13,2,0),""))</f>
        <v/>
      </c>
    </row>
    <row r="245">
      <c r="T245" s="258">
        <f>IF(R245="","",IFERROR(TODAY()+VLOOKUP(R245,REGRAS!$B$2:$C$13,2,0),""))</f>
        <v/>
      </c>
    </row>
    <row r="246">
      <c r="T246" s="258">
        <f>IF(R246="","",IFERROR(TODAY()+VLOOKUP(R246,REGRAS!$B$2:$C$13,2,0),""))</f>
        <v/>
      </c>
    </row>
    <row r="247">
      <c r="T247" s="258">
        <f>IF(R247="","",IFERROR(TODAY()+VLOOKUP(R247,REGRAS!$B$2:$C$13,2,0),""))</f>
        <v/>
      </c>
    </row>
    <row r="248">
      <c r="T248" s="258">
        <f>IF(R248="","",IFERROR(TODAY()+VLOOKUP(R248,REGRAS!$B$2:$C$13,2,0),""))</f>
        <v/>
      </c>
    </row>
    <row r="249">
      <c r="T249" s="258">
        <f>IF(R249="","",IFERROR(TODAY()+VLOOKUP(R249,REGRAS!$B$2:$C$13,2,0),""))</f>
        <v/>
      </c>
    </row>
    <row r="250">
      <c r="T250" s="258">
        <f>IF(R250="","",IFERROR(TODAY()+VLOOKUP(R250,REGRAS!$B$2:$C$13,2,0),""))</f>
        <v/>
      </c>
    </row>
    <row r="251">
      <c r="T251" s="258">
        <f>IF(R251="","",IFERROR(TODAY()+VLOOKUP(R251,REGRAS!$B$2:$C$13,2,0),""))</f>
        <v/>
      </c>
    </row>
    <row r="252">
      <c r="T252" s="258">
        <f>IF(R252="","",IFERROR(TODAY()+VLOOKUP(R252,REGRAS!$B$2:$C$13,2,0),""))</f>
        <v/>
      </c>
    </row>
    <row r="253">
      <c r="T253" s="258">
        <f>IF(R253="","",IFERROR(TODAY()+VLOOKUP(R253,REGRAS!$B$2:$C$13,2,0),""))</f>
        <v/>
      </c>
    </row>
    <row r="254">
      <c r="T254" s="258">
        <f>IF(R254="","",IFERROR(TODAY()+VLOOKUP(R254,REGRAS!$B$2:$C$13,2,0),""))</f>
        <v/>
      </c>
    </row>
    <row r="255">
      <c r="T255" s="258">
        <f>IF(R255="","",IFERROR(TODAY()+VLOOKUP(R255,REGRAS!$B$2:$C$13,2,0),""))</f>
        <v/>
      </c>
    </row>
    <row r="256">
      <c r="T256" s="258">
        <f>IF(R256="","",IFERROR(TODAY()+VLOOKUP(R256,REGRAS!$B$2:$C$13,2,0),""))</f>
        <v/>
      </c>
    </row>
    <row r="257">
      <c r="T257" s="258">
        <f>IF(R257="","",IFERROR(TODAY()+VLOOKUP(R257,REGRAS!$B$2:$C$13,2,0),""))</f>
        <v/>
      </c>
    </row>
    <row r="258">
      <c r="T258" s="258">
        <f>IF(R258="","",IFERROR(TODAY()+VLOOKUP(R258,REGRAS!$B$2:$C$13,2,0),""))</f>
        <v/>
      </c>
    </row>
    <row r="259">
      <c r="T259" s="258">
        <f>IF(R259="","",IFERROR(TODAY()+VLOOKUP(R259,REGRAS!$B$2:$C$13,2,0),""))</f>
        <v/>
      </c>
    </row>
    <row r="260">
      <c r="T260" s="258">
        <f>IF(R260="","",IFERROR(TODAY()+VLOOKUP(R260,REGRAS!$B$2:$C$13,2,0),""))</f>
        <v/>
      </c>
    </row>
    <row r="261">
      <c r="T261" s="258">
        <f>IF(R261="","",IFERROR(TODAY()+VLOOKUP(R261,REGRAS!$B$2:$C$13,2,0),""))</f>
        <v/>
      </c>
    </row>
    <row r="262">
      <c r="T262" s="258">
        <f>IF(R262="","",IFERROR(TODAY()+VLOOKUP(R262,REGRAS!$B$2:$C$13,2,0),""))</f>
        <v/>
      </c>
    </row>
    <row r="263">
      <c r="T263" s="258">
        <f>IF(R263="","",IFERROR(TODAY()+VLOOKUP(R263,REGRAS!$B$2:$C$13,2,0),""))</f>
        <v/>
      </c>
    </row>
    <row r="264">
      <c r="T264" s="258">
        <f>IF(R264="","",IFERROR(TODAY()+VLOOKUP(R264,REGRAS!$B$2:$C$13,2,0),""))</f>
        <v/>
      </c>
    </row>
    <row r="265">
      <c r="T265" s="258">
        <f>IF(R265="","",IFERROR(TODAY()+VLOOKUP(R265,REGRAS!$B$2:$C$13,2,0),""))</f>
        <v/>
      </c>
    </row>
    <row r="266">
      <c r="T266" s="258">
        <f>IF(R266="","",IFERROR(TODAY()+VLOOKUP(R266,REGRAS!$B$2:$C$13,2,0),""))</f>
        <v/>
      </c>
    </row>
    <row r="267">
      <c r="T267" s="258">
        <f>IF(R267="","",IFERROR(TODAY()+VLOOKUP(R267,REGRAS!$B$2:$C$13,2,0),""))</f>
        <v/>
      </c>
    </row>
    <row r="268">
      <c r="T268" s="258">
        <f>IF(R268="","",IFERROR(TODAY()+VLOOKUP(R268,REGRAS!$B$2:$C$13,2,0),""))</f>
        <v/>
      </c>
    </row>
    <row r="269">
      <c r="T269" s="258">
        <f>IF(R269="","",IFERROR(TODAY()+VLOOKUP(R269,REGRAS!$B$2:$C$13,2,0),""))</f>
        <v/>
      </c>
    </row>
    <row r="270">
      <c r="T270" s="258">
        <f>IF(R270="","",IFERROR(TODAY()+VLOOKUP(R270,REGRAS!$B$2:$C$13,2,0),""))</f>
        <v/>
      </c>
    </row>
    <row r="271">
      <c r="T271" s="258">
        <f>IF(R271="","",IFERROR(TODAY()+VLOOKUP(R271,REGRAS!$B$2:$C$13,2,0),""))</f>
        <v/>
      </c>
    </row>
    <row r="272">
      <c r="T272" s="258">
        <f>IF(R272="","",IFERROR(TODAY()+VLOOKUP(R272,REGRAS!$B$2:$C$13,2,0),""))</f>
        <v/>
      </c>
    </row>
    <row r="273">
      <c r="T273" s="258">
        <f>IF(R273="","",IFERROR(TODAY()+VLOOKUP(R273,REGRAS!$B$2:$C$13,2,0),""))</f>
        <v/>
      </c>
    </row>
    <row r="274">
      <c r="T274" s="258">
        <f>IF(R274="","",IFERROR(TODAY()+VLOOKUP(R274,REGRAS!$B$2:$C$13,2,0),""))</f>
        <v/>
      </c>
    </row>
    <row r="275">
      <c r="T275" s="258">
        <f>IF(R275="","",IFERROR(TODAY()+VLOOKUP(R275,REGRAS!$B$2:$C$13,2,0),""))</f>
        <v/>
      </c>
    </row>
    <row r="276">
      <c r="T276" s="258">
        <f>IF(R276="","",IFERROR(TODAY()+VLOOKUP(R276,REGRAS!$B$2:$C$13,2,0),""))</f>
        <v/>
      </c>
    </row>
    <row r="277">
      <c r="T277" s="258">
        <f>IF(R277="","",IFERROR(TODAY()+VLOOKUP(R277,REGRAS!$B$2:$C$13,2,0),""))</f>
        <v/>
      </c>
    </row>
    <row r="278">
      <c r="T278" s="258">
        <f>IF(R278="","",IFERROR(TODAY()+VLOOKUP(R278,REGRAS!$B$2:$C$13,2,0),""))</f>
        <v/>
      </c>
    </row>
    <row r="279">
      <c r="T279" s="258">
        <f>IF(R279="","",IFERROR(TODAY()+VLOOKUP(R279,REGRAS!$B$2:$C$13,2,0),""))</f>
        <v/>
      </c>
    </row>
    <row r="280">
      <c r="T280" s="258">
        <f>IF(R280="","",IFERROR(TODAY()+VLOOKUP(R280,REGRAS!$B$2:$C$13,2,0),""))</f>
        <v/>
      </c>
    </row>
    <row r="281">
      <c r="T281" s="258">
        <f>IF(R281="","",IFERROR(TODAY()+VLOOKUP(R281,REGRAS!$B$2:$C$13,2,0),""))</f>
        <v/>
      </c>
    </row>
    <row r="282">
      <c r="T282" s="258">
        <f>IF(R282="","",IFERROR(TODAY()+VLOOKUP(R282,REGRAS!$B$2:$C$13,2,0),""))</f>
        <v/>
      </c>
    </row>
    <row r="283">
      <c r="T283" s="258">
        <f>IF(R283="","",IFERROR(TODAY()+VLOOKUP(R283,REGRAS!$B$2:$C$13,2,0),""))</f>
        <v/>
      </c>
    </row>
    <row r="284">
      <c r="T284" s="258">
        <f>IF(R284="","",IFERROR(TODAY()+VLOOKUP(R284,REGRAS!$B$2:$C$13,2,0),""))</f>
        <v/>
      </c>
    </row>
    <row r="285">
      <c r="T285" s="258">
        <f>IF(R285="","",IFERROR(TODAY()+VLOOKUP(R285,REGRAS!$B$2:$C$13,2,0),""))</f>
        <v/>
      </c>
    </row>
    <row r="286">
      <c r="T286" s="258">
        <f>IF(R286="","",IFERROR(TODAY()+VLOOKUP(R286,REGRAS!$B$2:$C$13,2,0),""))</f>
        <v/>
      </c>
    </row>
    <row r="287">
      <c r="T287" s="258">
        <f>IF(R287="","",IFERROR(TODAY()+VLOOKUP(R287,REGRAS!$B$2:$C$13,2,0),""))</f>
        <v/>
      </c>
    </row>
    <row r="288">
      <c r="T288" s="258">
        <f>IF(R288="","",IFERROR(TODAY()+VLOOKUP(R288,REGRAS!$B$2:$C$13,2,0),""))</f>
        <v/>
      </c>
    </row>
    <row r="289">
      <c r="T289" s="258">
        <f>IF(R289="","",IFERROR(TODAY()+VLOOKUP(R289,REGRAS!$B$2:$C$13,2,0),""))</f>
        <v/>
      </c>
    </row>
    <row r="290">
      <c r="T290" s="258">
        <f>IF(R290="","",IFERROR(TODAY()+VLOOKUP(R290,REGRAS!$B$2:$C$13,2,0),""))</f>
        <v/>
      </c>
    </row>
    <row r="291">
      <c r="T291" s="258">
        <f>IF(R291="","",IFERROR(TODAY()+VLOOKUP(R291,REGRAS!$B$2:$C$13,2,0),""))</f>
        <v/>
      </c>
    </row>
    <row r="292">
      <c r="T292" s="258">
        <f>IF(R292="","",IFERROR(TODAY()+VLOOKUP(R292,REGRAS!$B$2:$C$13,2,0),""))</f>
        <v/>
      </c>
    </row>
    <row r="293">
      <c r="T293" s="258">
        <f>IF(R293="","",IFERROR(TODAY()+VLOOKUP(R293,REGRAS!$B$2:$C$13,2,0),""))</f>
        <v/>
      </c>
    </row>
    <row r="294">
      <c r="T294" s="258">
        <f>IF(R294="","",IFERROR(TODAY()+VLOOKUP(R294,REGRAS!$B$2:$C$13,2,0),""))</f>
        <v/>
      </c>
    </row>
    <row r="295">
      <c r="T295" s="258">
        <f>IF(R295="","",IFERROR(TODAY()+VLOOKUP(R295,REGRAS!$B$2:$C$13,2,0),""))</f>
        <v/>
      </c>
    </row>
    <row r="296">
      <c r="T296" s="258">
        <f>IF(R296="","",IFERROR(TODAY()+VLOOKUP(R296,REGRAS!$B$2:$C$13,2,0),""))</f>
        <v/>
      </c>
    </row>
    <row r="297">
      <c r="T297" s="258">
        <f>IF(R297="","",IFERROR(TODAY()+VLOOKUP(R297,REGRAS!$B$2:$C$13,2,0),""))</f>
        <v/>
      </c>
    </row>
    <row r="298">
      <c r="T298" s="258">
        <f>IF(R298="","",IFERROR(TODAY()+VLOOKUP(R298,REGRAS!$B$2:$C$13,2,0),""))</f>
        <v/>
      </c>
    </row>
    <row r="299">
      <c r="T299" s="258">
        <f>IF(R299="","",IFERROR(TODAY()+VLOOKUP(R299,REGRAS!$B$2:$C$13,2,0),""))</f>
        <v/>
      </c>
    </row>
    <row r="300">
      <c r="T300" s="258">
        <f>IF(R300="","",IFERROR(TODAY()+VLOOKUP(R300,REGRAS!$B$2:$C$13,2,0),""))</f>
        <v/>
      </c>
    </row>
    <row r="301">
      <c r="T301" s="258">
        <f>IF(R301="","",IFERROR(TODAY()+VLOOKUP(R301,REGRAS!$B$2:$C$13,2,0),""))</f>
        <v/>
      </c>
    </row>
    <row r="302">
      <c r="T302" s="258">
        <f>IF(R302="","",IFERROR(TODAY()+VLOOKUP(R302,REGRAS!$B$2:$C$13,2,0),""))</f>
        <v/>
      </c>
    </row>
    <row r="303">
      <c r="T303" s="258">
        <f>IF(R303="","",IFERROR(TODAY()+VLOOKUP(R303,REGRAS!$B$2:$C$13,2,0),""))</f>
        <v/>
      </c>
    </row>
    <row r="304">
      <c r="T304" s="258">
        <f>IF(R304="","",IFERROR(TODAY()+VLOOKUP(R304,REGRAS!$B$2:$C$13,2,0),""))</f>
        <v/>
      </c>
    </row>
    <row r="305">
      <c r="T305" s="258">
        <f>IF(R305="","",IFERROR(TODAY()+VLOOKUP(R305,REGRAS!$B$2:$C$13,2,0),""))</f>
        <v/>
      </c>
    </row>
    <row r="306">
      <c r="T306" s="258">
        <f>IF(R306="","",IFERROR(TODAY()+VLOOKUP(R306,REGRAS!$B$2:$C$13,2,0),""))</f>
        <v/>
      </c>
    </row>
    <row r="307">
      <c r="T307" s="258">
        <f>IF(R307="","",IFERROR(TODAY()+VLOOKUP(R307,REGRAS!$B$2:$C$13,2,0),""))</f>
        <v/>
      </c>
    </row>
    <row r="308">
      <c r="T308" s="258">
        <f>IF(R308="","",IFERROR(TODAY()+VLOOKUP(R308,REGRAS!$B$2:$C$13,2,0),""))</f>
        <v/>
      </c>
    </row>
    <row r="309">
      <c r="T309" s="258">
        <f>IF(R309="","",IFERROR(TODAY()+VLOOKUP(R309,REGRAS!$B$2:$C$13,2,0),""))</f>
        <v/>
      </c>
    </row>
    <row r="310">
      <c r="T310" s="258">
        <f>IF(R310="","",IFERROR(TODAY()+VLOOKUP(R310,REGRAS!$B$2:$C$13,2,0),""))</f>
        <v/>
      </c>
    </row>
    <row r="311">
      <c r="T311" s="258">
        <f>IF(R311="","",IFERROR(TODAY()+VLOOKUP(R311,REGRAS!$B$2:$C$13,2,0),""))</f>
        <v/>
      </c>
    </row>
    <row r="312">
      <c r="T312" s="258">
        <f>IF(R312="","",IFERROR(TODAY()+VLOOKUP(R312,REGRAS!$B$2:$C$13,2,0),""))</f>
        <v/>
      </c>
    </row>
    <row r="313">
      <c r="T313" s="258">
        <f>IF(R313="","",IFERROR(TODAY()+VLOOKUP(R313,REGRAS!$B$2:$C$13,2,0),""))</f>
        <v/>
      </c>
    </row>
    <row r="314">
      <c r="T314" s="258">
        <f>IF(R314="","",IFERROR(TODAY()+VLOOKUP(R314,REGRAS!$B$2:$C$13,2,0),""))</f>
        <v/>
      </c>
    </row>
    <row r="315">
      <c r="T315" s="258">
        <f>IF(R315="","",IFERROR(TODAY()+VLOOKUP(R315,REGRAS!$B$2:$C$13,2,0),""))</f>
        <v/>
      </c>
    </row>
    <row r="316">
      <c r="T316" s="258">
        <f>IF(R316="","",IFERROR(TODAY()+VLOOKUP(R316,REGRAS!$B$2:$C$13,2,0),""))</f>
        <v/>
      </c>
    </row>
    <row r="317">
      <c r="T317" s="258">
        <f>IF(R317="","",IFERROR(TODAY()+VLOOKUP(R317,REGRAS!$B$2:$C$13,2,0),""))</f>
        <v/>
      </c>
    </row>
    <row r="318">
      <c r="T318" s="258">
        <f>IF(R318="","",IFERROR(TODAY()+VLOOKUP(R318,REGRAS!$B$2:$C$13,2,0),""))</f>
        <v/>
      </c>
    </row>
    <row r="319">
      <c r="T319" s="258">
        <f>IF(R319="","",IFERROR(TODAY()+VLOOKUP(R319,REGRAS!$B$2:$C$13,2,0),""))</f>
        <v/>
      </c>
    </row>
    <row r="320">
      <c r="T320" s="258">
        <f>IF(R320="","",IFERROR(TODAY()+VLOOKUP(R320,REGRAS!$B$2:$C$13,2,0),""))</f>
        <v/>
      </c>
    </row>
    <row r="321">
      <c r="T321" s="258">
        <f>IF(R321="","",IFERROR(TODAY()+VLOOKUP(R321,REGRAS!$B$2:$C$13,2,0),""))</f>
        <v/>
      </c>
    </row>
    <row r="322">
      <c r="T322" s="258">
        <f>IF(R322="","",IFERROR(TODAY()+VLOOKUP(R322,REGRAS!$B$2:$C$13,2,0),""))</f>
        <v/>
      </c>
    </row>
    <row r="323">
      <c r="T323" s="258">
        <f>IF(R323="","",IFERROR(TODAY()+VLOOKUP(R323,REGRAS!$B$2:$C$13,2,0),""))</f>
        <v/>
      </c>
    </row>
    <row r="324">
      <c r="T324" s="258">
        <f>IF(R324="","",IFERROR(TODAY()+VLOOKUP(R324,REGRAS!$B$2:$C$13,2,0),""))</f>
        <v/>
      </c>
    </row>
    <row r="325">
      <c r="T325" s="258">
        <f>IF(R325="","",IFERROR(TODAY()+VLOOKUP(R325,REGRAS!$B$2:$C$13,2,0),""))</f>
        <v/>
      </c>
    </row>
    <row r="326">
      <c r="T326" s="258">
        <f>IF(R326="","",IFERROR(TODAY()+VLOOKUP(R326,REGRAS!$B$2:$C$13,2,0),""))</f>
        <v/>
      </c>
    </row>
    <row r="327">
      <c r="T327" s="258">
        <f>IF(R327="","",IFERROR(TODAY()+VLOOKUP(R327,REGRAS!$B$2:$C$13,2,0),""))</f>
        <v/>
      </c>
    </row>
    <row r="328">
      <c r="T328" s="258">
        <f>IF(R328="","",IFERROR(TODAY()+VLOOKUP(R328,REGRAS!$B$2:$C$13,2,0),""))</f>
        <v/>
      </c>
    </row>
    <row r="329">
      <c r="T329" s="258">
        <f>IF(R329="","",IFERROR(TODAY()+VLOOKUP(R329,REGRAS!$B$2:$C$13,2,0),""))</f>
        <v/>
      </c>
    </row>
    <row r="330">
      <c r="T330" s="258">
        <f>IF(R330="","",IFERROR(TODAY()+VLOOKUP(R330,REGRAS!$B$2:$C$13,2,0),""))</f>
        <v/>
      </c>
    </row>
    <row r="331">
      <c r="T331" s="258">
        <f>IF(R331="","",IFERROR(TODAY()+VLOOKUP(R331,REGRAS!$B$2:$C$13,2,0),""))</f>
        <v/>
      </c>
    </row>
    <row r="332">
      <c r="T332" s="258">
        <f>IF(R332="","",IFERROR(TODAY()+VLOOKUP(R332,REGRAS!$B$2:$C$13,2,0),""))</f>
        <v/>
      </c>
    </row>
    <row r="333">
      <c r="T333" s="258">
        <f>IF(R333="","",IFERROR(TODAY()+VLOOKUP(R333,REGRAS!$B$2:$C$13,2,0),""))</f>
        <v/>
      </c>
    </row>
    <row r="334">
      <c r="T334" s="258">
        <f>IF(R334="","",IFERROR(TODAY()+VLOOKUP(R334,REGRAS!$B$2:$C$13,2,0),""))</f>
        <v/>
      </c>
    </row>
    <row r="335">
      <c r="T335" s="258">
        <f>IF(R335="","",IFERROR(TODAY()+VLOOKUP(R335,REGRAS!$B$2:$C$13,2,0),""))</f>
        <v/>
      </c>
    </row>
    <row r="336">
      <c r="T336" s="258">
        <f>IF(R336="","",IFERROR(TODAY()+VLOOKUP(R336,REGRAS!$B$2:$C$13,2,0),""))</f>
        <v/>
      </c>
    </row>
    <row r="337">
      <c r="T337" s="258">
        <f>IF(R337="","",IFERROR(TODAY()+VLOOKUP(R337,REGRAS!$B$2:$C$13,2,0),""))</f>
        <v/>
      </c>
    </row>
    <row r="338">
      <c r="T338" s="258">
        <f>IF(R338="","",IFERROR(TODAY()+VLOOKUP(R338,REGRAS!$B$2:$C$13,2,0),""))</f>
        <v/>
      </c>
    </row>
    <row r="339">
      <c r="T339" s="258">
        <f>IF(R339="","",IFERROR(TODAY()+VLOOKUP(R339,REGRAS!$B$2:$C$13,2,0),""))</f>
        <v/>
      </c>
    </row>
    <row r="340">
      <c r="T340" s="258">
        <f>IF(R340="","",IFERROR(TODAY()+VLOOKUP(R340,REGRAS!$B$2:$C$13,2,0),""))</f>
        <v/>
      </c>
    </row>
    <row r="341">
      <c r="T341" s="258">
        <f>IF(R341="","",IFERROR(TODAY()+VLOOKUP(R341,REGRAS!$B$2:$C$13,2,0),""))</f>
        <v/>
      </c>
    </row>
    <row r="342">
      <c r="T342" s="258">
        <f>IF(R342="","",IFERROR(TODAY()+VLOOKUP(R342,REGRAS!$B$2:$C$13,2,0),""))</f>
        <v/>
      </c>
    </row>
    <row r="343">
      <c r="T343" s="258">
        <f>IF(R343="","",IFERROR(TODAY()+VLOOKUP(R343,REGRAS!$B$2:$C$13,2,0),""))</f>
        <v/>
      </c>
    </row>
    <row r="344">
      <c r="T344" s="258">
        <f>IF(R344="","",IFERROR(TODAY()+VLOOKUP(R344,REGRAS!$B$2:$C$13,2,0),""))</f>
        <v/>
      </c>
    </row>
    <row r="345">
      <c r="T345" s="258">
        <f>IF(R345="","",IFERROR(TODAY()+VLOOKUP(R345,REGRAS!$B$2:$C$13,2,0),""))</f>
        <v/>
      </c>
    </row>
    <row r="346">
      <c r="T346" s="258">
        <f>IF(R346="","",IFERROR(TODAY()+VLOOKUP(R346,REGRAS!$B$2:$C$13,2,0),""))</f>
        <v/>
      </c>
    </row>
    <row r="347">
      <c r="T347" s="258">
        <f>IF(R347="","",IFERROR(TODAY()+VLOOKUP(R347,REGRAS!$B$2:$C$13,2,0),""))</f>
        <v/>
      </c>
    </row>
    <row r="348">
      <c r="T348" s="258">
        <f>IF(R348="","",IFERROR(TODAY()+VLOOKUP(R348,REGRAS!$B$2:$C$13,2,0),""))</f>
        <v/>
      </c>
    </row>
    <row r="349">
      <c r="T349" s="258">
        <f>IF(R349="","",IFERROR(TODAY()+VLOOKUP(R349,REGRAS!$B$2:$C$13,2,0),""))</f>
        <v/>
      </c>
    </row>
    <row r="350">
      <c r="T350" s="258">
        <f>IF(R350="","",IFERROR(TODAY()+VLOOKUP(R350,REGRAS!$B$2:$C$13,2,0),""))</f>
        <v/>
      </c>
    </row>
    <row r="351">
      <c r="T351" s="258">
        <f>IF(R351="","",IFERROR(TODAY()+VLOOKUP(R351,REGRAS!$B$2:$C$13,2,0),""))</f>
        <v/>
      </c>
    </row>
    <row r="352">
      <c r="T352" s="258">
        <f>IF(R352="","",IFERROR(TODAY()+VLOOKUP(R352,REGRAS!$B$2:$C$13,2,0),""))</f>
        <v/>
      </c>
    </row>
    <row r="353">
      <c r="T353" s="258">
        <f>IF(R353="","",IFERROR(TODAY()+VLOOKUP(R353,REGRAS!$B$2:$C$13,2,0),""))</f>
        <v/>
      </c>
    </row>
    <row r="354">
      <c r="T354" s="258">
        <f>IF(R354="","",IFERROR(TODAY()+VLOOKUP(R354,REGRAS!$B$2:$C$13,2,0),""))</f>
        <v/>
      </c>
    </row>
    <row r="355">
      <c r="T355" s="258">
        <f>IF(R355="","",IFERROR(TODAY()+VLOOKUP(R355,REGRAS!$B$2:$C$13,2,0),""))</f>
        <v/>
      </c>
    </row>
    <row r="356">
      <c r="T356" s="258">
        <f>IF(R356="","",IFERROR(TODAY()+VLOOKUP(R356,REGRAS!$B$2:$C$13,2,0),""))</f>
        <v/>
      </c>
    </row>
    <row r="357">
      <c r="T357" s="258">
        <f>IF(R357="","",IFERROR(TODAY()+VLOOKUP(R357,REGRAS!$B$2:$C$13,2,0),""))</f>
        <v/>
      </c>
    </row>
    <row r="358">
      <c r="T358" s="258">
        <f>IF(R358="","",IFERROR(TODAY()+VLOOKUP(R358,REGRAS!$B$2:$C$13,2,0),""))</f>
        <v/>
      </c>
    </row>
    <row r="359">
      <c r="T359" s="258">
        <f>IF(R359="","",IFERROR(TODAY()+VLOOKUP(R359,REGRAS!$B$2:$C$13,2,0),""))</f>
        <v/>
      </c>
    </row>
    <row r="360">
      <c r="T360" s="258">
        <f>IF(R360="","",IFERROR(TODAY()+VLOOKUP(R360,REGRAS!$B$2:$C$13,2,0),""))</f>
        <v/>
      </c>
    </row>
    <row r="361">
      <c r="T361" s="258">
        <f>IF(R361="","",IFERROR(TODAY()+VLOOKUP(R361,REGRAS!$B$2:$C$13,2,0),""))</f>
        <v/>
      </c>
    </row>
    <row r="362">
      <c r="T362" s="258">
        <f>IF(R362="","",IFERROR(TODAY()+VLOOKUP(R362,REGRAS!$B$2:$C$13,2,0),""))</f>
        <v/>
      </c>
    </row>
    <row r="363">
      <c r="T363" s="258">
        <f>IF(R363="","",IFERROR(TODAY()+VLOOKUP(R363,REGRAS!$B$2:$C$13,2,0),""))</f>
        <v/>
      </c>
    </row>
    <row r="364">
      <c r="T364" s="258">
        <f>IF(R364="","",IFERROR(TODAY()+VLOOKUP(R364,REGRAS!$B$2:$C$13,2,0),""))</f>
        <v/>
      </c>
    </row>
    <row r="365">
      <c r="T365" s="258">
        <f>IF(R365="","",IFERROR(TODAY()+VLOOKUP(R365,REGRAS!$B$2:$C$13,2,0),""))</f>
        <v/>
      </c>
    </row>
    <row r="366">
      <c r="T366" s="258">
        <f>IF(R366="","",IFERROR(TODAY()+VLOOKUP(R366,REGRAS!$B$2:$C$13,2,0),""))</f>
        <v/>
      </c>
    </row>
    <row r="367">
      <c r="T367" s="258">
        <f>IF(R367="","",IFERROR(TODAY()+VLOOKUP(R367,REGRAS!$B$2:$C$13,2,0),""))</f>
        <v/>
      </c>
    </row>
    <row r="368">
      <c r="T368" s="258">
        <f>IF(R368="","",IFERROR(TODAY()+VLOOKUP(R368,REGRAS!$B$2:$C$13,2,0),""))</f>
        <v/>
      </c>
    </row>
    <row r="369">
      <c r="T369" s="258">
        <f>IF(R369="","",IFERROR(TODAY()+VLOOKUP(R369,REGRAS!$B$2:$C$13,2,0),""))</f>
        <v/>
      </c>
    </row>
    <row r="370">
      <c r="T370" s="258">
        <f>IF(R370="","",IFERROR(TODAY()+VLOOKUP(R370,REGRAS!$B$2:$C$13,2,0),""))</f>
        <v/>
      </c>
    </row>
    <row r="371">
      <c r="T371" s="258">
        <f>IF(R371="","",IFERROR(TODAY()+VLOOKUP(R371,REGRAS!$B$2:$C$13,2,0),""))</f>
        <v/>
      </c>
    </row>
    <row r="372">
      <c r="T372" s="258">
        <f>IF(R372="","",IFERROR(TODAY()+VLOOKUP(R372,REGRAS!$B$2:$C$13,2,0),""))</f>
        <v/>
      </c>
    </row>
    <row r="373">
      <c r="T373" s="258">
        <f>IF(R373="","",IFERROR(TODAY()+VLOOKUP(R373,REGRAS!$B$2:$C$13,2,0),""))</f>
        <v/>
      </c>
    </row>
    <row r="374">
      <c r="T374" s="258">
        <f>IF(R374="","",IFERROR(TODAY()+VLOOKUP(R374,REGRAS!$B$2:$C$13,2,0),""))</f>
        <v/>
      </c>
    </row>
    <row r="375">
      <c r="T375" s="258">
        <f>IF(R375="","",IFERROR(TODAY()+VLOOKUP(R375,REGRAS!$B$2:$C$13,2,0),""))</f>
        <v/>
      </c>
    </row>
    <row r="376">
      <c r="T376" s="258">
        <f>IF(R376="","",IFERROR(TODAY()+VLOOKUP(R376,REGRAS!$B$2:$C$13,2,0),""))</f>
        <v/>
      </c>
    </row>
    <row r="377">
      <c r="T377" s="258">
        <f>IF(R377="","",IFERROR(TODAY()+VLOOKUP(R377,REGRAS!$B$2:$C$13,2,0),""))</f>
        <v/>
      </c>
    </row>
    <row r="378">
      <c r="T378" s="258">
        <f>IF(R378="","",IFERROR(TODAY()+VLOOKUP(R378,REGRAS!$B$2:$C$13,2,0),""))</f>
        <v/>
      </c>
    </row>
    <row r="379">
      <c r="T379" s="258">
        <f>IF(R379="","",IFERROR(TODAY()+VLOOKUP(R379,REGRAS!$B$2:$C$13,2,0),""))</f>
        <v/>
      </c>
    </row>
    <row r="380">
      <c r="T380" s="258">
        <f>IF(R380="","",IFERROR(TODAY()+VLOOKUP(R380,REGRAS!$B$2:$C$13,2,0),""))</f>
        <v/>
      </c>
    </row>
    <row r="381">
      <c r="T381" s="258">
        <f>IF(R381="","",IFERROR(TODAY()+VLOOKUP(R381,REGRAS!$B$2:$C$13,2,0),""))</f>
        <v/>
      </c>
    </row>
    <row r="382">
      <c r="T382" s="258">
        <f>IF(R382="","",IFERROR(TODAY()+VLOOKUP(R382,REGRAS!$B$2:$C$13,2,0),""))</f>
        <v/>
      </c>
    </row>
    <row r="383">
      <c r="T383" s="258">
        <f>IF(R383="","",IFERROR(TODAY()+VLOOKUP(R383,REGRAS!$B$2:$C$13,2,0),""))</f>
        <v/>
      </c>
    </row>
    <row r="384">
      <c r="T384" s="258">
        <f>IF(R384="","",IFERROR(TODAY()+VLOOKUP(R384,REGRAS!$B$2:$C$13,2,0),""))</f>
        <v/>
      </c>
    </row>
    <row r="385">
      <c r="T385" s="258">
        <f>IF(R385="","",IFERROR(TODAY()+VLOOKUP(R385,REGRAS!$B$2:$C$13,2,0),""))</f>
        <v/>
      </c>
    </row>
    <row r="386">
      <c r="T386" s="258">
        <f>IF(R386="","",IFERROR(TODAY()+VLOOKUP(R386,REGRAS!$B$2:$C$13,2,0),""))</f>
        <v/>
      </c>
    </row>
    <row r="387">
      <c r="T387" s="258">
        <f>IF(R387="","",IFERROR(TODAY()+VLOOKUP(R387,REGRAS!$B$2:$C$13,2,0),""))</f>
        <v/>
      </c>
    </row>
    <row r="388">
      <c r="T388" s="258">
        <f>IF(R388="","",IFERROR(TODAY()+VLOOKUP(R388,REGRAS!$B$2:$C$13,2,0),""))</f>
        <v/>
      </c>
    </row>
    <row r="389">
      <c r="T389" s="258">
        <f>IF(R389="","",IFERROR(TODAY()+VLOOKUP(R389,REGRAS!$B$2:$C$13,2,0),""))</f>
        <v/>
      </c>
    </row>
    <row r="390">
      <c r="T390" s="258">
        <f>IF(R390="","",IFERROR(TODAY()+VLOOKUP(R390,REGRAS!$B$2:$C$13,2,0),""))</f>
        <v/>
      </c>
    </row>
    <row r="391">
      <c r="T391" s="258">
        <f>IF(R391="","",IFERROR(TODAY()+VLOOKUP(R391,REGRAS!$B$2:$C$13,2,0),""))</f>
        <v/>
      </c>
    </row>
    <row r="392">
      <c r="T392" s="258">
        <f>IF(R392="","",IFERROR(TODAY()+VLOOKUP(R392,REGRAS!$B$2:$C$13,2,0),""))</f>
        <v/>
      </c>
    </row>
    <row r="393">
      <c r="T393" s="258">
        <f>IF(R393="","",IFERROR(TODAY()+VLOOKUP(R393,REGRAS!$B$2:$C$13,2,0),""))</f>
        <v/>
      </c>
    </row>
    <row r="394">
      <c r="T394" s="258">
        <f>IF(R394="","",IFERROR(TODAY()+VLOOKUP(R394,REGRAS!$B$2:$C$13,2,0),""))</f>
        <v/>
      </c>
    </row>
    <row r="395">
      <c r="T395" s="258">
        <f>IF(R395="","",IFERROR(TODAY()+VLOOKUP(R395,REGRAS!$B$2:$C$13,2,0),""))</f>
        <v/>
      </c>
    </row>
    <row r="396">
      <c r="T396" s="258">
        <f>IF(R396="","",IFERROR(TODAY()+VLOOKUP(R396,REGRAS!$B$2:$C$13,2,0),""))</f>
        <v/>
      </c>
    </row>
    <row r="397">
      <c r="T397" s="258">
        <f>IF(R397="","",IFERROR(TODAY()+VLOOKUP(R397,REGRAS!$B$2:$C$13,2,0),""))</f>
        <v/>
      </c>
    </row>
    <row r="398">
      <c r="T398" s="258">
        <f>IF(R398="","",IFERROR(TODAY()+VLOOKUP(R398,REGRAS!$B$2:$C$13,2,0),""))</f>
        <v/>
      </c>
    </row>
    <row r="399">
      <c r="T399" s="258">
        <f>IF(R399="","",IFERROR(TODAY()+VLOOKUP(R399,REGRAS!$B$2:$C$13,2,0),""))</f>
        <v/>
      </c>
    </row>
    <row r="400">
      <c r="T400" s="258">
        <f>IF(R400="","",IFERROR(TODAY()+VLOOKUP(R400,REGRAS!$B$2:$C$13,2,0),""))</f>
        <v/>
      </c>
    </row>
    <row r="401">
      <c r="T401" s="258">
        <f>IF(R401="","",IFERROR(TODAY()+VLOOKUP(R401,REGRAS!$B$2:$C$13,2,0),""))</f>
        <v/>
      </c>
    </row>
    <row r="402">
      <c r="T402" s="258">
        <f>IF(R402="","",IFERROR(TODAY()+VLOOKUP(R402,REGRAS!$B$2:$C$13,2,0),""))</f>
        <v/>
      </c>
    </row>
    <row r="403">
      <c r="T403" s="258">
        <f>IF(R403="","",IFERROR(TODAY()+VLOOKUP(R403,REGRAS!$B$2:$C$13,2,0),""))</f>
        <v/>
      </c>
    </row>
    <row r="404">
      <c r="T404" s="258">
        <f>IF(R404="","",IFERROR(TODAY()+VLOOKUP(R404,REGRAS!$B$2:$C$13,2,0),""))</f>
        <v/>
      </c>
    </row>
    <row r="405">
      <c r="T405" s="258">
        <f>IF(R405="","",IFERROR(TODAY()+VLOOKUP(R405,REGRAS!$B$2:$C$13,2,0),""))</f>
        <v/>
      </c>
    </row>
    <row r="406">
      <c r="T406" s="258">
        <f>IF(R406="","",IFERROR(TODAY()+VLOOKUP(R406,REGRAS!$B$2:$C$13,2,0),""))</f>
        <v/>
      </c>
    </row>
    <row r="407">
      <c r="T407" s="258">
        <f>IF(R407="","",IFERROR(TODAY()+VLOOKUP(R407,REGRAS!$B$2:$C$13,2,0),""))</f>
        <v/>
      </c>
    </row>
    <row r="408">
      <c r="T408" s="258">
        <f>IF(R408="","",IFERROR(TODAY()+VLOOKUP(R408,REGRAS!$B$2:$C$13,2,0),""))</f>
        <v/>
      </c>
    </row>
    <row r="409">
      <c r="T409" s="258">
        <f>IF(R409="","",IFERROR(TODAY()+VLOOKUP(R409,REGRAS!$B$2:$C$13,2,0),""))</f>
        <v/>
      </c>
    </row>
    <row r="410">
      <c r="T410" s="258">
        <f>IF(R410="","",IFERROR(TODAY()+VLOOKUP(R410,REGRAS!$B$2:$C$13,2,0),""))</f>
        <v/>
      </c>
    </row>
    <row r="411">
      <c r="T411" s="258">
        <f>IF(R411="","",IFERROR(TODAY()+VLOOKUP(R411,REGRAS!$B$2:$C$13,2,0),""))</f>
        <v/>
      </c>
    </row>
    <row r="412">
      <c r="T412" s="258">
        <f>IF(R412="","",IFERROR(TODAY()+VLOOKUP(R412,REGRAS!$B$2:$C$13,2,0),""))</f>
        <v/>
      </c>
    </row>
    <row r="413">
      <c r="T413" s="258">
        <f>IF(R413="","",IFERROR(TODAY()+VLOOKUP(R413,REGRAS!$B$2:$C$13,2,0),""))</f>
        <v/>
      </c>
    </row>
    <row r="414">
      <c r="T414" s="258">
        <f>IF(R414="","",IFERROR(TODAY()+VLOOKUP(R414,REGRAS!$B$2:$C$13,2,0),""))</f>
        <v/>
      </c>
    </row>
    <row r="415">
      <c r="T415" s="258">
        <f>IF(R415="","",IFERROR(TODAY()+VLOOKUP(R415,REGRAS!$B$2:$C$13,2,0),""))</f>
        <v/>
      </c>
    </row>
    <row r="416">
      <c r="T416" s="258">
        <f>IF(R416="","",IFERROR(TODAY()+VLOOKUP(R416,REGRAS!$B$2:$C$13,2,0),""))</f>
        <v/>
      </c>
    </row>
    <row r="417">
      <c r="T417" s="258">
        <f>IF(R417="","",IFERROR(TODAY()+VLOOKUP(R417,REGRAS!$B$2:$C$13,2,0),""))</f>
        <v/>
      </c>
    </row>
    <row r="418">
      <c r="T418" s="258">
        <f>IF(R418="","",IFERROR(TODAY()+VLOOKUP(R418,REGRAS!$B$2:$C$13,2,0),""))</f>
        <v/>
      </c>
    </row>
    <row r="419">
      <c r="T419" s="258">
        <f>IF(R419="","",IFERROR(TODAY()+VLOOKUP(R419,REGRAS!$B$2:$C$13,2,0),""))</f>
        <v/>
      </c>
    </row>
    <row r="420">
      <c r="T420" s="258">
        <f>IF(R420="","",IFERROR(TODAY()+VLOOKUP(R420,REGRAS!$B$2:$C$13,2,0),""))</f>
        <v/>
      </c>
    </row>
    <row r="421">
      <c r="T421" s="258">
        <f>IF(R421="","",IFERROR(TODAY()+VLOOKUP(R421,REGRAS!$B$2:$C$13,2,0),""))</f>
        <v/>
      </c>
    </row>
    <row r="422">
      <c r="T422" s="258">
        <f>IF(R422="","",IFERROR(TODAY()+VLOOKUP(R422,REGRAS!$B$2:$C$13,2,0),""))</f>
        <v/>
      </c>
    </row>
    <row r="423">
      <c r="T423" s="258">
        <f>IF(R423="","",IFERROR(TODAY()+VLOOKUP(R423,REGRAS!$B$2:$C$13,2,0),""))</f>
        <v/>
      </c>
    </row>
    <row r="424">
      <c r="T424" s="258">
        <f>IF(R424="","",IFERROR(TODAY()+VLOOKUP(R424,REGRAS!$B$2:$C$13,2,0),""))</f>
        <v/>
      </c>
    </row>
    <row r="425">
      <c r="T425" s="258">
        <f>IF(R425="","",IFERROR(TODAY()+VLOOKUP(R425,REGRAS!$B$2:$C$13,2,0),""))</f>
        <v/>
      </c>
    </row>
    <row r="426">
      <c r="T426" s="258">
        <f>IF(R426="","",IFERROR(TODAY()+VLOOKUP(R426,REGRAS!$B$2:$C$13,2,0),""))</f>
        <v/>
      </c>
    </row>
    <row r="427">
      <c r="T427" s="258">
        <f>IF(R427="","",IFERROR(TODAY()+VLOOKUP(R427,REGRAS!$B$2:$C$13,2,0),""))</f>
        <v/>
      </c>
    </row>
    <row r="428">
      <c r="T428" s="258">
        <f>IF(R428="","",IFERROR(TODAY()+VLOOKUP(R428,REGRAS!$B$2:$C$13,2,0),""))</f>
        <v/>
      </c>
    </row>
    <row r="429">
      <c r="T429" s="258">
        <f>IF(R429="","",IFERROR(TODAY()+VLOOKUP(R429,REGRAS!$B$2:$C$13,2,0),""))</f>
        <v/>
      </c>
    </row>
    <row r="430">
      <c r="T430" s="258">
        <f>IF(R430="","",IFERROR(TODAY()+VLOOKUP(R430,REGRAS!$B$2:$C$13,2,0),""))</f>
        <v/>
      </c>
    </row>
    <row r="431">
      <c r="T431" s="258">
        <f>IF(R431="","",IFERROR(TODAY()+VLOOKUP(R431,REGRAS!$B$2:$C$13,2,0),""))</f>
        <v/>
      </c>
    </row>
    <row r="432">
      <c r="T432" s="258">
        <f>IF(R432="","",IFERROR(TODAY()+VLOOKUP(R432,REGRAS!$B$2:$C$13,2,0),""))</f>
        <v/>
      </c>
    </row>
    <row r="433">
      <c r="T433" s="258">
        <f>IF(R433="","",IFERROR(TODAY()+VLOOKUP(R433,REGRAS!$B$2:$C$13,2,0),""))</f>
        <v/>
      </c>
    </row>
    <row r="434">
      <c r="T434" s="258">
        <f>IF(R434="","",IFERROR(TODAY()+VLOOKUP(R434,REGRAS!$B$2:$C$13,2,0),""))</f>
        <v/>
      </c>
    </row>
    <row r="435">
      <c r="T435" s="258">
        <f>IF(R435="","",IFERROR(TODAY()+VLOOKUP(R435,REGRAS!$B$2:$C$13,2,0),""))</f>
        <v/>
      </c>
    </row>
    <row r="436">
      <c r="T436" s="258">
        <f>IF(R436="","",IFERROR(TODAY()+VLOOKUP(R436,REGRAS!$B$2:$C$13,2,0),""))</f>
        <v/>
      </c>
    </row>
    <row r="437">
      <c r="T437" s="258">
        <f>IF(R437="","",IFERROR(TODAY()+VLOOKUP(R437,REGRAS!$B$2:$C$13,2,0),""))</f>
        <v/>
      </c>
    </row>
    <row r="438">
      <c r="T438" s="258">
        <f>IF(R438="","",IFERROR(TODAY()+VLOOKUP(R438,REGRAS!$B$2:$C$13,2,0),""))</f>
        <v/>
      </c>
    </row>
    <row r="439">
      <c r="T439" s="258">
        <f>IF(R439="","",IFERROR(TODAY()+VLOOKUP(R439,REGRAS!$B$2:$C$13,2,0),""))</f>
        <v/>
      </c>
    </row>
    <row r="440">
      <c r="T440" s="258">
        <f>IF(R440="","",IFERROR(TODAY()+VLOOKUP(R440,REGRAS!$B$2:$C$13,2,0),""))</f>
        <v/>
      </c>
    </row>
    <row r="441">
      <c r="T441" s="258">
        <f>IF(R441="","",IFERROR(TODAY()+VLOOKUP(R441,REGRAS!$B$2:$C$13,2,0),""))</f>
        <v/>
      </c>
    </row>
    <row r="442">
      <c r="T442" s="258">
        <f>IF(R442="","",IFERROR(TODAY()+VLOOKUP(R442,REGRAS!$B$2:$C$13,2,0),""))</f>
        <v/>
      </c>
    </row>
    <row r="443">
      <c r="T443" s="258">
        <f>IF(R443="","",IFERROR(TODAY()+VLOOKUP(R443,REGRAS!$B$2:$C$13,2,0),""))</f>
        <v/>
      </c>
    </row>
    <row r="444">
      <c r="T444" s="258">
        <f>IF(R444="","",IFERROR(TODAY()+VLOOKUP(R444,REGRAS!$B$2:$C$13,2,0),""))</f>
        <v/>
      </c>
    </row>
    <row r="445">
      <c r="T445" s="258">
        <f>IF(R445="","",IFERROR(TODAY()+VLOOKUP(R445,REGRAS!$B$2:$C$13,2,0),""))</f>
        <v/>
      </c>
    </row>
    <row r="446">
      <c r="T446" s="258">
        <f>IF(R446="","",IFERROR(TODAY()+VLOOKUP(R446,REGRAS!$B$2:$C$13,2,0),""))</f>
        <v/>
      </c>
    </row>
    <row r="447">
      <c r="T447" s="258">
        <f>IF(R447="","",IFERROR(TODAY()+VLOOKUP(R447,REGRAS!$B$2:$C$13,2,0),""))</f>
        <v/>
      </c>
    </row>
    <row r="448">
      <c r="T448" s="258">
        <f>IF(R448="","",IFERROR(TODAY()+VLOOKUP(R448,REGRAS!$B$2:$C$13,2,0),""))</f>
        <v/>
      </c>
    </row>
    <row r="449">
      <c r="T449" s="258">
        <f>IF(R449="","",IFERROR(TODAY()+VLOOKUP(R449,REGRAS!$B$2:$C$13,2,0),""))</f>
        <v/>
      </c>
    </row>
    <row r="450">
      <c r="T450" s="258">
        <f>IF(R450="","",IFERROR(TODAY()+VLOOKUP(R450,REGRAS!$B$2:$C$13,2,0),""))</f>
        <v/>
      </c>
    </row>
    <row r="451">
      <c r="T451" s="258">
        <f>IF(R451="","",IFERROR(TODAY()+VLOOKUP(R451,REGRAS!$B$2:$C$13,2,0),""))</f>
        <v/>
      </c>
    </row>
    <row r="452">
      <c r="T452" s="258">
        <f>IF(R452="","",IFERROR(TODAY()+VLOOKUP(R452,REGRAS!$B$2:$C$13,2,0),""))</f>
        <v/>
      </c>
    </row>
    <row r="453">
      <c r="T453" s="258">
        <f>IF(R453="","",IFERROR(TODAY()+VLOOKUP(R453,REGRAS!$B$2:$C$13,2,0),""))</f>
        <v/>
      </c>
    </row>
    <row r="454">
      <c r="T454" s="258">
        <f>IF(R454="","",IFERROR(TODAY()+VLOOKUP(R454,REGRAS!$B$2:$C$13,2,0),""))</f>
        <v/>
      </c>
    </row>
    <row r="455">
      <c r="T455" s="258">
        <f>IF(R455="","",IFERROR(TODAY()+VLOOKUP(R455,REGRAS!$B$2:$C$13,2,0),""))</f>
        <v/>
      </c>
    </row>
    <row r="456">
      <c r="T456" s="258">
        <f>IF(R456="","",IFERROR(TODAY()+VLOOKUP(R456,REGRAS!$B$2:$C$13,2,0),""))</f>
        <v/>
      </c>
    </row>
    <row r="457">
      <c r="T457" s="258">
        <f>IF(R457="","",IFERROR(TODAY()+VLOOKUP(R457,REGRAS!$B$2:$C$13,2,0),""))</f>
        <v/>
      </c>
    </row>
    <row r="458">
      <c r="T458" s="258">
        <f>IF(R458="","",IFERROR(TODAY()+VLOOKUP(R458,REGRAS!$B$2:$C$13,2,0),""))</f>
        <v/>
      </c>
    </row>
    <row r="459">
      <c r="T459" s="258">
        <f>IF(R459="","",IFERROR(TODAY()+VLOOKUP(R459,REGRAS!$B$2:$C$13,2,0),""))</f>
        <v/>
      </c>
    </row>
    <row r="460">
      <c r="T460" s="258">
        <f>IF(R460="","",IFERROR(TODAY()+VLOOKUP(R460,REGRAS!$B$2:$C$13,2,0),""))</f>
        <v/>
      </c>
    </row>
    <row r="461">
      <c r="T461" s="258">
        <f>IF(R461="","",IFERROR(TODAY()+VLOOKUP(R461,REGRAS!$B$2:$C$13,2,0),""))</f>
        <v/>
      </c>
    </row>
    <row r="462">
      <c r="T462" s="258">
        <f>IF(R462="","",IFERROR(TODAY()+VLOOKUP(R462,REGRAS!$B$2:$C$13,2,0),""))</f>
        <v/>
      </c>
    </row>
    <row r="463">
      <c r="T463" s="258">
        <f>IF(R463="","",IFERROR(TODAY()+VLOOKUP(R463,REGRAS!$B$2:$C$13,2,0),""))</f>
        <v/>
      </c>
    </row>
    <row r="464">
      <c r="T464" s="258">
        <f>IF(R464="","",IFERROR(TODAY()+VLOOKUP(R464,REGRAS!$B$2:$C$13,2,0),""))</f>
        <v/>
      </c>
    </row>
    <row r="465">
      <c r="T465" s="258">
        <f>IF(R465="","",IFERROR(TODAY()+VLOOKUP(R465,REGRAS!$B$2:$C$13,2,0),""))</f>
        <v/>
      </c>
    </row>
    <row r="466">
      <c r="T466" s="258">
        <f>IF(R466="","",IFERROR(TODAY()+VLOOKUP(R466,REGRAS!$B$2:$C$13,2,0),""))</f>
        <v/>
      </c>
    </row>
    <row r="467">
      <c r="T467" s="258">
        <f>IF(R467="","",IFERROR(TODAY()+VLOOKUP(R467,REGRAS!$B$2:$C$13,2,0),""))</f>
        <v/>
      </c>
    </row>
    <row r="468">
      <c r="T468" s="258">
        <f>IF(R468="","",IFERROR(TODAY()+VLOOKUP(R468,REGRAS!$B$2:$C$13,2,0),""))</f>
        <v/>
      </c>
    </row>
    <row r="469">
      <c r="T469" s="258">
        <f>IF(R469="","",IFERROR(TODAY()+VLOOKUP(R469,REGRAS!$B$2:$C$13,2,0),""))</f>
        <v/>
      </c>
    </row>
    <row r="470">
      <c r="T470" s="258">
        <f>IF(R470="","",IFERROR(TODAY()+VLOOKUP(R470,REGRAS!$B$2:$C$13,2,0),""))</f>
        <v/>
      </c>
    </row>
    <row r="471">
      <c r="T471" s="258">
        <f>IF(R471="","",IFERROR(TODAY()+VLOOKUP(R471,REGRAS!$B$2:$C$13,2,0),""))</f>
        <v/>
      </c>
    </row>
    <row r="472">
      <c r="T472" s="258">
        <f>IF(R472="","",IFERROR(TODAY()+VLOOKUP(R472,REGRAS!$B$2:$C$13,2,0),""))</f>
        <v/>
      </c>
    </row>
    <row r="473">
      <c r="T473" s="258">
        <f>IF(R473="","",IFERROR(TODAY()+VLOOKUP(R473,REGRAS!$B$2:$C$13,2,0),""))</f>
        <v/>
      </c>
    </row>
    <row r="474">
      <c r="T474" s="258">
        <f>IF(R474="","",IFERROR(TODAY()+VLOOKUP(R474,REGRAS!$B$2:$C$13,2,0),""))</f>
        <v/>
      </c>
    </row>
    <row r="475">
      <c r="T475" s="258">
        <f>IF(R475="","",IFERROR(TODAY()+VLOOKUP(R475,REGRAS!$B$2:$C$13,2,0),""))</f>
        <v/>
      </c>
    </row>
    <row r="476">
      <c r="T476" s="258">
        <f>IF(R476="","",IFERROR(TODAY()+VLOOKUP(R476,REGRAS!$B$2:$C$13,2,0),""))</f>
        <v/>
      </c>
    </row>
    <row r="477">
      <c r="T477" s="258">
        <f>IF(R477="","",IFERROR(TODAY()+VLOOKUP(R477,REGRAS!$B$2:$C$13,2,0),""))</f>
        <v/>
      </c>
    </row>
    <row r="478">
      <c r="T478" s="258">
        <f>IF(R478="","",IFERROR(TODAY()+VLOOKUP(R478,REGRAS!$B$2:$C$13,2,0),""))</f>
        <v/>
      </c>
    </row>
    <row r="479">
      <c r="T479" s="258">
        <f>IF(R479="","",IFERROR(TODAY()+VLOOKUP(R479,REGRAS!$B$2:$C$13,2,0),""))</f>
        <v/>
      </c>
    </row>
    <row r="480">
      <c r="T480" s="258">
        <f>IF(R480="","",IFERROR(TODAY()+VLOOKUP(R480,REGRAS!$B$2:$C$13,2,0),""))</f>
        <v/>
      </c>
    </row>
    <row r="481">
      <c r="T481" s="258">
        <f>IF(R481="","",IFERROR(TODAY()+VLOOKUP(R481,REGRAS!$B$2:$C$13,2,0),""))</f>
        <v/>
      </c>
    </row>
    <row r="482">
      <c r="T482" s="258">
        <f>IF(R482="","",IFERROR(TODAY()+VLOOKUP(R482,REGRAS!$B$2:$C$13,2,0),""))</f>
        <v/>
      </c>
    </row>
    <row r="483">
      <c r="T483" s="258">
        <f>IF(R483="","",IFERROR(TODAY()+VLOOKUP(R483,REGRAS!$B$2:$C$13,2,0),""))</f>
        <v/>
      </c>
    </row>
    <row r="484">
      <c r="T484" s="258">
        <f>IF(R484="","",IFERROR(TODAY()+VLOOKUP(R484,REGRAS!$B$2:$C$13,2,0),""))</f>
        <v/>
      </c>
    </row>
    <row r="485">
      <c r="T485" s="258">
        <f>IF(R485="","",IFERROR(TODAY()+VLOOKUP(R485,REGRAS!$B$2:$C$13,2,0),""))</f>
        <v/>
      </c>
    </row>
    <row r="486">
      <c r="T486" s="258">
        <f>IF(R486="","",IFERROR(TODAY()+VLOOKUP(R486,REGRAS!$B$2:$C$13,2,0),""))</f>
        <v/>
      </c>
    </row>
    <row r="487">
      <c r="T487" s="258">
        <f>IF(R487="","",IFERROR(TODAY()+VLOOKUP(R487,REGRAS!$B$2:$C$13,2,0),""))</f>
        <v/>
      </c>
    </row>
    <row r="488">
      <c r="T488" s="258">
        <f>IF(R488="","",IFERROR(TODAY()+VLOOKUP(R488,REGRAS!$B$2:$C$13,2,0),""))</f>
        <v/>
      </c>
    </row>
    <row r="489">
      <c r="T489" s="258">
        <f>IF(R489="","",IFERROR(TODAY()+VLOOKUP(R489,REGRAS!$B$2:$C$13,2,0),""))</f>
        <v/>
      </c>
    </row>
    <row r="490">
      <c r="T490" s="258">
        <f>IF(R490="","",IFERROR(TODAY()+VLOOKUP(R490,REGRAS!$B$2:$C$13,2,0),""))</f>
        <v/>
      </c>
    </row>
    <row r="491">
      <c r="T491" s="258">
        <f>IF(R491="","",IFERROR(TODAY()+VLOOKUP(R491,REGRAS!$B$2:$C$13,2,0),""))</f>
        <v/>
      </c>
    </row>
    <row r="492">
      <c r="T492" s="258">
        <f>IF(R492="","",IFERROR(TODAY()+VLOOKUP(R492,REGRAS!$B$2:$C$13,2,0),""))</f>
        <v/>
      </c>
    </row>
    <row r="493">
      <c r="T493" s="258">
        <f>IF(R493="","",IFERROR(TODAY()+VLOOKUP(R493,REGRAS!$B$2:$C$13,2,0),""))</f>
        <v/>
      </c>
    </row>
    <row r="494">
      <c r="T494" s="258">
        <f>IF(R494="","",IFERROR(TODAY()+VLOOKUP(R494,REGRAS!$B$2:$C$13,2,0),""))</f>
        <v/>
      </c>
    </row>
    <row r="495">
      <c r="T495" s="258">
        <f>IF(R495="","",IFERROR(TODAY()+VLOOKUP(R495,REGRAS!$B$2:$C$13,2,0),""))</f>
        <v/>
      </c>
    </row>
    <row r="496">
      <c r="T496" s="258">
        <f>IF(R496="","",IFERROR(TODAY()+VLOOKUP(R496,REGRAS!$B$2:$C$13,2,0),""))</f>
        <v/>
      </c>
    </row>
    <row r="497">
      <c r="T497" s="258">
        <f>IF(R497="","",IFERROR(TODAY()+VLOOKUP(R497,REGRAS!$B$2:$C$13,2,0),""))</f>
        <v/>
      </c>
    </row>
    <row r="498">
      <c r="T498" s="258">
        <f>IF(R498="","",IFERROR(TODAY()+VLOOKUP(R498,REGRAS!$B$2:$C$13,2,0),""))</f>
        <v/>
      </c>
    </row>
    <row r="499">
      <c r="T499" s="258">
        <f>IF(R499="","",IFERROR(TODAY()+VLOOKUP(R499,REGRAS!$B$2:$C$13,2,0),""))</f>
        <v/>
      </c>
    </row>
    <row r="500">
      <c r="T500" s="258">
        <f>IF(R500="","",IFERROR(TODAY()+VLOOKUP(R500,REGRAS!$B$2:$C$13,2,0),""))</f>
        <v/>
      </c>
    </row>
    <row r="501">
      <c r="T501" s="258">
        <f>IF(R501="","",IFERROR(TODAY()+VLOOKUP(R501,REGRAS!$B$2:$C$13,2,0),""))</f>
        <v/>
      </c>
    </row>
    <row r="502">
      <c r="T502" s="258">
        <f>IF(R502="","",IFERROR(TODAY()+VLOOKUP(R502,REGRAS!$B$2:$C$13,2,0),""))</f>
        <v/>
      </c>
    </row>
    <row r="503">
      <c r="T503" s="258">
        <f>IF(R503="","",IFERROR(TODAY()+VLOOKUP(R503,REGRAS!$B$2:$C$13,2,0),""))</f>
        <v/>
      </c>
    </row>
    <row r="504">
      <c r="T504" s="258">
        <f>IF(R504="","",IFERROR(TODAY()+VLOOKUP(R504,REGRAS!$B$2:$C$13,2,0),""))</f>
        <v/>
      </c>
    </row>
    <row r="505">
      <c r="T505" s="258">
        <f>IF(R505="","",IFERROR(TODAY()+VLOOKUP(R505,REGRAS!$B$2:$C$13,2,0),""))</f>
        <v/>
      </c>
    </row>
    <row r="506">
      <c r="T506" s="258">
        <f>IF(R506="","",IFERROR(TODAY()+VLOOKUP(R506,REGRAS!$B$2:$C$13,2,0),""))</f>
        <v/>
      </c>
    </row>
    <row r="507">
      <c r="T507" s="258">
        <f>IF(R507="","",IFERROR(TODAY()+VLOOKUP(R507,REGRAS!$B$2:$C$13,2,0),""))</f>
        <v/>
      </c>
    </row>
    <row r="508">
      <c r="T508" s="258">
        <f>IF(R508="","",IFERROR(TODAY()+VLOOKUP(R508,REGRAS!$B$2:$C$13,2,0),""))</f>
        <v/>
      </c>
    </row>
    <row r="509">
      <c r="T509" s="258">
        <f>IF(R509="","",IFERROR(TODAY()+VLOOKUP(R509,REGRAS!$B$2:$C$13,2,0),""))</f>
        <v/>
      </c>
    </row>
    <row r="510">
      <c r="T510" s="258">
        <f>IF(R510="","",IFERROR(TODAY()+VLOOKUP(R510,REGRAS!$B$2:$C$13,2,0),""))</f>
        <v/>
      </c>
    </row>
    <row r="511">
      <c r="T511" s="258">
        <f>IF(R511="","",IFERROR(TODAY()+VLOOKUP(R511,REGRAS!$B$2:$C$13,2,0),""))</f>
        <v/>
      </c>
    </row>
    <row r="512">
      <c r="T512" s="258">
        <f>IF(R512="","",IFERROR(TODAY()+VLOOKUP(R512,REGRAS!$B$2:$C$13,2,0),""))</f>
        <v/>
      </c>
    </row>
    <row r="513">
      <c r="T513" s="258">
        <f>IF(R513="","",IFERROR(TODAY()+VLOOKUP(R513,REGRAS!$B$2:$C$13,2,0),""))</f>
        <v/>
      </c>
    </row>
    <row r="514">
      <c r="T514" s="258">
        <f>IF(R514="","",IFERROR(TODAY()+VLOOKUP(R514,REGRAS!$B$2:$C$13,2,0),""))</f>
        <v/>
      </c>
    </row>
    <row r="515">
      <c r="T515" s="258">
        <f>IF(R515="","",IFERROR(TODAY()+VLOOKUP(R515,REGRAS!$B$2:$C$13,2,0),""))</f>
        <v/>
      </c>
    </row>
    <row r="516">
      <c r="T516" s="258">
        <f>IF(R516="","",IFERROR(TODAY()+VLOOKUP(R516,REGRAS!$B$2:$C$13,2,0),""))</f>
        <v/>
      </c>
    </row>
    <row r="517">
      <c r="T517" s="258">
        <f>IF(R517="","",IFERROR(TODAY()+VLOOKUP(R517,REGRAS!$B$2:$C$13,2,0),""))</f>
        <v/>
      </c>
    </row>
    <row r="518">
      <c r="T518" s="258">
        <f>IF(R518="","",IFERROR(TODAY()+VLOOKUP(R518,REGRAS!$B$2:$C$13,2,0),""))</f>
        <v/>
      </c>
    </row>
    <row r="519">
      <c r="T519" s="258">
        <f>IF(R519="","",IFERROR(TODAY()+VLOOKUP(R519,REGRAS!$B$2:$C$13,2,0),""))</f>
        <v/>
      </c>
    </row>
    <row r="520">
      <c r="T520" s="258">
        <f>IF(R520="","",IFERROR(TODAY()+VLOOKUP(R520,REGRAS!$B$2:$C$13,2,0),""))</f>
        <v/>
      </c>
    </row>
    <row r="521">
      <c r="T521" s="258">
        <f>IF(R521="","",IFERROR(TODAY()+VLOOKUP(R521,REGRAS!$B$2:$C$13,2,0),""))</f>
        <v/>
      </c>
    </row>
    <row r="522">
      <c r="T522" s="258">
        <f>IF(R522="","",IFERROR(TODAY()+VLOOKUP(R522,REGRAS!$B$2:$C$13,2,0),""))</f>
        <v/>
      </c>
    </row>
    <row r="523">
      <c r="T523" s="258">
        <f>IF(R523="","",IFERROR(TODAY()+VLOOKUP(R523,REGRAS!$B$2:$C$13,2,0),""))</f>
        <v/>
      </c>
    </row>
    <row r="524">
      <c r="T524" s="258">
        <f>IF(R524="","",IFERROR(TODAY()+VLOOKUP(R524,REGRAS!$B$2:$C$13,2,0),""))</f>
        <v/>
      </c>
    </row>
    <row r="525">
      <c r="T525" s="258">
        <f>IF(R525="","",IFERROR(TODAY()+VLOOKUP(R525,REGRAS!$B$2:$C$13,2,0),""))</f>
        <v/>
      </c>
    </row>
    <row r="526">
      <c r="T526" s="258">
        <f>IF(R526="","",IFERROR(TODAY()+VLOOKUP(R526,REGRAS!$B$2:$C$13,2,0),""))</f>
        <v/>
      </c>
    </row>
    <row r="527">
      <c r="T527" s="258">
        <f>IF(R527="","",IFERROR(TODAY()+VLOOKUP(R527,REGRAS!$B$2:$C$13,2,0),""))</f>
        <v/>
      </c>
    </row>
    <row r="528">
      <c r="T528" s="258">
        <f>IF(R528="","",IFERROR(TODAY()+VLOOKUP(R528,REGRAS!$B$2:$C$13,2,0),""))</f>
        <v/>
      </c>
    </row>
    <row r="529">
      <c r="T529" s="258">
        <f>IF(R529="","",IFERROR(TODAY()+VLOOKUP(R529,REGRAS!$B$2:$C$13,2,0),""))</f>
        <v/>
      </c>
    </row>
    <row r="530">
      <c r="T530" s="258">
        <f>IF(R530="","",IFERROR(TODAY()+VLOOKUP(R530,REGRAS!$B$2:$C$13,2,0),""))</f>
        <v/>
      </c>
    </row>
    <row r="531">
      <c r="T531" s="258">
        <f>IF(R531="","",IFERROR(TODAY()+VLOOKUP(R531,REGRAS!$B$2:$C$13,2,0),""))</f>
        <v/>
      </c>
    </row>
    <row r="532">
      <c r="T532" s="258">
        <f>IF(R532="","",IFERROR(TODAY()+VLOOKUP(R532,REGRAS!$B$2:$C$13,2,0),""))</f>
        <v/>
      </c>
    </row>
    <row r="533">
      <c r="T533" s="258">
        <f>IF(R533="","",IFERROR(TODAY()+VLOOKUP(R533,REGRAS!$B$2:$C$13,2,0),""))</f>
        <v/>
      </c>
    </row>
    <row r="534">
      <c r="T534" s="258">
        <f>IF(R534="","",IFERROR(TODAY()+VLOOKUP(R534,REGRAS!$B$2:$C$13,2,0),""))</f>
        <v/>
      </c>
    </row>
    <row r="535">
      <c r="T535" s="258">
        <f>IF(R535="","",IFERROR(TODAY()+VLOOKUP(R535,REGRAS!$B$2:$C$13,2,0),""))</f>
        <v/>
      </c>
    </row>
    <row r="536">
      <c r="T536" s="258">
        <f>IF(R536="","",IFERROR(TODAY()+VLOOKUP(R536,REGRAS!$B$2:$C$13,2,0),""))</f>
        <v/>
      </c>
    </row>
    <row r="537">
      <c r="T537" s="258">
        <f>IF(R537="","",IFERROR(TODAY()+VLOOKUP(R537,REGRAS!$B$2:$C$13,2,0),""))</f>
        <v/>
      </c>
    </row>
    <row r="538">
      <c r="T538" s="258">
        <f>IF(R538="","",IFERROR(TODAY()+VLOOKUP(R538,REGRAS!$B$2:$C$13,2,0),""))</f>
        <v/>
      </c>
    </row>
    <row r="539">
      <c r="T539" s="258">
        <f>IF(R539="","",IFERROR(TODAY()+VLOOKUP(R539,REGRAS!$B$2:$C$13,2,0),""))</f>
        <v/>
      </c>
    </row>
    <row r="540">
      <c r="T540" s="258">
        <f>IF(R540="","",IFERROR(TODAY()+VLOOKUP(R540,REGRAS!$B$2:$C$13,2,0),""))</f>
        <v/>
      </c>
    </row>
    <row r="541">
      <c r="T541" s="258">
        <f>IF(R541="","",IFERROR(TODAY()+VLOOKUP(R541,REGRAS!$B$2:$C$13,2,0),""))</f>
        <v/>
      </c>
    </row>
    <row r="542">
      <c r="T542" s="258">
        <f>IF(R542="","",IFERROR(TODAY()+VLOOKUP(R542,REGRAS!$B$2:$C$13,2,0),""))</f>
        <v/>
      </c>
    </row>
    <row r="543">
      <c r="T543" s="258">
        <f>IF(R543="","",IFERROR(TODAY()+VLOOKUP(R543,REGRAS!$B$2:$C$13,2,0),""))</f>
        <v/>
      </c>
    </row>
    <row r="544">
      <c r="T544" s="258">
        <f>IF(R544="","",IFERROR(TODAY()+VLOOKUP(R544,REGRAS!$B$2:$C$13,2,0),""))</f>
        <v/>
      </c>
    </row>
    <row r="545">
      <c r="T545" s="258">
        <f>IF(R545="","",IFERROR(TODAY()+VLOOKUP(R545,REGRAS!$B$2:$C$13,2,0),""))</f>
        <v/>
      </c>
    </row>
    <row r="546">
      <c r="T546" s="258">
        <f>IF(R546="","",IFERROR(TODAY()+VLOOKUP(R546,REGRAS!$B$2:$C$13,2,0),""))</f>
        <v/>
      </c>
    </row>
    <row r="547">
      <c r="T547" s="258">
        <f>IF(R547="","",IFERROR(TODAY()+VLOOKUP(R547,REGRAS!$B$2:$C$13,2,0),""))</f>
        <v/>
      </c>
    </row>
    <row r="548">
      <c r="T548" s="258">
        <f>IF(R548="","",IFERROR(TODAY()+VLOOKUP(R548,REGRAS!$B$2:$C$13,2,0),""))</f>
        <v/>
      </c>
    </row>
    <row r="549">
      <c r="T549" s="258">
        <f>IF(R549="","",IFERROR(TODAY()+VLOOKUP(R549,REGRAS!$B$2:$C$13,2,0),""))</f>
        <v/>
      </c>
    </row>
    <row r="550">
      <c r="T550" s="258">
        <f>IF(R550="","",IFERROR(TODAY()+VLOOKUP(R550,REGRAS!$B$2:$C$13,2,0),""))</f>
        <v/>
      </c>
    </row>
    <row r="551">
      <c r="T551" s="258">
        <f>IF(R551="","",IFERROR(TODAY()+VLOOKUP(R551,REGRAS!$B$2:$C$13,2,0),""))</f>
        <v/>
      </c>
    </row>
    <row r="552">
      <c r="T552" s="258">
        <f>IF(R552="","",IFERROR(TODAY()+VLOOKUP(R552,REGRAS!$B$2:$C$13,2,0),""))</f>
        <v/>
      </c>
    </row>
    <row r="553">
      <c r="T553" s="258">
        <f>IF(R553="","",IFERROR(TODAY()+VLOOKUP(R553,REGRAS!$B$2:$C$13,2,0),""))</f>
        <v/>
      </c>
    </row>
    <row r="554">
      <c r="T554" s="258">
        <f>IF(R554="","",IFERROR(TODAY()+VLOOKUP(R554,REGRAS!$B$2:$C$13,2,0),""))</f>
        <v/>
      </c>
    </row>
    <row r="555">
      <c r="T555" s="258">
        <f>IF(R555="","",IFERROR(TODAY()+VLOOKUP(R555,REGRAS!$B$2:$C$13,2,0),""))</f>
        <v/>
      </c>
    </row>
    <row r="556">
      <c r="T556" s="258">
        <f>IF(R556="","",IFERROR(TODAY()+VLOOKUP(R556,REGRAS!$B$2:$C$13,2,0),""))</f>
        <v/>
      </c>
    </row>
    <row r="557">
      <c r="T557" s="258">
        <f>IF(R557="","",IFERROR(TODAY()+VLOOKUP(R557,REGRAS!$B$2:$C$13,2,0),""))</f>
        <v/>
      </c>
    </row>
    <row r="558">
      <c r="T558" s="258">
        <f>IF(R558="","",IFERROR(TODAY()+VLOOKUP(R558,REGRAS!$B$2:$C$13,2,0),""))</f>
        <v/>
      </c>
    </row>
    <row r="559">
      <c r="T559" s="258">
        <f>IF(R559="","",IFERROR(TODAY()+VLOOKUP(R559,REGRAS!$B$2:$C$13,2,0),""))</f>
        <v/>
      </c>
    </row>
    <row r="560">
      <c r="T560" s="258">
        <f>IF(R560="","",IFERROR(TODAY()+VLOOKUP(R560,REGRAS!$B$2:$C$13,2,0),""))</f>
        <v/>
      </c>
    </row>
    <row r="561">
      <c r="T561" s="258">
        <f>IF(R561="","",IFERROR(TODAY()+VLOOKUP(R561,REGRAS!$B$2:$C$13,2,0),""))</f>
        <v/>
      </c>
    </row>
    <row r="562">
      <c r="T562" s="258">
        <f>IF(R562="","",IFERROR(TODAY()+VLOOKUP(R562,REGRAS!$B$2:$C$13,2,0),""))</f>
        <v/>
      </c>
    </row>
    <row r="563">
      <c r="T563" s="258">
        <f>IF(R563="","",IFERROR(TODAY()+VLOOKUP(R563,REGRAS!$B$2:$C$13,2,0),""))</f>
        <v/>
      </c>
    </row>
    <row r="564">
      <c r="T564" s="258">
        <f>IF(R564="","",IFERROR(TODAY()+VLOOKUP(R564,REGRAS!$B$2:$C$13,2,0),""))</f>
        <v/>
      </c>
    </row>
    <row r="565">
      <c r="T565" s="258">
        <f>IF(R565="","",IFERROR(TODAY()+VLOOKUP(R565,REGRAS!$B$2:$C$13,2,0),""))</f>
        <v/>
      </c>
    </row>
    <row r="566">
      <c r="T566" s="258">
        <f>IF(R566="","",IFERROR(TODAY()+VLOOKUP(R566,REGRAS!$B$2:$C$13,2,0),""))</f>
        <v/>
      </c>
    </row>
    <row r="567">
      <c r="T567" s="258">
        <f>IF(R567="","",IFERROR(TODAY()+VLOOKUP(R567,REGRAS!$B$2:$C$13,2,0),""))</f>
        <v/>
      </c>
    </row>
    <row r="568">
      <c r="T568" s="258">
        <f>IF(R568="","",IFERROR(TODAY()+VLOOKUP(R568,REGRAS!$B$2:$C$13,2,0),""))</f>
        <v/>
      </c>
    </row>
    <row r="569">
      <c r="T569" s="258">
        <f>IF(R569="","",IFERROR(TODAY()+VLOOKUP(R569,REGRAS!$B$2:$C$13,2,0),""))</f>
        <v/>
      </c>
    </row>
    <row r="570">
      <c r="T570" s="258">
        <f>IF(R570="","",IFERROR(TODAY()+VLOOKUP(R570,REGRAS!$B$2:$C$13,2,0),""))</f>
        <v/>
      </c>
    </row>
    <row r="571">
      <c r="T571" s="258">
        <f>IF(R571="","",IFERROR(TODAY()+VLOOKUP(R571,REGRAS!$B$2:$C$13,2,0),""))</f>
        <v/>
      </c>
    </row>
    <row r="572">
      <c r="T572" s="258">
        <f>IF(R572="","",IFERROR(TODAY()+VLOOKUP(R572,REGRAS!$B$2:$C$13,2,0),""))</f>
        <v/>
      </c>
    </row>
    <row r="573">
      <c r="T573" s="258">
        <f>IF(R573="","",IFERROR(TODAY()+VLOOKUP(R573,REGRAS!$B$2:$C$13,2,0),""))</f>
        <v/>
      </c>
    </row>
    <row r="574">
      <c r="T574" s="258">
        <f>IF(R574="","",IFERROR(TODAY()+VLOOKUP(R574,REGRAS!$B$2:$C$13,2,0),""))</f>
        <v/>
      </c>
    </row>
    <row r="575">
      <c r="T575" s="258">
        <f>IF(R575="","",IFERROR(TODAY()+VLOOKUP(R575,REGRAS!$B$2:$C$13,2,0),""))</f>
        <v/>
      </c>
    </row>
    <row r="576">
      <c r="T576" s="258">
        <f>IF(R576="","",IFERROR(TODAY()+VLOOKUP(R576,REGRAS!$B$2:$C$13,2,0),""))</f>
        <v/>
      </c>
    </row>
    <row r="577">
      <c r="T577" s="258">
        <f>IF(R577="","",IFERROR(TODAY()+VLOOKUP(R577,REGRAS!$B$2:$C$13,2,0),""))</f>
        <v/>
      </c>
    </row>
    <row r="578">
      <c r="T578" s="258">
        <f>IF(R578="","",IFERROR(TODAY()+VLOOKUP(R578,REGRAS!$B$2:$C$13,2,0),""))</f>
        <v/>
      </c>
    </row>
    <row r="579">
      <c r="T579" s="258">
        <f>IF(R579="","",IFERROR(TODAY()+VLOOKUP(R579,REGRAS!$B$2:$C$13,2,0),""))</f>
        <v/>
      </c>
    </row>
    <row r="580">
      <c r="T580" s="258">
        <f>IF(R580="","",IFERROR(TODAY()+VLOOKUP(R580,REGRAS!$B$2:$C$13,2,0),""))</f>
        <v/>
      </c>
    </row>
    <row r="581">
      <c r="T581" s="258">
        <f>IF(R581="","",IFERROR(TODAY()+VLOOKUP(R581,REGRAS!$B$2:$C$13,2,0),""))</f>
        <v/>
      </c>
    </row>
    <row r="582">
      <c r="T582" s="258">
        <f>IF(R582="","",IFERROR(TODAY()+VLOOKUP(R582,REGRAS!$B$2:$C$13,2,0),""))</f>
        <v/>
      </c>
    </row>
    <row r="583">
      <c r="T583" s="258">
        <f>IF(R583="","",IFERROR(TODAY()+VLOOKUP(R583,REGRAS!$B$2:$C$13,2,0),""))</f>
        <v/>
      </c>
    </row>
    <row r="584">
      <c r="T584" s="258">
        <f>IF(R584="","",IFERROR(TODAY()+VLOOKUP(R584,REGRAS!$B$2:$C$13,2,0),""))</f>
        <v/>
      </c>
    </row>
    <row r="585">
      <c r="T585" s="258">
        <f>IF(R585="","",IFERROR(TODAY()+VLOOKUP(R585,REGRAS!$B$2:$C$13,2,0),""))</f>
        <v/>
      </c>
    </row>
    <row r="586">
      <c r="T586" s="258">
        <f>IF(R586="","",IFERROR(TODAY()+VLOOKUP(R586,REGRAS!$B$2:$C$13,2,0),""))</f>
        <v/>
      </c>
    </row>
    <row r="587">
      <c r="T587" s="258">
        <f>IF(R587="","",IFERROR(TODAY()+VLOOKUP(R587,REGRAS!$B$2:$C$13,2,0),""))</f>
        <v/>
      </c>
    </row>
    <row r="588">
      <c r="T588" s="258">
        <f>IF(R588="","",IFERROR(TODAY()+VLOOKUP(R588,REGRAS!$B$2:$C$13,2,0),""))</f>
        <v/>
      </c>
    </row>
    <row r="589">
      <c r="T589" s="258">
        <f>IF(R589="","",IFERROR(TODAY()+VLOOKUP(R589,REGRAS!$B$2:$C$13,2,0),""))</f>
        <v/>
      </c>
    </row>
    <row r="590">
      <c r="T590" s="258">
        <f>IF(R590="","",IFERROR(TODAY()+VLOOKUP(R590,REGRAS!$B$2:$C$13,2,0),""))</f>
        <v/>
      </c>
    </row>
    <row r="591">
      <c r="T591" s="258">
        <f>IF(R591="","",IFERROR(TODAY()+VLOOKUP(R591,REGRAS!$B$2:$C$13,2,0),""))</f>
        <v/>
      </c>
    </row>
    <row r="592">
      <c r="T592" s="258">
        <f>IF(R592="","",IFERROR(TODAY()+VLOOKUP(R592,REGRAS!$B$2:$C$13,2,0),""))</f>
        <v/>
      </c>
    </row>
    <row r="593">
      <c r="T593" s="258">
        <f>IF(R593="","",IFERROR(TODAY()+VLOOKUP(R593,REGRAS!$B$2:$C$13,2,0),""))</f>
        <v/>
      </c>
    </row>
    <row r="594">
      <c r="T594" s="258">
        <f>IF(R594="","",IFERROR(TODAY()+VLOOKUP(R594,REGRAS!$B$2:$C$13,2,0),""))</f>
        <v/>
      </c>
    </row>
    <row r="595">
      <c r="T595" s="258">
        <f>IF(R595="","",IFERROR(TODAY()+VLOOKUP(R595,REGRAS!$B$2:$C$13,2,0),""))</f>
        <v/>
      </c>
    </row>
    <row r="596">
      <c r="T596" s="258">
        <f>IF(R596="","",IFERROR(TODAY()+VLOOKUP(R596,REGRAS!$B$2:$C$13,2,0),""))</f>
        <v/>
      </c>
    </row>
    <row r="597">
      <c r="T597" s="258">
        <f>IF(R597="","",IFERROR(TODAY()+VLOOKUP(R597,REGRAS!$B$2:$C$13,2,0),""))</f>
        <v/>
      </c>
    </row>
    <row r="598">
      <c r="T598" s="258">
        <f>IF(R598="","",IFERROR(TODAY()+VLOOKUP(R598,REGRAS!$B$2:$C$13,2,0),""))</f>
        <v/>
      </c>
    </row>
    <row r="599">
      <c r="T599" s="258">
        <f>IF(R599="","",IFERROR(TODAY()+VLOOKUP(R599,REGRAS!$B$2:$C$13,2,0),""))</f>
        <v/>
      </c>
    </row>
    <row r="600">
      <c r="T600" s="258">
        <f>IF(R600="","",IFERROR(TODAY()+VLOOKUP(R600,REGRAS!$B$2:$C$13,2,0),""))</f>
        <v/>
      </c>
    </row>
    <row r="601">
      <c r="T601" s="258">
        <f>IF(R601="","",IFERROR(TODAY()+VLOOKUP(R601,REGRAS!$B$2:$C$13,2,0),""))</f>
        <v/>
      </c>
    </row>
    <row r="602">
      <c r="T602" s="258">
        <f>IF(R602="","",IFERROR(TODAY()+VLOOKUP(R602,REGRAS!$B$2:$C$13,2,0),""))</f>
        <v/>
      </c>
    </row>
    <row r="603">
      <c r="T603" s="258">
        <f>IF(R603="","",IFERROR(TODAY()+VLOOKUP(R603,REGRAS!$B$2:$C$13,2,0),""))</f>
        <v/>
      </c>
    </row>
    <row r="604">
      <c r="T604" s="258">
        <f>IF(R604="","",IFERROR(TODAY()+VLOOKUP(R604,REGRAS!$B$2:$C$13,2,0),""))</f>
        <v/>
      </c>
    </row>
    <row r="605">
      <c r="T605" s="258">
        <f>IF(R605="","",IFERROR(TODAY()+VLOOKUP(R605,REGRAS!$B$2:$C$13,2,0),""))</f>
        <v/>
      </c>
    </row>
    <row r="606">
      <c r="T606" s="258">
        <f>IF(R606="","",IFERROR(TODAY()+VLOOKUP(R606,REGRAS!$B$2:$C$13,2,0),""))</f>
        <v/>
      </c>
    </row>
    <row r="607">
      <c r="T607" s="258">
        <f>IF(R607="","",IFERROR(TODAY()+VLOOKUP(R607,REGRAS!$B$2:$C$13,2,0),""))</f>
        <v/>
      </c>
    </row>
    <row r="608">
      <c r="T608" s="258">
        <f>IF(R608="","",IFERROR(TODAY()+VLOOKUP(R608,REGRAS!$B$2:$C$13,2,0),""))</f>
        <v/>
      </c>
    </row>
    <row r="609">
      <c r="T609" s="258">
        <f>IF(R609="","",IFERROR(TODAY()+VLOOKUP(R609,REGRAS!$B$2:$C$13,2,0),""))</f>
        <v/>
      </c>
    </row>
    <row r="610">
      <c r="T610" s="258">
        <f>IF(R610="","",IFERROR(TODAY()+VLOOKUP(R610,REGRAS!$B$2:$C$13,2,0),""))</f>
        <v/>
      </c>
    </row>
    <row r="611">
      <c r="T611" s="258">
        <f>IF(R611="","",IFERROR(TODAY()+VLOOKUP(R611,REGRAS!$B$2:$C$13,2,0),""))</f>
        <v/>
      </c>
    </row>
    <row r="612">
      <c r="T612" s="258">
        <f>IF(R612="","",IFERROR(TODAY()+VLOOKUP(R612,REGRAS!$B$2:$C$13,2,0),""))</f>
        <v/>
      </c>
    </row>
    <row r="613">
      <c r="T613" s="258">
        <f>IF(R613="","",IFERROR(TODAY()+VLOOKUP(R613,REGRAS!$B$2:$C$13,2,0),""))</f>
        <v/>
      </c>
    </row>
    <row r="614">
      <c r="T614" s="258">
        <f>IF(R614="","",IFERROR(TODAY()+VLOOKUP(R614,REGRAS!$B$2:$C$13,2,0),""))</f>
        <v/>
      </c>
    </row>
    <row r="615">
      <c r="T615" s="258">
        <f>IF(R615="","",IFERROR(TODAY()+VLOOKUP(R615,REGRAS!$B$2:$C$13,2,0),""))</f>
        <v/>
      </c>
    </row>
    <row r="616">
      <c r="T616" s="258">
        <f>IF(R616="","",IFERROR(TODAY()+VLOOKUP(R616,REGRAS!$B$2:$C$13,2,0),""))</f>
        <v/>
      </c>
    </row>
    <row r="617">
      <c r="T617" s="258">
        <f>IF(R617="","",IFERROR(TODAY()+VLOOKUP(R617,REGRAS!$B$2:$C$13,2,0),""))</f>
        <v/>
      </c>
    </row>
    <row r="618">
      <c r="T618" s="258">
        <f>IF(R618="","",IFERROR(TODAY()+VLOOKUP(R618,REGRAS!$B$2:$C$13,2,0),""))</f>
        <v/>
      </c>
    </row>
    <row r="619">
      <c r="T619" s="258">
        <f>IF(R619="","",IFERROR(TODAY()+VLOOKUP(R619,REGRAS!$B$2:$C$13,2,0),""))</f>
        <v/>
      </c>
    </row>
    <row r="620">
      <c r="T620" s="258">
        <f>IF(R620="","",IFERROR(TODAY()+VLOOKUP(R620,REGRAS!$B$2:$C$13,2,0),""))</f>
        <v/>
      </c>
    </row>
    <row r="621">
      <c r="T621" s="258">
        <f>IF(R621="","",IFERROR(TODAY()+VLOOKUP(R621,REGRAS!$B$2:$C$13,2,0),""))</f>
        <v/>
      </c>
    </row>
    <row r="622">
      <c r="T622" s="258">
        <f>IF(R622="","",IFERROR(TODAY()+VLOOKUP(R622,REGRAS!$B$2:$C$13,2,0),""))</f>
        <v/>
      </c>
    </row>
    <row r="623">
      <c r="T623" s="258">
        <f>IF(R623="","",IFERROR(TODAY()+VLOOKUP(R623,REGRAS!$B$2:$C$13,2,0),""))</f>
        <v/>
      </c>
    </row>
    <row r="624">
      <c r="T624" s="258">
        <f>IF(R624="","",IFERROR(TODAY()+VLOOKUP(R624,REGRAS!$B$2:$C$13,2,0),""))</f>
        <v/>
      </c>
    </row>
    <row r="625">
      <c r="T625" s="258">
        <f>IF(R625="","",IFERROR(TODAY()+VLOOKUP(R625,REGRAS!$B$2:$C$13,2,0),""))</f>
        <v/>
      </c>
    </row>
    <row r="626">
      <c r="T626" s="258">
        <f>IF(R626="","",IFERROR(TODAY()+VLOOKUP(R626,REGRAS!$B$2:$C$13,2,0),""))</f>
        <v/>
      </c>
    </row>
    <row r="627">
      <c r="T627" s="258">
        <f>IF(R627="","",IFERROR(TODAY()+VLOOKUP(R627,REGRAS!$B$2:$C$13,2,0),""))</f>
        <v/>
      </c>
    </row>
    <row r="628">
      <c r="T628" s="258">
        <f>IF(R628="","",IFERROR(TODAY()+VLOOKUP(R628,REGRAS!$B$2:$C$13,2,0),""))</f>
        <v/>
      </c>
    </row>
    <row r="629">
      <c r="T629" s="258">
        <f>IF(R629="","",IFERROR(TODAY()+VLOOKUP(R629,REGRAS!$B$2:$C$13,2,0),""))</f>
        <v/>
      </c>
    </row>
    <row r="630">
      <c r="T630" s="258">
        <f>IF(R630="","",IFERROR(TODAY()+VLOOKUP(R630,REGRAS!$B$2:$C$13,2,0),""))</f>
        <v/>
      </c>
    </row>
    <row r="631">
      <c r="T631" s="258">
        <f>IF(R631="","",IFERROR(TODAY()+VLOOKUP(R631,REGRAS!$B$2:$C$13,2,0),""))</f>
        <v/>
      </c>
    </row>
    <row r="632">
      <c r="T632" s="258">
        <f>IF(R632="","",IFERROR(TODAY()+VLOOKUP(R632,REGRAS!$B$2:$C$13,2,0),""))</f>
        <v/>
      </c>
    </row>
    <row r="633">
      <c r="T633" s="258">
        <f>IF(R633="","",IFERROR(TODAY()+VLOOKUP(R633,REGRAS!$B$2:$C$13,2,0),""))</f>
        <v/>
      </c>
    </row>
    <row r="634">
      <c r="T634" s="258">
        <f>IF(R634="","",IFERROR(TODAY()+VLOOKUP(R634,REGRAS!$B$2:$C$13,2,0),""))</f>
        <v/>
      </c>
    </row>
    <row r="635">
      <c r="T635" s="258">
        <f>IF(R635="","",IFERROR(TODAY()+VLOOKUP(R635,REGRAS!$B$2:$C$13,2,0),""))</f>
        <v/>
      </c>
    </row>
    <row r="636">
      <c r="T636" s="258">
        <f>IF(R636="","",IFERROR(TODAY()+VLOOKUP(R636,REGRAS!$B$2:$C$13,2,0),""))</f>
        <v/>
      </c>
    </row>
    <row r="637">
      <c r="T637" s="258">
        <f>IF(R637="","",IFERROR(TODAY()+VLOOKUP(R637,REGRAS!$B$2:$C$13,2,0),""))</f>
        <v/>
      </c>
    </row>
    <row r="638">
      <c r="T638" s="258">
        <f>IF(R638="","",IFERROR(TODAY()+VLOOKUP(R638,REGRAS!$B$2:$C$13,2,0),""))</f>
        <v/>
      </c>
    </row>
    <row r="639">
      <c r="T639" s="258">
        <f>IF(R639="","",IFERROR(TODAY()+VLOOKUP(R639,REGRAS!$B$2:$C$13,2,0),""))</f>
        <v/>
      </c>
    </row>
    <row r="640">
      <c r="T640" s="258">
        <f>IF(R640="","",IFERROR(TODAY()+VLOOKUP(R640,REGRAS!$B$2:$C$13,2,0),""))</f>
        <v/>
      </c>
    </row>
    <row r="641">
      <c r="T641" s="258">
        <f>IF(R641="","",IFERROR(TODAY()+VLOOKUP(R641,REGRAS!$B$2:$C$13,2,0),""))</f>
        <v/>
      </c>
    </row>
    <row r="642">
      <c r="T642" s="258">
        <f>IF(R642="","",IFERROR(TODAY()+VLOOKUP(R642,REGRAS!$B$2:$C$13,2,0),""))</f>
        <v/>
      </c>
    </row>
    <row r="643">
      <c r="T643" s="258">
        <f>IF(R643="","",IFERROR(TODAY()+VLOOKUP(R643,REGRAS!$B$2:$C$13,2,0),""))</f>
        <v/>
      </c>
    </row>
    <row r="644">
      <c r="T644" s="258">
        <f>IF(R644="","",IFERROR(TODAY()+VLOOKUP(R644,REGRAS!$B$2:$C$13,2,0),""))</f>
        <v/>
      </c>
    </row>
    <row r="645">
      <c r="T645" s="258">
        <f>IF(R645="","",IFERROR(TODAY()+VLOOKUP(R645,REGRAS!$B$2:$C$13,2,0),""))</f>
        <v/>
      </c>
    </row>
    <row r="646">
      <c r="T646" s="258">
        <f>IF(R646="","",IFERROR(TODAY()+VLOOKUP(R646,REGRAS!$B$2:$C$13,2,0),""))</f>
        <v/>
      </c>
    </row>
    <row r="647">
      <c r="T647" s="258">
        <f>IF(R647="","",IFERROR(TODAY()+VLOOKUP(R647,REGRAS!$B$2:$C$13,2,0),""))</f>
        <v/>
      </c>
    </row>
    <row r="648">
      <c r="T648" s="258">
        <f>IF(R648="","",IFERROR(TODAY()+VLOOKUP(R648,REGRAS!$B$2:$C$13,2,0),""))</f>
        <v/>
      </c>
    </row>
    <row r="649">
      <c r="T649" s="258">
        <f>IF(R649="","",IFERROR(TODAY()+VLOOKUP(R649,REGRAS!$B$2:$C$13,2,0),""))</f>
        <v/>
      </c>
    </row>
    <row r="650">
      <c r="T650" s="258">
        <f>IF(R650="","",IFERROR(TODAY()+VLOOKUP(R650,REGRAS!$B$2:$C$13,2,0),""))</f>
        <v/>
      </c>
    </row>
    <row r="651">
      <c r="T651" s="258">
        <f>IF(R651="","",IFERROR(TODAY()+VLOOKUP(R651,REGRAS!$B$2:$C$13,2,0),""))</f>
        <v/>
      </c>
    </row>
    <row r="652">
      <c r="T652" s="258">
        <f>IF(R652="","",IFERROR(TODAY()+VLOOKUP(R652,REGRAS!$B$2:$C$13,2,0),""))</f>
        <v/>
      </c>
    </row>
    <row r="653">
      <c r="T653" s="258">
        <f>IF(R653="","",IFERROR(TODAY()+VLOOKUP(R653,REGRAS!$B$2:$C$13,2,0),""))</f>
        <v/>
      </c>
    </row>
    <row r="654">
      <c r="T654" s="258">
        <f>IF(R654="","",IFERROR(TODAY()+VLOOKUP(R654,REGRAS!$B$2:$C$13,2,0),""))</f>
        <v/>
      </c>
    </row>
    <row r="655">
      <c r="T655" s="258">
        <f>IF(R655="","",IFERROR(TODAY()+VLOOKUP(R655,REGRAS!$B$2:$C$13,2,0),""))</f>
        <v/>
      </c>
    </row>
    <row r="656">
      <c r="T656" s="258">
        <f>IF(R656="","",IFERROR(TODAY()+VLOOKUP(R656,REGRAS!$B$2:$C$13,2,0),""))</f>
        <v/>
      </c>
    </row>
    <row r="657">
      <c r="T657" s="258">
        <f>IF(R657="","",IFERROR(TODAY()+VLOOKUP(R657,REGRAS!$B$2:$C$13,2,0),""))</f>
        <v/>
      </c>
    </row>
    <row r="658">
      <c r="T658" s="258">
        <f>IF(R658="","",IFERROR(TODAY()+VLOOKUP(R658,REGRAS!$B$2:$C$13,2,0),""))</f>
        <v/>
      </c>
    </row>
    <row r="659">
      <c r="T659" s="258">
        <f>IF(R659="","",IFERROR(TODAY()+VLOOKUP(R659,REGRAS!$B$2:$C$13,2,0),""))</f>
        <v/>
      </c>
    </row>
    <row r="660">
      <c r="T660" s="258">
        <f>IF(R660="","",IFERROR(TODAY()+VLOOKUP(R660,REGRAS!$B$2:$C$13,2,0),""))</f>
        <v/>
      </c>
    </row>
    <row r="661">
      <c r="T661" s="258">
        <f>IF(R661="","",IFERROR(TODAY()+VLOOKUP(R661,REGRAS!$B$2:$C$13,2,0),""))</f>
        <v/>
      </c>
    </row>
    <row r="662">
      <c r="T662" s="258">
        <f>IF(R662="","",IFERROR(TODAY()+VLOOKUP(R662,REGRAS!$B$2:$C$13,2,0),""))</f>
        <v/>
      </c>
    </row>
    <row r="663">
      <c r="T663" s="258">
        <f>IF(R663="","",IFERROR(TODAY()+VLOOKUP(R663,REGRAS!$B$2:$C$13,2,0),""))</f>
        <v/>
      </c>
    </row>
    <row r="664">
      <c r="T664" s="258">
        <f>IF(R664="","",IFERROR(TODAY()+VLOOKUP(R664,REGRAS!$B$2:$C$13,2,0),""))</f>
        <v/>
      </c>
    </row>
    <row r="665">
      <c r="T665" s="258">
        <f>IF(R665="","",IFERROR(TODAY()+VLOOKUP(R665,REGRAS!$B$2:$C$13,2,0),""))</f>
        <v/>
      </c>
    </row>
    <row r="666">
      <c r="T666" s="258">
        <f>IF(R666="","",IFERROR(TODAY()+VLOOKUP(R666,REGRAS!$B$2:$C$13,2,0),""))</f>
        <v/>
      </c>
    </row>
    <row r="667">
      <c r="T667" s="258">
        <f>IF(R667="","",IFERROR(TODAY()+VLOOKUP(R667,REGRAS!$B$2:$C$13,2,0),""))</f>
        <v/>
      </c>
    </row>
    <row r="668">
      <c r="T668" s="258">
        <f>IF(R668="","",IFERROR(TODAY()+VLOOKUP(R668,REGRAS!$B$2:$C$13,2,0),""))</f>
        <v/>
      </c>
    </row>
    <row r="669">
      <c r="T669" s="258">
        <f>IF(R669="","",IFERROR(TODAY()+VLOOKUP(R669,REGRAS!$B$2:$C$13,2,0),""))</f>
        <v/>
      </c>
    </row>
    <row r="670">
      <c r="T670" s="258">
        <f>IF(R670="","",IFERROR(TODAY()+VLOOKUP(R670,REGRAS!$B$2:$C$13,2,0),""))</f>
        <v/>
      </c>
    </row>
    <row r="671">
      <c r="T671" s="258">
        <f>IF(R671="","",IFERROR(TODAY()+VLOOKUP(R671,REGRAS!$B$2:$C$13,2,0),""))</f>
        <v/>
      </c>
    </row>
    <row r="672">
      <c r="T672" s="258">
        <f>IF(R672="","",IFERROR(TODAY()+VLOOKUP(R672,REGRAS!$B$2:$C$13,2,0),""))</f>
        <v/>
      </c>
    </row>
    <row r="673">
      <c r="T673" s="258">
        <f>IF(R673="","",IFERROR(TODAY()+VLOOKUP(R673,REGRAS!$B$2:$C$13,2,0),""))</f>
        <v/>
      </c>
    </row>
    <row r="674">
      <c r="T674" s="258">
        <f>IF(R674="","",IFERROR(TODAY()+VLOOKUP(R674,REGRAS!$B$2:$C$13,2,0),""))</f>
        <v/>
      </c>
    </row>
    <row r="675">
      <c r="T675" s="258">
        <f>IF(R675="","",IFERROR(TODAY()+VLOOKUP(R675,REGRAS!$B$2:$C$13,2,0),""))</f>
        <v/>
      </c>
    </row>
    <row r="676">
      <c r="T676" s="258">
        <f>IF(R676="","",IFERROR(TODAY()+VLOOKUP(R676,REGRAS!$B$2:$C$13,2,0),""))</f>
        <v/>
      </c>
    </row>
    <row r="677">
      <c r="T677" s="258">
        <f>IF(R677="","",IFERROR(TODAY()+VLOOKUP(R677,REGRAS!$B$2:$C$13,2,0),""))</f>
        <v/>
      </c>
    </row>
    <row r="678">
      <c r="T678" s="258">
        <f>IF(R678="","",IFERROR(TODAY()+VLOOKUP(R678,REGRAS!$B$2:$C$13,2,0),""))</f>
        <v/>
      </c>
    </row>
    <row r="679">
      <c r="T679" s="258">
        <f>IF(R679="","",IFERROR(TODAY()+VLOOKUP(R679,REGRAS!$B$2:$C$13,2,0),""))</f>
        <v/>
      </c>
    </row>
    <row r="680">
      <c r="T680" s="258">
        <f>IF(R680="","",IFERROR(TODAY()+VLOOKUP(R680,REGRAS!$B$2:$C$13,2,0),""))</f>
        <v/>
      </c>
    </row>
    <row r="681">
      <c r="T681" s="258">
        <f>IF(R681="","",IFERROR(TODAY()+VLOOKUP(R681,REGRAS!$B$2:$C$13,2,0),""))</f>
        <v/>
      </c>
    </row>
    <row r="682">
      <c r="T682" s="258">
        <f>IF(R682="","",IFERROR(TODAY()+VLOOKUP(R682,REGRAS!$B$2:$C$13,2,0),""))</f>
        <v/>
      </c>
    </row>
    <row r="683">
      <c r="T683" s="258">
        <f>IF(R683="","",IFERROR(TODAY()+VLOOKUP(R683,REGRAS!$B$2:$C$13,2,0),""))</f>
        <v/>
      </c>
    </row>
    <row r="684">
      <c r="T684" s="258">
        <f>IF(R684="","",IFERROR(TODAY()+VLOOKUP(R684,REGRAS!$B$2:$C$13,2,0),""))</f>
        <v/>
      </c>
    </row>
    <row r="685">
      <c r="T685" s="258">
        <f>IF(R685="","",IFERROR(TODAY()+VLOOKUP(R685,REGRAS!$B$2:$C$13,2,0),""))</f>
        <v/>
      </c>
    </row>
    <row r="686">
      <c r="T686" s="258">
        <f>IF(R686="","",IFERROR(TODAY()+VLOOKUP(R686,REGRAS!$B$2:$C$13,2,0),""))</f>
        <v/>
      </c>
    </row>
    <row r="687">
      <c r="T687" s="258">
        <f>IF(R687="","",IFERROR(TODAY()+VLOOKUP(R687,REGRAS!$B$2:$C$13,2,0),""))</f>
        <v/>
      </c>
    </row>
    <row r="688">
      <c r="T688" s="258">
        <f>IF(R688="","",IFERROR(TODAY()+VLOOKUP(R688,REGRAS!$B$2:$C$13,2,0),""))</f>
        <v/>
      </c>
    </row>
    <row r="689">
      <c r="T689" s="258">
        <f>IF(R689="","",IFERROR(TODAY()+VLOOKUP(R689,REGRAS!$B$2:$C$13,2,0),""))</f>
        <v/>
      </c>
    </row>
    <row r="690">
      <c r="T690" s="258">
        <f>IF(R690="","",IFERROR(TODAY()+VLOOKUP(R690,REGRAS!$B$2:$C$13,2,0),""))</f>
        <v/>
      </c>
    </row>
    <row r="691">
      <c r="T691" s="258">
        <f>IF(R691="","",IFERROR(TODAY()+VLOOKUP(R691,REGRAS!$B$2:$C$13,2,0),""))</f>
        <v/>
      </c>
    </row>
    <row r="692">
      <c r="T692" s="258">
        <f>IF(R692="","",IFERROR(TODAY()+VLOOKUP(R692,REGRAS!$B$2:$C$13,2,0),""))</f>
        <v/>
      </c>
    </row>
    <row r="693">
      <c r="T693" s="258">
        <f>IF(R693="","",IFERROR(TODAY()+VLOOKUP(R693,REGRAS!$B$2:$C$13,2,0),""))</f>
        <v/>
      </c>
    </row>
    <row r="694">
      <c r="T694" s="258">
        <f>IF(R694="","",IFERROR(TODAY()+VLOOKUP(R694,REGRAS!$B$2:$C$13,2,0),""))</f>
        <v/>
      </c>
    </row>
    <row r="695">
      <c r="T695" s="258">
        <f>IF(R695="","",IFERROR(TODAY()+VLOOKUP(R695,REGRAS!$B$2:$C$13,2,0),""))</f>
        <v/>
      </c>
    </row>
    <row r="696">
      <c r="T696" s="258">
        <f>IF(R696="","",IFERROR(TODAY()+VLOOKUP(R696,REGRAS!$B$2:$C$13,2,0),""))</f>
        <v/>
      </c>
    </row>
    <row r="697">
      <c r="T697" s="258">
        <f>IF(R697="","",IFERROR(TODAY()+VLOOKUP(R697,REGRAS!$B$2:$C$13,2,0),""))</f>
        <v/>
      </c>
    </row>
    <row r="698">
      <c r="T698" s="258">
        <f>IF(R698="","",IFERROR(TODAY()+VLOOKUP(R698,REGRAS!$B$2:$C$13,2,0),""))</f>
        <v/>
      </c>
    </row>
    <row r="699">
      <c r="T699" s="258">
        <f>IF(R699="","",IFERROR(TODAY()+VLOOKUP(R699,REGRAS!$B$2:$C$13,2,0),""))</f>
        <v/>
      </c>
    </row>
    <row r="700">
      <c r="T700" s="258">
        <f>IF(R700="","",IFERROR(TODAY()+VLOOKUP(R700,REGRAS!$B$2:$C$13,2,0),""))</f>
        <v/>
      </c>
    </row>
    <row r="701">
      <c r="T701" s="258">
        <f>IF(R701="","",IFERROR(TODAY()+VLOOKUP(R701,REGRAS!$B$2:$C$13,2,0),""))</f>
        <v/>
      </c>
    </row>
    <row r="702">
      <c r="T702" s="258">
        <f>IF(R702="","",IFERROR(TODAY()+VLOOKUP(R702,REGRAS!$B$2:$C$13,2,0),""))</f>
        <v/>
      </c>
    </row>
    <row r="703">
      <c r="T703" s="258">
        <f>IF(R703="","",IFERROR(TODAY()+VLOOKUP(R703,REGRAS!$B$2:$C$13,2,0),""))</f>
        <v/>
      </c>
    </row>
    <row r="704">
      <c r="T704" s="258">
        <f>IF(R704="","",IFERROR(TODAY()+VLOOKUP(R704,REGRAS!$B$2:$C$13,2,0),""))</f>
        <v/>
      </c>
    </row>
    <row r="705">
      <c r="T705" s="258">
        <f>IF(R705="","",IFERROR(TODAY()+VLOOKUP(R705,REGRAS!$B$2:$C$13,2,0),""))</f>
        <v/>
      </c>
    </row>
    <row r="706">
      <c r="T706" s="258">
        <f>IF(R706="","",IFERROR(TODAY()+VLOOKUP(R706,REGRAS!$B$2:$C$13,2,0),""))</f>
        <v/>
      </c>
    </row>
    <row r="707">
      <c r="T707" s="258">
        <f>IF(R707="","",IFERROR(TODAY()+VLOOKUP(R707,REGRAS!$B$2:$C$13,2,0),""))</f>
        <v/>
      </c>
    </row>
    <row r="708">
      <c r="T708" s="258">
        <f>IF(R708="","",IFERROR(TODAY()+VLOOKUP(R708,REGRAS!$B$2:$C$13,2,0),""))</f>
        <v/>
      </c>
    </row>
    <row r="709">
      <c r="T709" s="258">
        <f>IF(R709="","",IFERROR(TODAY()+VLOOKUP(R709,REGRAS!$B$2:$C$13,2,0),""))</f>
        <v/>
      </c>
    </row>
    <row r="710">
      <c r="T710" s="258">
        <f>IF(R710="","",IFERROR(TODAY()+VLOOKUP(R710,REGRAS!$B$2:$C$13,2,0),""))</f>
        <v/>
      </c>
    </row>
    <row r="711">
      <c r="T711" s="258">
        <f>IF(R711="","",IFERROR(TODAY()+VLOOKUP(R711,REGRAS!$B$2:$C$13,2,0),""))</f>
        <v/>
      </c>
    </row>
    <row r="712">
      <c r="T712" s="258">
        <f>IF(R712="","",IFERROR(TODAY()+VLOOKUP(R712,REGRAS!$B$2:$C$13,2,0),""))</f>
        <v/>
      </c>
    </row>
    <row r="713">
      <c r="T713" s="258">
        <f>IF(R713="","",IFERROR(TODAY()+VLOOKUP(R713,REGRAS!$B$2:$C$13,2,0),""))</f>
        <v/>
      </c>
    </row>
    <row r="714">
      <c r="T714" s="258">
        <f>IF(R714="","",IFERROR(TODAY()+VLOOKUP(R714,REGRAS!$B$2:$C$13,2,0),""))</f>
        <v/>
      </c>
    </row>
    <row r="715">
      <c r="T715" s="258">
        <f>IF(R715="","",IFERROR(TODAY()+VLOOKUP(R715,REGRAS!$B$2:$C$13,2,0),""))</f>
        <v/>
      </c>
    </row>
    <row r="716">
      <c r="T716" s="258">
        <f>IF(R716="","",IFERROR(TODAY()+VLOOKUP(R716,REGRAS!$B$2:$C$13,2,0),""))</f>
        <v/>
      </c>
    </row>
    <row r="717">
      <c r="T717" s="258">
        <f>IF(R717="","",IFERROR(TODAY()+VLOOKUP(R717,REGRAS!$B$2:$C$13,2,0),""))</f>
        <v/>
      </c>
    </row>
    <row r="718">
      <c r="T718" s="258">
        <f>IF(R718="","",IFERROR(TODAY()+VLOOKUP(R718,REGRAS!$B$2:$C$13,2,0),""))</f>
        <v/>
      </c>
    </row>
    <row r="719">
      <c r="T719" s="258">
        <f>IF(R719="","",IFERROR(TODAY()+VLOOKUP(R719,REGRAS!$B$2:$C$13,2,0),""))</f>
        <v/>
      </c>
    </row>
    <row r="720">
      <c r="T720" s="258">
        <f>IF(R720="","",IFERROR(TODAY()+VLOOKUP(R720,REGRAS!$B$2:$C$13,2,0),""))</f>
        <v/>
      </c>
    </row>
    <row r="721">
      <c r="T721" s="258">
        <f>IF(R721="","",IFERROR(TODAY()+VLOOKUP(R721,REGRAS!$B$2:$C$13,2,0),""))</f>
        <v/>
      </c>
    </row>
    <row r="722">
      <c r="T722" s="258">
        <f>IF(R722="","",IFERROR(TODAY()+VLOOKUP(R722,REGRAS!$B$2:$C$13,2,0),""))</f>
        <v/>
      </c>
    </row>
    <row r="723">
      <c r="T723" s="258">
        <f>IF(R723="","",IFERROR(TODAY()+VLOOKUP(R723,REGRAS!$B$2:$C$13,2,0),""))</f>
        <v/>
      </c>
    </row>
    <row r="724">
      <c r="T724" s="258">
        <f>IF(R724="","",IFERROR(TODAY()+VLOOKUP(R724,REGRAS!$B$2:$C$13,2,0),""))</f>
        <v/>
      </c>
    </row>
    <row r="725">
      <c r="T725" s="258">
        <f>IF(R725="","",IFERROR(TODAY()+VLOOKUP(R725,REGRAS!$B$2:$C$13,2,0),""))</f>
        <v/>
      </c>
    </row>
    <row r="726">
      <c r="T726" s="258">
        <f>IF(R726="","",IFERROR(TODAY()+VLOOKUP(R726,REGRAS!$B$2:$C$13,2,0),""))</f>
        <v/>
      </c>
    </row>
    <row r="727">
      <c r="T727" s="258">
        <f>IF(R727="","",IFERROR(TODAY()+VLOOKUP(R727,REGRAS!$B$2:$C$13,2,0),""))</f>
        <v/>
      </c>
    </row>
    <row r="728">
      <c r="T728" s="258">
        <f>IF(R728="","",IFERROR(TODAY()+VLOOKUP(R728,REGRAS!$B$2:$C$13,2,0),""))</f>
        <v/>
      </c>
    </row>
    <row r="729">
      <c r="T729" s="258">
        <f>IF(R729="","",IFERROR(TODAY()+VLOOKUP(R729,REGRAS!$B$2:$C$13,2,0),""))</f>
        <v/>
      </c>
    </row>
    <row r="730">
      <c r="T730" s="258">
        <f>IF(R730="","",IFERROR(TODAY()+VLOOKUP(R730,REGRAS!$B$2:$C$13,2,0),""))</f>
        <v/>
      </c>
    </row>
    <row r="731">
      <c r="T731" s="258">
        <f>IF(R731="","",IFERROR(TODAY()+VLOOKUP(R731,REGRAS!$B$2:$C$13,2,0),""))</f>
        <v/>
      </c>
    </row>
    <row r="732">
      <c r="T732" s="258">
        <f>IF(R732="","",IFERROR(TODAY()+VLOOKUP(R732,REGRAS!$B$2:$C$13,2,0),""))</f>
        <v/>
      </c>
    </row>
    <row r="733">
      <c r="T733" s="258">
        <f>IF(R733="","",IFERROR(TODAY()+VLOOKUP(R733,REGRAS!$B$2:$C$13,2,0),""))</f>
        <v/>
      </c>
    </row>
    <row r="734">
      <c r="T734" s="258">
        <f>IF(R734="","",IFERROR(TODAY()+VLOOKUP(R734,REGRAS!$B$2:$C$13,2,0),""))</f>
        <v/>
      </c>
    </row>
    <row r="735">
      <c r="T735" s="258">
        <f>IF(R735="","",IFERROR(TODAY()+VLOOKUP(R735,REGRAS!$B$2:$C$13,2,0),""))</f>
        <v/>
      </c>
    </row>
    <row r="736">
      <c r="T736" s="258">
        <f>IF(R736="","",IFERROR(TODAY()+VLOOKUP(R736,REGRAS!$B$2:$C$13,2,0),""))</f>
        <v/>
      </c>
    </row>
    <row r="737">
      <c r="T737" s="258">
        <f>IF(R737="","",IFERROR(TODAY()+VLOOKUP(R737,REGRAS!$B$2:$C$13,2,0),""))</f>
        <v/>
      </c>
    </row>
    <row r="738">
      <c r="T738" s="258">
        <f>IF(R738="","",IFERROR(TODAY()+VLOOKUP(R738,REGRAS!$B$2:$C$13,2,0),""))</f>
        <v/>
      </c>
    </row>
    <row r="739">
      <c r="T739" s="258">
        <f>IF(R739="","",IFERROR(TODAY()+VLOOKUP(R739,REGRAS!$B$2:$C$13,2,0),""))</f>
        <v/>
      </c>
    </row>
    <row r="740">
      <c r="T740" s="258">
        <f>IF(R740="","",IFERROR(TODAY()+VLOOKUP(R740,REGRAS!$B$2:$C$13,2,0),""))</f>
        <v/>
      </c>
    </row>
    <row r="741">
      <c r="T741" s="258">
        <f>IF(R741="","",IFERROR(TODAY()+VLOOKUP(R741,REGRAS!$B$2:$C$13,2,0),""))</f>
        <v/>
      </c>
    </row>
    <row r="742">
      <c r="T742" s="258">
        <f>IF(R742="","",IFERROR(TODAY()+VLOOKUP(R742,REGRAS!$B$2:$C$13,2,0),""))</f>
        <v/>
      </c>
    </row>
    <row r="743">
      <c r="T743" s="258">
        <f>IF(R743="","",IFERROR(TODAY()+VLOOKUP(R743,REGRAS!$B$2:$C$13,2,0),""))</f>
        <v/>
      </c>
    </row>
    <row r="744">
      <c r="T744" s="258">
        <f>IF(R744="","",IFERROR(TODAY()+VLOOKUP(R744,REGRAS!$B$2:$C$13,2,0),""))</f>
        <v/>
      </c>
    </row>
    <row r="745">
      <c r="T745" s="258">
        <f>IF(R745="","",IFERROR(TODAY()+VLOOKUP(R745,REGRAS!$B$2:$C$13,2,0),""))</f>
        <v/>
      </c>
    </row>
    <row r="746">
      <c r="T746" s="258">
        <f>IF(R746="","",IFERROR(TODAY()+VLOOKUP(R746,REGRAS!$B$2:$C$13,2,0),""))</f>
        <v/>
      </c>
    </row>
    <row r="747">
      <c r="T747" s="258">
        <f>IF(R747="","",IFERROR(TODAY()+VLOOKUP(R747,REGRAS!$B$2:$C$13,2,0),""))</f>
        <v/>
      </c>
    </row>
    <row r="748">
      <c r="T748" s="258">
        <f>IF(R748="","",IFERROR(TODAY()+VLOOKUP(R748,REGRAS!$B$2:$C$13,2,0),""))</f>
        <v/>
      </c>
    </row>
    <row r="749">
      <c r="T749" s="258">
        <f>IF(R749="","",IFERROR(TODAY()+VLOOKUP(R749,REGRAS!$B$2:$C$13,2,0),""))</f>
        <v/>
      </c>
    </row>
    <row r="750">
      <c r="T750" s="258">
        <f>IF(R750="","",IFERROR(TODAY()+VLOOKUP(R750,REGRAS!$B$2:$C$13,2,0),""))</f>
        <v/>
      </c>
    </row>
    <row r="751">
      <c r="T751" s="258">
        <f>IF(R751="","",IFERROR(TODAY()+VLOOKUP(R751,REGRAS!$B$2:$C$13,2,0),""))</f>
        <v/>
      </c>
    </row>
    <row r="752">
      <c r="T752" s="258">
        <f>IF(R752="","",IFERROR(TODAY()+VLOOKUP(R752,REGRAS!$B$2:$C$13,2,0),""))</f>
        <v/>
      </c>
    </row>
    <row r="753">
      <c r="T753" s="258">
        <f>IF(R753="","",IFERROR(TODAY()+VLOOKUP(R753,REGRAS!$B$2:$C$13,2,0),""))</f>
        <v/>
      </c>
    </row>
    <row r="754">
      <c r="T754" s="258">
        <f>IF(R754="","",IFERROR(TODAY()+VLOOKUP(R754,REGRAS!$B$2:$C$13,2,0),""))</f>
        <v/>
      </c>
    </row>
    <row r="755">
      <c r="T755" s="258">
        <f>IF(R755="","",IFERROR(TODAY()+VLOOKUP(R755,REGRAS!$B$2:$C$13,2,0),""))</f>
        <v/>
      </c>
    </row>
    <row r="756">
      <c r="T756" s="258">
        <f>IF(R756="","",IFERROR(TODAY()+VLOOKUP(R756,REGRAS!$B$2:$C$13,2,0),""))</f>
        <v/>
      </c>
    </row>
    <row r="757">
      <c r="T757" s="258">
        <f>IF(R757="","",IFERROR(TODAY()+VLOOKUP(R757,REGRAS!$B$2:$C$13,2,0),""))</f>
        <v/>
      </c>
    </row>
    <row r="758">
      <c r="T758" s="258">
        <f>IF(R758="","",IFERROR(TODAY()+VLOOKUP(R758,REGRAS!$B$2:$C$13,2,0),""))</f>
        <v/>
      </c>
    </row>
    <row r="759">
      <c r="T759" s="258">
        <f>IF(R759="","",IFERROR(TODAY()+VLOOKUP(R759,REGRAS!$B$2:$C$13,2,0),""))</f>
        <v/>
      </c>
    </row>
    <row r="760">
      <c r="T760" s="258">
        <f>IF(R760="","",IFERROR(TODAY()+VLOOKUP(R760,REGRAS!$B$2:$C$13,2,0),""))</f>
        <v/>
      </c>
    </row>
    <row r="761">
      <c r="T761" s="258">
        <f>IF(R761="","",IFERROR(TODAY()+VLOOKUP(R761,REGRAS!$B$2:$C$13,2,0),""))</f>
        <v/>
      </c>
    </row>
    <row r="762">
      <c r="T762" s="258">
        <f>IF(R762="","",IFERROR(TODAY()+VLOOKUP(R762,REGRAS!$B$2:$C$13,2,0),""))</f>
        <v/>
      </c>
    </row>
    <row r="763">
      <c r="T763" s="258">
        <f>IF(R763="","",IFERROR(TODAY()+VLOOKUP(R763,REGRAS!$B$2:$C$13,2,0),""))</f>
        <v/>
      </c>
    </row>
    <row r="764">
      <c r="T764" s="258">
        <f>IF(R764="","",IFERROR(TODAY()+VLOOKUP(R764,REGRAS!$B$2:$C$13,2,0),""))</f>
        <v/>
      </c>
    </row>
    <row r="765">
      <c r="T765" s="258">
        <f>IF(R765="","",IFERROR(TODAY()+VLOOKUP(R765,REGRAS!$B$2:$C$13,2,0),""))</f>
        <v/>
      </c>
    </row>
    <row r="766">
      <c r="T766" s="258">
        <f>IF(R766="","",IFERROR(TODAY()+VLOOKUP(R766,REGRAS!$B$2:$C$13,2,0),""))</f>
        <v/>
      </c>
    </row>
    <row r="767">
      <c r="T767" s="258">
        <f>IF(R767="","",IFERROR(TODAY()+VLOOKUP(R767,REGRAS!$B$2:$C$13,2,0),""))</f>
        <v/>
      </c>
    </row>
    <row r="768">
      <c r="T768" s="258">
        <f>IF(R768="","",IFERROR(TODAY()+VLOOKUP(R768,REGRAS!$B$2:$C$13,2,0),""))</f>
        <v/>
      </c>
    </row>
    <row r="769">
      <c r="T769" s="258">
        <f>IF(R769="","",IFERROR(TODAY()+VLOOKUP(R769,REGRAS!$B$2:$C$13,2,0),""))</f>
        <v/>
      </c>
    </row>
    <row r="770">
      <c r="T770" s="258">
        <f>IF(R770="","",IFERROR(TODAY()+VLOOKUP(R770,REGRAS!$B$2:$C$13,2,0),""))</f>
        <v/>
      </c>
    </row>
    <row r="771">
      <c r="T771" s="258">
        <f>IF(R771="","",IFERROR(TODAY()+VLOOKUP(R771,REGRAS!$B$2:$C$13,2,0),""))</f>
        <v/>
      </c>
    </row>
    <row r="772">
      <c r="T772" s="258">
        <f>IF(R772="","",IFERROR(TODAY()+VLOOKUP(R772,REGRAS!$B$2:$C$13,2,0),""))</f>
        <v/>
      </c>
    </row>
    <row r="773">
      <c r="T773" s="258">
        <f>IF(R773="","",IFERROR(TODAY()+VLOOKUP(R773,REGRAS!$B$2:$C$13,2,0),""))</f>
        <v/>
      </c>
    </row>
    <row r="774">
      <c r="T774" s="258">
        <f>IF(R774="","",IFERROR(TODAY()+VLOOKUP(R774,REGRAS!$B$2:$C$13,2,0),""))</f>
        <v/>
      </c>
    </row>
    <row r="775">
      <c r="T775" s="258">
        <f>IF(R775="","",IFERROR(TODAY()+VLOOKUP(R775,REGRAS!$B$2:$C$13,2,0),""))</f>
        <v/>
      </c>
    </row>
    <row r="776">
      <c r="T776" s="258">
        <f>IF(R776="","",IFERROR(TODAY()+VLOOKUP(R776,REGRAS!$B$2:$C$13,2,0),""))</f>
        <v/>
      </c>
    </row>
    <row r="777">
      <c r="T777" s="258">
        <f>IF(R777="","",IFERROR(TODAY()+VLOOKUP(R777,REGRAS!$B$2:$C$13,2,0),""))</f>
        <v/>
      </c>
    </row>
    <row r="778">
      <c r="T778" s="258">
        <f>IF(R778="","",IFERROR(TODAY()+VLOOKUP(R778,REGRAS!$B$2:$C$13,2,0),""))</f>
        <v/>
      </c>
    </row>
    <row r="779">
      <c r="T779" s="258">
        <f>IF(R779="","",IFERROR(TODAY()+VLOOKUP(R779,REGRAS!$B$2:$C$13,2,0),""))</f>
        <v/>
      </c>
    </row>
    <row r="780">
      <c r="T780" s="258">
        <f>IF(R780="","",IFERROR(TODAY()+VLOOKUP(R780,REGRAS!$B$2:$C$13,2,0),""))</f>
        <v/>
      </c>
    </row>
    <row r="781">
      <c r="T781" s="258">
        <f>IF(R781="","",IFERROR(TODAY()+VLOOKUP(R781,REGRAS!$B$2:$C$13,2,0),""))</f>
        <v/>
      </c>
    </row>
    <row r="782">
      <c r="T782" s="258">
        <f>IF(R782="","",IFERROR(TODAY()+VLOOKUP(R782,REGRAS!$B$2:$C$13,2,0),""))</f>
        <v/>
      </c>
    </row>
    <row r="783">
      <c r="T783" s="258">
        <f>IF(R783="","",IFERROR(TODAY()+VLOOKUP(R783,REGRAS!$B$2:$C$13,2,0),""))</f>
        <v/>
      </c>
    </row>
    <row r="784">
      <c r="T784" s="258">
        <f>IF(R784="","",IFERROR(TODAY()+VLOOKUP(R784,REGRAS!$B$2:$C$13,2,0),""))</f>
        <v/>
      </c>
    </row>
    <row r="785">
      <c r="T785" s="258">
        <f>IF(R785="","",IFERROR(TODAY()+VLOOKUP(R785,REGRAS!$B$2:$C$13,2,0),""))</f>
        <v/>
      </c>
    </row>
    <row r="786">
      <c r="T786" s="258">
        <f>IF(R786="","",IFERROR(TODAY()+VLOOKUP(R786,REGRAS!$B$2:$C$13,2,0),""))</f>
        <v/>
      </c>
    </row>
    <row r="787">
      <c r="T787" s="258">
        <f>IF(R787="","",IFERROR(TODAY()+VLOOKUP(R787,REGRAS!$B$2:$C$13,2,0),""))</f>
        <v/>
      </c>
    </row>
    <row r="788">
      <c r="T788" s="258">
        <f>IF(R788="","",IFERROR(TODAY()+VLOOKUP(R788,REGRAS!$B$2:$C$13,2,0),""))</f>
        <v/>
      </c>
    </row>
    <row r="789">
      <c r="T789" s="258">
        <f>IF(R789="","",IFERROR(TODAY()+VLOOKUP(R789,REGRAS!$B$2:$C$13,2,0),""))</f>
        <v/>
      </c>
    </row>
    <row r="790">
      <c r="T790" s="258">
        <f>IF(R790="","",IFERROR(TODAY()+VLOOKUP(R790,REGRAS!$B$2:$C$13,2,0),""))</f>
        <v/>
      </c>
    </row>
    <row r="791">
      <c r="T791" s="258">
        <f>IF(R791="","",IFERROR(TODAY()+VLOOKUP(R791,REGRAS!$B$2:$C$13,2,0),""))</f>
        <v/>
      </c>
    </row>
    <row r="792">
      <c r="T792" s="258">
        <f>IF(R792="","",IFERROR(TODAY()+VLOOKUP(R792,REGRAS!$B$2:$C$13,2,0),""))</f>
        <v/>
      </c>
    </row>
    <row r="793">
      <c r="T793" s="258">
        <f>IF(R793="","",IFERROR(TODAY()+VLOOKUP(R793,REGRAS!$B$2:$C$13,2,0),""))</f>
        <v/>
      </c>
    </row>
    <row r="794">
      <c r="T794" s="258">
        <f>IF(R794="","",IFERROR(TODAY()+VLOOKUP(R794,REGRAS!$B$2:$C$13,2,0),""))</f>
        <v/>
      </c>
    </row>
    <row r="795">
      <c r="T795" s="258">
        <f>IF(R795="","",IFERROR(TODAY()+VLOOKUP(R795,REGRAS!$B$2:$C$13,2,0),""))</f>
        <v/>
      </c>
    </row>
    <row r="796">
      <c r="T796" s="258">
        <f>IF(R796="","",IFERROR(TODAY()+VLOOKUP(R796,REGRAS!$B$2:$C$13,2,0),""))</f>
        <v/>
      </c>
    </row>
    <row r="797">
      <c r="T797" s="258">
        <f>IF(R797="","",IFERROR(TODAY()+VLOOKUP(R797,REGRAS!$B$2:$C$13,2,0),""))</f>
        <v/>
      </c>
    </row>
    <row r="798">
      <c r="T798" s="258">
        <f>IF(R798="","",IFERROR(TODAY()+VLOOKUP(R798,REGRAS!$B$2:$C$13,2,0),""))</f>
        <v/>
      </c>
    </row>
    <row r="799">
      <c r="T799" s="258">
        <f>IF(R799="","",IFERROR(TODAY()+VLOOKUP(R799,REGRAS!$B$2:$C$13,2,0),""))</f>
        <v/>
      </c>
    </row>
    <row r="800">
      <c r="T800" s="258">
        <f>IF(R800="","",IFERROR(TODAY()+VLOOKUP(R800,REGRAS!$B$2:$C$13,2,0),""))</f>
        <v/>
      </c>
    </row>
    <row r="801">
      <c r="T801" s="258">
        <f>IF(R801="","",IFERROR(TODAY()+VLOOKUP(R801,REGRAS!$B$2:$C$13,2,0),""))</f>
        <v/>
      </c>
    </row>
    <row r="802">
      <c r="T802" s="258">
        <f>IF(R802="","",IFERROR(TODAY()+VLOOKUP(R802,REGRAS!$B$2:$C$13,2,0),""))</f>
        <v/>
      </c>
    </row>
    <row r="803">
      <c r="T803" s="258">
        <f>IF(R803="","",IFERROR(TODAY()+VLOOKUP(R803,REGRAS!$B$2:$C$13,2,0),""))</f>
        <v/>
      </c>
    </row>
    <row r="804">
      <c r="T804" s="258">
        <f>IF(R804="","",IFERROR(TODAY()+VLOOKUP(R804,REGRAS!$B$2:$C$13,2,0),""))</f>
        <v/>
      </c>
    </row>
    <row r="805">
      <c r="T805" s="258">
        <f>IF(R805="","",IFERROR(TODAY()+VLOOKUP(R805,REGRAS!$B$2:$C$13,2,0),""))</f>
        <v/>
      </c>
    </row>
    <row r="806">
      <c r="T806" s="258">
        <f>IF(R806="","",IFERROR(TODAY()+VLOOKUP(R806,REGRAS!$B$2:$C$13,2,0),""))</f>
        <v/>
      </c>
    </row>
    <row r="807">
      <c r="T807" s="258">
        <f>IF(R807="","",IFERROR(TODAY()+VLOOKUP(R807,REGRAS!$B$2:$C$13,2,0),""))</f>
        <v/>
      </c>
    </row>
    <row r="808">
      <c r="T808" s="258">
        <f>IF(R808="","",IFERROR(TODAY()+VLOOKUP(R808,REGRAS!$B$2:$C$13,2,0),""))</f>
        <v/>
      </c>
    </row>
    <row r="809">
      <c r="T809" s="258">
        <f>IF(R809="","",IFERROR(TODAY()+VLOOKUP(R809,REGRAS!$B$2:$C$13,2,0),""))</f>
        <v/>
      </c>
    </row>
    <row r="810">
      <c r="T810" s="258">
        <f>IF(R810="","",IFERROR(TODAY()+VLOOKUP(R810,REGRAS!$B$2:$C$13,2,0),""))</f>
        <v/>
      </c>
    </row>
    <row r="811">
      <c r="T811" s="258">
        <f>IF(R811="","",IFERROR(TODAY()+VLOOKUP(R811,REGRAS!$B$2:$C$13,2,0),""))</f>
        <v/>
      </c>
    </row>
    <row r="812">
      <c r="T812" s="258">
        <f>IF(R812="","",IFERROR(TODAY()+VLOOKUP(R812,REGRAS!$B$2:$C$13,2,0),""))</f>
        <v/>
      </c>
    </row>
    <row r="813">
      <c r="T813" s="258">
        <f>IF(R813="","",IFERROR(TODAY()+VLOOKUP(R813,REGRAS!$B$2:$C$13,2,0),""))</f>
        <v/>
      </c>
    </row>
    <row r="814">
      <c r="T814" s="258">
        <f>IF(R814="","",IFERROR(TODAY()+VLOOKUP(R814,REGRAS!$B$2:$C$13,2,0),""))</f>
        <v/>
      </c>
    </row>
    <row r="815">
      <c r="T815" s="258">
        <f>IF(R815="","",IFERROR(TODAY()+VLOOKUP(R815,REGRAS!$B$2:$C$13,2,0),""))</f>
        <v/>
      </c>
    </row>
    <row r="816">
      <c r="T816" s="258">
        <f>IF(R816="","",IFERROR(TODAY()+VLOOKUP(R816,REGRAS!$B$2:$C$13,2,0),""))</f>
        <v/>
      </c>
    </row>
    <row r="817">
      <c r="T817" s="258">
        <f>IF(R817="","",IFERROR(TODAY()+VLOOKUP(R817,REGRAS!$B$2:$C$13,2,0),""))</f>
        <v/>
      </c>
    </row>
    <row r="818">
      <c r="T818" s="258">
        <f>IF(R818="","",IFERROR(TODAY()+VLOOKUP(R818,REGRAS!$B$2:$C$13,2,0),""))</f>
        <v/>
      </c>
    </row>
    <row r="819">
      <c r="T819" s="258">
        <f>IF(R819="","",IFERROR(TODAY()+VLOOKUP(R819,REGRAS!$B$2:$C$13,2,0),""))</f>
        <v/>
      </c>
    </row>
    <row r="820">
      <c r="T820" s="258">
        <f>IF(R820="","",IFERROR(TODAY()+VLOOKUP(R820,REGRAS!$B$2:$C$13,2,0),""))</f>
        <v/>
      </c>
    </row>
    <row r="821">
      <c r="T821" s="258">
        <f>IF(R821="","",IFERROR(TODAY()+VLOOKUP(R821,REGRAS!$B$2:$C$13,2,0),""))</f>
        <v/>
      </c>
    </row>
    <row r="822">
      <c r="T822" s="258">
        <f>IF(R822="","",IFERROR(TODAY()+VLOOKUP(R822,REGRAS!$B$2:$C$13,2,0),""))</f>
        <v/>
      </c>
    </row>
    <row r="823">
      <c r="T823" s="258">
        <f>IF(R823="","",IFERROR(TODAY()+VLOOKUP(R823,REGRAS!$B$2:$C$13,2,0),""))</f>
        <v/>
      </c>
    </row>
    <row r="824">
      <c r="T824" s="258">
        <f>IF(R824="","",IFERROR(TODAY()+VLOOKUP(R824,REGRAS!$B$2:$C$13,2,0),""))</f>
        <v/>
      </c>
    </row>
    <row r="825">
      <c r="T825" s="258">
        <f>IF(R825="","",IFERROR(TODAY()+VLOOKUP(R825,REGRAS!$B$2:$C$13,2,0),""))</f>
        <v/>
      </c>
    </row>
    <row r="826">
      <c r="T826" s="258">
        <f>IF(R826="","",IFERROR(TODAY()+VLOOKUP(R826,REGRAS!$B$2:$C$13,2,0),""))</f>
        <v/>
      </c>
    </row>
    <row r="827">
      <c r="T827" s="258">
        <f>IF(R827="","",IFERROR(TODAY()+VLOOKUP(R827,REGRAS!$B$2:$C$13,2,0),""))</f>
        <v/>
      </c>
    </row>
    <row r="828">
      <c r="T828" s="258">
        <f>IF(R828="","",IFERROR(TODAY()+VLOOKUP(R828,REGRAS!$B$2:$C$13,2,0),""))</f>
        <v/>
      </c>
    </row>
    <row r="829">
      <c r="T829" s="258">
        <f>IF(R829="","",IFERROR(TODAY()+VLOOKUP(R829,REGRAS!$B$2:$C$13,2,0),""))</f>
        <v/>
      </c>
    </row>
    <row r="830">
      <c r="T830" s="258">
        <f>IF(R830="","",IFERROR(TODAY()+VLOOKUP(R830,REGRAS!$B$2:$C$13,2,0),""))</f>
        <v/>
      </c>
    </row>
    <row r="831">
      <c r="T831" s="258">
        <f>IF(R831="","",IFERROR(TODAY()+VLOOKUP(R831,REGRAS!$B$2:$C$13,2,0),""))</f>
        <v/>
      </c>
    </row>
    <row r="832">
      <c r="T832" s="258">
        <f>IF(R832="","",IFERROR(TODAY()+VLOOKUP(R832,REGRAS!$B$2:$C$13,2,0),""))</f>
        <v/>
      </c>
    </row>
    <row r="833">
      <c r="T833" s="258">
        <f>IF(R833="","",IFERROR(TODAY()+VLOOKUP(R833,REGRAS!$B$2:$C$13,2,0),""))</f>
        <v/>
      </c>
    </row>
    <row r="834">
      <c r="T834" s="258">
        <f>IF(R834="","",IFERROR(TODAY()+VLOOKUP(R834,REGRAS!$B$2:$C$13,2,0),""))</f>
        <v/>
      </c>
    </row>
    <row r="835">
      <c r="T835" s="258">
        <f>IF(R835="","",IFERROR(TODAY()+VLOOKUP(R835,REGRAS!$B$2:$C$13,2,0),""))</f>
        <v/>
      </c>
    </row>
    <row r="836">
      <c r="T836" s="258">
        <f>IF(R836="","",IFERROR(TODAY()+VLOOKUP(R836,REGRAS!$B$2:$C$13,2,0),""))</f>
        <v/>
      </c>
    </row>
    <row r="837">
      <c r="T837" s="258">
        <f>IF(R837="","",IFERROR(TODAY()+VLOOKUP(R837,REGRAS!$B$2:$C$13,2,0),""))</f>
        <v/>
      </c>
    </row>
    <row r="838">
      <c r="T838" s="258">
        <f>IF(R838="","",IFERROR(TODAY()+VLOOKUP(R838,REGRAS!$B$2:$C$13,2,0),""))</f>
        <v/>
      </c>
    </row>
    <row r="839">
      <c r="T839" s="258">
        <f>IF(R839="","",IFERROR(TODAY()+VLOOKUP(R839,REGRAS!$B$2:$C$13,2,0),""))</f>
        <v/>
      </c>
    </row>
    <row r="840">
      <c r="T840" s="258">
        <f>IF(R840="","",IFERROR(TODAY()+VLOOKUP(R840,REGRAS!$B$2:$C$13,2,0),""))</f>
        <v/>
      </c>
    </row>
    <row r="841">
      <c r="T841" s="258">
        <f>IF(R841="","",IFERROR(TODAY()+VLOOKUP(R841,REGRAS!$B$2:$C$13,2,0),""))</f>
        <v/>
      </c>
    </row>
    <row r="842">
      <c r="T842" s="258">
        <f>IF(R842="","",IFERROR(TODAY()+VLOOKUP(R842,REGRAS!$B$2:$C$13,2,0),""))</f>
        <v/>
      </c>
    </row>
    <row r="843">
      <c r="T843" s="258">
        <f>IF(R843="","",IFERROR(TODAY()+VLOOKUP(R843,REGRAS!$B$2:$C$13,2,0),""))</f>
        <v/>
      </c>
    </row>
    <row r="844">
      <c r="T844" s="258">
        <f>IF(R844="","",IFERROR(TODAY()+VLOOKUP(R844,REGRAS!$B$2:$C$13,2,0),""))</f>
        <v/>
      </c>
    </row>
    <row r="845">
      <c r="T845" s="258">
        <f>IF(R845="","",IFERROR(TODAY()+VLOOKUP(R845,REGRAS!$B$2:$C$13,2,0),""))</f>
        <v/>
      </c>
    </row>
    <row r="846">
      <c r="T846" s="258">
        <f>IF(R846="","",IFERROR(TODAY()+VLOOKUP(R846,REGRAS!$B$2:$C$13,2,0),""))</f>
        <v/>
      </c>
    </row>
    <row r="847">
      <c r="T847" s="258">
        <f>IF(R847="","",IFERROR(TODAY()+VLOOKUP(R847,REGRAS!$B$2:$C$13,2,0),""))</f>
        <v/>
      </c>
    </row>
    <row r="848">
      <c r="T848" s="258">
        <f>IF(R848="","",IFERROR(TODAY()+VLOOKUP(R848,REGRAS!$B$2:$C$13,2,0),""))</f>
        <v/>
      </c>
    </row>
    <row r="849">
      <c r="T849" s="258">
        <f>IF(R849="","",IFERROR(TODAY()+VLOOKUP(R849,REGRAS!$B$2:$C$13,2,0),""))</f>
        <v/>
      </c>
    </row>
    <row r="850">
      <c r="T850" s="258">
        <f>IF(R850="","",IFERROR(TODAY()+VLOOKUP(R850,REGRAS!$B$2:$C$13,2,0),""))</f>
        <v/>
      </c>
    </row>
    <row r="851">
      <c r="T851" s="258">
        <f>IF(R851="","",IFERROR(TODAY()+VLOOKUP(R851,REGRAS!$B$2:$C$13,2,0),""))</f>
        <v/>
      </c>
    </row>
    <row r="852">
      <c r="T852" s="258">
        <f>IF(R852="","",IFERROR(TODAY()+VLOOKUP(R852,REGRAS!$B$2:$C$13,2,0),""))</f>
        <v/>
      </c>
    </row>
    <row r="853">
      <c r="T853" s="258">
        <f>IF(R853="","",IFERROR(TODAY()+VLOOKUP(R853,REGRAS!$B$2:$C$13,2,0),""))</f>
        <v/>
      </c>
    </row>
    <row r="854">
      <c r="T854" s="258">
        <f>IF(R854="","",IFERROR(TODAY()+VLOOKUP(R854,REGRAS!$B$2:$C$13,2,0),""))</f>
        <v/>
      </c>
    </row>
    <row r="855">
      <c r="T855" s="258">
        <f>IF(R855="","",IFERROR(TODAY()+VLOOKUP(R855,REGRAS!$B$2:$C$13,2,0),""))</f>
        <v/>
      </c>
    </row>
    <row r="856">
      <c r="T856" s="258">
        <f>IF(R856="","",IFERROR(TODAY()+VLOOKUP(R856,REGRAS!$B$2:$C$13,2,0),""))</f>
        <v/>
      </c>
    </row>
    <row r="857">
      <c r="T857" s="258">
        <f>IF(R857="","",IFERROR(TODAY()+VLOOKUP(R857,REGRAS!$B$2:$C$13,2,0),""))</f>
        <v/>
      </c>
    </row>
    <row r="858">
      <c r="T858" s="258">
        <f>IF(R858="","",IFERROR(TODAY()+VLOOKUP(R858,REGRAS!$B$2:$C$13,2,0),""))</f>
        <v/>
      </c>
    </row>
    <row r="859">
      <c r="T859" s="258">
        <f>IF(R859="","",IFERROR(TODAY()+VLOOKUP(R859,REGRAS!$B$2:$C$13,2,0),""))</f>
        <v/>
      </c>
    </row>
    <row r="860">
      <c r="T860" s="258">
        <f>IF(R860="","",IFERROR(TODAY()+VLOOKUP(R860,REGRAS!$B$2:$C$13,2,0),""))</f>
        <v/>
      </c>
    </row>
    <row r="861">
      <c r="T861" s="258">
        <f>IF(R861="","",IFERROR(TODAY()+VLOOKUP(R861,REGRAS!$B$2:$C$13,2,0),""))</f>
        <v/>
      </c>
    </row>
    <row r="862">
      <c r="T862" s="258">
        <f>IF(R862="","",IFERROR(TODAY()+VLOOKUP(R862,REGRAS!$B$2:$C$13,2,0),""))</f>
        <v/>
      </c>
    </row>
    <row r="863">
      <c r="T863" s="258">
        <f>IF(R863="","",IFERROR(TODAY()+VLOOKUP(R863,REGRAS!$B$2:$C$13,2,0),""))</f>
        <v/>
      </c>
    </row>
    <row r="864">
      <c r="T864" s="258">
        <f>IF(R864="","",IFERROR(TODAY()+VLOOKUP(R864,REGRAS!$B$2:$C$13,2,0),""))</f>
        <v/>
      </c>
    </row>
    <row r="865">
      <c r="T865" s="258">
        <f>IF(R865="","",IFERROR(TODAY()+VLOOKUP(R865,REGRAS!$B$2:$C$13,2,0),""))</f>
        <v/>
      </c>
    </row>
    <row r="866">
      <c r="T866" s="258">
        <f>IF(R866="","",IFERROR(TODAY()+VLOOKUP(R866,REGRAS!$B$2:$C$13,2,0),""))</f>
        <v/>
      </c>
    </row>
    <row r="867">
      <c r="T867" s="258">
        <f>IF(R867="","",IFERROR(TODAY()+VLOOKUP(R867,REGRAS!$B$2:$C$13,2,0),""))</f>
        <v/>
      </c>
    </row>
    <row r="868">
      <c r="T868" s="258">
        <f>IF(R868="","",IFERROR(TODAY()+VLOOKUP(R868,REGRAS!$B$2:$C$13,2,0),""))</f>
        <v/>
      </c>
    </row>
    <row r="869">
      <c r="T869" s="258">
        <f>IF(R869="","",IFERROR(TODAY()+VLOOKUP(R869,REGRAS!$B$2:$C$13,2,0),""))</f>
        <v/>
      </c>
    </row>
    <row r="870">
      <c r="T870" s="258">
        <f>IF(R870="","",IFERROR(TODAY()+VLOOKUP(R870,REGRAS!$B$2:$C$13,2,0),""))</f>
        <v/>
      </c>
    </row>
    <row r="871">
      <c r="T871" s="258">
        <f>IF(R871="","",IFERROR(TODAY()+VLOOKUP(R871,REGRAS!$B$2:$C$13,2,0),""))</f>
        <v/>
      </c>
    </row>
    <row r="872">
      <c r="T872" s="258">
        <f>IF(R872="","",IFERROR(TODAY()+VLOOKUP(R872,REGRAS!$B$2:$C$13,2,0),""))</f>
        <v/>
      </c>
    </row>
    <row r="873">
      <c r="T873" s="258">
        <f>IF(R873="","",IFERROR(TODAY()+VLOOKUP(R873,REGRAS!$B$2:$C$13,2,0),""))</f>
        <v/>
      </c>
    </row>
    <row r="874">
      <c r="T874" s="258">
        <f>IF(R874="","",IFERROR(TODAY()+VLOOKUP(R874,REGRAS!$B$2:$C$13,2,0),""))</f>
        <v/>
      </c>
    </row>
    <row r="875">
      <c r="T875" s="258">
        <f>IF(R875="","",IFERROR(TODAY()+VLOOKUP(R875,REGRAS!$B$2:$C$13,2,0),""))</f>
        <v/>
      </c>
    </row>
    <row r="876">
      <c r="T876" s="258">
        <f>IF(R876="","",IFERROR(TODAY()+VLOOKUP(R876,REGRAS!$B$2:$C$13,2,0),""))</f>
        <v/>
      </c>
    </row>
    <row r="877">
      <c r="T877" s="258">
        <f>IF(R877="","",IFERROR(TODAY()+VLOOKUP(R877,REGRAS!$B$2:$C$13,2,0),""))</f>
        <v/>
      </c>
    </row>
    <row r="878">
      <c r="T878" s="258">
        <f>IF(R878="","",IFERROR(TODAY()+VLOOKUP(R878,REGRAS!$B$2:$C$13,2,0),""))</f>
        <v/>
      </c>
    </row>
    <row r="879">
      <c r="T879" s="258">
        <f>IF(R879="","",IFERROR(TODAY()+VLOOKUP(R879,REGRAS!$B$2:$C$13,2,0),""))</f>
        <v/>
      </c>
    </row>
    <row r="880">
      <c r="T880" s="258">
        <f>IF(R880="","",IFERROR(TODAY()+VLOOKUP(R880,REGRAS!$B$2:$C$13,2,0),""))</f>
        <v/>
      </c>
    </row>
    <row r="881">
      <c r="T881" s="258">
        <f>IF(R881="","",IFERROR(TODAY()+VLOOKUP(R881,REGRAS!$B$2:$C$13,2,0),""))</f>
        <v/>
      </c>
    </row>
    <row r="882">
      <c r="T882" s="258">
        <f>IF(R882="","",IFERROR(TODAY()+VLOOKUP(R882,REGRAS!$B$2:$C$13,2,0),""))</f>
        <v/>
      </c>
    </row>
    <row r="883">
      <c r="T883" s="258">
        <f>IF(R883="","",IFERROR(TODAY()+VLOOKUP(R883,REGRAS!$B$2:$C$13,2,0),""))</f>
        <v/>
      </c>
    </row>
    <row r="884">
      <c r="T884" s="258">
        <f>IF(R884="","",IFERROR(TODAY()+VLOOKUP(R884,REGRAS!$B$2:$C$13,2,0),""))</f>
        <v/>
      </c>
    </row>
    <row r="885">
      <c r="T885" s="258">
        <f>IF(R885="","",IFERROR(TODAY()+VLOOKUP(R885,REGRAS!$B$2:$C$13,2,0),""))</f>
        <v/>
      </c>
    </row>
    <row r="886">
      <c r="T886" s="258">
        <f>IF(R886="","",IFERROR(TODAY()+VLOOKUP(R886,REGRAS!$B$2:$C$13,2,0),""))</f>
        <v/>
      </c>
    </row>
    <row r="887">
      <c r="T887" s="258">
        <f>IF(R887="","",IFERROR(TODAY()+VLOOKUP(R887,REGRAS!$B$2:$C$13,2,0),""))</f>
        <v/>
      </c>
    </row>
    <row r="888">
      <c r="T888" s="258">
        <f>IF(R888="","",IFERROR(TODAY()+VLOOKUP(R888,REGRAS!$B$2:$C$13,2,0),""))</f>
        <v/>
      </c>
    </row>
    <row r="889">
      <c r="T889" s="258">
        <f>IF(R889="","",IFERROR(TODAY()+VLOOKUP(R889,REGRAS!$B$2:$C$13,2,0),""))</f>
        <v/>
      </c>
    </row>
    <row r="890">
      <c r="T890" s="258">
        <f>IF(R890="","",IFERROR(TODAY()+VLOOKUP(R890,REGRAS!$B$2:$C$13,2,0),""))</f>
        <v/>
      </c>
    </row>
    <row r="891">
      <c r="T891" s="258">
        <f>IF(R891="","",IFERROR(TODAY()+VLOOKUP(R891,REGRAS!$B$2:$C$13,2,0),""))</f>
        <v/>
      </c>
    </row>
    <row r="892">
      <c r="T892" s="258">
        <f>IF(R892="","",IFERROR(TODAY()+VLOOKUP(R892,REGRAS!$B$2:$C$13,2,0),""))</f>
        <v/>
      </c>
    </row>
    <row r="893">
      <c r="T893" s="258">
        <f>IF(R893="","",IFERROR(TODAY()+VLOOKUP(R893,REGRAS!$B$2:$C$13,2,0),""))</f>
        <v/>
      </c>
    </row>
    <row r="894">
      <c r="T894" s="258">
        <f>IF(R894="","",IFERROR(TODAY()+VLOOKUP(R894,REGRAS!$B$2:$C$13,2,0),""))</f>
        <v/>
      </c>
    </row>
    <row r="895">
      <c r="T895" s="258">
        <f>IF(R895="","",IFERROR(TODAY()+VLOOKUP(R895,REGRAS!$B$2:$C$13,2,0),""))</f>
        <v/>
      </c>
    </row>
    <row r="896">
      <c r="T896" s="258">
        <f>IF(R896="","",IFERROR(TODAY()+VLOOKUP(R896,REGRAS!$B$2:$C$13,2,0),""))</f>
        <v/>
      </c>
    </row>
    <row r="897">
      <c r="T897" s="258">
        <f>IF(R897="","",IFERROR(TODAY()+VLOOKUP(R897,REGRAS!$B$2:$C$13,2,0),""))</f>
        <v/>
      </c>
    </row>
    <row r="898">
      <c r="T898" s="258">
        <f>IF(R898="","",IFERROR(TODAY()+VLOOKUP(R898,REGRAS!$B$2:$C$13,2,0),""))</f>
        <v/>
      </c>
    </row>
    <row r="899">
      <c r="T899" s="258">
        <f>IF(R899="","",IFERROR(TODAY()+VLOOKUP(R899,REGRAS!$B$2:$C$13,2,0),""))</f>
        <v/>
      </c>
    </row>
    <row r="900">
      <c r="T900" s="258">
        <f>IF(R900="","",IFERROR(TODAY()+VLOOKUP(R900,REGRAS!$B$2:$C$13,2,0),""))</f>
        <v/>
      </c>
    </row>
    <row r="901">
      <c r="T901" s="258">
        <f>IF(R901="","",IFERROR(TODAY()+VLOOKUP(R901,REGRAS!$B$2:$C$13,2,0),""))</f>
        <v/>
      </c>
    </row>
    <row r="902">
      <c r="T902" s="258">
        <f>IF(R902="","",IFERROR(TODAY()+VLOOKUP(R902,REGRAS!$B$2:$C$13,2,0),""))</f>
        <v/>
      </c>
    </row>
    <row r="903">
      <c r="T903" s="258">
        <f>IF(R903="","",IFERROR(TODAY()+VLOOKUP(R903,REGRAS!$B$2:$C$13,2,0),""))</f>
        <v/>
      </c>
    </row>
    <row r="904">
      <c r="T904" s="258">
        <f>IF(R904="","",IFERROR(TODAY()+VLOOKUP(R904,REGRAS!$B$2:$C$13,2,0),""))</f>
        <v/>
      </c>
    </row>
    <row r="905">
      <c r="T905" s="258">
        <f>IF(R905="","",IFERROR(TODAY()+VLOOKUP(R905,REGRAS!$B$2:$C$13,2,0),""))</f>
        <v/>
      </c>
    </row>
    <row r="906">
      <c r="T906" s="258">
        <f>IF(R906="","",IFERROR(TODAY()+VLOOKUP(R906,REGRAS!$B$2:$C$13,2,0),""))</f>
        <v/>
      </c>
    </row>
    <row r="907">
      <c r="T907" s="258">
        <f>IF(R907="","",IFERROR(TODAY()+VLOOKUP(R907,REGRAS!$B$2:$C$13,2,0),""))</f>
        <v/>
      </c>
    </row>
    <row r="908">
      <c r="T908" s="258">
        <f>IF(R908="","",IFERROR(TODAY()+VLOOKUP(R908,REGRAS!$B$2:$C$13,2,0),""))</f>
        <v/>
      </c>
    </row>
    <row r="909">
      <c r="T909" s="258">
        <f>IF(R909="","",IFERROR(TODAY()+VLOOKUP(R909,REGRAS!$B$2:$C$13,2,0),""))</f>
        <v/>
      </c>
    </row>
    <row r="910">
      <c r="T910" s="258">
        <f>IF(R910="","",IFERROR(TODAY()+VLOOKUP(R910,REGRAS!$B$2:$C$13,2,0),""))</f>
        <v/>
      </c>
    </row>
    <row r="911">
      <c r="T911" s="258">
        <f>IF(R911="","",IFERROR(TODAY()+VLOOKUP(R911,REGRAS!$B$2:$C$13,2,0),""))</f>
        <v/>
      </c>
    </row>
    <row r="912">
      <c r="T912" s="258">
        <f>IF(R912="","",IFERROR(TODAY()+VLOOKUP(R912,REGRAS!$B$2:$C$13,2,0),""))</f>
        <v/>
      </c>
    </row>
    <row r="913">
      <c r="T913" s="258">
        <f>IF(R913="","",IFERROR(TODAY()+VLOOKUP(R913,REGRAS!$B$2:$C$13,2,0),""))</f>
        <v/>
      </c>
    </row>
    <row r="914">
      <c r="T914" s="258">
        <f>IF(R914="","",IFERROR(TODAY()+VLOOKUP(R914,REGRAS!$B$2:$C$13,2,0),""))</f>
        <v/>
      </c>
    </row>
    <row r="915">
      <c r="T915" s="258">
        <f>IF(R915="","",IFERROR(TODAY()+VLOOKUP(R915,REGRAS!$B$2:$C$13,2,0),""))</f>
        <v/>
      </c>
    </row>
    <row r="916">
      <c r="T916" s="258">
        <f>IF(R916="","",IFERROR(TODAY()+VLOOKUP(R916,REGRAS!$B$2:$C$13,2,0),""))</f>
        <v/>
      </c>
    </row>
    <row r="917">
      <c r="T917" s="258">
        <f>IF(R917="","",IFERROR(TODAY()+VLOOKUP(R917,REGRAS!$B$2:$C$13,2,0),""))</f>
        <v/>
      </c>
    </row>
    <row r="918">
      <c r="T918" s="258">
        <f>IF(R918="","",IFERROR(TODAY()+VLOOKUP(R918,REGRAS!$B$2:$C$13,2,0),""))</f>
        <v/>
      </c>
    </row>
    <row r="919">
      <c r="T919" s="258">
        <f>IF(R919="","",IFERROR(TODAY()+VLOOKUP(R919,REGRAS!$B$2:$C$13,2,0),""))</f>
        <v/>
      </c>
    </row>
    <row r="920">
      <c r="T920" s="258">
        <f>IF(R920="","",IFERROR(TODAY()+VLOOKUP(R920,REGRAS!$B$2:$C$13,2,0),""))</f>
        <v/>
      </c>
    </row>
    <row r="921">
      <c r="T921" s="258">
        <f>IF(R921="","",IFERROR(TODAY()+VLOOKUP(R921,REGRAS!$B$2:$C$13,2,0),""))</f>
        <v/>
      </c>
    </row>
    <row r="922">
      <c r="T922" s="258">
        <f>IF(R922="","",IFERROR(TODAY()+VLOOKUP(R922,REGRAS!$B$2:$C$13,2,0),""))</f>
        <v/>
      </c>
    </row>
    <row r="923">
      <c r="T923" s="258">
        <f>IF(R923="","",IFERROR(TODAY()+VLOOKUP(R923,REGRAS!$B$2:$C$13,2,0),""))</f>
        <v/>
      </c>
    </row>
    <row r="924">
      <c r="T924" s="258">
        <f>IF(R924="","",IFERROR(TODAY()+VLOOKUP(R924,REGRAS!$B$2:$C$13,2,0),""))</f>
        <v/>
      </c>
    </row>
    <row r="925">
      <c r="T925" s="258">
        <f>IF(R925="","",IFERROR(TODAY()+VLOOKUP(R925,REGRAS!$B$2:$C$13,2,0),""))</f>
        <v/>
      </c>
    </row>
    <row r="926">
      <c r="T926" s="258">
        <f>IF(R926="","",IFERROR(TODAY()+VLOOKUP(R926,REGRAS!$B$2:$C$13,2,0),""))</f>
        <v/>
      </c>
    </row>
    <row r="927">
      <c r="T927" s="258">
        <f>IF(R927="","",IFERROR(TODAY()+VLOOKUP(R927,REGRAS!$B$2:$C$13,2,0),""))</f>
        <v/>
      </c>
    </row>
    <row r="928">
      <c r="T928" s="258">
        <f>IF(R928="","",IFERROR(TODAY()+VLOOKUP(R928,REGRAS!$B$2:$C$13,2,0),""))</f>
        <v/>
      </c>
    </row>
    <row r="929">
      <c r="T929" s="258">
        <f>IF(R929="","",IFERROR(TODAY()+VLOOKUP(R929,REGRAS!$B$2:$C$13,2,0),""))</f>
        <v/>
      </c>
    </row>
    <row r="930">
      <c r="T930" s="258">
        <f>IF(R930="","",IFERROR(TODAY()+VLOOKUP(R930,REGRAS!$B$2:$C$13,2,0),""))</f>
        <v/>
      </c>
    </row>
    <row r="931">
      <c r="T931" s="258">
        <f>IF(R931="","",IFERROR(TODAY()+VLOOKUP(R931,REGRAS!$B$2:$C$13,2,0),""))</f>
        <v/>
      </c>
    </row>
    <row r="932">
      <c r="T932" s="258">
        <f>IF(R932="","",IFERROR(TODAY()+VLOOKUP(R932,REGRAS!$B$2:$C$13,2,0),""))</f>
        <v/>
      </c>
    </row>
    <row r="933">
      <c r="T933" s="258">
        <f>IF(R933="","",IFERROR(TODAY()+VLOOKUP(R933,REGRAS!$B$2:$C$13,2,0),""))</f>
        <v/>
      </c>
    </row>
    <row r="934">
      <c r="T934" s="258">
        <f>IF(R934="","",IFERROR(TODAY()+VLOOKUP(R934,REGRAS!$B$2:$C$13,2,0),""))</f>
        <v/>
      </c>
    </row>
    <row r="935">
      <c r="T935" s="258">
        <f>IF(R935="","",IFERROR(TODAY()+VLOOKUP(R935,REGRAS!$B$2:$C$13,2,0),""))</f>
        <v/>
      </c>
    </row>
    <row r="936">
      <c r="T936" s="258">
        <f>IF(R936="","",IFERROR(TODAY()+VLOOKUP(R936,REGRAS!$B$2:$C$13,2,0),""))</f>
        <v/>
      </c>
    </row>
    <row r="937">
      <c r="T937" s="258">
        <f>IF(R937="","",IFERROR(TODAY()+VLOOKUP(R937,REGRAS!$B$2:$C$13,2,0),""))</f>
        <v/>
      </c>
    </row>
    <row r="938">
      <c r="T938" s="258">
        <f>IF(R938="","",IFERROR(TODAY()+VLOOKUP(R938,REGRAS!$B$2:$C$13,2,0),""))</f>
        <v/>
      </c>
    </row>
    <row r="939">
      <c r="T939" s="258">
        <f>IF(R939="","",IFERROR(TODAY()+VLOOKUP(R939,REGRAS!$B$2:$C$13,2,0),""))</f>
        <v/>
      </c>
    </row>
    <row r="940">
      <c r="T940" s="258">
        <f>IF(R940="","",IFERROR(TODAY()+VLOOKUP(R940,REGRAS!$B$2:$C$13,2,0),""))</f>
        <v/>
      </c>
    </row>
    <row r="941">
      <c r="T941" s="258">
        <f>IF(R941="","",IFERROR(TODAY()+VLOOKUP(R941,REGRAS!$B$2:$C$13,2,0),""))</f>
        <v/>
      </c>
    </row>
    <row r="942">
      <c r="T942" s="258">
        <f>IF(R942="","",IFERROR(TODAY()+VLOOKUP(R942,REGRAS!$B$2:$C$13,2,0),""))</f>
        <v/>
      </c>
    </row>
    <row r="943">
      <c r="T943" s="258">
        <f>IF(R943="","",IFERROR(TODAY()+VLOOKUP(R943,REGRAS!$B$2:$C$13,2,0),""))</f>
        <v/>
      </c>
    </row>
    <row r="944">
      <c r="T944" s="258">
        <f>IF(R944="","",IFERROR(TODAY()+VLOOKUP(R944,REGRAS!$B$2:$C$13,2,0),""))</f>
        <v/>
      </c>
    </row>
    <row r="945">
      <c r="T945" s="258">
        <f>IF(R945="","",IFERROR(TODAY()+VLOOKUP(R945,REGRAS!$B$2:$C$13,2,0),""))</f>
        <v/>
      </c>
    </row>
    <row r="946">
      <c r="T946" s="258">
        <f>IF(R946="","",IFERROR(TODAY()+VLOOKUP(R946,REGRAS!$B$2:$C$13,2,0),""))</f>
        <v/>
      </c>
    </row>
    <row r="947">
      <c r="T947" s="258">
        <f>IF(R947="","",IFERROR(TODAY()+VLOOKUP(R947,REGRAS!$B$2:$C$13,2,0),""))</f>
        <v/>
      </c>
    </row>
    <row r="948">
      <c r="T948" s="258">
        <f>IF(R948="","",IFERROR(TODAY()+VLOOKUP(R948,REGRAS!$B$2:$C$13,2,0),""))</f>
        <v/>
      </c>
    </row>
    <row r="949">
      <c r="T949" s="258">
        <f>IF(R949="","",IFERROR(TODAY()+VLOOKUP(R949,REGRAS!$B$2:$C$13,2,0),""))</f>
        <v/>
      </c>
    </row>
    <row r="950">
      <c r="T950" s="258">
        <f>IF(R950="","",IFERROR(TODAY()+VLOOKUP(R950,REGRAS!$B$2:$C$13,2,0),""))</f>
        <v/>
      </c>
    </row>
    <row r="951">
      <c r="T951" s="258">
        <f>IF(R951="","",IFERROR(TODAY()+VLOOKUP(R951,REGRAS!$B$2:$C$13,2,0),""))</f>
        <v/>
      </c>
    </row>
    <row r="952">
      <c r="T952" s="258">
        <f>IF(R952="","",IFERROR(TODAY()+VLOOKUP(R952,REGRAS!$B$2:$C$13,2,0),""))</f>
        <v/>
      </c>
    </row>
    <row r="953">
      <c r="T953" s="258">
        <f>IF(R953="","",IFERROR(TODAY()+VLOOKUP(R953,REGRAS!$B$2:$C$13,2,0),""))</f>
        <v/>
      </c>
    </row>
    <row r="954">
      <c r="T954" s="258">
        <f>IF(R954="","",IFERROR(TODAY()+VLOOKUP(R954,REGRAS!$B$2:$C$13,2,0),""))</f>
        <v/>
      </c>
    </row>
    <row r="955">
      <c r="T955" s="258">
        <f>IF(R955="","",IFERROR(TODAY()+VLOOKUP(R955,REGRAS!$B$2:$C$13,2,0),""))</f>
        <v/>
      </c>
    </row>
    <row r="956">
      <c r="T956" s="258">
        <f>IF(R956="","",IFERROR(TODAY()+VLOOKUP(R956,REGRAS!$B$2:$C$13,2,0),""))</f>
        <v/>
      </c>
    </row>
    <row r="957">
      <c r="T957" s="258">
        <f>IF(R957="","",IFERROR(TODAY()+VLOOKUP(R957,REGRAS!$B$2:$C$13,2,0),""))</f>
        <v/>
      </c>
    </row>
    <row r="958">
      <c r="T958" s="258">
        <f>IF(R958="","",IFERROR(TODAY()+VLOOKUP(R958,REGRAS!$B$2:$C$13,2,0),""))</f>
        <v/>
      </c>
    </row>
    <row r="959">
      <c r="T959" s="258">
        <f>IF(R959="","",IFERROR(TODAY()+VLOOKUP(R959,REGRAS!$B$2:$C$13,2,0),""))</f>
        <v/>
      </c>
    </row>
    <row r="960">
      <c r="T960" s="258">
        <f>IF(R960="","",IFERROR(TODAY()+VLOOKUP(R960,REGRAS!$B$2:$C$13,2,0),""))</f>
        <v/>
      </c>
    </row>
    <row r="961">
      <c r="T961" s="258">
        <f>IF(R961="","",IFERROR(TODAY()+VLOOKUP(R961,REGRAS!$B$2:$C$13,2,0),""))</f>
        <v/>
      </c>
    </row>
    <row r="962">
      <c r="T962" s="258">
        <f>IF(R962="","",IFERROR(TODAY()+VLOOKUP(R962,REGRAS!$B$2:$C$13,2,0),""))</f>
        <v/>
      </c>
    </row>
    <row r="963">
      <c r="T963" s="258">
        <f>IF(R963="","",IFERROR(TODAY()+VLOOKUP(R963,REGRAS!$B$2:$C$13,2,0),""))</f>
        <v/>
      </c>
    </row>
    <row r="964">
      <c r="T964" s="258">
        <f>IF(R964="","",IFERROR(TODAY()+VLOOKUP(R964,REGRAS!$B$2:$C$13,2,0),""))</f>
        <v/>
      </c>
    </row>
    <row r="965">
      <c r="T965" s="258">
        <f>IF(R965="","",IFERROR(TODAY()+VLOOKUP(R965,REGRAS!$B$2:$C$13,2,0),""))</f>
        <v/>
      </c>
    </row>
    <row r="966">
      <c r="T966" s="258">
        <f>IF(R966="","",IFERROR(TODAY()+VLOOKUP(R966,REGRAS!$B$2:$C$13,2,0),""))</f>
        <v/>
      </c>
    </row>
    <row r="967">
      <c r="T967" s="258">
        <f>IF(R967="","",IFERROR(TODAY()+VLOOKUP(R967,REGRAS!$B$2:$C$13,2,0),""))</f>
        <v/>
      </c>
    </row>
    <row r="968">
      <c r="T968" s="258">
        <f>IF(R968="","",IFERROR(TODAY()+VLOOKUP(R968,REGRAS!$B$2:$C$13,2,0),""))</f>
        <v/>
      </c>
    </row>
    <row r="969">
      <c r="T969" s="258">
        <f>IF(R969="","",IFERROR(TODAY()+VLOOKUP(R969,REGRAS!$B$2:$C$13,2,0),""))</f>
        <v/>
      </c>
    </row>
    <row r="970">
      <c r="T970" s="258">
        <f>IF(R970="","",IFERROR(TODAY()+VLOOKUP(R970,REGRAS!$B$2:$C$13,2,0),""))</f>
        <v/>
      </c>
    </row>
    <row r="971">
      <c r="T971" s="258">
        <f>IF(R971="","",IFERROR(TODAY()+VLOOKUP(R971,REGRAS!$B$2:$C$13,2,0),""))</f>
        <v/>
      </c>
    </row>
    <row r="972">
      <c r="T972" s="258">
        <f>IF(R972="","",IFERROR(TODAY()+VLOOKUP(R972,REGRAS!$B$2:$C$13,2,0),""))</f>
        <v/>
      </c>
    </row>
    <row r="973">
      <c r="T973" s="258">
        <f>IF(R973="","",IFERROR(TODAY()+VLOOKUP(R973,REGRAS!$B$2:$C$13,2,0),""))</f>
        <v/>
      </c>
    </row>
    <row r="974">
      <c r="T974" s="258">
        <f>IF(R974="","",IFERROR(TODAY()+VLOOKUP(R974,REGRAS!$B$2:$C$13,2,0),""))</f>
        <v/>
      </c>
    </row>
    <row r="975">
      <c r="T975" s="258">
        <f>IF(R975="","",IFERROR(TODAY()+VLOOKUP(R975,REGRAS!$B$2:$C$13,2,0),""))</f>
        <v/>
      </c>
    </row>
    <row r="976">
      <c r="T976" s="258">
        <f>IF(R976="","",IFERROR(TODAY()+VLOOKUP(R976,REGRAS!$B$2:$C$13,2,0),""))</f>
        <v/>
      </c>
    </row>
    <row r="977">
      <c r="T977" s="258">
        <f>IF(R977="","",IFERROR(TODAY()+VLOOKUP(R977,REGRAS!$B$2:$C$13,2,0),""))</f>
        <v/>
      </c>
    </row>
    <row r="978">
      <c r="T978" s="258">
        <f>IF(R978="","",IFERROR(TODAY()+VLOOKUP(R978,REGRAS!$B$2:$C$13,2,0),""))</f>
        <v/>
      </c>
    </row>
    <row r="979">
      <c r="T979" s="258">
        <f>IF(R979="","",IFERROR(TODAY()+VLOOKUP(R979,REGRAS!$B$2:$C$13,2,0),""))</f>
        <v/>
      </c>
    </row>
    <row r="980">
      <c r="T980" s="258">
        <f>IF(R980="","",IFERROR(TODAY()+VLOOKUP(R980,REGRAS!$B$2:$C$13,2,0),""))</f>
        <v/>
      </c>
    </row>
    <row r="981">
      <c r="T981" s="258">
        <f>IF(R981="","",IFERROR(TODAY()+VLOOKUP(R981,REGRAS!$B$2:$C$13,2,0),""))</f>
        <v/>
      </c>
    </row>
    <row r="982">
      <c r="T982" s="258">
        <f>IF(R982="","",IFERROR(TODAY()+VLOOKUP(R982,REGRAS!$B$2:$C$13,2,0),""))</f>
        <v/>
      </c>
    </row>
    <row r="983">
      <c r="T983" s="258">
        <f>IF(R983="","",IFERROR(TODAY()+VLOOKUP(R983,REGRAS!$B$2:$C$13,2,0),""))</f>
        <v/>
      </c>
    </row>
    <row r="984">
      <c r="T984" s="258">
        <f>IF(R984="","",IFERROR(TODAY()+VLOOKUP(R984,REGRAS!$B$2:$C$13,2,0),""))</f>
        <v/>
      </c>
    </row>
    <row r="985">
      <c r="T985" s="258">
        <f>IF(R985="","",IFERROR(TODAY()+VLOOKUP(R985,REGRAS!$B$2:$C$13,2,0),""))</f>
        <v/>
      </c>
    </row>
    <row r="986">
      <c r="T986" s="258">
        <f>IF(R986="","",IFERROR(TODAY()+VLOOKUP(R986,REGRAS!$B$2:$C$13,2,0),""))</f>
        <v/>
      </c>
    </row>
    <row r="987">
      <c r="T987" s="258">
        <f>IF(R987="","",IFERROR(TODAY()+VLOOKUP(R987,REGRAS!$B$2:$C$13,2,0),""))</f>
        <v/>
      </c>
    </row>
    <row r="988">
      <c r="T988" s="258">
        <f>IF(R988="","",IFERROR(TODAY()+VLOOKUP(R988,REGRAS!$B$2:$C$13,2,0),""))</f>
        <v/>
      </c>
    </row>
    <row r="989">
      <c r="T989" s="258">
        <f>IF(R989="","",IFERROR(TODAY()+VLOOKUP(R989,REGRAS!$B$2:$C$13,2,0),""))</f>
        <v/>
      </c>
    </row>
    <row r="990">
      <c r="T990" s="258">
        <f>IF(R990="","",IFERROR(TODAY()+VLOOKUP(R990,REGRAS!$B$2:$C$13,2,0),""))</f>
        <v/>
      </c>
    </row>
    <row r="991">
      <c r="T991" s="258">
        <f>IF(R991="","",IFERROR(TODAY()+VLOOKUP(R991,REGRAS!$B$2:$C$13,2,0),""))</f>
        <v/>
      </c>
    </row>
    <row r="992">
      <c r="T992" s="258">
        <f>IF(R992="","",IFERROR(TODAY()+VLOOKUP(R992,REGRAS!$B$2:$C$13,2,0),""))</f>
        <v/>
      </c>
    </row>
    <row r="993">
      <c r="T993" s="258">
        <f>IF(R993="","",IFERROR(TODAY()+VLOOKUP(R993,REGRAS!$B$2:$C$13,2,0),""))</f>
        <v/>
      </c>
    </row>
    <row r="994">
      <c r="T994" s="258">
        <f>IF(R994="","",IFERROR(TODAY()+VLOOKUP(R994,REGRAS!$B$2:$C$13,2,0),""))</f>
        <v/>
      </c>
    </row>
    <row r="995">
      <c r="T995" s="258">
        <f>IF(R995="","",IFERROR(TODAY()+VLOOKUP(R995,REGRAS!$B$2:$C$13,2,0),""))</f>
        <v/>
      </c>
    </row>
    <row r="996">
      <c r="T996" s="258">
        <f>IF(R996="","",IFERROR(TODAY()+VLOOKUP(R996,REGRAS!$B$2:$C$13,2,0),""))</f>
        <v/>
      </c>
    </row>
    <row r="997">
      <c r="T997" s="258">
        <f>IF(R997="","",IFERROR(TODAY()+VLOOKUP(R997,REGRAS!$B$2:$C$13,2,0),""))</f>
        <v/>
      </c>
    </row>
    <row r="998">
      <c r="T998" s="258">
        <f>IF(R998="","",IFERROR(TODAY()+VLOOKUP(R998,REGRAS!$B$2:$C$13,2,0),""))</f>
        <v/>
      </c>
    </row>
    <row r="999">
      <c r="T999" s="258">
        <f>IF(R999="","",IFERROR(TODAY()+VLOOKUP(R999,REGRAS!$B$2:$C$13,2,0),""))</f>
        <v/>
      </c>
    </row>
    <row r="1000">
      <c r="T1000" s="258">
        <f>IF(R1000="","",IFERROR(TODAY()+VLOOKUP(R1000,REGRAS!$B$2:$C$13,2,0),""))</f>
        <v/>
      </c>
    </row>
    <row r="1001">
      <c r="T1001" s="258">
        <f>IF(R1001="","",IFERROR(TODAY()+VLOOKUP(R1001,REGRAS!$B$2:$C$13,2,0),""))</f>
        <v/>
      </c>
    </row>
    <row r="1002">
      <c r="T1002" s="258">
        <f>IF(R1002="","",IFERROR(TODAY()+VLOOKUP(R1002,REGRAS!$B$2:$C$13,2,0),""))</f>
        <v/>
      </c>
    </row>
    <row r="1003">
      <c r="T1003" s="258">
        <f>IF(R1003="","",IFERROR(TODAY()+VLOOKUP(R1003,REGRAS!$B$2:$C$13,2,0),""))</f>
        <v/>
      </c>
    </row>
    <row r="1004">
      <c r="T1004" s="258">
        <f>IF(R1004="","",IFERROR(TODAY()+VLOOKUP(R1004,REGRAS!$B$2:$C$13,2,0),""))</f>
        <v/>
      </c>
    </row>
    <row r="1005">
      <c r="T1005" s="258">
        <f>IF(R1005="","",IFERROR(TODAY()+VLOOKUP(R1005,REGRAS!$B$2:$C$13,2,0),""))</f>
        <v/>
      </c>
    </row>
    <row r="1006">
      <c r="T1006" s="258">
        <f>IF(R1006="","",IFERROR(TODAY()+VLOOKUP(R1006,REGRAS!$B$2:$C$13,2,0),""))</f>
        <v/>
      </c>
    </row>
    <row r="1007">
      <c r="T1007" s="258">
        <f>IF(R1007="","",IFERROR(TODAY()+VLOOKUP(R1007,REGRAS!$B$2:$C$13,2,0),""))</f>
        <v/>
      </c>
    </row>
    <row r="1008">
      <c r="T1008" s="258">
        <f>IF(R1008="","",IFERROR(TODAY()+VLOOKUP(R1008,REGRAS!$B$2:$C$13,2,0),""))</f>
        <v/>
      </c>
    </row>
    <row r="1009">
      <c r="T1009" s="258">
        <f>IF(R1009="","",IFERROR(TODAY()+VLOOKUP(R1009,REGRAS!$B$2:$C$13,2,0),""))</f>
        <v/>
      </c>
    </row>
    <row r="1010">
      <c r="T1010" s="258">
        <f>IF(R1010="","",IFERROR(TODAY()+VLOOKUP(R1010,REGRAS!$B$2:$C$13,2,0),""))</f>
        <v/>
      </c>
    </row>
    <row r="1011">
      <c r="T1011" s="258">
        <f>IF(R1011="","",IFERROR(TODAY()+VLOOKUP(R1011,REGRAS!$B$2:$C$13,2,0),""))</f>
        <v/>
      </c>
    </row>
    <row r="1012">
      <c r="T1012" s="258">
        <f>IF(R1012="","",IFERROR(TODAY()+VLOOKUP(R1012,REGRAS!$B$2:$C$13,2,0),""))</f>
        <v/>
      </c>
    </row>
    <row r="1013">
      <c r="T1013" s="258">
        <f>IF(R1013="","",IFERROR(TODAY()+VLOOKUP(R1013,REGRAS!$B$2:$C$13,2,0),""))</f>
        <v/>
      </c>
    </row>
    <row r="1014">
      <c r="T1014" s="258">
        <f>IF(R1014="","",IFERROR(TODAY()+VLOOKUP(R1014,REGRAS!$B$2:$C$13,2,0),""))</f>
        <v/>
      </c>
    </row>
    <row r="1015">
      <c r="T1015" s="258">
        <f>IF(R1015="","",IFERROR(TODAY()+VLOOKUP(R1015,REGRAS!$B$2:$C$13,2,0),""))</f>
        <v/>
      </c>
    </row>
    <row r="1016">
      <c r="T1016" s="258">
        <f>IF(R1016="","",IFERROR(TODAY()+VLOOKUP(R1016,REGRAS!$B$2:$C$13,2,0),""))</f>
        <v/>
      </c>
    </row>
    <row r="1017">
      <c r="T1017" s="258">
        <f>IF(R1017="","",IFERROR(TODAY()+VLOOKUP(R1017,REGRAS!$B$2:$C$13,2,0),""))</f>
        <v/>
      </c>
    </row>
    <row r="1018">
      <c r="T1018" s="258">
        <f>IF(R1018="","",IFERROR(TODAY()+VLOOKUP(R1018,REGRAS!$B$2:$C$13,2,0),""))</f>
        <v/>
      </c>
    </row>
    <row r="1019">
      <c r="T1019" s="258">
        <f>IF(R1019="","",IFERROR(TODAY()+VLOOKUP(R1019,REGRAS!$B$2:$C$13,2,0),""))</f>
        <v/>
      </c>
    </row>
    <row r="1020">
      <c r="T1020" s="258">
        <f>IF(R1020="","",IFERROR(TODAY()+VLOOKUP(R1020,REGRAS!$B$2:$C$13,2,0),""))</f>
        <v/>
      </c>
    </row>
    <row r="1021">
      <c r="T1021" s="258">
        <f>IF(R1021="","",IFERROR(TODAY()+VLOOKUP(R1021,REGRAS!$B$2:$C$13,2,0),""))</f>
        <v/>
      </c>
    </row>
    <row r="1022">
      <c r="T1022" s="258">
        <f>IF(R1022="","",IFERROR(TODAY()+VLOOKUP(R1022,REGRAS!$B$2:$C$13,2,0),""))</f>
        <v/>
      </c>
    </row>
    <row r="1023">
      <c r="T1023" s="258">
        <f>IF(R1023="","",IFERROR(TODAY()+VLOOKUP(R1023,REGRAS!$B$2:$C$13,2,0),""))</f>
        <v/>
      </c>
    </row>
    <row r="1024">
      <c r="T1024" s="258">
        <f>IF(R1024="","",IFERROR(TODAY()+VLOOKUP(R1024,REGRAS!$B$2:$C$13,2,0),""))</f>
        <v/>
      </c>
    </row>
    <row r="1025">
      <c r="T1025" s="258">
        <f>IF(R1025="","",IFERROR(TODAY()+VLOOKUP(R1025,REGRAS!$B$2:$C$13,2,0),""))</f>
        <v/>
      </c>
    </row>
    <row r="1026">
      <c r="T1026" s="258">
        <f>IF(R1026="","",IFERROR(TODAY()+VLOOKUP(R1026,REGRAS!$B$2:$C$13,2,0),""))</f>
        <v/>
      </c>
    </row>
    <row r="1027">
      <c r="T1027" s="258">
        <f>IF(R1027="","",IFERROR(TODAY()+VLOOKUP(R1027,REGRAS!$B$2:$C$13,2,0),""))</f>
        <v/>
      </c>
    </row>
    <row r="1028">
      <c r="T1028" s="258">
        <f>IF(R1028="","",IFERROR(TODAY()+VLOOKUP(R1028,REGRAS!$B$2:$C$13,2,0),""))</f>
        <v/>
      </c>
    </row>
    <row r="1029">
      <c r="T1029" s="258">
        <f>IF(R1029="","",IFERROR(TODAY()+VLOOKUP(R1029,REGRAS!$B$2:$C$13,2,0),""))</f>
        <v/>
      </c>
    </row>
    <row r="1030">
      <c r="T1030" s="258">
        <f>IF(R1030="","",IFERROR(TODAY()+VLOOKUP(R1030,REGRAS!$B$2:$C$13,2,0),""))</f>
        <v/>
      </c>
    </row>
    <row r="1031">
      <c r="T1031" s="258">
        <f>IF(R1031="","",IFERROR(TODAY()+VLOOKUP(R1031,REGRAS!$B$2:$C$13,2,0),""))</f>
        <v/>
      </c>
    </row>
    <row r="1032">
      <c r="T1032" s="258">
        <f>IF(R1032="","",IFERROR(TODAY()+VLOOKUP(R1032,REGRAS!$B$2:$C$13,2,0),""))</f>
        <v/>
      </c>
    </row>
    <row r="1033">
      <c r="T1033" s="258">
        <f>IF(R1033="","",IFERROR(TODAY()+VLOOKUP(R1033,REGRAS!$B$2:$C$13,2,0),""))</f>
        <v/>
      </c>
    </row>
    <row r="1034">
      <c r="T1034" s="258">
        <f>IF(R1034="","",IFERROR(TODAY()+VLOOKUP(R1034,REGRAS!$B$2:$C$13,2,0),""))</f>
        <v/>
      </c>
    </row>
    <row r="1035">
      <c r="T1035" s="258">
        <f>IF(R1035="","",IFERROR(TODAY()+VLOOKUP(R1035,REGRAS!$B$2:$C$13,2,0),""))</f>
        <v/>
      </c>
    </row>
    <row r="1036">
      <c r="T1036" s="258">
        <f>IF(R1036="","",IFERROR(TODAY()+VLOOKUP(R1036,REGRAS!$B$2:$C$13,2,0),""))</f>
        <v/>
      </c>
    </row>
    <row r="1037">
      <c r="T1037" s="258">
        <f>IF(R1037="","",IFERROR(TODAY()+VLOOKUP(R1037,REGRAS!$B$2:$C$13,2,0),""))</f>
        <v/>
      </c>
    </row>
    <row r="1038">
      <c r="T1038" s="258">
        <f>IF(R1038="","",IFERROR(TODAY()+VLOOKUP(R1038,REGRAS!$B$2:$C$13,2,0),""))</f>
        <v/>
      </c>
    </row>
    <row r="1039">
      <c r="T1039" s="258">
        <f>IF(R1039="","",IFERROR(TODAY()+VLOOKUP(R1039,REGRAS!$B$2:$C$13,2,0),""))</f>
        <v/>
      </c>
    </row>
    <row r="1040">
      <c r="T1040" s="258">
        <f>IF(R1040="","",IFERROR(TODAY()+VLOOKUP(R1040,REGRAS!$B$2:$C$13,2,0),""))</f>
        <v/>
      </c>
    </row>
    <row r="1041">
      <c r="T1041" s="258">
        <f>IF(R1041="","",IFERROR(TODAY()+VLOOKUP(R1041,REGRAS!$B$2:$C$13,2,0),""))</f>
        <v/>
      </c>
    </row>
    <row r="1042">
      <c r="T1042" s="258">
        <f>IF(R1042="","",IFERROR(TODAY()+VLOOKUP(R1042,REGRAS!$B$2:$C$13,2,0),""))</f>
        <v/>
      </c>
    </row>
    <row r="1043">
      <c r="T1043" s="258">
        <f>IF(R1043="","",IFERROR(TODAY()+VLOOKUP(R1043,REGRAS!$B$2:$C$13,2,0),""))</f>
        <v/>
      </c>
    </row>
    <row r="1044">
      <c r="T1044" s="258">
        <f>IF(R1044="","",IFERROR(TODAY()+VLOOKUP(R1044,REGRAS!$B$2:$C$13,2,0),""))</f>
        <v/>
      </c>
    </row>
    <row r="1045">
      <c r="T1045" s="258">
        <f>IF(R1045="","",IFERROR(TODAY()+VLOOKUP(R1045,REGRAS!$B$2:$C$13,2,0),""))</f>
        <v/>
      </c>
    </row>
    <row r="1046">
      <c r="T1046" s="258">
        <f>IF(R1046="","",IFERROR(TODAY()+VLOOKUP(R1046,REGRAS!$B$2:$C$13,2,0),""))</f>
        <v/>
      </c>
    </row>
    <row r="1047">
      <c r="T1047" s="258">
        <f>IF(R1047="","",IFERROR(TODAY()+VLOOKUP(R1047,REGRAS!$B$2:$C$13,2,0),""))</f>
        <v/>
      </c>
    </row>
    <row r="1048">
      <c r="T1048" s="258">
        <f>IF(R1048="","",IFERROR(TODAY()+VLOOKUP(R1048,REGRAS!$B$2:$C$13,2,0),""))</f>
        <v/>
      </c>
    </row>
    <row r="1049">
      <c r="T1049" s="258">
        <f>IF(R1049="","",IFERROR(TODAY()+VLOOKUP(R1049,REGRAS!$B$2:$C$13,2,0),""))</f>
        <v/>
      </c>
    </row>
    <row r="1050">
      <c r="T1050" s="258">
        <f>IF(R1050="","",IFERROR(TODAY()+VLOOKUP(R1050,REGRAS!$B$2:$C$13,2,0),""))</f>
        <v/>
      </c>
    </row>
    <row r="1051">
      <c r="T1051" s="258">
        <f>IF(R1051="","",IFERROR(TODAY()+VLOOKUP(R1051,REGRAS!$B$2:$C$13,2,0),""))</f>
        <v/>
      </c>
    </row>
    <row r="1052">
      <c r="T1052" s="258">
        <f>IF(R1052="","",IFERROR(TODAY()+VLOOKUP(R1052,REGRAS!$B$2:$C$13,2,0),""))</f>
        <v/>
      </c>
    </row>
    <row r="1053">
      <c r="T1053" s="258">
        <f>IF(R1053="","",IFERROR(TODAY()+VLOOKUP(R1053,REGRAS!$B$2:$C$13,2,0),""))</f>
        <v/>
      </c>
    </row>
    <row r="1054">
      <c r="T1054" s="258">
        <f>IF(R1054="","",IFERROR(TODAY()+VLOOKUP(R1054,REGRAS!$B$2:$C$13,2,0),""))</f>
        <v/>
      </c>
    </row>
    <row r="1055">
      <c r="T1055" s="258">
        <f>IF(R1055="","",IFERROR(TODAY()+VLOOKUP(R1055,REGRAS!$B$2:$C$13,2,0),""))</f>
        <v/>
      </c>
    </row>
    <row r="1056">
      <c r="T1056" s="258">
        <f>IF(R1056="","",IFERROR(TODAY()+VLOOKUP(R1056,REGRAS!$B$2:$C$13,2,0),""))</f>
        <v/>
      </c>
    </row>
    <row r="1057">
      <c r="T1057" s="258">
        <f>IF(R1057="","",IFERROR(TODAY()+VLOOKUP(R1057,REGRAS!$B$2:$C$13,2,0),""))</f>
        <v/>
      </c>
    </row>
    <row r="1058">
      <c r="T1058" s="258">
        <f>IF(R1058="","",IFERROR(TODAY()+VLOOKUP(R1058,REGRAS!$B$2:$C$13,2,0),""))</f>
        <v/>
      </c>
    </row>
    <row r="1059">
      <c r="T1059" s="258">
        <f>IF(R1059="","",IFERROR(TODAY()+VLOOKUP(R1059,REGRAS!$B$2:$C$13,2,0),""))</f>
        <v/>
      </c>
    </row>
    <row r="1060">
      <c r="T1060" s="258">
        <f>IF(R1060="","",IFERROR(TODAY()+VLOOKUP(R1060,REGRAS!$B$2:$C$13,2,0),""))</f>
        <v/>
      </c>
    </row>
    <row r="1061">
      <c r="T1061" s="258">
        <f>IF(R1061="","",IFERROR(TODAY()+VLOOKUP(R1061,REGRAS!$B$2:$C$13,2,0),""))</f>
        <v/>
      </c>
    </row>
    <row r="1062">
      <c r="T1062" s="258">
        <f>IF(R1062="","",IFERROR(TODAY()+VLOOKUP(R1062,REGRAS!$B$2:$C$13,2,0),""))</f>
        <v/>
      </c>
    </row>
    <row r="1063">
      <c r="T1063" s="258">
        <f>IF(R1063="","",IFERROR(TODAY()+VLOOKUP(R1063,REGRAS!$B$2:$C$13,2,0),""))</f>
        <v/>
      </c>
    </row>
    <row r="1064">
      <c r="T1064" s="258">
        <f>IF(R1064="","",IFERROR(TODAY()+VLOOKUP(R1064,REGRAS!$B$2:$C$13,2,0),""))</f>
        <v/>
      </c>
    </row>
    <row r="1065">
      <c r="T1065" s="258">
        <f>IF(R1065="","",IFERROR(TODAY()+VLOOKUP(R1065,REGRAS!$B$2:$C$13,2,0),""))</f>
        <v/>
      </c>
    </row>
    <row r="1066">
      <c r="T1066" s="258">
        <f>IF(R1066="","",IFERROR(TODAY()+VLOOKUP(R1066,REGRAS!$B$2:$C$13,2,0),""))</f>
        <v/>
      </c>
    </row>
    <row r="1067">
      <c r="T1067" s="258">
        <f>IF(R1067="","",IFERROR(TODAY()+VLOOKUP(R1067,REGRAS!$B$2:$C$13,2,0),""))</f>
        <v/>
      </c>
    </row>
    <row r="1068">
      <c r="T1068" s="258">
        <f>IF(R1068="","",IFERROR(TODAY()+VLOOKUP(R1068,REGRAS!$B$2:$C$13,2,0),""))</f>
        <v/>
      </c>
    </row>
    <row r="1069">
      <c r="T1069" s="258">
        <f>IF(R1069="","",IFERROR(TODAY()+VLOOKUP(R1069,REGRAS!$B$2:$C$13,2,0),""))</f>
        <v/>
      </c>
    </row>
    <row r="1070">
      <c r="T1070" s="258">
        <f>IF(R1070="","",IFERROR(TODAY()+VLOOKUP(R1070,REGRAS!$B$2:$C$13,2,0),""))</f>
        <v/>
      </c>
    </row>
    <row r="1071">
      <c r="T1071" s="258">
        <f>IF(R1071="","",IFERROR(TODAY()+VLOOKUP(R1071,REGRAS!$B$2:$C$13,2,0),""))</f>
        <v/>
      </c>
    </row>
    <row r="1072">
      <c r="T1072" s="258">
        <f>IF(R1072="","",IFERROR(TODAY()+VLOOKUP(R1072,REGRAS!$B$2:$C$13,2,0),""))</f>
        <v/>
      </c>
    </row>
    <row r="1073">
      <c r="T1073" s="258">
        <f>IF(R1073="","",IFERROR(TODAY()+VLOOKUP(R1073,REGRAS!$B$2:$C$13,2,0),""))</f>
        <v/>
      </c>
    </row>
    <row r="1074">
      <c r="T1074" s="258">
        <f>IF(R1074="","",IFERROR(TODAY()+VLOOKUP(R1074,REGRAS!$B$2:$C$13,2,0),""))</f>
        <v/>
      </c>
    </row>
    <row r="1075">
      <c r="T1075" s="258">
        <f>IF(R1075="","",IFERROR(TODAY()+VLOOKUP(R1075,REGRAS!$B$2:$C$13,2,0),""))</f>
        <v/>
      </c>
    </row>
    <row r="1076">
      <c r="T1076" s="258">
        <f>IF(R1076="","",IFERROR(TODAY()+VLOOKUP(R1076,REGRAS!$B$2:$C$13,2,0),""))</f>
        <v/>
      </c>
    </row>
    <row r="1077">
      <c r="T1077" s="258">
        <f>IF(R1077="","",IFERROR(TODAY()+VLOOKUP(R1077,REGRAS!$B$2:$C$13,2,0),""))</f>
        <v/>
      </c>
    </row>
    <row r="1078">
      <c r="T1078" s="258">
        <f>IF(R1078="","",IFERROR(TODAY()+VLOOKUP(R1078,REGRAS!$B$2:$C$13,2,0),""))</f>
        <v/>
      </c>
    </row>
    <row r="1079">
      <c r="T1079" s="258">
        <f>IF(R1079="","",IFERROR(TODAY()+VLOOKUP(R1079,REGRAS!$B$2:$C$13,2,0),""))</f>
        <v/>
      </c>
    </row>
    <row r="1080">
      <c r="T1080" s="258">
        <f>IF(R1080="","",IFERROR(TODAY()+VLOOKUP(R1080,REGRAS!$B$2:$C$13,2,0),""))</f>
        <v/>
      </c>
    </row>
    <row r="1081">
      <c r="T1081" s="258">
        <f>IF(R1081="","",IFERROR(TODAY()+VLOOKUP(R1081,REGRAS!$B$2:$C$13,2,0),""))</f>
        <v/>
      </c>
    </row>
    <row r="1082">
      <c r="T1082" s="258">
        <f>IF(R1082="","",IFERROR(TODAY()+VLOOKUP(R1082,REGRAS!$B$2:$C$13,2,0),""))</f>
        <v/>
      </c>
    </row>
    <row r="1083">
      <c r="T1083" s="258">
        <f>IF(R1083="","",IFERROR(TODAY()+VLOOKUP(R1083,REGRAS!$B$2:$C$13,2,0),""))</f>
        <v/>
      </c>
    </row>
    <row r="1084">
      <c r="T1084" s="258">
        <f>IF(R1084="","",IFERROR(TODAY()+VLOOKUP(R1084,REGRAS!$B$2:$C$13,2,0),""))</f>
        <v/>
      </c>
    </row>
    <row r="1085">
      <c r="T1085" s="258">
        <f>IF(R1085="","",IFERROR(TODAY()+VLOOKUP(R1085,REGRAS!$B$2:$C$13,2,0),""))</f>
        <v/>
      </c>
    </row>
    <row r="1086">
      <c r="T1086" s="258">
        <f>IF(R1086="","",IFERROR(TODAY()+VLOOKUP(R1086,REGRAS!$B$2:$C$13,2,0),""))</f>
        <v/>
      </c>
    </row>
    <row r="1087">
      <c r="T1087" s="258">
        <f>IF(R1087="","",IFERROR(TODAY()+VLOOKUP(R1087,REGRAS!$B$2:$C$13,2,0),""))</f>
        <v/>
      </c>
    </row>
    <row r="1088">
      <c r="T1088" s="258">
        <f>IF(R1088="","",IFERROR(TODAY()+VLOOKUP(R1088,REGRAS!$B$2:$C$13,2,0),""))</f>
        <v/>
      </c>
    </row>
    <row r="1089">
      <c r="T1089" s="258">
        <f>IF(R1089="","",IFERROR(TODAY()+VLOOKUP(R1089,REGRAS!$B$2:$C$13,2,0),""))</f>
        <v/>
      </c>
    </row>
    <row r="1090">
      <c r="T1090" s="258">
        <f>IF(R1090="","",IFERROR(TODAY()+VLOOKUP(R1090,REGRAS!$B$2:$C$13,2,0),""))</f>
        <v/>
      </c>
    </row>
    <row r="1091">
      <c r="T1091" s="258">
        <f>IF(R1091="","",IFERROR(TODAY()+VLOOKUP(R1091,REGRAS!$B$2:$C$13,2,0),""))</f>
        <v/>
      </c>
    </row>
    <row r="1092">
      <c r="T1092" s="258">
        <f>IF(R1092="","",IFERROR(TODAY()+VLOOKUP(R1092,REGRAS!$B$2:$C$13,2,0),""))</f>
        <v/>
      </c>
    </row>
    <row r="1093">
      <c r="T1093" s="258">
        <f>IF(R1093="","",IFERROR(TODAY()+VLOOKUP(R1093,REGRAS!$B$2:$C$13,2,0),""))</f>
        <v/>
      </c>
    </row>
    <row r="1094">
      <c r="T1094" s="258">
        <f>IF(R1094="","",IFERROR(TODAY()+VLOOKUP(R1094,REGRAS!$B$2:$C$13,2,0),""))</f>
        <v/>
      </c>
    </row>
    <row r="1095">
      <c r="T1095" s="258">
        <f>IF(R1095="","",IFERROR(TODAY()+VLOOKUP(R1095,REGRAS!$B$2:$C$13,2,0),""))</f>
        <v/>
      </c>
    </row>
    <row r="1096">
      <c r="T1096" s="258">
        <f>IF(R1096="","",IFERROR(TODAY()+VLOOKUP(R1096,REGRAS!$B$2:$C$13,2,0),""))</f>
        <v/>
      </c>
    </row>
    <row r="1097">
      <c r="T1097" s="258">
        <f>IF(R1097="","",IFERROR(TODAY()+VLOOKUP(R1097,REGRAS!$B$2:$C$13,2,0),""))</f>
        <v/>
      </c>
    </row>
    <row r="1098">
      <c r="T1098" s="258">
        <f>IF(R1098="","",IFERROR(TODAY()+VLOOKUP(R1098,REGRAS!$B$2:$C$13,2,0),""))</f>
        <v/>
      </c>
    </row>
    <row r="1099">
      <c r="T1099" s="258">
        <f>IF(R1099="","",IFERROR(TODAY()+VLOOKUP(R1099,REGRAS!$B$2:$C$13,2,0),""))</f>
        <v/>
      </c>
    </row>
    <row r="1100">
      <c r="T1100" s="258">
        <f>IF(R1100="","",IFERROR(TODAY()+VLOOKUP(R1100,REGRAS!$B$2:$C$13,2,0),""))</f>
        <v/>
      </c>
    </row>
    <row r="1101">
      <c r="T1101" s="258">
        <f>IF(R1101="","",IFERROR(TODAY()+VLOOKUP(R1101,REGRAS!$B$2:$C$13,2,0),""))</f>
        <v/>
      </c>
    </row>
    <row r="1102">
      <c r="T1102" s="258">
        <f>IF(R1102="","",IFERROR(TODAY()+VLOOKUP(R1102,REGRAS!$B$2:$C$13,2,0),""))</f>
        <v/>
      </c>
    </row>
    <row r="1103">
      <c r="T1103" s="258">
        <f>IF(R1103="","",IFERROR(TODAY()+VLOOKUP(R1103,REGRAS!$B$2:$C$13,2,0),""))</f>
        <v/>
      </c>
    </row>
    <row r="1104">
      <c r="T1104" s="258">
        <f>IF(R1104="","",IFERROR(TODAY()+VLOOKUP(R1104,REGRAS!$B$2:$C$13,2,0),""))</f>
        <v/>
      </c>
    </row>
    <row r="1105">
      <c r="T1105" s="258">
        <f>IF(R1105="","",IFERROR(TODAY()+VLOOKUP(R1105,REGRAS!$B$2:$C$13,2,0),""))</f>
        <v/>
      </c>
    </row>
    <row r="1106">
      <c r="T1106" s="258">
        <f>IF(R1106="","",IFERROR(TODAY()+VLOOKUP(R1106,REGRAS!$B$2:$C$13,2,0),""))</f>
        <v/>
      </c>
    </row>
    <row r="1107">
      <c r="T1107" s="258">
        <f>IF(R1107="","",IFERROR(TODAY()+VLOOKUP(R1107,REGRAS!$B$2:$C$13,2,0),""))</f>
        <v/>
      </c>
    </row>
    <row r="1108">
      <c r="T1108" s="258">
        <f>IF(R1108="","",IFERROR(TODAY()+VLOOKUP(R1108,REGRAS!$B$2:$C$13,2,0),""))</f>
        <v/>
      </c>
    </row>
    <row r="1109">
      <c r="T1109" s="258">
        <f>IF(R1109="","",IFERROR(TODAY()+VLOOKUP(R1109,REGRAS!$B$2:$C$13,2,0),""))</f>
        <v/>
      </c>
    </row>
    <row r="1110">
      <c r="T1110" s="258">
        <f>IF(R1110="","",IFERROR(TODAY()+VLOOKUP(R1110,REGRAS!$B$2:$C$13,2,0),""))</f>
        <v/>
      </c>
    </row>
    <row r="1111">
      <c r="T1111" s="258">
        <f>IF(R1111="","",IFERROR(TODAY()+VLOOKUP(R1111,REGRAS!$B$2:$C$13,2,0),""))</f>
        <v/>
      </c>
    </row>
    <row r="1112">
      <c r="T1112" s="258">
        <f>IF(R1112="","",IFERROR(TODAY()+VLOOKUP(R1112,REGRAS!$B$2:$C$13,2,0),""))</f>
        <v/>
      </c>
    </row>
    <row r="1113">
      <c r="T1113" s="258">
        <f>IF(R1113="","",IFERROR(TODAY()+VLOOKUP(R1113,REGRAS!$B$2:$C$13,2,0),""))</f>
        <v/>
      </c>
    </row>
    <row r="1114">
      <c r="T1114" s="258">
        <f>IF(R1114="","",IFERROR(TODAY()+VLOOKUP(R1114,REGRAS!$B$2:$C$13,2,0),""))</f>
        <v/>
      </c>
    </row>
    <row r="1115">
      <c r="T1115" s="258">
        <f>IF(R1115="","",IFERROR(TODAY()+VLOOKUP(R1115,REGRAS!$B$2:$C$13,2,0),""))</f>
        <v/>
      </c>
    </row>
    <row r="1116">
      <c r="T1116" s="258">
        <f>IF(R1116="","",IFERROR(TODAY()+VLOOKUP(R1116,REGRAS!$B$2:$C$13,2,0),""))</f>
        <v/>
      </c>
    </row>
    <row r="1117">
      <c r="T1117" s="258">
        <f>IF(R1117="","",IFERROR(TODAY()+VLOOKUP(R1117,REGRAS!$B$2:$C$13,2,0),""))</f>
        <v/>
      </c>
    </row>
    <row r="1118">
      <c r="T1118" s="258">
        <f>IF(R1118="","",IFERROR(TODAY()+VLOOKUP(R1118,REGRAS!$B$2:$C$13,2,0),""))</f>
        <v/>
      </c>
    </row>
    <row r="1119">
      <c r="T1119" s="258">
        <f>IF(R1119="","",IFERROR(TODAY()+VLOOKUP(R1119,REGRAS!$B$2:$C$13,2,0),""))</f>
        <v/>
      </c>
    </row>
    <row r="1120">
      <c r="T1120" s="258">
        <f>IF(R1120="","",IFERROR(TODAY()+VLOOKUP(R1120,REGRAS!$B$2:$C$13,2,0),""))</f>
        <v/>
      </c>
    </row>
    <row r="1121">
      <c r="T1121" s="258">
        <f>IF(R1121="","",IFERROR(TODAY()+VLOOKUP(R1121,REGRAS!$B$2:$C$13,2,0),""))</f>
        <v/>
      </c>
    </row>
    <row r="1122">
      <c r="T1122" s="258">
        <f>IF(R1122="","",IFERROR(TODAY()+VLOOKUP(R1122,REGRAS!$B$2:$C$13,2,0),""))</f>
        <v/>
      </c>
    </row>
    <row r="1123">
      <c r="T1123" s="258">
        <f>IF(R1123="","",IFERROR(TODAY()+VLOOKUP(R1123,REGRAS!$B$2:$C$13,2,0),""))</f>
        <v/>
      </c>
    </row>
    <row r="1124">
      <c r="T1124" s="258">
        <f>IF(R1124="","",IFERROR(TODAY()+VLOOKUP(R1124,REGRAS!$B$2:$C$13,2,0),""))</f>
        <v/>
      </c>
    </row>
    <row r="1125">
      <c r="T1125" s="258">
        <f>IF(R1125="","",IFERROR(TODAY()+VLOOKUP(R1125,REGRAS!$B$2:$C$13,2,0),""))</f>
        <v/>
      </c>
    </row>
    <row r="1126">
      <c r="T1126" s="258">
        <f>IF(R1126="","",IFERROR(TODAY()+VLOOKUP(R1126,REGRAS!$B$2:$C$13,2,0),""))</f>
        <v/>
      </c>
    </row>
    <row r="1127">
      <c r="T1127" s="258">
        <f>IF(R1127="","",IFERROR(TODAY()+VLOOKUP(R1127,REGRAS!$B$2:$C$13,2,0),""))</f>
        <v/>
      </c>
    </row>
    <row r="1128">
      <c r="T1128" s="258">
        <f>IF(R1128="","",IFERROR(TODAY()+VLOOKUP(R1128,REGRAS!$B$2:$C$13,2,0),""))</f>
        <v/>
      </c>
    </row>
    <row r="1129">
      <c r="T1129" s="258">
        <f>IF(R1129="","",IFERROR(TODAY()+VLOOKUP(R1129,REGRAS!$B$2:$C$13,2,0),""))</f>
        <v/>
      </c>
    </row>
    <row r="1130">
      <c r="T1130" s="258">
        <f>IF(R1130="","",IFERROR(TODAY()+VLOOKUP(R1130,REGRAS!$B$2:$C$13,2,0),""))</f>
        <v/>
      </c>
    </row>
    <row r="1131">
      <c r="T1131" s="258">
        <f>IF(R1131="","",IFERROR(TODAY()+VLOOKUP(R1131,REGRAS!$B$2:$C$13,2,0),""))</f>
        <v/>
      </c>
    </row>
    <row r="1132">
      <c r="T1132" s="258">
        <f>IF(R1132="","",IFERROR(TODAY()+VLOOKUP(R1132,REGRAS!$B$2:$C$13,2,0),""))</f>
        <v/>
      </c>
    </row>
    <row r="1133">
      <c r="T1133" s="258">
        <f>IF(R1133="","",IFERROR(TODAY()+VLOOKUP(R1133,REGRAS!$B$2:$C$13,2,0),""))</f>
        <v/>
      </c>
    </row>
    <row r="1134">
      <c r="T1134" s="258">
        <f>IF(R1134="","",IFERROR(TODAY()+VLOOKUP(R1134,REGRAS!$B$2:$C$13,2,0),""))</f>
        <v/>
      </c>
    </row>
    <row r="1135">
      <c r="T1135" s="258">
        <f>IF(R1135="","",IFERROR(TODAY()+VLOOKUP(R1135,REGRAS!$B$2:$C$13,2,0),""))</f>
        <v/>
      </c>
    </row>
    <row r="1136">
      <c r="T1136" s="258">
        <f>IF(R1136="","",IFERROR(TODAY()+VLOOKUP(R1136,REGRAS!$B$2:$C$13,2,0),""))</f>
        <v/>
      </c>
    </row>
    <row r="1137">
      <c r="T1137" s="258">
        <f>IF(R1137="","",IFERROR(TODAY()+VLOOKUP(R1137,REGRAS!$B$2:$C$13,2,0),""))</f>
        <v/>
      </c>
    </row>
    <row r="1138">
      <c r="T1138" s="258">
        <f>IF(R1138="","",IFERROR(TODAY()+VLOOKUP(R1138,REGRAS!$B$2:$C$13,2,0),""))</f>
        <v/>
      </c>
    </row>
    <row r="1139">
      <c r="T1139" s="258">
        <f>IF(R1139="","",IFERROR(TODAY()+VLOOKUP(R1139,REGRAS!$B$2:$C$13,2,0),""))</f>
        <v/>
      </c>
    </row>
    <row r="1140">
      <c r="T1140" s="258">
        <f>IF(R1140="","",IFERROR(TODAY()+VLOOKUP(R1140,REGRAS!$B$2:$C$13,2,0),""))</f>
        <v/>
      </c>
    </row>
    <row r="1141">
      <c r="T1141" s="258">
        <f>IF(R1141="","",IFERROR(TODAY()+VLOOKUP(R1141,REGRAS!$B$2:$C$13,2,0),""))</f>
        <v/>
      </c>
    </row>
    <row r="1142">
      <c r="T1142" s="258">
        <f>IF(R1142="","",IFERROR(TODAY()+VLOOKUP(R1142,REGRAS!$B$2:$C$13,2,0),""))</f>
        <v/>
      </c>
    </row>
    <row r="1143">
      <c r="T1143" s="258">
        <f>IF(R1143="","",IFERROR(TODAY()+VLOOKUP(R1143,REGRAS!$B$2:$C$13,2,0),""))</f>
        <v/>
      </c>
    </row>
    <row r="1144">
      <c r="T1144" s="258">
        <f>IF(R1144="","",IFERROR(TODAY()+VLOOKUP(R1144,REGRAS!$B$2:$C$13,2,0),""))</f>
        <v/>
      </c>
    </row>
    <row r="1145">
      <c r="T1145" s="258">
        <f>IF(R1145="","",IFERROR(TODAY()+VLOOKUP(R1145,REGRAS!$B$2:$C$13,2,0),""))</f>
        <v/>
      </c>
    </row>
    <row r="1146">
      <c r="T1146" s="258">
        <f>IF(R1146="","",IFERROR(TODAY()+VLOOKUP(R1146,REGRAS!$B$2:$C$13,2,0),""))</f>
        <v/>
      </c>
    </row>
    <row r="1147">
      <c r="T1147" s="258">
        <f>IF(R1147="","",IFERROR(TODAY()+VLOOKUP(R1147,REGRAS!$B$2:$C$13,2,0),""))</f>
        <v/>
      </c>
    </row>
    <row r="1148">
      <c r="T1148" s="258">
        <f>IF(R1148="","",IFERROR(TODAY()+VLOOKUP(R1148,REGRAS!$B$2:$C$13,2,0),""))</f>
        <v/>
      </c>
    </row>
    <row r="1149">
      <c r="T1149" s="258">
        <f>IF(R1149="","",IFERROR(TODAY()+VLOOKUP(R1149,REGRAS!$B$2:$C$13,2,0),""))</f>
        <v/>
      </c>
    </row>
    <row r="1150">
      <c r="T1150" s="258">
        <f>IF(R1150="","",IFERROR(TODAY()+VLOOKUP(R1150,REGRAS!$B$2:$C$13,2,0),""))</f>
        <v/>
      </c>
    </row>
    <row r="1151">
      <c r="T1151" s="258">
        <f>IF(R1151="","",IFERROR(TODAY()+VLOOKUP(R1151,REGRAS!$B$2:$C$13,2,0),""))</f>
        <v/>
      </c>
    </row>
    <row r="1152">
      <c r="T1152" s="258">
        <f>IF(R1152="","",IFERROR(TODAY()+VLOOKUP(R1152,REGRAS!$B$2:$C$13,2,0),""))</f>
        <v/>
      </c>
    </row>
    <row r="1153">
      <c r="T1153" s="258">
        <f>IF(R1153="","",IFERROR(TODAY()+VLOOKUP(R1153,REGRAS!$B$2:$C$13,2,0),""))</f>
        <v/>
      </c>
    </row>
    <row r="1154">
      <c r="T1154" s="258">
        <f>IF(R1154="","",IFERROR(TODAY()+VLOOKUP(R1154,REGRAS!$B$2:$C$13,2,0),""))</f>
        <v/>
      </c>
    </row>
    <row r="1155">
      <c r="T1155" s="258">
        <f>IF(R1155="","",IFERROR(TODAY()+VLOOKUP(R1155,REGRAS!$B$2:$C$13,2,0),""))</f>
        <v/>
      </c>
    </row>
    <row r="1156">
      <c r="T1156" s="258">
        <f>IF(R1156="","",IFERROR(TODAY()+VLOOKUP(R1156,REGRAS!$B$2:$C$13,2,0),""))</f>
        <v/>
      </c>
    </row>
    <row r="1157">
      <c r="T1157" s="258">
        <f>IF(R1157="","",IFERROR(TODAY()+VLOOKUP(R1157,REGRAS!$B$2:$C$13,2,0),""))</f>
        <v/>
      </c>
    </row>
    <row r="1158">
      <c r="T1158" s="258">
        <f>IF(R1158="","",IFERROR(TODAY()+VLOOKUP(R1158,REGRAS!$B$2:$C$13,2,0),""))</f>
        <v/>
      </c>
    </row>
    <row r="1159">
      <c r="T1159" s="258">
        <f>IF(R1159="","",IFERROR(TODAY()+VLOOKUP(R1159,REGRAS!$B$2:$C$13,2,0),""))</f>
        <v/>
      </c>
    </row>
    <row r="1160">
      <c r="T1160" s="258">
        <f>IF(R1160="","",IFERROR(TODAY()+VLOOKUP(R1160,REGRAS!$B$2:$C$13,2,0),""))</f>
        <v/>
      </c>
    </row>
    <row r="1161">
      <c r="T1161" s="258">
        <f>IF(R1161="","",IFERROR(TODAY()+VLOOKUP(R1161,REGRAS!$B$2:$C$13,2,0),""))</f>
        <v/>
      </c>
    </row>
    <row r="1162">
      <c r="T1162" s="258">
        <f>IF(R1162="","",IFERROR(TODAY()+VLOOKUP(R1162,REGRAS!$B$2:$C$13,2,0),""))</f>
        <v/>
      </c>
    </row>
    <row r="1163">
      <c r="T1163" s="258">
        <f>IF(R1163="","",IFERROR(TODAY()+VLOOKUP(R1163,REGRAS!$B$2:$C$13,2,0),""))</f>
        <v/>
      </c>
    </row>
    <row r="1164">
      <c r="T1164" s="258">
        <f>IF(R1164="","",IFERROR(TODAY()+VLOOKUP(R1164,REGRAS!$B$2:$C$13,2,0),""))</f>
        <v/>
      </c>
    </row>
    <row r="1165">
      <c r="T1165" s="258">
        <f>IF(R1165="","",IFERROR(TODAY()+VLOOKUP(R1165,REGRAS!$B$2:$C$13,2,0),""))</f>
        <v/>
      </c>
    </row>
    <row r="1166">
      <c r="T1166" s="258">
        <f>IF(R1166="","",IFERROR(TODAY()+VLOOKUP(R1166,REGRAS!$B$2:$C$13,2,0),""))</f>
        <v/>
      </c>
    </row>
    <row r="1167">
      <c r="T1167" s="258">
        <f>IF(R1167="","",IFERROR(TODAY()+VLOOKUP(R1167,REGRAS!$B$2:$C$13,2,0),""))</f>
        <v/>
      </c>
    </row>
    <row r="1168">
      <c r="T1168" s="258">
        <f>IF(R1168="","",IFERROR(TODAY()+VLOOKUP(R1168,REGRAS!$B$2:$C$13,2,0),""))</f>
        <v/>
      </c>
    </row>
    <row r="1169">
      <c r="T1169" s="258">
        <f>IF(R1169="","",IFERROR(TODAY()+VLOOKUP(R1169,REGRAS!$B$2:$C$13,2,0),""))</f>
        <v/>
      </c>
    </row>
    <row r="1170">
      <c r="T1170" s="258">
        <f>IF(R1170="","",IFERROR(TODAY()+VLOOKUP(R1170,REGRAS!$B$2:$C$13,2,0),""))</f>
        <v/>
      </c>
    </row>
    <row r="1171">
      <c r="T1171" s="258">
        <f>IF(R1171="","",IFERROR(TODAY()+VLOOKUP(R1171,REGRAS!$B$2:$C$13,2,0),""))</f>
        <v/>
      </c>
    </row>
    <row r="1172">
      <c r="T1172" s="258">
        <f>IF(R1172="","",IFERROR(TODAY()+VLOOKUP(R1172,REGRAS!$B$2:$C$13,2,0),""))</f>
        <v/>
      </c>
    </row>
    <row r="1173">
      <c r="T1173" s="258">
        <f>IF(R1173="","",IFERROR(TODAY()+VLOOKUP(R1173,REGRAS!$B$2:$C$13,2,0),""))</f>
        <v/>
      </c>
    </row>
    <row r="1174">
      <c r="T1174" s="258">
        <f>IF(R1174="","",IFERROR(TODAY()+VLOOKUP(R1174,REGRAS!$B$2:$C$13,2,0),""))</f>
        <v/>
      </c>
    </row>
    <row r="1175">
      <c r="T1175" s="258">
        <f>IF(R1175="","",IFERROR(TODAY()+VLOOKUP(R1175,REGRAS!$B$2:$C$13,2,0),""))</f>
        <v/>
      </c>
    </row>
    <row r="1176">
      <c r="T1176" s="258">
        <f>IF(R1176="","",IFERROR(TODAY()+VLOOKUP(R1176,REGRAS!$B$2:$C$13,2,0),""))</f>
        <v/>
      </c>
    </row>
    <row r="1177">
      <c r="T1177" s="258">
        <f>IF(R1177="","",IFERROR(TODAY()+VLOOKUP(R1177,REGRAS!$B$2:$C$13,2,0),""))</f>
        <v/>
      </c>
    </row>
    <row r="1178">
      <c r="T1178" s="258">
        <f>IF(R1178="","",IFERROR(TODAY()+VLOOKUP(R1178,REGRAS!$B$2:$C$13,2,0),""))</f>
        <v/>
      </c>
    </row>
    <row r="1179">
      <c r="T1179" s="258">
        <f>IF(R1179="","",IFERROR(TODAY()+VLOOKUP(R1179,REGRAS!$B$2:$C$13,2,0),""))</f>
        <v/>
      </c>
    </row>
    <row r="1180">
      <c r="T1180" s="258">
        <f>IF(R1180="","",IFERROR(TODAY()+VLOOKUP(R1180,REGRAS!$B$2:$C$13,2,0),""))</f>
        <v/>
      </c>
    </row>
    <row r="1181">
      <c r="T1181" s="258">
        <f>IF(R1181="","",IFERROR(TODAY()+VLOOKUP(R1181,REGRAS!$B$2:$C$13,2,0),""))</f>
        <v/>
      </c>
    </row>
    <row r="1182">
      <c r="T1182" s="258">
        <f>IF(R1182="","",IFERROR(TODAY()+VLOOKUP(R1182,REGRAS!$B$2:$C$13,2,0),""))</f>
        <v/>
      </c>
    </row>
    <row r="1183">
      <c r="T1183" s="258">
        <f>IF(R1183="","",IFERROR(TODAY()+VLOOKUP(R1183,REGRAS!$B$2:$C$13,2,0),""))</f>
        <v/>
      </c>
    </row>
    <row r="1184">
      <c r="T1184" s="258">
        <f>IF(R1184="","",IFERROR(TODAY()+VLOOKUP(R1184,REGRAS!$B$2:$C$13,2,0),""))</f>
        <v/>
      </c>
    </row>
    <row r="1185">
      <c r="T1185" s="258">
        <f>IF(R1185="","",IFERROR(TODAY()+VLOOKUP(R1185,REGRAS!$B$2:$C$13,2,0),""))</f>
        <v/>
      </c>
    </row>
    <row r="1186">
      <c r="T1186" s="258">
        <f>IF(R1186="","",IFERROR(TODAY()+VLOOKUP(R1186,REGRAS!$B$2:$C$13,2,0),""))</f>
        <v/>
      </c>
    </row>
    <row r="1187">
      <c r="T1187" s="258">
        <f>IF(R1187="","",IFERROR(TODAY()+VLOOKUP(R1187,REGRAS!$B$2:$C$13,2,0),""))</f>
        <v/>
      </c>
    </row>
    <row r="1188">
      <c r="T1188" s="258">
        <f>IF(R1188="","",IFERROR(TODAY()+VLOOKUP(R1188,REGRAS!$B$2:$C$13,2,0),""))</f>
        <v/>
      </c>
    </row>
    <row r="1189">
      <c r="T1189" s="258">
        <f>IF(R1189="","",IFERROR(TODAY()+VLOOKUP(R1189,REGRAS!$B$2:$C$13,2,0),""))</f>
        <v/>
      </c>
    </row>
    <row r="1190">
      <c r="T1190" s="258">
        <f>IF(R1190="","",IFERROR(TODAY()+VLOOKUP(R1190,REGRAS!$B$2:$C$13,2,0),""))</f>
        <v/>
      </c>
    </row>
    <row r="1191">
      <c r="T1191" s="258">
        <f>IF(R1191="","",IFERROR(TODAY()+VLOOKUP(R1191,REGRAS!$B$2:$C$13,2,0),""))</f>
        <v/>
      </c>
    </row>
    <row r="1192">
      <c r="T1192" s="258">
        <f>IF(R1192="","",IFERROR(TODAY()+VLOOKUP(R1192,REGRAS!$B$2:$C$13,2,0),""))</f>
        <v/>
      </c>
    </row>
    <row r="1193">
      <c r="T1193" s="258">
        <f>IF(R1193="","",IFERROR(TODAY()+VLOOKUP(R1193,REGRAS!$B$2:$C$13,2,0),""))</f>
        <v/>
      </c>
    </row>
    <row r="1194">
      <c r="T1194" s="258">
        <f>IF(R1194="","",IFERROR(TODAY()+VLOOKUP(R1194,REGRAS!$B$2:$C$13,2,0),""))</f>
        <v/>
      </c>
    </row>
    <row r="1195">
      <c r="T1195" s="258">
        <f>IF(R1195="","",IFERROR(TODAY()+VLOOKUP(R1195,REGRAS!$B$2:$C$13,2,0),""))</f>
        <v/>
      </c>
    </row>
    <row r="1196">
      <c r="T1196" s="258">
        <f>IF(R1196="","",IFERROR(TODAY()+VLOOKUP(R1196,REGRAS!$B$2:$C$13,2,0),""))</f>
        <v/>
      </c>
    </row>
    <row r="1197">
      <c r="T1197" s="258">
        <f>IF(R1197="","",IFERROR(TODAY()+VLOOKUP(R1197,REGRAS!$B$2:$C$13,2,0),""))</f>
        <v/>
      </c>
    </row>
    <row r="1198">
      <c r="T1198" s="258">
        <f>IF(R1198="","",IFERROR(TODAY()+VLOOKUP(R1198,REGRAS!$B$2:$C$13,2,0),""))</f>
        <v/>
      </c>
    </row>
    <row r="1199">
      <c r="T1199" s="258">
        <f>IF(R1199="","",IFERROR(TODAY()+VLOOKUP(R1199,REGRAS!$B$2:$C$13,2,0),""))</f>
        <v/>
      </c>
    </row>
    <row r="1200">
      <c r="T1200" s="258">
        <f>IF(R1200="","",IFERROR(TODAY()+VLOOKUP(R1200,REGRAS!$B$2:$C$13,2,0),""))</f>
        <v/>
      </c>
    </row>
    <row r="1201">
      <c r="T1201" s="258">
        <f>IF(R1201="","",IFERROR(TODAY()+VLOOKUP(R1201,REGRAS!$B$2:$C$13,2,0),""))</f>
        <v/>
      </c>
    </row>
    <row r="1202">
      <c r="T1202" s="258">
        <f>IF(R1202="","",IFERROR(TODAY()+VLOOKUP(R1202,REGRAS!$B$2:$C$13,2,0),""))</f>
        <v/>
      </c>
    </row>
    <row r="1203">
      <c r="T1203" s="258">
        <f>IF(R1203="","",IFERROR(TODAY()+VLOOKUP(R1203,REGRAS!$B$2:$C$13,2,0),""))</f>
        <v/>
      </c>
    </row>
    <row r="1204">
      <c r="T1204" s="258">
        <f>IF(R1204="","",IFERROR(TODAY()+VLOOKUP(R1204,REGRAS!$B$2:$C$13,2,0),""))</f>
        <v/>
      </c>
    </row>
    <row r="1205">
      <c r="T1205" s="258">
        <f>IF(R1205="","",IFERROR(TODAY()+VLOOKUP(R1205,REGRAS!$B$2:$C$13,2,0),""))</f>
        <v/>
      </c>
    </row>
    <row r="1206">
      <c r="T1206" s="258">
        <f>IF(R1206="","",IFERROR(TODAY()+VLOOKUP(R1206,REGRAS!$B$2:$C$13,2,0),""))</f>
        <v/>
      </c>
    </row>
    <row r="1207">
      <c r="T1207" s="258">
        <f>IF(R1207="","",IFERROR(TODAY()+VLOOKUP(R1207,REGRAS!$B$2:$C$13,2,0),""))</f>
        <v/>
      </c>
    </row>
    <row r="1208">
      <c r="T1208" s="258">
        <f>IF(R1208="","",IFERROR(TODAY()+VLOOKUP(R1208,REGRAS!$B$2:$C$13,2,0),""))</f>
        <v/>
      </c>
    </row>
    <row r="1209">
      <c r="T1209" s="258">
        <f>IF(R1209="","",IFERROR(TODAY()+VLOOKUP(R1209,REGRAS!$B$2:$C$13,2,0),""))</f>
        <v/>
      </c>
    </row>
    <row r="1210">
      <c r="T1210" s="258">
        <f>IF(R1210="","",IFERROR(TODAY()+VLOOKUP(R1210,REGRAS!$B$2:$C$13,2,0),""))</f>
        <v/>
      </c>
    </row>
    <row r="1211">
      <c r="T1211" s="258">
        <f>IF(R1211="","",IFERROR(TODAY()+VLOOKUP(R1211,REGRAS!$B$2:$C$13,2,0),""))</f>
        <v/>
      </c>
    </row>
    <row r="1212">
      <c r="T1212" s="258">
        <f>IF(R1212="","",IFERROR(TODAY()+VLOOKUP(R1212,REGRAS!$B$2:$C$13,2,0),""))</f>
        <v/>
      </c>
    </row>
    <row r="1213">
      <c r="T1213" s="258">
        <f>IF(R1213="","",IFERROR(TODAY()+VLOOKUP(R1213,REGRAS!$B$2:$C$13,2,0),""))</f>
        <v/>
      </c>
    </row>
    <row r="1214">
      <c r="T1214" s="258">
        <f>IF(R1214="","",IFERROR(TODAY()+VLOOKUP(R1214,REGRAS!$B$2:$C$13,2,0),""))</f>
        <v/>
      </c>
    </row>
    <row r="1215">
      <c r="T1215" s="258">
        <f>IF(R1215="","",IFERROR(TODAY()+VLOOKUP(R1215,REGRAS!$B$2:$C$13,2,0),""))</f>
        <v/>
      </c>
    </row>
    <row r="1216">
      <c r="T1216" s="258">
        <f>IF(R1216="","",IFERROR(TODAY()+VLOOKUP(R1216,REGRAS!$B$2:$C$13,2,0),""))</f>
        <v/>
      </c>
    </row>
    <row r="1217">
      <c r="T1217" s="258">
        <f>IF(R1217="","",IFERROR(TODAY()+VLOOKUP(R1217,REGRAS!$B$2:$C$13,2,0),""))</f>
        <v/>
      </c>
    </row>
    <row r="1218">
      <c r="T1218" s="258">
        <f>IF(R1218="","",IFERROR(TODAY()+VLOOKUP(R1218,REGRAS!$B$2:$C$13,2,0),""))</f>
        <v/>
      </c>
    </row>
    <row r="1219">
      <c r="T1219" s="258">
        <f>IF(R1219="","",IFERROR(TODAY()+VLOOKUP(R1219,REGRAS!$B$2:$C$13,2,0),""))</f>
        <v/>
      </c>
    </row>
    <row r="1220">
      <c r="T1220" s="258">
        <f>IF(R1220="","",IFERROR(TODAY()+VLOOKUP(R1220,REGRAS!$B$2:$C$13,2,0),""))</f>
        <v/>
      </c>
    </row>
    <row r="1221">
      <c r="T1221" s="258">
        <f>IF(R1221="","",IFERROR(TODAY()+VLOOKUP(R1221,REGRAS!$B$2:$C$13,2,0),""))</f>
        <v/>
      </c>
    </row>
    <row r="1222">
      <c r="T1222" s="258">
        <f>IF(R1222="","",IFERROR(TODAY()+VLOOKUP(R1222,REGRAS!$B$2:$C$13,2,0),""))</f>
        <v/>
      </c>
    </row>
    <row r="1223">
      <c r="T1223" s="258">
        <f>IF(R1223="","",IFERROR(TODAY()+VLOOKUP(R1223,REGRAS!$B$2:$C$13,2,0),""))</f>
        <v/>
      </c>
    </row>
    <row r="1224">
      <c r="T1224" s="258">
        <f>IF(R1224="","",IFERROR(TODAY()+VLOOKUP(R1224,REGRAS!$B$2:$C$13,2,0),""))</f>
        <v/>
      </c>
    </row>
    <row r="1225">
      <c r="T1225" s="258">
        <f>IF(R1225="","",IFERROR(TODAY()+VLOOKUP(R1225,REGRAS!$B$2:$C$13,2,0),""))</f>
        <v/>
      </c>
    </row>
    <row r="1226">
      <c r="T1226" s="258">
        <f>IF(R1226="","",IFERROR(TODAY()+VLOOKUP(R1226,REGRAS!$B$2:$C$13,2,0),""))</f>
        <v/>
      </c>
    </row>
    <row r="1227">
      <c r="T1227" s="258">
        <f>IF(R1227="","",IFERROR(TODAY()+VLOOKUP(R1227,REGRAS!$B$2:$C$13,2,0),""))</f>
        <v/>
      </c>
    </row>
    <row r="1228">
      <c r="T1228" s="258">
        <f>IF(R1228="","",IFERROR(TODAY()+VLOOKUP(R1228,REGRAS!$B$2:$C$13,2,0),""))</f>
        <v/>
      </c>
    </row>
    <row r="1229">
      <c r="T1229" s="258">
        <f>IF(R1229="","",IFERROR(TODAY()+VLOOKUP(R1229,REGRAS!$B$2:$C$13,2,0),""))</f>
        <v/>
      </c>
    </row>
    <row r="1230">
      <c r="T1230" s="258">
        <f>IF(R1230="","",IFERROR(TODAY()+VLOOKUP(R1230,REGRAS!$B$2:$C$13,2,0),""))</f>
        <v/>
      </c>
    </row>
    <row r="1231">
      <c r="T1231" s="258">
        <f>IF(R1231="","",IFERROR(TODAY()+VLOOKUP(R1231,REGRAS!$B$2:$C$13,2,0),""))</f>
        <v/>
      </c>
    </row>
    <row r="1232">
      <c r="T1232" s="258">
        <f>IF(R1232="","",IFERROR(TODAY()+VLOOKUP(R1232,REGRAS!$B$2:$C$13,2,0),""))</f>
        <v/>
      </c>
    </row>
    <row r="1233">
      <c r="T1233" s="258">
        <f>IF(R1233="","",IFERROR(TODAY()+VLOOKUP(R1233,REGRAS!$B$2:$C$13,2,0),""))</f>
        <v/>
      </c>
    </row>
    <row r="1234">
      <c r="T1234" s="258">
        <f>IF(R1234="","",IFERROR(TODAY()+VLOOKUP(R1234,REGRAS!$B$2:$C$13,2,0),""))</f>
        <v/>
      </c>
    </row>
    <row r="1235">
      <c r="T1235" s="258">
        <f>IF(R1235="","",IFERROR(TODAY()+VLOOKUP(R1235,REGRAS!$B$2:$C$13,2,0),""))</f>
        <v/>
      </c>
    </row>
    <row r="1236">
      <c r="T1236" s="258">
        <f>IF(R1236="","",IFERROR(TODAY()+VLOOKUP(R1236,REGRAS!$B$2:$C$13,2,0),""))</f>
        <v/>
      </c>
    </row>
    <row r="1237">
      <c r="T1237" s="258">
        <f>IF(R1237="","",IFERROR(TODAY()+VLOOKUP(R1237,REGRAS!$B$2:$C$13,2,0),""))</f>
        <v/>
      </c>
    </row>
    <row r="1238">
      <c r="T1238" s="258">
        <f>IF(R1238="","",IFERROR(TODAY()+VLOOKUP(R1238,REGRAS!$B$2:$C$13,2,0),""))</f>
        <v/>
      </c>
    </row>
    <row r="1239">
      <c r="T1239" s="258">
        <f>IF(R1239="","",IFERROR(TODAY()+VLOOKUP(R1239,REGRAS!$B$2:$C$13,2,0),""))</f>
        <v/>
      </c>
    </row>
    <row r="1240">
      <c r="T1240" s="258">
        <f>IF(R1240="","",IFERROR(TODAY()+VLOOKUP(R1240,REGRAS!$B$2:$C$13,2,0),""))</f>
        <v/>
      </c>
    </row>
    <row r="1241">
      <c r="T1241" s="258">
        <f>IF(R1241="","",IFERROR(TODAY()+VLOOKUP(R1241,REGRAS!$B$2:$C$13,2,0),""))</f>
        <v/>
      </c>
    </row>
    <row r="1242">
      <c r="T1242" s="258">
        <f>IF(R1242="","",IFERROR(TODAY()+VLOOKUP(R1242,REGRAS!$B$2:$C$13,2,0),""))</f>
        <v/>
      </c>
    </row>
    <row r="1243">
      <c r="T1243" s="258">
        <f>IF(R1243="","",IFERROR(TODAY()+VLOOKUP(R1243,REGRAS!$B$2:$C$13,2,0),""))</f>
        <v/>
      </c>
    </row>
    <row r="1244">
      <c r="T1244" s="258">
        <f>IF(R1244="","",IFERROR(TODAY()+VLOOKUP(R1244,REGRAS!$B$2:$C$13,2,0),""))</f>
        <v/>
      </c>
    </row>
    <row r="1245">
      <c r="T1245" s="258">
        <f>IF(R1245="","",IFERROR(TODAY()+VLOOKUP(R1245,REGRAS!$B$2:$C$13,2,0),""))</f>
        <v/>
      </c>
    </row>
    <row r="1246">
      <c r="T1246" s="258">
        <f>IF(R1246="","",IFERROR(TODAY()+VLOOKUP(R1246,REGRAS!$B$2:$C$13,2,0),""))</f>
        <v/>
      </c>
    </row>
    <row r="1247">
      <c r="T1247" s="258">
        <f>IF(R1247="","",IFERROR(TODAY()+VLOOKUP(R1247,REGRAS!$B$2:$C$13,2,0),""))</f>
        <v/>
      </c>
    </row>
    <row r="1248">
      <c r="T1248" s="258">
        <f>IF(R1248="","",IFERROR(TODAY()+VLOOKUP(R1248,REGRAS!$B$2:$C$13,2,0),""))</f>
        <v/>
      </c>
    </row>
    <row r="1249">
      <c r="T1249" s="258">
        <f>IF(R1249="","",IFERROR(TODAY()+VLOOKUP(R1249,REGRAS!$B$2:$C$13,2,0),""))</f>
        <v/>
      </c>
    </row>
    <row r="1250">
      <c r="T1250" s="258">
        <f>IF(R1250="","",IFERROR(TODAY()+VLOOKUP(R1250,REGRAS!$B$2:$C$13,2,0),""))</f>
        <v/>
      </c>
    </row>
    <row r="1251">
      <c r="T1251" s="258">
        <f>IF(R1251="","",IFERROR(TODAY()+VLOOKUP(R1251,REGRAS!$B$2:$C$13,2,0),""))</f>
        <v/>
      </c>
    </row>
    <row r="1252">
      <c r="T1252" s="258">
        <f>IF(R1252="","",IFERROR(TODAY()+VLOOKUP(R1252,REGRAS!$B$2:$C$13,2,0),""))</f>
        <v/>
      </c>
    </row>
    <row r="1253">
      <c r="T1253" s="258">
        <f>IF(R1253="","",IFERROR(TODAY()+VLOOKUP(R1253,REGRAS!$B$2:$C$13,2,0),""))</f>
        <v/>
      </c>
    </row>
    <row r="1254">
      <c r="T1254" s="258">
        <f>IF(R1254="","",IFERROR(TODAY()+VLOOKUP(R1254,REGRAS!$B$2:$C$13,2,0),""))</f>
        <v/>
      </c>
    </row>
    <row r="1255">
      <c r="T1255" s="258">
        <f>IF(R1255="","",IFERROR(TODAY()+VLOOKUP(R1255,REGRAS!$B$2:$C$13,2,0),""))</f>
        <v/>
      </c>
    </row>
    <row r="1256">
      <c r="T1256" s="258">
        <f>IF(R1256="","",IFERROR(TODAY()+VLOOKUP(R1256,REGRAS!$B$2:$C$13,2,0),""))</f>
        <v/>
      </c>
    </row>
    <row r="1257">
      <c r="T1257" s="258">
        <f>IF(R1257="","",IFERROR(TODAY()+VLOOKUP(R1257,REGRAS!$B$2:$C$13,2,0),""))</f>
        <v/>
      </c>
    </row>
    <row r="1258">
      <c r="T1258" s="258">
        <f>IF(R1258="","",IFERROR(TODAY()+VLOOKUP(R1258,REGRAS!$B$2:$C$13,2,0),""))</f>
        <v/>
      </c>
    </row>
    <row r="1259">
      <c r="T1259" s="258">
        <f>IF(R1259="","",IFERROR(TODAY()+VLOOKUP(R1259,REGRAS!$B$2:$C$13,2,0),""))</f>
        <v/>
      </c>
    </row>
    <row r="1260">
      <c r="T1260" s="258">
        <f>IF(R1260="","",IFERROR(TODAY()+VLOOKUP(R1260,REGRAS!$B$2:$C$13,2,0),""))</f>
        <v/>
      </c>
    </row>
    <row r="1261">
      <c r="T1261" s="258">
        <f>IF(R1261="","",IFERROR(TODAY()+VLOOKUP(R1261,REGRAS!$B$2:$C$13,2,0),""))</f>
        <v/>
      </c>
    </row>
    <row r="1262">
      <c r="T1262" s="258">
        <f>IF(R1262="","",IFERROR(TODAY()+VLOOKUP(R1262,REGRAS!$B$2:$C$13,2,0),""))</f>
        <v/>
      </c>
    </row>
    <row r="1263">
      <c r="T1263" s="258">
        <f>IF(R1263="","",IFERROR(TODAY()+VLOOKUP(R1263,REGRAS!$B$2:$C$13,2,0),""))</f>
        <v/>
      </c>
    </row>
    <row r="1264">
      <c r="T1264" s="258">
        <f>IF(R1264="","",IFERROR(TODAY()+VLOOKUP(R1264,REGRAS!$B$2:$C$13,2,0),""))</f>
        <v/>
      </c>
    </row>
    <row r="1265">
      <c r="T1265" s="258">
        <f>IF(R1265="","",IFERROR(TODAY()+VLOOKUP(R1265,REGRAS!$B$2:$C$13,2,0),""))</f>
        <v/>
      </c>
    </row>
    <row r="1266">
      <c r="T1266" s="258">
        <f>IF(R1266="","",IFERROR(TODAY()+VLOOKUP(R1266,REGRAS!$B$2:$C$13,2,0),""))</f>
        <v/>
      </c>
    </row>
    <row r="1267">
      <c r="T1267" s="258">
        <f>IF(R1267="","",IFERROR(TODAY()+VLOOKUP(R1267,REGRAS!$B$2:$C$13,2,0),""))</f>
        <v/>
      </c>
    </row>
    <row r="1268">
      <c r="T1268" s="258">
        <f>IF(R1268="","",IFERROR(TODAY()+VLOOKUP(R1268,REGRAS!$B$2:$C$13,2,0),""))</f>
        <v/>
      </c>
    </row>
    <row r="1269">
      <c r="T1269" s="258">
        <f>IF(R1269="","",IFERROR(TODAY()+VLOOKUP(R1269,REGRAS!$B$2:$C$13,2,0),""))</f>
        <v/>
      </c>
    </row>
    <row r="1270">
      <c r="T1270" s="258">
        <f>IF(R1270="","",IFERROR(TODAY()+VLOOKUP(R1270,REGRAS!$B$2:$C$13,2,0),""))</f>
        <v/>
      </c>
    </row>
    <row r="1271">
      <c r="T1271" s="258">
        <f>IF(R1271="","",IFERROR(TODAY()+VLOOKUP(R1271,REGRAS!$B$2:$C$13,2,0),""))</f>
        <v/>
      </c>
    </row>
    <row r="1272">
      <c r="T1272" s="258">
        <f>IF(R1272="","",IFERROR(TODAY()+VLOOKUP(R1272,REGRAS!$B$2:$C$13,2,0),""))</f>
        <v/>
      </c>
    </row>
    <row r="1273">
      <c r="T1273" s="258">
        <f>IF(R1273="","",IFERROR(TODAY()+VLOOKUP(R1273,REGRAS!$B$2:$C$13,2,0),""))</f>
        <v/>
      </c>
    </row>
    <row r="1274">
      <c r="T1274" s="258">
        <f>IF(R1274="","",IFERROR(TODAY()+VLOOKUP(R1274,REGRAS!$B$2:$C$13,2,0),""))</f>
        <v/>
      </c>
    </row>
    <row r="1275">
      <c r="T1275" s="258">
        <f>IF(R1275="","",IFERROR(TODAY()+VLOOKUP(R1275,REGRAS!$B$2:$C$13,2,0),""))</f>
        <v/>
      </c>
    </row>
    <row r="1276">
      <c r="T1276" s="258">
        <f>IF(R1276="","",IFERROR(TODAY()+VLOOKUP(R1276,REGRAS!$B$2:$C$13,2,0),""))</f>
        <v/>
      </c>
    </row>
    <row r="1277">
      <c r="T1277" s="258">
        <f>IF(R1277="","",IFERROR(TODAY()+VLOOKUP(R1277,REGRAS!$B$2:$C$13,2,0),""))</f>
        <v/>
      </c>
    </row>
    <row r="1278">
      <c r="T1278" s="258">
        <f>IF(R1278="","",IFERROR(TODAY()+VLOOKUP(R1278,REGRAS!$B$2:$C$13,2,0),""))</f>
        <v/>
      </c>
    </row>
    <row r="1279">
      <c r="T1279" s="258">
        <f>IF(R1279="","",IFERROR(TODAY()+VLOOKUP(R1279,REGRAS!$B$2:$C$13,2,0),""))</f>
        <v/>
      </c>
    </row>
    <row r="1280">
      <c r="T1280" s="258">
        <f>IF(R1280="","",IFERROR(TODAY()+VLOOKUP(R1280,REGRAS!$B$2:$C$13,2,0),""))</f>
        <v/>
      </c>
    </row>
    <row r="1281">
      <c r="T1281" s="258">
        <f>IF(R1281="","",IFERROR(TODAY()+VLOOKUP(R1281,REGRAS!$B$2:$C$13,2,0),""))</f>
        <v/>
      </c>
    </row>
    <row r="1282">
      <c r="T1282" s="258">
        <f>IF(R1282="","",IFERROR(TODAY()+VLOOKUP(R1282,REGRAS!$B$2:$C$13,2,0),""))</f>
        <v/>
      </c>
    </row>
    <row r="1283">
      <c r="T1283" s="258">
        <f>IF(R1283="","",IFERROR(TODAY()+VLOOKUP(R1283,REGRAS!$B$2:$C$13,2,0),""))</f>
        <v/>
      </c>
    </row>
    <row r="1284">
      <c r="T1284" s="258">
        <f>IF(R1284="","",IFERROR(TODAY()+VLOOKUP(R1284,REGRAS!$B$2:$C$13,2,0),""))</f>
        <v/>
      </c>
    </row>
    <row r="1285">
      <c r="T1285" s="258">
        <f>IF(R1285="","",IFERROR(TODAY()+VLOOKUP(R1285,REGRAS!$B$2:$C$13,2,0),""))</f>
        <v/>
      </c>
    </row>
    <row r="1286">
      <c r="T1286" s="258">
        <f>IF(R1286="","",IFERROR(TODAY()+VLOOKUP(R1286,REGRAS!$B$2:$C$13,2,0),""))</f>
        <v/>
      </c>
    </row>
    <row r="1287">
      <c r="T1287" s="258">
        <f>IF(R1287="","",IFERROR(TODAY()+VLOOKUP(R1287,REGRAS!$B$2:$C$13,2,0),""))</f>
        <v/>
      </c>
    </row>
    <row r="1288">
      <c r="T1288" s="258">
        <f>IF(R1288="","",IFERROR(TODAY()+VLOOKUP(R1288,REGRAS!$B$2:$C$13,2,0),""))</f>
        <v/>
      </c>
    </row>
    <row r="1289">
      <c r="T1289" s="258">
        <f>IF(R1289="","",IFERROR(TODAY()+VLOOKUP(R1289,REGRAS!$B$2:$C$13,2,0),""))</f>
        <v/>
      </c>
    </row>
    <row r="1290">
      <c r="T1290" s="258">
        <f>IF(R1290="","",IFERROR(TODAY()+VLOOKUP(R1290,REGRAS!$B$2:$C$13,2,0),""))</f>
        <v/>
      </c>
    </row>
    <row r="1291">
      <c r="T1291" s="258">
        <f>IF(R1291="","",IFERROR(TODAY()+VLOOKUP(R1291,REGRAS!$B$2:$C$13,2,0),""))</f>
        <v/>
      </c>
    </row>
    <row r="1292">
      <c r="T1292" s="258">
        <f>IF(R1292="","",IFERROR(TODAY()+VLOOKUP(R1292,REGRAS!$B$2:$C$13,2,0),""))</f>
        <v/>
      </c>
    </row>
    <row r="1293">
      <c r="T1293" s="258">
        <f>IF(R1293="","",IFERROR(TODAY()+VLOOKUP(R1293,REGRAS!$B$2:$C$13,2,0),""))</f>
        <v/>
      </c>
    </row>
    <row r="1294">
      <c r="T1294" s="258">
        <f>IF(R1294="","",IFERROR(TODAY()+VLOOKUP(R1294,REGRAS!$B$2:$C$13,2,0),""))</f>
        <v/>
      </c>
    </row>
    <row r="1295">
      <c r="T1295" s="258">
        <f>IF(R1295="","",IFERROR(TODAY()+VLOOKUP(R1295,REGRAS!$B$2:$C$13,2,0),""))</f>
        <v/>
      </c>
    </row>
    <row r="1296">
      <c r="T1296" s="258">
        <f>IF(R1296="","",IFERROR(TODAY()+VLOOKUP(R1296,REGRAS!$B$2:$C$13,2,0),""))</f>
        <v/>
      </c>
    </row>
    <row r="1297">
      <c r="T1297" s="258">
        <f>IF(R1297="","",IFERROR(TODAY()+VLOOKUP(R1297,REGRAS!$B$2:$C$13,2,0),""))</f>
        <v/>
      </c>
    </row>
    <row r="1298">
      <c r="T1298" s="258">
        <f>IF(R1298="","",IFERROR(TODAY()+VLOOKUP(R1298,REGRAS!$B$2:$C$13,2,0),""))</f>
        <v/>
      </c>
    </row>
    <row r="1299">
      <c r="T1299" s="258">
        <f>IF(R1299="","",IFERROR(TODAY()+VLOOKUP(R1299,REGRAS!$B$2:$C$13,2,0),""))</f>
        <v/>
      </c>
    </row>
    <row r="1300">
      <c r="T1300" s="258">
        <f>IF(R1300="","",IFERROR(TODAY()+VLOOKUP(R1300,REGRAS!$B$2:$C$13,2,0),""))</f>
        <v/>
      </c>
    </row>
    <row r="1301">
      <c r="T1301" s="258">
        <f>IF(R1301="","",IFERROR(TODAY()+VLOOKUP(R1301,REGRAS!$B$2:$C$13,2,0),""))</f>
        <v/>
      </c>
    </row>
    <row r="1302">
      <c r="T1302" s="258">
        <f>IF(R1302="","",IFERROR(TODAY()+VLOOKUP(R1302,REGRAS!$B$2:$C$13,2,0),""))</f>
        <v/>
      </c>
    </row>
    <row r="1303">
      <c r="T1303" s="258">
        <f>IF(R1303="","",IFERROR(TODAY()+VLOOKUP(R1303,REGRAS!$B$2:$C$13,2,0),""))</f>
        <v/>
      </c>
    </row>
    <row r="1304">
      <c r="T1304" s="258">
        <f>IF(R1304="","",IFERROR(TODAY()+VLOOKUP(R1304,REGRAS!$B$2:$C$13,2,0),""))</f>
        <v/>
      </c>
    </row>
    <row r="1305">
      <c r="T1305" s="258">
        <f>IF(R1305="","",IFERROR(TODAY()+VLOOKUP(R1305,REGRAS!$B$2:$C$13,2,0),""))</f>
        <v/>
      </c>
    </row>
    <row r="1306">
      <c r="T1306" s="258">
        <f>IF(R1306="","",IFERROR(TODAY()+VLOOKUP(R1306,REGRAS!$B$2:$C$13,2,0),""))</f>
        <v/>
      </c>
    </row>
    <row r="1307">
      <c r="T1307" s="258">
        <f>IF(R1307="","",IFERROR(TODAY()+VLOOKUP(R1307,REGRAS!$B$2:$C$13,2,0),""))</f>
        <v/>
      </c>
    </row>
    <row r="1308">
      <c r="T1308" s="258">
        <f>IF(R1308="","",IFERROR(TODAY()+VLOOKUP(R1308,REGRAS!$B$2:$C$13,2,0),""))</f>
        <v/>
      </c>
    </row>
    <row r="1309">
      <c r="T1309" s="258">
        <f>IF(R1309="","",IFERROR(TODAY()+VLOOKUP(R1309,REGRAS!$B$2:$C$13,2,0),""))</f>
        <v/>
      </c>
    </row>
    <row r="1310">
      <c r="T1310" s="258">
        <f>IF(R1310="","",IFERROR(TODAY()+VLOOKUP(R1310,REGRAS!$B$2:$C$13,2,0),""))</f>
        <v/>
      </c>
    </row>
    <row r="1311">
      <c r="T1311" s="258">
        <f>IF(R1311="","",IFERROR(TODAY()+VLOOKUP(R1311,REGRAS!$B$2:$C$13,2,0),""))</f>
        <v/>
      </c>
    </row>
    <row r="1312">
      <c r="T1312" s="258">
        <f>IF(R1312="","",IFERROR(TODAY()+VLOOKUP(R1312,REGRAS!$B$2:$C$13,2,0),""))</f>
        <v/>
      </c>
    </row>
    <row r="1313">
      <c r="T1313" s="258">
        <f>IF(R1313="","",IFERROR(TODAY()+VLOOKUP(R1313,REGRAS!$B$2:$C$13,2,0),""))</f>
        <v/>
      </c>
    </row>
    <row r="1314">
      <c r="T1314" s="258">
        <f>IF(R1314="","",IFERROR(TODAY()+VLOOKUP(R1314,REGRAS!$B$2:$C$13,2,0),""))</f>
        <v/>
      </c>
    </row>
    <row r="1315">
      <c r="T1315" s="258">
        <f>IF(R1315="","",IFERROR(TODAY()+VLOOKUP(R1315,REGRAS!$B$2:$C$13,2,0),""))</f>
        <v/>
      </c>
    </row>
    <row r="1316">
      <c r="T1316" s="258">
        <f>IF(R1316="","",IFERROR(TODAY()+VLOOKUP(R1316,REGRAS!$B$2:$C$13,2,0),""))</f>
        <v/>
      </c>
    </row>
    <row r="1317">
      <c r="T1317" s="258">
        <f>IF(R1317="","",IFERROR(TODAY()+VLOOKUP(R1317,REGRAS!$B$2:$C$13,2,0),""))</f>
        <v/>
      </c>
    </row>
    <row r="1318">
      <c r="T1318" s="258">
        <f>IF(R1318="","",IFERROR(TODAY()+VLOOKUP(R1318,REGRAS!$B$2:$C$13,2,0),""))</f>
        <v/>
      </c>
    </row>
    <row r="1319">
      <c r="T1319" s="258">
        <f>IF(R1319="","",IFERROR(TODAY()+VLOOKUP(R1319,REGRAS!$B$2:$C$13,2,0),""))</f>
        <v/>
      </c>
    </row>
    <row r="1320">
      <c r="T1320" s="258">
        <f>IF(R1320="","",IFERROR(TODAY()+VLOOKUP(R1320,REGRAS!$B$2:$C$13,2,0),""))</f>
        <v/>
      </c>
    </row>
    <row r="1321">
      <c r="T1321" s="258">
        <f>IF(R1321="","",IFERROR(TODAY()+VLOOKUP(R1321,REGRAS!$B$2:$C$13,2,0),""))</f>
        <v/>
      </c>
    </row>
    <row r="1322">
      <c r="T1322" s="258">
        <f>IF(R1322="","",IFERROR(TODAY()+VLOOKUP(R1322,REGRAS!$B$2:$C$13,2,0),""))</f>
        <v/>
      </c>
    </row>
    <row r="1323">
      <c r="T1323" s="258">
        <f>IF(R1323="","",IFERROR(TODAY()+VLOOKUP(R1323,REGRAS!$B$2:$C$13,2,0),""))</f>
        <v/>
      </c>
    </row>
    <row r="1324">
      <c r="T1324" s="258">
        <f>IF(R1324="","",IFERROR(TODAY()+VLOOKUP(R1324,REGRAS!$B$2:$C$13,2,0),""))</f>
        <v/>
      </c>
    </row>
    <row r="1325">
      <c r="T1325" s="258">
        <f>IF(R1325="","",IFERROR(TODAY()+VLOOKUP(R1325,REGRAS!$B$2:$C$13,2,0),""))</f>
        <v/>
      </c>
    </row>
    <row r="1326">
      <c r="T1326" s="258">
        <f>IF(R1326="","",IFERROR(TODAY()+VLOOKUP(R1326,REGRAS!$B$2:$C$13,2,0),""))</f>
        <v/>
      </c>
    </row>
    <row r="1327">
      <c r="T1327" s="258">
        <f>IF(R1327="","",IFERROR(TODAY()+VLOOKUP(R1327,REGRAS!$B$2:$C$13,2,0),""))</f>
        <v/>
      </c>
    </row>
    <row r="1328">
      <c r="T1328" s="258">
        <f>IF(R1328="","",IFERROR(TODAY()+VLOOKUP(R1328,REGRAS!$B$2:$C$13,2,0),""))</f>
        <v/>
      </c>
    </row>
    <row r="1329">
      <c r="T1329" s="258">
        <f>IF(R1329="","",IFERROR(TODAY()+VLOOKUP(R1329,REGRAS!$B$2:$C$13,2,0),""))</f>
        <v/>
      </c>
    </row>
    <row r="1330">
      <c r="T1330" s="258">
        <f>IF(R1330="","",IFERROR(TODAY()+VLOOKUP(R1330,REGRAS!$B$2:$C$13,2,0),""))</f>
        <v/>
      </c>
    </row>
    <row r="1331">
      <c r="T1331" s="258">
        <f>IF(R1331="","",IFERROR(TODAY()+VLOOKUP(R1331,REGRAS!$B$2:$C$13,2,0),""))</f>
        <v/>
      </c>
    </row>
    <row r="1332">
      <c r="T1332" s="258">
        <f>IF(R1332="","",IFERROR(TODAY()+VLOOKUP(R1332,REGRAS!$B$2:$C$13,2,0),""))</f>
        <v/>
      </c>
    </row>
    <row r="1333">
      <c r="T1333" s="258">
        <f>IF(R1333="","",IFERROR(TODAY()+VLOOKUP(R1333,REGRAS!$B$2:$C$13,2,0),""))</f>
        <v/>
      </c>
    </row>
    <row r="1334">
      <c r="T1334" s="258">
        <f>IF(R1334="","",IFERROR(TODAY()+VLOOKUP(R1334,REGRAS!$B$2:$C$13,2,0),""))</f>
        <v/>
      </c>
    </row>
    <row r="1335">
      <c r="T1335" s="258">
        <f>IF(R1335="","",IFERROR(TODAY()+VLOOKUP(R1335,REGRAS!$B$2:$C$13,2,0),""))</f>
        <v/>
      </c>
    </row>
    <row r="1336">
      <c r="T1336" s="258">
        <f>IF(R1336="","",IFERROR(TODAY()+VLOOKUP(R1336,REGRAS!$B$2:$C$13,2,0),""))</f>
        <v/>
      </c>
    </row>
    <row r="1337">
      <c r="T1337" s="258">
        <f>IF(R1337="","",IFERROR(TODAY()+VLOOKUP(R1337,REGRAS!$B$2:$C$13,2,0),""))</f>
        <v/>
      </c>
    </row>
    <row r="1338">
      <c r="T1338" s="258">
        <f>IF(R1338="","",IFERROR(TODAY()+VLOOKUP(R1338,REGRAS!$B$2:$C$13,2,0),""))</f>
        <v/>
      </c>
    </row>
    <row r="1339">
      <c r="T1339" s="258">
        <f>IF(R1339="","",IFERROR(TODAY()+VLOOKUP(R1339,REGRAS!$B$2:$C$13,2,0),""))</f>
        <v/>
      </c>
    </row>
    <row r="1340">
      <c r="T1340" s="258">
        <f>IF(R1340="","",IFERROR(TODAY()+VLOOKUP(R1340,REGRAS!$B$2:$C$13,2,0),""))</f>
        <v/>
      </c>
    </row>
    <row r="1341">
      <c r="T1341" s="258">
        <f>IF(R1341="","",IFERROR(TODAY()+VLOOKUP(R1341,REGRAS!$B$2:$C$13,2,0),""))</f>
        <v/>
      </c>
    </row>
    <row r="1342">
      <c r="T1342" s="258">
        <f>IF(R1342="","",IFERROR(TODAY()+VLOOKUP(R1342,REGRAS!$B$2:$C$13,2,0),""))</f>
        <v/>
      </c>
    </row>
    <row r="1343">
      <c r="T1343" s="258">
        <f>IF(R1343="","",IFERROR(TODAY()+VLOOKUP(R1343,REGRAS!$B$2:$C$13,2,0),""))</f>
        <v/>
      </c>
    </row>
    <row r="1344">
      <c r="T1344" s="258">
        <f>IF(R1344="","",IFERROR(TODAY()+VLOOKUP(R1344,REGRAS!$B$2:$C$13,2,0),""))</f>
        <v/>
      </c>
    </row>
    <row r="1345">
      <c r="T1345" s="258">
        <f>IF(R1345="","",IFERROR(TODAY()+VLOOKUP(R1345,REGRAS!$B$2:$C$13,2,0),""))</f>
        <v/>
      </c>
    </row>
    <row r="1346">
      <c r="T1346" s="258">
        <f>IF(R1346="","",IFERROR(TODAY()+VLOOKUP(R1346,REGRAS!$B$2:$C$13,2,0),""))</f>
        <v/>
      </c>
    </row>
    <row r="1347">
      <c r="T1347" s="258">
        <f>IF(R1347="","",IFERROR(TODAY()+VLOOKUP(R1347,REGRAS!$B$2:$C$13,2,0),""))</f>
        <v/>
      </c>
    </row>
    <row r="1348">
      <c r="T1348" s="258">
        <f>IF(R1348="","",IFERROR(TODAY()+VLOOKUP(R1348,REGRAS!$B$2:$C$13,2,0),""))</f>
        <v/>
      </c>
    </row>
    <row r="1349">
      <c r="T1349" s="258">
        <f>IF(R1349="","",IFERROR(TODAY()+VLOOKUP(R1349,REGRAS!$B$2:$C$13,2,0),""))</f>
        <v/>
      </c>
    </row>
    <row r="1350">
      <c r="T1350" s="258">
        <f>IF(R1350="","",IFERROR(TODAY()+VLOOKUP(R1350,REGRAS!$B$2:$C$13,2,0),""))</f>
        <v/>
      </c>
    </row>
    <row r="1351">
      <c r="T1351" s="258">
        <f>IF(R1351="","",IFERROR(TODAY()+VLOOKUP(R1351,REGRAS!$B$2:$C$13,2,0),""))</f>
        <v/>
      </c>
    </row>
    <row r="1352">
      <c r="T1352" s="258">
        <f>IF(R1352="","",IFERROR(TODAY()+VLOOKUP(R1352,REGRAS!$B$2:$C$13,2,0),""))</f>
        <v/>
      </c>
    </row>
    <row r="1353">
      <c r="T1353" s="258">
        <f>IF(R1353="","",IFERROR(TODAY()+VLOOKUP(R1353,REGRAS!$B$2:$C$13,2,0),""))</f>
        <v/>
      </c>
    </row>
    <row r="1354">
      <c r="T1354" s="258">
        <f>IF(R1354="","",IFERROR(TODAY()+VLOOKUP(R1354,REGRAS!$B$2:$C$13,2,0),""))</f>
        <v/>
      </c>
    </row>
    <row r="1355">
      <c r="T1355" s="258">
        <f>IF(R1355="","",IFERROR(TODAY()+VLOOKUP(R1355,REGRAS!$B$2:$C$13,2,0),""))</f>
        <v/>
      </c>
    </row>
    <row r="1356">
      <c r="T1356" s="258">
        <f>IF(R1356="","",IFERROR(TODAY()+VLOOKUP(R1356,REGRAS!$B$2:$C$13,2,0),""))</f>
        <v/>
      </c>
    </row>
    <row r="1357">
      <c r="T1357" s="258">
        <f>IF(R1357="","",IFERROR(TODAY()+VLOOKUP(R1357,REGRAS!$B$2:$C$13,2,0),""))</f>
        <v/>
      </c>
    </row>
    <row r="1358">
      <c r="T1358" s="258">
        <f>IF(R1358="","",IFERROR(TODAY()+VLOOKUP(R1358,REGRAS!$B$2:$C$13,2,0),""))</f>
        <v/>
      </c>
    </row>
    <row r="1359">
      <c r="T1359" s="258">
        <f>IF(R1359="","",IFERROR(TODAY()+VLOOKUP(R1359,REGRAS!$B$2:$C$13,2,0),""))</f>
        <v/>
      </c>
    </row>
    <row r="1360">
      <c r="T1360" s="258">
        <f>IF(R1360="","",IFERROR(TODAY()+VLOOKUP(R1360,REGRAS!$B$2:$C$13,2,0),""))</f>
        <v/>
      </c>
    </row>
    <row r="1361">
      <c r="T1361" s="258">
        <f>IF(R1361="","",IFERROR(TODAY()+VLOOKUP(R1361,REGRAS!$B$2:$C$13,2,0),""))</f>
        <v/>
      </c>
    </row>
    <row r="1362">
      <c r="T1362" s="258">
        <f>IF(R1362="","",IFERROR(TODAY()+VLOOKUP(R1362,REGRAS!$B$2:$C$13,2,0),""))</f>
        <v/>
      </c>
    </row>
    <row r="1363">
      <c r="T1363" s="258">
        <f>IF(R1363="","",IFERROR(TODAY()+VLOOKUP(R1363,REGRAS!$B$2:$C$13,2,0),""))</f>
        <v/>
      </c>
    </row>
    <row r="1364">
      <c r="T1364" s="258">
        <f>IF(R1364="","",IFERROR(TODAY()+VLOOKUP(R1364,REGRAS!$B$2:$C$13,2,0),""))</f>
        <v/>
      </c>
    </row>
    <row r="1365">
      <c r="T1365" s="258">
        <f>IF(R1365="","",IFERROR(TODAY()+VLOOKUP(R1365,REGRAS!$B$2:$C$13,2,0),""))</f>
        <v/>
      </c>
    </row>
    <row r="1366">
      <c r="T1366" s="258">
        <f>IF(R1366="","",IFERROR(TODAY()+VLOOKUP(R1366,REGRAS!$B$2:$C$13,2,0),""))</f>
        <v/>
      </c>
    </row>
    <row r="1367">
      <c r="T1367" s="258">
        <f>IF(R1367="","",IFERROR(TODAY()+VLOOKUP(R1367,REGRAS!$B$2:$C$13,2,0),""))</f>
        <v/>
      </c>
    </row>
    <row r="1368">
      <c r="T1368" s="258">
        <f>IF(R1368="","",IFERROR(TODAY()+VLOOKUP(R1368,REGRAS!$B$2:$C$13,2,0),""))</f>
        <v/>
      </c>
    </row>
    <row r="1369">
      <c r="T1369" s="258">
        <f>IF(R1369="","",IFERROR(TODAY()+VLOOKUP(R1369,REGRAS!$B$2:$C$13,2,0),""))</f>
        <v/>
      </c>
    </row>
    <row r="1370">
      <c r="T1370" s="258">
        <f>IF(R1370="","",IFERROR(TODAY()+VLOOKUP(R1370,REGRAS!$B$2:$C$13,2,0),""))</f>
        <v/>
      </c>
    </row>
    <row r="1371">
      <c r="T1371" s="258">
        <f>IF(R1371="","",IFERROR(TODAY()+VLOOKUP(R1371,REGRAS!$B$2:$C$13,2,0),""))</f>
        <v/>
      </c>
    </row>
    <row r="1372">
      <c r="T1372" s="258">
        <f>IF(R1372="","",IFERROR(TODAY()+VLOOKUP(R1372,REGRAS!$B$2:$C$13,2,0),""))</f>
        <v/>
      </c>
    </row>
    <row r="1373">
      <c r="T1373" s="258">
        <f>IF(R1373="","",IFERROR(TODAY()+VLOOKUP(R1373,REGRAS!$B$2:$C$13,2,0),""))</f>
        <v/>
      </c>
    </row>
    <row r="1374">
      <c r="T1374" s="258">
        <f>IF(R1374="","",IFERROR(TODAY()+VLOOKUP(R1374,REGRAS!$B$2:$C$13,2,0),""))</f>
        <v/>
      </c>
    </row>
    <row r="1375">
      <c r="T1375" s="258">
        <f>IF(R1375="","",IFERROR(TODAY()+VLOOKUP(R1375,REGRAS!$B$2:$C$13,2,0),""))</f>
        <v/>
      </c>
    </row>
    <row r="1376">
      <c r="T1376" s="258">
        <f>IF(R1376="","",IFERROR(TODAY()+VLOOKUP(R1376,REGRAS!$B$2:$C$13,2,0),""))</f>
        <v/>
      </c>
    </row>
    <row r="1377">
      <c r="T1377" s="258">
        <f>IF(R1377="","",IFERROR(TODAY()+VLOOKUP(R1377,REGRAS!$B$2:$C$13,2,0),""))</f>
        <v/>
      </c>
    </row>
    <row r="1378">
      <c r="T1378" s="258">
        <f>IF(R1378="","",IFERROR(TODAY()+VLOOKUP(R1378,REGRAS!$B$2:$C$13,2,0),""))</f>
        <v/>
      </c>
    </row>
    <row r="1379">
      <c r="T1379" s="258">
        <f>IF(R1379="","",IFERROR(TODAY()+VLOOKUP(R1379,REGRAS!$B$2:$C$13,2,0),""))</f>
        <v/>
      </c>
    </row>
    <row r="1380">
      <c r="T1380" s="258">
        <f>IF(R1380="","",IFERROR(TODAY()+VLOOKUP(R1380,REGRAS!$B$2:$C$13,2,0),""))</f>
        <v/>
      </c>
    </row>
    <row r="1381">
      <c r="T1381" s="258">
        <f>IF(R1381="","",IFERROR(TODAY()+VLOOKUP(R1381,REGRAS!$B$2:$C$13,2,0),""))</f>
        <v/>
      </c>
    </row>
    <row r="1382">
      <c r="T1382" s="258">
        <f>IF(R1382="","",IFERROR(TODAY()+VLOOKUP(R1382,REGRAS!$B$2:$C$13,2,0),""))</f>
        <v/>
      </c>
    </row>
    <row r="1383">
      <c r="T1383" s="258">
        <f>IF(R1383="","",IFERROR(TODAY()+VLOOKUP(R1383,REGRAS!$B$2:$C$13,2,0),""))</f>
        <v/>
      </c>
    </row>
    <row r="1384">
      <c r="T1384" s="258">
        <f>IF(R1384="","",IFERROR(TODAY()+VLOOKUP(R1384,REGRAS!$B$2:$C$13,2,0),""))</f>
        <v/>
      </c>
    </row>
    <row r="1385">
      <c r="T1385" s="258">
        <f>IF(R1385="","",IFERROR(TODAY()+VLOOKUP(R1385,REGRAS!$B$2:$C$13,2,0),""))</f>
        <v/>
      </c>
    </row>
    <row r="1386">
      <c r="T1386" s="258">
        <f>IF(R1386="","",IFERROR(TODAY()+VLOOKUP(R1386,REGRAS!$B$2:$C$13,2,0),""))</f>
        <v/>
      </c>
    </row>
    <row r="1387">
      <c r="T1387" s="258">
        <f>IF(R1387="","",IFERROR(TODAY()+VLOOKUP(R1387,REGRAS!$B$2:$C$13,2,0),""))</f>
        <v/>
      </c>
    </row>
    <row r="1388">
      <c r="T1388" s="258">
        <f>IF(R1388="","",IFERROR(TODAY()+VLOOKUP(R1388,REGRAS!$B$2:$C$13,2,0),""))</f>
        <v/>
      </c>
    </row>
    <row r="1389">
      <c r="T1389" s="258">
        <f>IF(R1389="","",IFERROR(TODAY()+VLOOKUP(R1389,REGRAS!$B$2:$C$13,2,0),""))</f>
        <v/>
      </c>
    </row>
    <row r="1390">
      <c r="T1390" s="258">
        <f>IF(R1390="","",IFERROR(TODAY()+VLOOKUP(R1390,REGRAS!$B$2:$C$13,2,0),""))</f>
        <v/>
      </c>
    </row>
    <row r="1391">
      <c r="T1391" s="258">
        <f>IF(R1391="","",IFERROR(TODAY()+VLOOKUP(R1391,REGRAS!$B$2:$C$13,2,0),""))</f>
        <v/>
      </c>
    </row>
    <row r="1392">
      <c r="T1392" s="258">
        <f>IF(R1392="","",IFERROR(TODAY()+VLOOKUP(R1392,REGRAS!$B$2:$C$13,2,0),""))</f>
        <v/>
      </c>
    </row>
    <row r="1393">
      <c r="T1393" s="258">
        <f>IF(R1393="","",IFERROR(TODAY()+VLOOKUP(R1393,REGRAS!$B$2:$C$13,2,0),""))</f>
        <v/>
      </c>
    </row>
    <row r="1394">
      <c r="T1394" s="258">
        <f>IF(R1394="","",IFERROR(TODAY()+VLOOKUP(R1394,REGRAS!$B$2:$C$13,2,0),""))</f>
        <v/>
      </c>
    </row>
    <row r="1395">
      <c r="T1395" s="258">
        <f>IF(R1395="","",IFERROR(TODAY()+VLOOKUP(R1395,REGRAS!$B$2:$C$13,2,0),""))</f>
        <v/>
      </c>
    </row>
    <row r="1396">
      <c r="T1396" s="258">
        <f>IF(R1396="","",IFERROR(TODAY()+VLOOKUP(R1396,REGRAS!$B$2:$C$13,2,0),""))</f>
        <v/>
      </c>
    </row>
    <row r="1397">
      <c r="T1397" s="258">
        <f>IF(R1397="","",IFERROR(TODAY()+VLOOKUP(R1397,REGRAS!$B$2:$C$13,2,0),""))</f>
        <v/>
      </c>
    </row>
    <row r="1398">
      <c r="T1398" s="258">
        <f>IF(R1398="","",IFERROR(TODAY()+VLOOKUP(R1398,REGRAS!$B$2:$C$13,2,0),""))</f>
        <v/>
      </c>
    </row>
    <row r="1399">
      <c r="T1399" s="258">
        <f>IF(R1399="","",IFERROR(TODAY()+VLOOKUP(R1399,REGRAS!$B$2:$C$13,2,0),""))</f>
        <v/>
      </c>
    </row>
    <row r="1400">
      <c r="T1400" s="258">
        <f>IF(R1400="","",IFERROR(TODAY()+VLOOKUP(R1400,REGRAS!$B$2:$C$13,2,0),""))</f>
        <v/>
      </c>
    </row>
    <row r="1401">
      <c r="T1401" s="258">
        <f>IF(R1401="","",IFERROR(TODAY()+VLOOKUP(R1401,REGRAS!$B$2:$C$13,2,0),""))</f>
        <v/>
      </c>
    </row>
    <row r="1402">
      <c r="T1402" s="258">
        <f>IF(R1402="","",IFERROR(TODAY()+VLOOKUP(R1402,REGRAS!$B$2:$C$13,2,0),""))</f>
        <v/>
      </c>
    </row>
    <row r="1403">
      <c r="T1403" s="258">
        <f>IF(R1403="","",IFERROR(TODAY()+VLOOKUP(R1403,REGRAS!$B$2:$C$13,2,0),""))</f>
        <v/>
      </c>
    </row>
    <row r="1404">
      <c r="T1404" s="258">
        <f>IF(R1404="","",IFERROR(TODAY()+VLOOKUP(R1404,REGRAS!$B$2:$C$13,2,0),""))</f>
        <v/>
      </c>
    </row>
    <row r="1405">
      <c r="T1405" s="258">
        <f>IF(R1405="","",IFERROR(TODAY()+VLOOKUP(R1405,REGRAS!$B$2:$C$13,2,0),""))</f>
        <v/>
      </c>
    </row>
    <row r="1406">
      <c r="T1406" s="258">
        <f>IF(R1406="","",IFERROR(TODAY()+VLOOKUP(R1406,REGRAS!$B$2:$C$13,2,0),""))</f>
        <v/>
      </c>
    </row>
    <row r="1407">
      <c r="T1407" s="258">
        <f>IF(R1407="","",IFERROR(TODAY()+VLOOKUP(R1407,REGRAS!$B$2:$C$13,2,0),""))</f>
        <v/>
      </c>
    </row>
    <row r="1408">
      <c r="T1408" s="258">
        <f>IF(R1408="","",IFERROR(TODAY()+VLOOKUP(R1408,REGRAS!$B$2:$C$13,2,0),""))</f>
        <v/>
      </c>
    </row>
    <row r="1409">
      <c r="T1409" s="258">
        <f>IF(R1409="","",IFERROR(TODAY()+VLOOKUP(R1409,REGRAS!$B$2:$C$13,2,0),""))</f>
        <v/>
      </c>
    </row>
    <row r="1410">
      <c r="T1410" s="258">
        <f>IF(R1410="","",IFERROR(TODAY()+VLOOKUP(R1410,REGRAS!$B$2:$C$13,2,0),""))</f>
        <v/>
      </c>
    </row>
    <row r="1411">
      <c r="T1411" s="258">
        <f>IF(R1411="","",IFERROR(TODAY()+VLOOKUP(R1411,REGRAS!$B$2:$C$13,2,0),""))</f>
        <v/>
      </c>
    </row>
    <row r="1412">
      <c r="T1412" s="258">
        <f>IF(R1412="","",IFERROR(TODAY()+VLOOKUP(R1412,REGRAS!$B$2:$C$13,2,0),""))</f>
        <v/>
      </c>
    </row>
    <row r="1413">
      <c r="T1413" s="258">
        <f>IF(R1413="","",IFERROR(TODAY()+VLOOKUP(R1413,REGRAS!$B$2:$C$13,2,0),""))</f>
        <v/>
      </c>
    </row>
    <row r="1414">
      <c r="T1414" s="258">
        <f>IF(R1414="","",IFERROR(TODAY()+VLOOKUP(R1414,REGRAS!$B$2:$C$13,2,0),""))</f>
        <v/>
      </c>
    </row>
    <row r="1415">
      <c r="T1415" s="258">
        <f>IF(R1415="","",IFERROR(TODAY()+VLOOKUP(R1415,REGRAS!$B$2:$C$13,2,0),""))</f>
        <v/>
      </c>
    </row>
    <row r="1416">
      <c r="T1416" s="258">
        <f>IF(R1416="","",IFERROR(TODAY()+VLOOKUP(R1416,REGRAS!$B$2:$C$13,2,0),""))</f>
        <v/>
      </c>
    </row>
    <row r="1417">
      <c r="T1417" s="258">
        <f>IF(R1417="","",IFERROR(TODAY()+VLOOKUP(R1417,REGRAS!$B$2:$C$13,2,0),""))</f>
        <v/>
      </c>
    </row>
    <row r="1418">
      <c r="T1418" s="258">
        <f>IF(R1418="","",IFERROR(TODAY()+VLOOKUP(R1418,REGRAS!$B$2:$C$13,2,0),""))</f>
        <v/>
      </c>
    </row>
    <row r="1419">
      <c r="T1419" s="258">
        <f>IF(R1419="","",IFERROR(TODAY()+VLOOKUP(R1419,REGRAS!$B$2:$C$13,2,0),""))</f>
        <v/>
      </c>
    </row>
    <row r="1420">
      <c r="T1420" s="258">
        <f>IF(R1420="","",IFERROR(TODAY()+VLOOKUP(R1420,REGRAS!$B$2:$C$13,2,0),""))</f>
        <v/>
      </c>
    </row>
    <row r="1421">
      <c r="T1421" s="258">
        <f>IF(R1421="","",IFERROR(TODAY()+VLOOKUP(R1421,REGRAS!$B$2:$C$13,2,0),""))</f>
        <v/>
      </c>
    </row>
    <row r="1422">
      <c r="T1422" s="258">
        <f>IF(R1422="","",IFERROR(TODAY()+VLOOKUP(R1422,REGRAS!$B$2:$C$13,2,0),""))</f>
        <v/>
      </c>
    </row>
    <row r="1423">
      <c r="T1423" s="258">
        <f>IF(R1423="","",IFERROR(TODAY()+VLOOKUP(R1423,REGRAS!$B$2:$C$13,2,0),""))</f>
        <v/>
      </c>
    </row>
    <row r="1424">
      <c r="T1424" s="258">
        <f>IF(R1424="","",IFERROR(TODAY()+VLOOKUP(R1424,REGRAS!$B$2:$C$13,2,0),""))</f>
        <v/>
      </c>
    </row>
    <row r="1425">
      <c r="T1425" s="258">
        <f>IF(R1425="","",IFERROR(TODAY()+VLOOKUP(R1425,REGRAS!$B$2:$C$13,2,0),""))</f>
        <v/>
      </c>
    </row>
    <row r="1426">
      <c r="T1426" s="258">
        <f>IF(R1426="","",IFERROR(TODAY()+VLOOKUP(R1426,REGRAS!$B$2:$C$13,2,0),""))</f>
        <v/>
      </c>
    </row>
    <row r="1427">
      <c r="T1427" s="258">
        <f>IF(R1427="","",IFERROR(TODAY()+VLOOKUP(R1427,REGRAS!$B$2:$C$13,2,0),""))</f>
        <v/>
      </c>
    </row>
    <row r="1428">
      <c r="T1428" s="258">
        <f>IF(R1428="","",IFERROR(TODAY()+VLOOKUP(R1428,REGRAS!$B$2:$C$13,2,0),""))</f>
        <v/>
      </c>
    </row>
    <row r="1429">
      <c r="T1429" s="258">
        <f>IF(R1429="","",IFERROR(TODAY()+VLOOKUP(R1429,REGRAS!$B$2:$C$13,2,0),""))</f>
        <v/>
      </c>
    </row>
    <row r="1430">
      <c r="T1430" s="258">
        <f>IF(R1430="","",IFERROR(TODAY()+VLOOKUP(R1430,REGRAS!$B$2:$C$13,2,0),""))</f>
        <v/>
      </c>
    </row>
    <row r="1431">
      <c r="T1431" s="258">
        <f>IF(R1431="","",IFERROR(TODAY()+VLOOKUP(R1431,REGRAS!$B$2:$C$13,2,0),""))</f>
        <v/>
      </c>
    </row>
    <row r="1432">
      <c r="T1432" s="258">
        <f>IF(R1432="","",IFERROR(TODAY()+VLOOKUP(R1432,REGRAS!$B$2:$C$13,2,0),""))</f>
        <v/>
      </c>
    </row>
    <row r="1433">
      <c r="T1433" s="258">
        <f>IF(R1433="","",IFERROR(TODAY()+VLOOKUP(R1433,REGRAS!$B$2:$C$13,2,0),""))</f>
        <v/>
      </c>
    </row>
    <row r="1434">
      <c r="T1434" s="258">
        <f>IF(R1434="","",IFERROR(TODAY()+VLOOKUP(R1434,REGRAS!$B$2:$C$13,2,0),""))</f>
        <v/>
      </c>
    </row>
    <row r="1435">
      <c r="T1435" s="258">
        <f>IF(R1435="","",IFERROR(TODAY()+VLOOKUP(R1435,REGRAS!$B$2:$C$13,2,0),""))</f>
        <v/>
      </c>
    </row>
    <row r="1436">
      <c r="T1436" s="258">
        <f>IF(R1436="","",IFERROR(TODAY()+VLOOKUP(R1436,REGRAS!$B$2:$C$13,2,0),""))</f>
        <v/>
      </c>
    </row>
    <row r="1437">
      <c r="T1437" s="258">
        <f>IF(R1437="","",IFERROR(TODAY()+VLOOKUP(R1437,REGRAS!$B$2:$C$13,2,0),""))</f>
        <v/>
      </c>
    </row>
    <row r="1438">
      <c r="T1438" s="258">
        <f>IF(R1438="","",IFERROR(TODAY()+VLOOKUP(R1438,REGRAS!$B$2:$C$13,2,0),""))</f>
        <v/>
      </c>
    </row>
    <row r="1439">
      <c r="T1439" s="258">
        <f>IF(R1439="","",IFERROR(TODAY()+VLOOKUP(R1439,REGRAS!$B$2:$C$13,2,0),""))</f>
        <v/>
      </c>
    </row>
    <row r="1440">
      <c r="T1440" s="258">
        <f>IF(R1440="","",IFERROR(TODAY()+VLOOKUP(R1440,REGRAS!$B$2:$C$13,2,0),""))</f>
        <v/>
      </c>
    </row>
    <row r="1441">
      <c r="T1441" s="258">
        <f>IF(R1441="","",IFERROR(TODAY()+VLOOKUP(R1441,REGRAS!$B$2:$C$13,2,0),""))</f>
        <v/>
      </c>
    </row>
    <row r="1442">
      <c r="T1442" s="258">
        <f>IF(R1442="","",IFERROR(TODAY()+VLOOKUP(R1442,REGRAS!$B$2:$C$13,2,0),""))</f>
        <v/>
      </c>
    </row>
    <row r="1443">
      <c r="T1443" s="258">
        <f>IF(R1443="","",IFERROR(TODAY()+VLOOKUP(R1443,REGRAS!$B$2:$C$13,2,0),""))</f>
        <v/>
      </c>
    </row>
    <row r="1444">
      <c r="T1444" s="258">
        <f>IF(R1444="","",IFERROR(TODAY()+VLOOKUP(R1444,REGRAS!$B$2:$C$13,2,0),""))</f>
        <v/>
      </c>
    </row>
    <row r="1445">
      <c r="T1445" s="258">
        <f>IF(R1445="","",IFERROR(TODAY()+VLOOKUP(R1445,REGRAS!$B$2:$C$13,2,0),""))</f>
        <v/>
      </c>
    </row>
    <row r="1446">
      <c r="T1446" s="258">
        <f>IF(R1446="","",IFERROR(TODAY()+VLOOKUP(R1446,REGRAS!$B$2:$C$13,2,0),""))</f>
        <v/>
      </c>
    </row>
    <row r="1447">
      <c r="T1447" s="258">
        <f>IF(R1447="","",IFERROR(TODAY()+VLOOKUP(R1447,REGRAS!$B$2:$C$13,2,0),""))</f>
        <v/>
      </c>
    </row>
    <row r="1448">
      <c r="T1448" s="258">
        <f>IF(R1448="","",IFERROR(TODAY()+VLOOKUP(R1448,REGRAS!$B$2:$C$13,2,0),""))</f>
        <v/>
      </c>
    </row>
    <row r="1449">
      <c r="T1449" s="258">
        <f>IF(R1449="","",IFERROR(TODAY()+VLOOKUP(R1449,REGRAS!$B$2:$C$13,2,0),""))</f>
        <v/>
      </c>
    </row>
    <row r="1450">
      <c r="T1450" s="258">
        <f>IF(R1450="","",IFERROR(TODAY()+VLOOKUP(R1450,REGRAS!$B$2:$C$13,2,0),""))</f>
        <v/>
      </c>
    </row>
    <row r="1451">
      <c r="T1451" s="258">
        <f>IF(R1451="","",IFERROR(TODAY()+VLOOKUP(R1451,REGRAS!$B$2:$C$13,2,0),""))</f>
        <v/>
      </c>
    </row>
    <row r="1452">
      <c r="T1452" s="258">
        <f>IF(R1452="","",IFERROR(TODAY()+VLOOKUP(R1452,REGRAS!$B$2:$C$13,2,0),""))</f>
        <v/>
      </c>
    </row>
    <row r="1453">
      <c r="T1453" s="258">
        <f>IF(R1453="","",IFERROR(TODAY()+VLOOKUP(R1453,REGRAS!$B$2:$C$13,2,0),""))</f>
        <v/>
      </c>
    </row>
    <row r="1454">
      <c r="T1454" s="258">
        <f>IF(R1454="","",IFERROR(TODAY()+VLOOKUP(R1454,REGRAS!$B$2:$C$13,2,0),""))</f>
        <v/>
      </c>
    </row>
    <row r="1455">
      <c r="T1455" s="258">
        <f>IF(R1455="","",IFERROR(TODAY()+VLOOKUP(R1455,REGRAS!$B$2:$C$13,2,0),""))</f>
        <v/>
      </c>
    </row>
    <row r="1456">
      <c r="T1456" s="258">
        <f>IF(R1456="","",IFERROR(TODAY()+VLOOKUP(R1456,REGRAS!$B$2:$C$13,2,0),""))</f>
        <v/>
      </c>
    </row>
    <row r="1457">
      <c r="T1457" s="258">
        <f>IF(R1457="","",IFERROR(TODAY()+VLOOKUP(R1457,REGRAS!$B$2:$C$13,2,0),""))</f>
        <v/>
      </c>
    </row>
    <row r="1458">
      <c r="T1458" s="258">
        <f>IF(R1458="","",IFERROR(TODAY()+VLOOKUP(R1458,REGRAS!$B$2:$C$13,2,0),""))</f>
        <v/>
      </c>
    </row>
    <row r="1459">
      <c r="T1459" s="258">
        <f>IF(R1459="","",IFERROR(TODAY()+VLOOKUP(R1459,REGRAS!$B$2:$C$13,2,0),""))</f>
        <v/>
      </c>
    </row>
    <row r="1460">
      <c r="T1460" s="258">
        <f>IF(R1460="","",IFERROR(TODAY()+VLOOKUP(R1460,REGRAS!$B$2:$C$13,2,0),""))</f>
        <v/>
      </c>
    </row>
    <row r="1461">
      <c r="T1461" s="258">
        <f>IF(R1461="","",IFERROR(TODAY()+VLOOKUP(R1461,REGRAS!$B$2:$C$13,2,0),""))</f>
        <v/>
      </c>
    </row>
    <row r="1462">
      <c r="T1462" s="258">
        <f>IF(R1462="","",IFERROR(TODAY()+VLOOKUP(R1462,REGRAS!$B$2:$C$13,2,0),""))</f>
        <v/>
      </c>
    </row>
    <row r="1463">
      <c r="T1463" s="258">
        <f>IF(R1463="","",IFERROR(TODAY()+VLOOKUP(R1463,REGRAS!$B$2:$C$13,2,0),""))</f>
        <v/>
      </c>
    </row>
    <row r="1464">
      <c r="T1464" s="258">
        <f>IF(R1464="","",IFERROR(TODAY()+VLOOKUP(R1464,REGRAS!$B$2:$C$13,2,0),""))</f>
        <v/>
      </c>
    </row>
    <row r="1465">
      <c r="T1465" s="258">
        <f>IF(R1465="","",IFERROR(TODAY()+VLOOKUP(R1465,REGRAS!$B$2:$C$13,2,0),""))</f>
        <v/>
      </c>
    </row>
    <row r="1466">
      <c r="T1466" s="258">
        <f>IF(R1466="","",IFERROR(TODAY()+VLOOKUP(R1466,REGRAS!$B$2:$C$13,2,0),""))</f>
        <v/>
      </c>
    </row>
    <row r="1467">
      <c r="T1467" s="258">
        <f>IF(R1467="","",IFERROR(TODAY()+VLOOKUP(R1467,REGRAS!$B$2:$C$13,2,0),""))</f>
        <v/>
      </c>
    </row>
    <row r="1468">
      <c r="T1468" s="258">
        <f>IF(R1468="","",IFERROR(TODAY()+VLOOKUP(R1468,REGRAS!$B$2:$C$13,2,0),""))</f>
        <v/>
      </c>
    </row>
    <row r="1469">
      <c r="T1469" s="258">
        <f>IF(R1469="","",IFERROR(TODAY()+VLOOKUP(R1469,REGRAS!$B$2:$C$13,2,0),""))</f>
        <v/>
      </c>
    </row>
    <row r="1470">
      <c r="T1470" s="258">
        <f>IF(R1470="","",IFERROR(TODAY()+VLOOKUP(R1470,REGRAS!$B$2:$C$13,2,0),""))</f>
        <v/>
      </c>
    </row>
    <row r="1471">
      <c r="T1471" s="258">
        <f>IF(R1471="","",IFERROR(TODAY()+VLOOKUP(R1471,REGRAS!$B$2:$C$13,2,0),""))</f>
        <v/>
      </c>
    </row>
    <row r="1472">
      <c r="T1472" s="258">
        <f>IF(R1472="","",IFERROR(TODAY()+VLOOKUP(R1472,REGRAS!$B$2:$C$13,2,0),""))</f>
        <v/>
      </c>
    </row>
    <row r="1473">
      <c r="T1473" s="258">
        <f>IF(R1473="","",IFERROR(TODAY()+VLOOKUP(R1473,REGRAS!$B$2:$C$13,2,0),""))</f>
        <v/>
      </c>
    </row>
    <row r="1474">
      <c r="T1474" s="258">
        <f>IF(R1474="","",IFERROR(TODAY()+VLOOKUP(R1474,REGRAS!$B$2:$C$13,2,0),""))</f>
        <v/>
      </c>
    </row>
    <row r="1475">
      <c r="T1475" s="258">
        <f>IF(R1475="","",IFERROR(TODAY()+VLOOKUP(R1475,REGRAS!$B$2:$C$13,2,0),""))</f>
        <v/>
      </c>
    </row>
    <row r="1476">
      <c r="T1476" s="258">
        <f>IF(R1476="","",IFERROR(TODAY()+VLOOKUP(R1476,REGRAS!$B$2:$C$13,2,0),""))</f>
        <v/>
      </c>
    </row>
    <row r="1477">
      <c r="T1477" s="258">
        <f>IF(R1477="","",IFERROR(TODAY()+VLOOKUP(R1477,REGRAS!$B$2:$C$13,2,0),""))</f>
        <v/>
      </c>
    </row>
    <row r="1478">
      <c r="T1478" s="258">
        <f>IF(R1478="","",IFERROR(TODAY()+VLOOKUP(R1478,REGRAS!$B$2:$C$13,2,0),""))</f>
        <v/>
      </c>
    </row>
    <row r="1479">
      <c r="T1479" s="258">
        <f>IF(R1479="","",IFERROR(TODAY()+VLOOKUP(R1479,REGRAS!$B$2:$C$13,2,0),""))</f>
        <v/>
      </c>
    </row>
    <row r="1480">
      <c r="T1480" s="258">
        <f>IF(R1480="","",IFERROR(TODAY()+VLOOKUP(R1480,REGRAS!$B$2:$C$13,2,0),""))</f>
        <v/>
      </c>
    </row>
    <row r="1481">
      <c r="T1481" s="258">
        <f>IF(R1481="","",IFERROR(TODAY()+VLOOKUP(R1481,REGRAS!$B$2:$C$13,2,0),""))</f>
        <v/>
      </c>
    </row>
    <row r="1482">
      <c r="T1482" s="258">
        <f>IF(R1482="","",IFERROR(TODAY()+VLOOKUP(R1482,REGRAS!$B$2:$C$13,2,0),""))</f>
        <v/>
      </c>
    </row>
    <row r="1483">
      <c r="T1483" s="258">
        <f>IF(R1483="","",IFERROR(TODAY()+VLOOKUP(R1483,REGRAS!$B$2:$C$13,2,0),""))</f>
        <v/>
      </c>
    </row>
    <row r="1484">
      <c r="T1484" s="258">
        <f>IF(R1484="","",IFERROR(TODAY()+VLOOKUP(R1484,REGRAS!$B$2:$C$13,2,0),""))</f>
        <v/>
      </c>
    </row>
    <row r="1485">
      <c r="T1485" s="258">
        <f>IF(R1485="","",IFERROR(TODAY()+VLOOKUP(R1485,REGRAS!$B$2:$C$13,2,0),""))</f>
        <v/>
      </c>
    </row>
    <row r="1486">
      <c r="T1486" s="258">
        <f>IF(R1486="","",IFERROR(TODAY()+VLOOKUP(R1486,REGRAS!$B$2:$C$13,2,0),""))</f>
        <v/>
      </c>
    </row>
    <row r="1487">
      <c r="T1487" s="258">
        <f>IF(R1487="","",IFERROR(TODAY()+VLOOKUP(R1487,REGRAS!$B$2:$C$13,2,0),""))</f>
        <v/>
      </c>
    </row>
    <row r="1488">
      <c r="T1488" s="258">
        <f>IF(R1488="","",IFERROR(TODAY()+VLOOKUP(R1488,REGRAS!$B$2:$C$13,2,0),""))</f>
        <v/>
      </c>
    </row>
    <row r="1489">
      <c r="T1489" s="258">
        <f>IF(R1489="","",IFERROR(TODAY()+VLOOKUP(R1489,REGRAS!$B$2:$C$13,2,0),""))</f>
        <v/>
      </c>
    </row>
    <row r="1490">
      <c r="T1490" s="258">
        <f>IF(R1490="","",IFERROR(TODAY()+VLOOKUP(R1490,REGRAS!$B$2:$C$13,2,0),""))</f>
        <v/>
      </c>
    </row>
    <row r="1491">
      <c r="T1491" s="258">
        <f>IF(R1491="","",IFERROR(TODAY()+VLOOKUP(R1491,REGRAS!$B$2:$C$13,2,0),""))</f>
        <v/>
      </c>
    </row>
    <row r="1492">
      <c r="T1492" s="258">
        <f>IF(R1492="","",IFERROR(TODAY()+VLOOKUP(R1492,REGRAS!$B$2:$C$13,2,0),""))</f>
        <v/>
      </c>
    </row>
    <row r="1493">
      <c r="T1493" s="258">
        <f>IF(R1493="","",IFERROR(TODAY()+VLOOKUP(R1493,REGRAS!$B$2:$C$13,2,0),""))</f>
        <v/>
      </c>
    </row>
    <row r="1494">
      <c r="T1494" s="258">
        <f>IF(R1494="","",IFERROR(TODAY()+VLOOKUP(R1494,REGRAS!$B$2:$C$13,2,0),""))</f>
        <v/>
      </c>
    </row>
    <row r="1495">
      <c r="T1495" s="258">
        <f>IF(R1495="","",IFERROR(TODAY()+VLOOKUP(R1495,REGRAS!$B$2:$C$13,2,0),""))</f>
        <v/>
      </c>
    </row>
    <row r="1496">
      <c r="T1496" s="258">
        <f>IF(R1496="","",IFERROR(TODAY()+VLOOKUP(R1496,REGRAS!$B$2:$C$13,2,0),""))</f>
        <v/>
      </c>
    </row>
    <row r="1497">
      <c r="T1497" s="258">
        <f>IF(R1497="","",IFERROR(TODAY()+VLOOKUP(R1497,REGRAS!$B$2:$C$13,2,0),""))</f>
        <v/>
      </c>
    </row>
    <row r="1498">
      <c r="T1498" s="258">
        <f>IF(R1498="","",IFERROR(TODAY()+VLOOKUP(R1498,REGRAS!$B$2:$C$13,2,0),""))</f>
        <v/>
      </c>
    </row>
    <row r="1499">
      <c r="T1499" s="258">
        <f>IF(R1499="","",IFERROR(TODAY()+VLOOKUP(R1499,REGRAS!$B$2:$C$13,2,0),""))</f>
        <v/>
      </c>
    </row>
    <row r="1500">
      <c r="T1500" s="258">
        <f>IF(R1500="","",IFERROR(TODAY()+VLOOKUP(R1500,REGRAS!$B$2:$C$13,2,0),""))</f>
        <v/>
      </c>
    </row>
    <row r="1501">
      <c r="T1501" s="258">
        <f>IF(R1501="","",IFERROR(TODAY()+VLOOKUP(R1501,REGRAS!$B$2:$C$13,2,0),""))</f>
        <v/>
      </c>
    </row>
    <row r="1502">
      <c r="T1502" s="258">
        <f>IF(R1502="","",IFERROR(TODAY()+VLOOKUP(R1502,REGRAS!$B$2:$C$13,2,0),""))</f>
        <v/>
      </c>
    </row>
    <row r="1503">
      <c r="T1503" s="258">
        <f>IF(R1503="","",IFERROR(TODAY()+VLOOKUP(R1503,REGRAS!$B$2:$C$13,2,0),""))</f>
        <v/>
      </c>
    </row>
    <row r="1504">
      <c r="T1504" s="258">
        <f>IF(R1504="","",IFERROR(TODAY()+VLOOKUP(R1504,REGRAS!$B$2:$C$13,2,0),""))</f>
        <v/>
      </c>
    </row>
    <row r="1505">
      <c r="T1505" s="258">
        <f>IF(R1505="","",IFERROR(TODAY()+VLOOKUP(R1505,REGRAS!$B$2:$C$13,2,0),""))</f>
        <v/>
      </c>
    </row>
    <row r="1506">
      <c r="T1506" s="258">
        <f>IF(R1506="","",IFERROR(TODAY()+VLOOKUP(R1506,REGRAS!$B$2:$C$13,2,0),""))</f>
        <v/>
      </c>
    </row>
    <row r="1507">
      <c r="T1507" s="258">
        <f>IF(R1507="","",IFERROR(TODAY()+VLOOKUP(R1507,REGRAS!$B$2:$C$13,2,0),""))</f>
        <v/>
      </c>
    </row>
    <row r="1508">
      <c r="T1508" s="258">
        <f>IF(R1508="","",IFERROR(TODAY()+VLOOKUP(R1508,REGRAS!$B$2:$C$13,2,0),""))</f>
        <v/>
      </c>
    </row>
    <row r="1509">
      <c r="T1509" s="258">
        <f>IF(R1509="","",IFERROR(TODAY()+VLOOKUP(R1509,REGRAS!$B$2:$C$13,2,0),""))</f>
        <v/>
      </c>
    </row>
    <row r="1510">
      <c r="T1510" s="258">
        <f>IF(R1510="","",IFERROR(TODAY()+VLOOKUP(R1510,REGRAS!$B$2:$C$13,2,0),""))</f>
        <v/>
      </c>
    </row>
    <row r="1511">
      <c r="T1511" s="258">
        <f>IF(R1511="","",IFERROR(TODAY()+VLOOKUP(R1511,REGRAS!$B$2:$C$13,2,0),""))</f>
        <v/>
      </c>
    </row>
    <row r="1512">
      <c r="T1512" s="258">
        <f>IF(R1512="","",IFERROR(TODAY()+VLOOKUP(R1512,REGRAS!$B$2:$C$13,2,0),""))</f>
        <v/>
      </c>
    </row>
    <row r="1513">
      <c r="T1513" s="258">
        <f>IF(R1513="","",IFERROR(TODAY()+VLOOKUP(R1513,REGRAS!$B$2:$C$13,2,0),""))</f>
        <v/>
      </c>
    </row>
    <row r="1514">
      <c r="T1514" s="258">
        <f>IF(R1514="","",IFERROR(TODAY()+VLOOKUP(R1514,REGRAS!$B$2:$C$13,2,0),""))</f>
        <v/>
      </c>
    </row>
    <row r="1515">
      <c r="T1515" s="258">
        <f>IF(R1515="","",IFERROR(TODAY()+VLOOKUP(R1515,REGRAS!$B$2:$C$13,2,0),""))</f>
        <v/>
      </c>
    </row>
    <row r="1516">
      <c r="T1516" s="258">
        <f>IF(R1516="","",IFERROR(TODAY()+VLOOKUP(R1516,REGRAS!$B$2:$C$13,2,0),""))</f>
        <v/>
      </c>
    </row>
    <row r="1517">
      <c r="T1517" s="258">
        <f>IF(R1517="","",IFERROR(TODAY()+VLOOKUP(R1517,REGRAS!$B$2:$C$13,2,0),""))</f>
        <v/>
      </c>
    </row>
    <row r="1518">
      <c r="T1518" s="258">
        <f>IF(R1518="","",IFERROR(TODAY()+VLOOKUP(R1518,REGRAS!$B$2:$C$13,2,0),""))</f>
        <v/>
      </c>
    </row>
    <row r="1519">
      <c r="T1519" s="258">
        <f>IF(R1519="","",IFERROR(TODAY()+VLOOKUP(R1519,REGRAS!$B$2:$C$13,2,0),""))</f>
        <v/>
      </c>
    </row>
    <row r="1520">
      <c r="T1520" s="258">
        <f>IF(R1520="","",IFERROR(TODAY()+VLOOKUP(R1520,REGRAS!$B$2:$C$13,2,0),""))</f>
        <v/>
      </c>
    </row>
    <row r="1521">
      <c r="T1521" s="258">
        <f>IF(R1521="","",IFERROR(TODAY()+VLOOKUP(R1521,REGRAS!$B$2:$C$13,2,0),""))</f>
        <v/>
      </c>
    </row>
    <row r="1522">
      <c r="T1522" s="258">
        <f>IF(R1522="","",IFERROR(TODAY()+VLOOKUP(R1522,REGRAS!$B$2:$C$13,2,0),""))</f>
        <v/>
      </c>
    </row>
    <row r="1523">
      <c r="T1523" s="258">
        <f>IF(R1523="","",IFERROR(TODAY()+VLOOKUP(R1523,REGRAS!$B$2:$C$13,2,0),""))</f>
        <v/>
      </c>
    </row>
    <row r="1524">
      <c r="T1524" s="258">
        <f>IF(R1524="","",IFERROR(TODAY()+VLOOKUP(R1524,REGRAS!$B$2:$C$13,2,0),""))</f>
        <v/>
      </c>
    </row>
    <row r="1525">
      <c r="T1525" s="258">
        <f>IF(R1525="","",IFERROR(TODAY()+VLOOKUP(R1525,REGRAS!$B$2:$C$13,2,0),""))</f>
        <v/>
      </c>
    </row>
    <row r="1526">
      <c r="T1526" s="258">
        <f>IF(R1526="","",IFERROR(TODAY()+VLOOKUP(R1526,REGRAS!$B$2:$C$13,2,0),""))</f>
        <v/>
      </c>
    </row>
    <row r="1527">
      <c r="T1527" s="258">
        <f>IF(R1527="","",IFERROR(TODAY()+VLOOKUP(R1527,REGRAS!$B$2:$C$13,2,0),""))</f>
        <v/>
      </c>
    </row>
    <row r="1528">
      <c r="T1528" s="258">
        <f>IF(R1528="","",IFERROR(TODAY()+VLOOKUP(R1528,REGRAS!$B$2:$C$13,2,0),""))</f>
        <v/>
      </c>
    </row>
    <row r="1529">
      <c r="T1529" s="258">
        <f>IF(R1529="","",IFERROR(TODAY()+VLOOKUP(R1529,REGRAS!$B$2:$C$13,2,0),""))</f>
        <v/>
      </c>
    </row>
    <row r="1530">
      <c r="T1530" s="258">
        <f>IF(R1530="","",IFERROR(TODAY()+VLOOKUP(R1530,REGRAS!$B$2:$C$13,2,0),""))</f>
        <v/>
      </c>
    </row>
    <row r="1531">
      <c r="T1531" s="258">
        <f>IF(R1531="","",IFERROR(TODAY()+VLOOKUP(R1531,REGRAS!$B$2:$C$13,2,0),""))</f>
        <v/>
      </c>
    </row>
    <row r="1532">
      <c r="T1532" s="258">
        <f>IF(R1532="","",IFERROR(TODAY()+VLOOKUP(R1532,REGRAS!$B$2:$C$13,2,0),""))</f>
        <v/>
      </c>
    </row>
    <row r="1533">
      <c r="T1533" s="258">
        <f>IF(R1533="","",IFERROR(TODAY()+VLOOKUP(R1533,REGRAS!$B$2:$C$13,2,0),""))</f>
        <v/>
      </c>
    </row>
    <row r="1534">
      <c r="T1534" s="258">
        <f>IF(R1534="","",IFERROR(TODAY()+VLOOKUP(R1534,REGRAS!$B$2:$C$13,2,0),""))</f>
        <v/>
      </c>
    </row>
    <row r="1535">
      <c r="T1535" s="258">
        <f>IF(R1535="","",IFERROR(TODAY()+VLOOKUP(R1535,REGRAS!$B$2:$C$13,2,0),""))</f>
        <v/>
      </c>
    </row>
    <row r="1536">
      <c r="T1536" s="258">
        <f>IF(R1536="","",IFERROR(TODAY()+VLOOKUP(R1536,REGRAS!$B$2:$C$13,2,0),""))</f>
        <v/>
      </c>
    </row>
    <row r="1537">
      <c r="T1537" s="258">
        <f>IF(R1537="","",IFERROR(TODAY()+VLOOKUP(R1537,REGRAS!$B$2:$C$13,2,0),""))</f>
        <v/>
      </c>
    </row>
    <row r="1538">
      <c r="T1538" s="258">
        <f>IF(R1538="","",IFERROR(TODAY()+VLOOKUP(R1538,REGRAS!$B$2:$C$13,2,0),""))</f>
        <v/>
      </c>
    </row>
    <row r="1539">
      <c r="T1539" s="258">
        <f>IF(R1539="","",IFERROR(TODAY()+VLOOKUP(R1539,REGRAS!$B$2:$C$13,2,0),""))</f>
        <v/>
      </c>
    </row>
    <row r="1540">
      <c r="T1540" s="258">
        <f>IF(R1540="","",IFERROR(TODAY()+VLOOKUP(R1540,REGRAS!$B$2:$C$13,2,0),""))</f>
        <v/>
      </c>
    </row>
    <row r="1541">
      <c r="T1541" s="258">
        <f>IF(R1541="","",IFERROR(TODAY()+VLOOKUP(R1541,REGRAS!$B$2:$C$13,2,0),""))</f>
        <v/>
      </c>
    </row>
    <row r="1542">
      <c r="T1542" s="258">
        <f>IF(R1542="","",IFERROR(TODAY()+VLOOKUP(R1542,REGRAS!$B$2:$C$13,2,0),""))</f>
        <v/>
      </c>
    </row>
    <row r="1543">
      <c r="T1543" s="258">
        <f>IF(R1543="","",IFERROR(TODAY()+VLOOKUP(R1543,REGRAS!$B$2:$C$13,2,0),""))</f>
        <v/>
      </c>
    </row>
    <row r="1544">
      <c r="T1544" s="258">
        <f>IF(R1544="","",IFERROR(TODAY()+VLOOKUP(R1544,REGRAS!$B$2:$C$13,2,0),""))</f>
        <v/>
      </c>
    </row>
    <row r="1545">
      <c r="T1545" s="258">
        <f>IF(R1545="","",IFERROR(TODAY()+VLOOKUP(R1545,REGRAS!$B$2:$C$13,2,0),""))</f>
        <v/>
      </c>
    </row>
    <row r="1546">
      <c r="T1546" s="258">
        <f>IF(R1546="","",IFERROR(TODAY()+VLOOKUP(R1546,REGRAS!$B$2:$C$13,2,0),""))</f>
        <v/>
      </c>
    </row>
    <row r="1547">
      <c r="T1547" s="258">
        <f>IF(R1547="","",IFERROR(TODAY()+VLOOKUP(R1547,REGRAS!$B$2:$C$13,2,0),""))</f>
        <v/>
      </c>
    </row>
    <row r="1548">
      <c r="T1548" s="258">
        <f>IF(R1548="","",IFERROR(TODAY()+VLOOKUP(R1548,REGRAS!$B$2:$C$13,2,0),""))</f>
        <v/>
      </c>
    </row>
    <row r="1549">
      <c r="T1549" s="258">
        <f>IF(R1549="","",IFERROR(TODAY()+VLOOKUP(R1549,REGRAS!$B$2:$C$13,2,0),""))</f>
        <v/>
      </c>
    </row>
    <row r="1550">
      <c r="T1550" s="258">
        <f>IF(R1550="","",IFERROR(TODAY()+VLOOKUP(R1550,REGRAS!$B$2:$C$13,2,0),""))</f>
        <v/>
      </c>
    </row>
    <row r="1551">
      <c r="T1551" s="258">
        <f>IF(R1551="","",IFERROR(TODAY()+VLOOKUP(R1551,REGRAS!$B$2:$C$13,2,0),""))</f>
        <v/>
      </c>
    </row>
    <row r="1552">
      <c r="T1552" s="258">
        <f>IF(R1552="","",IFERROR(TODAY()+VLOOKUP(R1552,REGRAS!$B$2:$C$13,2,0),""))</f>
        <v/>
      </c>
    </row>
    <row r="1553">
      <c r="T1553" s="258">
        <f>IF(R1553="","",IFERROR(TODAY()+VLOOKUP(R1553,REGRAS!$B$2:$C$13,2,0),""))</f>
        <v/>
      </c>
    </row>
    <row r="1554">
      <c r="T1554" s="258">
        <f>IF(R1554="","",IFERROR(TODAY()+VLOOKUP(R1554,REGRAS!$B$2:$C$13,2,0),""))</f>
        <v/>
      </c>
    </row>
    <row r="1555">
      <c r="T1555" s="258">
        <f>IF(R1555="","",IFERROR(TODAY()+VLOOKUP(R1555,REGRAS!$B$2:$C$13,2,0),""))</f>
        <v/>
      </c>
    </row>
    <row r="1556">
      <c r="T1556" s="258">
        <f>IF(R1556="","",IFERROR(TODAY()+VLOOKUP(R1556,REGRAS!$B$2:$C$13,2,0),""))</f>
        <v/>
      </c>
    </row>
    <row r="1557">
      <c r="T1557" s="258">
        <f>IF(R1557="","",IFERROR(TODAY()+VLOOKUP(R1557,REGRAS!$B$2:$C$13,2,0),""))</f>
        <v/>
      </c>
    </row>
    <row r="1558">
      <c r="T1558" s="258">
        <f>IF(R1558="","",IFERROR(TODAY()+VLOOKUP(R1558,REGRAS!$B$2:$C$13,2,0),""))</f>
        <v/>
      </c>
    </row>
    <row r="1559">
      <c r="T1559" s="258">
        <f>IF(R1559="","",IFERROR(TODAY()+VLOOKUP(R1559,REGRAS!$B$2:$C$13,2,0),""))</f>
        <v/>
      </c>
    </row>
    <row r="1560">
      <c r="T1560" s="258">
        <f>IF(R1560="","",IFERROR(TODAY()+VLOOKUP(R1560,REGRAS!$B$2:$C$13,2,0),""))</f>
        <v/>
      </c>
    </row>
    <row r="1561">
      <c r="T1561" s="258">
        <f>IF(R1561="","",IFERROR(TODAY()+VLOOKUP(R1561,REGRAS!$B$2:$C$13,2,0),""))</f>
        <v/>
      </c>
    </row>
    <row r="1562">
      <c r="T1562" s="258">
        <f>IF(R1562="","",IFERROR(TODAY()+VLOOKUP(R1562,REGRAS!$B$2:$C$13,2,0),""))</f>
        <v/>
      </c>
    </row>
    <row r="1563">
      <c r="T1563" s="258">
        <f>IF(R1563="","",IFERROR(TODAY()+VLOOKUP(R1563,REGRAS!$B$2:$C$13,2,0),""))</f>
        <v/>
      </c>
    </row>
    <row r="1564">
      <c r="T1564" s="258">
        <f>IF(R1564="","",IFERROR(TODAY()+VLOOKUP(R1564,REGRAS!$B$2:$C$13,2,0),""))</f>
        <v/>
      </c>
    </row>
    <row r="1565">
      <c r="T1565" s="258">
        <f>IF(R1565="","",IFERROR(TODAY()+VLOOKUP(R1565,REGRAS!$B$2:$C$13,2,0),""))</f>
        <v/>
      </c>
    </row>
    <row r="1566">
      <c r="T1566" s="258">
        <f>IF(R1566="","",IFERROR(TODAY()+VLOOKUP(R1566,REGRAS!$B$2:$C$13,2,0),""))</f>
        <v/>
      </c>
    </row>
    <row r="1567">
      <c r="T1567" s="258">
        <f>IF(R1567="","",IFERROR(TODAY()+VLOOKUP(R1567,REGRAS!$B$2:$C$13,2,0),""))</f>
        <v/>
      </c>
    </row>
    <row r="1568">
      <c r="T1568" s="258">
        <f>IF(R1568="","",IFERROR(TODAY()+VLOOKUP(R1568,REGRAS!$B$2:$C$13,2,0),""))</f>
        <v/>
      </c>
    </row>
    <row r="1569">
      <c r="T1569" s="258">
        <f>IF(R1569="","",IFERROR(TODAY()+VLOOKUP(R1569,REGRAS!$B$2:$C$13,2,0),""))</f>
        <v/>
      </c>
    </row>
    <row r="1570">
      <c r="T1570" s="258">
        <f>IF(R1570="","",IFERROR(TODAY()+VLOOKUP(R1570,REGRAS!$B$2:$C$13,2,0),""))</f>
        <v/>
      </c>
    </row>
    <row r="1571">
      <c r="T1571" s="258">
        <f>IF(R1571="","",IFERROR(TODAY()+VLOOKUP(R1571,REGRAS!$B$2:$C$13,2,0),""))</f>
        <v/>
      </c>
    </row>
    <row r="1572">
      <c r="T1572" s="258">
        <f>IF(R1572="","",IFERROR(TODAY()+VLOOKUP(R1572,REGRAS!$B$2:$C$13,2,0),""))</f>
        <v/>
      </c>
    </row>
    <row r="1573">
      <c r="T1573" s="258">
        <f>IF(R1573="","",IFERROR(TODAY()+VLOOKUP(R1573,REGRAS!$B$2:$C$13,2,0),""))</f>
        <v/>
      </c>
    </row>
    <row r="1574">
      <c r="T1574" s="258">
        <f>IF(R1574="","",IFERROR(TODAY()+VLOOKUP(R1574,REGRAS!$B$2:$C$13,2,0),""))</f>
        <v/>
      </c>
    </row>
    <row r="1575">
      <c r="T1575" s="258">
        <f>IF(R1575="","",IFERROR(TODAY()+VLOOKUP(R1575,REGRAS!$B$2:$C$13,2,0),""))</f>
        <v/>
      </c>
    </row>
    <row r="1576">
      <c r="T1576" s="258">
        <f>IF(R1576="","",IFERROR(TODAY()+VLOOKUP(R1576,REGRAS!$B$2:$C$13,2,0),""))</f>
        <v/>
      </c>
    </row>
    <row r="1577">
      <c r="T1577" s="258">
        <f>IF(R1577="","",IFERROR(TODAY()+VLOOKUP(R1577,REGRAS!$B$2:$C$13,2,0),""))</f>
        <v/>
      </c>
    </row>
    <row r="1578">
      <c r="T1578" s="258">
        <f>IF(R1578="","",IFERROR(TODAY()+VLOOKUP(R1578,REGRAS!$B$2:$C$13,2,0),""))</f>
        <v/>
      </c>
    </row>
    <row r="1579">
      <c r="T1579" s="258">
        <f>IF(R1579="","",IFERROR(TODAY()+VLOOKUP(R1579,REGRAS!$B$2:$C$13,2,0),""))</f>
        <v/>
      </c>
    </row>
    <row r="1580">
      <c r="T1580" s="258">
        <f>IF(R1580="","",IFERROR(TODAY()+VLOOKUP(R1580,REGRAS!$B$2:$C$13,2,0),""))</f>
        <v/>
      </c>
    </row>
    <row r="1581">
      <c r="T1581" s="258">
        <f>IF(R1581="","",IFERROR(TODAY()+VLOOKUP(R1581,REGRAS!$B$2:$C$13,2,0),""))</f>
        <v/>
      </c>
    </row>
    <row r="1582">
      <c r="T1582" s="258">
        <f>IF(R1582="","",IFERROR(TODAY()+VLOOKUP(R1582,REGRAS!$B$2:$C$13,2,0),""))</f>
        <v/>
      </c>
    </row>
    <row r="1583">
      <c r="T1583" s="258">
        <f>IF(R1583="","",IFERROR(TODAY()+VLOOKUP(R1583,REGRAS!$B$2:$C$13,2,0),""))</f>
        <v/>
      </c>
    </row>
    <row r="1584">
      <c r="T1584" s="258">
        <f>IF(R1584="","",IFERROR(TODAY()+VLOOKUP(R1584,REGRAS!$B$2:$C$13,2,0),""))</f>
        <v/>
      </c>
    </row>
    <row r="1585">
      <c r="T1585" s="258">
        <f>IF(R1585="","",IFERROR(TODAY()+VLOOKUP(R1585,REGRAS!$B$2:$C$13,2,0),""))</f>
        <v/>
      </c>
    </row>
    <row r="1586">
      <c r="T1586" s="258">
        <f>IF(R1586="","",IFERROR(TODAY()+VLOOKUP(R1586,REGRAS!$B$2:$C$13,2,0),""))</f>
        <v/>
      </c>
    </row>
    <row r="1587">
      <c r="T1587" s="258">
        <f>IF(R1587="","",IFERROR(TODAY()+VLOOKUP(R1587,REGRAS!$B$2:$C$13,2,0),""))</f>
        <v/>
      </c>
    </row>
    <row r="1588">
      <c r="T1588" s="258">
        <f>IF(R1588="","",IFERROR(TODAY()+VLOOKUP(R1588,REGRAS!$B$2:$C$13,2,0),""))</f>
        <v/>
      </c>
    </row>
    <row r="1589">
      <c r="T1589" s="258">
        <f>IF(R1589="","",IFERROR(TODAY()+VLOOKUP(R1589,REGRAS!$B$2:$C$13,2,0),""))</f>
        <v/>
      </c>
    </row>
    <row r="1590">
      <c r="T1590" s="258">
        <f>IF(R1590="","",IFERROR(TODAY()+VLOOKUP(R1590,REGRAS!$B$2:$C$13,2,0),""))</f>
        <v/>
      </c>
    </row>
    <row r="1591">
      <c r="T1591" s="258">
        <f>IF(R1591="","",IFERROR(TODAY()+VLOOKUP(R1591,REGRAS!$B$2:$C$13,2,0),""))</f>
        <v/>
      </c>
    </row>
    <row r="1592">
      <c r="T1592" s="258">
        <f>IF(R1592="","",IFERROR(TODAY()+VLOOKUP(R1592,REGRAS!$B$2:$C$13,2,0),""))</f>
        <v/>
      </c>
    </row>
    <row r="1593">
      <c r="T1593" s="258">
        <f>IF(R1593="","",IFERROR(TODAY()+VLOOKUP(R1593,REGRAS!$B$2:$C$13,2,0),""))</f>
        <v/>
      </c>
    </row>
    <row r="1594">
      <c r="T1594" s="258">
        <f>IF(R1594="","",IFERROR(TODAY()+VLOOKUP(R1594,REGRAS!$B$2:$C$13,2,0),""))</f>
        <v/>
      </c>
    </row>
    <row r="1595">
      <c r="T1595" s="258">
        <f>IF(R1595="","",IFERROR(TODAY()+VLOOKUP(R1595,REGRAS!$B$2:$C$13,2,0),""))</f>
        <v/>
      </c>
    </row>
    <row r="1596">
      <c r="T1596" s="258">
        <f>IF(R1596="","",IFERROR(TODAY()+VLOOKUP(R1596,REGRAS!$B$2:$C$13,2,0),""))</f>
        <v/>
      </c>
    </row>
    <row r="1597">
      <c r="T1597" s="258">
        <f>IF(R1597="","",IFERROR(TODAY()+VLOOKUP(R1597,REGRAS!$B$2:$C$13,2,0),""))</f>
        <v/>
      </c>
    </row>
    <row r="1598">
      <c r="T1598" s="258">
        <f>IF(R1598="","",IFERROR(TODAY()+VLOOKUP(R1598,REGRAS!$B$2:$C$13,2,0),""))</f>
        <v/>
      </c>
    </row>
    <row r="1599">
      <c r="T1599" s="258">
        <f>IF(R1599="","",IFERROR(TODAY()+VLOOKUP(R1599,REGRAS!$B$2:$C$13,2,0),""))</f>
        <v/>
      </c>
    </row>
    <row r="1600">
      <c r="T1600" s="258">
        <f>IF(R1600="","",IFERROR(TODAY()+VLOOKUP(R1600,REGRAS!$B$2:$C$13,2,0),""))</f>
        <v/>
      </c>
    </row>
    <row r="1601">
      <c r="T1601" s="258">
        <f>IF(R1601="","",IFERROR(TODAY()+VLOOKUP(R1601,REGRAS!$B$2:$C$13,2,0),""))</f>
        <v/>
      </c>
    </row>
    <row r="1602">
      <c r="T1602" s="258">
        <f>IF(R1602="","",IFERROR(TODAY()+VLOOKUP(R1602,REGRAS!$B$2:$C$13,2,0),""))</f>
        <v/>
      </c>
    </row>
    <row r="1603">
      <c r="T1603" s="258">
        <f>IF(R1603="","",IFERROR(TODAY()+VLOOKUP(R1603,REGRAS!$B$2:$C$13,2,0),""))</f>
        <v/>
      </c>
    </row>
    <row r="1604">
      <c r="T1604" s="258">
        <f>IF(R1604="","",IFERROR(TODAY()+VLOOKUP(R1604,REGRAS!$B$2:$C$13,2,0),""))</f>
        <v/>
      </c>
    </row>
    <row r="1605">
      <c r="T1605" s="258">
        <f>IF(R1605="","",IFERROR(TODAY()+VLOOKUP(R1605,REGRAS!$B$2:$C$13,2,0),""))</f>
        <v/>
      </c>
    </row>
    <row r="1606">
      <c r="T1606" s="258">
        <f>IF(R1606="","",IFERROR(TODAY()+VLOOKUP(R1606,REGRAS!$B$2:$C$13,2,0),""))</f>
        <v/>
      </c>
    </row>
    <row r="1607">
      <c r="T1607" s="258">
        <f>IF(R1607="","",IFERROR(TODAY()+VLOOKUP(R1607,REGRAS!$B$2:$C$13,2,0),""))</f>
        <v/>
      </c>
    </row>
    <row r="1608">
      <c r="T1608" s="258">
        <f>IF(R1608="","",IFERROR(TODAY()+VLOOKUP(R1608,REGRAS!$B$2:$C$13,2,0),""))</f>
        <v/>
      </c>
    </row>
    <row r="1609">
      <c r="T1609" s="258">
        <f>IF(R1609="","",IFERROR(TODAY()+VLOOKUP(R1609,REGRAS!$B$2:$C$13,2,0),""))</f>
        <v/>
      </c>
    </row>
    <row r="1610">
      <c r="T1610" s="258">
        <f>IF(R1610="","",IFERROR(TODAY()+VLOOKUP(R1610,REGRAS!$B$2:$C$13,2,0),""))</f>
        <v/>
      </c>
    </row>
    <row r="1611">
      <c r="T1611" s="258">
        <f>IF(R1611="","",IFERROR(TODAY()+VLOOKUP(R1611,REGRAS!$B$2:$C$13,2,0),""))</f>
        <v/>
      </c>
    </row>
    <row r="1612">
      <c r="T1612" s="258">
        <f>IF(R1612="","",IFERROR(TODAY()+VLOOKUP(R1612,REGRAS!$B$2:$C$13,2,0),""))</f>
        <v/>
      </c>
    </row>
    <row r="1613">
      <c r="T1613" s="258">
        <f>IF(R1613="","",IFERROR(TODAY()+VLOOKUP(R1613,REGRAS!$B$2:$C$13,2,0),""))</f>
        <v/>
      </c>
    </row>
    <row r="1614">
      <c r="T1614" s="258">
        <f>IF(R1614="","",IFERROR(TODAY()+VLOOKUP(R1614,REGRAS!$B$2:$C$13,2,0),""))</f>
        <v/>
      </c>
    </row>
    <row r="1615">
      <c r="T1615" s="258">
        <f>IF(R1615="","",IFERROR(TODAY()+VLOOKUP(R1615,REGRAS!$B$2:$C$13,2,0),""))</f>
        <v/>
      </c>
    </row>
    <row r="1616">
      <c r="T1616" s="258">
        <f>IF(R1616="","",IFERROR(TODAY()+VLOOKUP(R1616,REGRAS!$B$2:$C$13,2,0),""))</f>
        <v/>
      </c>
    </row>
    <row r="1617">
      <c r="T1617" s="258">
        <f>IF(R1617="","",IFERROR(TODAY()+VLOOKUP(R1617,REGRAS!$B$2:$C$13,2,0),""))</f>
        <v/>
      </c>
    </row>
    <row r="1618">
      <c r="T1618" s="258">
        <f>IF(R1618="","",IFERROR(TODAY()+VLOOKUP(R1618,REGRAS!$B$2:$C$13,2,0),""))</f>
        <v/>
      </c>
    </row>
    <row r="1619">
      <c r="T1619" s="258">
        <f>IF(R1619="","",IFERROR(TODAY()+VLOOKUP(R1619,REGRAS!$B$2:$C$13,2,0),""))</f>
        <v/>
      </c>
    </row>
    <row r="1620">
      <c r="T1620" s="258">
        <f>IF(R1620="","",IFERROR(TODAY()+VLOOKUP(R1620,REGRAS!$B$2:$C$13,2,0),""))</f>
        <v/>
      </c>
    </row>
    <row r="1621">
      <c r="T1621" s="258">
        <f>IF(R1621="","",IFERROR(TODAY()+VLOOKUP(R1621,REGRAS!$B$2:$C$13,2,0),""))</f>
        <v/>
      </c>
    </row>
    <row r="1622">
      <c r="T1622" s="258">
        <f>IF(R1622="","",IFERROR(TODAY()+VLOOKUP(R1622,REGRAS!$B$2:$C$13,2,0),""))</f>
        <v/>
      </c>
    </row>
    <row r="1623">
      <c r="T1623" s="258">
        <f>IF(R1623="","",IFERROR(TODAY()+VLOOKUP(R1623,REGRAS!$B$2:$C$13,2,0),""))</f>
        <v/>
      </c>
    </row>
    <row r="1624">
      <c r="T1624" s="258">
        <f>IF(R1624="","",IFERROR(TODAY()+VLOOKUP(R1624,REGRAS!$B$2:$C$13,2,0),""))</f>
        <v/>
      </c>
    </row>
    <row r="1625">
      <c r="T1625" s="258">
        <f>IF(R1625="","",IFERROR(TODAY()+VLOOKUP(R1625,REGRAS!$B$2:$C$13,2,0),""))</f>
        <v/>
      </c>
    </row>
    <row r="1626">
      <c r="T1626" s="258">
        <f>IF(R1626="","",IFERROR(TODAY()+VLOOKUP(R1626,REGRAS!$B$2:$C$13,2,0),""))</f>
        <v/>
      </c>
    </row>
    <row r="1627">
      <c r="T1627" s="258">
        <f>IF(R1627="","",IFERROR(TODAY()+VLOOKUP(R1627,REGRAS!$B$2:$C$13,2,0),""))</f>
        <v/>
      </c>
    </row>
    <row r="1628">
      <c r="T1628" s="258">
        <f>IF(R1628="","",IFERROR(TODAY()+VLOOKUP(R1628,REGRAS!$B$2:$C$13,2,0),""))</f>
        <v/>
      </c>
    </row>
    <row r="1629">
      <c r="T1629" s="258">
        <f>IF(R1629="","",IFERROR(TODAY()+VLOOKUP(R1629,REGRAS!$B$2:$C$13,2,0),""))</f>
        <v/>
      </c>
    </row>
    <row r="1630">
      <c r="T1630" s="258">
        <f>IF(R1630="","",IFERROR(TODAY()+VLOOKUP(R1630,REGRAS!$B$2:$C$13,2,0),""))</f>
        <v/>
      </c>
    </row>
    <row r="1631">
      <c r="T1631" s="258">
        <f>IF(R1631="","",IFERROR(TODAY()+VLOOKUP(R1631,REGRAS!$B$2:$C$13,2,0),""))</f>
        <v/>
      </c>
    </row>
    <row r="1632">
      <c r="T1632" s="258">
        <f>IF(R1632="","",IFERROR(TODAY()+VLOOKUP(R1632,REGRAS!$B$2:$C$13,2,0),""))</f>
        <v/>
      </c>
    </row>
    <row r="1633">
      <c r="T1633" s="258">
        <f>IF(R1633="","",IFERROR(TODAY()+VLOOKUP(R1633,REGRAS!$B$2:$C$13,2,0),""))</f>
        <v/>
      </c>
    </row>
    <row r="1634">
      <c r="T1634" s="258">
        <f>IF(R1634="","",IFERROR(TODAY()+VLOOKUP(R1634,REGRAS!$B$2:$C$13,2,0),""))</f>
        <v/>
      </c>
    </row>
    <row r="1635">
      <c r="T1635" s="258">
        <f>IF(R1635="","",IFERROR(TODAY()+VLOOKUP(R1635,REGRAS!$B$2:$C$13,2,0),""))</f>
        <v/>
      </c>
    </row>
    <row r="1636">
      <c r="T1636" s="258">
        <f>IF(R1636="","",IFERROR(TODAY()+VLOOKUP(R1636,REGRAS!$B$2:$C$13,2,0),""))</f>
        <v/>
      </c>
    </row>
    <row r="1637">
      <c r="T1637" s="258">
        <f>IF(R1637="","",IFERROR(TODAY()+VLOOKUP(R1637,REGRAS!$B$2:$C$13,2,0),""))</f>
        <v/>
      </c>
    </row>
    <row r="1638">
      <c r="T1638" s="258">
        <f>IF(R1638="","",IFERROR(TODAY()+VLOOKUP(R1638,REGRAS!$B$2:$C$13,2,0),""))</f>
        <v/>
      </c>
    </row>
    <row r="1639">
      <c r="T1639" s="258">
        <f>IF(R1639="","",IFERROR(TODAY()+VLOOKUP(R1639,REGRAS!$B$2:$C$13,2,0),""))</f>
        <v/>
      </c>
    </row>
    <row r="1640">
      <c r="T1640" s="258">
        <f>IF(R1640="","",IFERROR(TODAY()+VLOOKUP(R1640,REGRAS!$B$2:$C$13,2,0),""))</f>
        <v/>
      </c>
    </row>
    <row r="1641">
      <c r="T1641" s="258">
        <f>IF(R1641="","",IFERROR(TODAY()+VLOOKUP(R1641,REGRAS!$B$2:$C$13,2,0),""))</f>
        <v/>
      </c>
    </row>
    <row r="1642">
      <c r="T1642" s="258">
        <f>IF(R1642="","",IFERROR(TODAY()+VLOOKUP(R1642,REGRAS!$B$2:$C$13,2,0),""))</f>
        <v/>
      </c>
    </row>
    <row r="1643">
      <c r="T1643" s="258">
        <f>IF(R1643="","",IFERROR(TODAY()+VLOOKUP(R1643,REGRAS!$B$2:$C$13,2,0),""))</f>
        <v/>
      </c>
    </row>
    <row r="1644">
      <c r="T1644" s="258">
        <f>IF(R1644="","",IFERROR(TODAY()+VLOOKUP(R1644,REGRAS!$B$2:$C$13,2,0),""))</f>
        <v/>
      </c>
    </row>
    <row r="1645">
      <c r="T1645" s="258">
        <f>IF(R1645="","",IFERROR(TODAY()+VLOOKUP(R1645,REGRAS!$B$2:$C$13,2,0),""))</f>
        <v/>
      </c>
    </row>
    <row r="1646">
      <c r="T1646" s="258">
        <f>IF(R1646="","",IFERROR(TODAY()+VLOOKUP(R1646,REGRAS!$B$2:$C$13,2,0),""))</f>
        <v/>
      </c>
    </row>
    <row r="1647">
      <c r="T1647" s="258">
        <f>IF(R1647="","",IFERROR(TODAY()+VLOOKUP(R1647,REGRAS!$B$2:$C$13,2,0),""))</f>
        <v/>
      </c>
    </row>
    <row r="1648">
      <c r="T1648" s="258">
        <f>IF(R1648="","",IFERROR(TODAY()+VLOOKUP(R1648,REGRAS!$B$2:$C$13,2,0),""))</f>
        <v/>
      </c>
    </row>
    <row r="1649">
      <c r="T1649" s="258">
        <f>IF(R1649="","",IFERROR(TODAY()+VLOOKUP(R1649,REGRAS!$B$2:$C$13,2,0),""))</f>
        <v/>
      </c>
    </row>
    <row r="1650">
      <c r="T1650" s="258">
        <f>IF(R1650="","",IFERROR(TODAY()+VLOOKUP(R1650,REGRAS!$B$2:$C$13,2,0),""))</f>
        <v/>
      </c>
    </row>
    <row r="1651">
      <c r="T1651" s="258">
        <f>IF(R1651="","",IFERROR(TODAY()+VLOOKUP(R1651,REGRAS!$B$2:$C$13,2,0),""))</f>
        <v/>
      </c>
    </row>
    <row r="1652">
      <c r="T1652" s="258">
        <f>IF(R1652="","",IFERROR(TODAY()+VLOOKUP(R1652,REGRAS!$B$2:$C$13,2,0),""))</f>
        <v/>
      </c>
    </row>
    <row r="1653">
      <c r="T1653" s="258">
        <f>IF(R1653="","",IFERROR(TODAY()+VLOOKUP(R1653,REGRAS!$B$2:$C$13,2,0),""))</f>
        <v/>
      </c>
    </row>
    <row r="1654">
      <c r="T1654" s="258">
        <f>IF(R1654="","",IFERROR(TODAY()+VLOOKUP(R1654,REGRAS!$B$2:$C$13,2,0),""))</f>
        <v/>
      </c>
    </row>
    <row r="1655">
      <c r="T1655" s="258">
        <f>IF(R1655="","",IFERROR(TODAY()+VLOOKUP(R1655,REGRAS!$B$2:$C$13,2,0),""))</f>
        <v/>
      </c>
    </row>
    <row r="1656">
      <c r="T1656" s="258">
        <f>IF(R1656="","",IFERROR(TODAY()+VLOOKUP(R1656,REGRAS!$B$2:$C$13,2,0),""))</f>
        <v/>
      </c>
    </row>
    <row r="1657">
      <c r="T1657" s="258">
        <f>IF(R1657="","",IFERROR(TODAY()+VLOOKUP(R1657,REGRAS!$B$2:$C$13,2,0),""))</f>
        <v/>
      </c>
    </row>
    <row r="1658">
      <c r="T1658" s="258">
        <f>IF(R1658="","",IFERROR(TODAY()+VLOOKUP(R1658,REGRAS!$B$2:$C$13,2,0),""))</f>
        <v/>
      </c>
    </row>
    <row r="1659">
      <c r="T1659" s="258">
        <f>IF(R1659="","",IFERROR(TODAY()+VLOOKUP(R1659,REGRAS!$B$2:$C$13,2,0),""))</f>
        <v/>
      </c>
    </row>
    <row r="1660">
      <c r="T1660" s="258">
        <f>IF(R1660="","",IFERROR(TODAY()+VLOOKUP(R1660,REGRAS!$B$2:$C$13,2,0),""))</f>
        <v/>
      </c>
    </row>
    <row r="1661">
      <c r="T1661" s="258">
        <f>IF(R1661="","",IFERROR(TODAY()+VLOOKUP(R1661,REGRAS!$B$2:$C$13,2,0),""))</f>
        <v/>
      </c>
    </row>
    <row r="1662">
      <c r="T1662" s="258">
        <f>IF(R1662="","",IFERROR(TODAY()+VLOOKUP(R1662,REGRAS!$B$2:$C$13,2,0),""))</f>
        <v/>
      </c>
    </row>
    <row r="1663">
      <c r="T1663" s="258">
        <f>IF(R1663="","",IFERROR(TODAY()+VLOOKUP(R1663,REGRAS!$B$2:$C$13,2,0),""))</f>
        <v/>
      </c>
    </row>
    <row r="1664">
      <c r="T1664" s="258">
        <f>IF(R1664="","",IFERROR(TODAY()+VLOOKUP(R1664,REGRAS!$B$2:$C$13,2,0),""))</f>
        <v/>
      </c>
    </row>
    <row r="1665">
      <c r="T1665" s="258">
        <f>IF(R1665="","",IFERROR(TODAY()+VLOOKUP(R1665,REGRAS!$B$2:$C$13,2,0),""))</f>
        <v/>
      </c>
    </row>
    <row r="1666">
      <c r="T1666" s="258">
        <f>IF(R1666="","",IFERROR(TODAY()+VLOOKUP(R1666,REGRAS!$B$2:$C$13,2,0),""))</f>
        <v/>
      </c>
    </row>
    <row r="1667">
      <c r="T1667" s="258">
        <f>IF(R1667="","",IFERROR(TODAY()+VLOOKUP(R1667,REGRAS!$B$2:$C$13,2,0),""))</f>
        <v/>
      </c>
    </row>
    <row r="1668">
      <c r="T1668" s="258">
        <f>IF(R1668="","",IFERROR(TODAY()+VLOOKUP(R1668,REGRAS!$B$2:$C$13,2,0),""))</f>
        <v/>
      </c>
    </row>
    <row r="1669">
      <c r="T1669" s="258">
        <f>IF(R1669="","",IFERROR(TODAY()+VLOOKUP(R1669,REGRAS!$B$2:$C$13,2,0),""))</f>
        <v/>
      </c>
    </row>
    <row r="1670">
      <c r="T1670" s="258">
        <f>IF(R1670="","",IFERROR(TODAY()+VLOOKUP(R1670,REGRAS!$B$2:$C$13,2,0),""))</f>
        <v/>
      </c>
    </row>
    <row r="1671">
      <c r="T1671" s="258">
        <f>IF(R1671="","",IFERROR(TODAY()+VLOOKUP(R1671,REGRAS!$B$2:$C$13,2,0),""))</f>
        <v/>
      </c>
    </row>
    <row r="1672">
      <c r="T1672" s="258">
        <f>IF(R1672="","",IFERROR(TODAY()+VLOOKUP(R1672,REGRAS!$B$2:$C$13,2,0),""))</f>
        <v/>
      </c>
    </row>
    <row r="1673">
      <c r="T1673" s="258">
        <f>IF(R1673="","",IFERROR(TODAY()+VLOOKUP(R1673,REGRAS!$B$2:$C$13,2,0),""))</f>
        <v/>
      </c>
    </row>
    <row r="1674">
      <c r="T1674" s="258">
        <f>IF(R1674="","",IFERROR(TODAY()+VLOOKUP(R1674,REGRAS!$B$2:$C$13,2,0),""))</f>
        <v/>
      </c>
    </row>
    <row r="1675">
      <c r="T1675" s="258">
        <f>IF(R1675="","",IFERROR(TODAY()+VLOOKUP(R1675,REGRAS!$B$2:$C$13,2,0),""))</f>
        <v/>
      </c>
    </row>
    <row r="1676">
      <c r="T1676" s="258">
        <f>IF(R1676="","",IFERROR(TODAY()+VLOOKUP(R1676,REGRAS!$B$2:$C$13,2,0),""))</f>
        <v/>
      </c>
    </row>
    <row r="1677">
      <c r="T1677" s="258">
        <f>IF(R1677="","",IFERROR(TODAY()+VLOOKUP(R1677,REGRAS!$B$2:$C$13,2,0),""))</f>
        <v/>
      </c>
    </row>
    <row r="1678">
      <c r="T1678" s="258">
        <f>IF(R1678="","",IFERROR(TODAY()+VLOOKUP(R1678,REGRAS!$B$2:$C$13,2,0),""))</f>
        <v/>
      </c>
    </row>
    <row r="1679">
      <c r="T1679" s="258">
        <f>IF(R1679="","",IFERROR(TODAY()+VLOOKUP(R1679,REGRAS!$B$2:$C$13,2,0),""))</f>
        <v/>
      </c>
    </row>
    <row r="1680">
      <c r="T1680" s="258">
        <f>IF(R1680="","",IFERROR(TODAY()+VLOOKUP(R1680,REGRAS!$B$2:$C$13,2,0),""))</f>
        <v/>
      </c>
    </row>
    <row r="1681">
      <c r="T1681" s="258">
        <f>IF(R1681="","",IFERROR(TODAY()+VLOOKUP(R1681,REGRAS!$B$2:$C$13,2,0),""))</f>
        <v/>
      </c>
    </row>
    <row r="1682">
      <c r="T1682" s="258">
        <f>IF(R1682="","",IFERROR(TODAY()+VLOOKUP(R1682,REGRAS!$B$2:$C$13,2,0),""))</f>
        <v/>
      </c>
    </row>
    <row r="1683">
      <c r="T1683" s="258">
        <f>IF(R1683="","",IFERROR(TODAY()+VLOOKUP(R1683,REGRAS!$B$2:$C$13,2,0),""))</f>
        <v/>
      </c>
    </row>
    <row r="1684">
      <c r="T1684" s="258">
        <f>IF(R1684="","",IFERROR(TODAY()+VLOOKUP(R1684,REGRAS!$B$2:$C$13,2,0),""))</f>
        <v/>
      </c>
    </row>
    <row r="1685">
      <c r="T1685" s="258">
        <f>IF(R1685="","",IFERROR(TODAY()+VLOOKUP(R1685,REGRAS!$B$2:$C$13,2,0),""))</f>
        <v/>
      </c>
    </row>
    <row r="1686">
      <c r="T1686" s="258">
        <f>IF(R1686="","",IFERROR(TODAY()+VLOOKUP(R1686,REGRAS!$B$2:$C$13,2,0),""))</f>
        <v/>
      </c>
    </row>
    <row r="1687">
      <c r="T1687" s="258">
        <f>IF(R1687="","",IFERROR(TODAY()+VLOOKUP(R1687,REGRAS!$B$2:$C$13,2,0),""))</f>
        <v/>
      </c>
    </row>
    <row r="1688">
      <c r="T1688" s="258">
        <f>IF(R1688="","",IFERROR(TODAY()+VLOOKUP(R1688,REGRAS!$B$2:$C$13,2,0),""))</f>
        <v/>
      </c>
    </row>
    <row r="1689">
      <c r="T1689" s="258">
        <f>IF(R1689="","",IFERROR(TODAY()+VLOOKUP(R1689,REGRAS!$B$2:$C$13,2,0),""))</f>
        <v/>
      </c>
    </row>
    <row r="1690">
      <c r="T1690" s="258">
        <f>IF(R1690="","",IFERROR(TODAY()+VLOOKUP(R1690,REGRAS!$B$2:$C$13,2,0),""))</f>
        <v/>
      </c>
    </row>
    <row r="1691">
      <c r="T1691" s="258">
        <f>IF(R1691="","",IFERROR(TODAY()+VLOOKUP(R1691,REGRAS!$B$2:$C$13,2,0),""))</f>
        <v/>
      </c>
    </row>
    <row r="1692">
      <c r="T1692" s="258">
        <f>IF(R1692="","",IFERROR(TODAY()+VLOOKUP(R1692,REGRAS!$B$2:$C$13,2,0),""))</f>
        <v/>
      </c>
    </row>
    <row r="1693">
      <c r="T1693" s="258">
        <f>IF(R1693="","",IFERROR(TODAY()+VLOOKUP(R1693,REGRAS!$B$2:$C$13,2,0),""))</f>
        <v/>
      </c>
    </row>
    <row r="1694">
      <c r="T1694" s="258">
        <f>IF(R1694="","",IFERROR(TODAY()+VLOOKUP(R1694,REGRAS!$B$2:$C$13,2,0),""))</f>
        <v/>
      </c>
    </row>
    <row r="1695">
      <c r="T1695" s="258">
        <f>IF(R1695="","",IFERROR(TODAY()+VLOOKUP(R1695,REGRAS!$B$2:$C$13,2,0),""))</f>
        <v/>
      </c>
    </row>
    <row r="1696">
      <c r="T1696" s="258">
        <f>IF(R1696="","",IFERROR(TODAY()+VLOOKUP(R1696,REGRAS!$B$2:$C$13,2,0),""))</f>
        <v/>
      </c>
    </row>
    <row r="1697">
      <c r="T1697" s="258">
        <f>IF(R1697="","",IFERROR(TODAY()+VLOOKUP(R1697,REGRAS!$B$2:$C$13,2,0),""))</f>
        <v/>
      </c>
    </row>
    <row r="1698">
      <c r="T1698" s="258">
        <f>IF(R1698="","",IFERROR(TODAY()+VLOOKUP(R1698,REGRAS!$B$2:$C$13,2,0),""))</f>
        <v/>
      </c>
    </row>
    <row r="1699">
      <c r="T1699" s="258">
        <f>IF(R1699="","",IFERROR(TODAY()+VLOOKUP(R1699,REGRAS!$B$2:$C$13,2,0),""))</f>
        <v/>
      </c>
    </row>
    <row r="1700">
      <c r="T1700" s="258">
        <f>IF(R1700="","",IFERROR(TODAY()+VLOOKUP(R1700,REGRAS!$B$2:$C$13,2,0),""))</f>
        <v/>
      </c>
    </row>
    <row r="1701">
      <c r="T1701" s="258">
        <f>IF(R1701="","",IFERROR(TODAY()+VLOOKUP(R1701,REGRAS!$B$2:$C$13,2,0),""))</f>
        <v/>
      </c>
    </row>
    <row r="1702">
      <c r="T1702" s="258">
        <f>IF(R1702="","",IFERROR(TODAY()+VLOOKUP(R1702,REGRAS!$B$2:$C$13,2,0),""))</f>
        <v/>
      </c>
    </row>
    <row r="1703">
      <c r="T1703" s="258">
        <f>IF(R1703="","",IFERROR(TODAY()+VLOOKUP(R1703,REGRAS!$B$2:$C$13,2,0),""))</f>
        <v/>
      </c>
    </row>
    <row r="1704">
      <c r="T1704" s="258">
        <f>IF(R1704="","",IFERROR(TODAY()+VLOOKUP(R1704,REGRAS!$B$2:$C$13,2,0),""))</f>
        <v/>
      </c>
    </row>
    <row r="1705">
      <c r="T1705" s="258">
        <f>IF(R1705="","",IFERROR(TODAY()+VLOOKUP(R1705,REGRAS!$B$2:$C$13,2,0),""))</f>
        <v/>
      </c>
    </row>
    <row r="1706">
      <c r="T1706" s="258">
        <f>IF(R1706="","",IFERROR(TODAY()+VLOOKUP(R1706,REGRAS!$B$2:$C$13,2,0),""))</f>
        <v/>
      </c>
    </row>
    <row r="1707">
      <c r="T1707" s="258">
        <f>IF(R1707="","",IFERROR(TODAY()+VLOOKUP(R1707,REGRAS!$B$2:$C$13,2,0),""))</f>
        <v/>
      </c>
    </row>
    <row r="1708">
      <c r="T1708" s="258">
        <f>IF(R1708="","",IFERROR(TODAY()+VLOOKUP(R1708,REGRAS!$B$2:$C$13,2,0),""))</f>
        <v/>
      </c>
    </row>
    <row r="1709">
      <c r="T1709" s="258">
        <f>IF(R1709="","",IFERROR(TODAY()+VLOOKUP(R1709,REGRAS!$B$2:$C$13,2,0),""))</f>
        <v/>
      </c>
    </row>
    <row r="1710">
      <c r="T1710" s="258">
        <f>IF(R1710="","",IFERROR(TODAY()+VLOOKUP(R1710,REGRAS!$B$2:$C$13,2,0),""))</f>
        <v/>
      </c>
    </row>
    <row r="1711">
      <c r="T1711" s="258">
        <f>IF(R1711="","",IFERROR(TODAY()+VLOOKUP(R1711,REGRAS!$B$2:$C$13,2,0),""))</f>
        <v/>
      </c>
    </row>
    <row r="1712">
      <c r="T1712" s="258">
        <f>IF(R1712="","",IFERROR(TODAY()+VLOOKUP(R1712,REGRAS!$B$2:$C$13,2,0),""))</f>
        <v/>
      </c>
    </row>
    <row r="1713">
      <c r="T1713" s="258">
        <f>IF(R1713="","",IFERROR(TODAY()+VLOOKUP(R1713,REGRAS!$B$2:$C$13,2,0),""))</f>
        <v/>
      </c>
    </row>
    <row r="1714">
      <c r="T1714" s="258">
        <f>IF(R1714="","",IFERROR(TODAY()+VLOOKUP(R1714,REGRAS!$B$2:$C$13,2,0),""))</f>
        <v/>
      </c>
    </row>
    <row r="1715">
      <c r="T1715" s="258">
        <f>IF(R1715="","",IFERROR(TODAY()+VLOOKUP(R1715,REGRAS!$B$2:$C$13,2,0),""))</f>
        <v/>
      </c>
    </row>
    <row r="1716">
      <c r="T1716" s="258">
        <f>IF(R1716="","",IFERROR(TODAY()+VLOOKUP(R1716,REGRAS!$B$2:$C$13,2,0),""))</f>
        <v/>
      </c>
    </row>
    <row r="1717">
      <c r="T1717" s="258">
        <f>IF(R1717="","",IFERROR(TODAY()+VLOOKUP(R1717,REGRAS!$B$2:$C$13,2,0),""))</f>
        <v/>
      </c>
    </row>
    <row r="1718">
      <c r="T1718" s="258">
        <f>IF(R1718="","",IFERROR(TODAY()+VLOOKUP(R1718,REGRAS!$B$2:$C$13,2,0),""))</f>
        <v/>
      </c>
    </row>
    <row r="1719">
      <c r="T1719" s="258">
        <f>IF(R1719="","",IFERROR(TODAY()+VLOOKUP(R1719,REGRAS!$B$2:$C$13,2,0),""))</f>
        <v/>
      </c>
    </row>
    <row r="1720">
      <c r="T1720" s="258">
        <f>IF(R1720="","",IFERROR(TODAY()+VLOOKUP(R1720,REGRAS!$B$2:$C$13,2,0),""))</f>
        <v/>
      </c>
    </row>
    <row r="1721">
      <c r="T1721" s="258">
        <f>IF(R1721="","",IFERROR(TODAY()+VLOOKUP(R1721,REGRAS!$B$2:$C$13,2,0),""))</f>
        <v/>
      </c>
    </row>
    <row r="1722">
      <c r="T1722" s="258">
        <f>IF(R1722="","",IFERROR(TODAY()+VLOOKUP(R1722,REGRAS!$B$2:$C$13,2,0),""))</f>
        <v/>
      </c>
    </row>
    <row r="1723">
      <c r="T1723" s="258">
        <f>IF(R1723="","",IFERROR(TODAY()+VLOOKUP(R1723,REGRAS!$B$2:$C$13,2,0),""))</f>
        <v/>
      </c>
    </row>
    <row r="1724">
      <c r="T1724" s="258">
        <f>IF(R1724="","",IFERROR(TODAY()+VLOOKUP(R1724,REGRAS!$B$2:$C$13,2,0),""))</f>
        <v/>
      </c>
    </row>
    <row r="1725">
      <c r="T1725" s="258">
        <f>IF(R1725="","",IFERROR(TODAY()+VLOOKUP(R1725,REGRAS!$B$2:$C$13,2,0),""))</f>
        <v/>
      </c>
    </row>
    <row r="1726">
      <c r="T1726" s="258">
        <f>IF(R1726="","",IFERROR(TODAY()+VLOOKUP(R1726,REGRAS!$B$2:$C$13,2,0),""))</f>
        <v/>
      </c>
    </row>
    <row r="1727">
      <c r="T1727" s="258">
        <f>IF(R1727="","",IFERROR(TODAY()+VLOOKUP(R1727,REGRAS!$B$2:$C$13,2,0),""))</f>
        <v/>
      </c>
    </row>
    <row r="1728">
      <c r="T1728" s="258">
        <f>IF(R1728="","",IFERROR(TODAY()+VLOOKUP(R1728,REGRAS!$B$2:$C$13,2,0),""))</f>
        <v/>
      </c>
    </row>
    <row r="1729">
      <c r="T1729" s="258">
        <f>IF(R1729="","",IFERROR(TODAY()+VLOOKUP(R1729,REGRAS!$B$2:$C$13,2,0),""))</f>
        <v/>
      </c>
    </row>
    <row r="1730">
      <c r="T1730" s="258">
        <f>IF(R1730="","",IFERROR(TODAY()+VLOOKUP(R1730,REGRAS!$B$2:$C$13,2,0),""))</f>
        <v/>
      </c>
    </row>
    <row r="1731">
      <c r="T1731" s="258">
        <f>IF(R1731="","",IFERROR(TODAY()+VLOOKUP(R1731,REGRAS!$B$2:$C$13,2,0),""))</f>
        <v/>
      </c>
    </row>
    <row r="1732">
      <c r="T1732" s="258">
        <f>IF(R1732="","",IFERROR(TODAY()+VLOOKUP(R1732,REGRAS!$B$2:$C$13,2,0),""))</f>
        <v/>
      </c>
    </row>
    <row r="1733">
      <c r="T1733" s="258">
        <f>IF(R1733="","",IFERROR(TODAY()+VLOOKUP(R1733,REGRAS!$B$2:$C$13,2,0),""))</f>
        <v/>
      </c>
    </row>
    <row r="1734">
      <c r="T1734" s="258">
        <f>IF(R1734="","",IFERROR(TODAY()+VLOOKUP(R1734,REGRAS!$B$2:$C$13,2,0),""))</f>
        <v/>
      </c>
    </row>
    <row r="1735">
      <c r="T1735" s="258">
        <f>IF(R1735="","",IFERROR(TODAY()+VLOOKUP(R1735,REGRAS!$B$2:$C$13,2,0),""))</f>
        <v/>
      </c>
    </row>
    <row r="1736">
      <c r="T1736" s="258">
        <f>IF(R1736="","",IFERROR(TODAY()+VLOOKUP(R1736,REGRAS!$B$2:$C$13,2,0),""))</f>
        <v/>
      </c>
    </row>
    <row r="1737">
      <c r="T1737" s="258">
        <f>IF(R1737="","",IFERROR(TODAY()+VLOOKUP(R1737,REGRAS!$B$2:$C$13,2,0),""))</f>
        <v/>
      </c>
    </row>
    <row r="1738">
      <c r="T1738" s="258">
        <f>IF(R1738="","",IFERROR(TODAY()+VLOOKUP(R1738,REGRAS!$B$2:$C$13,2,0),""))</f>
        <v/>
      </c>
    </row>
    <row r="1739">
      <c r="T1739" s="258">
        <f>IF(R1739="","",IFERROR(TODAY()+VLOOKUP(R1739,REGRAS!$B$2:$C$13,2,0),""))</f>
        <v/>
      </c>
    </row>
    <row r="1740">
      <c r="T1740" s="258">
        <f>IF(R1740="","",IFERROR(TODAY()+VLOOKUP(R1740,REGRAS!$B$2:$C$13,2,0),""))</f>
        <v/>
      </c>
    </row>
    <row r="1741">
      <c r="T1741" s="258">
        <f>IF(R1741="","",IFERROR(TODAY()+VLOOKUP(R1741,REGRAS!$B$2:$C$13,2,0),""))</f>
        <v/>
      </c>
    </row>
    <row r="1742">
      <c r="T1742" s="258">
        <f>IF(R1742="","",IFERROR(TODAY()+VLOOKUP(R1742,REGRAS!$B$2:$C$13,2,0),""))</f>
        <v/>
      </c>
    </row>
    <row r="1743">
      <c r="T1743" s="258">
        <f>IF(R1743="","",IFERROR(TODAY()+VLOOKUP(R1743,REGRAS!$B$2:$C$13,2,0),""))</f>
        <v/>
      </c>
    </row>
    <row r="1744">
      <c r="T1744" s="258">
        <f>IF(R1744="","",IFERROR(TODAY()+VLOOKUP(R1744,REGRAS!$B$2:$C$13,2,0),""))</f>
        <v/>
      </c>
    </row>
    <row r="1745">
      <c r="T1745" s="258">
        <f>IF(R1745="","",IFERROR(TODAY()+VLOOKUP(R1745,REGRAS!$B$2:$C$13,2,0),""))</f>
        <v/>
      </c>
    </row>
    <row r="1746">
      <c r="T1746" s="258">
        <f>IF(R1746="","",IFERROR(TODAY()+VLOOKUP(R1746,REGRAS!$B$2:$C$13,2,0),""))</f>
        <v/>
      </c>
    </row>
    <row r="1747">
      <c r="T1747" s="258">
        <f>IF(R1747="","",IFERROR(TODAY()+VLOOKUP(R1747,REGRAS!$B$2:$C$13,2,0),""))</f>
        <v/>
      </c>
    </row>
    <row r="1748">
      <c r="T1748" s="258">
        <f>IF(R1748="","",IFERROR(TODAY()+VLOOKUP(R1748,REGRAS!$B$2:$C$13,2,0),""))</f>
        <v/>
      </c>
    </row>
    <row r="1749">
      <c r="T1749" s="258">
        <f>IF(R1749="","",IFERROR(TODAY()+VLOOKUP(R1749,REGRAS!$B$2:$C$13,2,0),""))</f>
        <v/>
      </c>
    </row>
    <row r="1750">
      <c r="T1750" s="258">
        <f>IF(R1750="","",IFERROR(TODAY()+VLOOKUP(R1750,REGRAS!$B$2:$C$13,2,0),""))</f>
        <v/>
      </c>
    </row>
    <row r="1751">
      <c r="T1751" s="258">
        <f>IF(R1751="","",IFERROR(TODAY()+VLOOKUP(R1751,REGRAS!$B$2:$C$13,2,0),""))</f>
        <v/>
      </c>
    </row>
    <row r="1752">
      <c r="T1752" s="258">
        <f>IF(R1752="","",IFERROR(TODAY()+VLOOKUP(R1752,REGRAS!$B$2:$C$13,2,0),""))</f>
        <v/>
      </c>
    </row>
    <row r="1753">
      <c r="T1753" s="258">
        <f>IF(R1753="","",IFERROR(TODAY()+VLOOKUP(R1753,REGRAS!$B$2:$C$13,2,0),""))</f>
        <v/>
      </c>
    </row>
    <row r="1754">
      <c r="T1754" s="258">
        <f>IF(R1754="","",IFERROR(TODAY()+VLOOKUP(R1754,REGRAS!$B$2:$C$13,2,0),""))</f>
        <v/>
      </c>
    </row>
    <row r="1755">
      <c r="T1755" s="258">
        <f>IF(R1755="","",IFERROR(TODAY()+VLOOKUP(R1755,REGRAS!$B$2:$C$13,2,0),""))</f>
        <v/>
      </c>
    </row>
    <row r="1756">
      <c r="T1756" s="258">
        <f>IF(R1756="","",IFERROR(TODAY()+VLOOKUP(R1756,REGRAS!$B$2:$C$13,2,0),""))</f>
        <v/>
      </c>
    </row>
    <row r="1757">
      <c r="T1757" s="258">
        <f>IF(R1757="","",IFERROR(TODAY()+VLOOKUP(R1757,REGRAS!$B$2:$C$13,2,0),""))</f>
        <v/>
      </c>
    </row>
    <row r="1758">
      <c r="T1758" s="258">
        <f>IF(R1758="","",IFERROR(TODAY()+VLOOKUP(R1758,REGRAS!$B$2:$C$13,2,0),""))</f>
        <v/>
      </c>
    </row>
    <row r="1759">
      <c r="T1759" s="258">
        <f>IF(R1759="","",IFERROR(TODAY()+VLOOKUP(R1759,REGRAS!$B$2:$C$13,2,0),""))</f>
        <v/>
      </c>
    </row>
    <row r="1760">
      <c r="T1760" s="258">
        <f>IF(R1760="","",IFERROR(TODAY()+VLOOKUP(R1760,REGRAS!$B$2:$C$13,2,0),""))</f>
        <v/>
      </c>
    </row>
    <row r="1761">
      <c r="T1761" s="258">
        <f>IF(R1761="","",IFERROR(TODAY()+VLOOKUP(R1761,REGRAS!$B$2:$C$13,2,0),""))</f>
        <v/>
      </c>
    </row>
    <row r="1762">
      <c r="T1762" s="258">
        <f>IF(R1762="","",IFERROR(TODAY()+VLOOKUP(R1762,REGRAS!$B$2:$C$13,2,0),""))</f>
        <v/>
      </c>
    </row>
    <row r="1763">
      <c r="T1763" s="258">
        <f>IF(R1763="","",IFERROR(TODAY()+VLOOKUP(R1763,REGRAS!$B$2:$C$13,2,0),""))</f>
        <v/>
      </c>
    </row>
    <row r="1764">
      <c r="T1764" s="258">
        <f>IF(R1764="","",IFERROR(TODAY()+VLOOKUP(R1764,REGRAS!$B$2:$C$13,2,0),""))</f>
        <v/>
      </c>
    </row>
    <row r="1765">
      <c r="T1765" s="258">
        <f>IF(R1765="","",IFERROR(TODAY()+VLOOKUP(R1765,REGRAS!$B$2:$C$13,2,0),""))</f>
        <v/>
      </c>
    </row>
    <row r="1766">
      <c r="T1766" s="258">
        <f>IF(R1766="","",IFERROR(TODAY()+VLOOKUP(R1766,REGRAS!$B$2:$C$13,2,0),""))</f>
        <v/>
      </c>
    </row>
    <row r="1767">
      <c r="T1767" s="258">
        <f>IF(R1767="","",IFERROR(TODAY()+VLOOKUP(R1767,REGRAS!$B$2:$C$13,2,0),""))</f>
        <v/>
      </c>
    </row>
    <row r="1768">
      <c r="T1768" s="258">
        <f>IF(R1768="","",IFERROR(TODAY()+VLOOKUP(R1768,REGRAS!$B$2:$C$13,2,0),""))</f>
        <v/>
      </c>
    </row>
    <row r="1769">
      <c r="T1769" s="258">
        <f>IF(R1769="","",IFERROR(TODAY()+VLOOKUP(R1769,REGRAS!$B$2:$C$13,2,0),""))</f>
        <v/>
      </c>
    </row>
    <row r="1770">
      <c r="T1770" s="258">
        <f>IF(R1770="","",IFERROR(TODAY()+VLOOKUP(R1770,REGRAS!$B$2:$C$13,2,0),""))</f>
        <v/>
      </c>
    </row>
    <row r="1771">
      <c r="T1771" s="258">
        <f>IF(R1771="","",IFERROR(TODAY()+VLOOKUP(R1771,REGRAS!$B$2:$C$13,2,0),""))</f>
        <v/>
      </c>
    </row>
    <row r="1772">
      <c r="T1772" s="258">
        <f>IF(R1772="","",IFERROR(TODAY()+VLOOKUP(R1772,REGRAS!$B$2:$C$13,2,0),""))</f>
        <v/>
      </c>
    </row>
    <row r="1773">
      <c r="T1773" s="258">
        <f>IF(R1773="","",IFERROR(TODAY()+VLOOKUP(R1773,REGRAS!$B$2:$C$13,2,0),""))</f>
        <v/>
      </c>
    </row>
    <row r="1774">
      <c r="T1774" s="258">
        <f>IF(R1774="","",IFERROR(TODAY()+VLOOKUP(R1774,REGRAS!$B$2:$C$13,2,0),""))</f>
        <v/>
      </c>
    </row>
    <row r="1775">
      <c r="T1775" s="258">
        <f>IF(R1775="","",IFERROR(TODAY()+VLOOKUP(R1775,REGRAS!$B$2:$C$13,2,0),""))</f>
        <v/>
      </c>
    </row>
    <row r="1776">
      <c r="T1776" s="258">
        <f>IF(R1776="","",IFERROR(TODAY()+VLOOKUP(R1776,REGRAS!$B$2:$C$13,2,0),""))</f>
        <v/>
      </c>
    </row>
    <row r="1777">
      <c r="T1777" s="258">
        <f>IF(R1777="","",IFERROR(TODAY()+VLOOKUP(R1777,REGRAS!$B$2:$C$13,2,0),""))</f>
        <v/>
      </c>
    </row>
    <row r="1778">
      <c r="T1778" s="258">
        <f>IF(R1778="","",IFERROR(TODAY()+VLOOKUP(R1778,REGRAS!$B$2:$C$13,2,0),""))</f>
        <v/>
      </c>
    </row>
    <row r="1779">
      <c r="T1779" s="258">
        <f>IF(R1779="","",IFERROR(TODAY()+VLOOKUP(R1779,REGRAS!$B$2:$C$13,2,0),""))</f>
        <v/>
      </c>
    </row>
    <row r="1780">
      <c r="T1780" s="258">
        <f>IF(R1780="","",IFERROR(TODAY()+VLOOKUP(R1780,REGRAS!$B$2:$C$13,2,0),""))</f>
        <v/>
      </c>
    </row>
    <row r="1781">
      <c r="T1781" s="258">
        <f>IF(R1781="","",IFERROR(TODAY()+VLOOKUP(R1781,REGRAS!$B$2:$C$13,2,0),""))</f>
        <v/>
      </c>
    </row>
    <row r="1782">
      <c r="T1782" s="258">
        <f>IF(R1782="","",IFERROR(TODAY()+VLOOKUP(R1782,REGRAS!$B$2:$C$13,2,0),""))</f>
        <v/>
      </c>
    </row>
    <row r="1783">
      <c r="T1783" s="258">
        <f>IF(R1783="","",IFERROR(TODAY()+VLOOKUP(R1783,REGRAS!$B$2:$C$13,2,0),""))</f>
        <v/>
      </c>
    </row>
    <row r="1784">
      <c r="T1784" s="258">
        <f>IF(R1784="","",IFERROR(TODAY()+VLOOKUP(R1784,REGRAS!$B$2:$C$13,2,0),""))</f>
        <v/>
      </c>
    </row>
    <row r="1785">
      <c r="T1785" s="258">
        <f>IF(R1785="","",IFERROR(TODAY()+VLOOKUP(R1785,REGRAS!$B$2:$C$13,2,0),""))</f>
        <v/>
      </c>
    </row>
    <row r="1786">
      <c r="T1786" s="258">
        <f>IF(R1786="","",IFERROR(TODAY()+VLOOKUP(R1786,REGRAS!$B$2:$C$13,2,0),""))</f>
        <v/>
      </c>
    </row>
    <row r="1787">
      <c r="T1787" s="258">
        <f>IF(R1787="","",IFERROR(TODAY()+VLOOKUP(R1787,REGRAS!$B$2:$C$13,2,0),""))</f>
        <v/>
      </c>
    </row>
    <row r="1788">
      <c r="T1788" s="258">
        <f>IF(R1788="","",IFERROR(TODAY()+VLOOKUP(R1788,REGRAS!$B$2:$C$13,2,0),""))</f>
        <v/>
      </c>
    </row>
    <row r="1789">
      <c r="T1789" s="258">
        <f>IF(R1789="","",IFERROR(TODAY()+VLOOKUP(R1789,REGRAS!$B$2:$C$13,2,0),""))</f>
        <v/>
      </c>
    </row>
    <row r="1790">
      <c r="T1790" s="258">
        <f>IF(R1790="","",IFERROR(TODAY()+VLOOKUP(R1790,REGRAS!$B$2:$C$13,2,0),""))</f>
        <v/>
      </c>
    </row>
    <row r="1791">
      <c r="T1791" s="258">
        <f>IF(R1791="","",IFERROR(TODAY()+VLOOKUP(R1791,REGRAS!$B$2:$C$13,2,0),""))</f>
        <v/>
      </c>
    </row>
    <row r="1792">
      <c r="T1792" s="258">
        <f>IF(R1792="","",IFERROR(TODAY()+VLOOKUP(R1792,REGRAS!$B$2:$C$13,2,0),""))</f>
        <v/>
      </c>
    </row>
    <row r="1793">
      <c r="T1793" s="258">
        <f>IF(R1793="","",IFERROR(TODAY()+VLOOKUP(R1793,REGRAS!$B$2:$C$13,2,0),""))</f>
        <v/>
      </c>
    </row>
    <row r="1794">
      <c r="T1794" s="258">
        <f>IF(R1794="","",IFERROR(TODAY()+VLOOKUP(R1794,REGRAS!$B$2:$C$13,2,0),""))</f>
        <v/>
      </c>
    </row>
    <row r="1795">
      <c r="T1795" s="258">
        <f>IF(R1795="","",IFERROR(TODAY()+VLOOKUP(R1795,REGRAS!$B$2:$C$13,2,0),""))</f>
        <v/>
      </c>
    </row>
    <row r="1796">
      <c r="T1796" s="258">
        <f>IF(R1796="","",IFERROR(TODAY()+VLOOKUP(R1796,REGRAS!$B$2:$C$13,2,0),""))</f>
        <v/>
      </c>
    </row>
    <row r="1797">
      <c r="T1797" s="258">
        <f>IF(R1797="","",IFERROR(TODAY()+VLOOKUP(R1797,REGRAS!$B$2:$C$13,2,0),""))</f>
        <v/>
      </c>
    </row>
    <row r="1798">
      <c r="T1798" s="258">
        <f>IF(R1798="","",IFERROR(TODAY()+VLOOKUP(R1798,REGRAS!$B$2:$C$13,2,0),""))</f>
        <v/>
      </c>
    </row>
    <row r="1799">
      <c r="T1799" s="258">
        <f>IF(R1799="","",IFERROR(TODAY()+VLOOKUP(R1799,REGRAS!$B$2:$C$13,2,0),""))</f>
        <v/>
      </c>
    </row>
    <row r="1800">
      <c r="T1800" s="258">
        <f>IF(R1800="","",IFERROR(TODAY()+VLOOKUP(R1800,REGRAS!$B$2:$C$13,2,0),""))</f>
        <v/>
      </c>
    </row>
    <row r="1801">
      <c r="T1801" s="258">
        <f>IF(R1801="","",IFERROR(TODAY()+VLOOKUP(R1801,REGRAS!$B$2:$C$13,2,0),""))</f>
        <v/>
      </c>
    </row>
    <row r="1802">
      <c r="T1802" s="258">
        <f>IF(R1802="","",IFERROR(TODAY()+VLOOKUP(R1802,REGRAS!$B$2:$C$13,2,0),""))</f>
        <v/>
      </c>
    </row>
    <row r="1803">
      <c r="T1803" s="258">
        <f>IF(R1803="","",IFERROR(TODAY()+VLOOKUP(R1803,REGRAS!$B$2:$C$13,2,0),""))</f>
        <v/>
      </c>
    </row>
    <row r="1804">
      <c r="T1804" s="258">
        <f>IF(R1804="","",IFERROR(TODAY()+VLOOKUP(R1804,REGRAS!$B$2:$C$13,2,0),""))</f>
        <v/>
      </c>
    </row>
    <row r="1805">
      <c r="T1805" s="258">
        <f>IF(R1805="","",IFERROR(TODAY()+VLOOKUP(R1805,REGRAS!$B$2:$C$13,2,0),""))</f>
        <v/>
      </c>
    </row>
    <row r="1806">
      <c r="T1806" s="258">
        <f>IF(R1806="","",IFERROR(TODAY()+VLOOKUP(R1806,REGRAS!$B$2:$C$13,2,0),""))</f>
        <v/>
      </c>
    </row>
    <row r="1807">
      <c r="T1807" s="258">
        <f>IF(R1807="","",IFERROR(TODAY()+VLOOKUP(R1807,REGRAS!$B$2:$C$13,2,0),""))</f>
        <v/>
      </c>
    </row>
    <row r="1808">
      <c r="T1808" s="258">
        <f>IF(R1808="","",IFERROR(TODAY()+VLOOKUP(R1808,REGRAS!$B$2:$C$13,2,0),""))</f>
        <v/>
      </c>
    </row>
    <row r="1809">
      <c r="T1809" s="258">
        <f>IF(R1809="","",IFERROR(TODAY()+VLOOKUP(R1809,REGRAS!$B$2:$C$13,2,0),""))</f>
        <v/>
      </c>
    </row>
    <row r="1810">
      <c r="T1810" s="258">
        <f>IF(R1810="","",IFERROR(TODAY()+VLOOKUP(R1810,REGRAS!$B$2:$C$13,2,0),""))</f>
        <v/>
      </c>
    </row>
    <row r="1811">
      <c r="T1811" s="258">
        <f>IF(R1811="","",IFERROR(TODAY()+VLOOKUP(R1811,REGRAS!$B$2:$C$13,2,0),""))</f>
        <v/>
      </c>
    </row>
    <row r="1812">
      <c r="T1812" s="258">
        <f>IF(R1812="","",IFERROR(TODAY()+VLOOKUP(R1812,REGRAS!$B$2:$C$13,2,0),""))</f>
        <v/>
      </c>
    </row>
    <row r="1813">
      <c r="T1813" s="258">
        <f>IF(R1813="","",IFERROR(TODAY()+VLOOKUP(R1813,REGRAS!$B$2:$C$13,2,0),""))</f>
        <v/>
      </c>
    </row>
    <row r="1814">
      <c r="T1814" s="258">
        <f>IF(R1814="","",IFERROR(TODAY()+VLOOKUP(R1814,REGRAS!$B$2:$C$13,2,0),""))</f>
        <v/>
      </c>
    </row>
    <row r="1815">
      <c r="T1815" s="258">
        <f>IF(R1815="","",IFERROR(TODAY()+VLOOKUP(R1815,REGRAS!$B$2:$C$13,2,0),""))</f>
        <v/>
      </c>
    </row>
    <row r="1816">
      <c r="T1816" s="258">
        <f>IF(R1816="","",IFERROR(TODAY()+VLOOKUP(R1816,REGRAS!$B$2:$C$13,2,0),""))</f>
        <v/>
      </c>
    </row>
    <row r="1817">
      <c r="T1817" s="258">
        <f>IF(R1817="","",IFERROR(TODAY()+VLOOKUP(R1817,REGRAS!$B$2:$C$13,2,0),""))</f>
        <v/>
      </c>
    </row>
    <row r="1818">
      <c r="T1818" s="258">
        <f>IF(R1818="","",IFERROR(TODAY()+VLOOKUP(R1818,REGRAS!$B$2:$C$13,2,0),""))</f>
        <v/>
      </c>
    </row>
    <row r="1819">
      <c r="T1819" s="258">
        <f>IF(R1819="","",IFERROR(TODAY()+VLOOKUP(R1819,REGRAS!$B$2:$C$13,2,0),""))</f>
        <v/>
      </c>
    </row>
    <row r="1820">
      <c r="T1820" s="258">
        <f>IF(R1820="","",IFERROR(TODAY()+VLOOKUP(R1820,REGRAS!$B$2:$C$13,2,0),""))</f>
        <v/>
      </c>
    </row>
    <row r="1821">
      <c r="T1821" s="258">
        <f>IF(R1821="","",IFERROR(TODAY()+VLOOKUP(R1821,REGRAS!$B$2:$C$13,2,0),""))</f>
        <v/>
      </c>
    </row>
    <row r="1822">
      <c r="T1822" s="258">
        <f>IF(R1822="","",IFERROR(TODAY()+VLOOKUP(R1822,REGRAS!$B$2:$C$13,2,0),""))</f>
        <v/>
      </c>
    </row>
    <row r="1823">
      <c r="T1823" s="258">
        <f>IF(R1823="","",IFERROR(TODAY()+VLOOKUP(R1823,REGRAS!$B$2:$C$13,2,0),""))</f>
        <v/>
      </c>
    </row>
    <row r="1824">
      <c r="T1824" s="258">
        <f>IF(R1824="","",IFERROR(TODAY()+VLOOKUP(R1824,REGRAS!$B$2:$C$13,2,0),""))</f>
        <v/>
      </c>
    </row>
    <row r="1825">
      <c r="T1825" s="258">
        <f>IF(R1825="","",IFERROR(TODAY()+VLOOKUP(R1825,REGRAS!$B$2:$C$13,2,0),""))</f>
        <v/>
      </c>
    </row>
    <row r="1826">
      <c r="T1826" s="258">
        <f>IF(R1826="","",IFERROR(TODAY()+VLOOKUP(R1826,REGRAS!$B$2:$C$13,2,0),""))</f>
        <v/>
      </c>
    </row>
    <row r="1827">
      <c r="T1827" s="258">
        <f>IF(R1827="","",IFERROR(TODAY()+VLOOKUP(R1827,REGRAS!$B$2:$C$13,2,0),""))</f>
        <v/>
      </c>
    </row>
    <row r="1828">
      <c r="T1828" s="258">
        <f>IF(R1828="","",IFERROR(TODAY()+VLOOKUP(R1828,REGRAS!$B$2:$C$13,2,0),""))</f>
        <v/>
      </c>
    </row>
    <row r="1829">
      <c r="T1829" s="258">
        <f>IF(R1829="","",IFERROR(TODAY()+VLOOKUP(R1829,REGRAS!$B$2:$C$13,2,0),""))</f>
        <v/>
      </c>
    </row>
    <row r="1830">
      <c r="T1830" s="258">
        <f>IF(R1830="","",IFERROR(TODAY()+VLOOKUP(R1830,REGRAS!$B$2:$C$13,2,0),""))</f>
        <v/>
      </c>
    </row>
    <row r="1831">
      <c r="T1831" s="258">
        <f>IF(R1831="","",IFERROR(TODAY()+VLOOKUP(R1831,REGRAS!$B$2:$C$13,2,0),""))</f>
        <v/>
      </c>
    </row>
    <row r="1832">
      <c r="T1832" s="258">
        <f>IF(R1832="","",IFERROR(TODAY()+VLOOKUP(R1832,REGRAS!$B$2:$C$13,2,0),""))</f>
        <v/>
      </c>
    </row>
    <row r="1833">
      <c r="T1833" s="258">
        <f>IF(R1833="","",IFERROR(TODAY()+VLOOKUP(R1833,REGRAS!$B$2:$C$13,2,0),""))</f>
        <v/>
      </c>
    </row>
    <row r="1834">
      <c r="T1834" s="258">
        <f>IF(R1834="","",IFERROR(TODAY()+VLOOKUP(R1834,REGRAS!$B$2:$C$13,2,0),""))</f>
        <v/>
      </c>
    </row>
    <row r="1835">
      <c r="T1835" s="258">
        <f>IF(R1835="","",IFERROR(TODAY()+VLOOKUP(R1835,REGRAS!$B$2:$C$13,2,0),""))</f>
        <v/>
      </c>
    </row>
    <row r="1836">
      <c r="T1836" s="258">
        <f>IF(R1836="","",IFERROR(TODAY()+VLOOKUP(R1836,REGRAS!$B$2:$C$13,2,0),""))</f>
        <v/>
      </c>
    </row>
    <row r="1837">
      <c r="T1837" s="258">
        <f>IF(R1837="","",IFERROR(TODAY()+VLOOKUP(R1837,REGRAS!$B$2:$C$13,2,0),""))</f>
        <v/>
      </c>
    </row>
    <row r="1838">
      <c r="T1838" s="258">
        <f>IF(R1838="","",IFERROR(TODAY()+VLOOKUP(R1838,REGRAS!$B$2:$C$13,2,0),""))</f>
        <v/>
      </c>
    </row>
    <row r="1839">
      <c r="T1839" s="258">
        <f>IF(R1839="","",IFERROR(TODAY()+VLOOKUP(R1839,REGRAS!$B$2:$C$13,2,0),""))</f>
        <v/>
      </c>
    </row>
    <row r="1840">
      <c r="T1840" s="258">
        <f>IF(R1840="","",IFERROR(TODAY()+VLOOKUP(R1840,REGRAS!$B$2:$C$13,2,0),""))</f>
        <v/>
      </c>
    </row>
    <row r="1841">
      <c r="T1841" s="258">
        <f>IF(R1841="","",IFERROR(TODAY()+VLOOKUP(R1841,REGRAS!$B$2:$C$13,2,0),""))</f>
        <v/>
      </c>
    </row>
    <row r="1842">
      <c r="T1842" s="258">
        <f>IF(R1842="","",IFERROR(TODAY()+VLOOKUP(R1842,REGRAS!$B$2:$C$13,2,0),""))</f>
        <v/>
      </c>
    </row>
    <row r="1843">
      <c r="T1843" s="258">
        <f>IF(R1843="","",IFERROR(TODAY()+VLOOKUP(R1843,REGRAS!$B$2:$C$13,2,0),""))</f>
        <v/>
      </c>
    </row>
    <row r="1844">
      <c r="T1844" s="258">
        <f>IF(R1844="","",IFERROR(TODAY()+VLOOKUP(R1844,REGRAS!$B$2:$C$13,2,0),""))</f>
        <v/>
      </c>
    </row>
    <row r="1845">
      <c r="T1845" s="258">
        <f>IF(R1845="","",IFERROR(TODAY()+VLOOKUP(R1845,REGRAS!$B$2:$C$13,2,0),""))</f>
        <v/>
      </c>
    </row>
    <row r="1846">
      <c r="T1846" s="258">
        <f>IF(R1846="","",IFERROR(TODAY()+VLOOKUP(R1846,REGRAS!$B$2:$C$13,2,0),""))</f>
        <v/>
      </c>
    </row>
    <row r="1847">
      <c r="T1847" s="258">
        <f>IF(R1847="","",IFERROR(TODAY()+VLOOKUP(R1847,REGRAS!$B$2:$C$13,2,0),""))</f>
        <v/>
      </c>
    </row>
    <row r="1848">
      <c r="T1848" s="258">
        <f>IF(R1848="","",IFERROR(TODAY()+VLOOKUP(R1848,REGRAS!$B$2:$C$13,2,0),""))</f>
        <v/>
      </c>
    </row>
    <row r="1849">
      <c r="T1849" s="258">
        <f>IF(R1849="","",IFERROR(TODAY()+VLOOKUP(R1849,REGRAS!$B$2:$C$13,2,0),""))</f>
        <v/>
      </c>
    </row>
    <row r="1850">
      <c r="T1850" s="258">
        <f>IF(R1850="","",IFERROR(TODAY()+VLOOKUP(R1850,REGRAS!$B$2:$C$13,2,0),""))</f>
        <v/>
      </c>
    </row>
    <row r="1851">
      <c r="T1851" s="258">
        <f>IF(R1851="","",IFERROR(TODAY()+VLOOKUP(R1851,REGRAS!$B$2:$C$13,2,0),""))</f>
        <v/>
      </c>
    </row>
    <row r="1852">
      <c r="T1852" s="258">
        <f>IF(R1852="","",IFERROR(TODAY()+VLOOKUP(R1852,REGRAS!$B$2:$C$13,2,0),""))</f>
        <v/>
      </c>
    </row>
    <row r="1853">
      <c r="T1853" s="258">
        <f>IF(R1853="","",IFERROR(TODAY()+VLOOKUP(R1853,REGRAS!$B$2:$C$13,2,0),""))</f>
        <v/>
      </c>
    </row>
    <row r="1854">
      <c r="T1854" s="258">
        <f>IF(R1854="","",IFERROR(TODAY()+VLOOKUP(R1854,REGRAS!$B$2:$C$13,2,0),""))</f>
        <v/>
      </c>
    </row>
    <row r="1855">
      <c r="T1855" s="258">
        <f>IF(R1855="","",IFERROR(TODAY()+VLOOKUP(R1855,REGRAS!$B$2:$C$13,2,0),""))</f>
        <v/>
      </c>
    </row>
    <row r="1856">
      <c r="T1856" s="258">
        <f>IF(R1856="","",IFERROR(TODAY()+VLOOKUP(R1856,REGRAS!$B$2:$C$13,2,0),""))</f>
        <v/>
      </c>
    </row>
    <row r="1857">
      <c r="T1857" s="258">
        <f>IF(R1857="","",IFERROR(TODAY()+VLOOKUP(R1857,REGRAS!$B$2:$C$13,2,0),""))</f>
        <v/>
      </c>
    </row>
    <row r="1858">
      <c r="T1858" s="258">
        <f>IF(R1858="","",IFERROR(TODAY()+VLOOKUP(R1858,REGRAS!$B$2:$C$13,2,0),""))</f>
        <v/>
      </c>
    </row>
    <row r="1859">
      <c r="T1859" s="258">
        <f>IF(R1859="","",IFERROR(TODAY()+VLOOKUP(R1859,REGRAS!$B$2:$C$13,2,0),""))</f>
        <v/>
      </c>
    </row>
    <row r="1860">
      <c r="T1860" s="258">
        <f>IF(R1860="","",IFERROR(TODAY()+VLOOKUP(R1860,REGRAS!$B$2:$C$13,2,0),""))</f>
        <v/>
      </c>
    </row>
    <row r="1861">
      <c r="T1861" s="258">
        <f>IF(R1861="","",IFERROR(TODAY()+VLOOKUP(R1861,REGRAS!$B$2:$C$13,2,0),""))</f>
        <v/>
      </c>
    </row>
    <row r="1862">
      <c r="T1862" s="258">
        <f>IF(R1862="","",IFERROR(TODAY()+VLOOKUP(R1862,REGRAS!$B$2:$C$13,2,0),""))</f>
        <v/>
      </c>
    </row>
    <row r="1863">
      <c r="T1863" s="258">
        <f>IF(R1863="","",IFERROR(TODAY()+VLOOKUP(R1863,REGRAS!$B$2:$C$13,2,0),""))</f>
        <v/>
      </c>
    </row>
    <row r="1864">
      <c r="T1864" s="258">
        <f>IF(R1864="","",IFERROR(TODAY()+VLOOKUP(R1864,REGRAS!$B$2:$C$13,2,0),""))</f>
        <v/>
      </c>
    </row>
    <row r="1865">
      <c r="T1865" s="258">
        <f>IF(R1865="","",IFERROR(TODAY()+VLOOKUP(R1865,REGRAS!$B$2:$C$13,2,0),""))</f>
        <v/>
      </c>
    </row>
    <row r="1866">
      <c r="T1866" s="258">
        <f>IF(R1866="","",IFERROR(TODAY()+VLOOKUP(R1866,REGRAS!$B$2:$C$13,2,0),""))</f>
        <v/>
      </c>
    </row>
    <row r="1867">
      <c r="T1867" s="258">
        <f>IF(R1867="","",IFERROR(TODAY()+VLOOKUP(R1867,REGRAS!$B$2:$C$13,2,0),""))</f>
        <v/>
      </c>
    </row>
    <row r="1868">
      <c r="T1868" s="258">
        <f>IF(R1868="","",IFERROR(TODAY()+VLOOKUP(R1868,REGRAS!$B$2:$C$13,2,0),""))</f>
        <v/>
      </c>
    </row>
    <row r="1869">
      <c r="T1869" s="258">
        <f>IF(R1869="","",IFERROR(TODAY()+VLOOKUP(R1869,REGRAS!$B$2:$C$13,2,0),""))</f>
        <v/>
      </c>
    </row>
    <row r="1870">
      <c r="T1870" s="258">
        <f>IF(R1870="","",IFERROR(TODAY()+VLOOKUP(R1870,REGRAS!$B$2:$C$13,2,0),""))</f>
        <v/>
      </c>
    </row>
    <row r="1871">
      <c r="T1871" s="258">
        <f>IF(R1871="","",IFERROR(TODAY()+VLOOKUP(R1871,REGRAS!$B$2:$C$13,2,0),""))</f>
        <v/>
      </c>
    </row>
    <row r="1872">
      <c r="T1872" s="258">
        <f>IF(R1872="","",IFERROR(TODAY()+VLOOKUP(R1872,REGRAS!$B$2:$C$13,2,0),""))</f>
        <v/>
      </c>
    </row>
    <row r="1873">
      <c r="T1873" s="258">
        <f>IF(R1873="","",IFERROR(TODAY()+VLOOKUP(R1873,REGRAS!$B$2:$C$13,2,0),""))</f>
        <v/>
      </c>
    </row>
    <row r="1874">
      <c r="T1874" s="258">
        <f>IF(R1874="","",IFERROR(TODAY()+VLOOKUP(R1874,REGRAS!$B$2:$C$13,2,0),""))</f>
        <v/>
      </c>
    </row>
    <row r="1875">
      <c r="T1875" s="258">
        <f>IF(R1875="","",IFERROR(TODAY()+VLOOKUP(R1875,REGRAS!$B$2:$C$13,2,0),""))</f>
        <v/>
      </c>
    </row>
    <row r="1876">
      <c r="T1876" s="258">
        <f>IF(R1876="","",IFERROR(TODAY()+VLOOKUP(R1876,REGRAS!$B$2:$C$13,2,0),""))</f>
        <v/>
      </c>
    </row>
    <row r="1877">
      <c r="T1877" s="258">
        <f>IF(R1877="","",IFERROR(TODAY()+VLOOKUP(R1877,REGRAS!$B$2:$C$13,2,0),""))</f>
        <v/>
      </c>
    </row>
    <row r="1878">
      <c r="T1878" s="258">
        <f>IF(R1878="","",IFERROR(TODAY()+VLOOKUP(R1878,REGRAS!$B$2:$C$13,2,0),""))</f>
        <v/>
      </c>
    </row>
    <row r="1879">
      <c r="T1879" s="258">
        <f>IF(R1879="","",IFERROR(TODAY()+VLOOKUP(R1879,REGRAS!$B$2:$C$13,2,0),""))</f>
        <v/>
      </c>
    </row>
    <row r="1880">
      <c r="T1880" s="258">
        <f>IF(R1880="","",IFERROR(TODAY()+VLOOKUP(R1880,REGRAS!$B$2:$C$13,2,0),""))</f>
        <v/>
      </c>
    </row>
    <row r="1881">
      <c r="T1881" s="258">
        <f>IF(R1881="","",IFERROR(TODAY()+VLOOKUP(R1881,REGRAS!$B$2:$C$13,2,0),""))</f>
        <v/>
      </c>
    </row>
    <row r="1882">
      <c r="T1882" s="258">
        <f>IF(R1882="","",IFERROR(TODAY()+VLOOKUP(R1882,REGRAS!$B$2:$C$13,2,0),""))</f>
        <v/>
      </c>
    </row>
    <row r="1883">
      <c r="T1883" s="258">
        <f>IF(R1883="","",IFERROR(TODAY()+VLOOKUP(R1883,REGRAS!$B$2:$C$13,2,0),""))</f>
        <v/>
      </c>
    </row>
    <row r="1884">
      <c r="T1884" s="258">
        <f>IF(R1884="","",IFERROR(TODAY()+VLOOKUP(R1884,REGRAS!$B$2:$C$13,2,0),""))</f>
        <v/>
      </c>
    </row>
    <row r="1885">
      <c r="T1885" s="258">
        <f>IF(R1885="","",IFERROR(TODAY()+VLOOKUP(R1885,REGRAS!$B$2:$C$13,2,0),""))</f>
        <v/>
      </c>
    </row>
    <row r="1886">
      <c r="T1886" s="258">
        <f>IF(R1886="","",IFERROR(TODAY()+VLOOKUP(R1886,REGRAS!$B$2:$C$13,2,0),""))</f>
        <v/>
      </c>
    </row>
    <row r="1887">
      <c r="T1887" s="258">
        <f>IF(R1887="","",IFERROR(TODAY()+VLOOKUP(R1887,REGRAS!$B$2:$C$13,2,0),""))</f>
        <v/>
      </c>
    </row>
    <row r="1888">
      <c r="T1888" s="258">
        <f>IF(R1888="","",IFERROR(TODAY()+VLOOKUP(R1888,REGRAS!$B$2:$C$13,2,0),""))</f>
        <v/>
      </c>
    </row>
    <row r="1889">
      <c r="T1889" s="258">
        <f>IF(R1889="","",IFERROR(TODAY()+VLOOKUP(R1889,REGRAS!$B$2:$C$13,2,0),""))</f>
        <v/>
      </c>
    </row>
    <row r="1890">
      <c r="T1890" s="258">
        <f>IF(R1890="","",IFERROR(TODAY()+VLOOKUP(R1890,REGRAS!$B$2:$C$13,2,0),""))</f>
        <v/>
      </c>
    </row>
    <row r="1891">
      <c r="T1891" s="258">
        <f>IF(R1891="","",IFERROR(TODAY()+VLOOKUP(R1891,REGRAS!$B$2:$C$13,2,0),""))</f>
        <v/>
      </c>
    </row>
    <row r="1892">
      <c r="T1892" s="258">
        <f>IF(R1892="","",IFERROR(TODAY()+VLOOKUP(R1892,REGRAS!$B$2:$C$13,2,0),""))</f>
        <v/>
      </c>
    </row>
    <row r="1893">
      <c r="T1893" s="258">
        <f>IF(R1893="","",IFERROR(TODAY()+VLOOKUP(R1893,REGRAS!$B$2:$C$13,2,0),""))</f>
        <v/>
      </c>
    </row>
    <row r="1894">
      <c r="T1894" s="258">
        <f>IF(R1894="","",IFERROR(TODAY()+VLOOKUP(R1894,REGRAS!$B$2:$C$13,2,0),""))</f>
        <v/>
      </c>
    </row>
    <row r="1895">
      <c r="T1895" s="258">
        <f>IF(R1895="","",IFERROR(TODAY()+VLOOKUP(R1895,REGRAS!$B$2:$C$13,2,0),""))</f>
        <v/>
      </c>
    </row>
    <row r="1896">
      <c r="T1896" s="258">
        <f>IF(R1896="","",IFERROR(TODAY()+VLOOKUP(R1896,REGRAS!$B$2:$C$13,2,0),""))</f>
        <v/>
      </c>
    </row>
    <row r="1897">
      <c r="T1897" s="258">
        <f>IF(R1897="","",IFERROR(TODAY()+VLOOKUP(R1897,REGRAS!$B$2:$C$13,2,0),""))</f>
        <v/>
      </c>
    </row>
    <row r="1898">
      <c r="T1898" s="258">
        <f>IF(R1898="","",IFERROR(TODAY()+VLOOKUP(R1898,REGRAS!$B$2:$C$13,2,0),""))</f>
        <v/>
      </c>
    </row>
    <row r="1899">
      <c r="T1899" s="258">
        <f>IF(R1899="","",IFERROR(TODAY()+VLOOKUP(R1899,REGRAS!$B$2:$C$13,2,0),""))</f>
        <v/>
      </c>
    </row>
    <row r="1900">
      <c r="T1900" s="258">
        <f>IF(R1900="","",IFERROR(TODAY()+VLOOKUP(R1900,REGRAS!$B$2:$C$13,2,0),""))</f>
        <v/>
      </c>
    </row>
    <row r="1901">
      <c r="T1901" s="258">
        <f>IF(R1901="","",IFERROR(TODAY()+VLOOKUP(R1901,REGRAS!$B$2:$C$13,2,0),""))</f>
        <v/>
      </c>
    </row>
    <row r="1902">
      <c r="T1902" s="258">
        <f>IF(R1902="","",IFERROR(TODAY()+VLOOKUP(R1902,REGRAS!$B$2:$C$13,2,0),""))</f>
        <v/>
      </c>
    </row>
    <row r="1903">
      <c r="T1903" s="258">
        <f>IF(R1903="","",IFERROR(TODAY()+VLOOKUP(R1903,REGRAS!$B$2:$C$13,2,0),""))</f>
        <v/>
      </c>
    </row>
    <row r="1904">
      <c r="T1904" s="258">
        <f>IF(R1904="","",IFERROR(TODAY()+VLOOKUP(R1904,REGRAS!$B$2:$C$13,2,0),""))</f>
        <v/>
      </c>
    </row>
    <row r="1905">
      <c r="T1905" s="258">
        <f>IF(R1905="","",IFERROR(TODAY()+VLOOKUP(R1905,REGRAS!$B$2:$C$13,2,0),""))</f>
        <v/>
      </c>
    </row>
    <row r="1906">
      <c r="T1906" s="258">
        <f>IF(R1906="","",IFERROR(TODAY()+VLOOKUP(R1906,REGRAS!$B$2:$C$13,2,0),""))</f>
        <v/>
      </c>
    </row>
    <row r="1907">
      <c r="T1907" s="258">
        <f>IF(R1907="","",IFERROR(TODAY()+VLOOKUP(R1907,REGRAS!$B$2:$C$13,2,0),""))</f>
        <v/>
      </c>
    </row>
    <row r="1908">
      <c r="T1908" s="258">
        <f>IF(R1908="","",IFERROR(TODAY()+VLOOKUP(R1908,REGRAS!$B$2:$C$13,2,0),""))</f>
        <v/>
      </c>
    </row>
    <row r="1909">
      <c r="T1909" s="258">
        <f>IF(R1909="","",IFERROR(TODAY()+VLOOKUP(R1909,REGRAS!$B$2:$C$13,2,0),""))</f>
        <v/>
      </c>
    </row>
    <row r="1910">
      <c r="T1910" s="258">
        <f>IF(R1910="","",IFERROR(TODAY()+VLOOKUP(R1910,REGRAS!$B$2:$C$13,2,0),""))</f>
        <v/>
      </c>
    </row>
    <row r="1911">
      <c r="T1911" s="258">
        <f>IF(R1911="","",IFERROR(TODAY()+VLOOKUP(R1911,REGRAS!$B$2:$C$13,2,0),""))</f>
        <v/>
      </c>
    </row>
    <row r="1912">
      <c r="T1912" s="258">
        <f>IF(R1912="","",IFERROR(TODAY()+VLOOKUP(R1912,REGRAS!$B$2:$C$13,2,0),""))</f>
        <v/>
      </c>
    </row>
    <row r="1913">
      <c r="T1913" s="258">
        <f>IF(R1913="","",IFERROR(TODAY()+VLOOKUP(R1913,REGRAS!$B$2:$C$13,2,0),""))</f>
        <v/>
      </c>
    </row>
    <row r="1914">
      <c r="T1914" s="258">
        <f>IF(R1914="","",IFERROR(TODAY()+VLOOKUP(R1914,REGRAS!$B$2:$C$13,2,0),""))</f>
        <v/>
      </c>
    </row>
    <row r="1915">
      <c r="T1915" s="258">
        <f>IF(R1915="","",IFERROR(TODAY()+VLOOKUP(R1915,REGRAS!$B$2:$C$13,2,0),""))</f>
        <v/>
      </c>
    </row>
    <row r="1916">
      <c r="T1916" s="258">
        <f>IF(R1916="","",IFERROR(TODAY()+VLOOKUP(R1916,REGRAS!$B$2:$C$13,2,0),""))</f>
        <v/>
      </c>
    </row>
    <row r="1917">
      <c r="T1917" s="258">
        <f>IF(R1917="","",IFERROR(TODAY()+VLOOKUP(R1917,REGRAS!$B$2:$C$13,2,0),""))</f>
        <v/>
      </c>
    </row>
    <row r="1918">
      <c r="T1918" s="258">
        <f>IF(R1918="","",IFERROR(TODAY()+VLOOKUP(R1918,REGRAS!$B$2:$C$13,2,0),""))</f>
        <v/>
      </c>
    </row>
    <row r="1919">
      <c r="T1919" s="258">
        <f>IF(R1919="","",IFERROR(TODAY()+VLOOKUP(R1919,REGRAS!$B$2:$C$13,2,0),""))</f>
        <v/>
      </c>
    </row>
    <row r="1920">
      <c r="T1920" s="258">
        <f>IF(R1920="","",IFERROR(TODAY()+VLOOKUP(R1920,REGRAS!$B$2:$C$13,2,0),""))</f>
        <v/>
      </c>
    </row>
    <row r="1921">
      <c r="T1921" s="258">
        <f>IF(R1921="","",IFERROR(TODAY()+VLOOKUP(R1921,REGRAS!$B$2:$C$13,2,0),""))</f>
        <v/>
      </c>
    </row>
    <row r="1922">
      <c r="T1922" s="258">
        <f>IF(R1922="","",IFERROR(TODAY()+VLOOKUP(R1922,REGRAS!$B$2:$C$13,2,0),""))</f>
        <v/>
      </c>
    </row>
    <row r="1923">
      <c r="T1923" s="258">
        <f>IF(R1923="","",IFERROR(TODAY()+VLOOKUP(R1923,REGRAS!$B$2:$C$13,2,0),""))</f>
        <v/>
      </c>
    </row>
    <row r="1924">
      <c r="T1924" s="258">
        <f>IF(R1924="","",IFERROR(TODAY()+VLOOKUP(R1924,REGRAS!$B$2:$C$13,2,0),""))</f>
        <v/>
      </c>
    </row>
    <row r="1925">
      <c r="T1925" s="258">
        <f>IF(R1925="","",IFERROR(TODAY()+VLOOKUP(R1925,REGRAS!$B$2:$C$13,2,0),""))</f>
        <v/>
      </c>
    </row>
    <row r="1926">
      <c r="T1926" s="258">
        <f>IF(R1926="","",IFERROR(TODAY()+VLOOKUP(R1926,REGRAS!$B$2:$C$13,2,0),""))</f>
        <v/>
      </c>
    </row>
    <row r="1927">
      <c r="T1927" s="258">
        <f>IF(R1927="","",IFERROR(TODAY()+VLOOKUP(R1927,REGRAS!$B$2:$C$13,2,0),""))</f>
        <v/>
      </c>
    </row>
    <row r="1928">
      <c r="T1928" s="258">
        <f>IF(R1928="","",IFERROR(TODAY()+VLOOKUP(R1928,REGRAS!$B$2:$C$13,2,0),""))</f>
        <v/>
      </c>
    </row>
    <row r="1929">
      <c r="T1929" s="258">
        <f>IF(R1929="","",IFERROR(TODAY()+VLOOKUP(R1929,REGRAS!$B$2:$C$13,2,0),""))</f>
        <v/>
      </c>
    </row>
    <row r="1930">
      <c r="T1930" s="258">
        <f>IF(R1930="","",IFERROR(TODAY()+VLOOKUP(R1930,REGRAS!$B$2:$C$13,2,0),""))</f>
        <v/>
      </c>
    </row>
    <row r="1931">
      <c r="T1931" s="258">
        <f>IF(R1931="","",IFERROR(TODAY()+VLOOKUP(R1931,REGRAS!$B$2:$C$13,2,0),""))</f>
        <v/>
      </c>
    </row>
    <row r="1932">
      <c r="T1932" s="258">
        <f>IF(R1932="","",IFERROR(TODAY()+VLOOKUP(R1932,REGRAS!$B$2:$C$13,2,0),""))</f>
        <v/>
      </c>
    </row>
    <row r="1933">
      <c r="T1933" s="258">
        <f>IF(R1933="","",IFERROR(TODAY()+VLOOKUP(R1933,REGRAS!$B$2:$C$13,2,0),""))</f>
        <v/>
      </c>
    </row>
    <row r="1934">
      <c r="T1934" s="258">
        <f>IF(R1934="","",IFERROR(TODAY()+VLOOKUP(R1934,REGRAS!$B$2:$C$13,2,0),""))</f>
        <v/>
      </c>
    </row>
    <row r="1935">
      <c r="T1935" s="258">
        <f>IF(R1935="","",IFERROR(TODAY()+VLOOKUP(R1935,REGRAS!$B$2:$C$13,2,0),""))</f>
        <v/>
      </c>
    </row>
    <row r="1936">
      <c r="T1936" s="258">
        <f>IF(R1936="","",IFERROR(TODAY()+VLOOKUP(R1936,REGRAS!$B$2:$C$13,2,0),""))</f>
        <v/>
      </c>
    </row>
    <row r="1937">
      <c r="T1937" s="258">
        <f>IF(R1937="","",IFERROR(TODAY()+VLOOKUP(R1937,REGRAS!$B$2:$C$13,2,0),""))</f>
        <v/>
      </c>
    </row>
    <row r="1938">
      <c r="T1938" s="258">
        <f>IF(R1938="","",IFERROR(TODAY()+VLOOKUP(R1938,REGRAS!$B$2:$C$13,2,0),""))</f>
        <v/>
      </c>
    </row>
    <row r="1939">
      <c r="T1939" s="258">
        <f>IF(R1939="","",IFERROR(TODAY()+VLOOKUP(R1939,REGRAS!$B$2:$C$13,2,0),""))</f>
        <v/>
      </c>
    </row>
    <row r="1940">
      <c r="T1940" s="258">
        <f>IF(R1940="","",IFERROR(TODAY()+VLOOKUP(R1940,REGRAS!$B$2:$C$13,2,0),""))</f>
        <v/>
      </c>
    </row>
    <row r="1941">
      <c r="T1941" s="258">
        <f>IF(R1941="","",IFERROR(TODAY()+VLOOKUP(R1941,REGRAS!$B$2:$C$13,2,0),""))</f>
        <v/>
      </c>
    </row>
    <row r="1942">
      <c r="T1942" s="258">
        <f>IF(R1942="","",IFERROR(TODAY()+VLOOKUP(R1942,REGRAS!$B$2:$C$13,2,0),""))</f>
        <v/>
      </c>
    </row>
    <row r="1943">
      <c r="T1943" s="258">
        <f>IF(R1943="","",IFERROR(TODAY()+VLOOKUP(R1943,REGRAS!$B$2:$C$13,2,0),""))</f>
        <v/>
      </c>
    </row>
    <row r="1944">
      <c r="T1944" s="258">
        <f>IF(R1944="","",IFERROR(TODAY()+VLOOKUP(R1944,REGRAS!$B$2:$C$13,2,0),""))</f>
        <v/>
      </c>
    </row>
    <row r="1945">
      <c r="T1945" s="258">
        <f>IF(R1945="","",IFERROR(TODAY()+VLOOKUP(R1945,REGRAS!$B$2:$C$13,2,0),""))</f>
        <v/>
      </c>
    </row>
    <row r="1946">
      <c r="T1946" s="258">
        <f>IF(R1946="","",IFERROR(TODAY()+VLOOKUP(R1946,REGRAS!$B$2:$C$13,2,0),""))</f>
        <v/>
      </c>
    </row>
    <row r="1947">
      <c r="T1947" s="258">
        <f>IF(R1947="","",IFERROR(TODAY()+VLOOKUP(R1947,REGRAS!$B$2:$C$13,2,0),""))</f>
        <v/>
      </c>
    </row>
    <row r="1948">
      <c r="T1948" s="258">
        <f>IF(R1948="","",IFERROR(TODAY()+VLOOKUP(R1948,REGRAS!$B$2:$C$13,2,0),""))</f>
        <v/>
      </c>
    </row>
    <row r="1949">
      <c r="T1949" s="258">
        <f>IF(R1949="","",IFERROR(TODAY()+VLOOKUP(R1949,REGRAS!$B$2:$C$13,2,0),""))</f>
        <v/>
      </c>
    </row>
    <row r="1950">
      <c r="T1950" s="258">
        <f>IF(R1950="","",IFERROR(TODAY()+VLOOKUP(R1950,REGRAS!$B$2:$C$13,2,0),""))</f>
        <v/>
      </c>
    </row>
    <row r="1951">
      <c r="T1951" s="258">
        <f>IF(R1951="","",IFERROR(TODAY()+VLOOKUP(R1951,REGRAS!$B$2:$C$13,2,0),""))</f>
        <v/>
      </c>
    </row>
    <row r="1952">
      <c r="T1952" s="258">
        <f>IF(R1952="","",IFERROR(TODAY()+VLOOKUP(R1952,REGRAS!$B$2:$C$13,2,0),""))</f>
        <v/>
      </c>
    </row>
    <row r="1953">
      <c r="T1953" s="258">
        <f>IF(R1953="","",IFERROR(TODAY()+VLOOKUP(R1953,REGRAS!$B$2:$C$13,2,0),""))</f>
        <v/>
      </c>
    </row>
    <row r="1954">
      <c r="T1954" s="258">
        <f>IF(R1954="","",IFERROR(TODAY()+VLOOKUP(R1954,REGRAS!$B$2:$C$13,2,0),""))</f>
        <v/>
      </c>
    </row>
    <row r="1955">
      <c r="T1955" s="258">
        <f>IF(R1955="","",IFERROR(TODAY()+VLOOKUP(R1955,REGRAS!$B$2:$C$13,2,0),""))</f>
        <v/>
      </c>
    </row>
    <row r="1956">
      <c r="T1956" s="258">
        <f>IF(R1956="","",IFERROR(TODAY()+VLOOKUP(R1956,REGRAS!$B$2:$C$13,2,0),""))</f>
        <v/>
      </c>
    </row>
    <row r="1957">
      <c r="T1957" s="258">
        <f>IF(R1957="","",IFERROR(TODAY()+VLOOKUP(R1957,REGRAS!$B$2:$C$13,2,0),""))</f>
        <v/>
      </c>
    </row>
    <row r="1958">
      <c r="T1958" s="258">
        <f>IF(R1958="","",IFERROR(TODAY()+VLOOKUP(R1958,REGRAS!$B$2:$C$13,2,0),""))</f>
        <v/>
      </c>
    </row>
    <row r="1959">
      <c r="T1959" s="258">
        <f>IF(R1959="","",IFERROR(TODAY()+VLOOKUP(R1959,REGRAS!$B$2:$C$13,2,0),""))</f>
        <v/>
      </c>
    </row>
    <row r="1960">
      <c r="T1960" s="258">
        <f>IF(R1960="","",IFERROR(TODAY()+VLOOKUP(R1960,REGRAS!$B$2:$C$13,2,0),""))</f>
        <v/>
      </c>
    </row>
    <row r="1961">
      <c r="T1961" s="258">
        <f>IF(R1961="","",IFERROR(TODAY()+VLOOKUP(R1961,REGRAS!$B$2:$C$13,2,0),""))</f>
        <v/>
      </c>
    </row>
    <row r="1962">
      <c r="T1962" s="258">
        <f>IF(R1962="","",IFERROR(TODAY()+VLOOKUP(R1962,REGRAS!$B$2:$C$13,2,0),""))</f>
        <v/>
      </c>
    </row>
    <row r="1963">
      <c r="T1963" s="258">
        <f>IF(R1963="","",IFERROR(TODAY()+VLOOKUP(R1963,REGRAS!$B$2:$C$13,2,0),""))</f>
        <v/>
      </c>
    </row>
    <row r="1964">
      <c r="T1964" s="258">
        <f>IF(R1964="","",IFERROR(TODAY()+VLOOKUP(R1964,REGRAS!$B$2:$C$13,2,0),""))</f>
        <v/>
      </c>
    </row>
    <row r="1965">
      <c r="T1965" s="258">
        <f>IF(R1965="","",IFERROR(TODAY()+VLOOKUP(R1965,REGRAS!$B$2:$C$13,2,0),""))</f>
        <v/>
      </c>
    </row>
    <row r="1966">
      <c r="T1966" s="258">
        <f>IF(R1966="","",IFERROR(TODAY()+VLOOKUP(R1966,REGRAS!$B$2:$C$13,2,0),""))</f>
        <v/>
      </c>
    </row>
    <row r="1967">
      <c r="T1967" s="258">
        <f>IF(R1967="","",IFERROR(TODAY()+VLOOKUP(R1967,REGRAS!$B$2:$C$13,2,0),""))</f>
        <v/>
      </c>
    </row>
    <row r="1968">
      <c r="T1968" s="258">
        <f>IF(R1968="","",IFERROR(TODAY()+VLOOKUP(R1968,REGRAS!$B$2:$C$13,2,0),""))</f>
        <v/>
      </c>
    </row>
    <row r="1969">
      <c r="T1969" s="258">
        <f>IF(R1969="","",IFERROR(TODAY()+VLOOKUP(R1969,REGRAS!$B$2:$C$13,2,0),""))</f>
        <v/>
      </c>
    </row>
    <row r="1970">
      <c r="T1970" s="258">
        <f>IF(R1970="","",IFERROR(TODAY()+VLOOKUP(R1970,REGRAS!$B$2:$C$13,2,0),""))</f>
        <v/>
      </c>
    </row>
    <row r="1971">
      <c r="T1971" s="258">
        <f>IF(R1971="","",IFERROR(TODAY()+VLOOKUP(R1971,REGRAS!$B$2:$C$13,2,0),""))</f>
        <v/>
      </c>
    </row>
    <row r="1972">
      <c r="T1972" s="258">
        <f>IF(R1972="","",IFERROR(TODAY()+VLOOKUP(R1972,REGRAS!$B$2:$C$13,2,0),""))</f>
        <v/>
      </c>
    </row>
    <row r="1973">
      <c r="T1973" s="258">
        <f>IF(R1973="","",IFERROR(TODAY()+VLOOKUP(R1973,REGRAS!$B$2:$C$13,2,0),""))</f>
        <v/>
      </c>
    </row>
    <row r="1974">
      <c r="T1974" s="258">
        <f>IF(R1974="","",IFERROR(TODAY()+VLOOKUP(R1974,REGRAS!$B$2:$C$13,2,0),""))</f>
        <v/>
      </c>
    </row>
    <row r="1975">
      <c r="T1975" s="258">
        <f>IF(R1975="","",IFERROR(TODAY()+VLOOKUP(R1975,REGRAS!$B$2:$C$13,2,0),""))</f>
        <v/>
      </c>
    </row>
    <row r="1976">
      <c r="T1976" s="258">
        <f>IF(R1976="","",IFERROR(TODAY()+VLOOKUP(R1976,REGRAS!$B$2:$C$13,2,0),""))</f>
        <v/>
      </c>
    </row>
    <row r="1977">
      <c r="T1977" s="258">
        <f>IF(R1977="","",IFERROR(TODAY()+VLOOKUP(R1977,REGRAS!$B$2:$C$13,2,0),""))</f>
        <v/>
      </c>
    </row>
    <row r="1978">
      <c r="T1978" s="258">
        <f>IF(R1978="","",IFERROR(TODAY()+VLOOKUP(R1978,REGRAS!$B$2:$C$13,2,0),""))</f>
        <v/>
      </c>
    </row>
    <row r="1979">
      <c r="T1979" s="258">
        <f>IF(R1979="","",IFERROR(TODAY()+VLOOKUP(R1979,REGRAS!$B$2:$C$13,2,0),""))</f>
        <v/>
      </c>
    </row>
    <row r="1980">
      <c r="T1980" s="258">
        <f>IF(R1980="","",IFERROR(TODAY()+VLOOKUP(R1980,REGRAS!$B$2:$C$13,2,0),""))</f>
        <v/>
      </c>
    </row>
    <row r="1981">
      <c r="T1981" s="258">
        <f>IF(R1981="","",IFERROR(TODAY()+VLOOKUP(R1981,REGRAS!$B$2:$C$13,2,0),""))</f>
        <v/>
      </c>
    </row>
    <row r="1982">
      <c r="T1982" s="258">
        <f>IF(R1982="","",IFERROR(TODAY()+VLOOKUP(R1982,REGRAS!$B$2:$C$13,2,0),""))</f>
        <v/>
      </c>
    </row>
    <row r="1983">
      <c r="T1983" s="258">
        <f>IF(R1983="","",IFERROR(TODAY()+VLOOKUP(R1983,REGRAS!$B$2:$C$13,2,0),""))</f>
        <v/>
      </c>
    </row>
    <row r="1984">
      <c r="T1984" s="258">
        <f>IF(R1984="","",IFERROR(TODAY()+VLOOKUP(R1984,REGRAS!$B$2:$C$13,2,0),""))</f>
        <v/>
      </c>
    </row>
    <row r="1985">
      <c r="T1985" s="258">
        <f>IF(R1985="","",IFERROR(TODAY()+VLOOKUP(R1985,REGRAS!$B$2:$C$13,2,0),""))</f>
        <v/>
      </c>
    </row>
    <row r="1986">
      <c r="T1986" s="258">
        <f>IF(R1986="","",IFERROR(TODAY()+VLOOKUP(R1986,REGRAS!$B$2:$C$13,2,0),""))</f>
        <v/>
      </c>
    </row>
    <row r="1987">
      <c r="T1987" s="258">
        <f>IF(R1987="","",IFERROR(TODAY()+VLOOKUP(R1987,REGRAS!$B$2:$C$13,2,0),""))</f>
        <v/>
      </c>
    </row>
    <row r="1988">
      <c r="T1988" s="258">
        <f>IF(R1988="","",IFERROR(TODAY()+VLOOKUP(R1988,REGRAS!$B$2:$C$13,2,0),""))</f>
        <v/>
      </c>
    </row>
    <row r="1989">
      <c r="T1989" s="258">
        <f>IF(R1989="","",IFERROR(TODAY()+VLOOKUP(R1989,REGRAS!$B$2:$C$13,2,0),""))</f>
        <v/>
      </c>
    </row>
    <row r="1990">
      <c r="T1990" s="258">
        <f>IF(R1990="","",IFERROR(TODAY()+VLOOKUP(R1990,REGRAS!$B$2:$C$13,2,0),""))</f>
        <v/>
      </c>
    </row>
    <row r="1991">
      <c r="T1991" s="258">
        <f>IF(R1991="","",IFERROR(TODAY()+VLOOKUP(R1991,REGRAS!$B$2:$C$13,2,0),""))</f>
        <v/>
      </c>
    </row>
    <row r="1992">
      <c r="T1992" s="258">
        <f>IF(R1992="","",IFERROR(TODAY()+VLOOKUP(R1992,REGRAS!$B$2:$C$13,2,0),""))</f>
        <v/>
      </c>
    </row>
    <row r="1993">
      <c r="T1993" s="258">
        <f>IF(R1993="","",IFERROR(TODAY()+VLOOKUP(R1993,REGRAS!$B$2:$C$13,2,0),""))</f>
        <v/>
      </c>
    </row>
    <row r="1994">
      <c r="T1994" s="258">
        <f>IF(R1994="","",IFERROR(TODAY()+VLOOKUP(R1994,REGRAS!$B$2:$C$13,2,0),""))</f>
        <v/>
      </c>
    </row>
    <row r="1995">
      <c r="T1995" s="258">
        <f>IF(R1995="","",IFERROR(TODAY()+VLOOKUP(R1995,REGRAS!$B$2:$C$13,2,0),""))</f>
        <v/>
      </c>
    </row>
    <row r="1996">
      <c r="T1996" s="258">
        <f>IF(R1996="","",IFERROR(TODAY()+VLOOKUP(R1996,REGRAS!$B$2:$C$13,2,0),""))</f>
        <v/>
      </c>
    </row>
    <row r="1997">
      <c r="T1997" s="258">
        <f>IF(R1997="","",IFERROR(TODAY()+VLOOKUP(R1997,REGRAS!$B$2:$C$13,2,0),""))</f>
        <v/>
      </c>
    </row>
    <row r="1998">
      <c r="T1998" s="258">
        <f>IF(R1998="","",IFERROR(TODAY()+VLOOKUP(R1998,REGRAS!$B$2:$C$13,2,0),""))</f>
        <v/>
      </c>
    </row>
    <row r="1999">
      <c r="T1999" s="258">
        <f>IF(R1999="","",IFERROR(TODAY()+VLOOKUP(R1999,REGRAS!$B$2:$C$13,2,0),""))</f>
        <v/>
      </c>
    </row>
    <row r="2000">
      <c r="T2000" s="258">
        <f>IF(R2000="","",IFERROR(TODAY()+VLOOKUP(R2000,REGRAS!$B$2:$C$13,2,0),""))</f>
        <v/>
      </c>
    </row>
    <row r="2001">
      <c r="T2001" s="258">
        <f>IF(R2001="","",IFERROR(TODAY()+VLOOKUP(R2001,REGRAS!$B$2:$C$13,2,0),""))</f>
        <v/>
      </c>
    </row>
    <row r="2002">
      <c r="T2002" s="258">
        <f>IF(R2002="","",IFERROR(TODAY()+VLOOKUP(R2002,REGRAS!$B$2:$C$13,2,0),""))</f>
        <v/>
      </c>
    </row>
    <row r="2003">
      <c r="T2003" s="258">
        <f>IF(R2003="","",IFERROR(TODAY()+VLOOKUP(R2003,REGRAS!$B$2:$C$13,2,0),""))</f>
        <v/>
      </c>
    </row>
    <row r="2004">
      <c r="T2004" s="258">
        <f>IF(R2004="","",IFERROR(TODAY()+VLOOKUP(R2004,REGRAS!$B$2:$C$13,2,0),""))</f>
        <v/>
      </c>
    </row>
    <row r="2005">
      <c r="T2005" s="258">
        <f>IF(R2005="","",IFERROR(TODAY()+VLOOKUP(R2005,REGRAS!$B$2:$C$13,2,0),""))</f>
        <v/>
      </c>
    </row>
    <row r="2006">
      <c r="T2006" s="258">
        <f>IF(R2006="","",IFERROR(TODAY()+VLOOKUP(R2006,REGRAS!$B$2:$C$13,2,0),""))</f>
        <v/>
      </c>
    </row>
    <row r="2007">
      <c r="T2007" s="258">
        <f>IF(R2007="","",IFERROR(TODAY()+VLOOKUP(R2007,REGRAS!$B$2:$C$13,2,0),""))</f>
        <v/>
      </c>
    </row>
    <row r="2008">
      <c r="T2008" s="258">
        <f>IF(R2008="","",IFERROR(TODAY()+VLOOKUP(R2008,REGRAS!$B$2:$C$13,2,0),""))</f>
        <v/>
      </c>
    </row>
    <row r="2009">
      <c r="T2009" s="258">
        <f>IF(R2009="","",IFERROR(TODAY()+VLOOKUP(R2009,REGRAS!$B$2:$C$13,2,0),""))</f>
        <v/>
      </c>
    </row>
    <row r="2010">
      <c r="T2010" s="258">
        <f>IF(R2010="","",IFERROR(TODAY()+VLOOKUP(R2010,REGRAS!$B$2:$C$13,2,0),""))</f>
        <v/>
      </c>
    </row>
    <row r="2011">
      <c r="T2011" s="258">
        <f>IF(R2011="","",IFERROR(TODAY()+VLOOKUP(R2011,REGRAS!$B$2:$C$13,2,0),""))</f>
        <v/>
      </c>
    </row>
    <row r="2012">
      <c r="T2012" s="258">
        <f>IF(R2012="","",IFERROR(TODAY()+VLOOKUP(R2012,REGRAS!$B$2:$C$13,2,0),""))</f>
        <v/>
      </c>
    </row>
    <row r="2013">
      <c r="T2013" s="258">
        <f>IF(R2013="","",IFERROR(TODAY()+VLOOKUP(R2013,REGRAS!$B$2:$C$13,2,0),""))</f>
        <v/>
      </c>
    </row>
    <row r="2014">
      <c r="T2014" s="258">
        <f>IF(R2014="","",IFERROR(TODAY()+VLOOKUP(R2014,REGRAS!$B$2:$C$13,2,0),""))</f>
        <v/>
      </c>
    </row>
    <row r="2015">
      <c r="T2015" s="258">
        <f>IF(R2015="","",IFERROR(TODAY()+VLOOKUP(R2015,REGRAS!$B$2:$C$13,2,0),""))</f>
        <v/>
      </c>
    </row>
    <row r="2016">
      <c r="T2016" s="258">
        <f>IF(R2016="","",IFERROR(TODAY()+VLOOKUP(R2016,REGRAS!$B$2:$C$13,2,0),""))</f>
        <v/>
      </c>
    </row>
    <row r="2017">
      <c r="T2017" s="258">
        <f>IF(R2017="","",IFERROR(TODAY()+VLOOKUP(R2017,REGRAS!$B$2:$C$13,2,0),""))</f>
        <v/>
      </c>
    </row>
    <row r="2018">
      <c r="T2018" s="258">
        <f>IF(R2018="","",IFERROR(TODAY()+VLOOKUP(R2018,REGRAS!$B$2:$C$13,2,0),""))</f>
        <v/>
      </c>
    </row>
    <row r="2019">
      <c r="T2019" s="258">
        <f>IF(R2019="","",IFERROR(TODAY()+VLOOKUP(R2019,REGRAS!$B$2:$C$13,2,0),""))</f>
        <v/>
      </c>
    </row>
    <row r="2020">
      <c r="T2020" s="258">
        <f>IF(R2020="","",IFERROR(TODAY()+VLOOKUP(R2020,REGRAS!$B$2:$C$13,2,0),""))</f>
        <v/>
      </c>
    </row>
    <row r="2021">
      <c r="T2021" s="258">
        <f>IF(R2021="","",IFERROR(TODAY()+VLOOKUP(R2021,REGRAS!$B$2:$C$13,2,0),""))</f>
        <v/>
      </c>
    </row>
    <row r="2022">
      <c r="T2022" s="258">
        <f>IF(R2022="","",IFERROR(TODAY()+VLOOKUP(R2022,REGRAS!$B$2:$C$13,2,0),""))</f>
        <v/>
      </c>
    </row>
    <row r="2023">
      <c r="T2023" s="258">
        <f>IF(R2023="","",IFERROR(TODAY()+VLOOKUP(R2023,REGRAS!$B$2:$C$13,2,0),""))</f>
        <v/>
      </c>
    </row>
    <row r="2024">
      <c r="T2024" s="258">
        <f>IF(R2024="","",IFERROR(TODAY()+VLOOKUP(R2024,REGRAS!$B$2:$C$13,2,0),""))</f>
        <v/>
      </c>
    </row>
    <row r="2025">
      <c r="T2025" s="258">
        <f>IF(R2025="","",IFERROR(TODAY()+VLOOKUP(R2025,REGRAS!$B$2:$C$13,2,0),""))</f>
        <v/>
      </c>
    </row>
    <row r="2026">
      <c r="T2026" s="258">
        <f>IF(R2026="","",IFERROR(TODAY()+VLOOKUP(R2026,REGRAS!$B$2:$C$13,2,0),""))</f>
        <v/>
      </c>
    </row>
    <row r="2027">
      <c r="T2027" s="258">
        <f>IF(R2027="","",IFERROR(TODAY()+VLOOKUP(R2027,REGRAS!$B$2:$C$13,2,0),""))</f>
        <v/>
      </c>
    </row>
    <row r="2028">
      <c r="T2028" s="258">
        <f>IF(R2028="","",IFERROR(TODAY()+VLOOKUP(R2028,REGRAS!$B$2:$C$13,2,0),""))</f>
        <v/>
      </c>
    </row>
    <row r="2029">
      <c r="T2029" s="258">
        <f>IF(R2029="","",IFERROR(TODAY()+VLOOKUP(R2029,REGRAS!$B$2:$C$13,2,0),""))</f>
        <v/>
      </c>
    </row>
    <row r="2030">
      <c r="T2030" s="258">
        <f>IF(R2030="","",IFERROR(TODAY()+VLOOKUP(R2030,REGRAS!$B$2:$C$13,2,0),""))</f>
        <v/>
      </c>
    </row>
    <row r="2031">
      <c r="T2031" s="258">
        <f>IF(R2031="","",IFERROR(TODAY()+VLOOKUP(R2031,REGRAS!$B$2:$C$13,2,0),""))</f>
        <v/>
      </c>
    </row>
    <row r="2032">
      <c r="T2032" s="258">
        <f>IF(R2032="","",IFERROR(TODAY()+VLOOKUP(R2032,REGRAS!$B$2:$C$13,2,0),""))</f>
        <v/>
      </c>
    </row>
    <row r="2033">
      <c r="T2033" s="258">
        <f>IF(R2033="","",IFERROR(TODAY()+VLOOKUP(R2033,REGRAS!$B$2:$C$13,2,0),""))</f>
        <v/>
      </c>
    </row>
    <row r="2034">
      <c r="T2034" s="258">
        <f>IF(R2034="","",IFERROR(TODAY()+VLOOKUP(R2034,REGRAS!$B$2:$C$13,2,0),""))</f>
        <v/>
      </c>
    </row>
    <row r="2035">
      <c r="T2035" s="258">
        <f>IF(R2035="","",IFERROR(TODAY()+VLOOKUP(R2035,REGRAS!$B$2:$C$13,2,0),""))</f>
        <v/>
      </c>
    </row>
    <row r="2036">
      <c r="T2036" s="258">
        <f>IF(R2036="","",IFERROR(TODAY()+VLOOKUP(R2036,REGRAS!$B$2:$C$13,2,0),""))</f>
        <v/>
      </c>
    </row>
    <row r="2037">
      <c r="T2037" s="258">
        <f>IF(R2037="","",IFERROR(TODAY()+VLOOKUP(R2037,REGRAS!$B$2:$C$13,2,0),""))</f>
        <v/>
      </c>
    </row>
    <row r="2038">
      <c r="T2038" s="258">
        <f>IF(R2038="","",IFERROR(TODAY()+VLOOKUP(R2038,REGRAS!$B$2:$C$13,2,0),""))</f>
        <v/>
      </c>
    </row>
    <row r="2039">
      <c r="T2039" s="258">
        <f>IF(R2039="","",IFERROR(TODAY()+VLOOKUP(R2039,REGRAS!$B$2:$C$13,2,0),""))</f>
        <v/>
      </c>
    </row>
    <row r="2040">
      <c r="T2040" s="258">
        <f>IF(R2040="","",IFERROR(TODAY()+VLOOKUP(R2040,REGRAS!$B$2:$C$13,2,0),""))</f>
        <v/>
      </c>
    </row>
    <row r="2041">
      <c r="T2041" s="258">
        <f>IF(R2041="","",IFERROR(TODAY()+VLOOKUP(R2041,REGRAS!$B$2:$C$13,2,0),""))</f>
        <v/>
      </c>
    </row>
    <row r="2042">
      <c r="T2042" s="258">
        <f>IF(R2042="","",IFERROR(TODAY()+VLOOKUP(R2042,REGRAS!$B$2:$C$13,2,0),""))</f>
        <v/>
      </c>
    </row>
    <row r="2043">
      <c r="T2043" s="258">
        <f>IF(R2043="","",IFERROR(TODAY()+VLOOKUP(R2043,REGRAS!$B$2:$C$13,2,0),""))</f>
        <v/>
      </c>
    </row>
    <row r="2044">
      <c r="T2044" s="258">
        <f>IF(R2044="","",IFERROR(TODAY()+VLOOKUP(R2044,REGRAS!$B$2:$C$13,2,0),""))</f>
        <v/>
      </c>
    </row>
    <row r="2045">
      <c r="T2045" s="258">
        <f>IF(R2045="","",IFERROR(TODAY()+VLOOKUP(R2045,REGRAS!$B$2:$C$13,2,0),""))</f>
        <v/>
      </c>
    </row>
    <row r="2046">
      <c r="T2046" s="258">
        <f>IF(R2046="","",IFERROR(TODAY()+VLOOKUP(R2046,REGRAS!$B$2:$C$13,2,0),""))</f>
        <v/>
      </c>
    </row>
    <row r="2047">
      <c r="T2047" s="258">
        <f>IF(R2047="","",IFERROR(TODAY()+VLOOKUP(R2047,REGRAS!$B$2:$C$13,2,0),""))</f>
        <v/>
      </c>
    </row>
    <row r="2048">
      <c r="T2048" s="258">
        <f>IF(R2048="","",IFERROR(TODAY()+VLOOKUP(R2048,REGRAS!$B$2:$C$13,2,0),""))</f>
        <v/>
      </c>
    </row>
    <row r="2049">
      <c r="T2049" s="258">
        <f>IF(R2049="","",IFERROR(TODAY()+VLOOKUP(R2049,REGRAS!$B$2:$C$13,2,0),""))</f>
        <v/>
      </c>
    </row>
    <row r="2050">
      <c r="T2050" s="258">
        <f>IF(R2050="","",IFERROR(TODAY()+VLOOKUP(R2050,REGRAS!$B$2:$C$13,2,0),""))</f>
        <v/>
      </c>
    </row>
    <row r="2051">
      <c r="T2051" s="258">
        <f>IF(R2051="","",IFERROR(TODAY()+VLOOKUP(R2051,REGRAS!$B$2:$C$13,2,0),""))</f>
        <v/>
      </c>
    </row>
    <row r="2052">
      <c r="T2052" s="258">
        <f>IF(R2052="","",IFERROR(TODAY()+VLOOKUP(R2052,REGRAS!$B$2:$C$13,2,0),""))</f>
        <v/>
      </c>
    </row>
    <row r="2053">
      <c r="T2053" s="258">
        <f>IF(R2053="","",IFERROR(TODAY()+VLOOKUP(R2053,REGRAS!$B$2:$C$13,2,0),""))</f>
        <v/>
      </c>
    </row>
    <row r="2054">
      <c r="T2054" s="258">
        <f>IF(R2054="","",IFERROR(TODAY()+VLOOKUP(R2054,REGRAS!$B$2:$C$13,2,0),""))</f>
        <v/>
      </c>
    </row>
    <row r="2055">
      <c r="T2055" s="258">
        <f>IF(R2055="","",IFERROR(TODAY()+VLOOKUP(R2055,REGRAS!$B$2:$C$13,2,0),""))</f>
        <v/>
      </c>
    </row>
    <row r="2056">
      <c r="T2056" s="258">
        <f>IF(R2056="","",IFERROR(TODAY()+VLOOKUP(R2056,REGRAS!$B$2:$C$13,2,0),""))</f>
        <v/>
      </c>
    </row>
    <row r="2057">
      <c r="T2057" s="258">
        <f>IF(R2057="","",IFERROR(TODAY()+VLOOKUP(R2057,REGRAS!$B$2:$C$13,2,0),""))</f>
        <v/>
      </c>
    </row>
    <row r="2058">
      <c r="T2058" s="258">
        <f>IF(R2058="","",IFERROR(TODAY()+VLOOKUP(R2058,REGRAS!$B$2:$C$13,2,0),""))</f>
        <v/>
      </c>
    </row>
    <row r="2059">
      <c r="T2059" s="258">
        <f>IF(R2059="","",IFERROR(TODAY()+VLOOKUP(R2059,REGRAS!$B$2:$C$13,2,0),""))</f>
        <v/>
      </c>
    </row>
    <row r="2060">
      <c r="T2060" s="258">
        <f>IF(R2060="","",IFERROR(TODAY()+VLOOKUP(R2060,REGRAS!$B$2:$C$13,2,0),""))</f>
        <v/>
      </c>
    </row>
    <row r="2061">
      <c r="T2061" s="258">
        <f>IF(R2061="","",IFERROR(TODAY()+VLOOKUP(R2061,REGRAS!$B$2:$C$13,2,0),""))</f>
        <v/>
      </c>
    </row>
    <row r="2062">
      <c r="T2062" s="258">
        <f>IF(R2062="","",IFERROR(TODAY()+VLOOKUP(R2062,REGRAS!$B$2:$C$13,2,0),""))</f>
        <v/>
      </c>
    </row>
    <row r="2063">
      <c r="T2063" s="258">
        <f>IF(R2063="","",IFERROR(TODAY()+VLOOKUP(R2063,REGRAS!$B$2:$C$13,2,0),""))</f>
        <v/>
      </c>
    </row>
    <row r="2064">
      <c r="T2064" s="258">
        <f>IF(R2064="","",IFERROR(TODAY()+VLOOKUP(R2064,REGRAS!$B$2:$C$13,2,0),""))</f>
        <v/>
      </c>
    </row>
    <row r="2065">
      <c r="T2065" s="258">
        <f>IF(R2065="","",IFERROR(TODAY()+VLOOKUP(R2065,REGRAS!$B$2:$C$13,2,0),""))</f>
        <v/>
      </c>
    </row>
    <row r="2066">
      <c r="T2066" s="258">
        <f>IF(R2066="","",IFERROR(TODAY()+VLOOKUP(R2066,REGRAS!$B$2:$C$13,2,0),""))</f>
        <v/>
      </c>
    </row>
    <row r="2067">
      <c r="T2067" s="258">
        <f>IF(R2067="","",IFERROR(TODAY()+VLOOKUP(R2067,REGRAS!$B$2:$C$13,2,0),""))</f>
        <v/>
      </c>
    </row>
    <row r="2068">
      <c r="T2068" s="258">
        <f>IF(R2068="","",IFERROR(TODAY()+VLOOKUP(R2068,REGRAS!$B$2:$C$13,2,0),""))</f>
        <v/>
      </c>
    </row>
    <row r="2069">
      <c r="T2069" s="258">
        <f>IF(R2069="","",IFERROR(TODAY()+VLOOKUP(R2069,REGRAS!$B$2:$C$13,2,0),""))</f>
        <v/>
      </c>
    </row>
    <row r="2070">
      <c r="T2070" s="258">
        <f>IF(R2070="","",IFERROR(TODAY()+VLOOKUP(R2070,REGRAS!$B$2:$C$13,2,0),""))</f>
        <v/>
      </c>
    </row>
    <row r="2071">
      <c r="T2071" s="258">
        <f>IF(R2071="","",IFERROR(TODAY()+VLOOKUP(R2071,REGRAS!$B$2:$C$13,2,0),""))</f>
        <v/>
      </c>
    </row>
    <row r="2072">
      <c r="T2072" s="258">
        <f>IF(R2072="","",IFERROR(TODAY()+VLOOKUP(R2072,REGRAS!$B$2:$C$13,2,0),""))</f>
        <v/>
      </c>
    </row>
    <row r="2073">
      <c r="T2073" s="258">
        <f>IF(R2073="","",IFERROR(TODAY()+VLOOKUP(R2073,REGRAS!$B$2:$C$13,2,0),""))</f>
        <v/>
      </c>
    </row>
    <row r="2074">
      <c r="T2074" s="258">
        <f>IF(R2074="","",IFERROR(TODAY()+VLOOKUP(R2074,REGRAS!$B$2:$C$13,2,0),""))</f>
        <v/>
      </c>
    </row>
    <row r="2075">
      <c r="T2075" s="258">
        <f>IF(R2075="","",IFERROR(TODAY()+VLOOKUP(R2075,REGRAS!$B$2:$C$13,2,0),""))</f>
        <v/>
      </c>
    </row>
    <row r="2076">
      <c r="T2076" s="258">
        <f>IF(R2076="","",IFERROR(TODAY()+VLOOKUP(R2076,REGRAS!$B$2:$C$13,2,0),""))</f>
        <v/>
      </c>
    </row>
    <row r="2077">
      <c r="T2077" s="258">
        <f>IF(R2077="","",IFERROR(TODAY()+VLOOKUP(R2077,REGRAS!$B$2:$C$13,2,0),""))</f>
        <v/>
      </c>
    </row>
    <row r="2078">
      <c r="T2078" s="258">
        <f>IF(R2078="","",IFERROR(TODAY()+VLOOKUP(R2078,REGRAS!$B$2:$C$13,2,0),""))</f>
        <v/>
      </c>
    </row>
    <row r="2079">
      <c r="T2079" s="258">
        <f>IF(R2079="","",IFERROR(TODAY()+VLOOKUP(R2079,REGRAS!$B$2:$C$13,2,0),""))</f>
        <v/>
      </c>
    </row>
    <row r="2080">
      <c r="T2080" s="258">
        <f>IF(R2080="","",IFERROR(TODAY()+VLOOKUP(R2080,REGRAS!$B$2:$C$13,2,0),""))</f>
        <v/>
      </c>
    </row>
    <row r="2081">
      <c r="T2081" s="258">
        <f>IF(R2081="","",IFERROR(TODAY()+VLOOKUP(R2081,REGRAS!$B$2:$C$13,2,0),""))</f>
        <v/>
      </c>
    </row>
    <row r="2082">
      <c r="T2082" s="258">
        <f>IF(R2082="","",IFERROR(TODAY()+VLOOKUP(R2082,REGRAS!$B$2:$C$13,2,0),""))</f>
        <v/>
      </c>
    </row>
    <row r="2083">
      <c r="T2083" s="258">
        <f>IF(R2083="","",IFERROR(TODAY()+VLOOKUP(R2083,REGRAS!$B$2:$C$13,2,0),""))</f>
        <v/>
      </c>
    </row>
    <row r="2084">
      <c r="T2084" s="258">
        <f>IF(R2084="","",IFERROR(TODAY()+VLOOKUP(R2084,REGRAS!$B$2:$C$13,2,0),""))</f>
        <v/>
      </c>
    </row>
    <row r="2085">
      <c r="T2085" s="258">
        <f>IF(R2085="","",IFERROR(TODAY()+VLOOKUP(R2085,REGRAS!$B$2:$C$13,2,0),""))</f>
        <v/>
      </c>
    </row>
    <row r="2086">
      <c r="T2086" s="258">
        <f>IF(R2086="","",IFERROR(TODAY()+VLOOKUP(R2086,REGRAS!$B$2:$C$13,2,0),""))</f>
        <v/>
      </c>
    </row>
    <row r="2087">
      <c r="T2087" s="258">
        <f>IF(R2087="","",IFERROR(TODAY()+VLOOKUP(R2087,REGRAS!$B$2:$C$13,2,0),""))</f>
        <v/>
      </c>
    </row>
    <row r="2088">
      <c r="T2088" s="258">
        <f>IF(R2088="","",IFERROR(TODAY()+VLOOKUP(R2088,REGRAS!$B$2:$C$13,2,0),""))</f>
        <v/>
      </c>
    </row>
    <row r="2089">
      <c r="T2089" s="258">
        <f>IF(R2089="","",IFERROR(TODAY()+VLOOKUP(R2089,REGRAS!$B$2:$C$13,2,0),""))</f>
        <v/>
      </c>
    </row>
    <row r="2090">
      <c r="T2090" s="258">
        <f>IF(R2090="","",IFERROR(TODAY()+VLOOKUP(R2090,REGRAS!$B$2:$C$13,2,0),""))</f>
        <v/>
      </c>
    </row>
    <row r="2091">
      <c r="T2091" s="258">
        <f>IF(R2091="","",IFERROR(TODAY()+VLOOKUP(R2091,REGRAS!$B$2:$C$13,2,0),""))</f>
        <v/>
      </c>
    </row>
    <row r="2092">
      <c r="T2092" s="258">
        <f>IF(R2092="","",IFERROR(TODAY()+VLOOKUP(R2092,REGRAS!$B$2:$C$13,2,0),""))</f>
        <v/>
      </c>
    </row>
    <row r="2093">
      <c r="T2093" s="258">
        <f>IF(R2093="","",IFERROR(TODAY()+VLOOKUP(R2093,REGRAS!$B$2:$C$13,2,0),""))</f>
        <v/>
      </c>
    </row>
    <row r="2094">
      <c r="T2094" s="258">
        <f>IF(R2094="","",IFERROR(TODAY()+VLOOKUP(R2094,REGRAS!$B$2:$C$13,2,0),""))</f>
        <v/>
      </c>
    </row>
    <row r="2095">
      <c r="T2095" s="258">
        <f>IF(R2095="","",IFERROR(TODAY()+VLOOKUP(R2095,REGRAS!$B$2:$C$13,2,0),""))</f>
        <v/>
      </c>
    </row>
    <row r="2096">
      <c r="T2096" s="258">
        <f>IF(R2096="","",IFERROR(TODAY()+VLOOKUP(R2096,REGRAS!$B$2:$C$13,2,0),""))</f>
        <v/>
      </c>
    </row>
    <row r="2097">
      <c r="T2097" s="258">
        <f>IF(R2097="","",IFERROR(TODAY()+VLOOKUP(R2097,REGRAS!$B$2:$C$13,2,0),""))</f>
        <v/>
      </c>
    </row>
    <row r="2098">
      <c r="T2098" s="258">
        <f>IF(R2098="","",IFERROR(TODAY()+VLOOKUP(R2098,REGRAS!$B$2:$C$13,2,0),""))</f>
        <v/>
      </c>
    </row>
    <row r="2099">
      <c r="T2099" s="258">
        <f>IF(R2099="","",IFERROR(TODAY()+VLOOKUP(R2099,REGRAS!$B$2:$C$13,2,0),""))</f>
        <v/>
      </c>
    </row>
    <row r="2100">
      <c r="T2100" s="258">
        <f>IF(R2100="","",IFERROR(TODAY()+VLOOKUP(R2100,REGRAS!$B$2:$C$13,2,0),""))</f>
        <v/>
      </c>
    </row>
    <row r="2101">
      <c r="T2101" s="258">
        <f>IF(R2101="","",IFERROR(TODAY()+VLOOKUP(R2101,REGRAS!$B$2:$C$13,2,0),""))</f>
        <v/>
      </c>
    </row>
    <row r="2102">
      <c r="T2102" s="258">
        <f>IF(R2102="","",IFERROR(TODAY()+VLOOKUP(R2102,REGRAS!$B$2:$C$13,2,0),""))</f>
        <v/>
      </c>
    </row>
    <row r="2103">
      <c r="T2103" s="258">
        <f>IF(R2103="","",IFERROR(TODAY()+VLOOKUP(R2103,REGRAS!$B$2:$C$13,2,0),""))</f>
        <v/>
      </c>
    </row>
    <row r="2104">
      <c r="T2104" s="258">
        <f>IF(R2104="","",IFERROR(TODAY()+VLOOKUP(R2104,REGRAS!$B$2:$C$13,2,0),""))</f>
        <v/>
      </c>
    </row>
    <row r="2105">
      <c r="T2105" s="258">
        <f>IF(R2105="","",IFERROR(TODAY()+VLOOKUP(R2105,REGRAS!$B$2:$C$13,2,0),""))</f>
        <v/>
      </c>
    </row>
    <row r="2106">
      <c r="T2106" s="258">
        <f>IF(R2106="","",IFERROR(TODAY()+VLOOKUP(R2106,REGRAS!$B$2:$C$13,2,0),""))</f>
        <v/>
      </c>
    </row>
    <row r="2107">
      <c r="T2107" s="258">
        <f>IF(R2107="","",IFERROR(TODAY()+VLOOKUP(R2107,REGRAS!$B$2:$C$13,2,0),""))</f>
        <v/>
      </c>
    </row>
    <row r="2108">
      <c r="T2108" s="258">
        <f>IF(R2108="","",IFERROR(TODAY()+VLOOKUP(R2108,REGRAS!$B$2:$C$13,2,0),""))</f>
        <v/>
      </c>
    </row>
    <row r="2109">
      <c r="T2109" s="258">
        <f>IF(R2109="","",IFERROR(TODAY()+VLOOKUP(R2109,REGRAS!$B$2:$C$13,2,0),""))</f>
        <v/>
      </c>
    </row>
    <row r="2110">
      <c r="T2110" s="258">
        <f>IF(R2110="","",IFERROR(TODAY()+VLOOKUP(R2110,REGRAS!$B$2:$C$13,2,0),""))</f>
        <v/>
      </c>
    </row>
    <row r="2111">
      <c r="T2111" s="258">
        <f>IF(R2111="","",IFERROR(TODAY()+VLOOKUP(R2111,REGRAS!$B$2:$C$13,2,0),""))</f>
        <v/>
      </c>
    </row>
    <row r="2112">
      <c r="T2112" s="258">
        <f>IF(R2112="","",IFERROR(TODAY()+VLOOKUP(R2112,REGRAS!$B$2:$C$13,2,0),""))</f>
        <v/>
      </c>
    </row>
    <row r="2113">
      <c r="T2113" s="258">
        <f>IF(R2113="","",IFERROR(TODAY()+VLOOKUP(R2113,REGRAS!$B$2:$C$13,2,0),""))</f>
        <v/>
      </c>
    </row>
    <row r="2114">
      <c r="T2114" s="258">
        <f>IF(R2114="","",IFERROR(TODAY()+VLOOKUP(R2114,REGRAS!$B$2:$C$13,2,0),""))</f>
        <v/>
      </c>
    </row>
    <row r="2115">
      <c r="T2115" s="258">
        <f>IF(R2115="","",IFERROR(TODAY()+VLOOKUP(R2115,REGRAS!$B$2:$C$13,2,0),""))</f>
        <v/>
      </c>
    </row>
    <row r="2116">
      <c r="T2116" s="258">
        <f>IF(R2116="","",IFERROR(TODAY()+VLOOKUP(R2116,REGRAS!$B$2:$C$13,2,0),""))</f>
        <v/>
      </c>
    </row>
    <row r="2117">
      <c r="T2117" s="258">
        <f>IF(R2117="","",IFERROR(TODAY()+VLOOKUP(R2117,REGRAS!$B$2:$C$13,2,0),""))</f>
        <v/>
      </c>
    </row>
    <row r="2118">
      <c r="T2118" s="258">
        <f>IF(R2118="","",IFERROR(TODAY()+VLOOKUP(R2118,REGRAS!$B$2:$C$13,2,0),""))</f>
        <v/>
      </c>
    </row>
    <row r="2119">
      <c r="T2119" s="258">
        <f>IF(R2119="","",IFERROR(TODAY()+VLOOKUP(R2119,REGRAS!$B$2:$C$13,2,0),""))</f>
        <v/>
      </c>
    </row>
    <row r="2120">
      <c r="T2120" s="258">
        <f>IF(R2120="","",IFERROR(TODAY()+VLOOKUP(R2120,REGRAS!$B$2:$C$13,2,0),""))</f>
        <v/>
      </c>
    </row>
    <row r="2121">
      <c r="T2121" s="258">
        <f>IF(R2121="","",IFERROR(TODAY()+VLOOKUP(R2121,REGRAS!$B$2:$C$13,2,0),""))</f>
        <v/>
      </c>
    </row>
    <row r="2122">
      <c r="T2122" s="258">
        <f>IF(R2122="","",IFERROR(TODAY()+VLOOKUP(R2122,REGRAS!$B$2:$C$13,2,0),""))</f>
        <v/>
      </c>
    </row>
    <row r="2123">
      <c r="T2123" s="258">
        <f>IF(R2123="","",IFERROR(TODAY()+VLOOKUP(R2123,REGRAS!$B$2:$C$13,2,0),""))</f>
        <v/>
      </c>
    </row>
    <row r="2124">
      <c r="T2124" s="258">
        <f>IF(R2124="","",IFERROR(TODAY()+VLOOKUP(R2124,REGRAS!$B$2:$C$13,2,0),""))</f>
        <v/>
      </c>
    </row>
    <row r="2125">
      <c r="T2125" s="258">
        <f>IF(R2125="","",IFERROR(TODAY()+VLOOKUP(R2125,REGRAS!$B$2:$C$13,2,0),""))</f>
        <v/>
      </c>
    </row>
    <row r="2126">
      <c r="T2126" s="258">
        <f>IF(R2126="","",IFERROR(TODAY()+VLOOKUP(R2126,REGRAS!$B$2:$C$13,2,0),""))</f>
        <v/>
      </c>
    </row>
    <row r="2127">
      <c r="T2127" s="258">
        <f>IF(R2127="","",IFERROR(TODAY()+VLOOKUP(R2127,REGRAS!$B$2:$C$13,2,0),""))</f>
        <v/>
      </c>
    </row>
    <row r="2128">
      <c r="T2128" s="258">
        <f>IF(R2128="","",IFERROR(TODAY()+VLOOKUP(R2128,REGRAS!$B$2:$C$13,2,0),""))</f>
        <v/>
      </c>
    </row>
    <row r="2129">
      <c r="T2129" s="258">
        <f>IF(R2129="","",IFERROR(TODAY()+VLOOKUP(R2129,REGRAS!$B$2:$C$13,2,0),""))</f>
        <v/>
      </c>
    </row>
    <row r="2130">
      <c r="T2130" s="258">
        <f>IF(R2130="","",IFERROR(TODAY()+VLOOKUP(R2130,REGRAS!$B$2:$C$13,2,0),""))</f>
        <v/>
      </c>
    </row>
    <row r="2131">
      <c r="T2131" s="258">
        <f>IF(R2131="","",IFERROR(TODAY()+VLOOKUP(R2131,REGRAS!$B$2:$C$13,2,0),""))</f>
        <v/>
      </c>
    </row>
    <row r="2132">
      <c r="T2132" s="258">
        <f>IF(R2132="","",IFERROR(TODAY()+VLOOKUP(R2132,REGRAS!$B$2:$C$13,2,0),""))</f>
        <v/>
      </c>
    </row>
    <row r="2133">
      <c r="T2133" s="258">
        <f>IF(R2133="","",IFERROR(TODAY()+VLOOKUP(R2133,REGRAS!$B$2:$C$13,2,0),""))</f>
        <v/>
      </c>
    </row>
    <row r="2134">
      <c r="T2134" s="258">
        <f>IF(R2134="","",IFERROR(TODAY()+VLOOKUP(R2134,REGRAS!$B$2:$C$13,2,0),""))</f>
        <v/>
      </c>
    </row>
    <row r="2135">
      <c r="T2135" s="258">
        <f>IF(R2135="","",IFERROR(TODAY()+VLOOKUP(R2135,REGRAS!$B$2:$C$13,2,0),""))</f>
        <v/>
      </c>
    </row>
    <row r="2136">
      <c r="T2136" s="258">
        <f>IF(R2136="","",IFERROR(TODAY()+VLOOKUP(R2136,REGRAS!$B$2:$C$13,2,0),""))</f>
        <v/>
      </c>
    </row>
    <row r="2137">
      <c r="T2137" s="258">
        <f>IF(R2137="","",IFERROR(TODAY()+VLOOKUP(R2137,REGRAS!$B$2:$C$13,2,0),""))</f>
        <v/>
      </c>
    </row>
    <row r="2138">
      <c r="T2138" s="258">
        <f>IF(R2138="","",IFERROR(TODAY()+VLOOKUP(R2138,REGRAS!$B$2:$C$13,2,0),""))</f>
        <v/>
      </c>
    </row>
    <row r="2139">
      <c r="T2139" s="258">
        <f>IF(R2139="","",IFERROR(TODAY()+VLOOKUP(R2139,REGRAS!$B$2:$C$13,2,0),""))</f>
        <v/>
      </c>
    </row>
    <row r="2140">
      <c r="T2140" s="258">
        <f>IF(R2140="","",IFERROR(TODAY()+VLOOKUP(R2140,REGRAS!$B$2:$C$13,2,0),""))</f>
        <v/>
      </c>
    </row>
    <row r="2141">
      <c r="T2141" s="258">
        <f>IF(R2141="","",IFERROR(TODAY()+VLOOKUP(R2141,REGRAS!$B$2:$C$13,2,0),""))</f>
        <v/>
      </c>
    </row>
    <row r="2142">
      <c r="T2142" s="258">
        <f>IF(R2142="","",IFERROR(TODAY()+VLOOKUP(R2142,REGRAS!$B$2:$C$13,2,0),""))</f>
        <v/>
      </c>
    </row>
    <row r="2143">
      <c r="T2143" s="258">
        <f>IF(R2143="","",IFERROR(TODAY()+VLOOKUP(R2143,REGRAS!$B$2:$C$13,2,0),""))</f>
        <v/>
      </c>
    </row>
    <row r="2144">
      <c r="T2144" s="258">
        <f>IF(R2144="","",IFERROR(TODAY()+VLOOKUP(R2144,REGRAS!$B$2:$C$13,2,0),""))</f>
        <v/>
      </c>
    </row>
    <row r="2145">
      <c r="T2145" s="258">
        <f>IF(R2145="","",IFERROR(TODAY()+VLOOKUP(R2145,REGRAS!$B$2:$C$13,2,0),""))</f>
        <v/>
      </c>
    </row>
    <row r="2146">
      <c r="T2146" s="258">
        <f>IF(R2146="","",IFERROR(TODAY()+VLOOKUP(R2146,REGRAS!$B$2:$C$13,2,0),""))</f>
        <v/>
      </c>
    </row>
    <row r="2147">
      <c r="T2147" s="258">
        <f>IF(R2147="","",IFERROR(TODAY()+VLOOKUP(R2147,REGRAS!$B$2:$C$13,2,0),""))</f>
        <v/>
      </c>
    </row>
    <row r="2148">
      <c r="T2148" s="258">
        <f>IF(R2148="","",IFERROR(TODAY()+VLOOKUP(R2148,REGRAS!$B$2:$C$13,2,0),""))</f>
        <v/>
      </c>
    </row>
    <row r="2149">
      <c r="T2149" s="258">
        <f>IF(R2149="","",IFERROR(TODAY()+VLOOKUP(R2149,REGRAS!$B$2:$C$13,2,0),""))</f>
        <v/>
      </c>
    </row>
    <row r="2150">
      <c r="T2150" s="258">
        <f>IF(R2150="","",IFERROR(TODAY()+VLOOKUP(R2150,REGRAS!$B$2:$C$13,2,0),""))</f>
        <v/>
      </c>
    </row>
    <row r="2151">
      <c r="T2151" s="258">
        <f>IF(R2151="","",IFERROR(TODAY()+VLOOKUP(R2151,REGRAS!$B$2:$C$13,2,0),""))</f>
        <v/>
      </c>
    </row>
    <row r="2152">
      <c r="T2152" s="258">
        <f>IF(R2152="","",IFERROR(TODAY()+VLOOKUP(R2152,REGRAS!$B$2:$C$13,2,0),""))</f>
        <v/>
      </c>
    </row>
    <row r="2153">
      <c r="T2153" s="258">
        <f>IF(R2153="","",IFERROR(TODAY()+VLOOKUP(R2153,REGRAS!$B$2:$C$13,2,0),""))</f>
        <v/>
      </c>
    </row>
    <row r="2154">
      <c r="T2154" s="258">
        <f>IF(R2154="","",IFERROR(TODAY()+VLOOKUP(R2154,REGRAS!$B$2:$C$13,2,0),""))</f>
        <v/>
      </c>
    </row>
    <row r="2155">
      <c r="T2155" s="258">
        <f>IF(R2155="","",IFERROR(TODAY()+VLOOKUP(R2155,REGRAS!$B$2:$C$13,2,0),""))</f>
        <v/>
      </c>
    </row>
    <row r="2156">
      <c r="T2156" s="258">
        <f>IF(R2156="","",IFERROR(TODAY()+VLOOKUP(R2156,REGRAS!$B$2:$C$13,2,0),""))</f>
        <v/>
      </c>
    </row>
    <row r="2157">
      <c r="T2157" s="258">
        <f>IF(R2157="","",IFERROR(TODAY()+VLOOKUP(R2157,REGRAS!$B$2:$C$13,2,0),""))</f>
        <v/>
      </c>
    </row>
    <row r="2158">
      <c r="T2158" s="258">
        <f>IF(R2158="","",IFERROR(TODAY()+VLOOKUP(R2158,REGRAS!$B$2:$C$13,2,0),""))</f>
        <v/>
      </c>
    </row>
    <row r="2159">
      <c r="T2159" s="258">
        <f>IF(R2159="","",IFERROR(TODAY()+VLOOKUP(R2159,REGRAS!$B$2:$C$13,2,0),""))</f>
        <v/>
      </c>
    </row>
    <row r="2160">
      <c r="T2160" s="258">
        <f>IF(R2160="","",IFERROR(TODAY()+VLOOKUP(R2160,REGRAS!$B$2:$C$13,2,0),""))</f>
        <v/>
      </c>
    </row>
    <row r="2161">
      <c r="T2161" s="258">
        <f>IF(R2161="","",IFERROR(TODAY()+VLOOKUP(R2161,REGRAS!$B$2:$C$13,2,0),""))</f>
        <v/>
      </c>
    </row>
    <row r="2162">
      <c r="T2162" s="258">
        <f>IF(R2162="","",IFERROR(TODAY()+VLOOKUP(R2162,REGRAS!$B$2:$C$13,2,0),""))</f>
        <v/>
      </c>
    </row>
    <row r="2163">
      <c r="T2163" s="258">
        <f>IF(R2163="","",IFERROR(TODAY()+VLOOKUP(R2163,REGRAS!$B$2:$C$13,2,0),""))</f>
        <v/>
      </c>
    </row>
    <row r="2164">
      <c r="T2164" s="258">
        <f>IF(R2164="","",IFERROR(TODAY()+VLOOKUP(R2164,REGRAS!$B$2:$C$13,2,0),""))</f>
        <v/>
      </c>
    </row>
    <row r="2165">
      <c r="T2165" s="258">
        <f>IF(R2165="","",IFERROR(TODAY()+VLOOKUP(R2165,REGRAS!$B$2:$C$13,2,0),""))</f>
        <v/>
      </c>
    </row>
    <row r="2166">
      <c r="T2166" s="258">
        <f>IF(R2166="","",IFERROR(TODAY()+VLOOKUP(R2166,REGRAS!$B$2:$C$13,2,0),""))</f>
        <v/>
      </c>
    </row>
    <row r="2167">
      <c r="T2167" s="258">
        <f>IF(R2167="","",IFERROR(TODAY()+VLOOKUP(R2167,REGRAS!$B$2:$C$13,2,0),""))</f>
        <v/>
      </c>
    </row>
    <row r="2168">
      <c r="T2168" s="258">
        <f>IF(R2168="","",IFERROR(TODAY()+VLOOKUP(R2168,REGRAS!$B$2:$C$13,2,0),""))</f>
        <v/>
      </c>
    </row>
    <row r="2169">
      <c r="T2169" s="258">
        <f>IF(R2169="","",IFERROR(TODAY()+VLOOKUP(R2169,REGRAS!$B$2:$C$13,2,0),""))</f>
        <v/>
      </c>
    </row>
    <row r="2170">
      <c r="T2170" s="258">
        <f>IF(R2170="","",IFERROR(TODAY()+VLOOKUP(R2170,REGRAS!$B$2:$C$13,2,0),""))</f>
        <v/>
      </c>
    </row>
    <row r="2171">
      <c r="T2171" s="258">
        <f>IF(R2171="","",IFERROR(TODAY()+VLOOKUP(R2171,REGRAS!$B$2:$C$13,2,0),""))</f>
        <v/>
      </c>
    </row>
    <row r="2172">
      <c r="T2172" s="258">
        <f>IF(R2172="","",IFERROR(TODAY()+VLOOKUP(R2172,REGRAS!$B$2:$C$13,2,0),""))</f>
        <v/>
      </c>
    </row>
    <row r="2173">
      <c r="T2173" s="258">
        <f>IF(R2173="","",IFERROR(TODAY()+VLOOKUP(R2173,REGRAS!$B$2:$C$13,2,0),""))</f>
        <v/>
      </c>
    </row>
    <row r="2174">
      <c r="T2174" s="258">
        <f>IF(R2174="","",IFERROR(TODAY()+VLOOKUP(R2174,REGRAS!$B$2:$C$13,2,0),""))</f>
        <v/>
      </c>
    </row>
    <row r="2175">
      <c r="T2175" s="258">
        <f>IF(R2175="","",IFERROR(TODAY()+VLOOKUP(R2175,REGRAS!$B$2:$C$13,2,0),""))</f>
        <v/>
      </c>
    </row>
    <row r="2176">
      <c r="T2176" s="258">
        <f>IF(R2176="","",IFERROR(TODAY()+VLOOKUP(R2176,REGRAS!$B$2:$C$13,2,0),""))</f>
        <v/>
      </c>
    </row>
    <row r="2177">
      <c r="T2177" s="258">
        <f>IF(R2177="","",IFERROR(TODAY()+VLOOKUP(R2177,REGRAS!$B$2:$C$13,2,0),""))</f>
        <v/>
      </c>
    </row>
    <row r="2178">
      <c r="T2178" s="258">
        <f>IF(R2178="","",IFERROR(TODAY()+VLOOKUP(R2178,REGRAS!$B$2:$C$13,2,0),""))</f>
        <v/>
      </c>
    </row>
    <row r="2179">
      <c r="T2179" s="258">
        <f>IF(R2179="","",IFERROR(TODAY()+VLOOKUP(R2179,REGRAS!$B$2:$C$13,2,0),""))</f>
        <v/>
      </c>
    </row>
    <row r="2180">
      <c r="T2180" s="258">
        <f>IF(R2180="","",IFERROR(TODAY()+VLOOKUP(R2180,REGRAS!$B$2:$C$13,2,0),""))</f>
        <v/>
      </c>
    </row>
    <row r="2181">
      <c r="T2181" s="258">
        <f>IF(R2181="","",IFERROR(TODAY()+VLOOKUP(R2181,REGRAS!$B$2:$C$13,2,0),""))</f>
        <v/>
      </c>
    </row>
    <row r="2182">
      <c r="T2182" s="258">
        <f>IF(R2182="","",IFERROR(TODAY()+VLOOKUP(R2182,REGRAS!$B$2:$C$13,2,0),""))</f>
        <v/>
      </c>
    </row>
    <row r="2183">
      <c r="T2183" s="258">
        <f>IF(R2183="","",IFERROR(TODAY()+VLOOKUP(R2183,REGRAS!$B$2:$C$13,2,0),""))</f>
        <v/>
      </c>
    </row>
    <row r="2184">
      <c r="T2184" s="258">
        <f>IF(R2184="","",IFERROR(TODAY()+VLOOKUP(R2184,REGRAS!$B$2:$C$13,2,0),""))</f>
        <v/>
      </c>
    </row>
    <row r="2185">
      <c r="T2185" s="258">
        <f>IF(R2185="","",IFERROR(TODAY()+VLOOKUP(R2185,REGRAS!$B$2:$C$13,2,0),""))</f>
        <v/>
      </c>
    </row>
    <row r="2186">
      <c r="T2186" s="258">
        <f>IF(R2186="","",IFERROR(TODAY()+VLOOKUP(R2186,REGRAS!$B$2:$C$13,2,0),""))</f>
        <v/>
      </c>
    </row>
    <row r="2187">
      <c r="T2187" s="258">
        <f>IF(R2187="","",IFERROR(TODAY()+VLOOKUP(R2187,REGRAS!$B$2:$C$13,2,0),""))</f>
        <v/>
      </c>
    </row>
    <row r="2188">
      <c r="T2188" s="258">
        <f>IF(R2188="","",IFERROR(TODAY()+VLOOKUP(R2188,REGRAS!$B$2:$C$13,2,0),""))</f>
        <v/>
      </c>
    </row>
    <row r="2189">
      <c r="T2189" s="258">
        <f>IF(R2189="","",IFERROR(TODAY()+VLOOKUP(R2189,REGRAS!$B$2:$C$13,2,0),""))</f>
        <v/>
      </c>
    </row>
    <row r="2190">
      <c r="T2190" s="258">
        <f>IF(R2190="","",IFERROR(TODAY()+VLOOKUP(R2190,REGRAS!$B$2:$C$13,2,0),""))</f>
        <v/>
      </c>
    </row>
    <row r="2191">
      <c r="T2191" s="258">
        <f>IF(R2191="","",IFERROR(TODAY()+VLOOKUP(R2191,REGRAS!$B$2:$C$13,2,0),""))</f>
        <v/>
      </c>
    </row>
    <row r="2192">
      <c r="T2192" s="258">
        <f>IF(R2192="","",IFERROR(TODAY()+VLOOKUP(R2192,REGRAS!$B$2:$C$13,2,0),""))</f>
        <v/>
      </c>
    </row>
    <row r="2193">
      <c r="T2193" s="258">
        <f>IF(R2193="","",IFERROR(TODAY()+VLOOKUP(R2193,REGRAS!$B$2:$C$13,2,0),""))</f>
        <v/>
      </c>
    </row>
    <row r="2194">
      <c r="T2194" s="258">
        <f>IF(R2194="","",IFERROR(TODAY()+VLOOKUP(R2194,REGRAS!$B$2:$C$13,2,0),""))</f>
        <v/>
      </c>
    </row>
    <row r="2195">
      <c r="T2195" s="258">
        <f>IF(R2195="","",IFERROR(TODAY()+VLOOKUP(R2195,REGRAS!$B$2:$C$13,2,0),""))</f>
        <v/>
      </c>
    </row>
    <row r="2196">
      <c r="T2196" s="258">
        <f>IF(R2196="","",IFERROR(TODAY()+VLOOKUP(R2196,REGRAS!$B$2:$C$13,2,0),""))</f>
        <v/>
      </c>
    </row>
    <row r="2197">
      <c r="T2197" s="258">
        <f>IF(R2197="","",IFERROR(TODAY()+VLOOKUP(R2197,REGRAS!$B$2:$C$13,2,0),""))</f>
        <v/>
      </c>
    </row>
    <row r="2198">
      <c r="T2198" s="258">
        <f>IF(R2198="","",IFERROR(TODAY()+VLOOKUP(R2198,REGRAS!$B$2:$C$13,2,0),""))</f>
        <v/>
      </c>
    </row>
    <row r="2199">
      <c r="T2199" s="258">
        <f>IF(R2199="","",IFERROR(TODAY()+VLOOKUP(R2199,REGRAS!$B$2:$C$13,2,0),""))</f>
        <v/>
      </c>
    </row>
    <row r="2200">
      <c r="T2200" s="258">
        <f>IF(R2200="","",IFERROR(TODAY()+VLOOKUP(R2200,REGRAS!$B$2:$C$13,2,0),""))</f>
        <v/>
      </c>
    </row>
    <row r="2201">
      <c r="T2201" s="258">
        <f>IF(R2201="","",IFERROR(TODAY()+VLOOKUP(R2201,REGRAS!$B$2:$C$13,2,0),""))</f>
        <v/>
      </c>
    </row>
    <row r="2202">
      <c r="T2202" s="258">
        <f>IF(R2202="","",IFERROR(TODAY()+VLOOKUP(R2202,REGRAS!$B$2:$C$13,2,0),""))</f>
        <v/>
      </c>
    </row>
    <row r="2203">
      <c r="T2203" s="258">
        <f>IF(R2203="","",IFERROR(TODAY()+VLOOKUP(R2203,REGRAS!$B$2:$C$13,2,0),""))</f>
        <v/>
      </c>
    </row>
    <row r="2204">
      <c r="T2204" s="258">
        <f>IF(R2204="","",IFERROR(TODAY()+VLOOKUP(R2204,REGRAS!$B$2:$C$13,2,0),""))</f>
        <v/>
      </c>
    </row>
    <row r="2205">
      <c r="T2205" s="258">
        <f>IF(R2205="","",IFERROR(TODAY()+VLOOKUP(R2205,REGRAS!$B$2:$C$13,2,0),""))</f>
        <v/>
      </c>
    </row>
    <row r="2206">
      <c r="T2206" s="258">
        <f>IF(R2206="","",IFERROR(TODAY()+VLOOKUP(R2206,REGRAS!$B$2:$C$13,2,0),""))</f>
        <v/>
      </c>
    </row>
    <row r="2207">
      <c r="T2207" s="258">
        <f>IF(R2207="","",IFERROR(TODAY()+VLOOKUP(R2207,REGRAS!$B$2:$C$13,2,0),""))</f>
        <v/>
      </c>
    </row>
    <row r="2208">
      <c r="T2208" s="258">
        <f>IF(R2208="","",IFERROR(TODAY()+VLOOKUP(R2208,REGRAS!$B$2:$C$13,2,0),""))</f>
        <v/>
      </c>
    </row>
    <row r="2209">
      <c r="T2209" s="258">
        <f>IF(R2209="","",IFERROR(TODAY()+VLOOKUP(R2209,REGRAS!$B$2:$C$13,2,0),""))</f>
        <v/>
      </c>
    </row>
    <row r="2210">
      <c r="T2210" s="258">
        <f>IF(R2210="","",IFERROR(TODAY()+VLOOKUP(R2210,REGRAS!$B$2:$C$13,2,0),""))</f>
        <v/>
      </c>
    </row>
    <row r="2211">
      <c r="T2211" s="258">
        <f>IF(R2211="","",IFERROR(TODAY()+VLOOKUP(R2211,REGRAS!$B$2:$C$13,2,0),""))</f>
        <v/>
      </c>
    </row>
    <row r="2212">
      <c r="T2212" s="258">
        <f>IF(R2212="","",IFERROR(TODAY()+VLOOKUP(R2212,REGRAS!$B$2:$C$13,2,0),""))</f>
        <v/>
      </c>
    </row>
    <row r="2213">
      <c r="T2213" s="258">
        <f>IF(R2213="","",IFERROR(TODAY()+VLOOKUP(R2213,REGRAS!$B$2:$C$13,2,0),""))</f>
        <v/>
      </c>
    </row>
    <row r="2214">
      <c r="T2214" s="258">
        <f>IF(R2214="","",IFERROR(TODAY()+VLOOKUP(R2214,REGRAS!$B$2:$C$13,2,0),""))</f>
        <v/>
      </c>
    </row>
    <row r="2215">
      <c r="T2215" s="258">
        <f>IF(R2215="","",IFERROR(TODAY()+VLOOKUP(R2215,REGRAS!$B$2:$C$13,2,0),""))</f>
        <v/>
      </c>
    </row>
    <row r="2216">
      <c r="T2216" s="258">
        <f>IF(R2216="","",IFERROR(TODAY()+VLOOKUP(R2216,REGRAS!$B$2:$C$13,2,0),""))</f>
        <v/>
      </c>
    </row>
    <row r="2217">
      <c r="T2217" s="258">
        <f>IF(R2217="","",IFERROR(TODAY()+VLOOKUP(R2217,REGRAS!$B$2:$C$13,2,0),""))</f>
        <v/>
      </c>
    </row>
    <row r="2218">
      <c r="T2218" s="258">
        <f>IF(R2218="","",IFERROR(TODAY()+VLOOKUP(R2218,REGRAS!$B$2:$C$13,2,0),""))</f>
        <v/>
      </c>
    </row>
    <row r="2219">
      <c r="T2219" s="258">
        <f>IF(R2219="","",IFERROR(TODAY()+VLOOKUP(R2219,REGRAS!$B$2:$C$13,2,0),""))</f>
        <v/>
      </c>
    </row>
    <row r="2220">
      <c r="T2220" s="258">
        <f>IF(R2220="","",IFERROR(TODAY()+VLOOKUP(R2220,REGRAS!$B$2:$C$13,2,0),""))</f>
        <v/>
      </c>
    </row>
    <row r="2221">
      <c r="T2221" s="258">
        <f>IF(R2221="","",IFERROR(TODAY()+VLOOKUP(R2221,REGRAS!$B$2:$C$13,2,0),""))</f>
        <v/>
      </c>
    </row>
    <row r="2222">
      <c r="T2222" s="258">
        <f>IF(R2222="","",IFERROR(TODAY()+VLOOKUP(R2222,REGRAS!$B$2:$C$13,2,0),""))</f>
        <v/>
      </c>
    </row>
    <row r="2223">
      <c r="T2223" s="258">
        <f>IF(R2223="","",IFERROR(TODAY()+VLOOKUP(R2223,REGRAS!$B$2:$C$13,2,0),""))</f>
        <v/>
      </c>
    </row>
    <row r="2224">
      <c r="T2224" s="258">
        <f>IF(R2224="","",IFERROR(TODAY()+VLOOKUP(R2224,REGRAS!$B$2:$C$13,2,0),""))</f>
        <v/>
      </c>
    </row>
    <row r="2225">
      <c r="T2225" s="258">
        <f>IF(R2225="","",IFERROR(TODAY()+VLOOKUP(R2225,REGRAS!$B$2:$C$13,2,0),""))</f>
        <v/>
      </c>
    </row>
    <row r="2226">
      <c r="T2226" s="258">
        <f>IF(R2226="","",IFERROR(TODAY()+VLOOKUP(R2226,REGRAS!$B$2:$C$13,2,0),""))</f>
        <v/>
      </c>
    </row>
    <row r="2227">
      <c r="T2227" s="258">
        <f>IF(R2227="","",IFERROR(TODAY()+VLOOKUP(R2227,REGRAS!$B$2:$C$13,2,0),""))</f>
        <v/>
      </c>
    </row>
    <row r="2228">
      <c r="T2228" s="258">
        <f>IF(R2228="","",IFERROR(TODAY()+VLOOKUP(R2228,REGRAS!$B$2:$C$13,2,0),""))</f>
        <v/>
      </c>
    </row>
    <row r="2229">
      <c r="T2229" s="258">
        <f>IF(R2229="","",IFERROR(TODAY()+VLOOKUP(R2229,REGRAS!$B$2:$C$13,2,0),""))</f>
        <v/>
      </c>
    </row>
    <row r="2230">
      <c r="T2230" s="258">
        <f>IF(R2230="","",IFERROR(TODAY()+VLOOKUP(R2230,REGRAS!$B$2:$C$13,2,0),""))</f>
        <v/>
      </c>
    </row>
    <row r="2231">
      <c r="T2231" s="258">
        <f>IF(R2231="","",IFERROR(TODAY()+VLOOKUP(R2231,REGRAS!$B$2:$C$13,2,0),""))</f>
        <v/>
      </c>
    </row>
    <row r="2232">
      <c r="T2232" s="258">
        <f>IF(R2232="","",IFERROR(TODAY()+VLOOKUP(R2232,REGRAS!$B$2:$C$13,2,0),""))</f>
        <v/>
      </c>
    </row>
    <row r="2233">
      <c r="T2233" s="258">
        <f>IF(R2233="","",IFERROR(TODAY()+VLOOKUP(R2233,REGRAS!$B$2:$C$13,2,0),""))</f>
        <v/>
      </c>
    </row>
    <row r="2234">
      <c r="T2234" s="258">
        <f>IF(R2234="","",IFERROR(TODAY()+VLOOKUP(R2234,REGRAS!$B$2:$C$13,2,0),""))</f>
        <v/>
      </c>
    </row>
    <row r="2235">
      <c r="T2235" s="258">
        <f>IF(R2235="","",IFERROR(TODAY()+VLOOKUP(R2235,REGRAS!$B$2:$C$13,2,0),""))</f>
        <v/>
      </c>
    </row>
    <row r="2236">
      <c r="T2236" s="258">
        <f>IF(R2236="","",IFERROR(TODAY()+VLOOKUP(R2236,REGRAS!$B$2:$C$13,2,0),""))</f>
        <v/>
      </c>
    </row>
    <row r="2237">
      <c r="T2237" s="258">
        <f>IF(R2237="","",IFERROR(TODAY()+VLOOKUP(R2237,REGRAS!$B$2:$C$13,2,0),""))</f>
        <v/>
      </c>
    </row>
    <row r="2238">
      <c r="T2238" s="258">
        <f>IF(R2238="","",IFERROR(TODAY()+VLOOKUP(R2238,REGRAS!$B$2:$C$13,2,0),""))</f>
        <v/>
      </c>
    </row>
    <row r="2239">
      <c r="T2239" s="258">
        <f>IF(R2239="","",IFERROR(TODAY()+VLOOKUP(R2239,REGRAS!$B$2:$C$13,2,0),""))</f>
        <v/>
      </c>
    </row>
    <row r="2240">
      <c r="T2240" s="258">
        <f>IF(R2240="","",IFERROR(TODAY()+VLOOKUP(R2240,REGRAS!$B$2:$C$13,2,0),""))</f>
        <v/>
      </c>
    </row>
    <row r="2241">
      <c r="T2241" s="258">
        <f>IF(R2241="","",IFERROR(TODAY()+VLOOKUP(R2241,REGRAS!$B$2:$C$13,2,0),""))</f>
        <v/>
      </c>
    </row>
    <row r="2242">
      <c r="T2242" s="258">
        <f>IF(R2242="","",IFERROR(TODAY()+VLOOKUP(R2242,REGRAS!$B$2:$C$13,2,0),""))</f>
        <v/>
      </c>
    </row>
    <row r="2243">
      <c r="T2243" s="258">
        <f>IF(R2243="","",IFERROR(TODAY()+VLOOKUP(R2243,REGRAS!$B$2:$C$13,2,0),""))</f>
        <v/>
      </c>
    </row>
    <row r="2244">
      <c r="T2244" s="258">
        <f>IF(R2244="","",IFERROR(TODAY()+VLOOKUP(R2244,REGRAS!$B$2:$C$13,2,0),""))</f>
        <v/>
      </c>
    </row>
    <row r="2245">
      <c r="T2245" s="258">
        <f>IF(R2245="","",IFERROR(TODAY()+VLOOKUP(R2245,REGRAS!$B$2:$C$13,2,0),""))</f>
        <v/>
      </c>
    </row>
    <row r="2246">
      <c r="T2246" s="258">
        <f>IF(R2246="","",IFERROR(TODAY()+VLOOKUP(R2246,REGRAS!$B$2:$C$13,2,0),""))</f>
        <v/>
      </c>
    </row>
    <row r="2247">
      <c r="T2247" s="258">
        <f>IF(R2247="","",IFERROR(TODAY()+VLOOKUP(R2247,REGRAS!$B$2:$C$13,2,0),""))</f>
        <v/>
      </c>
    </row>
    <row r="2248">
      <c r="T2248" s="258">
        <f>IF(R2248="","",IFERROR(TODAY()+VLOOKUP(R2248,REGRAS!$B$2:$C$13,2,0),""))</f>
        <v/>
      </c>
    </row>
    <row r="2249">
      <c r="T2249" s="258">
        <f>IF(R2249="","",IFERROR(TODAY()+VLOOKUP(R2249,REGRAS!$B$2:$C$13,2,0),""))</f>
        <v/>
      </c>
    </row>
    <row r="2250">
      <c r="T2250" s="258">
        <f>IF(R2250="","",IFERROR(TODAY()+VLOOKUP(R2250,REGRAS!$B$2:$C$13,2,0),""))</f>
        <v/>
      </c>
    </row>
    <row r="2251">
      <c r="T2251" s="258">
        <f>IF(R2251="","",IFERROR(TODAY()+VLOOKUP(R2251,REGRAS!$B$2:$C$13,2,0),""))</f>
        <v/>
      </c>
    </row>
    <row r="2252">
      <c r="T2252" s="258">
        <f>IF(R2252="","",IFERROR(TODAY()+VLOOKUP(R2252,REGRAS!$B$2:$C$13,2,0),""))</f>
        <v/>
      </c>
    </row>
    <row r="2253">
      <c r="T2253" s="258">
        <f>IF(R2253="","",IFERROR(TODAY()+VLOOKUP(R2253,REGRAS!$B$2:$C$13,2,0),""))</f>
        <v/>
      </c>
    </row>
    <row r="2254">
      <c r="T2254" s="258">
        <f>IF(R2254="","",IFERROR(TODAY()+VLOOKUP(R2254,REGRAS!$B$2:$C$13,2,0),""))</f>
        <v/>
      </c>
    </row>
    <row r="2255">
      <c r="T2255" s="258">
        <f>IF(R2255="","",IFERROR(TODAY()+VLOOKUP(R2255,REGRAS!$B$2:$C$13,2,0),""))</f>
        <v/>
      </c>
    </row>
    <row r="2256">
      <c r="T2256" s="258">
        <f>IF(R2256="","",IFERROR(TODAY()+VLOOKUP(R2256,REGRAS!$B$2:$C$13,2,0),""))</f>
        <v/>
      </c>
    </row>
    <row r="2257">
      <c r="T2257" s="258">
        <f>IF(R2257="","",IFERROR(TODAY()+VLOOKUP(R2257,REGRAS!$B$2:$C$13,2,0),""))</f>
        <v/>
      </c>
    </row>
    <row r="2258">
      <c r="T2258" s="258">
        <f>IF(R2258="","",IFERROR(TODAY()+VLOOKUP(R2258,REGRAS!$B$2:$C$13,2,0),""))</f>
        <v/>
      </c>
    </row>
    <row r="2259">
      <c r="T2259" s="258">
        <f>IF(R2259="","",IFERROR(TODAY()+VLOOKUP(R2259,REGRAS!$B$2:$C$13,2,0),""))</f>
        <v/>
      </c>
    </row>
    <row r="2260">
      <c r="T2260" s="258">
        <f>IF(R2260="","",IFERROR(TODAY()+VLOOKUP(R2260,REGRAS!$B$2:$C$13,2,0),""))</f>
        <v/>
      </c>
    </row>
    <row r="2261">
      <c r="T2261" s="258">
        <f>IF(R2261="","",IFERROR(TODAY()+VLOOKUP(R2261,REGRAS!$B$2:$C$13,2,0),""))</f>
        <v/>
      </c>
    </row>
    <row r="2262">
      <c r="T2262" s="258">
        <f>IF(R2262="","",IFERROR(TODAY()+VLOOKUP(R2262,REGRAS!$B$2:$C$13,2,0),""))</f>
        <v/>
      </c>
    </row>
    <row r="2263">
      <c r="T2263" s="258">
        <f>IF(R2263="","",IFERROR(TODAY()+VLOOKUP(R2263,REGRAS!$B$2:$C$13,2,0),""))</f>
        <v/>
      </c>
    </row>
    <row r="2264">
      <c r="T2264" s="258">
        <f>IF(R2264="","",IFERROR(TODAY()+VLOOKUP(R2264,REGRAS!$B$2:$C$13,2,0),""))</f>
        <v/>
      </c>
    </row>
    <row r="2265">
      <c r="T2265" s="258">
        <f>IF(R2265="","",IFERROR(TODAY()+VLOOKUP(R2265,REGRAS!$B$2:$C$13,2,0),""))</f>
        <v/>
      </c>
    </row>
    <row r="2266">
      <c r="T2266" s="258">
        <f>IF(R2266="","",IFERROR(TODAY()+VLOOKUP(R2266,REGRAS!$B$2:$C$13,2,0),""))</f>
        <v/>
      </c>
    </row>
    <row r="2267">
      <c r="T2267" s="258">
        <f>IF(R2267="","",IFERROR(TODAY()+VLOOKUP(R2267,REGRAS!$B$2:$C$13,2,0),""))</f>
        <v/>
      </c>
    </row>
    <row r="2268">
      <c r="T2268" s="258">
        <f>IF(R2268="","",IFERROR(TODAY()+VLOOKUP(R2268,REGRAS!$B$2:$C$13,2,0),""))</f>
        <v/>
      </c>
    </row>
    <row r="2269">
      <c r="T2269" s="258">
        <f>IF(R2269="","",IFERROR(TODAY()+VLOOKUP(R2269,REGRAS!$B$2:$C$13,2,0),""))</f>
        <v/>
      </c>
    </row>
    <row r="2270">
      <c r="T2270" s="258">
        <f>IF(R2270="","",IFERROR(TODAY()+VLOOKUP(R2270,REGRAS!$B$2:$C$13,2,0),""))</f>
        <v/>
      </c>
    </row>
    <row r="2271">
      <c r="T2271" s="258">
        <f>IF(R2271="","",IFERROR(TODAY()+VLOOKUP(R2271,REGRAS!$B$2:$C$13,2,0),""))</f>
        <v/>
      </c>
    </row>
    <row r="2272">
      <c r="T2272" s="258">
        <f>IF(R2272="","",IFERROR(TODAY()+VLOOKUP(R2272,REGRAS!$B$2:$C$13,2,0),""))</f>
        <v/>
      </c>
    </row>
    <row r="2273">
      <c r="T2273" s="258">
        <f>IF(R2273="","",IFERROR(TODAY()+VLOOKUP(R2273,REGRAS!$B$2:$C$13,2,0),""))</f>
        <v/>
      </c>
    </row>
    <row r="2274">
      <c r="T2274" s="258">
        <f>IF(R2274="","",IFERROR(TODAY()+VLOOKUP(R2274,REGRAS!$B$2:$C$13,2,0),""))</f>
        <v/>
      </c>
    </row>
    <row r="2275">
      <c r="T2275" s="258">
        <f>IF(R2275="","",IFERROR(TODAY()+VLOOKUP(R2275,REGRAS!$B$2:$C$13,2,0),""))</f>
        <v/>
      </c>
    </row>
    <row r="2276">
      <c r="T2276" s="258">
        <f>IF(R2276="","",IFERROR(TODAY()+VLOOKUP(R2276,REGRAS!$B$2:$C$13,2,0),""))</f>
        <v/>
      </c>
    </row>
    <row r="2277">
      <c r="T2277" s="258">
        <f>IF(R2277="","",IFERROR(TODAY()+VLOOKUP(R2277,REGRAS!$B$2:$C$13,2,0),""))</f>
        <v/>
      </c>
    </row>
    <row r="2278">
      <c r="T2278" s="258">
        <f>IF(R2278="","",IFERROR(TODAY()+VLOOKUP(R2278,REGRAS!$B$2:$C$13,2,0),""))</f>
        <v/>
      </c>
    </row>
    <row r="2279">
      <c r="T2279" s="258">
        <f>IF(R2279="","",IFERROR(TODAY()+VLOOKUP(R2279,REGRAS!$B$2:$C$13,2,0),""))</f>
        <v/>
      </c>
    </row>
    <row r="2280">
      <c r="T2280" s="258">
        <f>IF(R2280="","",IFERROR(TODAY()+VLOOKUP(R2280,REGRAS!$B$2:$C$13,2,0),""))</f>
        <v/>
      </c>
    </row>
    <row r="2281">
      <c r="T2281" s="258">
        <f>IF(R2281="","",IFERROR(TODAY()+VLOOKUP(R2281,REGRAS!$B$2:$C$13,2,0),""))</f>
        <v/>
      </c>
    </row>
    <row r="2282">
      <c r="T2282" s="258">
        <f>IF(R2282="","",IFERROR(TODAY()+VLOOKUP(R2282,REGRAS!$B$2:$C$13,2,0),""))</f>
        <v/>
      </c>
    </row>
    <row r="2283">
      <c r="T2283" s="258">
        <f>IF(R2283="","",IFERROR(TODAY()+VLOOKUP(R2283,REGRAS!$B$2:$C$13,2,0),""))</f>
        <v/>
      </c>
    </row>
    <row r="2284">
      <c r="T2284" s="258">
        <f>IF(R2284="","",IFERROR(TODAY()+VLOOKUP(R2284,REGRAS!$B$2:$C$13,2,0),""))</f>
        <v/>
      </c>
    </row>
    <row r="2285">
      <c r="T2285" s="258">
        <f>IF(R2285="","",IFERROR(TODAY()+VLOOKUP(R2285,REGRAS!$B$2:$C$13,2,0),""))</f>
        <v/>
      </c>
    </row>
    <row r="2286">
      <c r="T2286" s="258">
        <f>IF(R2286="","",IFERROR(TODAY()+VLOOKUP(R2286,REGRAS!$B$2:$C$13,2,0),""))</f>
        <v/>
      </c>
    </row>
    <row r="2287">
      <c r="T2287" s="258">
        <f>IF(R2287="","",IFERROR(TODAY()+VLOOKUP(R2287,REGRAS!$B$2:$C$13,2,0),""))</f>
        <v/>
      </c>
    </row>
    <row r="2288">
      <c r="T2288" s="258">
        <f>IF(R2288="","",IFERROR(TODAY()+VLOOKUP(R2288,REGRAS!$B$2:$C$13,2,0),""))</f>
        <v/>
      </c>
    </row>
    <row r="2289">
      <c r="T2289" s="258">
        <f>IF(R2289="","",IFERROR(TODAY()+VLOOKUP(R2289,REGRAS!$B$2:$C$13,2,0),""))</f>
        <v/>
      </c>
    </row>
    <row r="2290">
      <c r="T2290" s="258">
        <f>IF(R2290="","",IFERROR(TODAY()+VLOOKUP(R2290,REGRAS!$B$2:$C$13,2,0),""))</f>
        <v/>
      </c>
    </row>
    <row r="2291">
      <c r="T2291" s="258">
        <f>IF(R2291="","",IFERROR(TODAY()+VLOOKUP(R2291,REGRAS!$B$2:$C$13,2,0),""))</f>
        <v/>
      </c>
    </row>
    <row r="2292">
      <c r="T2292" s="258">
        <f>IF(R2292="","",IFERROR(TODAY()+VLOOKUP(R2292,REGRAS!$B$2:$C$13,2,0),""))</f>
        <v/>
      </c>
    </row>
    <row r="2293">
      <c r="T2293" s="258">
        <f>IF(R2293="","",IFERROR(TODAY()+VLOOKUP(R2293,REGRAS!$B$2:$C$13,2,0),""))</f>
        <v/>
      </c>
    </row>
    <row r="2294">
      <c r="T2294" s="258">
        <f>IF(R2294="","",IFERROR(TODAY()+VLOOKUP(R2294,REGRAS!$B$2:$C$13,2,0),""))</f>
        <v/>
      </c>
    </row>
    <row r="2295">
      <c r="T2295" s="258">
        <f>IF(R2295="","",IFERROR(TODAY()+VLOOKUP(R2295,REGRAS!$B$2:$C$13,2,0),""))</f>
        <v/>
      </c>
    </row>
    <row r="2296">
      <c r="T2296" s="258">
        <f>IF(R2296="","",IFERROR(TODAY()+VLOOKUP(R2296,REGRAS!$B$2:$C$13,2,0),""))</f>
        <v/>
      </c>
    </row>
    <row r="2297">
      <c r="T2297" s="258">
        <f>IF(R2297="","",IFERROR(TODAY()+VLOOKUP(R2297,REGRAS!$B$2:$C$13,2,0),""))</f>
        <v/>
      </c>
    </row>
    <row r="2298">
      <c r="T2298" s="258">
        <f>IF(R2298="","",IFERROR(TODAY()+VLOOKUP(R2298,REGRAS!$B$2:$C$13,2,0),""))</f>
        <v/>
      </c>
    </row>
    <row r="2299">
      <c r="T2299" s="258">
        <f>IF(R2299="","",IFERROR(TODAY()+VLOOKUP(R2299,REGRAS!$B$2:$C$13,2,0),""))</f>
        <v/>
      </c>
    </row>
    <row r="2300">
      <c r="T2300" s="258">
        <f>IF(R2300="","",IFERROR(TODAY()+VLOOKUP(R2300,REGRAS!$B$2:$C$13,2,0),""))</f>
        <v/>
      </c>
    </row>
    <row r="2301">
      <c r="T2301" s="258">
        <f>IF(R2301="","",IFERROR(TODAY()+VLOOKUP(R2301,REGRAS!$B$2:$C$13,2,0),""))</f>
        <v/>
      </c>
    </row>
    <row r="2302">
      <c r="T2302" s="258">
        <f>IF(R2302="","",IFERROR(TODAY()+VLOOKUP(R2302,REGRAS!$B$2:$C$13,2,0),""))</f>
        <v/>
      </c>
    </row>
    <row r="2303">
      <c r="T2303" s="258">
        <f>IF(R2303="","",IFERROR(TODAY()+VLOOKUP(R2303,REGRAS!$B$2:$C$13,2,0),""))</f>
        <v/>
      </c>
    </row>
    <row r="2304">
      <c r="T2304" s="258">
        <f>IF(R2304="","",IFERROR(TODAY()+VLOOKUP(R2304,REGRAS!$B$2:$C$13,2,0),""))</f>
        <v/>
      </c>
    </row>
    <row r="2305">
      <c r="T2305" s="258">
        <f>IF(R2305="","",IFERROR(TODAY()+VLOOKUP(R2305,REGRAS!$B$2:$C$13,2,0),""))</f>
        <v/>
      </c>
    </row>
    <row r="2306">
      <c r="T2306" s="258">
        <f>IF(R2306="","",IFERROR(TODAY()+VLOOKUP(R2306,REGRAS!$B$2:$C$13,2,0),""))</f>
        <v/>
      </c>
    </row>
    <row r="2307">
      <c r="T2307" s="258">
        <f>IF(R2307="","",IFERROR(TODAY()+VLOOKUP(R2307,REGRAS!$B$2:$C$13,2,0),""))</f>
        <v/>
      </c>
    </row>
    <row r="2308">
      <c r="T2308" s="258">
        <f>IF(R2308="","",IFERROR(TODAY()+VLOOKUP(R2308,REGRAS!$B$2:$C$13,2,0),""))</f>
        <v/>
      </c>
    </row>
    <row r="2309">
      <c r="T2309" s="258">
        <f>IF(R2309="","",IFERROR(TODAY()+VLOOKUP(R2309,REGRAS!$B$2:$C$13,2,0),""))</f>
        <v/>
      </c>
    </row>
    <row r="2310">
      <c r="T2310" s="258">
        <f>IF(R2310="","",IFERROR(TODAY()+VLOOKUP(R2310,REGRAS!$B$2:$C$13,2,0),""))</f>
        <v/>
      </c>
    </row>
    <row r="2311">
      <c r="T2311" s="258">
        <f>IF(R2311="","",IFERROR(TODAY()+VLOOKUP(R2311,REGRAS!$B$2:$C$13,2,0),""))</f>
        <v/>
      </c>
    </row>
    <row r="2312">
      <c r="T2312" s="258">
        <f>IF(R2312="","",IFERROR(TODAY()+VLOOKUP(R2312,REGRAS!$B$2:$C$13,2,0),""))</f>
        <v/>
      </c>
    </row>
    <row r="2313">
      <c r="T2313" s="258">
        <f>IF(R2313="","",IFERROR(TODAY()+VLOOKUP(R2313,REGRAS!$B$2:$C$13,2,0),""))</f>
        <v/>
      </c>
    </row>
    <row r="2314">
      <c r="T2314" s="258">
        <f>IF(R2314="","",IFERROR(TODAY()+VLOOKUP(R2314,REGRAS!$B$2:$C$13,2,0),""))</f>
        <v/>
      </c>
    </row>
    <row r="2315">
      <c r="T2315" s="258">
        <f>IF(R2315="","",IFERROR(TODAY()+VLOOKUP(R2315,REGRAS!$B$2:$C$13,2,0),""))</f>
        <v/>
      </c>
    </row>
    <row r="2316">
      <c r="T2316" s="258">
        <f>IF(R2316="","",IFERROR(TODAY()+VLOOKUP(R2316,REGRAS!$B$2:$C$13,2,0),""))</f>
        <v/>
      </c>
    </row>
    <row r="2317">
      <c r="T2317" s="258">
        <f>IF(R2317="","",IFERROR(TODAY()+VLOOKUP(R2317,REGRAS!$B$2:$C$13,2,0),""))</f>
        <v/>
      </c>
    </row>
    <row r="2318">
      <c r="T2318" s="258">
        <f>IF(R2318="","",IFERROR(TODAY()+VLOOKUP(R2318,REGRAS!$B$2:$C$13,2,0),""))</f>
        <v/>
      </c>
    </row>
    <row r="2319">
      <c r="T2319" s="258">
        <f>IF(R2319="","",IFERROR(TODAY()+VLOOKUP(R2319,REGRAS!$B$2:$C$13,2,0),""))</f>
        <v/>
      </c>
    </row>
    <row r="2320">
      <c r="T2320" s="258">
        <f>IF(R2320="","",IFERROR(TODAY()+VLOOKUP(R2320,REGRAS!$B$2:$C$13,2,0),""))</f>
        <v/>
      </c>
    </row>
    <row r="2321">
      <c r="T2321" s="258">
        <f>IF(R2321="","",IFERROR(TODAY()+VLOOKUP(R2321,REGRAS!$B$2:$C$13,2,0),""))</f>
        <v/>
      </c>
    </row>
    <row r="2322">
      <c r="T2322" s="258">
        <f>IF(R2322="","",IFERROR(TODAY()+VLOOKUP(R2322,REGRAS!$B$2:$C$13,2,0),""))</f>
        <v/>
      </c>
    </row>
    <row r="2323">
      <c r="T2323" s="258">
        <f>IF(R2323="","",IFERROR(TODAY()+VLOOKUP(R2323,REGRAS!$B$2:$C$13,2,0),""))</f>
        <v/>
      </c>
    </row>
    <row r="2324">
      <c r="T2324" s="258">
        <f>IF(R2324="","",IFERROR(TODAY()+VLOOKUP(R2324,REGRAS!$B$2:$C$13,2,0),""))</f>
        <v/>
      </c>
    </row>
    <row r="2325">
      <c r="T2325" s="258">
        <f>IF(R2325="","",IFERROR(TODAY()+VLOOKUP(R2325,REGRAS!$B$2:$C$13,2,0),""))</f>
        <v/>
      </c>
    </row>
    <row r="2326">
      <c r="T2326" s="258">
        <f>IF(R2326="","",IFERROR(TODAY()+VLOOKUP(R2326,REGRAS!$B$2:$C$13,2,0),""))</f>
        <v/>
      </c>
    </row>
    <row r="2327">
      <c r="T2327" s="258">
        <f>IF(R2327="","",IFERROR(TODAY()+VLOOKUP(R2327,REGRAS!$B$2:$C$13,2,0),""))</f>
        <v/>
      </c>
    </row>
    <row r="2328">
      <c r="T2328" s="258">
        <f>IF(R2328="","",IFERROR(TODAY()+VLOOKUP(R2328,REGRAS!$B$2:$C$13,2,0),""))</f>
        <v/>
      </c>
    </row>
    <row r="2329">
      <c r="T2329" s="258">
        <f>IF(R2329="","",IFERROR(TODAY()+VLOOKUP(R2329,REGRAS!$B$2:$C$13,2,0),""))</f>
        <v/>
      </c>
    </row>
    <row r="2330">
      <c r="T2330" s="258">
        <f>IF(R2330="","",IFERROR(TODAY()+VLOOKUP(R2330,REGRAS!$B$2:$C$13,2,0),""))</f>
        <v/>
      </c>
    </row>
    <row r="2331">
      <c r="T2331" s="258">
        <f>IF(R2331="","",IFERROR(TODAY()+VLOOKUP(R2331,REGRAS!$B$2:$C$13,2,0),""))</f>
        <v/>
      </c>
    </row>
    <row r="2332">
      <c r="T2332" s="258">
        <f>IF(R2332="","",IFERROR(TODAY()+VLOOKUP(R2332,REGRAS!$B$2:$C$13,2,0),""))</f>
        <v/>
      </c>
    </row>
    <row r="2333">
      <c r="T2333" s="258">
        <f>IF(R2333="","",IFERROR(TODAY()+VLOOKUP(R2333,REGRAS!$B$2:$C$13,2,0),""))</f>
        <v/>
      </c>
    </row>
    <row r="2334">
      <c r="T2334" s="258">
        <f>IF(R2334="","",IFERROR(TODAY()+VLOOKUP(R2334,REGRAS!$B$2:$C$13,2,0),""))</f>
        <v/>
      </c>
    </row>
    <row r="2335">
      <c r="T2335" s="258">
        <f>IF(R2335="","",IFERROR(TODAY()+VLOOKUP(R2335,REGRAS!$B$2:$C$13,2,0),""))</f>
        <v/>
      </c>
    </row>
    <row r="2336">
      <c r="T2336" s="258">
        <f>IF(R2336="","",IFERROR(TODAY()+VLOOKUP(R2336,REGRAS!$B$2:$C$13,2,0),""))</f>
        <v/>
      </c>
    </row>
    <row r="2337">
      <c r="T2337" s="258">
        <f>IF(R2337="","",IFERROR(TODAY()+VLOOKUP(R2337,REGRAS!$B$2:$C$13,2,0),""))</f>
        <v/>
      </c>
    </row>
    <row r="2338">
      <c r="T2338" s="258">
        <f>IF(R2338="","",IFERROR(TODAY()+VLOOKUP(R2338,REGRAS!$B$2:$C$13,2,0),""))</f>
        <v/>
      </c>
    </row>
    <row r="2339">
      <c r="T2339" s="258">
        <f>IF(R2339="","",IFERROR(TODAY()+VLOOKUP(R2339,REGRAS!$B$2:$C$13,2,0),""))</f>
        <v/>
      </c>
    </row>
    <row r="2340">
      <c r="T2340" s="258">
        <f>IF(R2340="","",IFERROR(TODAY()+VLOOKUP(R2340,REGRAS!$B$2:$C$13,2,0),""))</f>
        <v/>
      </c>
    </row>
    <row r="2341">
      <c r="T2341" s="258">
        <f>IF(R2341="","",IFERROR(TODAY()+VLOOKUP(R2341,REGRAS!$B$2:$C$13,2,0),""))</f>
        <v/>
      </c>
    </row>
    <row r="2342">
      <c r="T2342" s="258">
        <f>IF(R2342="","",IFERROR(TODAY()+VLOOKUP(R2342,REGRAS!$B$2:$C$13,2,0),""))</f>
        <v/>
      </c>
    </row>
    <row r="2343">
      <c r="T2343" s="258">
        <f>IF(R2343="","",IFERROR(TODAY()+VLOOKUP(R2343,REGRAS!$B$2:$C$13,2,0),""))</f>
        <v/>
      </c>
    </row>
    <row r="2344">
      <c r="T2344" s="258">
        <f>IF(R2344="","",IFERROR(TODAY()+VLOOKUP(R2344,REGRAS!$B$2:$C$13,2,0),""))</f>
        <v/>
      </c>
    </row>
    <row r="2345">
      <c r="T2345" s="258">
        <f>IF(R2345="","",IFERROR(TODAY()+VLOOKUP(R2345,REGRAS!$B$2:$C$13,2,0),""))</f>
        <v/>
      </c>
    </row>
    <row r="2346">
      <c r="T2346" s="258">
        <f>IF(R2346="","",IFERROR(TODAY()+VLOOKUP(R2346,REGRAS!$B$2:$C$13,2,0),""))</f>
        <v/>
      </c>
    </row>
    <row r="2347">
      <c r="T2347" s="258">
        <f>IF(R2347="","",IFERROR(TODAY()+VLOOKUP(R2347,REGRAS!$B$2:$C$13,2,0),""))</f>
        <v/>
      </c>
    </row>
    <row r="2348">
      <c r="T2348" s="258">
        <f>IF(R2348="","",IFERROR(TODAY()+VLOOKUP(R2348,REGRAS!$B$2:$C$13,2,0),""))</f>
        <v/>
      </c>
    </row>
    <row r="2349">
      <c r="T2349" s="258">
        <f>IF(R2349="","",IFERROR(TODAY()+VLOOKUP(R2349,REGRAS!$B$2:$C$13,2,0),""))</f>
        <v/>
      </c>
    </row>
    <row r="2350">
      <c r="T2350" s="258">
        <f>IF(R2350="","",IFERROR(TODAY()+VLOOKUP(R2350,REGRAS!$B$2:$C$13,2,0),""))</f>
        <v/>
      </c>
    </row>
    <row r="2351">
      <c r="T2351" s="258">
        <f>IF(R2351="","",IFERROR(TODAY()+VLOOKUP(R2351,REGRAS!$B$2:$C$13,2,0),""))</f>
        <v/>
      </c>
    </row>
    <row r="2352">
      <c r="T2352" s="258">
        <f>IF(R2352="","",IFERROR(TODAY()+VLOOKUP(R2352,REGRAS!$B$2:$C$13,2,0),""))</f>
        <v/>
      </c>
    </row>
    <row r="2353">
      <c r="T2353" s="258">
        <f>IF(R2353="","",IFERROR(TODAY()+VLOOKUP(R2353,REGRAS!$B$2:$C$13,2,0),""))</f>
        <v/>
      </c>
    </row>
    <row r="2354">
      <c r="T2354" s="258">
        <f>IF(R2354="","",IFERROR(TODAY()+VLOOKUP(R2354,REGRAS!$B$2:$C$13,2,0),""))</f>
        <v/>
      </c>
    </row>
    <row r="2355">
      <c r="T2355" s="258">
        <f>IF(R2355="","",IFERROR(TODAY()+VLOOKUP(R2355,REGRAS!$B$2:$C$13,2,0),""))</f>
        <v/>
      </c>
    </row>
    <row r="2356">
      <c r="T2356" s="258">
        <f>IF(R2356="","",IFERROR(TODAY()+VLOOKUP(R2356,REGRAS!$B$2:$C$13,2,0),""))</f>
        <v/>
      </c>
    </row>
    <row r="2357">
      <c r="T2357" s="258">
        <f>IF(R2357="","",IFERROR(TODAY()+VLOOKUP(R2357,REGRAS!$B$2:$C$13,2,0),""))</f>
        <v/>
      </c>
    </row>
    <row r="2358">
      <c r="T2358" s="258">
        <f>IF(R2358="","",IFERROR(TODAY()+VLOOKUP(R2358,REGRAS!$B$2:$C$13,2,0),""))</f>
        <v/>
      </c>
    </row>
    <row r="2359">
      <c r="T2359" s="258">
        <f>IF(R2359="","",IFERROR(TODAY()+VLOOKUP(R2359,REGRAS!$B$2:$C$13,2,0),""))</f>
        <v/>
      </c>
    </row>
    <row r="2360">
      <c r="T2360" s="258">
        <f>IF(R2360="","",IFERROR(TODAY()+VLOOKUP(R2360,REGRAS!$B$2:$C$13,2,0),""))</f>
        <v/>
      </c>
    </row>
    <row r="2361">
      <c r="T2361" s="258">
        <f>IF(R2361="","",IFERROR(TODAY()+VLOOKUP(R2361,REGRAS!$B$2:$C$13,2,0),""))</f>
        <v/>
      </c>
    </row>
    <row r="2362">
      <c r="T2362" s="258">
        <f>IF(R2362="","",IFERROR(TODAY()+VLOOKUP(R2362,REGRAS!$B$2:$C$13,2,0),""))</f>
        <v/>
      </c>
    </row>
    <row r="2363">
      <c r="T2363" s="258">
        <f>IF(R2363="","",IFERROR(TODAY()+VLOOKUP(R2363,REGRAS!$B$2:$C$13,2,0),""))</f>
        <v/>
      </c>
    </row>
    <row r="2364">
      <c r="T2364" s="258">
        <f>IF(R2364="","",IFERROR(TODAY()+VLOOKUP(R2364,REGRAS!$B$2:$C$13,2,0),""))</f>
        <v/>
      </c>
    </row>
    <row r="2365">
      <c r="T2365" s="258">
        <f>IF(R2365="","",IFERROR(TODAY()+VLOOKUP(R2365,REGRAS!$B$2:$C$13,2,0),""))</f>
        <v/>
      </c>
    </row>
    <row r="2366">
      <c r="T2366" s="258">
        <f>IF(R2366="","",IFERROR(TODAY()+VLOOKUP(R2366,REGRAS!$B$2:$C$13,2,0),""))</f>
        <v/>
      </c>
    </row>
    <row r="2367">
      <c r="T2367" s="258">
        <f>IF(R2367="","",IFERROR(TODAY()+VLOOKUP(R2367,REGRAS!$B$2:$C$13,2,0),""))</f>
        <v/>
      </c>
    </row>
    <row r="2368">
      <c r="T2368" s="258">
        <f>IF(R2368="","",IFERROR(TODAY()+VLOOKUP(R2368,REGRAS!$B$2:$C$13,2,0),""))</f>
        <v/>
      </c>
    </row>
    <row r="2369">
      <c r="T2369" s="258">
        <f>IF(R2369="","",IFERROR(TODAY()+VLOOKUP(R2369,REGRAS!$B$2:$C$13,2,0),""))</f>
        <v/>
      </c>
    </row>
    <row r="2370">
      <c r="T2370" s="258">
        <f>IF(R2370="","",IFERROR(TODAY()+VLOOKUP(R2370,REGRAS!$B$2:$C$13,2,0),""))</f>
        <v/>
      </c>
    </row>
    <row r="2371">
      <c r="T2371" s="258">
        <f>IF(R2371="","",IFERROR(TODAY()+VLOOKUP(R2371,REGRAS!$B$2:$C$13,2,0),""))</f>
        <v/>
      </c>
    </row>
    <row r="2372">
      <c r="T2372" s="258">
        <f>IF(R2372="","",IFERROR(TODAY()+VLOOKUP(R2372,REGRAS!$B$2:$C$13,2,0),""))</f>
        <v/>
      </c>
    </row>
    <row r="2373">
      <c r="T2373" s="258">
        <f>IF(R2373="","",IFERROR(TODAY()+VLOOKUP(R2373,REGRAS!$B$2:$C$13,2,0),""))</f>
        <v/>
      </c>
    </row>
    <row r="2374">
      <c r="T2374" s="258">
        <f>IF(R2374="","",IFERROR(TODAY()+VLOOKUP(R2374,REGRAS!$B$2:$C$13,2,0),""))</f>
        <v/>
      </c>
    </row>
    <row r="2375">
      <c r="T2375" s="258">
        <f>IF(R2375="","",IFERROR(TODAY()+VLOOKUP(R2375,REGRAS!$B$2:$C$13,2,0),""))</f>
        <v/>
      </c>
    </row>
    <row r="2376">
      <c r="T2376" s="258">
        <f>IF(R2376="","",IFERROR(TODAY()+VLOOKUP(R2376,REGRAS!$B$2:$C$13,2,0),""))</f>
        <v/>
      </c>
    </row>
    <row r="2377">
      <c r="T2377" s="258">
        <f>IF(R2377="","",IFERROR(TODAY()+VLOOKUP(R2377,REGRAS!$B$2:$C$13,2,0),""))</f>
        <v/>
      </c>
    </row>
    <row r="2378">
      <c r="T2378" s="258">
        <f>IF(R2378="","",IFERROR(TODAY()+VLOOKUP(R2378,REGRAS!$B$2:$C$13,2,0),""))</f>
        <v/>
      </c>
    </row>
    <row r="2379">
      <c r="T2379" s="258">
        <f>IF(R2379="","",IFERROR(TODAY()+VLOOKUP(R2379,REGRAS!$B$2:$C$13,2,0),""))</f>
        <v/>
      </c>
    </row>
    <row r="2380">
      <c r="T2380" s="258">
        <f>IF(R2380="","",IFERROR(TODAY()+VLOOKUP(R2380,REGRAS!$B$2:$C$13,2,0),""))</f>
        <v/>
      </c>
    </row>
    <row r="2381">
      <c r="T2381" s="258">
        <f>IF(R2381="","",IFERROR(TODAY()+VLOOKUP(R2381,REGRAS!$B$2:$C$13,2,0),""))</f>
        <v/>
      </c>
    </row>
    <row r="2382">
      <c r="T2382" s="258">
        <f>IF(R2382="","",IFERROR(TODAY()+VLOOKUP(R2382,REGRAS!$B$2:$C$13,2,0),""))</f>
        <v/>
      </c>
    </row>
    <row r="2383">
      <c r="T2383" s="258">
        <f>IF(R2383="","",IFERROR(TODAY()+VLOOKUP(R2383,REGRAS!$B$2:$C$13,2,0),""))</f>
        <v/>
      </c>
    </row>
    <row r="2384">
      <c r="T2384" s="258">
        <f>IF(R2384="","",IFERROR(TODAY()+VLOOKUP(R2384,REGRAS!$B$2:$C$13,2,0),""))</f>
        <v/>
      </c>
    </row>
    <row r="2385">
      <c r="T2385" s="258">
        <f>IF(R2385="","",IFERROR(TODAY()+VLOOKUP(R2385,REGRAS!$B$2:$C$13,2,0),""))</f>
        <v/>
      </c>
    </row>
    <row r="2386">
      <c r="T2386" s="258">
        <f>IF(R2386="","",IFERROR(TODAY()+VLOOKUP(R2386,REGRAS!$B$2:$C$13,2,0),""))</f>
        <v/>
      </c>
    </row>
    <row r="2387">
      <c r="T2387" s="258">
        <f>IF(R2387="","",IFERROR(TODAY()+VLOOKUP(R2387,REGRAS!$B$2:$C$13,2,0),""))</f>
        <v/>
      </c>
    </row>
    <row r="2388">
      <c r="T2388" s="258">
        <f>IF(R2388="","",IFERROR(TODAY()+VLOOKUP(R2388,REGRAS!$B$2:$C$13,2,0),""))</f>
        <v/>
      </c>
    </row>
    <row r="2389">
      <c r="T2389" s="258">
        <f>IF(R2389="","",IFERROR(TODAY()+VLOOKUP(R2389,REGRAS!$B$2:$C$13,2,0),""))</f>
        <v/>
      </c>
    </row>
    <row r="2390">
      <c r="T2390" s="258">
        <f>IF(R2390="","",IFERROR(TODAY()+VLOOKUP(R2390,REGRAS!$B$2:$C$13,2,0),""))</f>
        <v/>
      </c>
    </row>
    <row r="2391">
      <c r="T2391" s="258">
        <f>IF(R2391="","",IFERROR(TODAY()+VLOOKUP(R2391,REGRAS!$B$2:$C$13,2,0),""))</f>
        <v/>
      </c>
    </row>
    <row r="2392">
      <c r="T2392" s="258">
        <f>IF(R2392="","",IFERROR(TODAY()+VLOOKUP(R2392,REGRAS!$B$2:$C$13,2,0),""))</f>
        <v/>
      </c>
    </row>
    <row r="2393">
      <c r="T2393" s="258">
        <f>IF(R2393="","",IFERROR(TODAY()+VLOOKUP(R2393,REGRAS!$B$2:$C$13,2,0),""))</f>
        <v/>
      </c>
    </row>
    <row r="2394">
      <c r="T2394" s="258">
        <f>IF(R2394="","",IFERROR(TODAY()+VLOOKUP(R2394,REGRAS!$B$2:$C$13,2,0),""))</f>
        <v/>
      </c>
    </row>
    <row r="2395">
      <c r="T2395" s="258">
        <f>IF(R2395="","",IFERROR(TODAY()+VLOOKUP(R2395,REGRAS!$B$2:$C$13,2,0),""))</f>
        <v/>
      </c>
    </row>
    <row r="2396">
      <c r="T2396" s="258">
        <f>IF(R2396="","",IFERROR(TODAY()+VLOOKUP(R2396,REGRAS!$B$2:$C$13,2,0),""))</f>
        <v/>
      </c>
    </row>
    <row r="2397">
      <c r="T2397" s="258">
        <f>IF(R2397="","",IFERROR(TODAY()+VLOOKUP(R2397,REGRAS!$B$2:$C$13,2,0),""))</f>
        <v/>
      </c>
    </row>
    <row r="2398">
      <c r="T2398" s="258">
        <f>IF(R2398="","",IFERROR(TODAY()+VLOOKUP(R2398,REGRAS!$B$2:$C$13,2,0),""))</f>
        <v/>
      </c>
    </row>
    <row r="2399">
      <c r="T2399" s="258">
        <f>IF(R2399="","",IFERROR(TODAY()+VLOOKUP(R2399,REGRAS!$B$2:$C$13,2,0),""))</f>
        <v/>
      </c>
    </row>
    <row r="2400">
      <c r="T2400" s="258">
        <f>IF(R2400="","",IFERROR(TODAY()+VLOOKUP(R2400,REGRAS!$B$2:$C$13,2,0),""))</f>
        <v/>
      </c>
    </row>
    <row r="2401">
      <c r="T2401" s="258">
        <f>IF(R2401="","",IFERROR(TODAY()+VLOOKUP(R2401,REGRAS!$B$2:$C$13,2,0),""))</f>
        <v/>
      </c>
    </row>
    <row r="2402">
      <c r="T2402" s="258">
        <f>IF(R2402="","",IFERROR(TODAY()+VLOOKUP(R2402,REGRAS!$B$2:$C$13,2,0),""))</f>
        <v/>
      </c>
    </row>
    <row r="2403">
      <c r="T2403" s="258">
        <f>IF(R2403="","",IFERROR(TODAY()+VLOOKUP(R2403,REGRAS!$B$2:$C$13,2,0),""))</f>
        <v/>
      </c>
    </row>
    <row r="2404">
      <c r="T2404" s="258">
        <f>IF(R2404="","",IFERROR(TODAY()+VLOOKUP(R2404,REGRAS!$B$2:$C$13,2,0),""))</f>
        <v/>
      </c>
    </row>
    <row r="2405">
      <c r="T2405" s="258">
        <f>IF(R2405="","",IFERROR(TODAY()+VLOOKUP(R2405,REGRAS!$B$2:$C$13,2,0),""))</f>
        <v/>
      </c>
    </row>
    <row r="2406">
      <c r="T2406" s="258">
        <f>IF(R2406="","",IFERROR(TODAY()+VLOOKUP(R2406,REGRAS!$B$2:$C$13,2,0),""))</f>
        <v/>
      </c>
    </row>
    <row r="2407">
      <c r="T2407" s="258">
        <f>IF(R2407="","",IFERROR(TODAY()+VLOOKUP(R2407,REGRAS!$B$2:$C$13,2,0),""))</f>
        <v/>
      </c>
    </row>
    <row r="2408">
      <c r="T2408" s="258">
        <f>IF(R2408="","",IFERROR(TODAY()+VLOOKUP(R2408,REGRAS!$B$2:$C$13,2,0),""))</f>
        <v/>
      </c>
    </row>
    <row r="2409">
      <c r="T2409" s="258">
        <f>IF(R2409="","",IFERROR(TODAY()+VLOOKUP(R2409,REGRAS!$B$2:$C$13,2,0),""))</f>
        <v/>
      </c>
    </row>
    <row r="2410">
      <c r="T2410" s="258">
        <f>IF(R2410="","",IFERROR(TODAY()+VLOOKUP(R2410,REGRAS!$B$2:$C$13,2,0),""))</f>
        <v/>
      </c>
    </row>
    <row r="2411">
      <c r="T2411" s="258">
        <f>IF(R2411="","",IFERROR(TODAY()+VLOOKUP(R2411,REGRAS!$B$2:$C$13,2,0),""))</f>
        <v/>
      </c>
    </row>
    <row r="2412">
      <c r="T2412" s="258">
        <f>IF(R2412="","",IFERROR(TODAY()+VLOOKUP(R2412,REGRAS!$B$2:$C$13,2,0),""))</f>
        <v/>
      </c>
    </row>
    <row r="2413">
      <c r="T2413" s="258">
        <f>IF(R2413="","",IFERROR(TODAY()+VLOOKUP(R2413,REGRAS!$B$2:$C$13,2,0),""))</f>
        <v/>
      </c>
    </row>
    <row r="2414">
      <c r="T2414" s="258">
        <f>IF(R2414="","",IFERROR(TODAY()+VLOOKUP(R2414,REGRAS!$B$2:$C$13,2,0),""))</f>
        <v/>
      </c>
    </row>
    <row r="2415">
      <c r="T2415" s="258">
        <f>IF(R2415="","",IFERROR(TODAY()+VLOOKUP(R2415,REGRAS!$B$2:$C$13,2,0),""))</f>
        <v/>
      </c>
    </row>
    <row r="2416">
      <c r="T2416" s="258">
        <f>IF(R2416="","",IFERROR(TODAY()+VLOOKUP(R2416,REGRAS!$B$2:$C$13,2,0),""))</f>
        <v/>
      </c>
    </row>
    <row r="2417">
      <c r="T2417" s="258">
        <f>IF(R2417="","",IFERROR(TODAY()+VLOOKUP(R2417,REGRAS!$B$2:$C$13,2,0),""))</f>
        <v/>
      </c>
    </row>
    <row r="2418">
      <c r="T2418" s="258">
        <f>IF(R2418="","",IFERROR(TODAY()+VLOOKUP(R2418,REGRAS!$B$2:$C$13,2,0),""))</f>
        <v/>
      </c>
    </row>
    <row r="2419">
      <c r="T2419" s="258">
        <f>IF(R2419="","",IFERROR(TODAY()+VLOOKUP(R2419,REGRAS!$B$2:$C$13,2,0),""))</f>
        <v/>
      </c>
    </row>
    <row r="2420">
      <c r="T2420" s="258">
        <f>IF(R2420="","",IFERROR(TODAY()+VLOOKUP(R2420,REGRAS!$B$2:$C$13,2,0),""))</f>
        <v/>
      </c>
    </row>
    <row r="2421">
      <c r="T2421" s="258">
        <f>IF(R2421="","",IFERROR(TODAY()+VLOOKUP(R2421,REGRAS!$B$2:$C$13,2,0),""))</f>
        <v/>
      </c>
    </row>
    <row r="2422">
      <c r="T2422" s="258">
        <f>IF(R2422="","",IFERROR(TODAY()+VLOOKUP(R2422,REGRAS!$B$2:$C$13,2,0),""))</f>
        <v/>
      </c>
    </row>
    <row r="2423">
      <c r="T2423" s="258">
        <f>IF(R2423="","",IFERROR(TODAY()+VLOOKUP(R2423,REGRAS!$B$2:$C$13,2,0),""))</f>
        <v/>
      </c>
    </row>
    <row r="2424">
      <c r="T2424" s="258">
        <f>IF(R2424="","",IFERROR(TODAY()+VLOOKUP(R2424,REGRAS!$B$2:$C$13,2,0),""))</f>
        <v/>
      </c>
    </row>
    <row r="2425">
      <c r="T2425" s="258">
        <f>IF(R2425="","",IFERROR(TODAY()+VLOOKUP(R2425,REGRAS!$B$2:$C$13,2,0),""))</f>
        <v/>
      </c>
    </row>
    <row r="2426">
      <c r="T2426" s="258">
        <f>IF(R2426="","",IFERROR(TODAY()+VLOOKUP(R2426,REGRAS!$B$2:$C$13,2,0),""))</f>
        <v/>
      </c>
    </row>
    <row r="2427">
      <c r="T2427" s="258">
        <f>IF(R2427="","",IFERROR(TODAY()+VLOOKUP(R2427,REGRAS!$B$2:$C$13,2,0),""))</f>
        <v/>
      </c>
    </row>
    <row r="2428">
      <c r="T2428" s="258">
        <f>IF(R2428="","",IFERROR(TODAY()+VLOOKUP(R2428,REGRAS!$B$2:$C$13,2,0),""))</f>
        <v/>
      </c>
    </row>
    <row r="2429">
      <c r="T2429" s="258">
        <f>IF(R2429="","",IFERROR(TODAY()+VLOOKUP(R2429,REGRAS!$B$2:$C$13,2,0),""))</f>
        <v/>
      </c>
    </row>
    <row r="2430">
      <c r="T2430" s="258">
        <f>IF(R2430="","",IFERROR(TODAY()+VLOOKUP(R2430,REGRAS!$B$2:$C$13,2,0),""))</f>
        <v/>
      </c>
    </row>
    <row r="2431">
      <c r="T2431" s="258">
        <f>IF(R2431="","",IFERROR(TODAY()+VLOOKUP(R2431,REGRAS!$B$2:$C$13,2,0),""))</f>
        <v/>
      </c>
    </row>
    <row r="2432">
      <c r="T2432" s="258">
        <f>IF(R2432="","",IFERROR(TODAY()+VLOOKUP(R2432,REGRAS!$B$2:$C$13,2,0),""))</f>
        <v/>
      </c>
    </row>
    <row r="2433">
      <c r="T2433" s="258">
        <f>IF(R2433="","",IFERROR(TODAY()+VLOOKUP(R2433,REGRAS!$B$2:$C$13,2,0),""))</f>
        <v/>
      </c>
    </row>
    <row r="2434">
      <c r="T2434" s="258">
        <f>IF(R2434="","",IFERROR(TODAY()+VLOOKUP(R2434,REGRAS!$B$2:$C$13,2,0),""))</f>
        <v/>
      </c>
    </row>
    <row r="2435">
      <c r="T2435" s="258">
        <f>IF(R2435="","",IFERROR(TODAY()+VLOOKUP(R2435,REGRAS!$B$2:$C$13,2,0),""))</f>
        <v/>
      </c>
    </row>
    <row r="2436">
      <c r="T2436" s="258">
        <f>IF(R2436="","",IFERROR(TODAY()+VLOOKUP(R2436,REGRAS!$B$2:$C$13,2,0),""))</f>
        <v/>
      </c>
    </row>
    <row r="2437">
      <c r="T2437" s="258">
        <f>IF(R2437="","",IFERROR(TODAY()+VLOOKUP(R2437,REGRAS!$B$2:$C$13,2,0),""))</f>
        <v/>
      </c>
    </row>
    <row r="2438">
      <c r="T2438" s="258">
        <f>IF(R2438="","",IFERROR(TODAY()+VLOOKUP(R2438,REGRAS!$B$2:$C$13,2,0),""))</f>
        <v/>
      </c>
    </row>
    <row r="2439">
      <c r="T2439" s="258">
        <f>IF(R2439="","",IFERROR(TODAY()+VLOOKUP(R2439,REGRAS!$B$2:$C$13,2,0),""))</f>
        <v/>
      </c>
    </row>
    <row r="2440">
      <c r="T2440" s="258">
        <f>IF(R2440="","",IFERROR(TODAY()+VLOOKUP(R2440,REGRAS!$B$2:$C$13,2,0),""))</f>
        <v/>
      </c>
    </row>
    <row r="2441">
      <c r="T2441" s="258">
        <f>IF(R2441="","",IFERROR(TODAY()+VLOOKUP(R2441,REGRAS!$B$2:$C$13,2,0),""))</f>
        <v/>
      </c>
    </row>
    <row r="2442">
      <c r="T2442" s="258">
        <f>IF(R2442="","",IFERROR(TODAY()+VLOOKUP(R2442,REGRAS!$B$2:$C$13,2,0),""))</f>
        <v/>
      </c>
    </row>
    <row r="2443">
      <c r="T2443" s="258">
        <f>IF(R2443="","",IFERROR(TODAY()+VLOOKUP(R2443,REGRAS!$B$2:$C$13,2,0),""))</f>
        <v/>
      </c>
    </row>
    <row r="2444">
      <c r="T2444" s="258">
        <f>IF(R2444="","",IFERROR(TODAY()+VLOOKUP(R2444,REGRAS!$B$2:$C$13,2,0),""))</f>
        <v/>
      </c>
    </row>
    <row r="2445">
      <c r="T2445" s="258">
        <f>IF(R2445="","",IFERROR(TODAY()+VLOOKUP(R2445,REGRAS!$B$2:$C$13,2,0),""))</f>
        <v/>
      </c>
    </row>
    <row r="2446">
      <c r="T2446" s="258">
        <f>IF(R2446="","",IFERROR(TODAY()+VLOOKUP(R2446,REGRAS!$B$2:$C$13,2,0),""))</f>
        <v/>
      </c>
    </row>
    <row r="2447">
      <c r="T2447" s="258">
        <f>IF(R2447="","",IFERROR(TODAY()+VLOOKUP(R2447,REGRAS!$B$2:$C$13,2,0),""))</f>
        <v/>
      </c>
    </row>
    <row r="2448">
      <c r="T2448" s="258">
        <f>IF(R2448="","",IFERROR(TODAY()+VLOOKUP(R2448,REGRAS!$B$2:$C$13,2,0),""))</f>
        <v/>
      </c>
    </row>
    <row r="2449">
      <c r="T2449" s="258">
        <f>IF(R2449="","",IFERROR(TODAY()+VLOOKUP(R2449,REGRAS!$B$2:$C$13,2,0),""))</f>
        <v/>
      </c>
    </row>
    <row r="2450">
      <c r="T2450" s="258">
        <f>IF(R2450="","",IFERROR(TODAY()+VLOOKUP(R2450,REGRAS!$B$2:$C$13,2,0),""))</f>
        <v/>
      </c>
    </row>
    <row r="2451">
      <c r="T2451" s="258">
        <f>IF(R2451="","",IFERROR(TODAY()+VLOOKUP(R2451,REGRAS!$B$2:$C$13,2,0),""))</f>
        <v/>
      </c>
    </row>
    <row r="2452">
      <c r="T2452" s="258">
        <f>IF(R2452="","",IFERROR(TODAY()+VLOOKUP(R2452,REGRAS!$B$2:$C$13,2,0),""))</f>
        <v/>
      </c>
    </row>
    <row r="2453">
      <c r="T2453" s="258">
        <f>IF(R2453="","",IFERROR(TODAY()+VLOOKUP(R2453,REGRAS!$B$2:$C$13,2,0),""))</f>
        <v/>
      </c>
    </row>
    <row r="2454">
      <c r="T2454" s="258">
        <f>IF(R2454="","",IFERROR(TODAY()+VLOOKUP(R2454,REGRAS!$B$2:$C$13,2,0),""))</f>
        <v/>
      </c>
    </row>
    <row r="2455">
      <c r="T2455" s="258">
        <f>IF(R2455="","",IFERROR(TODAY()+VLOOKUP(R2455,REGRAS!$B$2:$C$13,2,0),""))</f>
        <v/>
      </c>
    </row>
    <row r="2456">
      <c r="T2456" s="258">
        <f>IF(R2456="","",IFERROR(TODAY()+VLOOKUP(R2456,REGRAS!$B$2:$C$13,2,0),""))</f>
        <v/>
      </c>
    </row>
    <row r="2457">
      <c r="T2457" s="258">
        <f>IF(R2457="","",IFERROR(TODAY()+VLOOKUP(R2457,REGRAS!$B$2:$C$13,2,0),""))</f>
        <v/>
      </c>
    </row>
    <row r="2458">
      <c r="T2458" s="258">
        <f>IF(R2458="","",IFERROR(TODAY()+VLOOKUP(R2458,REGRAS!$B$2:$C$13,2,0),""))</f>
        <v/>
      </c>
    </row>
    <row r="2459">
      <c r="T2459" s="258">
        <f>IF(R2459="","",IFERROR(TODAY()+VLOOKUP(R2459,REGRAS!$B$2:$C$13,2,0),""))</f>
        <v/>
      </c>
    </row>
    <row r="2460">
      <c r="T2460" s="258">
        <f>IF(R2460="","",IFERROR(TODAY()+VLOOKUP(R2460,REGRAS!$B$2:$C$13,2,0),""))</f>
        <v/>
      </c>
    </row>
    <row r="2461">
      <c r="T2461" s="258">
        <f>IF(R2461="","",IFERROR(TODAY()+VLOOKUP(R2461,REGRAS!$B$2:$C$13,2,0),""))</f>
        <v/>
      </c>
    </row>
    <row r="2462">
      <c r="T2462" s="258">
        <f>IF(R2462="","",IFERROR(TODAY()+VLOOKUP(R2462,REGRAS!$B$2:$C$13,2,0),""))</f>
        <v/>
      </c>
    </row>
    <row r="2463">
      <c r="T2463" s="258">
        <f>IF(R2463="","",IFERROR(TODAY()+VLOOKUP(R2463,REGRAS!$B$2:$C$13,2,0),""))</f>
        <v/>
      </c>
    </row>
    <row r="2464">
      <c r="T2464" s="258">
        <f>IF(R2464="","",IFERROR(TODAY()+VLOOKUP(R2464,REGRAS!$B$2:$C$13,2,0),""))</f>
        <v/>
      </c>
    </row>
    <row r="2465">
      <c r="T2465" s="258">
        <f>IF(R2465="","",IFERROR(TODAY()+VLOOKUP(R2465,REGRAS!$B$2:$C$13,2,0),""))</f>
        <v/>
      </c>
    </row>
    <row r="2466">
      <c r="T2466" s="258">
        <f>IF(R2466="","",IFERROR(TODAY()+VLOOKUP(R2466,REGRAS!$B$2:$C$13,2,0),""))</f>
        <v/>
      </c>
    </row>
    <row r="2467">
      <c r="T2467" s="258">
        <f>IF(R2467="","",IFERROR(TODAY()+VLOOKUP(R2467,REGRAS!$B$2:$C$13,2,0),""))</f>
        <v/>
      </c>
    </row>
    <row r="2468">
      <c r="T2468" s="258">
        <f>IF(R2468="","",IFERROR(TODAY()+VLOOKUP(R2468,REGRAS!$B$2:$C$13,2,0),""))</f>
        <v/>
      </c>
    </row>
    <row r="2469">
      <c r="T2469" s="258">
        <f>IF(R2469="","",IFERROR(TODAY()+VLOOKUP(R2469,REGRAS!$B$2:$C$13,2,0),""))</f>
        <v/>
      </c>
    </row>
    <row r="2470">
      <c r="T2470" s="258">
        <f>IF(R2470="","",IFERROR(TODAY()+VLOOKUP(R2470,REGRAS!$B$2:$C$13,2,0),""))</f>
        <v/>
      </c>
    </row>
    <row r="2471">
      <c r="T2471" s="258">
        <f>IF(R2471="","",IFERROR(TODAY()+VLOOKUP(R2471,REGRAS!$B$2:$C$13,2,0),""))</f>
        <v/>
      </c>
    </row>
    <row r="2472">
      <c r="T2472" s="258">
        <f>IF(R2472="","",IFERROR(TODAY()+VLOOKUP(R2472,REGRAS!$B$2:$C$13,2,0),""))</f>
        <v/>
      </c>
    </row>
    <row r="2473">
      <c r="T2473" s="258">
        <f>IF(R2473="","",IFERROR(TODAY()+VLOOKUP(R2473,REGRAS!$B$2:$C$13,2,0),""))</f>
        <v/>
      </c>
    </row>
    <row r="2474">
      <c r="T2474" s="258">
        <f>IF(R2474="","",IFERROR(TODAY()+VLOOKUP(R2474,REGRAS!$B$2:$C$13,2,0),""))</f>
        <v/>
      </c>
    </row>
    <row r="2475">
      <c r="T2475" s="258">
        <f>IF(R2475="","",IFERROR(TODAY()+VLOOKUP(R2475,REGRAS!$B$2:$C$13,2,0),""))</f>
        <v/>
      </c>
    </row>
    <row r="2476">
      <c r="T2476" s="258">
        <f>IF(R2476="","",IFERROR(TODAY()+VLOOKUP(R2476,REGRAS!$B$2:$C$13,2,0),""))</f>
        <v/>
      </c>
    </row>
    <row r="2477">
      <c r="T2477" s="258">
        <f>IF(R2477="","",IFERROR(TODAY()+VLOOKUP(R2477,REGRAS!$B$2:$C$13,2,0),""))</f>
        <v/>
      </c>
    </row>
    <row r="2478">
      <c r="T2478" s="258">
        <f>IF(R2478="","",IFERROR(TODAY()+VLOOKUP(R2478,REGRAS!$B$2:$C$13,2,0),""))</f>
        <v/>
      </c>
    </row>
    <row r="2479">
      <c r="T2479" s="258">
        <f>IF(R2479="","",IFERROR(TODAY()+VLOOKUP(R2479,REGRAS!$B$2:$C$13,2,0),""))</f>
        <v/>
      </c>
    </row>
    <row r="2480">
      <c r="T2480" s="258">
        <f>IF(R2480="","",IFERROR(TODAY()+VLOOKUP(R2480,REGRAS!$B$2:$C$13,2,0),""))</f>
        <v/>
      </c>
    </row>
    <row r="2481">
      <c r="T2481" s="258">
        <f>IF(R2481="","",IFERROR(TODAY()+VLOOKUP(R2481,REGRAS!$B$2:$C$13,2,0),""))</f>
        <v/>
      </c>
    </row>
    <row r="2482">
      <c r="T2482" s="258">
        <f>IF(R2482="","",IFERROR(TODAY()+VLOOKUP(R2482,REGRAS!$B$2:$C$13,2,0),""))</f>
        <v/>
      </c>
    </row>
    <row r="2483">
      <c r="T2483" s="258">
        <f>IF(R2483="","",IFERROR(TODAY()+VLOOKUP(R2483,REGRAS!$B$2:$C$13,2,0),""))</f>
        <v/>
      </c>
    </row>
    <row r="2484">
      <c r="T2484" s="258">
        <f>IF(R2484="","",IFERROR(TODAY()+VLOOKUP(R2484,REGRAS!$B$2:$C$13,2,0),""))</f>
        <v/>
      </c>
    </row>
    <row r="2485">
      <c r="T2485" s="258">
        <f>IF(R2485="","",IFERROR(TODAY()+VLOOKUP(R2485,REGRAS!$B$2:$C$13,2,0),""))</f>
        <v/>
      </c>
    </row>
    <row r="2486">
      <c r="T2486" s="258">
        <f>IF(R2486="","",IFERROR(TODAY()+VLOOKUP(R2486,REGRAS!$B$2:$C$13,2,0),""))</f>
        <v/>
      </c>
    </row>
    <row r="2487">
      <c r="T2487" s="258">
        <f>IF(R2487="","",IFERROR(TODAY()+VLOOKUP(R2487,REGRAS!$B$2:$C$13,2,0),""))</f>
        <v/>
      </c>
    </row>
    <row r="2488">
      <c r="T2488" s="258">
        <f>IF(R2488="","",IFERROR(TODAY()+VLOOKUP(R2488,REGRAS!$B$2:$C$13,2,0),""))</f>
        <v/>
      </c>
    </row>
    <row r="2489">
      <c r="T2489" s="258">
        <f>IF(R2489="","",IFERROR(TODAY()+VLOOKUP(R2489,REGRAS!$B$2:$C$13,2,0),""))</f>
        <v/>
      </c>
    </row>
    <row r="2490">
      <c r="T2490" s="258">
        <f>IF(R2490="","",IFERROR(TODAY()+VLOOKUP(R2490,REGRAS!$B$2:$C$13,2,0),""))</f>
        <v/>
      </c>
    </row>
    <row r="2491">
      <c r="T2491" s="258">
        <f>IF(R2491="","",IFERROR(TODAY()+VLOOKUP(R2491,REGRAS!$B$2:$C$13,2,0),""))</f>
        <v/>
      </c>
    </row>
    <row r="2492">
      <c r="T2492" s="258">
        <f>IF(R2492="","",IFERROR(TODAY()+VLOOKUP(R2492,REGRAS!$B$2:$C$13,2,0),""))</f>
        <v/>
      </c>
    </row>
    <row r="2493">
      <c r="T2493" s="258">
        <f>IF(R2493="","",IFERROR(TODAY()+VLOOKUP(R2493,REGRAS!$B$2:$C$13,2,0),""))</f>
        <v/>
      </c>
    </row>
    <row r="2494">
      <c r="T2494" s="258">
        <f>IF(R2494="","",IFERROR(TODAY()+VLOOKUP(R2494,REGRAS!$B$2:$C$13,2,0),""))</f>
        <v/>
      </c>
    </row>
    <row r="2495">
      <c r="T2495" s="258">
        <f>IF(R2495="","",IFERROR(TODAY()+VLOOKUP(R2495,REGRAS!$B$2:$C$13,2,0),""))</f>
        <v/>
      </c>
    </row>
    <row r="2496">
      <c r="T2496" s="258">
        <f>IF(R2496="","",IFERROR(TODAY()+VLOOKUP(R2496,REGRAS!$B$2:$C$13,2,0),""))</f>
        <v/>
      </c>
    </row>
    <row r="2497">
      <c r="T2497" s="258">
        <f>IF(R2497="","",IFERROR(TODAY()+VLOOKUP(R2497,REGRAS!$B$2:$C$13,2,0),""))</f>
        <v/>
      </c>
    </row>
    <row r="2498">
      <c r="T2498" s="258">
        <f>IF(R2498="","",IFERROR(TODAY()+VLOOKUP(R2498,REGRAS!$B$2:$C$13,2,0),""))</f>
        <v/>
      </c>
    </row>
    <row r="2499">
      <c r="T2499" s="258">
        <f>IF(R2499="","",IFERROR(TODAY()+VLOOKUP(R2499,REGRAS!$B$2:$C$13,2,0),""))</f>
        <v/>
      </c>
    </row>
    <row r="2500">
      <c r="T2500" s="258">
        <f>IF(R2500="","",IFERROR(TODAY()+VLOOKUP(R2500,REGRAS!$B$2:$C$13,2,0),""))</f>
        <v/>
      </c>
    </row>
    <row r="2501">
      <c r="T2501" s="258">
        <f>IF(R2501="","",IFERROR(TODAY()+VLOOKUP(R2501,REGRAS!$B$2:$C$13,2,0),""))</f>
        <v/>
      </c>
    </row>
    <row r="2502">
      <c r="T2502" s="258">
        <f>IF(R2502="","",IFERROR(TODAY()+VLOOKUP(R2502,REGRAS!$B$2:$C$13,2,0),""))</f>
        <v/>
      </c>
    </row>
    <row r="2503">
      <c r="T2503" s="258">
        <f>IF(R2503="","",IFERROR(TODAY()+VLOOKUP(R2503,REGRAS!$B$2:$C$13,2,0),""))</f>
        <v/>
      </c>
    </row>
    <row r="2504">
      <c r="T2504" s="258">
        <f>IF(R2504="","",IFERROR(TODAY()+VLOOKUP(R2504,REGRAS!$B$2:$C$13,2,0),""))</f>
        <v/>
      </c>
    </row>
    <row r="2505">
      <c r="T2505" s="258">
        <f>IF(R2505="","",IFERROR(TODAY()+VLOOKUP(R2505,REGRAS!$B$2:$C$13,2,0),""))</f>
        <v/>
      </c>
    </row>
    <row r="2506">
      <c r="T2506" s="258">
        <f>IF(R2506="","",IFERROR(TODAY()+VLOOKUP(R2506,REGRAS!$B$2:$C$13,2,0),""))</f>
        <v/>
      </c>
    </row>
    <row r="2507">
      <c r="T2507" s="258">
        <f>IF(R2507="","",IFERROR(TODAY()+VLOOKUP(R2507,REGRAS!$B$2:$C$13,2,0),""))</f>
        <v/>
      </c>
    </row>
    <row r="2508">
      <c r="T2508" s="258">
        <f>IF(R2508="","",IFERROR(TODAY()+VLOOKUP(R2508,REGRAS!$B$2:$C$13,2,0),""))</f>
        <v/>
      </c>
    </row>
    <row r="2509">
      <c r="T2509" s="258">
        <f>IF(R2509="","",IFERROR(TODAY()+VLOOKUP(R2509,REGRAS!$B$2:$C$13,2,0),""))</f>
        <v/>
      </c>
    </row>
    <row r="2510">
      <c r="T2510" s="258">
        <f>IF(R2510="","",IFERROR(TODAY()+VLOOKUP(R2510,REGRAS!$B$2:$C$13,2,0),""))</f>
        <v/>
      </c>
    </row>
    <row r="2511">
      <c r="T2511" s="258">
        <f>IF(R2511="","",IFERROR(TODAY()+VLOOKUP(R2511,REGRAS!$B$2:$C$13,2,0),""))</f>
        <v/>
      </c>
    </row>
    <row r="2512">
      <c r="T2512" s="258">
        <f>IF(R2512="","",IFERROR(TODAY()+VLOOKUP(R2512,REGRAS!$B$2:$C$13,2,0),""))</f>
        <v/>
      </c>
    </row>
    <row r="2513">
      <c r="T2513" s="258">
        <f>IF(R2513="","",IFERROR(TODAY()+VLOOKUP(R2513,REGRAS!$B$2:$C$13,2,0),""))</f>
        <v/>
      </c>
    </row>
    <row r="2514">
      <c r="T2514" s="258">
        <f>IF(R2514="","",IFERROR(TODAY()+VLOOKUP(R2514,REGRAS!$B$2:$C$13,2,0),""))</f>
        <v/>
      </c>
    </row>
    <row r="2515">
      <c r="T2515" s="258">
        <f>IF(R2515="","",IFERROR(TODAY()+VLOOKUP(R2515,REGRAS!$B$2:$C$13,2,0),""))</f>
        <v/>
      </c>
    </row>
    <row r="2516">
      <c r="T2516" s="258">
        <f>IF(R2516="","",IFERROR(TODAY()+VLOOKUP(R2516,REGRAS!$B$2:$C$13,2,0),""))</f>
        <v/>
      </c>
    </row>
    <row r="2517">
      <c r="T2517" s="258">
        <f>IF(R2517="","",IFERROR(TODAY()+VLOOKUP(R2517,REGRAS!$B$2:$C$13,2,0),""))</f>
        <v/>
      </c>
    </row>
    <row r="2518">
      <c r="T2518" s="258">
        <f>IF(R2518="","",IFERROR(TODAY()+VLOOKUP(R2518,REGRAS!$B$2:$C$13,2,0),""))</f>
        <v/>
      </c>
    </row>
    <row r="2519">
      <c r="T2519" s="258">
        <f>IF(R2519="","",IFERROR(TODAY()+VLOOKUP(R2519,REGRAS!$B$2:$C$13,2,0),""))</f>
        <v/>
      </c>
    </row>
    <row r="2520">
      <c r="T2520" s="258">
        <f>IF(R2520="","",IFERROR(TODAY()+VLOOKUP(R2520,REGRAS!$B$2:$C$13,2,0),""))</f>
        <v/>
      </c>
    </row>
    <row r="2521">
      <c r="T2521" s="258">
        <f>IF(R2521="","",IFERROR(TODAY()+VLOOKUP(R2521,REGRAS!$B$2:$C$13,2,0),""))</f>
        <v/>
      </c>
    </row>
    <row r="2522">
      <c r="T2522" s="258">
        <f>IF(R2522="","",IFERROR(TODAY()+VLOOKUP(R2522,REGRAS!$B$2:$C$13,2,0),""))</f>
        <v/>
      </c>
    </row>
    <row r="2523">
      <c r="T2523" s="258">
        <f>IF(R2523="","",IFERROR(TODAY()+VLOOKUP(R2523,REGRAS!$B$2:$C$13,2,0),""))</f>
        <v/>
      </c>
    </row>
    <row r="2524">
      <c r="T2524" s="258">
        <f>IF(R2524="","",IFERROR(TODAY()+VLOOKUP(R2524,REGRAS!$B$2:$C$13,2,0),""))</f>
        <v/>
      </c>
    </row>
    <row r="2525">
      <c r="T2525" s="258">
        <f>IF(R2525="","",IFERROR(TODAY()+VLOOKUP(R2525,REGRAS!$B$2:$C$13,2,0),""))</f>
        <v/>
      </c>
    </row>
    <row r="2526">
      <c r="T2526" s="258">
        <f>IF(R2526="","",IFERROR(TODAY()+VLOOKUP(R2526,REGRAS!$B$2:$C$13,2,0),""))</f>
        <v/>
      </c>
    </row>
    <row r="2527">
      <c r="T2527" s="258">
        <f>IF(R2527="","",IFERROR(TODAY()+VLOOKUP(R2527,REGRAS!$B$2:$C$13,2,0),""))</f>
        <v/>
      </c>
    </row>
    <row r="2528">
      <c r="T2528" s="258">
        <f>IF(R2528="","",IFERROR(TODAY()+VLOOKUP(R2528,REGRAS!$B$2:$C$13,2,0),""))</f>
        <v/>
      </c>
    </row>
    <row r="2529">
      <c r="T2529" s="258">
        <f>IF(R2529="","",IFERROR(TODAY()+VLOOKUP(R2529,REGRAS!$B$2:$C$13,2,0),""))</f>
        <v/>
      </c>
    </row>
    <row r="2530">
      <c r="T2530" s="258">
        <f>IF(R2530="","",IFERROR(TODAY()+VLOOKUP(R2530,REGRAS!$B$2:$C$13,2,0),""))</f>
        <v/>
      </c>
    </row>
    <row r="2531">
      <c r="T2531" s="258">
        <f>IF(R2531="","",IFERROR(TODAY()+VLOOKUP(R2531,REGRAS!$B$2:$C$13,2,0),""))</f>
        <v/>
      </c>
    </row>
    <row r="2532">
      <c r="T2532" s="258">
        <f>IF(R2532="","",IFERROR(TODAY()+VLOOKUP(R2532,REGRAS!$B$2:$C$13,2,0),""))</f>
        <v/>
      </c>
    </row>
    <row r="2533">
      <c r="T2533" s="258">
        <f>IF(R2533="","",IFERROR(TODAY()+VLOOKUP(R2533,REGRAS!$B$2:$C$13,2,0),""))</f>
        <v/>
      </c>
    </row>
    <row r="2534">
      <c r="T2534" s="258">
        <f>IF(R2534="","",IFERROR(TODAY()+VLOOKUP(R2534,REGRAS!$B$2:$C$13,2,0),""))</f>
        <v/>
      </c>
    </row>
    <row r="2535">
      <c r="T2535" s="258">
        <f>IF(R2535="","",IFERROR(TODAY()+VLOOKUP(R2535,REGRAS!$B$2:$C$13,2,0),""))</f>
        <v/>
      </c>
    </row>
    <row r="2536">
      <c r="T2536" s="258">
        <f>IF(R2536="","",IFERROR(TODAY()+VLOOKUP(R2536,REGRAS!$B$2:$C$13,2,0),""))</f>
        <v/>
      </c>
    </row>
    <row r="2537">
      <c r="T2537" s="258">
        <f>IF(R2537="","",IFERROR(TODAY()+VLOOKUP(R2537,REGRAS!$B$2:$C$13,2,0),""))</f>
        <v/>
      </c>
    </row>
    <row r="2538">
      <c r="T2538" s="258">
        <f>IF(R2538="","",IFERROR(TODAY()+VLOOKUP(R2538,REGRAS!$B$2:$C$13,2,0),""))</f>
        <v/>
      </c>
    </row>
    <row r="2539">
      <c r="T2539" s="258">
        <f>IF(R2539="","",IFERROR(TODAY()+VLOOKUP(R2539,REGRAS!$B$2:$C$13,2,0),""))</f>
        <v/>
      </c>
    </row>
    <row r="2540">
      <c r="T2540" s="258">
        <f>IF(R2540="","",IFERROR(TODAY()+VLOOKUP(R2540,REGRAS!$B$2:$C$13,2,0),""))</f>
        <v/>
      </c>
    </row>
    <row r="2541">
      <c r="T2541" s="258">
        <f>IF(R2541="","",IFERROR(TODAY()+VLOOKUP(R2541,REGRAS!$B$2:$C$13,2,0),""))</f>
        <v/>
      </c>
    </row>
    <row r="2542">
      <c r="T2542" s="258">
        <f>IF(R2542="","",IFERROR(TODAY()+VLOOKUP(R2542,REGRAS!$B$2:$C$13,2,0),""))</f>
        <v/>
      </c>
    </row>
    <row r="2543">
      <c r="T2543" s="258">
        <f>IF(R2543="","",IFERROR(TODAY()+VLOOKUP(R2543,REGRAS!$B$2:$C$13,2,0),""))</f>
        <v/>
      </c>
    </row>
    <row r="2544">
      <c r="T2544" s="258">
        <f>IF(R2544="","",IFERROR(TODAY()+VLOOKUP(R2544,REGRAS!$B$2:$C$13,2,0),""))</f>
        <v/>
      </c>
    </row>
    <row r="2545">
      <c r="T2545" s="258">
        <f>IF(R2545="","",IFERROR(TODAY()+VLOOKUP(R2545,REGRAS!$B$2:$C$13,2,0),""))</f>
        <v/>
      </c>
    </row>
    <row r="2546">
      <c r="T2546" s="258">
        <f>IF(R2546="","",IFERROR(TODAY()+VLOOKUP(R2546,REGRAS!$B$2:$C$13,2,0),""))</f>
        <v/>
      </c>
    </row>
    <row r="2547">
      <c r="T2547" s="258">
        <f>IF(R2547="","",IFERROR(TODAY()+VLOOKUP(R2547,REGRAS!$B$2:$C$13,2,0),""))</f>
        <v/>
      </c>
    </row>
    <row r="2548">
      <c r="T2548" s="258">
        <f>IF(R2548="","",IFERROR(TODAY()+VLOOKUP(R2548,REGRAS!$B$2:$C$13,2,0),""))</f>
        <v/>
      </c>
    </row>
    <row r="2549">
      <c r="T2549" s="258">
        <f>IF(R2549="","",IFERROR(TODAY()+VLOOKUP(R2549,REGRAS!$B$2:$C$13,2,0),""))</f>
        <v/>
      </c>
    </row>
    <row r="2550">
      <c r="T2550" s="258">
        <f>IF(R2550="","",IFERROR(TODAY()+VLOOKUP(R2550,REGRAS!$B$2:$C$13,2,0),""))</f>
        <v/>
      </c>
    </row>
    <row r="2551">
      <c r="T2551" s="258">
        <f>IF(R2551="","",IFERROR(TODAY()+VLOOKUP(R2551,REGRAS!$B$2:$C$13,2,0),""))</f>
        <v/>
      </c>
    </row>
    <row r="2552">
      <c r="T2552" s="258">
        <f>IF(R2552="","",IFERROR(TODAY()+VLOOKUP(R2552,REGRAS!$B$2:$C$13,2,0),""))</f>
        <v/>
      </c>
    </row>
    <row r="2553">
      <c r="T2553" s="258">
        <f>IF(R2553="","",IFERROR(TODAY()+VLOOKUP(R2553,REGRAS!$B$2:$C$13,2,0),""))</f>
        <v/>
      </c>
    </row>
    <row r="2554">
      <c r="T2554" s="258">
        <f>IF(R2554="","",IFERROR(TODAY()+VLOOKUP(R2554,REGRAS!$B$2:$C$13,2,0),""))</f>
        <v/>
      </c>
    </row>
    <row r="2555">
      <c r="T2555" s="258">
        <f>IF(R2555="","",IFERROR(TODAY()+VLOOKUP(R2555,REGRAS!$B$2:$C$13,2,0),""))</f>
        <v/>
      </c>
    </row>
    <row r="2556">
      <c r="T2556" s="258">
        <f>IF(R2556="","",IFERROR(TODAY()+VLOOKUP(R2556,REGRAS!$B$2:$C$13,2,0),""))</f>
        <v/>
      </c>
    </row>
    <row r="2557">
      <c r="T2557" s="258">
        <f>IF(R2557="","",IFERROR(TODAY()+VLOOKUP(R2557,REGRAS!$B$2:$C$13,2,0),""))</f>
        <v/>
      </c>
    </row>
    <row r="2558">
      <c r="T2558" s="258">
        <f>IF(R2558="","",IFERROR(TODAY()+VLOOKUP(R2558,REGRAS!$B$2:$C$13,2,0),""))</f>
        <v/>
      </c>
    </row>
    <row r="2559">
      <c r="T2559" s="258">
        <f>IF(R2559="","",IFERROR(TODAY()+VLOOKUP(R2559,REGRAS!$B$2:$C$13,2,0),""))</f>
        <v/>
      </c>
    </row>
    <row r="2560">
      <c r="T2560" s="258">
        <f>IF(R2560="","",IFERROR(TODAY()+VLOOKUP(R2560,REGRAS!$B$2:$C$13,2,0),""))</f>
        <v/>
      </c>
    </row>
    <row r="2561">
      <c r="T2561" s="258">
        <f>IF(R2561="","",IFERROR(TODAY()+VLOOKUP(R2561,REGRAS!$B$2:$C$13,2,0),""))</f>
        <v/>
      </c>
    </row>
    <row r="2562">
      <c r="T2562" s="258">
        <f>IF(R2562="","",IFERROR(TODAY()+VLOOKUP(R2562,REGRAS!$B$2:$C$13,2,0),""))</f>
        <v/>
      </c>
    </row>
    <row r="2563">
      <c r="T2563" s="258">
        <f>IF(R2563="","",IFERROR(TODAY()+VLOOKUP(R2563,REGRAS!$B$2:$C$13,2,0),""))</f>
        <v/>
      </c>
    </row>
    <row r="2564">
      <c r="T2564" s="258">
        <f>IF(R2564="","",IFERROR(TODAY()+VLOOKUP(R2564,REGRAS!$B$2:$C$13,2,0),""))</f>
        <v/>
      </c>
    </row>
    <row r="2565">
      <c r="T2565" s="258">
        <f>IF(R2565="","",IFERROR(TODAY()+VLOOKUP(R2565,REGRAS!$B$2:$C$13,2,0),""))</f>
        <v/>
      </c>
    </row>
    <row r="2566">
      <c r="T2566" s="258">
        <f>IF(R2566="","",IFERROR(TODAY()+VLOOKUP(R2566,REGRAS!$B$2:$C$13,2,0),""))</f>
        <v/>
      </c>
    </row>
    <row r="2567">
      <c r="T2567" s="258">
        <f>IF(R2567="","",IFERROR(TODAY()+VLOOKUP(R2567,REGRAS!$B$2:$C$13,2,0),""))</f>
        <v/>
      </c>
    </row>
    <row r="2568">
      <c r="T2568" s="258">
        <f>IF(R2568="","",IFERROR(TODAY()+VLOOKUP(R2568,REGRAS!$B$2:$C$13,2,0),""))</f>
        <v/>
      </c>
    </row>
    <row r="2569">
      <c r="T2569" s="258">
        <f>IF(R2569="","",IFERROR(TODAY()+VLOOKUP(R2569,REGRAS!$B$2:$C$13,2,0),""))</f>
        <v/>
      </c>
    </row>
    <row r="2570">
      <c r="T2570" s="258">
        <f>IF(R2570="","",IFERROR(TODAY()+VLOOKUP(R2570,REGRAS!$B$2:$C$13,2,0),""))</f>
        <v/>
      </c>
    </row>
    <row r="2571">
      <c r="T2571" s="258">
        <f>IF(R2571="","",IFERROR(TODAY()+VLOOKUP(R2571,REGRAS!$B$2:$C$13,2,0),""))</f>
        <v/>
      </c>
    </row>
    <row r="2572">
      <c r="T2572" s="258">
        <f>IF(R2572="","",IFERROR(TODAY()+VLOOKUP(R2572,REGRAS!$B$2:$C$13,2,0),""))</f>
        <v/>
      </c>
    </row>
    <row r="2573">
      <c r="T2573" s="258">
        <f>IF(R2573="","",IFERROR(TODAY()+VLOOKUP(R2573,REGRAS!$B$2:$C$13,2,0),""))</f>
        <v/>
      </c>
    </row>
    <row r="2574">
      <c r="T2574" s="258">
        <f>IF(R2574="","",IFERROR(TODAY()+VLOOKUP(R2574,REGRAS!$B$2:$C$13,2,0),""))</f>
        <v/>
      </c>
    </row>
    <row r="2575">
      <c r="T2575" s="258">
        <f>IF(R2575="","",IFERROR(TODAY()+VLOOKUP(R2575,REGRAS!$B$2:$C$13,2,0),""))</f>
        <v/>
      </c>
    </row>
    <row r="2576">
      <c r="T2576" s="258">
        <f>IF(R2576="","",IFERROR(TODAY()+VLOOKUP(R2576,REGRAS!$B$2:$C$13,2,0),""))</f>
        <v/>
      </c>
    </row>
    <row r="2577">
      <c r="T2577" s="258">
        <f>IF(R2577="","",IFERROR(TODAY()+VLOOKUP(R2577,REGRAS!$B$2:$C$13,2,0),""))</f>
        <v/>
      </c>
    </row>
    <row r="2578">
      <c r="T2578" s="258">
        <f>IF(R2578="","",IFERROR(TODAY()+VLOOKUP(R2578,REGRAS!$B$2:$C$13,2,0),""))</f>
        <v/>
      </c>
    </row>
    <row r="2579">
      <c r="T2579" s="258">
        <f>IF(R2579="","",IFERROR(TODAY()+VLOOKUP(R2579,REGRAS!$B$2:$C$13,2,0),""))</f>
        <v/>
      </c>
    </row>
    <row r="2580">
      <c r="T2580" s="258">
        <f>IF(R2580="","",IFERROR(TODAY()+VLOOKUP(R2580,REGRAS!$B$2:$C$13,2,0),""))</f>
        <v/>
      </c>
    </row>
    <row r="2581">
      <c r="T2581" s="258">
        <f>IF(R2581="","",IFERROR(TODAY()+VLOOKUP(R2581,REGRAS!$B$2:$C$13,2,0),""))</f>
        <v/>
      </c>
    </row>
    <row r="2582">
      <c r="T2582" s="258">
        <f>IF(R2582="","",IFERROR(TODAY()+VLOOKUP(R2582,REGRAS!$B$2:$C$13,2,0),""))</f>
        <v/>
      </c>
    </row>
    <row r="2583">
      <c r="T2583" s="258">
        <f>IF(R2583="","",IFERROR(TODAY()+VLOOKUP(R2583,REGRAS!$B$2:$C$13,2,0),""))</f>
        <v/>
      </c>
    </row>
    <row r="2584">
      <c r="T2584" s="258">
        <f>IF(R2584="","",IFERROR(TODAY()+VLOOKUP(R2584,REGRAS!$B$2:$C$13,2,0),""))</f>
        <v/>
      </c>
    </row>
    <row r="2585">
      <c r="T2585" s="258">
        <f>IF(R2585="","",IFERROR(TODAY()+VLOOKUP(R2585,REGRAS!$B$2:$C$13,2,0),""))</f>
        <v/>
      </c>
    </row>
    <row r="2586">
      <c r="T2586" s="258">
        <f>IF(R2586="","",IFERROR(TODAY()+VLOOKUP(R2586,REGRAS!$B$2:$C$13,2,0),""))</f>
        <v/>
      </c>
    </row>
    <row r="2587">
      <c r="T2587" s="258">
        <f>IF(R2587="","",IFERROR(TODAY()+VLOOKUP(R2587,REGRAS!$B$2:$C$13,2,0),""))</f>
        <v/>
      </c>
    </row>
    <row r="2588">
      <c r="T2588" s="258">
        <f>IF(R2588="","",IFERROR(TODAY()+VLOOKUP(R2588,REGRAS!$B$2:$C$13,2,0),""))</f>
        <v/>
      </c>
    </row>
    <row r="2589">
      <c r="T2589" s="258">
        <f>IF(R2589="","",IFERROR(TODAY()+VLOOKUP(R2589,REGRAS!$B$2:$C$13,2,0),""))</f>
        <v/>
      </c>
    </row>
    <row r="2590">
      <c r="T2590" s="258">
        <f>IF(R2590="","",IFERROR(TODAY()+VLOOKUP(R2590,REGRAS!$B$2:$C$13,2,0),""))</f>
        <v/>
      </c>
    </row>
    <row r="2591">
      <c r="T2591" s="258">
        <f>IF(R2591="","",IFERROR(TODAY()+VLOOKUP(R2591,REGRAS!$B$2:$C$13,2,0),""))</f>
        <v/>
      </c>
    </row>
    <row r="2592">
      <c r="T2592" s="258">
        <f>IF(R2592="","",IFERROR(TODAY()+VLOOKUP(R2592,REGRAS!$B$2:$C$13,2,0),""))</f>
        <v/>
      </c>
    </row>
    <row r="2593">
      <c r="T2593" s="258">
        <f>IF(R2593="","",IFERROR(TODAY()+VLOOKUP(R2593,REGRAS!$B$2:$C$13,2,0),""))</f>
        <v/>
      </c>
    </row>
    <row r="2594">
      <c r="T2594" s="258">
        <f>IF(R2594="","",IFERROR(TODAY()+VLOOKUP(R2594,REGRAS!$B$2:$C$13,2,0),""))</f>
        <v/>
      </c>
    </row>
    <row r="2595">
      <c r="T2595" s="258">
        <f>IF(R2595="","",IFERROR(TODAY()+VLOOKUP(R2595,REGRAS!$B$2:$C$13,2,0),""))</f>
        <v/>
      </c>
    </row>
    <row r="2596">
      <c r="T2596" s="258">
        <f>IF(R2596="","",IFERROR(TODAY()+VLOOKUP(R2596,REGRAS!$B$2:$C$13,2,0),""))</f>
        <v/>
      </c>
    </row>
    <row r="2597">
      <c r="T2597" s="258">
        <f>IF(R2597="","",IFERROR(TODAY()+VLOOKUP(R2597,REGRAS!$B$2:$C$13,2,0),""))</f>
        <v/>
      </c>
    </row>
    <row r="2598">
      <c r="T2598" s="258">
        <f>IF(R2598="","",IFERROR(TODAY()+VLOOKUP(R2598,REGRAS!$B$2:$C$13,2,0),""))</f>
        <v/>
      </c>
    </row>
    <row r="2599">
      <c r="T2599" s="258">
        <f>IF(R2599="","",IFERROR(TODAY()+VLOOKUP(R2599,REGRAS!$B$2:$C$13,2,0),""))</f>
        <v/>
      </c>
    </row>
    <row r="2600">
      <c r="T2600" s="258">
        <f>IF(R2600="","",IFERROR(TODAY()+VLOOKUP(R2600,REGRAS!$B$2:$C$13,2,0),""))</f>
        <v/>
      </c>
    </row>
    <row r="2601">
      <c r="T2601" s="258">
        <f>IF(R2601="","",IFERROR(TODAY()+VLOOKUP(R2601,REGRAS!$B$2:$C$13,2,0),""))</f>
        <v/>
      </c>
    </row>
    <row r="2602">
      <c r="T2602" s="258">
        <f>IF(R2602="","",IFERROR(TODAY()+VLOOKUP(R2602,REGRAS!$B$2:$C$13,2,0),""))</f>
        <v/>
      </c>
    </row>
    <row r="2603">
      <c r="T2603" s="258">
        <f>IF(R2603="","",IFERROR(TODAY()+VLOOKUP(R2603,REGRAS!$B$2:$C$13,2,0),""))</f>
        <v/>
      </c>
    </row>
    <row r="2604">
      <c r="T2604" s="258">
        <f>IF(R2604="","",IFERROR(TODAY()+VLOOKUP(R2604,REGRAS!$B$2:$C$13,2,0),""))</f>
        <v/>
      </c>
    </row>
    <row r="2605">
      <c r="T2605" s="258">
        <f>IF(R2605="","",IFERROR(TODAY()+VLOOKUP(R2605,REGRAS!$B$2:$C$13,2,0),""))</f>
        <v/>
      </c>
    </row>
    <row r="2606">
      <c r="T2606" s="258">
        <f>IF(R2606="","",IFERROR(TODAY()+VLOOKUP(R2606,REGRAS!$B$2:$C$13,2,0),""))</f>
        <v/>
      </c>
    </row>
    <row r="2607">
      <c r="T2607" s="258">
        <f>IF(R2607="","",IFERROR(TODAY()+VLOOKUP(R2607,REGRAS!$B$2:$C$13,2,0),""))</f>
        <v/>
      </c>
    </row>
    <row r="2608">
      <c r="T2608" s="258">
        <f>IF(R2608="","",IFERROR(TODAY()+VLOOKUP(R2608,REGRAS!$B$2:$C$13,2,0),""))</f>
        <v/>
      </c>
    </row>
    <row r="2609">
      <c r="T2609" s="258">
        <f>IF(R2609="","",IFERROR(TODAY()+VLOOKUP(R2609,REGRAS!$B$2:$C$13,2,0),""))</f>
        <v/>
      </c>
    </row>
    <row r="2610">
      <c r="T2610" s="258">
        <f>IF(R2610="","",IFERROR(TODAY()+VLOOKUP(R2610,REGRAS!$B$2:$C$13,2,0),""))</f>
        <v/>
      </c>
    </row>
    <row r="2611">
      <c r="T2611" s="258">
        <f>IF(R2611="","",IFERROR(TODAY()+VLOOKUP(R2611,REGRAS!$B$2:$C$13,2,0),""))</f>
        <v/>
      </c>
    </row>
    <row r="2612">
      <c r="T2612" s="258">
        <f>IF(R2612="","",IFERROR(TODAY()+VLOOKUP(R2612,REGRAS!$B$2:$C$13,2,0),""))</f>
        <v/>
      </c>
    </row>
    <row r="2613">
      <c r="T2613" s="258">
        <f>IF(R2613="","",IFERROR(TODAY()+VLOOKUP(R2613,REGRAS!$B$2:$C$13,2,0),""))</f>
        <v/>
      </c>
    </row>
    <row r="2614">
      <c r="T2614" s="258">
        <f>IF(R2614="","",IFERROR(TODAY()+VLOOKUP(R2614,REGRAS!$B$2:$C$13,2,0),""))</f>
        <v/>
      </c>
    </row>
    <row r="2615">
      <c r="T2615" s="258">
        <f>IF(R2615="","",IFERROR(TODAY()+VLOOKUP(R2615,REGRAS!$B$2:$C$13,2,0),""))</f>
        <v/>
      </c>
    </row>
    <row r="2616">
      <c r="T2616" s="258">
        <f>IF(R2616="","",IFERROR(TODAY()+VLOOKUP(R2616,REGRAS!$B$2:$C$13,2,0),""))</f>
        <v/>
      </c>
    </row>
    <row r="2617">
      <c r="T2617" s="258">
        <f>IF(R2617="","",IFERROR(TODAY()+VLOOKUP(R2617,REGRAS!$B$2:$C$13,2,0),""))</f>
        <v/>
      </c>
    </row>
    <row r="2618">
      <c r="T2618" s="258">
        <f>IF(R2618="","",IFERROR(TODAY()+VLOOKUP(R2618,REGRAS!$B$2:$C$13,2,0),""))</f>
        <v/>
      </c>
    </row>
    <row r="2619">
      <c r="T2619" s="258">
        <f>IF(R2619="","",IFERROR(TODAY()+VLOOKUP(R2619,REGRAS!$B$2:$C$13,2,0),""))</f>
        <v/>
      </c>
    </row>
    <row r="2620">
      <c r="T2620" s="258">
        <f>IF(R2620="","",IFERROR(TODAY()+VLOOKUP(R2620,REGRAS!$B$2:$C$13,2,0),""))</f>
        <v/>
      </c>
    </row>
    <row r="2621">
      <c r="T2621" s="258">
        <f>IF(R2621="","",IFERROR(TODAY()+VLOOKUP(R2621,REGRAS!$B$2:$C$13,2,0),""))</f>
        <v/>
      </c>
    </row>
    <row r="2622">
      <c r="T2622" s="258">
        <f>IF(R2622="","",IFERROR(TODAY()+VLOOKUP(R2622,REGRAS!$B$2:$C$13,2,0),""))</f>
        <v/>
      </c>
    </row>
    <row r="2623">
      <c r="T2623" s="258">
        <f>IF(R2623="","",IFERROR(TODAY()+VLOOKUP(R2623,REGRAS!$B$2:$C$13,2,0),""))</f>
        <v/>
      </c>
    </row>
    <row r="2624">
      <c r="T2624" s="258">
        <f>IF(R2624="","",IFERROR(TODAY()+VLOOKUP(R2624,REGRAS!$B$2:$C$13,2,0),""))</f>
        <v/>
      </c>
    </row>
    <row r="2625">
      <c r="T2625" s="258">
        <f>IF(R2625="","",IFERROR(TODAY()+VLOOKUP(R2625,REGRAS!$B$2:$C$13,2,0),""))</f>
        <v/>
      </c>
    </row>
    <row r="2626">
      <c r="T2626" s="258">
        <f>IF(R2626="","",IFERROR(TODAY()+VLOOKUP(R2626,REGRAS!$B$2:$C$13,2,0),""))</f>
        <v/>
      </c>
    </row>
    <row r="2627">
      <c r="T2627" s="258">
        <f>IF(R2627="","",IFERROR(TODAY()+VLOOKUP(R2627,REGRAS!$B$2:$C$13,2,0),""))</f>
        <v/>
      </c>
    </row>
    <row r="2628">
      <c r="T2628" s="258">
        <f>IF(R2628="","",IFERROR(TODAY()+VLOOKUP(R2628,REGRAS!$B$2:$C$13,2,0),""))</f>
        <v/>
      </c>
    </row>
    <row r="2629">
      <c r="T2629" s="258">
        <f>IF(R2629="","",IFERROR(TODAY()+VLOOKUP(R2629,REGRAS!$B$2:$C$13,2,0),""))</f>
        <v/>
      </c>
    </row>
    <row r="2630">
      <c r="T2630" s="258">
        <f>IF(R2630="","",IFERROR(TODAY()+VLOOKUP(R2630,REGRAS!$B$2:$C$13,2,0),""))</f>
        <v/>
      </c>
    </row>
    <row r="2631">
      <c r="T2631" s="258">
        <f>IF(R2631="","",IFERROR(TODAY()+VLOOKUP(R2631,REGRAS!$B$2:$C$13,2,0),""))</f>
        <v/>
      </c>
    </row>
    <row r="2632">
      <c r="T2632" s="258">
        <f>IF(R2632="","",IFERROR(TODAY()+VLOOKUP(R2632,REGRAS!$B$2:$C$13,2,0),""))</f>
        <v/>
      </c>
    </row>
    <row r="2633">
      <c r="T2633" s="258">
        <f>IF(R2633="","",IFERROR(TODAY()+VLOOKUP(R2633,REGRAS!$B$2:$C$13,2,0),""))</f>
        <v/>
      </c>
    </row>
    <row r="2634">
      <c r="T2634" s="258">
        <f>IF(R2634="","",IFERROR(TODAY()+VLOOKUP(R2634,REGRAS!$B$2:$C$13,2,0),""))</f>
        <v/>
      </c>
    </row>
    <row r="2635">
      <c r="T2635" s="258">
        <f>IF(R2635="","",IFERROR(TODAY()+VLOOKUP(R2635,REGRAS!$B$2:$C$13,2,0),""))</f>
        <v/>
      </c>
    </row>
    <row r="2636">
      <c r="T2636" s="258">
        <f>IF(R2636="","",IFERROR(TODAY()+VLOOKUP(R2636,REGRAS!$B$2:$C$13,2,0),""))</f>
        <v/>
      </c>
    </row>
    <row r="2637">
      <c r="T2637" s="258">
        <f>IF(R2637="","",IFERROR(TODAY()+VLOOKUP(R2637,REGRAS!$B$2:$C$13,2,0),""))</f>
        <v/>
      </c>
    </row>
    <row r="2638">
      <c r="T2638" s="258">
        <f>IF(R2638="","",IFERROR(TODAY()+VLOOKUP(R2638,REGRAS!$B$2:$C$13,2,0),""))</f>
        <v/>
      </c>
    </row>
    <row r="2639">
      <c r="T2639" s="258">
        <f>IF(R2639="","",IFERROR(TODAY()+VLOOKUP(R2639,REGRAS!$B$2:$C$13,2,0),""))</f>
        <v/>
      </c>
    </row>
    <row r="2640">
      <c r="T2640" s="258">
        <f>IF(R2640="","",IFERROR(TODAY()+VLOOKUP(R2640,REGRAS!$B$2:$C$13,2,0),""))</f>
        <v/>
      </c>
    </row>
    <row r="2641">
      <c r="T2641" s="258">
        <f>IF(R2641="","",IFERROR(TODAY()+VLOOKUP(R2641,REGRAS!$B$2:$C$13,2,0),""))</f>
        <v/>
      </c>
    </row>
    <row r="2642">
      <c r="T2642" s="258">
        <f>IF(R2642="","",IFERROR(TODAY()+VLOOKUP(R2642,REGRAS!$B$2:$C$13,2,0),""))</f>
        <v/>
      </c>
    </row>
    <row r="2643">
      <c r="T2643" s="258">
        <f>IF(R2643="","",IFERROR(TODAY()+VLOOKUP(R2643,REGRAS!$B$2:$C$13,2,0),""))</f>
        <v/>
      </c>
    </row>
    <row r="2644">
      <c r="T2644" s="258">
        <f>IF(R2644="","",IFERROR(TODAY()+VLOOKUP(R2644,REGRAS!$B$2:$C$13,2,0),""))</f>
        <v/>
      </c>
    </row>
    <row r="2645">
      <c r="T2645" s="258">
        <f>IF(R2645="","",IFERROR(TODAY()+VLOOKUP(R2645,REGRAS!$B$2:$C$13,2,0),""))</f>
        <v/>
      </c>
    </row>
    <row r="2646">
      <c r="T2646" s="258">
        <f>IF(R2646="","",IFERROR(TODAY()+VLOOKUP(R2646,REGRAS!$B$2:$C$13,2,0),""))</f>
        <v/>
      </c>
    </row>
    <row r="2647">
      <c r="T2647" s="258">
        <f>IF(R2647="","",IFERROR(TODAY()+VLOOKUP(R2647,REGRAS!$B$2:$C$13,2,0),""))</f>
        <v/>
      </c>
    </row>
    <row r="2648">
      <c r="T2648" s="258">
        <f>IF(R2648="","",IFERROR(TODAY()+VLOOKUP(R2648,REGRAS!$B$2:$C$13,2,0),""))</f>
        <v/>
      </c>
    </row>
    <row r="2649">
      <c r="T2649" s="258">
        <f>IF(R2649="","",IFERROR(TODAY()+VLOOKUP(R2649,REGRAS!$B$2:$C$13,2,0),""))</f>
        <v/>
      </c>
    </row>
    <row r="2650">
      <c r="T2650" s="258">
        <f>IF(R2650="","",IFERROR(TODAY()+VLOOKUP(R2650,REGRAS!$B$2:$C$13,2,0),""))</f>
        <v/>
      </c>
    </row>
    <row r="2651">
      <c r="T2651" s="258">
        <f>IF(R2651="","",IFERROR(TODAY()+VLOOKUP(R2651,REGRAS!$B$2:$C$13,2,0),""))</f>
        <v/>
      </c>
    </row>
    <row r="2652">
      <c r="T2652" s="258">
        <f>IF(R2652="","",IFERROR(TODAY()+VLOOKUP(R2652,REGRAS!$B$2:$C$13,2,0),""))</f>
        <v/>
      </c>
    </row>
    <row r="2653">
      <c r="T2653" s="258">
        <f>IF(R2653="","",IFERROR(TODAY()+VLOOKUP(R2653,REGRAS!$B$2:$C$13,2,0),""))</f>
        <v/>
      </c>
    </row>
    <row r="2654">
      <c r="T2654" s="258">
        <f>IF(R2654="","",IFERROR(TODAY()+VLOOKUP(R2654,REGRAS!$B$2:$C$13,2,0),""))</f>
        <v/>
      </c>
    </row>
    <row r="2655">
      <c r="T2655" s="258">
        <f>IF(R2655="","",IFERROR(TODAY()+VLOOKUP(R2655,REGRAS!$B$2:$C$13,2,0),""))</f>
        <v/>
      </c>
    </row>
    <row r="2656">
      <c r="T2656" s="258">
        <f>IF(R2656="","",IFERROR(TODAY()+VLOOKUP(R2656,REGRAS!$B$2:$C$13,2,0),""))</f>
        <v/>
      </c>
    </row>
    <row r="2657">
      <c r="T2657" s="258">
        <f>IF(R2657="","",IFERROR(TODAY()+VLOOKUP(R2657,REGRAS!$B$2:$C$13,2,0),""))</f>
        <v/>
      </c>
    </row>
    <row r="2658">
      <c r="T2658" s="258">
        <f>IF(R2658="","",IFERROR(TODAY()+VLOOKUP(R2658,REGRAS!$B$2:$C$13,2,0),""))</f>
        <v/>
      </c>
    </row>
    <row r="2659">
      <c r="T2659" s="258">
        <f>IF(R2659="","",IFERROR(TODAY()+VLOOKUP(R2659,REGRAS!$B$2:$C$13,2,0),""))</f>
        <v/>
      </c>
    </row>
    <row r="2660">
      <c r="T2660" s="258">
        <f>IF(R2660="","",IFERROR(TODAY()+VLOOKUP(R2660,REGRAS!$B$2:$C$13,2,0),""))</f>
        <v/>
      </c>
    </row>
    <row r="2661">
      <c r="T2661" s="258">
        <f>IF(R2661="","",IFERROR(TODAY()+VLOOKUP(R2661,REGRAS!$B$2:$C$13,2,0),""))</f>
        <v/>
      </c>
    </row>
    <row r="2662">
      <c r="T2662" s="258">
        <f>IF(R2662="","",IFERROR(TODAY()+VLOOKUP(R2662,REGRAS!$B$2:$C$13,2,0),""))</f>
        <v/>
      </c>
    </row>
    <row r="2663">
      <c r="T2663" s="258">
        <f>IF(R2663="","",IFERROR(TODAY()+VLOOKUP(R2663,REGRAS!$B$2:$C$13,2,0),""))</f>
        <v/>
      </c>
    </row>
    <row r="2664">
      <c r="T2664" s="258">
        <f>IF(R2664="","",IFERROR(TODAY()+VLOOKUP(R2664,REGRAS!$B$2:$C$13,2,0),""))</f>
        <v/>
      </c>
    </row>
    <row r="2665">
      <c r="T2665" s="258">
        <f>IF(R2665="","",IFERROR(TODAY()+VLOOKUP(R2665,REGRAS!$B$2:$C$13,2,0),""))</f>
        <v/>
      </c>
    </row>
    <row r="2666">
      <c r="T2666" s="258">
        <f>IF(R2666="","",IFERROR(TODAY()+VLOOKUP(R2666,REGRAS!$B$2:$C$13,2,0),""))</f>
        <v/>
      </c>
    </row>
    <row r="2667">
      <c r="T2667" s="258">
        <f>IF(R2667="","",IFERROR(TODAY()+VLOOKUP(R2667,REGRAS!$B$2:$C$13,2,0),""))</f>
        <v/>
      </c>
    </row>
    <row r="2668">
      <c r="T2668" s="258">
        <f>IF(R2668="","",IFERROR(TODAY()+VLOOKUP(R2668,REGRAS!$B$2:$C$13,2,0),""))</f>
        <v/>
      </c>
    </row>
    <row r="2669">
      <c r="T2669" s="258">
        <f>IF(R2669="","",IFERROR(TODAY()+VLOOKUP(R2669,REGRAS!$B$2:$C$13,2,0),""))</f>
        <v/>
      </c>
    </row>
    <row r="2670">
      <c r="T2670" s="258">
        <f>IF(R2670="","",IFERROR(TODAY()+VLOOKUP(R2670,REGRAS!$B$2:$C$13,2,0),""))</f>
        <v/>
      </c>
    </row>
    <row r="2671">
      <c r="T2671" s="258">
        <f>IF(R2671="","",IFERROR(TODAY()+VLOOKUP(R2671,REGRAS!$B$2:$C$13,2,0),""))</f>
        <v/>
      </c>
    </row>
    <row r="2672">
      <c r="T2672" s="258">
        <f>IF(R2672="","",IFERROR(TODAY()+VLOOKUP(R2672,REGRAS!$B$2:$C$13,2,0),""))</f>
        <v/>
      </c>
    </row>
    <row r="2673">
      <c r="T2673" s="258">
        <f>IF(R2673="","",IFERROR(TODAY()+VLOOKUP(R2673,REGRAS!$B$2:$C$13,2,0),""))</f>
        <v/>
      </c>
    </row>
    <row r="2674">
      <c r="T2674" s="258">
        <f>IF(R2674="","",IFERROR(TODAY()+VLOOKUP(R2674,REGRAS!$B$2:$C$13,2,0),""))</f>
        <v/>
      </c>
    </row>
    <row r="2675">
      <c r="T2675" s="258">
        <f>IF(R2675="","",IFERROR(TODAY()+VLOOKUP(R2675,REGRAS!$B$2:$C$13,2,0),""))</f>
        <v/>
      </c>
    </row>
    <row r="2676">
      <c r="T2676" s="258">
        <f>IF(R2676="","",IFERROR(TODAY()+VLOOKUP(R2676,REGRAS!$B$2:$C$13,2,0),""))</f>
        <v/>
      </c>
    </row>
    <row r="2677">
      <c r="T2677" s="258">
        <f>IF(R2677="","",IFERROR(TODAY()+VLOOKUP(R2677,REGRAS!$B$2:$C$13,2,0),""))</f>
        <v/>
      </c>
    </row>
    <row r="2678">
      <c r="T2678" s="258">
        <f>IF(R2678="","",IFERROR(TODAY()+VLOOKUP(R2678,REGRAS!$B$2:$C$13,2,0),""))</f>
        <v/>
      </c>
    </row>
    <row r="2679">
      <c r="T2679" s="258">
        <f>IF(R2679="","",IFERROR(TODAY()+VLOOKUP(R2679,REGRAS!$B$2:$C$13,2,0),""))</f>
        <v/>
      </c>
    </row>
    <row r="2680">
      <c r="T2680" s="258">
        <f>IF(R2680="","",IFERROR(TODAY()+VLOOKUP(R2680,REGRAS!$B$2:$C$13,2,0),""))</f>
        <v/>
      </c>
    </row>
    <row r="2681">
      <c r="T2681" s="258">
        <f>IF(R2681="","",IFERROR(TODAY()+VLOOKUP(R2681,REGRAS!$B$2:$C$13,2,0),""))</f>
        <v/>
      </c>
    </row>
    <row r="2682">
      <c r="T2682" s="258">
        <f>IF(R2682="","",IFERROR(TODAY()+VLOOKUP(R2682,REGRAS!$B$2:$C$13,2,0),""))</f>
        <v/>
      </c>
    </row>
    <row r="2683">
      <c r="T2683" s="258">
        <f>IF(R2683="","",IFERROR(TODAY()+VLOOKUP(R2683,REGRAS!$B$2:$C$13,2,0),""))</f>
        <v/>
      </c>
    </row>
    <row r="2684">
      <c r="T2684" s="258">
        <f>IF(R2684="","",IFERROR(TODAY()+VLOOKUP(R2684,REGRAS!$B$2:$C$13,2,0),""))</f>
        <v/>
      </c>
    </row>
    <row r="2685">
      <c r="T2685" s="258">
        <f>IF(R2685="","",IFERROR(TODAY()+VLOOKUP(R2685,REGRAS!$B$2:$C$13,2,0),""))</f>
        <v/>
      </c>
    </row>
    <row r="2686">
      <c r="T2686" s="258">
        <f>IF(R2686="","",IFERROR(TODAY()+VLOOKUP(R2686,REGRAS!$B$2:$C$13,2,0),""))</f>
        <v/>
      </c>
    </row>
    <row r="2687">
      <c r="T2687" s="258">
        <f>IF(R2687="","",IFERROR(TODAY()+VLOOKUP(R2687,REGRAS!$B$2:$C$13,2,0),""))</f>
        <v/>
      </c>
    </row>
    <row r="2688">
      <c r="T2688" s="258">
        <f>IF(R2688="","",IFERROR(TODAY()+VLOOKUP(R2688,REGRAS!$B$2:$C$13,2,0),""))</f>
        <v/>
      </c>
    </row>
    <row r="2689">
      <c r="T2689" s="258">
        <f>IF(R2689="","",IFERROR(TODAY()+VLOOKUP(R2689,REGRAS!$B$2:$C$13,2,0),""))</f>
        <v/>
      </c>
    </row>
    <row r="2690">
      <c r="T2690" s="258">
        <f>IF(R2690="","",IFERROR(TODAY()+VLOOKUP(R2690,REGRAS!$B$2:$C$13,2,0),""))</f>
        <v/>
      </c>
    </row>
    <row r="2691">
      <c r="T2691" s="258">
        <f>IF(R2691="","",IFERROR(TODAY()+VLOOKUP(R2691,REGRAS!$B$2:$C$13,2,0),""))</f>
        <v/>
      </c>
    </row>
    <row r="2692">
      <c r="T2692" s="258">
        <f>IF(R2692="","",IFERROR(TODAY()+VLOOKUP(R2692,REGRAS!$B$2:$C$13,2,0),""))</f>
        <v/>
      </c>
    </row>
    <row r="2693">
      <c r="T2693" s="258">
        <f>IF(R2693="","",IFERROR(TODAY()+VLOOKUP(R2693,REGRAS!$B$2:$C$13,2,0),""))</f>
        <v/>
      </c>
    </row>
    <row r="2694">
      <c r="T2694" s="258">
        <f>IF(R2694="","",IFERROR(TODAY()+VLOOKUP(R2694,REGRAS!$B$2:$C$13,2,0),""))</f>
        <v/>
      </c>
    </row>
    <row r="2695">
      <c r="T2695" s="258">
        <f>IF(R2695="","",IFERROR(TODAY()+VLOOKUP(R2695,REGRAS!$B$2:$C$13,2,0),""))</f>
        <v/>
      </c>
    </row>
    <row r="2696">
      <c r="T2696" s="258">
        <f>IF(R2696="","",IFERROR(TODAY()+VLOOKUP(R2696,REGRAS!$B$2:$C$13,2,0),""))</f>
        <v/>
      </c>
    </row>
    <row r="2697">
      <c r="T2697" s="258">
        <f>IF(R2697="","",IFERROR(TODAY()+VLOOKUP(R2697,REGRAS!$B$2:$C$13,2,0),""))</f>
        <v/>
      </c>
    </row>
    <row r="2698">
      <c r="T2698" s="258">
        <f>IF(R2698="","",IFERROR(TODAY()+VLOOKUP(R2698,REGRAS!$B$2:$C$13,2,0),""))</f>
        <v/>
      </c>
    </row>
    <row r="2699">
      <c r="T2699" s="258">
        <f>IF(R2699="","",IFERROR(TODAY()+VLOOKUP(R2699,REGRAS!$B$2:$C$13,2,0),""))</f>
        <v/>
      </c>
    </row>
    <row r="2700">
      <c r="T2700" s="258">
        <f>IF(R2700="","",IFERROR(TODAY()+VLOOKUP(R2700,REGRAS!$B$2:$C$13,2,0),""))</f>
        <v/>
      </c>
    </row>
    <row r="2701">
      <c r="T2701" s="258">
        <f>IF(R2701="","",IFERROR(TODAY()+VLOOKUP(R2701,REGRAS!$B$2:$C$13,2,0),""))</f>
        <v/>
      </c>
    </row>
    <row r="2702">
      <c r="T2702" s="258">
        <f>IF(R2702="","",IFERROR(TODAY()+VLOOKUP(R2702,REGRAS!$B$2:$C$13,2,0),""))</f>
        <v/>
      </c>
    </row>
    <row r="2703">
      <c r="T2703" s="258">
        <f>IF(R2703="","",IFERROR(TODAY()+VLOOKUP(R2703,REGRAS!$B$2:$C$13,2,0),""))</f>
        <v/>
      </c>
    </row>
    <row r="2704">
      <c r="T2704" s="258">
        <f>IF(R2704="","",IFERROR(TODAY()+VLOOKUP(R2704,REGRAS!$B$2:$C$13,2,0),""))</f>
        <v/>
      </c>
    </row>
    <row r="2705">
      <c r="T2705" s="258">
        <f>IF(R2705="","",IFERROR(TODAY()+VLOOKUP(R2705,REGRAS!$B$2:$C$13,2,0),""))</f>
        <v/>
      </c>
    </row>
    <row r="2706">
      <c r="T2706" s="258">
        <f>IF(R2706="","",IFERROR(TODAY()+VLOOKUP(R2706,REGRAS!$B$2:$C$13,2,0),""))</f>
        <v/>
      </c>
    </row>
    <row r="2707">
      <c r="T2707" s="258">
        <f>IF(R2707="","",IFERROR(TODAY()+VLOOKUP(R2707,REGRAS!$B$2:$C$13,2,0),""))</f>
        <v/>
      </c>
    </row>
    <row r="2708">
      <c r="T2708" s="258">
        <f>IF(R2708="","",IFERROR(TODAY()+VLOOKUP(R2708,REGRAS!$B$2:$C$13,2,0),""))</f>
        <v/>
      </c>
    </row>
    <row r="2709">
      <c r="T2709" s="258">
        <f>IF(R2709="","",IFERROR(TODAY()+VLOOKUP(R2709,REGRAS!$B$2:$C$13,2,0),""))</f>
        <v/>
      </c>
    </row>
    <row r="2710">
      <c r="T2710" s="258">
        <f>IF(R2710="","",IFERROR(TODAY()+VLOOKUP(R2710,REGRAS!$B$2:$C$13,2,0),""))</f>
        <v/>
      </c>
    </row>
    <row r="2711">
      <c r="T2711" s="258">
        <f>IF(R2711="","",IFERROR(TODAY()+VLOOKUP(R2711,REGRAS!$B$2:$C$13,2,0),""))</f>
        <v/>
      </c>
    </row>
    <row r="2712">
      <c r="T2712" s="258">
        <f>IF(R2712="","",IFERROR(TODAY()+VLOOKUP(R2712,REGRAS!$B$2:$C$13,2,0),""))</f>
        <v/>
      </c>
    </row>
    <row r="2713">
      <c r="T2713" s="258">
        <f>IF(R2713="","",IFERROR(TODAY()+VLOOKUP(R2713,REGRAS!$B$2:$C$13,2,0),""))</f>
        <v/>
      </c>
    </row>
    <row r="2714">
      <c r="T2714" s="258">
        <f>IF(R2714="","",IFERROR(TODAY()+VLOOKUP(R2714,REGRAS!$B$2:$C$13,2,0),""))</f>
        <v/>
      </c>
    </row>
    <row r="2715">
      <c r="T2715" s="258">
        <f>IF(R2715="","",IFERROR(TODAY()+VLOOKUP(R2715,REGRAS!$B$2:$C$13,2,0),""))</f>
        <v/>
      </c>
    </row>
    <row r="2716">
      <c r="T2716" s="258">
        <f>IF(R2716="","",IFERROR(TODAY()+VLOOKUP(R2716,REGRAS!$B$2:$C$13,2,0),""))</f>
        <v/>
      </c>
    </row>
    <row r="2717">
      <c r="T2717" s="258">
        <f>IF(R2717="","",IFERROR(TODAY()+VLOOKUP(R2717,REGRAS!$B$2:$C$13,2,0),""))</f>
        <v/>
      </c>
    </row>
    <row r="2718">
      <c r="T2718" s="258">
        <f>IF(R2718="","",IFERROR(TODAY()+VLOOKUP(R2718,REGRAS!$B$2:$C$13,2,0),""))</f>
        <v/>
      </c>
    </row>
    <row r="2719">
      <c r="T2719" s="258">
        <f>IF(R2719="","",IFERROR(TODAY()+VLOOKUP(R2719,REGRAS!$B$2:$C$13,2,0),""))</f>
        <v/>
      </c>
    </row>
    <row r="2720">
      <c r="T2720" s="258">
        <f>IF(R2720="","",IFERROR(TODAY()+VLOOKUP(R2720,REGRAS!$B$2:$C$13,2,0),""))</f>
        <v/>
      </c>
    </row>
    <row r="2721">
      <c r="T2721" s="258">
        <f>IF(R2721="","",IFERROR(TODAY()+VLOOKUP(R2721,REGRAS!$B$2:$C$13,2,0),""))</f>
        <v/>
      </c>
    </row>
    <row r="2722">
      <c r="T2722" s="258">
        <f>IF(R2722="","",IFERROR(TODAY()+VLOOKUP(R2722,REGRAS!$B$2:$C$13,2,0),""))</f>
        <v/>
      </c>
    </row>
    <row r="2723">
      <c r="T2723" s="258">
        <f>IF(R2723="","",IFERROR(TODAY()+VLOOKUP(R2723,REGRAS!$B$2:$C$13,2,0),""))</f>
        <v/>
      </c>
    </row>
    <row r="2724">
      <c r="T2724" s="258">
        <f>IF(R2724="","",IFERROR(TODAY()+VLOOKUP(R2724,REGRAS!$B$2:$C$13,2,0),""))</f>
        <v/>
      </c>
    </row>
    <row r="2725">
      <c r="T2725" s="258">
        <f>IF(R2725="","",IFERROR(TODAY()+VLOOKUP(R2725,REGRAS!$B$2:$C$13,2,0),""))</f>
        <v/>
      </c>
    </row>
    <row r="2726">
      <c r="T2726" s="258">
        <f>IF(R2726="","",IFERROR(TODAY()+VLOOKUP(R2726,REGRAS!$B$2:$C$13,2,0),""))</f>
        <v/>
      </c>
    </row>
    <row r="2727">
      <c r="T2727" s="258">
        <f>IF(R2727="","",IFERROR(TODAY()+VLOOKUP(R2727,REGRAS!$B$2:$C$13,2,0),""))</f>
        <v/>
      </c>
    </row>
    <row r="2728">
      <c r="T2728" s="258">
        <f>IF(R2728="","",IFERROR(TODAY()+VLOOKUP(R2728,REGRAS!$B$2:$C$13,2,0),""))</f>
        <v/>
      </c>
    </row>
    <row r="2729">
      <c r="T2729" s="258">
        <f>IF(R2729="","",IFERROR(TODAY()+VLOOKUP(R2729,REGRAS!$B$2:$C$13,2,0),""))</f>
        <v/>
      </c>
    </row>
    <row r="2730">
      <c r="T2730" s="258">
        <f>IF(R2730="","",IFERROR(TODAY()+VLOOKUP(R2730,REGRAS!$B$2:$C$13,2,0),""))</f>
        <v/>
      </c>
    </row>
    <row r="2731">
      <c r="T2731" s="258">
        <f>IF(R2731="","",IFERROR(TODAY()+VLOOKUP(R2731,REGRAS!$B$2:$C$13,2,0),""))</f>
        <v/>
      </c>
    </row>
    <row r="2732">
      <c r="T2732" s="258">
        <f>IF(R2732="","",IFERROR(TODAY()+VLOOKUP(R2732,REGRAS!$B$2:$C$13,2,0),""))</f>
        <v/>
      </c>
    </row>
    <row r="2733">
      <c r="T2733" s="258">
        <f>IF(R2733="","",IFERROR(TODAY()+VLOOKUP(R2733,REGRAS!$B$2:$C$13,2,0),""))</f>
        <v/>
      </c>
    </row>
    <row r="2734">
      <c r="T2734" s="258">
        <f>IF(R2734="","",IFERROR(TODAY()+VLOOKUP(R2734,REGRAS!$B$2:$C$13,2,0),""))</f>
        <v/>
      </c>
    </row>
    <row r="2735">
      <c r="T2735" s="258">
        <f>IF(R2735="","",IFERROR(TODAY()+VLOOKUP(R2735,REGRAS!$B$2:$C$13,2,0),""))</f>
        <v/>
      </c>
    </row>
    <row r="2736">
      <c r="T2736" s="258">
        <f>IF(R2736="","",IFERROR(TODAY()+VLOOKUP(R2736,REGRAS!$B$2:$C$13,2,0),""))</f>
        <v/>
      </c>
    </row>
    <row r="2737">
      <c r="T2737" s="258">
        <f>IF(R2737="","",IFERROR(TODAY()+VLOOKUP(R2737,REGRAS!$B$2:$C$13,2,0),""))</f>
        <v/>
      </c>
    </row>
    <row r="2738">
      <c r="T2738" s="258">
        <f>IF(R2738="","",IFERROR(TODAY()+VLOOKUP(R2738,REGRAS!$B$2:$C$13,2,0),""))</f>
        <v/>
      </c>
    </row>
    <row r="2739">
      <c r="T2739" s="258">
        <f>IF(R2739="","",IFERROR(TODAY()+VLOOKUP(R2739,REGRAS!$B$2:$C$13,2,0),""))</f>
        <v/>
      </c>
    </row>
    <row r="2740">
      <c r="T2740" s="258">
        <f>IF(R2740="","",IFERROR(TODAY()+VLOOKUP(R2740,REGRAS!$B$2:$C$13,2,0),""))</f>
        <v/>
      </c>
    </row>
    <row r="2741">
      <c r="T2741" s="258">
        <f>IF(R2741="","",IFERROR(TODAY()+VLOOKUP(R2741,REGRAS!$B$2:$C$13,2,0),""))</f>
        <v/>
      </c>
    </row>
    <row r="2742">
      <c r="T2742" s="258">
        <f>IF(R2742="","",IFERROR(TODAY()+VLOOKUP(R2742,REGRAS!$B$2:$C$13,2,0),""))</f>
        <v/>
      </c>
    </row>
    <row r="2743">
      <c r="T2743" s="258">
        <f>IF(R2743="","",IFERROR(TODAY()+VLOOKUP(R2743,REGRAS!$B$2:$C$13,2,0),""))</f>
        <v/>
      </c>
    </row>
    <row r="2744">
      <c r="T2744" s="258">
        <f>IF(R2744="","",IFERROR(TODAY()+VLOOKUP(R2744,REGRAS!$B$2:$C$13,2,0),""))</f>
        <v/>
      </c>
    </row>
    <row r="2745">
      <c r="T2745" s="258">
        <f>IF(R2745="","",IFERROR(TODAY()+VLOOKUP(R2745,REGRAS!$B$2:$C$13,2,0),""))</f>
        <v/>
      </c>
    </row>
    <row r="2746">
      <c r="T2746" s="258">
        <f>IF(R2746="","",IFERROR(TODAY()+VLOOKUP(R2746,REGRAS!$B$2:$C$13,2,0),""))</f>
        <v/>
      </c>
    </row>
    <row r="2747">
      <c r="T2747" s="258">
        <f>IF(R2747="","",IFERROR(TODAY()+VLOOKUP(R2747,REGRAS!$B$2:$C$13,2,0),""))</f>
        <v/>
      </c>
    </row>
    <row r="2748">
      <c r="T2748" s="258">
        <f>IF(R2748="","",IFERROR(TODAY()+VLOOKUP(R2748,REGRAS!$B$2:$C$13,2,0),""))</f>
        <v/>
      </c>
    </row>
    <row r="2749">
      <c r="T2749" s="258">
        <f>IF(R2749="","",IFERROR(TODAY()+VLOOKUP(R2749,REGRAS!$B$2:$C$13,2,0),""))</f>
        <v/>
      </c>
    </row>
    <row r="2750">
      <c r="T2750" s="258">
        <f>IF(R2750="","",IFERROR(TODAY()+VLOOKUP(R2750,REGRAS!$B$2:$C$13,2,0),""))</f>
        <v/>
      </c>
    </row>
    <row r="2751">
      <c r="T2751" s="258">
        <f>IF(R2751="","",IFERROR(TODAY()+VLOOKUP(R2751,REGRAS!$B$2:$C$13,2,0),""))</f>
        <v/>
      </c>
    </row>
    <row r="2752">
      <c r="T2752" s="258">
        <f>IF(R2752="","",IFERROR(TODAY()+VLOOKUP(R2752,REGRAS!$B$2:$C$13,2,0),""))</f>
        <v/>
      </c>
    </row>
    <row r="2753">
      <c r="T2753" s="258">
        <f>IF(R2753="","",IFERROR(TODAY()+VLOOKUP(R2753,REGRAS!$B$2:$C$13,2,0),""))</f>
        <v/>
      </c>
    </row>
    <row r="2754">
      <c r="T2754" s="258">
        <f>IF(R2754="","",IFERROR(TODAY()+VLOOKUP(R2754,REGRAS!$B$2:$C$13,2,0),""))</f>
        <v/>
      </c>
    </row>
    <row r="2755">
      <c r="T2755" s="258">
        <f>IF(R2755="","",IFERROR(TODAY()+VLOOKUP(R2755,REGRAS!$B$2:$C$13,2,0),""))</f>
        <v/>
      </c>
    </row>
    <row r="2756">
      <c r="T2756" s="258">
        <f>IF(R2756="","",IFERROR(TODAY()+VLOOKUP(R2756,REGRAS!$B$2:$C$13,2,0),""))</f>
        <v/>
      </c>
    </row>
    <row r="2757">
      <c r="T2757" s="258">
        <f>IF(R2757="","",IFERROR(TODAY()+VLOOKUP(R2757,REGRAS!$B$2:$C$13,2,0),""))</f>
        <v/>
      </c>
    </row>
    <row r="2758">
      <c r="T2758" s="258">
        <f>IF(R2758="","",IFERROR(TODAY()+VLOOKUP(R2758,REGRAS!$B$2:$C$13,2,0),""))</f>
        <v/>
      </c>
    </row>
    <row r="2759">
      <c r="T2759" s="258">
        <f>IF(R2759="","",IFERROR(TODAY()+VLOOKUP(R2759,REGRAS!$B$2:$C$13,2,0),""))</f>
        <v/>
      </c>
    </row>
    <row r="2760">
      <c r="T2760" s="258">
        <f>IF(R2760="","",IFERROR(TODAY()+VLOOKUP(R2760,REGRAS!$B$2:$C$13,2,0),""))</f>
        <v/>
      </c>
    </row>
    <row r="2761">
      <c r="T2761" s="258">
        <f>IF(R2761="","",IFERROR(TODAY()+VLOOKUP(R2761,REGRAS!$B$2:$C$13,2,0),""))</f>
        <v/>
      </c>
    </row>
    <row r="2762">
      <c r="T2762" s="258">
        <f>IF(R2762="","",IFERROR(TODAY()+VLOOKUP(R2762,REGRAS!$B$2:$C$13,2,0),""))</f>
        <v/>
      </c>
    </row>
    <row r="2763">
      <c r="T2763" s="258">
        <f>IF(R2763="","",IFERROR(TODAY()+VLOOKUP(R2763,REGRAS!$B$2:$C$13,2,0),""))</f>
        <v/>
      </c>
    </row>
    <row r="2764">
      <c r="T2764" s="258">
        <f>IF(R2764="","",IFERROR(TODAY()+VLOOKUP(R2764,REGRAS!$B$2:$C$13,2,0),""))</f>
        <v/>
      </c>
    </row>
    <row r="2765">
      <c r="T2765" s="258">
        <f>IF(R2765="","",IFERROR(TODAY()+VLOOKUP(R2765,REGRAS!$B$2:$C$13,2,0),""))</f>
        <v/>
      </c>
    </row>
    <row r="2766">
      <c r="T2766" s="258">
        <f>IF(R2766="","",IFERROR(TODAY()+VLOOKUP(R2766,REGRAS!$B$2:$C$13,2,0),""))</f>
        <v/>
      </c>
    </row>
    <row r="2767">
      <c r="T2767" s="258">
        <f>IF(R2767="","",IFERROR(TODAY()+VLOOKUP(R2767,REGRAS!$B$2:$C$13,2,0),""))</f>
        <v/>
      </c>
    </row>
    <row r="2768">
      <c r="T2768" s="258">
        <f>IF(R2768="","",IFERROR(TODAY()+VLOOKUP(R2768,REGRAS!$B$2:$C$13,2,0),""))</f>
        <v/>
      </c>
    </row>
    <row r="2769">
      <c r="T2769" s="258">
        <f>IF(R2769="","",IFERROR(TODAY()+VLOOKUP(R2769,REGRAS!$B$2:$C$13,2,0),""))</f>
        <v/>
      </c>
    </row>
    <row r="2770">
      <c r="T2770" s="258">
        <f>IF(R2770="","",IFERROR(TODAY()+VLOOKUP(R2770,REGRAS!$B$2:$C$13,2,0),""))</f>
        <v/>
      </c>
    </row>
    <row r="2771">
      <c r="T2771" s="258">
        <f>IF(R2771="","",IFERROR(TODAY()+VLOOKUP(R2771,REGRAS!$B$2:$C$13,2,0),""))</f>
        <v/>
      </c>
    </row>
    <row r="2772">
      <c r="T2772" s="258">
        <f>IF(R2772="","",IFERROR(TODAY()+VLOOKUP(R2772,REGRAS!$B$2:$C$13,2,0),""))</f>
        <v/>
      </c>
    </row>
    <row r="2773">
      <c r="T2773" s="258">
        <f>IF(R2773="","",IFERROR(TODAY()+VLOOKUP(R2773,REGRAS!$B$2:$C$13,2,0),""))</f>
        <v/>
      </c>
    </row>
    <row r="2774">
      <c r="T2774" s="258">
        <f>IF(R2774="","",IFERROR(TODAY()+VLOOKUP(R2774,REGRAS!$B$2:$C$13,2,0),""))</f>
        <v/>
      </c>
    </row>
    <row r="2775">
      <c r="T2775" s="258">
        <f>IF(R2775="","",IFERROR(TODAY()+VLOOKUP(R2775,REGRAS!$B$2:$C$13,2,0),""))</f>
        <v/>
      </c>
    </row>
    <row r="2776">
      <c r="T2776" s="258">
        <f>IF(R2776="","",IFERROR(TODAY()+VLOOKUP(R2776,REGRAS!$B$2:$C$13,2,0),""))</f>
        <v/>
      </c>
    </row>
    <row r="2777">
      <c r="T2777" s="258">
        <f>IF(R2777="","",IFERROR(TODAY()+VLOOKUP(R2777,REGRAS!$B$2:$C$13,2,0),""))</f>
        <v/>
      </c>
    </row>
    <row r="2778">
      <c r="T2778" s="258">
        <f>IF(R2778="","",IFERROR(TODAY()+VLOOKUP(R2778,REGRAS!$B$2:$C$13,2,0),""))</f>
        <v/>
      </c>
    </row>
    <row r="2779">
      <c r="T2779" s="258">
        <f>IF(R2779="","",IFERROR(TODAY()+VLOOKUP(R2779,REGRAS!$B$2:$C$13,2,0),""))</f>
        <v/>
      </c>
    </row>
    <row r="2780">
      <c r="T2780" s="258">
        <f>IF(R2780="","",IFERROR(TODAY()+VLOOKUP(R2780,REGRAS!$B$2:$C$13,2,0),""))</f>
        <v/>
      </c>
    </row>
    <row r="2781">
      <c r="T2781" s="258">
        <f>IF(R2781="","",IFERROR(TODAY()+VLOOKUP(R2781,REGRAS!$B$2:$C$13,2,0),""))</f>
        <v/>
      </c>
    </row>
    <row r="2782">
      <c r="T2782" s="258">
        <f>IF(R2782="","",IFERROR(TODAY()+VLOOKUP(R2782,REGRAS!$B$2:$C$13,2,0),""))</f>
        <v/>
      </c>
    </row>
    <row r="2783">
      <c r="T2783" s="258">
        <f>IF(R2783="","",IFERROR(TODAY()+VLOOKUP(R2783,REGRAS!$B$2:$C$13,2,0),""))</f>
        <v/>
      </c>
    </row>
    <row r="2784">
      <c r="T2784" s="258">
        <f>IF(R2784="","",IFERROR(TODAY()+VLOOKUP(R2784,REGRAS!$B$2:$C$13,2,0),""))</f>
        <v/>
      </c>
    </row>
    <row r="2785">
      <c r="T2785" s="258">
        <f>IF(R2785="","",IFERROR(TODAY()+VLOOKUP(R2785,REGRAS!$B$2:$C$13,2,0),""))</f>
        <v/>
      </c>
    </row>
    <row r="2786">
      <c r="T2786" s="258">
        <f>IF(R2786="","",IFERROR(TODAY()+VLOOKUP(R2786,REGRAS!$B$2:$C$13,2,0),""))</f>
        <v/>
      </c>
    </row>
    <row r="2787">
      <c r="T2787" s="258">
        <f>IF(R2787="","",IFERROR(TODAY()+VLOOKUP(R2787,REGRAS!$B$2:$C$13,2,0),""))</f>
        <v/>
      </c>
    </row>
    <row r="2788">
      <c r="T2788" s="258">
        <f>IF(R2788="","",IFERROR(TODAY()+VLOOKUP(R2788,REGRAS!$B$2:$C$13,2,0),""))</f>
        <v/>
      </c>
    </row>
    <row r="2789">
      <c r="T2789" s="258">
        <f>IF(R2789="","",IFERROR(TODAY()+VLOOKUP(R2789,REGRAS!$B$2:$C$13,2,0),""))</f>
        <v/>
      </c>
    </row>
    <row r="2790">
      <c r="T2790" s="258">
        <f>IF(R2790="","",IFERROR(TODAY()+VLOOKUP(R2790,REGRAS!$B$2:$C$13,2,0),""))</f>
        <v/>
      </c>
    </row>
    <row r="2791">
      <c r="T2791" s="258">
        <f>IF(R2791="","",IFERROR(TODAY()+VLOOKUP(R2791,REGRAS!$B$2:$C$13,2,0),""))</f>
        <v/>
      </c>
    </row>
    <row r="2792">
      <c r="T2792" s="258">
        <f>IF(R2792="","",IFERROR(TODAY()+VLOOKUP(R2792,REGRAS!$B$2:$C$13,2,0),""))</f>
        <v/>
      </c>
    </row>
    <row r="2793">
      <c r="T2793" s="258">
        <f>IF(R2793="","",IFERROR(TODAY()+VLOOKUP(R2793,REGRAS!$B$2:$C$13,2,0),""))</f>
        <v/>
      </c>
    </row>
    <row r="2794">
      <c r="T2794" s="258">
        <f>IF(R2794="","",IFERROR(TODAY()+VLOOKUP(R2794,REGRAS!$B$2:$C$13,2,0),""))</f>
        <v/>
      </c>
    </row>
    <row r="2795">
      <c r="T2795" s="258">
        <f>IF(R2795="","",IFERROR(TODAY()+VLOOKUP(R2795,REGRAS!$B$2:$C$13,2,0),""))</f>
        <v/>
      </c>
    </row>
    <row r="2796">
      <c r="T2796" s="258">
        <f>IF(R2796="","",IFERROR(TODAY()+VLOOKUP(R2796,REGRAS!$B$2:$C$13,2,0),""))</f>
        <v/>
      </c>
    </row>
    <row r="2797">
      <c r="T2797" s="258">
        <f>IF(R2797="","",IFERROR(TODAY()+VLOOKUP(R2797,REGRAS!$B$2:$C$13,2,0),""))</f>
        <v/>
      </c>
    </row>
    <row r="2798">
      <c r="T2798" s="258">
        <f>IF(R2798="","",IFERROR(TODAY()+VLOOKUP(R2798,REGRAS!$B$2:$C$13,2,0),""))</f>
        <v/>
      </c>
    </row>
    <row r="2799">
      <c r="T2799" s="258">
        <f>IF(R2799="","",IFERROR(TODAY()+VLOOKUP(R2799,REGRAS!$B$2:$C$13,2,0),""))</f>
        <v/>
      </c>
    </row>
    <row r="2800">
      <c r="T2800" s="258">
        <f>IF(R2800="","",IFERROR(TODAY()+VLOOKUP(R2800,REGRAS!$B$2:$C$13,2,0),""))</f>
        <v/>
      </c>
    </row>
    <row r="2801">
      <c r="T2801" s="258">
        <f>IF(R2801="","",IFERROR(TODAY()+VLOOKUP(R2801,REGRAS!$B$2:$C$13,2,0),""))</f>
        <v/>
      </c>
    </row>
    <row r="2802">
      <c r="T2802" s="258">
        <f>IF(R2802="","",IFERROR(TODAY()+VLOOKUP(R2802,REGRAS!$B$2:$C$13,2,0),""))</f>
        <v/>
      </c>
    </row>
    <row r="2803">
      <c r="T2803" s="258">
        <f>IF(R2803="","",IFERROR(TODAY()+VLOOKUP(R2803,REGRAS!$B$2:$C$13,2,0),""))</f>
        <v/>
      </c>
    </row>
    <row r="2804">
      <c r="T2804" s="258">
        <f>IF(R2804="","",IFERROR(TODAY()+VLOOKUP(R2804,REGRAS!$B$2:$C$13,2,0),""))</f>
        <v/>
      </c>
    </row>
    <row r="2805">
      <c r="T2805" s="258">
        <f>IF(R2805="","",IFERROR(TODAY()+VLOOKUP(R2805,REGRAS!$B$2:$C$13,2,0),""))</f>
        <v/>
      </c>
    </row>
    <row r="2806">
      <c r="T2806" s="258">
        <f>IF(R2806="","",IFERROR(TODAY()+VLOOKUP(R2806,REGRAS!$B$2:$C$13,2,0),""))</f>
        <v/>
      </c>
    </row>
    <row r="2807">
      <c r="T2807" s="258">
        <f>IF(R2807="","",IFERROR(TODAY()+VLOOKUP(R2807,REGRAS!$B$2:$C$13,2,0),""))</f>
        <v/>
      </c>
    </row>
    <row r="2808">
      <c r="T2808" s="258">
        <f>IF(R2808="","",IFERROR(TODAY()+VLOOKUP(R2808,REGRAS!$B$2:$C$13,2,0),""))</f>
        <v/>
      </c>
    </row>
    <row r="2809">
      <c r="T2809" s="258">
        <f>IF(R2809="","",IFERROR(TODAY()+VLOOKUP(R2809,REGRAS!$B$2:$C$13,2,0),""))</f>
        <v/>
      </c>
    </row>
    <row r="2810">
      <c r="T2810" s="258">
        <f>IF(R2810="","",IFERROR(TODAY()+VLOOKUP(R2810,REGRAS!$B$2:$C$13,2,0),""))</f>
        <v/>
      </c>
    </row>
    <row r="2811">
      <c r="T2811" s="258">
        <f>IF(R2811="","",IFERROR(TODAY()+VLOOKUP(R2811,REGRAS!$B$2:$C$13,2,0),""))</f>
        <v/>
      </c>
    </row>
    <row r="2812">
      <c r="T2812" s="258">
        <f>IF(R2812="","",IFERROR(TODAY()+VLOOKUP(R2812,REGRAS!$B$2:$C$13,2,0),""))</f>
        <v/>
      </c>
    </row>
    <row r="2813">
      <c r="T2813" s="258">
        <f>IF(R2813="","",IFERROR(TODAY()+VLOOKUP(R2813,REGRAS!$B$2:$C$13,2,0),""))</f>
        <v/>
      </c>
    </row>
    <row r="2814">
      <c r="T2814" s="258">
        <f>IF(R2814="","",IFERROR(TODAY()+VLOOKUP(R2814,REGRAS!$B$2:$C$13,2,0),""))</f>
        <v/>
      </c>
    </row>
    <row r="2815">
      <c r="T2815" s="258">
        <f>IF(R2815="","",IFERROR(TODAY()+VLOOKUP(R2815,REGRAS!$B$2:$C$13,2,0),""))</f>
        <v/>
      </c>
    </row>
    <row r="2816">
      <c r="T2816" s="258">
        <f>IF(R2816="","",IFERROR(TODAY()+VLOOKUP(R2816,REGRAS!$B$2:$C$13,2,0),""))</f>
        <v/>
      </c>
    </row>
    <row r="2817">
      <c r="T2817" s="258">
        <f>IF(R2817="","",IFERROR(TODAY()+VLOOKUP(R2817,REGRAS!$B$2:$C$13,2,0),""))</f>
        <v/>
      </c>
    </row>
    <row r="2818">
      <c r="T2818" s="258">
        <f>IF(R2818="","",IFERROR(TODAY()+VLOOKUP(R2818,REGRAS!$B$2:$C$13,2,0),""))</f>
        <v/>
      </c>
    </row>
    <row r="2819">
      <c r="T2819" s="258">
        <f>IF(R2819="","",IFERROR(TODAY()+VLOOKUP(R2819,REGRAS!$B$2:$C$13,2,0),""))</f>
        <v/>
      </c>
    </row>
    <row r="2820">
      <c r="T2820" s="258">
        <f>IF(R2820="","",IFERROR(TODAY()+VLOOKUP(R2820,REGRAS!$B$2:$C$13,2,0),""))</f>
        <v/>
      </c>
    </row>
    <row r="2821">
      <c r="T2821" s="258">
        <f>IF(R2821="","",IFERROR(TODAY()+VLOOKUP(R2821,REGRAS!$B$2:$C$13,2,0),""))</f>
        <v/>
      </c>
    </row>
    <row r="2822">
      <c r="T2822" s="258">
        <f>IF(R2822="","",IFERROR(TODAY()+VLOOKUP(R2822,REGRAS!$B$2:$C$13,2,0),""))</f>
        <v/>
      </c>
    </row>
    <row r="2823">
      <c r="T2823" s="258">
        <f>IF(R2823="","",IFERROR(TODAY()+VLOOKUP(R2823,REGRAS!$B$2:$C$13,2,0),""))</f>
        <v/>
      </c>
    </row>
    <row r="2824">
      <c r="T2824" s="258">
        <f>IF(R2824="","",IFERROR(TODAY()+VLOOKUP(R2824,REGRAS!$B$2:$C$13,2,0),""))</f>
        <v/>
      </c>
    </row>
    <row r="2825">
      <c r="T2825" s="258">
        <f>IF(R2825="","",IFERROR(TODAY()+VLOOKUP(R2825,REGRAS!$B$2:$C$13,2,0),""))</f>
        <v/>
      </c>
    </row>
    <row r="2826">
      <c r="T2826" s="258">
        <f>IF(R2826="","",IFERROR(TODAY()+VLOOKUP(R2826,REGRAS!$B$2:$C$13,2,0),""))</f>
        <v/>
      </c>
    </row>
    <row r="2827">
      <c r="T2827" s="258">
        <f>IF(R2827="","",IFERROR(TODAY()+VLOOKUP(R2827,REGRAS!$B$2:$C$13,2,0),""))</f>
        <v/>
      </c>
    </row>
    <row r="2828">
      <c r="T2828" s="258">
        <f>IF(R2828="","",IFERROR(TODAY()+VLOOKUP(R2828,REGRAS!$B$2:$C$13,2,0),""))</f>
        <v/>
      </c>
    </row>
    <row r="2829">
      <c r="T2829" s="258">
        <f>IF(R2829="","",IFERROR(TODAY()+VLOOKUP(R2829,REGRAS!$B$2:$C$13,2,0),""))</f>
        <v/>
      </c>
    </row>
    <row r="2830">
      <c r="T2830" s="258">
        <f>IF(R2830="","",IFERROR(TODAY()+VLOOKUP(R2830,REGRAS!$B$2:$C$13,2,0),""))</f>
        <v/>
      </c>
    </row>
    <row r="2831">
      <c r="T2831" s="258">
        <f>IF(R2831="","",IFERROR(TODAY()+VLOOKUP(R2831,REGRAS!$B$2:$C$13,2,0),""))</f>
        <v/>
      </c>
    </row>
    <row r="2832">
      <c r="T2832" s="258">
        <f>IF(R2832="","",IFERROR(TODAY()+VLOOKUP(R2832,REGRAS!$B$2:$C$13,2,0),""))</f>
        <v/>
      </c>
    </row>
    <row r="2833">
      <c r="T2833" s="258">
        <f>IF(R2833="","",IFERROR(TODAY()+VLOOKUP(R2833,REGRAS!$B$2:$C$13,2,0),""))</f>
        <v/>
      </c>
    </row>
    <row r="2834">
      <c r="T2834" s="258">
        <f>IF(R2834="","",IFERROR(TODAY()+VLOOKUP(R2834,REGRAS!$B$2:$C$13,2,0),""))</f>
        <v/>
      </c>
    </row>
    <row r="2835">
      <c r="T2835" s="258">
        <f>IF(R2835="","",IFERROR(TODAY()+VLOOKUP(R2835,REGRAS!$B$2:$C$13,2,0),""))</f>
        <v/>
      </c>
    </row>
    <row r="2836">
      <c r="T2836" s="258">
        <f>IF(R2836="","",IFERROR(TODAY()+VLOOKUP(R2836,REGRAS!$B$2:$C$13,2,0),""))</f>
        <v/>
      </c>
    </row>
    <row r="2837">
      <c r="T2837" s="258">
        <f>IF(R2837="","",IFERROR(TODAY()+VLOOKUP(R2837,REGRAS!$B$2:$C$13,2,0),""))</f>
        <v/>
      </c>
    </row>
    <row r="2838">
      <c r="T2838" s="258">
        <f>IF(R2838="","",IFERROR(TODAY()+VLOOKUP(R2838,REGRAS!$B$2:$C$13,2,0),""))</f>
        <v/>
      </c>
    </row>
    <row r="2839">
      <c r="T2839" s="258">
        <f>IF(R2839="","",IFERROR(TODAY()+VLOOKUP(R2839,REGRAS!$B$2:$C$13,2,0),""))</f>
        <v/>
      </c>
    </row>
    <row r="2840">
      <c r="T2840" s="258">
        <f>IF(R2840="","",IFERROR(TODAY()+VLOOKUP(R2840,REGRAS!$B$2:$C$13,2,0),""))</f>
        <v/>
      </c>
    </row>
    <row r="2841">
      <c r="T2841" s="258">
        <f>IF(R2841="","",IFERROR(TODAY()+VLOOKUP(R2841,REGRAS!$B$2:$C$13,2,0),""))</f>
        <v/>
      </c>
    </row>
    <row r="2842">
      <c r="T2842" s="258">
        <f>IF(R2842="","",IFERROR(TODAY()+VLOOKUP(R2842,REGRAS!$B$2:$C$13,2,0),""))</f>
        <v/>
      </c>
    </row>
    <row r="2843">
      <c r="T2843" s="258">
        <f>IF(R2843="","",IFERROR(TODAY()+VLOOKUP(R2843,REGRAS!$B$2:$C$13,2,0),""))</f>
        <v/>
      </c>
    </row>
    <row r="2844">
      <c r="T2844" s="258">
        <f>IF(R2844="","",IFERROR(TODAY()+VLOOKUP(R2844,REGRAS!$B$2:$C$13,2,0),""))</f>
        <v/>
      </c>
    </row>
    <row r="2845">
      <c r="T2845" s="258">
        <f>IF(R2845="","",IFERROR(TODAY()+VLOOKUP(R2845,REGRAS!$B$2:$C$13,2,0),""))</f>
        <v/>
      </c>
    </row>
    <row r="2846">
      <c r="T2846" s="258">
        <f>IF(R2846="","",IFERROR(TODAY()+VLOOKUP(R2846,REGRAS!$B$2:$C$13,2,0),""))</f>
        <v/>
      </c>
    </row>
    <row r="2847">
      <c r="T2847" s="258">
        <f>IF(R2847="","",IFERROR(TODAY()+VLOOKUP(R2847,REGRAS!$B$2:$C$13,2,0),""))</f>
        <v/>
      </c>
    </row>
    <row r="2848">
      <c r="T2848" s="258">
        <f>IF(R2848="","",IFERROR(TODAY()+VLOOKUP(R2848,REGRAS!$B$2:$C$13,2,0),""))</f>
        <v/>
      </c>
    </row>
    <row r="2849">
      <c r="T2849" s="258">
        <f>IF(R2849="","",IFERROR(TODAY()+VLOOKUP(R2849,REGRAS!$B$2:$C$13,2,0),""))</f>
        <v/>
      </c>
    </row>
    <row r="2850">
      <c r="T2850" s="258">
        <f>IF(R2850="","",IFERROR(TODAY()+VLOOKUP(R2850,REGRAS!$B$2:$C$13,2,0),""))</f>
        <v/>
      </c>
    </row>
    <row r="2851">
      <c r="T2851" s="258">
        <f>IF(R2851="","",IFERROR(TODAY()+VLOOKUP(R2851,REGRAS!$B$2:$C$13,2,0),""))</f>
        <v/>
      </c>
    </row>
    <row r="2852">
      <c r="T2852" s="258">
        <f>IF(R2852="","",IFERROR(TODAY()+VLOOKUP(R2852,REGRAS!$B$2:$C$13,2,0),""))</f>
        <v/>
      </c>
    </row>
    <row r="2853">
      <c r="T2853" s="258">
        <f>IF(R2853="","",IFERROR(TODAY()+VLOOKUP(R2853,REGRAS!$B$2:$C$13,2,0),""))</f>
        <v/>
      </c>
    </row>
    <row r="2854">
      <c r="T2854" s="258">
        <f>IF(R2854="","",IFERROR(TODAY()+VLOOKUP(R2854,REGRAS!$B$2:$C$13,2,0),""))</f>
        <v/>
      </c>
    </row>
    <row r="2855">
      <c r="T2855" s="258">
        <f>IF(R2855="","",IFERROR(TODAY()+VLOOKUP(R2855,REGRAS!$B$2:$C$13,2,0),""))</f>
        <v/>
      </c>
    </row>
    <row r="2856">
      <c r="T2856" s="258">
        <f>IF(R2856="","",IFERROR(TODAY()+VLOOKUP(R2856,REGRAS!$B$2:$C$13,2,0),""))</f>
        <v/>
      </c>
    </row>
    <row r="2857">
      <c r="T2857" s="258">
        <f>IF(R2857="","",IFERROR(TODAY()+VLOOKUP(R2857,REGRAS!$B$2:$C$13,2,0),""))</f>
        <v/>
      </c>
    </row>
    <row r="2858">
      <c r="T2858" s="258">
        <f>IF(R2858="","",IFERROR(TODAY()+VLOOKUP(R2858,REGRAS!$B$2:$C$13,2,0),""))</f>
        <v/>
      </c>
    </row>
    <row r="2859">
      <c r="T2859" s="258">
        <f>IF(R2859="","",IFERROR(TODAY()+VLOOKUP(R2859,REGRAS!$B$2:$C$13,2,0),""))</f>
        <v/>
      </c>
    </row>
    <row r="2860">
      <c r="T2860" s="258">
        <f>IF(R2860="","",IFERROR(TODAY()+VLOOKUP(R2860,REGRAS!$B$2:$C$13,2,0),""))</f>
        <v/>
      </c>
    </row>
    <row r="2861">
      <c r="T2861" s="258">
        <f>IF(R2861="","",IFERROR(TODAY()+VLOOKUP(R2861,REGRAS!$B$2:$C$13,2,0),""))</f>
        <v/>
      </c>
    </row>
    <row r="2862">
      <c r="T2862" s="258">
        <f>IF(R2862="","",IFERROR(TODAY()+VLOOKUP(R2862,REGRAS!$B$2:$C$13,2,0),""))</f>
        <v/>
      </c>
    </row>
    <row r="2863">
      <c r="T2863" s="258">
        <f>IF(R2863="","",IFERROR(TODAY()+VLOOKUP(R2863,REGRAS!$B$2:$C$13,2,0),""))</f>
        <v/>
      </c>
    </row>
    <row r="2864">
      <c r="T2864" s="258">
        <f>IF(R2864="","",IFERROR(TODAY()+VLOOKUP(R2864,REGRAS!$B$2:$C$13,2,0),""))</f>
        <v/>
      </c>
    </row>
    <row r="2865">
      <c r="T2865" s="258">
        <f>IF(R2865="","",IFERROR(TODAY()+VLOOKUP(R2865,REGRAS!$B$2:$C$13,2,0),""))</f>
        <v/>
      </c>
    </row>
    <row r="2866">
      <c r="T2866" s="258">
        <f>IF(R2866="","",IFERROR(TODAY()+VLOOKUP(R2866,REGRAS!$B$2:$C$13,2,0),""))</f>
        <v/>
      </c>
    </row>
    <row r="2867">
      <c r="T2867" s="258">
        <f>IF(R2867="","",IFERROR(TODAY()+VLOOKUP(R2867,REGRAS!$B$2:$C$13,2,0),""))</f>
        <v/>
      </c>
    </row>
    <row r="2868">
      <c r="T2868" s="258">
        <f>IF(R2868="","",IFERROR(TODAY()+VLOOKUP(R2868,REGRAS!$B$2:$C$13,2,0),""))</f>
        <v/>
      </c>
    </row>
    <row r="2869">
      <c r="T2869" s="258">
        <f>IF(R2869="","",IFERROR(TODAY()+VLOOKUP(R2869,REGRAS!$B$2:$C$13,2,0),""))</f>
        <v/>
      </c>
    </row>
    <row r="2870">
      <c r="T2870" s="258">
        <f>IF(R2870="","",IFERROR(TODAY()+VLOOKUP(R2870,REGRAS!$B$2:$C$13,2,0),""))</f>
        <v/>
      </c>
    </row>
    <row r="2871">
      <c r="T2871" s="258">
        <f>IF(R2871="","",IFERROR(TODAY()+VLOOKUP(R2871,REGRAS!$B$2:$C$13,2,0),""))</f>
        <v/>
      </c>
    </row>
    <row r="2872">
      <c r="T2872" s="258">
        <f>IF(R2872="","",IFERROR(TODAY()+VLOOKUP(R2872,REGRAS!$B$2:$C$13,2,0),""))</f>
        <v/>
      </c>
    </row>
    <row r="2873">
      <c r="T2873" s="258">
        <f>IF(R2873="","",IFERROR(TODAY()+VLOOKUP(R2873,REGRAS!$B$2:$C$13,2,0),""))</f>
        <v/>
      </c>
    </row>
    <row r="2874">
      <c r="T2874" s="258">
        <f>IF(R2874="","",IFERROR(TODAY()+VLOOKUP(R2874,REGRAS!$B$2:$C$13,2,0),""))</f>
        <v/>
      </c>
    </row>
    <row r="2875">
      <c r="T2875" s="258">
        <f>IF(R2875="","",IFERROR(TODAY()+VLOOKUP(R2875,REGRAS!$B$2:$C$13,2,0),""))</f>
        <v/>
      </c>
    </row>
    <row r="2876">
      <c r="T2876" s="258">
        <f>IF(R2876="","",IFERROR(TODAY()+VLOOKUP(R2876,REGRAS!$B$2:$C$13,2,0),""))</f>
        <v/>
      </c>
    </row>
    <row r="2877">
      <c r="T2877" s="258">
        <f>IF(R2877="","",IFERROR(TODAY()+VLOOKUP(R2877,REGRAS!$B$2:$C$13,2,0),""))</f>
        <v/>
      </c>
    </row>
    <row r="2878">
      <c r="T2878" s="258">
        <f>IF(R2878="","",IFERROR(TODAY()+VLOOKUP(R2878,REGRAS!$B$2:$C$13,2,0),""))</f>
        <v/>
      </c>
    </row>
    <row r="2879">
      <c r="T2879" s="258">
        <f>IF(R2879="","",IFERROR(TODAY()+VLOOKUP(R2879,REGRAS!$B$2:$C$13,2,0),""))</f>
        <v/>
      </c>
    </row>
    <row r="2880">
      <c r="T2880" s="258">
        <f>IF(R2880="","",IFERROR(TODAY()+VLOOKUP(R2880,REGRAS!$B$2:$C$13,2,0),""))</f>
        <v/>
      </c>
    </row>
    <row r="2881">
      <c r="T2881" s="258">
        <f>IF(R2881="","",IFERROR(TODAY()+VLOOKUP(R2881,REGRAS!$B$2:$C$13,2,0),""))</f>
        <v/>
      </c>
    </row>
    <row r="2882">
      <c r="T2882" s="258">
        <f>IF(R2882="","",IFERROR(TODAY()+VLOOKUP(R2882,REGRAS!$B$2:$C$13,2,0),""))</f>
        <v/>
      </c>
    </row>
    <row r="2883">
      <c r="T2883" s="258">
        <f>IF(R2883="","",IFERROR(TODAY()+VLOOKUP(R2883,REGRAS!$B$2:$C$13,2,0),""))</f>
        <v/>
      </c>
    </row>
    <row r="2884">
      <c r="T2884" s="258">
        <f>IF(R2884="","",IFERROR(TODAY()+VLOOKUP(R2884,REGRAS!$B$2:$C$13,2,0),""))</f>
        <v/>
      </c>
    </row>
    <row r="2885">
      <c r="T2885" s="258">
        <f>IF(R2885="","",IFERROR(TODAY()+VLOOKUP(R2885,REGRAS!$B$2:$C$13,2,0),""))</f>
        <v/>
      </c>
    </row>
    <row r="2886">
      <c r="T2886" s="258">
        <f>IF(R2886="","",IFERROR(TODAY()+VLOOKUP(R2886,REGRAS!$B$2:$C$13,2,0),""))</f>
        <v/>
      </c>
    </row>
    <row r="2887">
      <c r="T2887" s="258">
        <f>IF(R2887="","",IFERROR(TODAY()+VLOOKUP(R2887,REGRAS!$B$2:$C$13,2,0),""))</f>
        <v/>
      </c>
    </row>
    <row r="2888">
      <c r="T2888" s="258">
        <f>IF(R2888="","",IFERROR(TODAY()+VLOOKUP(R2888,REGRAS!$B$2:$C$13,2,0),""))</f>
        <v/>
      </c>
    </row>
    <row r="2889">
      <c r="T2889" s="258">
        <f>IF(R2889="","",IFERROR(TODAY()+VLOOKUP(R2889,REGRAS!$B$2:$C$13,2,0),""))</f>
        <v/>
      </c>
    </row>
    <row r="2890">
      <c r="T2890" s="258">
        <f>IF(R2890="","",IFERROR(TODAY()+VLOOKUP(R2890,REGRAS!$B$2:$C$13,2,0),""))</f>
        <v/>
      </c>
    </row>
    <row r="2891">
      <c r="T2891" s="258">
        <f>IF(R2891="","",IFERROR(TODAY()+VLOOKUP(R2891,REGRAS!$B$2:$C$13,2,0),""))</f>
        <v/>
      </c>
    </row>
    <row r="2892">
      <c r="T2892" s="258">
        <f>IF(R2892="","",IFERROR(TODAY()+VLOOKUP(R2892,REGRAS!$B$2:$C$13,2,0),""))</f>
        <v/>
      </c>
    </row>
    <row r="2893">
      <c r="T2893" s="258">
        <f>IF(R2893="","",IFERROR(TODAY()+VLOOKUP(R2893,REGRAS!$B$2:$C$13,2,0),""))</f>
        <v/>
      </c>
    </row>
    <row r="2894">
      <c r="T2894" s="258">
        <f>IF(R2894="","",IFERROR(TODAY()+VLOOKUP(R2894,REGRAS!$B$2:$C$13,2,0),""))</f>
        <v/>
      </c>
    </row>
    <row r="2895">
      <c r="T2895" s="258">
        <f>IF(R2895="","",IFERROR(TODAY()+VLOOKUP(R2895,REGRAS!$B$2:$C$13,2,0),""))</f>
        <v/>
      </c>
    </row>
    <row r="2896">
      <c r="T2896" s="258">
        <f>IF(R2896="","",IFERROR(TODAY()+VLOOKUP(R2896,REGRAS!$B$2:$C$13,2,0),""))</f>
        <v/>
      </c>
    </row>
    <row r="2897">
      <c r="T2897" s="258">
        <f>IF(R2897="","",IFERROR(TODAY()+VLOOKUP(R2897,REGRAS!$B$2:$C$13,2,0),""))</f>
        <v/>
      </c>
    </row>
    <row r="2898">
      <c r="T2898" s="258">
        <f>IF(R2898="","",IFERROR(TODAY()+VLOOKUP(R2898,REGRAS!$B$2:$C$13,2,0),""))</f>
        <v/>
      </c>
    </row>
    <row r="2899">
      <c r="T2899" s="258">
        <f>IF(R2899="","",IFERROR(TODAY()+VLOOKUP(R2899,REGRAS!$B$2:$C$13,2,0),""))</f>
        <v/>
      </c>
    </row>
    <row r="2900">
      <c r="T2900" s="258">
        <f>IF(R2900="","",IFERROR(TODAY()+VLOOKUP(R2900,REGRAS!$B$2:$C$13,2,0),""))</f>
        <v/>
      </c>
    </row>
    <row r="2901">
      <c r="T2901" s="258">
        <f>IF(R2901="","",IFERROR(TODAY()+VLOOKUP(R2901,REGRAS!$B$2:$C$13,2,0),""))</f>
        <v/>
      </c>
    </row>
    <row r="2902">
      <c r="T2902" s="258">
        <f>IF(R2902="","",IFERROR(TODAY()+VLOOKUP(R2902,REGRAS!$B$2:$C$13,2,0),""))</f>
        <v/>
      </c>
    </row>
    <row r="2903">
      <c r="T2903" s="258">
        <f>IF(R2903="","",IFERROR(TODAY()+VLOOKUP(R2903,REGRAS!$B$2:$C$13,2,0),""))</f>
        <v/>
      </c>
    </row>
    <row r="2904">
      <c r="T2904" s="258">
        <f>IF(R2904="","",IFERROR(TODAY()+VLOOKUP(R2904,REGRAS!$B$2:$C$13,2,0),""))</f>
        <v/>
      </c>
    </row>
    <row r="2905">
      <c r="T2905" s="258">
        <f>IF(R2905="","",IFERROR(TODAY()+VLOOKUP(R2905,REGRAS!$B$2:$C$13,2,0),""))</f>
        <v/>
      </c>
    </row>
    <row r="2906">
      <c r="T2906" s="258">
        <f>IF(R2906="","",IFERROR(TODAY()+VLOOKUP(R2906,REGRAS!$B$2:$C$13,2,0),""))</f>
        <v/>
      </c>
    </row>
    <row r="2907">
      <c r="T2907" s="258">
        <f>IF(R2907="","",IFERROR(TODAY()+VLOOKUP(R2907,REGRAS!$B$2:$C$13,2,0),""))</f>
        <v/>
      </c>
    </row>
    <row r="2908">
      <c r="T2908" s="258">
        <f>IF(R2908="","",IFERROR(TODAY()+VLOOKUP(R2908,REGRAS!$B$2:$C$13,2,0),""))</f>
        <v/>
      </c>
    </row>
    <row r="2909">
      <c r="T2909" s="258">
        <f>IF(R2909="","",IFERROR(TODAY()+VLOOKUP(R2909,REGRAS!$B$2:$C$13,2,0),""))</f>
        <v/>
      </c>
    </row>
    <row r="2910">
      <c r="T2910" s="258">
        <f>IF(R2910="","",IFERROR(TODAY()+VLOOKUP(R2910,REGRAS!$B$2:$C$13,2,0),""))</f>
        <v/>
      </c>
    </row>
    <row r="2911">
      <c r="T2911" s="258">
        <f>IF(R2911="","",IFERROR(TODAY()+VLOOKUP(R2911,REGRAS!$B$2:$C$13,2,0),""))</f>
        <v/>
      </c>
    </row>
    <row r="2912">
      <c r="T2912" s="258">
        <f>IF(R2912="","",IFERROR(TODAY()+VLOOKUP(R2912,REGRAS!$B$2:$C$13,2,0),""))</f>
        <v/>
      </c>
    </row>
    <row r="2913">
      <c r="T2913" s="258">
        <f>IF(R2913="","",IFERROR(TODAY()+VLOOKUP(R2913,REGRAS!$B$2:$C$13,2,0),""))</f>
        <v/>
      </c>
    </row>
    <row r="2914">
      <c r="T2914" s="258">
        <f>IF(R2914="","",IFERROR(TODAY()+VLOOKUP(R2914,REGRAS!$B$2:$C$13,2,0),""))</f>
        <v/>
      </c>
    </row>
    <row r="2915">
      <c r="T2915" s="258">
        <f>IF(R2915="","",IFERROR(TODAY()+VLOOKUP(R2915,REGRAS!$B$2:$C$13,2,0),""))</f>
        <v/>
      </c>
    </row>
    <row r="2916">
      <c r="T2916" s="258">
        <f>IF(R2916="","",IFERROR(TODAY()+VLOOKUP(R2916,REGRAS!$B$2:$C$13,2,0),""))</f>
        <v/>
      </c>
    </row>
    <row r="2917">
      <c r="T2917" s="258">
        <f>IF(R2917="","",IFERROR(TODAY()+VLOOKUP(R2917,REGRAS!$B$2:$C$13,2,0),""))</f>
        <v/>
      </c>
    </row>
    <row r="2918">
      <c r="T2918" s="258">
        <f>IF(R2918="","",IFERROR(TODAY()+VLOOKUP(R2918,REGRAS!$B$2:$C$13,2,0),""))</f>
        <v/>
      </c>
    </row>
    <row r="2919">
      <c r="T2919" s="258">
        <f>IF(R2919="","",IFERROR(TODAY()+VLOOKUP(R2919,REGRAS!$B$2:$C$13,2,0),""))</f>
        <v/>
      </c>
    </row>
    <row r="2920">
      <c r="T2920" s="258">
        <f>IF(R2920="","",IFERROR(TODAY()+VLOOKUP(R2920,REGRAS!$B$2:$C$13,2,0),""))</f>
        <v/>
      </c>
    </row>
    <row r="2921">
      <c r="T2921" s="258">
        <f>IF(R2921="","",IFERROR(TODAY()+VLOOKUP(R2921,REGRAS!$B$2:$C$13,2,0),""))</f>
        <v/>
      </c>
    </row>
    <row r="2922">
      <c r="T2922" s="258">
        <f>IF(R2922="","",IFERROR(TODAY()+VLOOKUP(R2922,REGRAS!$B$2:$C$13,2,0),""))</f>
        <v/>
      </c>
    </row>
    <row r="2923">
      <c r="T2923" s="258">
        <f>IF(R2923="","",IFERROR(TODAY()+VLOOKUP(R2923,REGRAS!$B$2:$C$13,2,0),""))</f>
        <v/>
      </c>
    </row>
    <row r="2924">
      <c r="T2924" s="258">
        <f>IF(R2924="","",IFERROR(TODAY()+VLOOKUP(R2924,REGRAS!$B$2:$C$13,2,0),""))</f>
        <v/>
      </c>
    </row>
    <row r="2925">
      <c r="T2925" s="258">
        <f>IF(R2925="","",IFERROR(TODAY()+VLOOKUP(R2925,REGRAS!$B$2:$C$13,2,0),""))</f>
        <v/>
      </c>
    </row>
    <row r="2926">
      <c r="T2926" s="258">
        <f>IF(R2926="","",IFERROR(TODAY()+VLOOKUP(R2926,REGRAS!$B$2:$C$13,2,0),""))</f>
        <v/>
      </c>
    </row>
    <row r="2927">
      <c r="T2927" s="258">
        <f>IF(R2927="","",IFERROR(TODAY()+VLOOKUP(R2927,REGRAS!$B$2:$C$13,2,0),""))</f>
        <v/>
      </c>
    </row>
    <row r="2928">
      <c r="T2928" s="258">
        <f>IF(R2928="","",IFERROR(TODAY()+VLOOKUP(R2928,REGRAS!$B$2:$C$13,2,0),""))</f>
        <v/>
      </c>
    </row>
    <row r="2929">
      <c r="T2929" s="258">
        <f>IF(R2929="","",IFERROR(TODAY()+VLOOKUP(R2929,REGRAS!$B$2:$C$13,2,0),""))</f>
        <v/>
      </c>
    </row>
    <row r="2930">
      <c r="T2930" s="258">
        <f>IF(R2930="","",IFERROR(TODAY()+VLOOKUP(R2930,REGRAS!$B$2:$C$13,2,0),""))</f>
        <v/>
      </c>
    </row>
    <row r="2931">
      <c r="T2931" s="258">
        <f>IF(R2931="","",IFERROR(TODAY()+VLOOKUP(R2931,REGRAS!$B$2:$C$13,2,0),""))</f>
        <v/>
      </c>
    </row>
    <row r="2932">
      <c r="T2932" s="258">
        <f>IF(R2932="","",IFERROR(TODAY()+VLOOKUP(R2932,REGRAS!$B$2:$C$13,2,0),""))</f>
        <v/>
      </c>
    </row>
    <row r="2933">
      <c r="T2933" s="258">
        <f>IF(R2933="","",IFERROR(TODAY()+VLOOKUP(R2933,REGRAS!$B$2:$C$13,2,0),""))</f>
        <v/>
      </c>
    </row>
    <row r="2934">
      <c r="T2934" s="258">
        <f>IF(R2934="","",IFERROR(TODAY()+VLOOKUP(R2934,REGRAS!$B$2:$C$13,2,0),""))</f>
        <v/>
      </c>
    </row>
    <row r="2935">
      <c r="T2935" s="258">
        <f>IF(R2935="","",IFERROR(TODAY()+VLOOKUP(R2935,REGRAS!$B$2:$C$13,2,0),""))</f>
        <v/>
      </c>
    </row>
    <row r="2936">
      <c r="T2936" s="258">
        <f>IF(R2936="","",IFERROR(TODAY()+VLOOKUP(R2936,REGRAS!$B$2:$C$13,2,0),""))</f>
        <v/>
      </c>
    </row>
    <row r="2937">
      <c r="T2937" s="258">
        <f>IF(R2937="","",IFERROR(TODAY()+VLOOKUP(R2937,REGRAS!$B$2:$C$13,2,0),""))</f>
        <v/>
      </c>
    </row>
    <row r="2938">
      <c r="T2938" s="258">
        <f>IF(R2938="","",IFERROR(TODAY()+VLOOKUP(R2938,REGRAS!$B$2:$C$13,2,0),""))</f>
        <v/>
      </c>
    </row>
    <row r="2939">
      <c r="T2939" s="258">
        <f>IF(R2939="","",IFERROR(TODAY()+VLOOKUP(R2939,REGRAS!$B$2:$C$13,2,0),""))</f>
        <v/>
      </c>
    </row>
    <row r="2940">
      <c r="T2940" s="258">
        <f>IF(R2940="","",IFERROR(TODAY()+VLOOKUP(R2940,REGRAS!$B$2:$C$13,2,0),""))</f>
        <v/>
      </c>
    </row>
    <row r="2941">
      <c r="T2941" s="258">
        <f>IF(R2941="","",IFERROR(TODAY()+VLOOKUP(R2941,REGRAS!$B$2:$C$13,2,0),""))</f>
        <v/>
      </c>
    </row>
    <row r="2942">
      <c r="T2942" s="258">
        <f>IF(R2942="","",IFERROR(TODAY()+VLOOKUP(R2942,REGRAS!$B$2:$C$13,2,0),""))</f>
        <v/>
      </c>
    </row>
    <row r="2943">
      <c r="T2943" s="258">
        <f>IF(R2943="","",IFERROR(TODAY()+VLOOKUP(R2943,REGRAS!$B$2:$C$13,2,0),""))</f>
        <v/>
      </c>
    </row>
    <row r="2944">
      <c r="T2944" s="258">
        <f>IF(R2944="","",IFERROR(TODAY()+VLOOKUP(R2944,REGRAS!$B$2:$C$13,2,0),""))</f>
        <v/>
      </c>
    </row>
    <row r="2945">
      <c r="T2945" s="258">
        <f>IF(R2945="","",IFERROR(TODAY()+VLOOKUP(R2945,REGRAS!$B$2:$C$13,2,0),""))</f>
        <v/>
      </c>
    </row>
    <row r="2946">
      <c r="T2946" s="258">
        <f>IF(R2946="","",IFERROR(TODAY()+VLOOKUP(R2946,REGRAS!$B$2:$C$13,2,0),""))</f>
        <v/>
      </c>
    </row>
    <row r="2947">
      <c r="T2947" s="258">
        <f>IF(R2947="","",IFERROR(TODAY()+VLOOKUP(R2947,REGRAS!$B$2:$C$13,2,0),""))</f>
        <v/>
      </c>
    </row>
    <row r="2948">
      <c r="T2948" s="258">
        <f>IF(R2948="","",IFERROR(TODAY()+VLOOKUP(R2948,REGRAS!$B$2:$C$13,2,0),""))</f>
        <v/>
      </c>
    </row>
    <row r="2949">
      <c r="T2949" s="258">
        <f>IF(R2949="","",IFERROR(TODAY()+VLOOKUP(R2949,REGRAS!$B$2:$C$13,2,0),""))</f>
        <v/>
      </c>
    </row>
    <row r="2950">
      <c r="T2950" s="258">
        <f>IF(R2950="","",IFERROR(TODAY()+VLOOKUP(R2950,REGRAS!$B$2:$C$13,2,0),""))</f>
        <v/>
      </c>
    </row>
    <row r="2951">
      <c r="T2951" s="258">
        <f>IF(R2951="","",IFERROR(TODAY()+VLOOKUP(R2951,REGRAS!$B$2:$C$13,2,0),""))</f>
        <v/>
      </c>
    </row>
    <row r="2952">
      <c r="T2952" s="258">
        <f>IF(R2952="","",IFERROR(TODAY()+VLOOKUP(R2952,REGRAS!$B$2:$C$13,2,0),""))</f>
        <v/>
      </c>
    </row>
    <row r="2953">
      <c r="T2953" s="258">
        <f>IF(R2953="","",IFERROR(TODAY()+VLOOKUP(R2953,REGRAS!$B$2:$C$13,2,0),""))</f>
        <v/>
      </c>
    </row>
    <row r="2954">
      <c r="T2954" s="258">
        <f>IF(R2954="","",IFERROR(TODAY()+VLOOKUP(R2954,REGRAS!$B$2:$C$13,2,0),""))</f>
        <v/>
      </c>
    </row>
    <row r="2955">
      <c r="T2955" s="258">
        <f>IF(R2955="","",IFERROR(TODAY()+VLOOKUP(R2955,REGRAS!$B$2:$C$13,2,0),""))</f>
        <v/>
      </c>
    </row>
    <row r="2956">
      <c r="T2956" s="258">
        <f>IF(R2956="","",IFERROR(TODAY()+VLOOKUP(R2956,REGRAS!$B$2:$C$13,2,0),""))</f>
        <v/>
      </c>
    </row>
    <row r="2957">
      <c r="T2957" s="258">
        <f>IF(R2957="","",IFERROR(TODAY()+VLOOKUP(R2957,REGRAS!$B$2:$C$13,2,0),""))</f>
        <v/>
      </c>
    </row>
    <row r="2958">
      <c r="T2958" s="258">
        <f>IF(R2958="","",IFERROR(TODAY()+VLOOKUP(R2958,REGRAS!$B$2:$C$13,2,0),""))</f>
        <v/>
      </c>
    </row>
    <row r="2959">
      <c r="T2959" s="258">
        <f>IF(R2959="","",IFERROR(TODAY()+VLOOKUP(R2959,REGRAS!$B$2:$C$13,2,0),""))</f>
        <v/>
      </c>
    </row>
    <row r="2960">
      <c r="T2960" s="258">
        <f>IF(R2960="","",IFERROR(TODAY()+VLOOKUP(R2960,REGRAS!$B$2:$C$13,2,0),""))</f>
        <v/>
      </c>
    </row>
    <row r="2961">
      <c r="T2961" s="258">
        <f>IF(R2961="","",IFERROR(TODAY()+VLOOKUP(R2961,REGRAS!$B$2:$C$13,2,0),""))</f>
        <v/>
      </c>
    </row>
    <row r="2962">
      <c r="T2962" s="258">
        <f>IF(R2962="","",IFERROR(TODAY()+VLOOKUP(R2962,REGRAS!$B$2:$C$13,2,0),""))</f>
        <v/>
      </c>
    </row>
    <row r="2963">
      <c r="T2963" s="258">
        <f>IF(R2963="","",IFERROR(TODAY()+VLOOKUP(R2963,REGRAS!$B$2:$C$13,2,0),""))</f>
        <v/>
      </c>
    </row>
    <row r="2964">
      <c r="T2964" s="258">
        <f>IF(R2964="","",IFERROR(TODAY()+VLOOKUP(R2964,REGRAS!$B$2:$C$13,2,0),""))</f>
        <v/>
      </c>
    </row>
    <row r="2965">
      <c r="T2965" s="258">
        <f>IF(R2965="","",IFERROR(TODAY()+VLOOKUP(R2965,REGRAS!$B$2:$C$13,2,0),""))</f>
        <v/>
      </c>
    </row>
    <row r="2966">
      <c r="T2966" s="258">
        <f>IF(R2966="","",IFERROR(TODAY()+VLOOKUP(R2966,REGRAS!$B$2:$C$13,2,0),""))</f>
        <v/>
      </c>
    </row>
    <row r="2967">
      <c r="T2967" s="258">
        <f>IF(R2967="","",IFERROR(TODAY()+VLOOKUP(R2967,REGRAS!$B$2:$C$13,2,0),""))</f>
        <v/>
      </c>
    </row>
    <row r="2968">
      <c r="T2968" s="258">
        <f>IF(R2968="","",IFERROR(TODAY()+VLOOKUP(R2968,REGRAS!$B$2:$C$13,2,0),""))</f>
        <v/>
      </c>
    </row>
    <row r="2969">
      <c r="T2969" s="258">
        <f>IF(R2969="","",IFERROR(TODAY()+VLOOKUP(R2969,REGRAS!$B$2:$C$13,2,0),""))</f>
        <v/>
      </c>
    </row>
    <row r="2970">
      <c r="T2970" s="258">
        <f>IF(R2970="","",IFERROR(TODAY()+VLOOKUP(R2970,REGRAS!$B$2:$C$13,2,0),""))</f>
        <v/>
      </c>
    </row>
    <row r="2971">
      <c r="T2971" s="258">
        <f>IF(R2971="","",IFERROR(TODAY()+VLOOKUP(R2971,REGRAS!$B$2:$C$13,2,0),""))</f>
        <v/>
      </c>
    </row>
    <row r="2972">
      <c r="T2972" s="258">
        <f>IF(R2972="","",IFERROR(TODAY()+VLOOKUP(R2972,REGRAS!$B$2:$C$13,2,0),""))</f>
        <v/>
      </c>
    </row>
    <row r="2973">
      <c r="T2973" s="258">
        <f>IF(R2973="","",IFERROR(TODAY()+VLOOKUP(R2973,REGRAS!$B$2:$C$13,2,0),""))</f>
        <v/>
      </c>
    </row>
    <row r="2974">
      <c r="T2974" s="258">
        <f>IF(R2974="","",IFERROR(TODAY()+VLOOKUP(R2974,REGRAS!$B$2:$C$13,2,0),""))</f>
        <v/>
      </c>
    </row>
    <row r="2975">
      <c r="T2975" s="258">
        <f>IF(R2975="","",IFERROR(TODAY()+VLOOKUP(R2975,REGRAS!$B$2:$C$13,2,0),""))</f>
        <v/>
      </c>
    </row>
    <row r="2976">
      <c r="T2976" s="258">
        <f>IF(R2976="","",IFERROR(TODAY()+VLOOKUP(R2976,REGRAS!$B$2:$C$13,2,0),""))</f>
        <v/>
      </c>
    </row>
    <row r="2977">
      <c r="T2977" s="258">
        <f>IF(R2977="","",IFERROR(TODAY()+VLOOKUP(R2977,REGRAS!$B$2:$C$13,2,0),""))</f>
        <v/>
      </c>
    </row>
    <row r="2978">
      <c r="T2978" s="258">
        <f>IF(R2978="","",IFERROR(TODAY()+VLOOKUP(R2978,REGRAS!$B$2:$C$13,2,0),""))</f>
        <v/>
      </c>
    </row>
    <row r="2979">
      <c r="T2979" s="258">
        <f>IF(R2979="","",IFERROR(TODAY()+VLOOKUP(R2979,REGRAS!$B$2:$C$13,2,0),""))</f>
        <v/>
      </c>
    </row>
    <row r="2980">
      <c r="T2980" s="258">
        <f>IF(R2980="","",IFERROR(TODAY()+VLOOKUP(R2980,REGRAS!$B$2:$C$13,2,0),""))</f>
        <v/>
      </c>
    </row>
    <row r="2981">
      <c r="T2981" s="258">
        <f>IF(R2981="","",IFERROR(TODAY()+VLOOKUP(R2981,REGRAS!$B$2:$C$13,2,0),""))</f>
        <v/>
      </c>
    </row>
    <row r="2982">
      <c r="T2982" s="258">
        <f>IF(R2982="","",IFERROR(TODAY()+VLOOKUP(R2982,REGRAS!$B$2:$C$13,2,0),""))</f>
        <v/>
      </c>
    </row>
    <row r="2983">
      <c r="T2983" s="258">
        <f>IF(R2983="","",IFERROR(TODAY()+VLOOKUP(R2983,REGRAS!$B$2:$C$13,2,0),""))</f>
        <v/>
      </c>
    </row>
    <row r="2984">
      <c r="T2984" s="258">
        <f>IF(R2984="","",IFERROR(TODAY()+VLOOKUP(R2984,REGRAS!$B$2:$C$13,2,0),""))</f>
        <v/>
      </c>
    </row>
    <row r="2985">
      <c r="T2985" s="258">
        <f>IF(R2985="","",IFERROR(TODAY()+VLOOKUP(R2985,REGRAS!$B$2:$C$13,2,0),""))</f>
        <v/>
      </c>
    </row>
    <row r="2986">
      <c r="T2986" s="258">
        <f>IF(R2986="","",IFERROR(TODAY()+VLOOKUP(R2986,REGRAS!$B$2:$C$13,2,0),""))</f>
        <v/>
      </c>
    </row>
    <row r="2987">
      <c r="T2987" s="258">
        <f>IF(R2987="","",IFERROR(TODAY()+VLOOKUP(R2987,REGRAS!$B$2:$C$13,2,0),""))</f>
        <v/>
      </c>
    </row>
    <row r="2988">
      <c r="T2988" s="258">
        <f>IF(R2988="","",IFERROR(TODAY()+VLOOKUP(R2988,REGRAS!$B$2:$C$13,2,0),""))</f>
        <v/>
      </c>
    </row>
    <row r="2989">
      <c r="T2989" s="258">
        <f>IF(R2989="","",IFERROR(TODAY()+VLOOKUP(R2989,REGRAS!$B$2:$C$13,2,0),""))</f>
        <v/>
      </c>
    </row>
    <row r="2990">
      <c r="T2990" s="258">
        <f>IF(R2990="","",IFERROR(TODAY()+VLOOKUP(R2990,REGRAS!$B$2:$C$13,2,0),""))</f>
        <v/>
      </c>
    </row>
    <row r="2991">
      <c r="T2991" s="258">
        <f>IF(R2991="","",IFERROR(TODAY()+VLOOKUP(R2991,REGRAS!$B$2:$C$13,2,0),""))</f>
        <v/>
      </c>
    </row>
    <row r="2992">
      <c r="T2992" s="258">
        <f>IF(R2992="","",IFERROR(TODAY()+VLOOKUP(R2992,REGRAS!$B$2:$C$13,2,0),""))</f>
        <v/>
      </c>
    </row>
    <row r="2993">
      <c r="T2993" s="258">
        <f>IF(R2993="","",IFERROR(TODAY()+VLOOKUP(R2993,REGRAS!$B$2:$C$13,2,0),""))</f>
        <v/>
      </c>
    </row>
    <row r="2994">
      <c r="T2994" s="258">
        <f>IF(R2994="","",IFERROR(TODAY()+VLOOKUP(R2994,REGRAS!$B$2:$C$13,2,0),""))</f>
        <v/>
      </c>
    </row>
    <row r="2995">
      <c r="T2995" s="258">
        <f>IF(R2995="","",IFERROR(TODAY()+VLOOKUP(R2995,REGRAS!$B$2:$C$13,2,0),""))</f>
        <v/>
      </c>
    </row>
    <row r="2996">
      <c r="T2996" s="258">
        <f>IF(R2996="","",IFERROR(TODAY()+VLOOKUP(R2996,REGRAS!$B$2:$C$13,2,0),""))</f>
        <v/>
      </c>
    </row>
    <row r="2997">
      <c r="T2997" s="258">
        <f>IF(R2997="","",IFERROR(TODAY()+VLOOKUP(R2997,REGRAS!$B$2:$C$13,2,0),""))</f>
        <v/>
      </c>
    </row>
    <row r="2998">
      <c r="T2998" s="258">
        <f>IF(R2998="","",IFERROR(TODAY()+VLOOKUP(R2998,REGRAS!$B$2:$C$13,2,0),""))</f>
        <v/>
      </c>
    </row>
    <row r="2999">
      <c r="T2999" s="258">
        <f>IF(R2999="","",IFERROR(TODAY()+VLOOKUP(R2999,REGRAS!$B$2:$C$13,2,0),""))</f>
        <v/>
      </c>
    </row>
    <row r="3000">
      <c r="T3000" s="258">
        <f>IF(R3000="","",IFERROR(TODAY()+VLOOKUP(R3000,REGRAS!$B$2:$C$13,2,0),""))</f>
        <v/>
      </c>
    </row>
    <row r="3001">
      <c r="T3001" s="258">
        <f>IF(R3001="","",IFERROR(TODAY()+VLOOKUP(R3001,REGRAS!$B$2:$C$13,2,0),""))</f>
        <v/>
      </c>
    </row>
    <row r="3002">
      <c r="T3002" s="258">
        <f>IF(R3002="","",IFERROR(TODAY()+VLOOKUP(R3002,REGRAS!$B$2:$C$13,2,0),""))</f>
        <v/>
      </c>
    </row>
    <row r="3003">
      <c r="T3003" s="258">
        <f>IF(R3003="","",IFERROR(TODAY()+VLOOKUP(R3003,REGRAS!$B$2:$C$13,2,0),""))</f>
        <v/>
      </c>
    </row>
    <row r="3004">
      <c r="T3004" s="258">
        <f>IF(R3004="","",IFERROR(TODAY()+VLOOKUP(R3004,REGRAS!$B$2:$C$13,2,0),""))</f>
        <v/>
      </c>
    </row>
    <row r="3005">
      <c r="T3005" s="258">
        <f>IF(R3005="","",IFERROR(TODAY()+VLOOKUP(R3005,REGRAS!$B$2:$C$13,2,0),""))</f>
        <v/>
      </c>
    </row>
    <row r="3006">
      <c r="T3006" s="258">
        <f>IF(R3006="","",IFERROR(TODAY()+VLOOKUP(R3006,REGRAS!$B$2:$C$13,2,0),""))</f>
        <v/>
      </c>
    </row>
    <row r="3007">
      <c r="T3007" s="258">
        <f>IF(R3007="","",IFERROR(TODAY()+VLOOKUP(R3007,REGRAS!$B$2:$C$13,2,0),""))</f>
        <v/>
      </c>
    </row>
    <row r="3008">
      <c r="T3008" s="258">
        <f>IF(R3008="","",IFERROR(TODAY()+VLOOKUP(R3008,REGRAS!$B$2:$C$13,2,0),""))</f>
        <v/>
      </c>
    </row>
    <row r="3009">
      <c r="T3009" s="258">
        <f>IF(R3009="","",IFERROR(TODAY()+VLOOKUP(R3009,REGRAS!$B$2:$C$13,2,0),""))</f>
        <v/>
      </c>
    </row>
    <row r="3010">
      <c r="T3010" s="258">
        <f>IF(R3010="","",IFERROR(TODAY()+VLOOKUP(R3010,REGRAS!$B$2:$C$13,2,0),""))</f>
        <v/>
      </c>
    </row>
    <row r="3011">
      <c r="T3011" s="258">
        <f>IF(R3011="","",IFERROR(TODAY()+VLOOKUP(R3011,REGRAS!$B$2:$C$13,2,0),""))</f>
        <v/>
      </c>
    </row>
    <row r="3012">
      <c r="T3012" s="258">
        <f>IF(R3012="","",IFERROR(TODAY()+VLOOKUP(R3012,REGRAS!$B$2:$C$13,2,0),""))</f>
        <v/>
      </c>
    </row>
    <row r="3013">
      <c r="T3013" s="258">
        <f>IF(R3013="","",IFERROR(TODAY()+VLOOKUP(R3013,REGRAS!$B$2:$C$13,2,0),""))</f>
        <v/>
      </c>
    </row>
    <row r="3014">
      <c r="T3014" s="258">
        <f>IF(R3014="","",IFERROR(TODAY()+VLOOKUP(R3014,REGRAS!$B$2:$C$13,2,0),""))</f>
        <v/>
      </c>
    </row>
    <row r="3015">
      <c r="T3015" s="258">
        <f>IF(R3015="","",IFERROR(TODAY()+VLOOKUP(R3015,REGRAS!$B$2:$C$13,2,0),""))</f>
        <v/>
      </c>
    </row>
    <row r="3016">
      <c r="T3016" s="258">
        <f>IF(R3016="","",IFERROR(TODAY()+VLOOKUP(R3016,REGRAS!$B$2:$C$13,2,0),""))</f>
        <v/>
      </c>
    </row>
    <row r="3017">
      <c r="T3017" s="258">
        <f>IF(R3017="","",IFERROR(TODAY()+VLOOKUP(R3017,REGRAS!$B$2:$C$13,2,0),""))</f>
        <v/>
      </c>
    </row>
    <row r="3018">
      <c r="T3018" s="258">
        <f>IF(R3018="","",IFERROR(TODAY()+VLOOKUP(R3018,REGRAS!$B$2:$C$13,2,0),""))</f>
        <v/>
      </c>
    </row>
    <row r="3019">
      <c r="T3019" s="258">
        <f>IF(R3019="","",IFERROR(TODAY()+VLOOKUP(R3019,REGRAS!$B$2:$C$13,2,0),""))</f>
        <v/>
      </c>
    </row>
    <row r="3020">
      <c r="T3020" s="258">
        <f>IF(R3020="","",IFERROR(TODAY()+VLOOKUP(R3020,REGRAS!$B$2:$C$13,2,0),""))</f>
        <v/>
      </c>
    </row>
    <row r="3021">
      <c r="T3021" s="258">
        <f>IF(R3021="","",IFERROR(TODAY()+VLOOKUP(R3021,REGRAS!$B$2:$C$13,2,0),""))</f>
        <v/>
      </c>
    </row>
    <row r="3022">
      <c r="T3022" s="258">
        <f>IF(R3022="","",IFERROR(TODAY()+VLOOKUP(R3022,REGRAS!$B$2:$C$13,2,0),""))</f>
        <v/>
      </c>
    </row>
    <row r="3023">
      <c r="T3023" s="258">
        <f>IF(R3023="","",IFERROR(TODAY()+VLOOKUP(R3023,REGRAS!$B$2:$C$13,2,0),""))</f>
        <v/>
      </c>
    </row>
    <row r="3024">
      <c r="T3024" s="258">
        <f>IF(R3024="","",IFERROR(TODAY()+VLOOKUP(R3024,REGRAS!$B$2:$C$13,2,0),""))</f>
        <v/>
      </c>
    </row>
    <row r="3025">
      <c r="T3025" s="258">
        <f>IF(R3025="","",IFERROR(TODAY()+VLOOKUP(R3025,REGRAS!$B$2:$C$13,2,0),""))</f>
        <v/>
      </c>
    </row>
    <row r="3026">
      <c r="T3026" s="258">
        <f>IF(R3026="","",IFERROR(TODAY()+VLOOKUP(R3026,REGRAS!$B$2:$C$13,2,0),""))</f>
        <v/>
      </c>
    </row>
    <row r="3027">
      <c r="T3027" s="258">
        <f>IF(R3027="","",IFERROR(TODAY()+VLOOKUP(R3027,REGRAS!$B$2:$C$13,2,0),""))</f>
        <v/>
      </c>
    </row>
    <row r="3028">
      <c r="T3028" s="258">
        <f>IF(R3028="","",IFERROR(TODAY()+VLOOKUP(R3028,REGRAS!$B$2:$C$13,2,0),""))</f>
        <v/>
      </c>
    </row>
    <row r="3029">
      <c r="T3029" s="258">
        <f>IF(R3029="","",IFERROR(TODAY()+VLOOKUP(R3029,REGRAS!$B$2:$C$13,2,0),""))</f>
        <v/>
      </c>
    </row>
    <row r="3030">
      <c r="T3030" s="258">
        <f>IF(R3030="","",IFERROR(TODAY()+VLOOKUP(R3030,REGRAS!$B$2:$C$13,2,0),""))</f>
        <v/>
      </c>
    </row>
    <row r="3031">
      <c r="T3031" s="258">
        <f>IF(R3031="","",IFERROR(TODAY()+VLOOKUP(R3031,REGRAS!$B$2:$C$13,2,0),""))</f>
        <v/>
      </c>
    </row>
    <row r="3032">
      <c r="T3032" s="258">
        <f>IF(R3032="","",IFERROR(TODAY()+VLOOKUP(R3032,REGRAS!$B$2:$C$13,2,0),""))</f>
        <v/>
      </c>
    </row>
    <row r="3033">
      <c r="T3033" s="258">
        <f>IF(R3033="","",IFERROR(TODAY()+VLOOKUP(R3033,REGRAS!$B$2:$C$13,2,0),""))</f>
        <v/>
      </c>
    </row>
    <row r="3034">
      <c r="T3034" s="258">
        <f>IF(R3034="","",IFERROR(TODAY()+VLOOKUP(R3034,REGRAS!$B$2:$C$13,2,0),""))</f>
        <v/>
      </c>
    </row>
    <row r="3035">
      <c r="T3035" s="258">
        <f>IF(R3035="","",IFERROR(TODAY()+VLOOKUP(R3035,REGRAS!$B$2:$C$13,2,0),""))</f>
        <v/>
      </c>
    </row>
    <row r="3036">
      <c r="T3036" s="258">
        <f>IF(R3036="","",IFERROR(TODAY()+VLOOKUP(R3036,REGRAS!$B$2:$C$13,2,0),""))</f>
        <v/>
      </c>
    </row>
    <row r="3037">
      <c r="T3037" s="258">
        <f>IF(R3037="","",IFERROR(TODAY()+VLOOKUP(R3037,REGRAS!$B$2:$C$13,2,0),""))</f>
        <v/>
      </c>
    </row>
    <row r="3038">
      <c r="T3038" s="258">
        <f>IF(R3038="","",IFERROR(TODAY()+VLOOKUP(R3038,REGRAS!$B$2:$C$13,2,0),""))</f>
        <v/>
      </c>
    </row>
    <row r="3039">
      <c r="T3039" s="258">
        <f>IF(R3039="","",IFERROR(TODAY()+VLOOKUP(R3039,REGRAS!$B$2:$C$13,2,0),""))</f>
        <v/>
      </c>
    </row>
    <row r="3040">
      <c r="T3040" s="258">
        <f>IF(R3040="","",IFERROR(TODAY()+VLOOKUP(R3040,REGRAS!$B$2:$C$13,2,0),""))</f>
        <v/>
      </c>
    </row>
    <row r="3041">
      <c r="T3041" s="258">
        <f>IF(R3041="","",IFERROR(TODAY()+VLOOKUP(R3041,REGRAS!$B$2:$C$13,2,0),""))</f>
        <v/>
      </c>
    </row>
    <row r="3042">
      <c r="T3042" s="258">
        <f>IF(R3042="","",IFERROR(TODAY()+VLOOKUP(R3042,REGRAS!$B$2:$C$13,2,0),""))</f>
        <v/>
      </c>
    </row>
    <row r="3043">
      <c r="T3043" s="258">
        <f>IF(R3043="","",IFERROR(TODAY()+VLOOKUP(R3043,REGRAS!$B$2:$C$13,2,0),""))</f>
        <v/>
      </c>
    </row>
    <row r="3044">
      <c r="T3044" s="258">
        <f>IF(R3044="","",IFERROR(TODAY()+VLOOKUP(R3044,REGRAS!$B$2:$C$13,2,0),""))</f>
        <v/>
      </c>
    </row>
    <row r="3045">
      <c r="T3045" s="258">
        <f>IF(R3045="","",IFERROR(TODAY()+VLOOKUP(R3045,REGRAS!$B$2:$C$13,2,0),""))</f>
        <v/>
      </c>
    </row>
    <row r="3046">
      <c r="T3046" s="258">
        <f>IF(R3046="","",IFERROR(TODAY()+VLOOKUP(R3046,REGRAS!$B$2:$C$13,2,0),""))</f>
        <v/>
      </c>
    </row>
    <row r="3047">
      <c r="T3047" s="258">
        <f>IF(R3047="","",IFERROR(TODAY()+VLOOKUP(R3047,REGRAS!$B$2:$C$13,2,0),""))</f>
        <v/>
      </c>
    </row>
    <row r="3048">
      <c r="T3048" s="258">
        <f>IF(R3048="","",IFERROR(TODAY()+VLOOKUP(R3048,REGRAS!$B$2:$C$13,2,0),""))</f>
        <v/>
      </c>
    </row>
    <row r="3049">
      <c r="T3049" s="258">
        <f>IF(R3049="","",IFERROR(TODAY()+VLOOKUP(R3049,REGRAS!$B$2:$C$13,2,0),""))</f>
        <v/>
      </c>
    </row>
    <row r="3050">
      <c r="T3050" s="258">
        <f>IF(R3050="","",IFERROR(TODAY()+VLOOKUP(R3050,REGRAS!$B$2:$C$13,2,0),""))</f>
        <v/>
      </c>
    </row>
    <row r="3051">
      <c r="T3051" s="258">
        <f>IF(R3051="","",IFERROR(TODAY()+VLOOKUP(R3051,REGRAS!$B$2:$C$13,2,0),""))</f>
        <v/>
      </c>
    </row>
    <row r="3052">
      <c r="T3052" s="258">
        <f>IF(R3052="","",IFERROR(TODAY()+VLOOKUP(R3052,REGRAS!$B$2:$C$13,2,0),""))</f>
        <v/>
      </c>
    </row>
    <row r="3053">
      <c r="T3053" s="258">
        <f>IF(R3053="","",IFERROR(TODAY()+VLOOKUP(R3053,REGRAS!$B$2:$C$13,2,0),""))</f>
        <v/>
      </c>
    </row>
    <row r="3054">
      <c r="T3054" s="258">
        <f>IF(R3054="","",IFERROR(TODAY()+VLOOKUP(R3054,REGRAS!$B$2:$C$13,2,0),""))</f>
        <v/>
      </c>
    </row>
    <row r="3055">
      <c r="T3055" s="258">
        <f>IF(R3055="","",IFERROR(TODAY()+VLOOKUP(R3055,REGRAS!$B$2:$C$13,2,0),""))</f>
        <v/>
      </c>
    </row>
    <row r="3056">
      <c r="T3056" s="258">
        <f>IF(R3056="","",IFERROR(TODAY()+VLOOKUP(R3056,REGRAS!$B$2:$C$13,2,0),""))</f>
        <v/>
      </c>
    </row>
    <row r="3057">
      <c r="T3057" s="258">
        <f>IF(R3057="","",IFERROR(TODAY()+VLOOKUP(R3057,REGRAS!$B$2:$C$13,2,0),""))</f>
        <v/>
      </c>
    </row>
    <row r="3058">
      <c r="T3058" s="258">
        <f>IF(R3058="","",IFERROR(TODAY()+VLOOKUP(R3058,REGRAS!$B$2:$C$13,2,0),""))</f>
        <v/>
      </c>
    </row>
    <row r="3059">
      <c r="T3059" s="258">
        <f>IF(R3059="","",IFERROR(TODAY()+VLOOKUP(R3059,REGRAS!$B$2:$C$13,2,0),""))</f>
        <v/>
      </c>
    </row>
    <row r="3060">
      <c r="T3060" s="258">
        <f>IF(R3060="","",IFERROR(TODAY()+VLOOKUP(R3060,REGRAS!$B$2:$C$13,2,0),""))</f>
        <v/>
      </c>
    </row>
    <row r="3061">
      <c r="T3061" s="258">
        <f>IF(R3061="","",IFERROR(TODAY()+VLOOKUP(R3061,REGRAS!$B$2:$C$13,2,0),""))</f>
        <v/>
      </c>
    </row>
    <row r="3062">
      <c r="T3062" s="258">
        <f>IF(R3062="","",IFERROR(TODAY()+VLOOKUP(R3062,REGRAS!$B$2:$C$13,2,0),""))</f>
        <v/>
      </c>
    </row>
    <row r="3063">
      <c r="T3063" s="258">
        <f>IF(R3063="","",IFERROR(TODAY()+VLOOKUP(R3063,REGRAS!$B$2:$C$13,2,0),""))</f>
        <v/>
      </c>
    </row>
    <row r="3064">
      <c r="T3064" s="258">
        <f>IF(R3064="","",IFERROR(TODAY()+VLOOKUP(R3064,REGRAS!$B$2:$C$13,2,0),""))</f>
        <v/>
      </c>
    </row>
    <row r="3065">
      <c r="T3065" s="258">
        <f>IF(R3065="","",IFERROR(TODAY()+VLOOKUP(R3065,REGRAS!$B$2:$C$13,2,0),""))</f>
        <v/>
      </c>
    </row>
    <row r="3066">
      <c r="T3066" s="258">
        <f>IF(R3066="","",IFERROR(TODAY()+VLOOKUP(R3066,REGRAS!$B$2:$C$13,2,0),""))</f>
        <v/>
      </c>
    </row>
    <row r="3067">
      <c r="T3067" s="258">
        <f>IF(R3067="","",IFERROR(TODAY()+VLOOKUP(R3067,REGRAS!$B$2:$C$13,2,0),""))</f>
        <v/>
      </c>
    </row>
    <row r="3068">
      <c r="T3068" s="258">
        <f>IF(R3068="","",IFERROR(TODAY()+VLOOKUP(R3068,REGRAS!$B$2:$C$13,2,0),""))</f>
        <v/>
      </c>
    </row>
    <row r="3069">
      <c r="T3069" s="258">
        <f>IF(R3069="","",IFERROR(TODAY()+VLOOKUP(R3069,REGRAS!$B$2:$C$13,2,0),""))</f>
        <v/>
      </c>
    </row>
    <row r="3070">
      <c r="T3070" s="258">
        <f>IF(R3070="","",IFERROR(TODAY()+VLOOKUP(R3070,REGRAS!$B$2:$C$13,2,0),""))</f>
        <v/>
      </c>
    </row>
    <row r="3071">
      <c r="T3071" s="258">
        <f>IF(R3071="","",IFERROR(TODAY()+VLOOKUP(R3071,REGRAS!$B$2:$C$13,2,0),""))</f>
        <v/>
      </c>
    </row>
    <row r="3072">
      <c r="T3072" s="258">
        <f>IF(R3072="","",IFERROR(TODAY()+VLOOKUP(R3072,REGRAS!$B$2:$C$13,2,0),""))</f>
        <v/>
      </c>
    </row>
    <row r="3073">
      <c r="T3073" s="258">
        <f>IF(R3073="","",IFERROR(TODAY()+VLOOKUP(R3073,REGRAS!$B$2:$C$13,2,0),""))</f>
        <v/>
      </c>
    </row>
    <row r="3074">
      <c r="T3074" s="258">
        <f>IF(R3074="","",IFERROR(TODAY()+VLOOKUP(R3074,REGRAS!$B$2:$C$13,2,0),""))</f>
        <v/>
      </c>
    </row>
    <row r="3075">
      <c r="T3075" s="258">
        <f>IF(R3075="","",IFERROR(TODAY()+VLOOKUP(R3075,REGRAS!$B$2:$C$13,2,0),""))</f>
        <v/>
      </c>
    </row>
    <row r="3076">
      <c r="T3076" s="258">
        <f>IF(R3076="","",IFERROR(TODAY()+VLOOKUP(R3076,REGRAS!$B$2:$C$13,2,0),""))</f>
        <v/>
      </c>
    </row>
    <row r="3077">
      <c r="T3077" s="258">
        <f>IF(R3077="","",IFERROR(TODAY()+VLOOKUP(R3077,REGRAS!$B$2:$C$13,2,0),""))</f>
        <v/>
      </c>
    </row>
    <row r="3078">
      <c r="T3078" s="258">
        <f>IF(R3078="","",IFERROR(TODAY()+VLOOKUP(R3078,REGRAS!$B$2:$C$13,2,0),""))</f>
        <v/>
      </c>
    </row>
    <row r="3079">
      <c r="T3079" s="258">
        <f>IF(R3079="","",IFERROR(TODAY()+VLOOKUP(R3079,REGRAS!$B$2:$C$13,2,0),""))</f>
        <v/>
      </c>
    </row>
    <row r="3080">
      <c r="T3080" s="258">
        <f>IF(R3080="","",IFERROR(TODAY()+VLOOKUP(R3080,REGRAS!$B$2:$C$13,2,0),""))</f>
        <v/>
      </c>
    </row>
    <row r="3081">
      <c r="T3081" s="258">
        <f>IF(R3081="","",IFERROR(TODAY()+VLOOKUP(R3081,REGRAS!$B$2:$C$13,2,0),""))</f>
        <v/>
      </c>
    </row>
    <row r="3082">
      <c r="T3082" s="258">
        <f>IF(R3082="","",IFERROR(TODAY()+VLOOKUP(R3082,REGRAS!$B$2:$C$13,2,0),""))</f>
        <v/>
      </c>
    </row>
    <row r="3083">
      <c r="T3083" s="258">
        <f>IF(R3083="","",IFERROR(TODAY()+VLOOKUP(R3083,REGRAS!$B$2:$C$13,2,0),""))</f>
        <v/>
      </c>
    </row>
    <row r="3084">
      <c r="T3084" s="258">
        <f>IF(R3084="","",IFERROR(TODAY()+VLOOKUP(R3084,REGRAS!$B$2:$C$13,2,0),""))</f>
        <v/>
      </c>
    </row>
    <row r="3085">
      <c r="T3085" s="258">
        <f>IF(R3085="","",IFERROR(TODAY()+VLOOKUP(R3085,REGRAS!$B$2:$C$13,2,0),""))</f>
        <v/>
      </c>
    </row>
    <row r="3086">
      <c r="T3086" s="258">
        <f>IF(R3086="","",IFERROR(TODAY()+VLOOKUP(R3086,REGRAS!$B$2:$C$13,2,0),""))</f>
        <v/>
      </c>
    </row>
    <row r="3087">
      <c r="T3087" s="258">
        <f>IF(R3087="","",IFERROR(TODAY()+VLOOKUP(R3087,REGRAS!$B$2:$C$13,2,0),""))</f>
        <v/>
      </c>
    </row>
    <row r="3088">
      <c r="T3088" s="258">
        <f>IF(R3088="","",IFERROR(TODAY()+VLOOKUP(R3088,REGRAS!$B$2:$C$13,2,0),""))</f>
        <v/>
      </c>
    </row>
    <row r="3089">
      <c r="T3089" s="258">
        <f>IF(R3089="","",IFERROR(TODAY()+VLOOKUP(R3089,REGRAS!$B$2:$C$13,2,0),""))</f>
        <v/>
      </c>
    </row>
    <row r="3090">
      <c r="T3090" s="258">
        <f>IF(R3090="","",IFERROR(TODAY()+VLOOKUP(R3090,REGRAS!$B$2:$C$13,2,0),""))</f>
        <v/>
      </c>
    </row>
    <row r="3091">
      <c r="T3091" s="258">
        <f>IF(R3091="","",IFERROR(TODAY()+VLOOKUP(R3091,REGRAS!$B$2:$C$13,2,0),""))</f>
        <v/>
      </c>
    </row>
    <row r="3092">
      <c r="T3092" s="258">
        <f>IF(R3092="","",IFERROR(TODAY()+VLOOKUP(R3092,REGRAS!$B$2:$C$13,2,0),""))</f>
        <v/>
      </c>
    </row>
    <row r="3093">
      <c r="T3093" s="258">
        <f>IF(R3093="","",IFERROR(TODAY()+VLOOKUP(R3093,REGRAS!$B$2:$C$13,2,0),""))</f>
        <v/>
      </c>
    </row>
    <row r="3094">
      <c r="T3094" s="258">
        <f>IF(R3094="","",IFERROR(TODAY()+VLOOKUP(R3094,REGRAS!$B$2:$C$13,2,0),""))</f>
        <v/>
      </c>
    </row>
    <row r="3095">
      <c r="T3095" s="258">
        <f>IF(R3095="","",IFERROR(TODAY()+VLOOKUP(R3095,REGRAS!$B$2:$C$13,2,0),""))</f>
        <v/>
      </c>
    </row>
    <row r="3096">
      <c r="T3096" s="258">
        <f>IF(R3096="","",IFERROR(TODAY()+VLOOKUP(R3096,REGRAS!$B$2:$C$13,2,0),""))</f>
        <v/>
      </c>
    </row>
    <row r="3097">
      <c r="T3097" s="258">
        <f>IF(R3097="","",IFERROR(TODAY()+VLOOKUP(R3097,REGRAS!$B$2:$C$13,2,0),""))</f>
        <v/>
      </c>
    </row>
    <row r="3098">
      <c r="T3098" s="258">
        <f>IF(R3098="","",IFERROR(TODAY()+VLOOKUP(R3098,REGRAS!$B$2:$C$13,2,0),""))</f>
        <v/>
      </c>
    </row>
    <row r="3099">
      <c r="T3099" s="258">
        <f>IF(R3099="","",IFERROR(TODAY()+VLOOKUP(R3099,REGRAS!$B$2:$C$13,2,0),""))</f>
        <v/>
      </c>
    </row>
    <row r="3100">
      <c r="T3100" s="258">
        <f>IF(R3100="","",IFERROR(TODAY()+VLOOKUP(R3100,REGRAS!$B$2:$C$13,2,0),""))</f>
        <v/>
      </c>
    </row>
    <row r="3101">
      <c r="T3101" s="258">
        <f>IF(R3101="","",IFERROR(TODAY()+VLOOKUP(R3101,REGRAS!$B$2:$C$13,2,0),""))</f>
        <v/>
      </c>
    </row>
    <row r="3102">
      <c r="T3102" s="258">
        <f>IF(R3102="","",IFERROR(TODAY()+VLOOKUP(R3102,REGRAS!$B$2:$C$13,2,0),""))</f>
        <v/>
      </c>
    </row>
    <row r="3103">
      <c r="T3103" s="258">
        <f>IF(R3103="","",IFERROR(TODAY()+VLOOKUP(R3103,REGRAS!$B$2:$C$13,2,0),""))</f>
        <v/>
      </c>
    </row>
    <row r="3104">
      <c r="T3104" s="258">
        <f>IF(R3104="","",IFERROR(TODAY()+VLOOKUP(R3104,REGRAS!$B$2:$C$13,2,0),""))</f>
        <v/>
      </c>
    </row>
    <row r="3105">
      <c r="T3105" s="258">
        <f>IF(R3105="","",IFERROR(TODAY()+VLOOKUP(R3105,REGRAS!$B$2:$C$13,2,0),""))</f>
        <v/>
      </c>
    </row>
    <row r="3106">
      <c r="T3106" s="258">
        <f>IF(R3106="","",IFERROR(TODAY()+VLOOKUP(R3106,REGRAS!$B$2:$C$13,2,0),""))</f>
        <v/>
      </c>
    </row>
    <row r="3107">
      <c r="T3107" s="258">
        <f>IF(R3107="","",IFERROR(TODAY()+VLOOKUP(R3107,REGRAS!$B$2:$C$13,2,0),""))</f>
        <v/>
      </c>
    </row>
    <row r="3108">
      <c r="T3108" s="258">
        <f>IF(R3108="","",IFERROR(TODAY()+VLOOKUP(R3108,REGRAS!$B$2:$C$13,2,0),""))</f>
        <v/>
      </c>
    </row>
    <row r="3109">
      <c r="T3109" s="258">
        <f>IF(R3109="","",IFERROR(TODAY()+VLOOKUP(R3109,REGRAS!$B$2:$C$13,2,0),""))</f>
        <v/>
      </c>
    </row>
    <row r="3110">
      <c r="T3110" s="258">
        <f>IF(R3110="","",IFERROR(TODAY()+VLOOKUP(R3110,REGRAS!$B$2:$C$13,2,0),""))</f>
        <v/>
      </c>
    </row>
    <row r="3111">
      <c r="T3111" s="258">
        <f>IF(R3111="","",IFERROR(TODAY()+VLOOKUP(R3111,REGRAS!$B$2:$C$13,2,0),""))</f>
        <v/>
      </c>
    </row>
    <row r="3112">
      <c r="T3112" s="258">
        <f>IF(R3112="","",IFERROR(TODAY()+VLOOKUP(R3112,REGRAS!$B$2:$C$13,2,0),""))</f>
        <v/>
      </c>
    </row>
    <row r="3113">
      <c r="T3113" s="258">
        <f>IF(R3113="","",IFERROR(TODAY()+VLOOKUP(R3113,REGRAS!$B$2:$C$13,2,0),""))</f>
        <v/>
      </c>
    </row>
    <row r="3114">
      <c r="T3114" s="258">
        <f>IF(R3114="","",IFERROR(TODAY()+VLOOKUP(R3114,REGRAS!$B$2:$C$13,2,0),""))</f>
        <v/>
      </c>
    </row>
    <row r="3115">
      <c r="T3115" s="258">
        <f>IF(R3115="","",IFERROR(TODAY()+VLOOKUP(R3115,REGRAS!$B$2:$C$13,2,0),""))</f>
        <v/>
      </c>
    </row>
    <row r="3116">
      <c r="T3116" s="258">
        <f>IF(R3116="","",IFERROR(TODAY()+VLOOKUP(R3116,REGRAS!$B$2:$C$13,2,0),""))</f>
        <v/>
      </c>
    </row>
    <row r="3117">
      <c r="T3117" s="258">
        <f>IF(R3117="","",IFERROR(TODAY()+VLOOKUP(R3117,REGRAS!$B$2:$C$13,2,0),""))</f>
        <v/>
      </c>
    </row>
    <row r="3118">
      <c r="T3118" s="258">
        <f>IF(R3118="","",IFERROR(TODAY()+VLOOKUP(R3118,REGRAS!$B$2:$C$13,2,0),""))</f>
        <v/>
      </c>
    </row>
    <row r="3119">
      <c r="T3119" s="258">
        <f>IF(R3119="","",IFERROR(TODAY()+VLOOKUP(R3119,REGRAS!$B$2:$C$13,2,0),""))</f>
        <v/>
      </c>
    </row>
    <row r="3120">
      <c r="T3120" s="258">
        <f>IF(R3120="","",IFERROR(TODAY()+VLOOKUP(R3120,REGRAS!$B$2:$C$13,2,0),""))</f>
        <v/>
      </c>
    </row>
    <row r="3121">
      <c r="T3121" s="258">
        <f>IF(R3121="","",IFERROR(TODAY()+VLOOKUP(R3121,REGRAS!$B$2:$C$13,2,0),""))</f>
        <v/>
      </c>
    </row>
    <row r="3122">
      <c r="T3122" s="258">
        <f>IF(R3122="","",IFERROR(TODAY()+VLOOKUP(R3122,REGRAS!$B$2:$C$13,2,0),""))</f>
        <v/>
      </c>
    </row>
    <row r="3123">
      <c r="T3123" s="258">
        <f>IF(R3123="","",IFERROR(TODAY()+VLOOKUP(R3123,REGRAS!$B$2:$C$13,2,0),""))</f>
        <v/>
      </c>
    </row>
    <row r="3124">
      <c r="T3124" s="258">
        <f>IF(R3124="","",IFERROR(TODAY()+VLOOKUP(R3124,REGRAS!$B$2:$C$13,2,0),""))</f>
        <v/>
      </c>
    </row>
    <row r="3125">
      <c r="T3125" s="258">
        <f>IF(R3125="","",IFERROR(TODAY()+VLOOKUP(R3125,REGRAS!$B$2:$C$13,2,0),""))</f>
        <v/>
      </c>
    </row>
    <row r="3126">
      <c r="T3126" s="258">
        <f>IF(R3126="","",IFERROR(TODAY()+VLOOKUP(R3126,REGRAS!$B$2:$C$13,2,0),""))</f>
        <v/>
      </c>
    </row>
    <row r="3127">
      <c r="T3127" s="258">
        <f>IF(R3127="","",IFERROR(TODAY()+VLOOKUP(R3127,REGRAS!$B$2:$C$13,2,0),""))</f>
        <v/>
      </c>
    </row>
    <row r="3128">
      <c r="T3128" s="258">
        <f>IF(R3128="","",IFERROR(TODAY()+VLOOKUP(R3128,REGRAS!$B$2:$C$13,2,0),""))</f>
        <v/>
      </c>
    </row>
    <row r="3129">
      <c r="T3129" s="258">
        <f>IF(R3129="","",IFERROR(TODAY()+VLOOKUP(R3129,REGRAS!$B$2:$C$13,2,0),""))</f>
        <v/>
      </c>
    </row>
    <row r="3130">
      <c r="T3130" s="258">
        <f>IF(R3130="","",IFERROR(TODAY()+VLOOKUP(R3130,REGRAS!$B$2:$C$13,2,0),""))</f>
        <v/>
      </c>
    </row>
    <row r="3131">
      <c r="T3131" s="258">
        <f>IF(R3131="","",IFERROR(TODAY()+VLOOKUP(R3131,REGRAS!$B$2:$C$13,2,0),""))</f>
        <v/>
      </c>
    </row>
    <row r="3132">
      <c r="T3132" s="258">
        <f>IF(R3132="","",IFERROR(TODAY()+VLOOKUP(R3132,REGRAS!$B$2:$C$13,2,0),""))</f>
        <v/>
      </c>
    </row>
    <row r="3133">
      <c r="T3133" s="258">
        <f>IF(R3133="","",IFERROR(TODAY()+VLOOKUP(R3133,REGRAS!$B$2:$C$13,2,0),""))</f>
        <v/>
      </c>
    </row>
    <row r="3134">
      <c r="T3134" s="258">
        <f>IF(R3134="","",IFERROR(TODAY()+VLOOKUP(R3134,REGRAS!$B$2:$C$13,2,0),""))</f>
        <v/>
      </c>
    </row>
    <row r="3135">
      <c r="T3135" s="258">
        <f>IF(R3135="","",IFERROR(TODAY()+VLOOKUP(R3135,REGRAS!$B$2:$C$13,2,0),""))</f>
        <v/>
      </c>
    </row>
    <row r="3136">
      <c r="T3136" s="258">
        <f>IF(R3136="","",IFERROR(TODAY()+VLOOKUP(R3136,REGRAS!$B$2:$C$13,2,0),""))</f>
        <v/>
      </c>
    </row>
    <row r="3137">
      <c r="T3137" s="258">
        <f>IF(R3137="","",IFERROR(TODAY()+VLOOKUP(R3137,REGRAS!$B$2:$C$13,2,0),""))</f>
        <v/>
      </c>
    </row>
    <row r="3138">
      <c r="T3138" s="258">
        <f>IF(R3138="","",IFERROR(TODAY()+VLOOKUP(R3138,REGRAS!$B$2:$C$13,2,0),""))</f>
        <v/>
      </c>
    </row>
    <row r="3139">
      <c r="T3139" s="258">
        <f>IF(R3139="","",IFERROR(TODAY()+VLOOKUP(R3139,REGRAS!$B$2:$C$13,2,0),""))</f>
        <v/>
      </c>
    </row>
    <row r="3140">
      <c r="T3140" s="258">
        <f>IF(R3140="","",IFERROR(TODAY()+VLOOKUP(R3140,REGRAS!$B$2:$C$13,2,0),""))</f>
        <v/>
      </c>
    </row>
    <row r="3141">
      <c r="T3141" s="258">
        <f>IF(R3141="","",IFERROR(TODAY()+VLOOKUP(R3141,REGRAS!$B$2:$C$13,2,0),""))</f>
        <v/>
      </c>
    </row>
    <row r="3142">
      <c r="T3142" s="258">
        <f>IF(R3142="","",IFERROR(TODAY()+VLOOKUP(R3142,REGRAS!$B$2:$C$13,2,0),""))</f>
        <v/>
      </c>
    </row>
    <row r="3143">
      <c r="T3143" s="258">
        <f>IF(R3143="","",IFERROR(TODAY()+VLOOKUP(R3143,REGRAS!$B$2:$C$13,2,0),""))</f>
        <v/>
      </c>
    </row>
    <row r="3144">
      <c r="T3144" s="258">
        <f>IF(R3144="","",IFERROR(TODAY()+VLOOKUP(R3144,REGRAS!$B$2:$C$13,2,0),""))</f>
        <v/>
      </c>
    </row>
    <row r="3145">
      <c r="T3145" s="258">
        <f>IF(R3145="","",IFERROR(TODAY()+VLOOKUP(R3145,REGRAS!$B$2:$C$13,2,0),""))</f>
        <v/>
      </c>
    </row>
    <row r="3146">
      <c r="T3146" s="258">
        <f>IF(R3146="","",IFERROR(TODAY()+VLOOKUP(R3146,REGRAS!$B$2:$C$13,2,0),""))</f>
        <v/>
      </c>
    </row>
    <row r="3147">
      <c r="T3147" s="258">
        <f>IF(R3147="","",IFERROR(TODAY()+VLOOKUP(R3147,REGRAS!$B$2:$C$13,2,0),""))</f>
        <v/>
      </c>
    </row>
    <row r="3148">
      <c r="T3148" s="258">
        <f>IF(R3148="","",IFERROR(TODAY()+VLOOKUP(R3148,REGRAS!$B$2:$C$13,2,0),""))</f>
        <v/>
      </c>
    </row>
    <row r="3149">
      <c r="T3149" s="258">
        <f>IF(R3149="","",IFERROR(TODAY()+VLOOKUP(R3149,REGRAS!$B$2:$C$13,2,0),""))</f>
        <v/>
      </c>
    </row>
    <row r="3150">
      <c r="T3150" s="258">
        <f>IF(R3150="","",IFERROR(TODAY()+VLOOKUP(R3150,REGRAS!$B$2:$C$13,2,0),""))</f>
        <v/>
      </c>
    </row>
    <row r="3151">
      <c r="T3151" s="258">
        <f>IF(R3151="","",IFERROR(TODAY()+VLOOKUP(R3151,REGRAS!$B$2:$C$13,2,0),""))</f>
        <v/>
      </c>
    </row>
    <row r="3152">
      <c r="T3152" s="258">
        <f>IF(R3152="","",IFERROR(TODAY()+VLOOKUP(R3152,REGRAS!$B$2:$C$13,2,0),""))</f>
        <v/>
      </c>
    </row>
    <row r="3153">
      <c r="T3153" s="258">
        <f>IF(R3153="","",IFERROR(TODAY()+VLOOKUP(R3153,REGRAS!$B$2:$C$13,2,0),""))</f>
        <v/>
      </c>
    </row>
    <row r="3154">
      <c r="T3154" s="258">
        <f>IF(R3154="","",IFERROR(TODAY()+VLOOKUP(R3154,REGRAS!$B$2:$C$13,2,0),""))</f>
        <v/>
      </c>
    </row>
    <row r="3155">
      <c r="T3155" s="258">
        <f>IF(R3155="","",IFERROR(TODAY()+VLOOKUP(R3155,REGRAS!$B$2:$C$13,2,0),""))</f>
        <v/>
      </c>
    </row>
    <row r="3156">
      <c r="T3156" s="258">
        <f>IF(R3156="","",IFERROR(TODAY()+VLOOKUP(R3156,REGRAS!$B$2:$C$13,2,0),""))</f>
        <v/>
      </c>
    </row>
    <row r="3157">
      <c r="T3157" s="258">
        <f>IF(R3157="","",IFERROR(TODAY()+VLOOKUP(R3157,REGRAS!$B$2:$C$13,2,0),""))</f>
        <v/>
      </c>
    </row>
    <row r="3158">
      <c r="T3158" s="258">
        <f>IF(R3158="","",IFERROR(TODAY()+VLOOKUP(R3158,REGRAS!$B$2:$C$13,2,0),""))</f>
        <v/>
      </c>
    </row>
    <row r="3159">
      <c r="T3159" s="258">
        <f>IF(R3159="","",IFERROR(TODAY()+VLOOKUP(R3159,REGRAS!$B$2:$C$13,2,0),""))</f>
        <v/>
      </c>
    </row>
    <row r="3160">
      <c r="T3160" s="258">
        <f>IF(R3160="","",IFERROR(TODAY()+VLOOKUP(R3160,REGRAS!$B$2:$C$13,2,0),""))</f>
        <v/>
      </c>
    </row>
    <row r="3161">
      <c r="T3161" s="258">
        <f>IF(R3161="","",IFERROR(TODAY()+VLOOKUP(R3161,REGRAS!$B$2:$C$13,2,0),""))</f>
        <v/>
      </c>
    </row>
    <row r="3162">
      <c r="T3162" s="258">
        <f>IF(R3162="","",IFERROR(TODAY()+VLOOKUP(R3162,REGRAS!$B$2:$C$13,2,0),""))</f>
        <v/>
      </c>
    </row>
    <row r="3163">
      <c r="T3163" s="258">
        <f>IF(R3163="","",IFERROR(TODAY()+VLOOKUP(R3163,REGRAS!$B$2:$C$13,2,0),""))</f>
        <v/>
      </c>
    </row>
    <row r="3164">
      <c r="T3164" s="258">
        <f>IF(R3164="","",IFERROR(TODAY()+VLOOKUP(R3164,REGRAS!$B$2:$C$13,2,0),""))</f>
        <v/>
      </c>
    </row>
    <row r="3165">
      <c r="T3165" s="258">
        <f>IF(R3165="","",IFERROR(TODAY()+VLOOKUP(R3165,REGRAS!$B$2:$C$13,2,0),""))</f>
        <v/>
      </c>
    </row>
    <row r="3166">
      <c r="T3166" s="258">
        <f>IF(R3166="","",IFERROR(TODAY()+VLOOKUP(R3166,REGRAS!$B$2:$C$13,2,0),""))</f>
        <v/>
      </c>
    </row>
    <row r="3167">
      <c r="T3167" s="258">
        <f>IF(R3167="","",IFERROR(TODAY()+VLOOKUP(R3167,REGRAS!$B$2:$C$13,2,0),""))</f>
        <v/>
      </c>
    </row>
    <row r="3168">
      <c r="T3168" s="258">
        <f>IF(R3168="","",IFERROR(TODAY()+VLOOKUP(R3168,REGRAS!$B$2:$C$13,2,0),""))</f>
        <v/>
      </c>
    </row>
    <row r="3169">
      <c r="T3169" s="258">
        <f>IF(R3169="","",IFERROR(TODAY()+VLOOKUP(R3169,REGRAS!$B$2:$C$13,2,0),""))</f>
        <v/>
      </c>
    </row>
    <row r="3170">
      <c r="T3170" s="258">
        <f>IF(R3170="","",IFERROR(TODAY()+VLOOKUP(R3170,REGRAS!$B$2:$C$13,2,0),""))</f>
        <v/>
      </c>
    </row>
    <row r="3171">
      <c r="T3171" s="258">
        <f>IF(R3171="","",IFERROR(TODAY()+VLOOKUP(R3171,REGRAS!$B$2:$C$13,2,0),""))</f>
        <v/>
      </c>
    </row>
    <row r="3172">
      <c r="T3172" s="258">
        <f>IF(R3172="","",IFERROR(TODAY()+VLOOKUP(R3172,REGRAS!$B$2:$C$13,2,0),""))</f>
        <v/>
      </c>
    </row>
    <row r="3173">
      <c r="T3173" s="258">
        <f>IF(R3173="","",IFERROR(TODAY()+VLOOKUP(R3173,REGRAS!$B$2:$C$13,2,0),""))</f>
        <v/>
      </c>
    </row>
    <row r="3174">
      <c r="T3174" s="258">
        <f>IF(R3174="","",IFERROR(TODAY()+VLOOKUP(R3174,REGRAS!$B$2:$C$13,2,0),""))</f>
        <v/>
      </c>
    </row>
    <row r="3175">
      <c r="T3175" s="258">
        <f>IF(R3175="","",IFERROR(TODAY()+VLOOKUP(R3175,REGRAS!$B$2:$C$13,2,0),""))</f>
        <v/>
      </c>
    </row>
    <row r="3176">
      <c r="T3176" s="258">
        <f>IF(R3176="","",IFERROR(TODAY()+VLOOKUP(R3176,REGRAS!$B$2:$C$13,2,0),""))</f>
        <v/>
      </c>
    </row>
    <row r="3177">
      <c r="T3177" s="258">
        <f>IF(R3177="","",IFERROR(TODAY()+VLOOKUP(R3177,REGRAS!$B$2:$C$13,2,0),""))</f>
        <v/>
      </c>
    </row>
    <row r="3178">
      <c r="T3178" s="258">
        <f>IF(R3178="","",IFERROR(TODAY()+VLOOKUP(R3178,REGRAS!$B$2:$C$13,2,0),""))</f>
        <v/>
      </c>
    </row>
    <row r="3179">
      <c r="T3179" s="258">
        <f>IF(R3179="","",IFERROR(TODAY()+VLOOKUP(R3179,REGRAS!$B$2:$C$13,2,0),""))</f>
        <v/>
      </c>
    </row>
    <row r="3180">
      <c r="T3180" s="258">
        <f>IF(R3180="","",IFERROR(TODAY()+VLOOKUP(R3180,REGRAS!$B$2:$C$13,2,0),""))</f>
        <v/>
      </c>
    </row>
    <row r="3181">
      <c r="T3181" s="258">
        <f>IF(R3181="","",IFERROR(TODAY()+VLOOKUP(R3181,REGRAS!$B$2:$C$13,2,0),""))</f>
        <v/>
      </c>
    </row>
    <row r="3182">
      <c r="T3182" s="258">
        <f>IF(R3182="","",IFERROR(TODAY()+VLOOKUP(R3182,REGRAS!$B$2:$C$13,2,0),""))</f>
        <v/>
      </c>
    </row>
    <row r="3183">
      <c r="T3183" s="258">
        <f>IF(R3183="","",IFERROR(TODAY()+VLOOKUP(R3183,REGRAS!$B$2:$C$13,2,0),""))</f>
        <v/>
      </c>
    </row>
    <row r="3184">
      <c r="T3184" s="258">
        <f>IF(R3184="","",IFERROR(TODAY()+VLOOKUP(R3184,REGRAS!$B$2:$C$13,2,0),""))</f>
        <v/>
      </c>
    </row>
    <row r="3185">
      <c r="T3185" s="258">
        <f>IF(R3185="","",IFERROR(TODAY()+VLOOKUP(R3185,REGRAS!$B$2:$C$13,2,0),""))</f>
        <v/>
      </c>
    </row>
    <row r="3186">
      <c r="T3186" s="258">
        <f>IF(R3186="","",IFERROR(TODAY()+VLOOKUP(R3186,REGRAS!$B$2:$C$13,2,0),""))</f>
        <v/>
      </c>
    </row>
    <row r="3187">
      <c r="T3187" s="258">
        <f>IF(R3187="","",IFERROR(TODAY()+VLOOKUP(R3187,REGRAS!$B$2:$C$13,2,0),""))</f>
        <v/>
      </c>
    </row>
    <row r="3188">
      <c r="T3188" s="258">
        <f>IF(R3188="","",IFERROR(TODAY()+VLOOKUP(R3188,REGRAS!$B$2:$C$13,2,0),""))</f>
        <v/>
      </c>
    </row>
    <row r="3189">
      <c r="T3189" s="258">
        <f>IF(R3189="","",IFERROR(TODAY()+VLOOKUP(R3189,REGRAS!$B$2:$C$13,2,0),""))</f>
        <v/>
      </c>
    </row>
    <row r="3190">
      <c r="T3190" s="258">
        <f>IF(R3190="","",IFERROR(TODAY()+VLOOKUP(R3190,REGRAS!$B$2:$C$13,2,0),""))</f>
        <v/>
      </c>
    </row>
    <row r="3191">
      <c r="T3191" s="258">
        <f>IF(R3191="","",IFERROR(TODAY()+VLOOKUP(R3191,REGRAS!$B$2:$C$13,2,0),""))</f>
        <v/>
      </c>
    </row>
    <row r="3192">
      <c r="T3192" s="258">
        <f>IF(R3192="","",IFERROR(TODAY()+VLOOKUP(R3192,REGRAS!$B$2:$C$13,2,0),""))</f>
        <v/>
      </c>
    </row>
    <row r="3193">
      <c r="T3193" s="258">
        <f>IF(R3193="","",IFERROR(TODAY()+VLOOKUP(R3193,REGRAS!$B$2:$C$13,2,0),""))</f>
        <v/>
      </c>
    </row>
    <row r="3194">
      <c r="T3194" s="258">
        <f>IF(R3194="","",IFERROR(TODAY()+VLOOKUP(R3194,REGRAS!$B$2:$C$13,2,0),""))</f>
        <v/>
      </c>
    </row>
    <row r="3195">
      <c r="T3195" s="258">
        <f>IF(R3195="","",IFERROR(TODAY()+VLOOKUP(R3195,REGRAS!$B$2:$C$13,2,0),""))</f>
        <v/>
      </c>
    </row>
    <row r="3196">
      <c r="T3196" s="258">
        <f>IF(R3196="","",IFERROR(TODAY()+VLOOKUP(R3196,REGRAS!$B$2:$C$13,2,0),""))</f>
        <v/>
      </c>
    </row>
    <row r="3197">
      <c r="T3197" s="258">
        <f>IF(R3197="","",IFERROR(TODAY()+VLOOKUP(R3197,REGRAS!$B$2:$C$13,2,0),""))</f>
        <v/>
      </c>
    </row>
    <row r="3198">
      <c r="T3198" s="258">
        <f>IF(R3198="","",IFERROR(TODAY()+VLOOKUP(R3198,REGRAS!$B$2:$C$13,2,0),""))</f>
        <v/>
      </c>
    </row>
    <row r="3199">
      <c r="T3199" s="258">
        <f>IF(R3199="","",IFERROR(TODAY()+VLOOKUP(R3199,REGRAS!$B$2:$C$13,2,0),""))</f>
        <v/>
      </c>
    </row>
    <row r="3200">
      <c r="T3200" s="258">
        <f>IF(R3200="","",IFERROR(TODAY()+VLOOKUP(R3200,REGRAS!$B$2:$C$13,2,0),""))</f>
        <v/>
      </c>
    </row>
    <row r="3201">
      <c r="T3201" s="258">
        <f>IF(R3201="","",IFERROR(TODAY()+VLOOKUP(R3201,REGRAS!$B$2:$C$13,2,0),""))</f>
        <v/>
      </c>
    </row>
    <row r="3202">
      <c r="T3202" s="258">
        <f>IF(R3202="","",IFERROR(TODAY()+VLOOKUP(R3202,REGRAS!$B$2:$C$13,2,0),""))</f>
        <v/>
      </c>
    </row>
    <row r="3203">
      <c r="T3203" s="258">
        <f>IF(R3203="","",IFERROR(TODAY()+VLOOKUP(R3203,REGRAS!$B$2:$C$13,2,0),""))</f>
        <v/>
      </c>
    </row>
    <row r="3204">
      <c r="T3204" s="258">
        <f>IF(R3204="","",IFERROR(TODAY()+VLOOKUP(R3204,REGRAS!$B$2:$C$13,2,0),""))</f>
        <v/>
      </c>
    </row>
    <row r="3205">
      <c r="T3205" s="258">
        <f>IF(R3205="","",IFERROR(TODAY()+VLOOKUP(R3205,REGRAS!$B$2:$C$13,2,0),""))</f>
        <v/>
      </c>
    </row>
    <row r="3206">
      <c r="T3206" s="258">
        <f>IF(R3206="","",IFERROR(TODAY()+VLOOKUP(R3206,REGRAS!$B$2:$C$13,2,0),""))</f>
        <v/>
      </c>
    </row>
    <row r="3207">
      <c r="T3207" s="258">
        <f>IF(R3207="","",IFERROR(TODAY()+VLOOKUP(R3207,REGRAS!$B$2:$C$13,2,0),""))</f>
        <v/>
      </c>
    </row>
    <row r="3208">
      <c r="T3208" s="258">
        <f>IF(R3208="","",IFERROR(TODAY()+VLOOKUP(R3208,REGRAS!$B$2:$C$13,2,0),""))</f>
        <v/>
      </c>
    </row>
    <row r="3209">
      <c r="T3209" s="258">
        <f>IF(R3209="","",IFERROR(TODAY()+VLOOKUP(R3209,REGRAS!$B$2:$C$13,2,0),""))</f>
        <v/>
      </c>
    </row>
    <row r="3210">
      <c r="T3210" s="258">
        <f>IF(R3210="","",IFERROR(TODAY()+VLOOKUP(R3210,REGRAS!$B$2:$C$13,2,0),""))</f>
        <v/>
      </c>
    </row>
    <row r="3211">
      <c r="T3211" s="258">
        <f>IF(R3211="","",IFERROR(TODAY()+VLOOKUP(R3211,REGRAS!$B$2:$C$13,2,0),""))</f>
        <v/>
      </c>
    </row>
    <row r="3212">
      <c r="T3212" s="258">
        <f>IF(R3212="","",IFERROR(TODAY()+VLOOKUP(R3212,REGRAS!$B$2:$C$13,2,0),""))</f>
        <v/>
      </c>
    </row>
    <row r="3213">
      <c r="T3213" s="258">
        <f>IF(R3213="","",IFERROR(TODAY()+VLOOKUP(R3213,REGRAS!$B$2:$C$13,2,0),""))</f>
        <v/>
      </c>
    </row>
    <row r="3214">
      <c r="T3214" s="258">
        <f>IF(R3214="","",IFERROR(TODAY()+VLOOKUP(R3214,REGRAS!$B$2:$C$13,2,0),""))</f>
        <v/>
      </c>
    </row>
    <row r="3215">
      <c r="T3215" s="258">
        <f>IF(R3215="","",IFERROR(TODAY()+VLOOKUP(R3215,REGRAS!$B$2:$C$13,2,0),""))</f>
        <v/>
      </c>
    </row>
    <row r="3216">
      <c r="T3216" s="258">
        <f>IF(R3216="","",IFERROR(TODAY()+VLOOKUP(R3216,REGRAS!$B$2:$C$13,2,0),""))</f>
        <v/>
      </c>
    </row>
    <row r="3217">
      <c r="T3217" s="258">
        <f>IF(R3217="","",IFERROR(TODAY()+VLOOKUP(R3217,REGRAS!$B$2:$C$13,2,0),""))</f>
        <v/>
      </c>
    </row>
    <row r="3218">
      <c r="T3218" s="258">
        <f>IF(R3218="","",IFERROR(TODAY()+VLOOKUP(R3218,REGRAS!$B$2:$C$13,2,0),""))</f>
        <v/>
      </c>
    </row>
    <row r="3219">
      <c r="T3219" s="258">
        <f>IF(R3219="","",IFERROR(TODAY()+VLOOKUP(R3219,REGRAS!$B$2:$C$13,2,0),""))</f>
        <v/>
      </c>
    </row>
    <row r="3220">
      <c r="T3220" s="258">
        <f>IF(R3220="","",IFERROR(TODAY()+VLOOKUP(R3220,REGRAS!$B$2:$C$13,2,0),""))</f>
        <v/>
      </c>
    </row>
    <row r="3221">
      <c r="T3221" s="258">
        <f>IF(R3221="","",IFERROR(TODAY()+VLOOKUP(R3221,REGRAS!$B$2:$C$13,2,0),""))</f>
        <v/>
      </c>
    </row>
    <row r="3222">
      <c r="T3222" s="258">
        <f>IF(R3222="","",IFERROR(TODAY()+VLOOKUP(R3222,REGRAS!$B$2:$C$13,2,0),""))</f>
        <v/>
      </c>
    </row>
    <row r="3223">
      <c r="T3223" s="258">
        <f>IF(R3223="","",IFERROR(TODAY()+VLOOKUP(R3223,REGRAS!$B$2:$C$13,2,0),""))</f>
        <v/>
      </c>
    </row>
    <row r="3224">
      <c r="T3224" s="258">
        <f>IF(R3224="","",IFERROR(TODAY()+VLOOKUP(R3224,REGRAS!$B$2:$C$13,2,0),""))</f>
        <v/>
      </c>
    </row>
    <row r="3225">
      <c r="T3225" s="258">
        <f>IF(R3225="","",IFERROR(TODAY()+VLOOKUP(R3225,REGRAS!$B$2:$C$13,2,0),""))</f>
        <v/>
      </c>
    </row>
    <row r="3226">
      <c r="T3226" s="258">
        <f>IF(R3226="","",IFERROR(TODAY()+VLOOKUP(R3226,REGRAS!$B$2:$C$13,2,0),""))</f>
        <v/>
      </c>
    </row>
    <row r="3227">
      <c r="T3227" s="258">
        <f>IF(R3227="","",IFERROR(TODAY()+VLOOKUP(R3227,REGRAS!$B$2:$C$13,2,0),""))</f>
        <v/>
      </c>
    </row>
    <row r="3228">
      <c r="T3228" s="258">
        <f>IF(R3228="","",IFERROR(TODAY()+VLOOKUP(R3228,REGRAS!$B$2:$C$13,2,0),""))</f>
        <v/>
      </c>
    </row>
    <row r="3229">
      <c r="T3229" s="258">
        <f>IF(R3229="","",IFERROR(TODAY()+VLOOKUP(R3229,REGRAS!$B$2:$C$13,2,0),""))</f>
        <v/>
      </c>
    </row>
    <row r="3230">
      <c r="T3230" s="258">
        <f>IF(R3230="","",IFERROR(TODAY()+VLOOKUP(R3230,REGRAS!$B$2:$C$13,2,0),""))</f>
        <v/>
      </c>
    </row>
    <row r="3231">
      <c r="T3231" s="258">
        <f>IF(R3231="","",IFERROR(TODAY()+VLOOKUP(R3231,REGRAS!$B$2:$C$13,2,0),""))</f>
        <v/>
      </c>
    </row>
    <row r="3232">
      <c r="T3232" s="258">
        <f>IF(R3232="","",IFERROR(TODAY()+VLOOKUP(R3232,REGRAS!$B$2:$C$13,2,0),""))</f>
        <v/>
      </c>
    </row>
    <row r="3233">
      <c r="T3233" s="258">
        <f>IF(R3233="","",IFERROR(TODAY()+VLOOKUP(R3233,REGRAS!$B$2:$C$13,2,0),""))</f>
        <v/>
      </c>
    </row>
    <row r="3234">
      <c r="T3234" s="258">
        <f>IF(R3234="","",IFERROR(TODAY()+VLOOKUP(R3234,REGRAS!$B$2:$C$13,2,0),""))</f>
        <v/>
      </c>
    </row>
    <row r="3235">
      <c r="T3235" s="258">
        <f>IF(R3235="","",IFERROR(TODAY()+VLOOKUP(R3235,REGRAS!$B$2:$C$13,2,0),""))</f>
        <v/>
      </c>
    </row>
    <row r="3236">
      <c r="T3236" s="258">
        <f>IF(R3236="","",IFERROR(TODAY()+VLOOKUP(R3236,REGRAS!$B$2:$C$13,2,0),""))</f>
        <v/>
      </c>
    </row>
    <row r="3237">
      <c r="T3237" s="258">
        <f>IF(R3237="","",IFERROR(TODAY()+VLOOKUP(R3237,REGRAS!$B$2:$C$13,2,0),""))</f>
        <v/>
      </c>
    </row>
    <row r="3238">
      <c r="T3238" s="258">
        <f>IF(R3238="","",IFERROR(TODAY()+VLOOKUP(R3238,REGRAS!$B$2:$C$13,2,0),""))</f>
        <v/>
      </c>
    </row>
    <row r="3239">
      <c r="T3239" s="258">
        <f>IF(R3239="","",IFERROR(TODAY()+VLOOKUP(R3239,REGRAS!$B$2:$C$13,2,0),""))</f>
        <v/>
      </c>
    </row>
    <row r="3240">
      <c r="T3240" s="258">
        <f>IF(R3240="","",IFERROR(TODAY()+VLOOKUP(R3240,REGRAS!$B$2:$C$13,2,0),""))</f>
        <v/>
      </c>
    </row>
    <row r="3241">
      <c r="T3241" s="258">
        <f>IF(R3241="","",IFERROR(TODAY()+VLOOKUP(R3241,REGRAS!$B$2:$C$13,2,0),""))</f>
        <v/>
      </c>
    </row>
    <row r="3242">
      <c r="T3242" s="258">
        <f>IF(R3242="","",IFERROR(TODAY()+VLOOKUP(R3242,REGRAS!$B$2:$C$13,2,0),""))</f>
        <v/>
      </c>
    </row>
    <row r="3243">
      <c r="T3243" s="258">
        <f>IF(R3243="","",IFERROR(TODAY()+VLOOKUP(R3243,REGRAS!$B$2:$C$13,2,0),""))</f>
        <v/>
      </c>
    </row>
    <row r="3244">
      <c r="T3244" s="258">
        <f>IF(R3244="","",IFERROR(TODAY()+VLOOKUP(R3244,REGRAS!$B$2:$C$13,2,0),""))</f>
        <v/>
      </c>
    </row>
    <row r="3245">
      <c r="T3245" s="258">
        <f>IF(R3245="","",IFERROR(TODAY()+VLOOKUP(R3245,REGRAS!$B$2:$C$13,2,0),""))</f>
        <v/>
      </c>
    </row>
    <row r="3246">
      <c r="T3246" s="258">
        <f>IF(R3246="","",IFERROR(TODAY()+VLOOKUP(R3246,REGRAS!$B$2:$C$13,2,0),""))</f>
        <v/>
      </c>
    </row>
    <row r="3247">
      <c r="T3247" s="258">
        <f>IF(R3247="","",IFERROR(TODAY()+VLOOKUP(R3247,REGRAS!$B$2:$C$13,2,0),""))</f>
        <v/>
      </c>
    </row>
    <row r="3248">
      <c r="T3248" s="258">
        <f>IF(R3248="","",IFERROR(TODAY()+VLOOKUP(R3248,REGRAS!$B$2:$C$13,2,0),""))</f>
        <v/>
      </c>
    </row>
    <row r="3249">
      <c r="T3249" s="258">
        <f>IF(R3249="","",IFERROR(TODAY()+VLOOKUP(R3249,REGRAS!$B$2:$C$13,2,0),""))</f>
        <v/>
      </c>
    </row>
    <row r="3250">
      <c r="T3250" s="258">
        <f>IF(R3250="","",IFERROR(TODAY()+VLOOKUP(R3250,REGRAS!$B$2:$C$13,2,0),""))</f>
        <v/>
      </c>
    </row>
    <row r="3251">
      <c r="T3251" s="258">
        <f>IF(R3251="","",IFERROR(TODAY()+VLOOKUP(R3251,REGRAS!$B$2:$C$13,2,0),""))</f>
        <v/>
      </c>
    </row>
    <row r="3252">
      <c r="T3252" s="258">
        <f>IF(R3252="","",IFERROR(TODAY()+VLOOKUP(R3252,REGRAS!$B$2:$C$13,2,0),""))</f>
        <v/>
      </c>
    </row>
    <row r="3253">
      <c r="T3253" s="258">
        <f>IF(R3253="","",IFERROR(TODAY()+VLOOKUP(R3253,REGRAS!$B$2:$C$13,2,0),""))</f>
        <v/>
      </c>
    </row>
    <row r="3254">
      <c r="T3254" s="258">
        <f>IF(R3254="","",IFERROR(TODAY()+VLOOKUP(R3254,REGRAS!$B$2:$C$13,2,0),""))</f>
        <v/>
      </c>
    </row>
    <row r="3255">
      <c r="T3255" s="258">
        <f>IF(R3255="","",IFERROR(TODAY()+VLOOKUP(R3255,REGRAS!$B$2:$C$13,2,0),""))</f>
        <v/>
      </c>
    </row>
    <row r="3256">
      <c r="T3256" s="258">
        <f>IF(R3256="","",IFERROR(TODAY()+VLOOKUP(R3256,REGRAS!$B$2:$C$13,2,0),""))</f>
        <v/>
      </c>
    </row>
    <row r="3257">
      <c r="T3257" s="258">
        <f>IF(R3257="","",IFERROR(TODAY()+VLOOKUP(R3257,REGRAS!$B$2:$C$13,2,0),""))</f>
        <v/>
      </c>
    </row>
    <row r="3258">
      <c r="T3258" s="258">
        <f>IF(R3258="","",IFERROR(TODAY()+VLOOKUP(R3258,REGRAS!$B$2:$C$13,2,0),""))</f>
        <v/>
      </c>
    </row>
    <row r="3259">
      <c r="T3259" s="258">
        <f>IF(R3259="","",IFERROR(TODAY()+VLOOKUP(R3259,REGRAS!$B$2:$C$13,2,0),""))</f>
        <v/>
      </c>
    </row>
    <row r="3260">
      <c r="T3260" s="258">
        <f>IF(R3260="","",IFERROR(TODAY()+VLOOKUP(R3260,REGRAS!$B$2:$C$13,2,0),""))</f>
        <v/>
      </c>
    </row>
    <row r="3261">
      <c r="T3261" s="258">
        <f>IF(R3261="","",IFERROR(TODAY()+VLOOKUP(R3261,REGRAS!$B$2:$C$13,2,0),""))</f>
        <v/>
      </c>
    </row>
    <row r="3262">
      <c r="T3262" s="258">
        <f>IF(R3262="","",IFERROR(TODAY()+VLOOKUP(R3262,REGRAS!$B$2:$C$13,2,0),""))</f>
        <v/>
      </c>
    </row>
    <row r="3263">
      <c r="T3263" s="258">
        <f>IF(R3263="","",IFERROR(TODAY()+VLOOKUP(R3263,REGRAS!$B$2:$C$13,2,0),""))</f>
        <v/>
      </c>
    </row>
    <row r="3264">
      <c r="T3264" s="258">
        <f>IF(R3264="","",IFERROR(TODAY()+VLOOKUP(R3264,REGRAS!$B$2:$C$13,2,0),""))</f>
        <v/>
      </c>
    </row>
    <row r="3265">
      <c r="T3265" s="258">
        <f>IF(R3265="","",IFERROR(TODAY()+VLOOKUP(R3265,REGRAS!$B$2:$C$13,2,0),""))</f>
        <v/>
      </c>
    </row>
    <row r="3266">
      <c r="T3266" s="258">
        <f>IF(R3266="","",IFERROR(TODAY()+VLOOKUP(R3266,REGRAS!$B$2:$C$13,2,0),""))</f>
        <v/>
      </c>
    </row>
    <row r="3267">
      <c r="T3267" s="258">
        <f>IF(R3267="","",IFERROR(TODAY()+VLOOKUP(R3267,REGRAS!$B$2:$C$13,2,0),""))</f>
        <v/>
      </c>
    </row>
    <row r="3268">
      <c r="T3268" s="258">
        <f>IF(R3268="","",IFERROR(TODAY()+VLOOKUP(R3268,REGRAS!$B$2:$C$13,2,0),""))</f>
        <v/>
      </c>
    </row>
    <row r="3269">
      <c r="T3269" s="258">
        <f>IF(R3269="","",IFERROR(TODAY()+VLOOKUP(R3269,REGRAS!$B$2:$C$13,2,0),""))</f>
        <v/>
      </c>
    </row>
    <row r="3270">
      <c r="T3270" s="258">
        <f>IF(R3270="","",IFERROR(TODAY()+VLOOKUP(R3270,REGRAS!$B$2:$C$13,2,0),""))</f>
        <v/>
      </c>
    </row>
    <row r="3271">
      <c r="T3271" s="258">
        <f>IF(R3271="","",IFERROR(TODAY()+VLOOKUP(R3271,REGRAS!$B$2:$C$13,2,0),""))</f>
        <v/>
      </c>
    </row>
    <row r="3272">
      <c r="T3272" s="258">
        <f>IF(R3272="","",IFERROR(TODAY()+VLOOKUP(R3272,REGRAS!$B$2:$C$13,2,0),""))</f>
        <v/>
      </c>
    </row>
    <row r="3273">
      <c r="T3273" s="258">
        <f>IF(R3273="","",IFERROR(TODAY()+VLOOKUP(R3273,REGRAS!$B$2:$C$13,2,0),""))</f>
        <v/>
      </c>
    </row>
    <row r="3274">
      <c r="T3274" s="258">
        <f>IF(R3274="","",IFERROR(TODAY()+VLOOKUP(R3274,REGRAS!$B$2:$C$13,2,0),""))</f>
        <v/>
      </c>
    </row>
    <row r="3275">
      <c r="T3275" s="258">
        <f>IF(R3275="","",IFERROR(TODAY()+VLOOKUP(R3275,REGRAS!$B$2:$C$13,2,0),""))</f>
        <v/>
      </c>
    </row>
    <row r="3276">
      <c r="T3276" s="258">
        <f>IF(R3276="","",IFERROR(TODAY()+VLOOKUP(R3276,REGRAS!$B$2:$C$13,2,0),""))</f>
        <v/>
      </c>
    </row>
    <row r="3277">
      <c r="T3277" s="258">
        <f>IF(R3277="","",IFERROR(TODAY()+VLOOKUP(R3277,REGRAS!$B$2:$C$13,2,0),""))</f>
        <v/>
      </c>
    </row>
    <row r="3278">
      <c r="T3278" s="258">
        <f>IF(R3278="","",IFERROR(TODAY()+VLOOKUP(R3278,REGRAS!$B$2:$C$13,2,0),""))</f>
        <v/>
      </c>
    </row>
    <row r="3279">
      <c r="T3279" s="258">
        <f>IF(R3279="","",IFERROR(TODAY()+VLOOKUP(R3279,REGRAS!$B$2:$C$13,2,0),""))</f>
        <v/>
      </c>
    </row>
    <row r="3280">
      <c r="T3280" s="258">
        <f>IF(R3280="","",IFERROR(TODAY()+VLOOKUP(R3280,REGRAS!$B$2:$C$13,2,0),""))</f>
        <v/>
      </c>
    </row>
    <row r="3281">
      <c r="T3281" s="258">
        <f>IF(R3281="","",IFERROR(TODAY()+VLOOKUP(R3281,REGRAS!$B$2:$C$13,2,0),""))</f>
        <v/>
      </c>
    </row>
    <row r="3282">
      <c r="T3282" s="258">
        <f>IF(R3282="","",IFERROR(TODAY()+VLOOKUP(R3282,REGRAS!$B$2:$C$13,2,0),""))</f>
        <v/>
      </c>
    </row>
    <row r="3283">
      <c r="T3283" s="258">
        <f>IF(R3283="","",IFERROR(TODAY()+VLOOKUP(R3283,REGRAS!$B$2:$C$13,2,0),""))</f>
        <v/>
      </c>
    </row>
    <row r="3284">
      <c r="T3284" s="258">
        <f>IF(R3284="","",IFERROR(TODAY()+VLOOKUP(R3284,REGRAS!$B$2:$C$13,2,0),""))</f>
        <v/>
      </c>
    </row>
    <row r="3285">
      <c r="T3285" s="258">
        <f>IF(R3285="","",IFERROR(TODAY()+VLOOKUP(R3285,REGRAS!$B$2:$C$13,2,0),""))</f>
        <v/>
      </c>
    </row>
    <row r="3286">
      <c r="T3286" s="258">
        <f>IF(R3286="","",IFERROR(TODAY()+VLOOKUP(R3286,REGRAS!$B$2:$C$13,2,0),""))</f>
        <v/>
      </c>
    </row>
    <row r="3287">
      <c r="T3287" s="258">
        <f>IF(R3287="","",IFERROR(TODAY()+VLOOKUP(R3287,REGRAS!$B$2:$C$13,2,0),""))</f>
        <v/>
      </c>
    </row>
    <row r="3288">
      <c r="T3288" s="258">
        <f>IF(R3288="","",IFERROR(TODAY()+VLOOKUP(R3288,REGRAS!$B$2:$C$13,2,0),""))</f>
        <v/>
      </c>
    </row>
    <row r="3289">
      <c r="T3289" s="258">
        <f>IF(R3289="","",IFERROR(TODAY()+VLOOKUP(R3289,REGRAS!$B$2:$C$13,2,0),""))</f>
        <v/>
      </c>
    </row>
    <row r="3290">
      <c r="T3290" s="258">
        <f>IF(R3290="","",IFERROR(TODAY()+VLOOKUP(R3290,REGRAS!$B$2:$C$13,2,0),""))</f>
        <v/>
      </c>
    </row>
    <row r="3291">
      <c r="T3291" s="258">
        <f>IF(R3291="","",IFERROR(TODAY()+VLOOKUP(R3291,REGRAS!$B$2:$C$13,2,0),""))</f>
        <v/>
      </c>
    </row>
    <row r="3292">
      <c r="T3292" s="258">
        <f>IF(R3292="","",IFERROR(TODAY()+VLOOKUP(R3292,REGRAS!$B$2:$C$13,2,0),""))</f>
        <v/>
      </c>
    </row>
    <row r="3293">
      <c r="T3293" s="258">
        <f>IF(R3293="","",IFERROR(TODAY()+VLOOKUP(R3293,REGRAS!$B$2:$C$13,2,0),""))</f>
        <v/>
      </c>
    </row>
    <row r="3294">
      <c r="T3294" s="258">
        <f>IF(R3294="","",IFERROR(TODAY()+VLOOKUP(R3294,REGRAS!$B$2:$C$13,2,0),""))</f>
        <v/>
      </c>
    </row>
    <row r="3295">
      <c r="T3295" s="258">
        <f>IF(R3295="","",IFERROR(TODAY()+VLOOKUP(R3295,REGRAS!$B$2:$C$13,2,0),""))</f>
        <v/>
      </c>
    </row>
    <row r="3296">
      <c r="T3296" s="258">
        <f>IF(R3296="","",IFERROR(TODAY()+VLOOKUP(R3296,REGRAS!$B$2:$C$13,2,0),""))</f>
        <v/>
      </c>
    </row>
    <row r="3297">
      <c r="T3297" s="258">
        <f>IF(R3297="","",IFERROR(TODAY()+VLOOKUP(R3297,REGRAS!$B$2:$C$13,2,0),""))</f>
        <v/>
      </c>
    </row>
    <row r="3298">
      <c r="T3298" s="258">
        <f>IF(R3298="","",IFERROR(TODAY()+VLOOKUP(R3298,REGRAS!$B$2:$C$13,2,0),""))</f>
        <v/>
      </c>
    </row>
    <row r="3299">
      <c r="T3299" s="258">
        <f>IF(R3299="","",IFERROR(TODAY()+VLOOKUP(R3299,REGRAS!$B$2:$C$13,2,0),""))</f>
        <v/>
      </c>
    </row>
    <row r="3300">
      <c r="T3300" s="258">
        <f>IF(R3300="","",IFERROR(TODAY()+VLOOKUP(R3300,REGRAS!$B$2:$C$13,2,0),""))</f>
        <v/>
      </c>
    </row>
    <row r="3301">
      <c r="T3301" s="258">
        <f>IF(R3301="","",IFERROR(TODAY()+VLOOKUP(R3301,REGRAS!$B$2:$C$13,2,0),""))</f>
        <v/>
      </c>
    </row>
    <row r="3302">
      <c r="T3302" s="258">
        <f>IF(R3302="","",IFERROR(TODAY()+VLOOKUP(R3302,REGRAS!$B$2:$C$13,2,0),""))</f>
        <v/>
      </c>
    </row>
    <row r="3303">
      <c r="T3303" s="258">
        <f>IF(R3303="","",IFERROR(TODAY()+VLOOKUP(R3303,REGRAS!$B$2:$C$13,2,0),""))</f>
        <v/>
      </c>
    </row>
    <row r="3304">
      <c r="T3304" s="258">
        <f>IF(R3304="","",IFERROR(TODAY()+VLOOKUP(R3304,REGRAS!$B$2:$C$13,2,0),""))</f>
        <v/>
      </c>
    </row>
    <row r="3305">
      <c r="T3305" s="258">
        <f>IF(R3305="","",IFERROR(TODAY()+VLOOKUP(R3305,REGRAS!$B$2:$C$13,2,0),""))</f>
        <v/>
      </c>
    </row>
    <row r="3306">
      <c r="T3306" s="258">
        <f>IF(R3306="","",IFERROR(TODAY()+VLOOKUP(R3306,REGRAS!$B$2:$C$13,2,0),""))</f>
        <v/>
      </c>
    </row>
    <row r="3307">
      <c r="T3307" s="258">
        <f>IF(R3307="","",IFERROR(TODAY()+VLOOKUP(R3307,REGRAS!$B$2:$C$13,2,0),""))</f>
        <v/>
      </c>
    </row>
    <row r="3308">
      <c r="T3308" s="258">
        <f>IF(R3308="","",IFERROR(TODAY()+VLOOKUP(R3308,REGRAS!$B$2:$C$13,2,0),""))</f>
        <v/>
      </c>
    </row>
    <row r="3309">
      <c r="T3309" s="258">
        <f>IF(R3309="","",IFERROR(TODAY()+VLOOKUP(R3309,REGRAS!$B$2:$C$13,2,0),""))</f>
        <v/>
      </c>
    </row>
    <row r="3310">
      <c r="T3310" s="258">
        <f>IF(R3310="","",IFERROR(TODAY()+VLOOKUP(R3310,REGRAS!$B$2:$C$13,2,0),""))</f>
        <v/>
      </c>
    </row>
    <row r="3311">
      <c r="T3311" s="258">
        <f>IF(R3311="","",IFERROR(TODAY()+VLOOKUP(R3311,REGRAS!$B$2:$C$13,2,0),""))</f>
        <v/>
      </c>
    </row>
    <row r="3312">
      <c r="T3312" s="258">
        <f>IF(R3312="","",IFERROR(TODAY()+VLOOKUP(R3312,REGRAS!$B$2:$C$13,2,0),""))</f>
        <v/>
      </c>
    </row>
    <row r="3313">
      <c r="T3313" s="258">
        <f>IF(R3313="","",IFERROR(TODAY()+VLOOKUP(R3313,REGRAS!$B$2:$C$13,2,0),""))</f>
        <v/>
      </c>
    </row>
    <row r="3314">
      <c r="T3314" s="258">
        <f>IF(R3314="","",IFERROR(TODAY()+VLOOKUP(R3314,REGRAS!$B$2:$C$13,2,0),""))</f>
        <v/>
      </c>
    </row>
    <row r="3315">
      <c r="T3315" s="258">
        <f>IF(R3315="","",IFERROR(TODAY()+VLOOKUP(R3315,REGRAS!$B$2:$C$13,2,0),""))</f>
        <v/>
      </c>
    </row>
    <row r="3316">
      <c r="T3316" s="258">
        <f>IF(R3316="","",IFERROR(TODAY()+VLOOKUP(R3316,REGRAS!$B$2:$C$13,2,0),""))</f>
        <v/>
      </c>
    </row>
    <row r="3317">
      <c r="T3317" s="258">
        <f>IF(R3317="","",IFERROR(TODAY()+VLOOKUP(R3317,REGRAS!$B$2:$C$13,2,0),""))</f>
        <v/>
      </c>
    </row>
    <row r="3318">
      <c r="T3318" s="258">
        <f>IF(R3318="","",IFERROR(TODAY()+VLOOKUP(R3318,REGRAS!$B$2:$C$13,2,0),""))</f>
        <v/>
      </c>
    </row>
    <row r="3319">
      <c r="T3319" s="258">
        <f>IF(R3319="","",IFERROR(TODAY()+VLOOKUP(R3319,REGRAS!$B$2:$C$13,2,0),""))</f>
        <v/>
      </c>
    </row>
    <row r="3320">
      <c r="T3320" s="258">
        <f>IF(R3320="","",IFERROR(TODAY()+VLOOKUP(R3320,REGRAS!$B$2:$C$13,2,0),""))</f>
        <v/>
      </c>
    </row>
    <row r="3321">
      <c r="T3321" s="258">
        <f>IF(R3321="","",IFERROR(TODAY()+VLOOKUP(R3321,REGRAS!$B$2:$C$13,2,0),""))</f>
        <v/>
      </c>
    </row>
    <row r="3322">
      <c r="T3322" s="258">
        <f>IF(R3322="","",IFERROR(TODAY()+VLOOKUP(R3322,REGRAS!$B$2:$C$13,2,0),""))</f>
        <v/>
      </c>
    </row>
    <row r="3323">
      <c r="T3323" s="258">
        <f>IF(R3323="","",IFERROR(TODAY()+VLOOKUP(R3323,REGRAS!$B$2:$C$13,2,0),""))</f>
        <v/>
      </c>
    </row>
    <row r="3324">
      <c r="T3324" s="258">
        <f>IF(R3324="","",IFERROR(TODAY()+VLOOKUP(R3324,REGRAS!$B$2:$C$13,2,0),""))</f>
        <v/>
      </c>
    </row>
    <row r="3325">
      <c r="T3325" s="258">
        <f>IF(R3325="","",IFERROR(TODAY()+VLOOKUP(R3325,REGRAS!$B$2:$C$13,2,0),""))</f>
        <v/>
      </c>
    </row>
    <row r="3326">
      <c r="T3326" s="258">
        <f>IF(R3326="","",IFERROR(TODAY()+VLOOKUP(R3326,REGRAS!$B$2:$C$13,2,0),""))</f>
        <v/>
      </c>
    </row>
    <row r="3327">
      <c r="T3327" s="258">
        <f>IF(R3327="","",IFERROR(TODAY()+VLOOKUP(R3327,REGRAS!$B$2:$C$13,2,0),""))</f>
        <v/>
      </c>
    </row>
    <row r="3328">
      <c r="T3328" s="258">
        <f>IF(R3328="","",IFERROR(TODAY()+VLOOKUP(R3328,REGRAS!$B$2:$C$13,2,0),""))</f>
        <v/>
      </c>
    </row>
    <row r="3329">
      <c r="T3329" s="258">
        <f>IF(R3329="","",IFERROR(TODAY()+VLOOKUP(R3329,REGRAS!$B$2:$C$13,2,0),""))</f>
        <v/>
      </c>
    </row>
    <row r="3330">
      <c r="T3330" s="258">
        <f>IF(R3330="","",IFERROR(TODAY()+VLOOKUP(R3330,REGRAS!$B$2:$C$13,2,0),""))</f>
        <v/>
      </c>
    </row>
    <row r="3331">
      <c r="T3331" s="258">
        <f>IF(R3331="","",IFERROR(TODAY()+VLOOKUP(R3331,REGRAS!$B$2:$C$13,2,0),""))</f>
        <v/>
      </c>
    </row>
    <row r="3332">
      <c r="T3332" s="258">
        <f>IF(R3332="","",IFERROR(TODAY()+VLOOKUP(R3332,REGRAS!$B$2:$C$13,2,0),""))</f>
        <v/>
      </c>
    </row>
    <row r="3333">
      <c r="T3333" s="258">
        <f>IF(R3333="","",IFERROR(TODAY()+VLOOKUP(R3333,REGRAS!$B$2:$C$13,2,0),""))</f>
        <v/>
      </c>
    </row>
    <row r="3334">
      <c r="T3334" s="258">
        <f>IF(R3334="","",IFERROR(TODAY()+VLOOKUP(R3334,REGRAS!$B$2:$C$13,2,0),""))</f>
        <v/>
      </c>
    </row>
    <row r="3335">
      <c r="T3335" s="258">
        <f>IF(R3335="","",IFERROR(TODAY()+VLOOKUP(R3335,REGRAS!$B$2:$C$13,2,0),""))</f>
        <v/>
      </c>
    </row>
    <row r="3336">
      <c r="T3336" s="258">
        <f>IF(R3336="","",IFERROR(TODAY()+VLOOKUP(R3336,REGRAS!$B$2:$C$13,2,0),""))</f>
        <v/>
      </c>
    </row>
    <row r="3337">
      <c r="T3337" s="258">
        <f>IF(R3337="","",IFERROR(TODAY()+VLOOKUP(R3337,REGRAS!$B$2:$C$13,2,0),""))</f>
        <v/>
      </c>
    </row>
    <row r="3338">
      <c r="T3338" s="258">
        <f>IF(R3338="","",IFERROR(TODAY()+VLOOKUP(R3338,REGRAS!$B$2:$C$13,2,0),""))</f>
        <v/>
      </c>
    </row>
    <row r="3339">
      <c r="T3339" s="258">
        <f>IF(R3339="","",IFERROR(TODAY()+VLOOKUP(R3339,REGRAS!$B$2:$C$13,2,0),""))</f>
        <v/>
      </c>
    </row>
    <row r="3340">
      <c r="T3340" s="258">
        <f>IF(R3340="","",IFERROR(TODAY()+VLOOKUP(R3340,REGRAS!$B$2:$C$13,2,0),""))</f>
        <v/>
      </c>
    </row>
    <row r="3341">
      <c r="T3341" s="258">
        <f>IF(R3341="","",IFERROR(TODAY()+VLOOKUP(R3341,REGRAS!$B$2:$C$13,2,0),""))</f>
        <v/>
      </c>
    </row>
    <row r="3342">
      <c r="T3342" s="258">
        <f>IF(R3342="","",IFERROR(TODAY()+VLOOKUP(R3342,REGRAS!$B$2:$C$13,2,0),""))</f>
        <v/>
      </c>
    </row>
    <row r="3343">
      <c r="T3343" s="258">
        <f>IF(R3343="","",IFERROR(TODAY()+VLOOKUP(R3343,REGRAS!$B$2:$C$13,2,0),""))</f>
        <v/>
      </c>
    </row>
    <row r="3344">
      <c r="T3344" s="258">
        <f>IF(R3344="","",IFERROR(TODAY()+VLOOKUP(R3344,REGRAS!$B$2:$C$13,2,0),""))</f>
        <v/>
      </c>
    </row>
    <row r="3345">
      <c r="T3345" s="258">
        <f>IF(R3345="","",IFERROR(TODAY()+VLOOKUP(R3345,REGRAS!$B$2:$C$13,2,0),""))</f>
        <v/>
      </c>
    </row>
    <row r="3346">
      <c r="T3346" s="258">
        <f>IF(R3346="","",IFERROR(TODAY()+VLOOKUP(R3346,REGRAS!$B$2:$C$13,2,0),""))</f>
        <v/>
      </c>
    </row>
    <row r="3347">
      <c r="T3347" s="258">
        <f>IF(R3347="","",IFERROR(TODAY()+VLOOKUP(R3347,REGRAS!$B$2:$C$13,2,0),""))</f>
        <v/>
      </c>
    </row>
    <row r="3348">
      <c r="T3348" s="258">
        <f>IF(R3348="","",IFERROR(TODAY()+VLOOKUP(R3348,REGRAS!$B$2:$C$13,2,0),""))</f>
        <v/>
      </c>
    </row>
    <row r="3349">
      <c r="T3349" s="258">
        <f>IF(R3349="","",IFERROR(TODAY()+VLOOKUP(R3349,REGRAS!$B$2:$C$13,2,0),""))</f>
        <v/>
      </c>
    </row>
    <row r="3350">
      <c r="T3350" s="258">
        <f>IF(R3350="","",IFERROR(TODAY()+VLOOKUP(R3350,REGRAS!$B$2:$C$13,2,0),""))</f>
        <v/>
      </c>
    </row>
    <row r="3351">
      <c r="T3351" s="258">
        <f>IF(R3351="","",IFERROR(TODAY()+VLOOKUP(R3351,REGRAS!$B$2:$C$13,2,0),""))</f>
        <v/>
      </c>
    </row>
    <row r="3352">
      <c r="T3352" s="258">
        <f>IF(R3352="","",IFERROR(TODAY()+VLOOKUP(R3352,REGRAS!$B$2:$C$13,2,0),""))</f>
        <v/>
      </c>
    </row>
    <row r="3353">
      <c r="T3353" s="258">
        <f>IF(R3353="","",IFERROR(TODAY()+VLOOKUP(R3353,REGRAS!$B$2:$C$13,2,0),""))</f>
        <v/>
      </c>
    </row>
    <row r="3354">
      <c r="T3354" s="258">
        <f>IF(R3354="","",IFERROR(TODAY()+VLOOKUP(R3354,REGRAS!$B$2:$C$13,2,0),""))</f>
        <v/>
      </c>
    </row>
    <row r="3355">
      <c r="T3355" s="258">
        <f>IF(R3355="","",IFERROR(TODAY()+VLOOKUP(R3355,REGRAS!$B$2:$C$13,2,0),""))</f>
        <v/>
      </c>
    </row>
    <row r="3356">
      <c r="T3356" s="258">
        <f>IF(R3356="","",IFERROR(TODAY()+VLOOKUP(R3356,REGRAS!$B$2:$C$13,2,0),""))</f>
        <v/>
      </c>
    </row>
    <row r="3357">
      <c r="T3357" s="258">
        <f>IF(R3357="","",IFERROR(TODAY()+VLOOKUP(R3357,REGRAS!$B$2:$C$13,2,0),""))</f>
        <v/>
      </c>
    </row>
    <row r="3358">
      <c r="T3358" s="258">
        <f>IF(R3358="","",IFERROR(TODAY()+VLOOKUP(R3358,REGRAS!$B$2:$C$13,2,0),""))</f>
        <v/>
      </c>
    </row>
    <row r="3359">
      <c r="T3359" s="258">
        <f>IF(R3359="","",IFERROR(TODAY()+VLOOKUP(R3359,REGRAS!$B$2:$C$13,2,0),""))</f>
        <v/>
      </c>
    </row>
    <row r="3360">
      <c r="T3360" s="258">
        <f>IF(R3360="","",IFERROR(TODAY()+VLOOKUP(R3360,REGRAS!$B$2:$C$13,2,0),""))</f>
        <v/>
      </c>
    </row>
    <row r="3361">
      <c r="T3361" s="258">
        <f>IF(R3361="","",IFERROR(TODAY()+VLOOKUP(R3361,REGRAS!$B$2:$C$13,2,0),""))</f>
        <v/>
      </c>
    </row>
    <row r="3362">
      <c r="T3362" s="258">
        <f>IF(R3362="","",IFERROR(TODAY()+VLOOKUP(R3362,REGRAS!$B$2:$C$13,2,0),""))</f>
        <v/>
      </c>
    </row>
    <row r="3363">
      <c r="T3363" s="258">
        <f>IF(R3363="","",IFERROR(TODAY()+VLOOKUP(R3363,REGRAS!$B$2:$C$13,2,0),""))</f>
        <v/>
      </c>
    </row>
    <row r="3364">
      <c r="T3364" s="258">
        <f>IF(R3364="","",IFERROR(TODAY()+VLOOKUP(R3364,REGRAS!$B$2:$C$13,2,0),""))</f>
        <v/>
      </c>
    </row>
    <row r="3365">
      <c r="T3365" s="258">
        <f>IF(R3365="","",IFERROR(TODAY()+VLOOKUP(R3365,REGRAS!$B$2:$C$13,2,0),""))</f>
        <v/>
      </c>
    </row>
    <row r="3366">
      <c r="T3366" s="258">
        <f>IF(R3366="","",IFERROR(TODAY()+VLOOKUP(R3366,REGRAS!$B$2:$C$13,2,0),""))</f>
        <v/>
      </c>
    </row>
    <row r="3367">
      <c r="T3367" s="258">
        <f>IF(R3367="","",IFERROR(TODAY()+VLOOKUP(R3367,REGRAS!$B$2:$C$13,2,0),""))</f>
        <v/>
      </c>
    </row>
    <row r="3368">
      <c r="T3368" s="258">
        <f>IF(R3368="","",IFERROR(TODAY()+VLOOKUP(R3368,REGRAS!$B$2:$C$13,2,0),""))</f>
        <v/>
      </c>
    </row>
    <row r="3369">
      <c r="T3369" s="258">
        <f>IF(R3369="","",IFERROR(TODAY()+VLOOKUP(R3369,REGRAS!$B$2:$C$13,2,0),""))</f>
        <v/>
      </c>
    </row>
    <row r="3370">
      <c r="T3370" s="258">
        <f>IF(R3370="","",IFERROR(TODAY()+VLOOKUP(R3370,REGRAS!$B$2:$C$13,2,0),""))</f>
        <v/>
      </c>
    </row>
    <row r="3371">
      <c r="T3371" s="258">
        <f>IF(R3371="","",IFERROR(TODAY()+VLOOKUP(R3371,REGRAS!$B$2:$C$13,2,0),""))</f>
        <v/>
      </c>
    </row>
    <row r="3372">
      <c r="T3372" s="258">
        <f>IF(R3372="","",IFERROR(TODAY()+VLOOKUP(R3372,REGRAS!$B$2:$C$13,2,0),""))</f>
        <v/>
      </c>
    </row>
    <row r="3373">
      <c r="T3373" s="258">
        <f>IF(R3373="","",IFERROR(TODAY()+VLOOKUP(R3373,REGRAS!$B$2:$C$13,2,0),""))</f>
        <v/>
      </c>
    </row>
    <row r="3374">
      <c r="T3374" s="258">
        <f>IF(R3374="","",IFERROR(TODAY()+VLOOKUP(R3374,REGRAS!$B$2:$C$13,2,0),""))</f>
        <v/>
      </c>
    </row>
    <row r="3375">
      <c r="T3375" s="258">
        <f>IF(R3375="","",IFERROR(TODAY()+VLOOKUP(R3375,REGRAS!$B$2:$C$13,2,0),""))</f>
        <v/>
      </c>
    </row>
    <row r="3376">
      <c r="T3376" s="258">
        <f>IF(R3376="","",IFERROR(TODAY()+VLOOKUP(R3376,REGRAS!$B$2:$C$13,2,0),""))</f>
        <v/>
      </c>
    </row>
    <row r="3377">
      <c r="T3377" s="258">
        <f>IF(R3377="","",IFERROR(TODAY()+VLOOKUP(R3377,REGRAS!$B$2:$C$13,2,0),""))</f>
        <v/>
      </c>
    </row>
    <row r="3378">
      <c r="T3378" s="258">
        <f>IF(R3378="","",IFERROR(TODAY()+VLOOKUP(R3378,REGRAS!$B$2:$C$13,2,0),""))</f>
        <v/>
      </c>
    </row>
    <row r="3379">
      <c r="T3379" s="258">
        <f>IF(R3379="","",IFERROR(TODAY()+VLOOKUP(R3379,REGRAS!$B$2:$C$13,2,0),""))</f>
        <v/>
      </c>
    </row>
    <row r="3380">
      <c r="T3380" s="258">
        <f>IF(R3380="","",IFERROR(TODAY()+VLOOKUP(R3380,REGRAS!$B$2:$C$13,2,0),""))</f>
        <v/>
      </c>
    </row>
    <row r="3381">
      <c r="T3381" s="258">
        <f>IF(R3381="","",IFERROR(TODAY()+VLOOKUP(R3381,REGRAS!$B$2:$C$13,2,0),""))</f>
        <v/>
      </c>
    </row>
    <row r="3382">
      <c r="T3382" s="258">
        <f>IF(R3382="","",IFERROR(TODAY()+VLOOKUP(R3382,REGRAS!$B$2:$C$13,2,0),""))</f>
        <v/>
      </c>
    </row>
    <row r="3383">
      <c r="T3383" s="258">
        <f>IF(R3383="","",IFERROR(TODAY()+VLOOKUP(R3383,REGRAS!$B$2:$C$13,2,0),""))</f>
        <v/>
      </c>
    </row>
    <row r="3384">
      <c r="T3384" s="258">
        <f>IF(R3384="","",IFERROR(TODAY()+VLOOKUP(R3384,REGRAS!$B$2:$C$13,2,0),""))</f>
        <v/>
      </c>
    </row>
    <row r="3385">
      <c r="T3385" s="258">
        <f>IF(R3385="","",IFERROR(TODAY()+VLOOKUP(R3385,REGRAS!$B$2:$C$13,2,0),""))</f>
        <v/>
      </c>
    </row>
    <row r="3386">
      <c r="T3386" s="258">
        <f>IF(R3386="","",IFERROR(TODAY()+VLOOKUP(R3386,REGRAS!$B$2:$C$13,2,0),""))</f>
        <v/>
      </c>
    </row>
    <row r="3387">
      <c r="T3387" s="258">
        <f>IF(R3387="","",IFERROR(TODAY()+VLOOKUP(R3387,REGRAS!$B$2:$C$13,2,0),""))</f>
        <v/>
      </c>
    </row>
    <row r="3388">
      <c r="T3388" s="258">
        <f>IF(R3388="","",IFERROR(TODAY()+VLOOKUP(R3388,REGRAS!$B$2:$C$13,2,0),""))</f>
        <v/>
      </c>
    </row>
    <row r="3389">
      <c r="T3389" s="258">
        <f>IF(R3389="","",IFERROR(TODAY()+VLOOKUP(R3389,REGRAS!$B$2:$C$13,2,0),""))</f>
        <v/>
      </c>
    </row>
    <row r="3390">
      <c r="T3390" s="258">
        <f>IF(R3390="","",IFERROR(TODAY()+VLOOKUP(R3390,REGRAS!$B$2:$C$13,2,0),""))</f>
        <v/>
      </c>
    </row>
    <row r="3391">
      <c r="T3391" s="258">
        <f>IF(R3391="","",IFERROR(TODAY()+VLOOKUP(R3391,REGRAS!$B$2:$C$13,2,0),""))</f>
        <v/>
      </c>
    </row>
    <row r="3392">
      <c r="T3392" s="258">
        <f>IF(R3392="","",IFERROR(TODAY()+VLOOKUP(R3392,REGRAS!$B$2:$C$13,2,0),""))</f>
        <v/>
      </c>
    </row>
    <row r="3393">
      <c r="T3393" s="258">
        <f>IF(R3393="","",IFERROR(TODAY()+VLOOKUP(R3393,REGRAS!$B$2:$C$13,2,0),""))</f>
        <v/>
      </c>
    </row>
    <row r="3394">
      <c r="T3394" s="258">
        <f>IF(R3394="","",IFERROR(TODAY()+VLOOKUP(R3394,REGRAS!$B$2:$C$13,2,0),""))</f>
        <v/>
      </c>
    </row>
    <row r="3395">
      <c r="T3395" s="258">
        <f>IF(R3395="","",IFERROR(TODAY()+VLOOKUP(R3395,REGRAS!$B$2:$C$13,2,0),""))</f>
        <v/>
      </c>
    </row>
    <row r="3396">
      <c r="T3396" s="258">
        <f>IF(R3396="","",IFERROR(TODAY()+VLOOKUP(R3396,REGRAS!$B$2:$C$13,2,0),""))</f>
        <v/>
      </c>
    </row>
    <row r="3397">
      <c r="T3397" s="258">
        <f>IF(R3397="","",IFERROR(TODAY()+VLOOKUP(R3397,REGRAS!$B$2:$C$13,2,0),""))</f>
        <v/>
      </c>
    </row>
    <row r="3398">
      <c r="T3398" s="258">
        <f>IF(R3398="","",IFERROR(TODAY()+VLOOKUP(R3398,REGRAS!$B$2:$C$13,2,0),""))</f>
        <v/>
      </c>
    </row>
    <row r="3399">
      <c r="T3399" s="258">
        <f>IF(R3399="","",IFERROR(TODAY()+VLOOKUP(R3399,REGRAS!$B$2:$C$13,2,0),""))</f>
        <v/>
      </c>
    </row>
    <row r="3400">
      <c r="T3400" s="258">
        <f>IF(R3400="","",IFERROR(TODAY()+VLOOKUP(R3400,REGRAS!$B$2:$C$13,2,0),""))</f>
        <v/>
      </c>
    </row>
    <row r="3401">
      <c r="T3401" s="258">
        <f>IF(R3401="","",IFERROR(TODAY()+VLOOKUP(R3401,REGRAS!$B$2:$C$13,2,0),""))</f>
        <v/>
      </c>
    </row>
    <row r="3402">
      <c r="T3402" s="258">
        <f>IF(R3402="","",IFERROR(TODAY()+VLOOKUP(R3402,REGRAS!$B$2:$C$13,2,0),""))</f>
        <v/>
      </c>
    </row>
    <row r="3403">
      <c r="T3403" s="258">
        <f>IF(R3403="","",IFERROR(TODAY()+VLOOKUP(R3403,REGRAS!$B$2:$C$13,2,0),""))</f>
        <v/>
      </c>
    </row>
    <row r="3404">
      <c r="T3404" s="258">
        <f>IF(R3404="","",IFERROR(TODAY()+VLOOKUP(R3404,REGRAS!$B$2:$C$13,2,0),""))</f>
        <v/>
      </c>
    </row>
    <row r="3405">
      <c r="T3405" s="258">
        <f>IF(R3405="","",IFERROR(TODAY()+VLOOKUP(R3405,REGRAS!$B$2:$C$13,2,0),""))</f>
        <v/>
      </c>
    </row>
    <row r="3406">
      <c r="T3406" s="258">
        <f>IF(R3406="","",IFERROR(TODAY()+VLOOKUP(R3406,REGRAS!$B$2:$C$13,2,0),""))</f>
        <v/>
      </c>
    </row>
    <row r="3407">
      <c r="T3407" s="258">
        <f>IF(R3407="","",IFERROR(TODAY()+VLOOKUP(R3407,REGRAS!$B$2:$C$13,2,0),""))</f>
        <v/>
      </c>
    </row>
    <row r="3408">
      <c r="T3408" s="258">
        <f>IF(R3408="","",IFERROR(TODAY()+VLOOKUP(R3408,REGRAS!$B$2:$C$13,2,0),""))</f>
        <v/>
      </c>
    </row>
    <row r="3409">
      <c r="T3409" s="258">
        <f>IF(R3409="","",IFERROR(TODAY()+VLOOKUP(R3409,REGRAS!$B$2:$C$13,2,0),""))</f>
        <v/>
      </c>
    </row>
    <row r="3410">
      <c r="T3410" s="258">
        <f>IF(R3410="","",IFERROR(TODAY()+VLOOKUP(R3410,REGRAS!$B$2:$C$13,2,0),""))</f>
        <v/>
      </c>
    </row>
    <row r="3411">
      <c r="T3411" s="258">
        <f>IF(R3411="","",IFERROR(TODAY()+VLOOKUP(R3411,REGRAS!$B$2:$C$13,2,0),""))</f>
        <v/>
      </c>
    </row>
    <row r="3412">
      <c r="T3412" s="258">
        <f>IF(R3412="","",IFERROR(TODAY()+VLOOKUP(R3412,REGRAS!$B$2:$C$13,2,0),""))</f>
        <v/>
      </c>
    </row>
    <row r="3413">
      <c r="T3413" s="258">
        <f>IF(R3413="","",IFERROR(TODAY()+VLOOKUP(R3413,REGRAS!$B$2:$C$13,2,0),""))</f>
        <v/>
      </c>
    </row>
    <row r="3414">
      <c r="T3414" s="258">
        <f>IF(R3414="","",IFERROR(TODAY()+VLOOKUP(R3414,REGRAS!$B$2:$C$13,2,0),""))</f>
        <v/>
      </c>
    </row>
    <row r="3415">
      <c r="T3415" s="258">
        <f>IF(R3415="","",IFERROR(TODAY()+VLOOKUP(R3415,REGRAS!$B$2:$C$13,2,0),""))</f>
        <v/>
      </c>
    </row>
    <row r="3416">
      <c r="T3416" s="258">
        <f>IF(R3416="","",IFERROR(TODAY()+VLOOKUP(R3416,REGRAS!$B$2:$C$13,2,0),""))</f>
        <v/>
      </c>
    </row>
    <row r="3417">
      <c r="T3417" s="258">
        <f>IF(R3417="","",IFERROR(TODAY()+VLOOKUP(R3417,REGRAS!$B$2:$C$13,2,0),""))</f>
        <v/>
      </c>
    </row>
    <row r="3418">
      <c r="T3418" s="258">
        <f>IF(R3418="","",IFERROR(TODAY()+VLOOKUP(R3418,REGRAS!$B$2:$C$13,2,0),""))</f>
        <v/>
      </c>
    </row>
    <row r="3419">
      <c r="T3419" s="258">
        <f>IF(R3419="","",IFERROR(TODAY()+VLOOKUP(R3419,REGRAS!$B$2:$C$13,2,0),""))</f>
        <v/>
      </c>
    </row>
    <row r="3420">
      <c r="T3420" s="258">
        <f>IF(R3420="","",IFERROR(TODAY()+VLOOKUP(R3420,REGRAS!$B$2:$C$13,2,0),""))</f>
        <v/>
      </c>
    </row>
    <row r="3421">
      <c r="T3421" s="258">
        <f>IF(R3421="","",IFERROR(TODAY()+VLOOKUP(R3421,REGRAS!$B$2:$C$13,2,0),""))</f>
        <v/>
      </c>
    </row>
    <row r="3422">
      <c r="T3422" s="258">
        <f>IF(R3422="","",IFERROR(TODAY()+VLOOKUP(R3422,REGRAS!$B$2:$C$13,2,0),""))</f>
        <v/>
      </c>
    </row>
    <row r="3423">
      <c r="T3423" s="258">
        <f>IF(R3423="","",IFERROR(TODAY()+VLOOKUP(R3423,REGRAS!$B$2:$C$13,2,0),""))</f>
        <v/>
      </c>
    </row>
    <row r="3424">
      <c r="T3424" s="258">
        <f>IF(R3424="","",IFERROR(TODAY()+VLOOKUP(R3424,REGRAS!$B$2:$C$13,2,0),""))</f>
        <v/>
      </c>
    </row>
    <row r="3425">
      <c r="T3425" s="258">
        <f>IF(R3425="","",IFERROR(TODAY()+VLOOKUP(R3425,REGRAS!$B$2:$C$13,2,0),""))</f>
        <v/>
      </c>
    </row>
    <row r="3426">
      <c r="T3426" s="258">
        <f>IF(R3426="","",IFERROR(TODAY()+VLOOKUP(R3426,REGRAS!$B$2:$C$13,2,0),""))</f>
        <v/>
      </c>
    </row>
    <row r="3427">
      <c r="T3427" s="258">
        <f>IF(R3427="","",IFERROR(TODAY()+VLOOKUP(R3427,REGRAS!$B$2:$C$13,2,0),""))</f>
        <v/>
      </c>
    </row>
    <row r="3428">
      <c r="T3428" s="258">
        <f>IF(R3428="","",IFERROR(TODAY()+VLOOKUP(R3428,REGRAS!$B$2:$C$13,2,0),""))</f>
        <v/>
      </c>
    </row>
    <row r="3429">
      <c r="T3429" s="258">
        <f>IF(R3429="","",IFERROR(TODAY()+VLOOKUP(R3429,REGRAS!$B$2:$C$13,2,0),""))</f>
        <v/>
      </c>
    </row>
    <row r="3430">
      <c r="T3430" s="258">
        <f>IF(R3430="","",IFERROR(TODAY()+VLOOKUP(R3430,REGRAS!$B$2:$C$13,2,0),""))</f>
        <v/>
      </c>
    </row>
    <row r="3431">
      <c r="T3431" s="258">
        <f>IF(R3431="","",IFERROR(TODAY()+VLOOKUP(R3431,REGRAS!$B$2:$C$13,2,0),""))</f>
        <v/>
      </c>
    </row>
    <row r="3432">
      <c r="T3432" s="258">
        <f>IF(R3432="","",IFERROR(TODAY()+VLOOKUP(R3432,REGRAS!$B$2:$C$13,2,0),""))</f>
        <v/>
      </c>
    </row>
    <row r="3433">
      <c r="T3433" s="258">
        <f>IF(R3433="","",IFERROR(TODAY()+VLOOKUP(R3433,REGRAS!$B$2:$C$13,2,0),""))</f>
        <v/>
      </c>
    </row>
    <row r="3434">
      <c r="T3434" s="258">
        <f>IF(R3434="","",IFERROR(TODAY()+VLOOKUP(R3434,REGRAS!$B$2:$C$13,2,0),""))</f>
        <v/>
      </c>
    </row>
    <row r="3435">
      <c r="T3435" s="258">
        <f>IF(R3435="","",IFERROR(TODAY()+VLOOKUP(R3435,REGRAS!$B$2:$C$13,2,0),""))</f>
        <v/>
      </c>
    </row>
    <row r="3436">
      <c r="T3436" s="258">
        <f>IF(R3436="","",IFERROR(TODAY()+VLOOKUP(R3436,REGRAS!$B$2:$C$13,2,0),""))</f>
        <v/>
      </c>
    </row>
    <row r="3437">
      <c r="T3437" s="258">
        <f>IF(R3437="","",IFERROR(TODAY()+VLOOKUP(R3437,REGRAS!$B$2:$C$13,2,0),""))</f>
        <v/>
      </c>
    </row>
    <row r="3438">
      <c r="T3438" s="258">
        <f>IF(R3438="","",IFERROR(TODAY()+VLOOKUP(R3438,REGRAS!$B$2:$C$13,2,0),""))</f>
        <v/>
      </c>
    </row>
    <row r="3439">
      <c r="T3439" s="258">
        <f>IF(R3439="","",IFERROR(TODAY()+VLOOKUP(R3439,REGRAS!$B$2:$C$13,2,0),""))</f>
        <v/>
      </c>
    </row>
    <row r="3440">
      <c r="T3440" s="258">
        <f>IF(R3440="","",IFERROR(TODAY()+VLOOKUP(R3440,REGRAS!$B$2:$C$13,2,0),""))</f>
        <v/>
      </c>
    </row>
    <row r="3441">
      <c r="T3441" s="258">
        <f>IF(R3441="","",IFERROR(TODAY()+VLOOKUP(R3441,REGRAS!$B$2:$C$13,2,0),""))</f>
        <v/>
      </c>
    </row>
    <row r="3442">
      <c r="T3442" s="258">
        <f>IF(R3442="","",IFERROR(TODAY()+VLOOKUP(R3442,REGRAS!$B$2:$C$13,2,0),""))</f>
        <v/>
      </c>
    </row>
    <row r="3443">
      <c r="T3443" s="258">
        <f>IF(R3443="","",IFERROR(TODAY()+VLOOKUP(R3443,REGRAS!$B$2:$C$13,2,0),""))</f>
        <v/>
      </c>
    </row>
    <row r="3444">
      <c r="T3444" s="258">
        <f>IF(R3444="","",IFERROR(TODAY()+VLOOKUP(R3444,REGRAS!$B$2:$C$13,2,0),""))</f>
        <v/>
      </c>
    </row>
    <row r="3445">
      <c r="T3445" s="258">
        <f>IF(R3445="","",IFERROR(TODAY()+VLOOKUP(R3445,REGRAS!$B$2:$C$13,2,0),""))</f>
        <v/>
      </c>
    </row>
    <row r="3446">
      <c r="T3446" s="258">
        <f>IF(R3446="","",IFERROR(TODAY()+VLOOKUP(R3446,REGRAS!$B$2:$C$13,2,0),""))</f>
        <v/>
      </c>
    </row>
    <row r="3447">
      <c r="T3447" s="258">
        <f>IF(R3447="","",IFERROR(TODAY()+VLOOKUP(R3447,REGRAS!$B$2:$C$13,2,0),""))</f>
        <v/>
      </c>
    </row>
    <row r="3448">
      <c r="T3448" s="258">
        <f>IF(R3448="","",IFERROR(TODAY()+VLOOKUP(R3448,REGRAS!$B$2:$C$13,2,0),""))</f>
        <v/>
      </c>
    </row>
    <row r="3449">
      <c r="T3449" s="258">
        <f>IF(R3449="","",IFERROR(TODAY()+VLOOKUP(R3449,REGRAS!$B$2:$C$13,2,0),""))</f>
        <v/>
      </c>
    </row>
    <row r="3450">
      <c r="T3450" s="258">
        <f>IF(R3450="","",IFERROR(TODAY()+VLOOKUP(R3450,REGRAS!$B$2:$C$13,2,0),""))</f>
        <v/>
      </c>
    </row>
    <row r="3451">
      <c r="T3451" s="258">
        <f>IF(R3451="","",IFERROR(TODAY()+VLOOKUP(R3451,REGRAS!$B$2:$C$13,2,0),""))</f>
        <v/>
      </c>
    </row>
    <row r="3452">
      <c r="T3452" s="258">
        <f>IF(R3452="","",IFERROR(TODAY()+VLOOKUP(R3452,REGRAS!$B$2:$C$13,2,0),""))</f>
        <v/>
      </c>
    </row>
    <row r="3453">
      <c r="T3453" s="258">
        <f>IF(R3453="","",IFERROR(TODAY()+VLOOKUP(R3453,REGRAS!$B$2:$C$13,2,0),""))</f>
        <v/>
      </c>
    </row>
    <row r="3454">
      <c r="T3454" s="258">
        <f>IF(R3454="","",IFERROR(TODAY()+VLOOKUP(R3454,REGRAS!$B$2:$C$13,2,0),""))</f>
        <v/>
      </c>
    </row>
    <row r="3455">
      <c r="T3455" s="258">
        <f>IF(R3455="","",IFERROR(TODAY()+VLOOKUP(R3455,REGRAS!$B$2:$C$13,2,0),""))</f>
        <v/>
      </c>
    </row>
    <row r="3456">
      <c r="T3456" s="258">
        <f>IF(R3456="","",IFERROR(TODAY()+VLOOKUP(R3456,REGRAS!$B$2:$C$13,2,0),""))</f>
        <v/>
      </c>
    </row>
    <row r="3457">
      <c r="T3457" s="258">
        <f>IF(R3457="","",IFERROR(TODAY()+VLOOKUP(R3457,REGRAS!$B$2:$C$13,2,0),""))</f>
        <v/>
      </c>
    </row>
    <row r="3458">
      <c r="T3458" s="258">
        <f>IF(R3458="","",IFERROR(TODAY()+VLOOKUP(R3458,REGRAS!$B$2:$C$13,2,0),""))</f>
        <v/>
      </c>
    </row>
    <row r="3459">
      <c r="T3459" s="258">
        <f>IF(R3459="","",IFERROR(TODAY()+VLOOKUP(R3459,REGRAS!$B$2:$C$13,2,0),""))</f>
        <v/>
      </c>
    </row>
    <row r="3460">
      <c r="T3460" s="258">
        <f>IF(R3460="","",IFERROR(TODAY()+VLOOKUP(R3460,REGRAS!$B$2:$C$13,2,0),""))</f>
        <v/>
      </c>
    </row>
    <row r="3461">
      <c r="T3461" s="258">
        <f>IF(R3461="","",IFERROR(TODAY()+VLOOKUP(R3461,REGRAS!$B$2:$C$13,2,0),""))</f>
        <v/>
      </c>
    </row>
    <row r="3462">
      <c r="T3462" s="258">
        <f>IF(R3462="","",IFERROR(TODAY()+VLOOKUP(R3462,REGRAS!$B$2:$C$13,2,0),""))</f>
        <v/>
      </c>
    </row>
    <row r="3463">
      <c r="T3463" s="258">
        <f>IF(R3463="","",IFERROR(TODAY()+VLOOKUP(R3463,REGRAS!$B$2:$C$13,2,0),""))</f>
        <v/>
      </c>
    </row>
    <row r="3464">
      <c r="T3464" s="258">
        <f>IF(R3464="","",IFERROR(TODAY()+VLOOKUP(R3464,REGRAS!$B$2:$C$13,2,0),""))</f>
        <v/>
      </c>
    </row>
    <row r="3465">
      <c r="T3465" s="258">
        <f>IF(R3465="","",IFERROR(TODAY()+VLOOKUP(R3465,REGRAS!$B$2:$C$13,2,0),""))</f>
        <v/>
      </c>
    </row>
    <row r="3466">
      <c r="T3466" s="258">
        <f>IF(R3466="","",IFERROR(TODAY()+VLOOKUP(R3466,REGRAS!$B$2:$C$13,2,0),""))</f>
        <v/>
      </c>
    </row>
    <row r="3467">
      <c r="T3467" s="258">
        <f>IF(R3467="","",IFERROR(TODAY()+VLOOKUP(R3467,REGRAS!$B$2:$C$13,2,0),""))</f>
        <v/>
      </c>
    </row>
    <row r="3468">
      <c r="T3468" s="258">
        <f>IF(R3468="","",IFERROR(TODAY()+VLOOKUP(R3468,REGRAS!$B$2:$C$13,2,0),""))</f>
        <v/>
      </c>
    </row>
    <row r="3469">
      <c r="T3469" s="258">
        <f>IF(R3469="","",IFERROR(TODAY()+VLOOKUP(R3469,REGRAS!$B$2:$C$13,2,0),""))</f>
        <v/>
      </c>
    </row>
    <row r="3470">
      <c r="T3470" s="258">
        <f>IF(R3470="","",IFERROR(TODAY()+VLOOKUP(R3470,REGRAS!$B$2:$C$13,2,0),""))</f>
        <v/>
      </c>
    </row>
    <row r="3471">
      <c r="T3471" s="258">
        <f>IF(R3471="","",IFERROR(TODAY()+VLOOKUP(R3471,REGRAS!$B$2:$C$13,2,0),""))</f>
        <v/>
      </c>
    </row>
    <row r="3472">
      <c r="T3472" s="258">
        <f>IF(R3472="","",IFERROR(TODAY()+VLOOKUP(R3472,REGRAS!$B$2:$C$13,2,0),""))</f>
        <v/>
      </c>
    </row>
    <row r="3473">
      <c r="T3473" s="258">
        <f>IF(R3473="","",IFERROR(TODAY()+VLOOKUP(R3473,REGRAS!$B$2:$C$13,2,0),""))</f>
        <v/>
      </c>
    </row>
    <row r="3474">
      <c r="T3474" s="258">
        <f>IF(R3474="","",IFERROR(TODAY()+VLOOKUP(R3474,REGRAS!$B$2:$C$13,2,0),""))</f>
        <v/>
      </c>
    </row>
    <row r="3475">
      <c r="T3475" s="258">
        <f>IF(R3475="","",IFERROR(TODAY()+VLOOKUP(R3475,REGRAS!$B$2:$C$13,2,0),""))</f>
        <v/>
      </c>
    </row>
    <row r="3476">
      <c r="T3476" s="258">
        <f>IF(R3476="","",IFERROR(TODAY()+VLOOKUP(R3476,REGRAS!$B$2:$C$13,2,0),""))</f>
        <v/>
      </c>
    </row>
    <row r="3477">
      <c r="T3477" s="258">
        <f>IF(R3477="","",IFERROR(TODAY()+VLOOKUP(R3477,REGRAS!$B$2:$C$13,2,0),""))</f>
        <v/>
      </c>
    </row>
    <row r="3478">
      <c r="T3478" s="258">
        <f>IF(R3478="","",IFERROR(TODAY()+VLOOKUP(R3478,REGRAS!$B$2:$C$13,2,0),""))</f>
        <v/>
      </c>
    </row>
    <row r="3479">
      <c r="T3479" s="258">
        <f>IF(R3479="","",IFERROR(TODAY()+VLOOKUP(R3479,REGRAS!$B$2:$C$13,2,0),""))</f>
        <v/>
      </c>
    </row>
    <row r="3480">
      <c r="T3480" s="258">
        <f>IF(R3480="","",IFERROR(TODAY()+VLOOKUP(R3480,REGRAS!$B$2:$C$13,2,0),""))</f>
        <v/>
      </c>
    </row>
    <row r="3481">
      <c r="T3481" s="258">
        <f>IF(R3481="","",IFERROR(TODAY()+VLOOKUP(R3481,REGRAS!$B$2:$C$13,2,0),""))</f>
        <v/>
      </c>
    </row>
    <row r="3482">
      <c r="T3482" s="258">
        <f>IF(R3482="","",IFERROR(TODAY()+VLOOKUP(R3482,REGRAS!$B$2:$C$13,2,0),""))</f>
        <v/>
      </c>
    </row>
    <row r="3483">
      <c r="T3483" s="258">
        <f>IF(R3483="","",IFERROR(TODAY()+VLOOKUP(R3483,REGRAS!$B$2:$C$13,2,0),""))</f>
        <v/>
      </c>
    </row>
    <row r="3484">
      <c r="T3484" s="258">
        <f>IF(R3484="","",IFERROR(TODAY()+VLOOKUP(R3484,REGRAS!$B$2:$C$13,2,0),""))</f>
        <v/>
      </c>
    </row>
    <row r="3485">
      <c r="T3485" s="258">
        <f>IF(R3485="","",IFERROR(TODAY()+VLOOKUP(R3485,REGRAS!$B$2:$C$13,2,0),""))</f>
        <v/>
      </c>
    </row>
    <row r="3486">
      <c r="T3486" s="258">
        <f>IF(R3486="","",IFERROR(TODAY()+VLOOKUP(R3486,REGRAS!$B$2:$C$13,2,0),""))</f>
        <v/>
      </c>
    </row>
    <row r="3487">
      <c r="T3487" s="258">
        <f>IF(R3487="","",IFERROR(TODAY()+VLOOKUP(R3487,REGRAS!$B$2:$C$13,2,0),""))</f>
        <v/>
      </c>
    </row>
    <row r="3488">
      <c r="T3488" s="258">
        <f>IF(R3488="","",IFERROR(TODAY()+VLOOKUP(R3488,REGRAS!$B$2:$C$13,2,0),""))</f>
        <v/>
      </c>
    </row>
    <row r="3489">
      <c r="T3489" s="258">
        <f>IF(R3489="","",IFERROR(TODAY()+VLOOKUP(R3489,REGRAS!$B$2:$C$13,2,0),""))</f>
        <v/>
      </c>
    </row>
    <row r="3490">
      <c r="T3490" s="258">
        <f>IF(R3490="","",IFERROR(TODAY()+VLOOKUP(R3490,REGRAS!$B$2:$C$13,2,0),""))</f>
        <v/>
      </c>
    </row>
    <row r="3491">
      <c r="T3491" s="258">
        <f>IF(R3491="","",IFERROR(TODAY()+VLOOKUP(R3491,REGRAS!$B$2:$C$13,2,0),""))</f>
        <v/>
      </c>
    </row>
    <row r="3492">
      <c r="T3492" s="258">
        <f>IF(R3492="","",IFERROR(TODAY()+VLOOKUP(R3492,REGRAS!$B$2:$C$13,2,0),""))</f>
        <v/>
      </c>
    </row>
    <row r="3493">
      <c r="T3493" s="258">
        <f>IF(R3493="","",IFERROR(TODAY()+VLOOKUP(R3493,REGRAS!$B$2:$C$13,2,0),""))</f>
        <v/>
      </c>
    </row>
    <row r="3494">
      <c r="T3494" s="258">
        <f>IF(R3494="","",IFERROR(TODAY()+VLOOKUP(R3494,REGRAS!$B$2:$C$13,2,0),""))</f>
        <v/>
      </c>
    </row>
    <row r="3495">
      <c r="T3495" s="258">
        <f>IF(R3495="","",IFERROR(TODAY()+VLOOKUP(R3495,REGRAS!$B$2:$C$13,2,0),""))</f>
        <v/>
      </c>
    </row>
    <row r="3496">
      <c r="T3496" s="258">
        <f>IF(R3496="","",IFERROR(TODAY()+VLOOKUP(R3496,REGRAS!$B$2:$C$13,2,0),""))</f>
        <v/>
      </c>
    </row>
    <row r="3497">
      <c r="T3497" s="258">
        <f>IF(R3497="","",IFERROR(TODAY()+VLOOKUP(R3497,REGRAS!$B$2:$C$13,2,0),""))</f>
        <v/>
      </c>
    </row>
    <row r="3498">
      <c r="T3498" s="258">
        <f>IF(R3498="","",IFERROR(TODAY()+VLOOKUP(R3498,REGRAS!$B$2:$C$13,2,0),""))</f>
        <v/>
      </c>
    </row>
    <row r="3499">
      <c r="T3499" s="258">
        <f>IF(R3499="","",IFERROR(TODAY()+VLOOKUP(R3499,REGRAS!$B$2:$C$13,2,0),""))</f>
        <v/>
      </c>
    </row>
    <row r="3500">
      <c r="T3500" s="258">
        <f>IF(R3500="","",IFERROR(TODAY()+VLOOKUP(R3500,REGRAS!$B$2:$C$13,2,0),""))</f>
        <v/>
      </c>
    </row>
    <row r="3501">
      <c r="T3501" s="258">
        <f>IF(R3501="","",IFERROR(TODAY()+VLOOKUP(R3501,REGRAS!$B$2:$C$13,2,0),""))</f>
        <v/>
      </c>
    </row>
    <row r="3502">
      <c r="T3502" s="258">
        <f>IF(R3502="","",IFERROR(TODAY()+VLOOKUP(R3502,REGRAS!$B$2:$C$13,2,0),""))</f>
        <v/>
      </c>
    </row>
    <row r="3503">
      <c r="T3503" s="258">
        <f>IF(R3503="","",IFERROR(TODAY()+VLOOKUP(R3503,REGRAS!$B$2:$C$13,2,0),""))</f>
        <v/>
      </c>
    </row>
    <row r="3504">
      <c r="T3504" s="258">
        <f>IF(R3504="","",IFERROR(TODAY()+VLOOKUP(R3504,REGRAS!$B$2:$C$13,2,0),""))</f>
        <v/>
      </c>
    </row>
    <row r="3505">
      <c r="T3505" s="258">
        <f>IF(R3505="","",IFERROR(TODAY()+VLOOKUP(R3505,REGRAS!$B$2:$C$13,2,0),""))</f>
        <v/>
      </c>
    </row>
    <row r="3506">
      <c r="T3506" s="258">
        <f>IF(R3506="","",IFERROR(TODAY()+VLOOKUP(R3506,REGRAS!$B$2:$C$13,2,0),""))</f>
        <v/>
      </c>
    </row>
    <row r="3507">
      <c r="T3507" s="258">
        <f>IF(R3507="","",IFERROR(TODAY()+VLOOKUP(R3507,REGRAS!$B$2:$C$13,2,0),""))</f>
        <v/>
      </c>
    </row>
    <row r="3508">
      <c r="T3508" s="258">
        <f>IF(R3508="","",IFERROR(TODAY()+VLOOKUP(R3508,REGRAS!$B$2:$C$13,2,0),""))</f>
        <v/>
      </c>
    </row>
    <row r="3509">
      <c r="T3509" s="258">
        <f>IF(R3509="","",IFERROR(TODAY()+VLOOKUP(R3509,REGRAS!$B$2:$C$13,2,0),""))</f>
        <v/>
      </c>
    </row>
    <row r="3510">
      <c r="T3510" s="258">
        <f>IF(R3510="","",IFERROR(TODAY()+VLOOKUP(R3510,REGRAS!$B$2:$C$13,2,0),""))</f>
        <v/>
      </c>
    </row>
    <row r="3511">
      <c r="T3511" s="258">
        <f>IF(R3511="","",IFERROR(TODAY()+VLOOKUP(R3511,REGRAS!$B$2:$C$13,2,0),""))</f>
        <v/>
      </c>
    </row>
    <row r="3512">
      <c r="T3512" s="258">
        <f>IF(R3512="","",IFERROR(TODAY()+VLOOKUP(R3512,REGRAS!$B$2:$C$13,2,0),""))</f>
        <v/>
      </c>
    </row>
    <row r="3513">
      <c r="T3513" s="258">
        <f>IF(R3513="","",IFERROR(TODAY()+VLOOKUP(R3513,REGRAS!$B$2:$C$13,2,0),""))</f>
        <v/>
      </c>
    </row>
    <row r="3514">
      <c r="T3514" s="258">
        <f>IF(R3514="","",IFERROR(TODAY()+VLOOKUP(R3514,REGRAS!$B$2:$C$13,2,0),""))</f>
        <v/>
      </c>
    </row>
    <row r="3515">
      <c r="T3515" s="258">
        <f>IF(R3515="","",IFERROR(TODAY()+VLOOKUP(R3515,REGRAS!$B$2:$C$13,2,0),""))</f>
        <v/>
      </c>
    </row>
    <row r="3516">
      <c r="T3516" s="258">
        <f>IF(R3516="","",IFERROR(TODAY()+VLOOKUP(R3516,REGRAS!$B$2:$C$13,2,0),""))</f>
        <v/>
      </c>
    </row>
    <row r="3517">
      <c r="T3517" s="258">
        <f>IF(R3517="","",IFERROR(TODAY()+VLOOKUP(R3517,REGRAS!$B$2:$C$13,2,0),""))</f>
        <v/>
      </c>
    </row>
    <row r="3518">
      <c r="T3518" s="258">
        <f>IF(R3518="","",IFERROR(TODAY()+VLOOKUP(R3518,REGRAS!$B$2:$C$13,2,0),""))</f>
        <v/>
      </c>
    </row>
    <row r="3519">
      <c r="T3519" s="258">
        <f>IF(R3519="","",IFERROR(TODAY()+VLOOKUP(R3519,REGRAS!$B$2:$C$13,2,0),""))</f>
        <v/>
      </c>
    </row>
    <row r="3520">
      <c r="T3520" s="258">
        <f>IF(R3520="","",IFERROR(TODAY()+VLOOKUP(R3520,REGRAS!$B$2:$C$13,2,0),""))</f>
        <v/>
      </c>
    </row>
    <row r="3521">
      <c r="T3521" s="258">
        <f>IF(R3521="","",IFERROR(TODAY()+VLOOKUP(R3521,REGRAS!$B$2:$C$13,2,0),""))</f>
        <v/>
      </c>
    </row>
    <row r="3522">
      <c r="T3522" s="258">
        <f>IF(R3522="","",IFERROR(TODAY()+VLOOKUP(R3522,REGRAS!$B$2:$C$13,2,0),""))</f>
        <v/>
      </c>
    </row>
    <row r="3523">
      <c r="T3523" s="258">
        <f>IF(R3523="","",IFERROR(TODAY()+VLOOKUP(R3523,REGRAS!$B$2:$C$13,2,0),""))</f>
        <v/>
      </c>
    </row>
    <row r="3524">
      <c r="T3524" s="258">
        <f>IF(R3524="","",IFERROR(TODAY()+VLOOKUP(R3524,REGRAS!$B$2:$C$13,2,0),""))</f>
        <v/>
      </c>
    </row>
    <row r="3525">
      <c r="T3525" s="258">
        <f>IF(R3525="","",IFERROR(TODAY()+VLOOKUP(R3525,REGRAS!$B$2:$C$13,2,0),""))</f>
        <v/>
      </c>
    </row>
    <row r="3526">
      <c r="T3526" s="258">
        <f>IF(R3526="","",IFERROR(TODAY()+VLOOKUP(R3526,REGRAS!$B$2:$C$13,2,0),""))</f>
        <v/>
      </c>
    </row>
    <row r="3527">
      <c r="T3527" s="258">
        <f>IF(R3527="","",IFERROR(TODAY()+VLOOKUP(R3527,REGRAS!$B$2:$C$13,2,0),""))</f>
        <v/>
      </c>
    </row>
    <row r="3528">
      <c r="T3528" s="258">
        <f>IF(R3528="","",IFERROR(TODAY()+VLOOKUP(R3528,REGRAS!$B$2:$C$13,2,0),""))</f>
        <v/>
      </c>
    </row>
    <row r="3529">
      <c r="T3529" s="258">
        <f>IF(R3529="","",IFERROR(TODAY()+VLOOKUP(R3529,REGRAS!$B$2:$C$13,2,0),""))</f>
        <v/>
      </c>
    </row>
    <row r="3530">
      <c r="T3530" s="258">
        <f>IF(R3530="","",IFERROR(TODAY()+VLOOKUP(R3530,REGRAS!$B$2:$C$13,2,0),""))</f>
        <v/>
      </c>
    </row>
    <row r="3531">
      <c r="T3531" s="258">
        <f>IF(R3531="","",IFERROR(TODAY()+VLOOKUP(R3531,REGRAS!$B$2:$C$13,2,0),""))</f>
        <v/>
      </c>
    </row>
    <row r="3532">
      <c r="T3532" s="258">
        <f>IF(R3532="","",IFERROR(TODAY()+VLOOKUP(R3532,REGRAS!$B$2:$C$13,2,0),""))</f>
        <v/>
      </c>
    </row>
    <row r="3533">
      <c r="T3533" s="258">
        <f>IF(R3533="","",IFERROR(TODAY()+VLOOKUP(R3533,REGRAS!$B$2:$C$13,2,0),""))</f>
        <v/>
      </c>
    </row>
    <row r="3534">
      <c r="T3534" s="258">
        <f>IF(R3534="","",IFERROR(TODAY()+VLOOKUP(R3534,REGRAS!$B$2:$C$13,2,0),""))</f>
        <v/>
      </c>
    </row>
    <row r="3535">
      <c r="T3535" s="258">
        <f>IF(R3535="","",IFERROR(TODAY()+VLOOKUP(R3535,REGRAS!$B$2:$C$13,2,0),""))</f>
        <v/>
      </c>
    </row>
    <row r="3536">
      <c r="T3536" s="258">
        <f>IF(R3536="","",IFERROR(TODAY()+VLOOKUP(R3536,REGRAS!$B$2:$C$13,2,0),""))</f>
        <v/>
      </c>
    </row>
    <row r="3537">
      <c r="T3537" s="258">
        <f>IF(R3537="","",IFERROR(TODAY()+VLOOKUP(R3537,REGRAS!$B$2:$C$13,2,0),""))</f>
        <v/>
      </c>
    </row>
    <row r="3538">
      <c r="T3538" s="258">
        <f>IF(R3538="","",IFERROR(TODAY()+VLOOKUP(R3538,REGRAS!$B$2:$C$13,2,0),""))</f>
        <v/>
      </c>
    </row>
    <row r="3539">
      <c r="T3539" s="258">
        <f>IF(R3539="","",IFERROR(TODAY()+VLOOKUP(R3539,REGRAS!$B$2:$C$13,2,0),""))</f>
        <v/>
      </c>
    </row>
    <row r="3540">
      <c r="T3540" s="258">
        <f>IF(R3540="","",IFERROR(TODAY()+VLOOKUP(R3540,REGRAS!$B$2:$C$13,2,0),""))</f>
        <v/>
      </c>
    </row>
    <row r="3541">
      <c r="T3541" s="258">
        <f>IF(R3541="","",IFERROR(TODAY()+VLOOKUP(R3541,REGRAS!$B$2:$C$13,2,0),""))</f>
        <v/>
      </c>
    </row>
    <row r="3542">
      <c r="T3542" s="258">
        <f>IF(R3542="","",IFERROR(TODAY()+VLOOKUP(R3542,REGRAS!$B$2:$C$13,2,0),""))</f>
        <v/>
      </c>
    </row>
    <row r="3543">
      <c r="T3543" s="258">
        <f>IF(R3543="","",IFERROR(TODAY()+VLOOKUP(R3543,REGRAS!$B$2:$C$13,2,0),""))</f>
        <v/>
      </c>
    </row>
    <row r="3544">
      <c r="T3544" s="258">
        <f>IF(R3544="","",IFERROR(TODAY()+VLOOKUP(R3544,REGRAS!$B$2:$C$13,2,0),""))</f>
        <v/>
      </c>
    </row>
    <row r="3545">
      <c r="T3545" s="258">
        <f>IF(R3545="","",IFERROR(TODAY()+VLOOKUP(R3545,REGRAS!$B$2:$C$13,2,0),""))</f>
        <v/>
      </c>
    </row>
    <row r="3546">
      <c r="T3546" s="258">
        <f>IF(R3546="","",IFERROR(TODAY()+VLOOKUP(R3546,REGRAS!$B$2:$C$13,2,0),""))</f>
        <v/>
      </c>
    </row>
    <row r="3547">
      <c r="T3547" s="258">
        <f>IF(R3547="","",IFERROR(TODAY()+VLOOKUP(R3547,REGRAS!$B$2:$C$13,2,0),""))</f>
        <v/>
      </c>
    </row>
    <row r="3548">
      <c r="T3548" s="258">
        <f>IF(R3548="","",IFERROR(TODAY()+VLOOKUP(R3548,REGRAS!$B$2:$C$13,2,0),""))</f>
        <v/>
      </c>
    </row>
    <row r="3549">
      <c r="T3549" s="258">
        <f>IF(R3549="","",IFERROR(TODAY()+VLOOKUP(R3549,REGRAS!$B$2:$C$13,2,0),""))</f>
        <v/>
      </c>
    </row>
    <row r="3550">
      <c r="T3550" s="258">
        <f>IF(R3550="","",IFERROR(TODAY()+VLOOKUP(R3550,REGRAS!$B$2:$C$13,2,0),""))</f>
        <v/>
      </c>
    </row>
    <row r="3551">
      <c r="T3551" s="258">
        <f>IF(R3551="","",IFERROR(TODAY()+VLOOKUP(R3551,REGRAS!$B$2:$C$13,2,0),""))</f>
        <v/>
      </c>
    </row>
    <row r="3552">
      <c r="T3552" s="258">
        <f>IF(R3552="","",IFERROR(TODAY()+VLOOKUP(R3552,REGRAS!$B$2:$C$13,2,0),""))</f>
        <v/>
      </c>
    </row>
    <row r="3553">
      <c r="T3553" s="258">
        <f>IF(R3553="","",IFERROR(TODAY()+VLOOKUP(R3553,REGRAS!$B$2:$C$13,2,0),""))</f>
        <v/>
      </c>
    </row>
    <row r="3554">
      <c r="T3554" s="258">
        <f>IF(R3554="","",IFERROR(TODAY()+VLOOKUP(R3554,REGRAS!$B$2:$C$13,2,0),""))</f>
        <v/>
      </c>
    </row>
    <row r="3555">
      <c r="T3555" s="258">
        <f>IF(R3555="","",IFERROR(TODAY()+VLOOKUP(R3555,REGRAS!$B$2:$C$13,2,0),""))</f>
        <v/>
      </c>
    </row>
    <row r="3556">
      <c r="T3556" s="258">
        <f>IF(R3556="","",IFERROR(TODAY()+VLOOKUP(R3556,REGRAS!$B$2:$C$13,2,0),""))</f>
        <v/>
      </c>
    </row>
    <row r="3557">
      <c r="T3557" s="258">
        <f>IF(R3557="","",IFERROR(TODAY()+VLOOKUP(R3557,REGRAS!$B$2:$C$13,2,0),""))</f>
        <v/>
      </c>
    </row>
    <row r="3558">
      <c r="T3558" s="258">
        <f>IF(R3558="","",IFERROR(TODAY()+VLOOKUP(R3558,REGRAS!$B$2:$C$13,2,0),""))</f>
        <v/>
      </c>
    </row>
    <row r="3559">
      <c r="T3559" s="258">
        <f>IF(R3559="","",IFERROR(TODAY()+VLOOKUP(R3559,REGRAS!$B$2:$C$13,2,0),""))</f>
        <v/>
      </c>
    </row>
    <row r="3560">
      <c r="T3560" s="258">
        <f>IF(R3560="","",IFERROR(TODAY()+VLOOKUP(R3560,REGRAS!$B$2:$C$13,2,0),""))</f>
        <v/>
      </c>
    </row>
    <row r="3561">
      <c r="T3561" s="258">
        <f>IF(R3561="","",IFERROR(TODAY()+VLOOKUP(R3561,REGRAS!$B$2:$C$13,2,0),""))</f>
        <v/>
      </c>
    </row>
    <row r="3562">
      <c r="T3562" s="258">
        <f>IF(R3562="","",IFERROR(TODAY()+VLOOKUP(R3562,REGRAS!$B$2:$C$13,2,0),""))</f>
        <v/>
      </c>
    </row>
    <row r="3563">
      <c r="T3563" s="258">
        <f>IF(R3563="","",IFERROR(TODAY()+VLOOKUP(R3563,REGRAS!$B$2:$C$13,2,0),""))</f>
        <v/>
      </c>
    </row>
    <row r="3564">
      <c r="T3564" s="258">
        <f>IF(R3564="","",IFERROR(TODAY()+VLOOKUP(R3564,REGRAS!$B$2:$C$13,2,0),""))</f>
        <v/>
      </c>
    </row>
    <row r="3565">
      <c r="T3565" s="258">
        <f>IF(R3565="","",IFERROR(TODAY()+VLOOKUP(R3565,REGRAS!$B$2:$C$13,2,0),""))</f>
        <v/>
      </c>
    </row>
    <row r="3566">
      <c r="T3566" s="258">
        <f>IF(R3566="","",IFERROR(TODAY()+VLOOKUP(R3566,REGRAS!$B$2:$C$13,2,0),""))</f>
        <v/>
      </c>
    </row>
    <row r="3567">
      <c r="T3567" s="258">
        <f>IF(R3567="","",IFERROR(TODAY()+VLOOKUP(R3567,REGRAS!$B$2:$C$13,2,0),""))</f>
        <v/>
      </c>
    </row>
    <row r="3568">
      <c r="T3568" s="258">
        <f>IF(R3568="","",IFERROR(TODAY()+VLOOKUP(R3568,REGRAS!$B$2:$C$13,2,0),""))</f>
        <v/>
      </c>
    </row>
    <row r="3569">
      <c r="T3569" s="258">
        <f>IF(R3569="","",IFERROR(TODAY()+VLOOKUP(R3569,REGRAS!$B$2:$C$13,2,0),""))</f>
        <v/>
      </c>
    </row>
    <row r="3570">
      <c r="T3570" s="258">
        <f>IF(R3570="","",IFERROR(TODAY()+VLOOKUP(R3570,REGRAS!$B$2:$C$13,2,0),""))</f>
        <v/>
      </c>
    </row>
    <row r="3571">
      <c r="T3571" s="258">
        <f>IF(R3571="","",IFERROR(TODAY()+VLOOKUP(R3571,REGRAS!$B$2:$C$13,2,0),""))</f>
        <v/>
      </c>
    </row>
    <row r="3572">
      <c r="T3572" s="258">
        <f>IF(R3572="","",IFERROR(TODAY()+VLOOKUP(R3572,REGRAS!$B$2:$C$13,2,0),""))</f>
        <v/>
      </c>
    </row>
    <row r="3573">
      <c r="T3573" s="258">
        <f>IF(R3573="","",IFERROR(TODAY()+VLOOKUP(R3573,REGRAS!$B$2:$C$13,2,0),""))</f>
        <v/>
      </c>
    </row>
    <row r="3574">
      <c r="T3574" s="258">
        <f>IF(R3574="","",IFERROR(TODAY()+VLOOKUP(R3574,REGRAS!$B$2:$C$13,2,0),""))</f>
        <v/>
      </c>
    </row>
    <row r="3575">
      <c r="T3575" s="258">
        <f>IF(R3575="","",IFERROR(TODAY()+VLOOKUP(R3575,REGRAS!$B$2:$C$13,2,0),""))</f>
        <v/>
      </c>
    </row>
    <row r="3576">
      <c r="T3576" s="258">
        <f>IF(R3576="","",IFERROR(TODAY()+VLOOKUP(R3576,REGRAS!$B$2:$C$13,2,0),""))</f>
        <v/>
      </c>
    </row>
    <row r="3577">
      <c r="T3577" s="258">
        <f>IF(R3577="","",IFERROR(TODAY()+VLOOKUP(R3577,REGRAS!$B$2:$C$13,2,0),""))</f>
        <v/>
      </c>
    </row>
    <row r="3578">
      <c r="T3578" s="258">
        <f>IF(R3578="","",IFERROR(TODAY()+VLOOKUP(R3578,REGRAS!$B$2:$C$13,2,0),""))</f>
        <v/>
      </c>
    </row>
    <row r="3579">
      <c r="T3579" s="258">
        <f>IF(R3579="","",IFERROR(TODAY()+VLOOKUP(R3579,REGRAS!$B$2:$C$13,2,0),""))</f>
        <v/>
      </c>
    </row>
    <row r="3580">
      <c r="T3580" s="258">
        <f>IF(R3580="","",IFERROR(TODAY()+VLOOKUP(R3580,REGRAS!$B$2:$C$13,2,0),""))</f>
        <v/>
      </c>
    </row>
    <row r="3581">
      <c r="T3581" s="258">
        <f>IF(R3581="","",IFERROR(TODAY()+VLOOKUP(R3581,REGRAS!$B$2:$C$13,2,0),""))</f>
        <v/>
      </c>
    </row>
    <row r="3582">
      <c r="T3582" s="258">
        <f>IF(R3582="","",IFERROR(TODAY()+VLOOKUP(R3582,REGRAS!$B$2:$C$13,2,0),""))</f>
        <v/>
      </c>
    </row>
    <row r="3583">
      <c r="T3583" s="258">
        <f>IF(R3583="","",IFERROR(TODAY()+VLOOKUP(R3583,REGRAS!$B$2:$C$13,2,0),""))</f>
        <v/>
      </c>
    </row>
    <row r="3584">
      <c r="T3584" s="258">
        <f>IF(R3584="","",IFERROR(TODAY()+VLOOKUP(R3584,REGRAS!$B$2:$C$13,2,0),""))</f>
        <v/>
      </c>
    </row>
    <row r="3585">
      <c r="T3585" s="258">
        <f>IF(R3585="","",IFERROR(TODAY()+VLOOKUP(R3585,REGRAS!$B$2:$C$13,2,0),""))</f>
        <v/>
      </c>
    </row>
    <row r="3586">
      <c r="T3586" s="258">
        <f>IF(R3586="","",IFERROR(TODAY()+VLOOKUP(R3586,REGRAS!$B$2:$C$13,2,0),""))</f>
        <v/>
      </c>
    </row>
    <row r="3587">
      <c r="T3587" s="258">
        <f>IF(R3587="","",IFERROR(TODAY()+VLOOKUP(R3587,REGRAS!$B$2:$C$13,2,0),""))</f>
        <v/>
      </c>
    </row>
    <row r="3588">
      <c r="T3588" s="258">
        <f>IF(R3588="","",IFERROR(TODAY()+VLOOKUP(R3588,REGRAS!$B$2:$C$13,2,0),""))</f>
        <v/>
      </c>
    </row>
    <row r="3589">
      <c r="T3589" s="258">
        <f>IF(R3589="","",IFERROR(TODAY()+VLOOKUP(R3589,REGRAS!$B$2:$C$13,2,0),""))</f>
        <v/>
      </c>
    </row>
    <row r="3590">
      <c r="T3590" s="258">
        <f>IF(R3590="","",IFERROR(TODAY()+VLOOKUP(R3590,REGRAS!$B$2:$C$13,2,0),""))</f>
        <v/>
      </c>
    </row>
    <row r="3591">
      <c r="T3591" s="258">
        <f>IF(R3591="","",IFERROR(TODAY()+VLOOKUP(R3591,REGRAS!$B$2:$C$13,2,0),""))</f>
        <v/>
      </c>
    </row>
    <row r="3592">
      <c r="T3592" s="258">
        <f>IF(R3592="","",IFERROR(TODAY()+VLOOKUP(R3592,REGRAS!$B$2:$C$13,2,0),""))</f>
        <v/>
      </c>
    </row>
    <row r="3593">
      <c r="T3593" s="258">
        <f>IF(R3593="","",IFERROR(TODAY()+VLOOKUP(R3593,REGRAS!$B$2:$C$13,2,0),""))</f>
        <v/>
      </c>
    </row>
    <row r="3594">
      <c r="T3594" s="258">
        <f>IF(R3594="","",IFERROR(TODAY()+VLOOKUP(R3594,REGRAS!$B$2:$C$13,2,0),""))</f>
        <v/>
      </c>
    </row>
    <row r="3595">
      <c r="T3595" s="258">
        <f>IF(R3595="","",IFERROR(TODAY()+VLOOKUP(R3595,REGRAS!$B$2:$C$13,2,0),""))</f>
        <v/>
      </c>
    </row>
    <row r="3596">
      <c r="T3596" s="258">
        <f>IF(R3596="","",IFERROR(TODAY()+VLOOKUP(R3596,REGRAS!$B$2:$C$13,2,0),""))</f>
        <v/>
      </c>
    </row>
    <row r="3597">
      <c r="T3597" s="258">
        <f>IF(R3597="","",IFERROR(TODAY()+VLOOKUP(R3597,REGRAS!$B$2:$C$13,2,0),""))</f>
        <v/>
      </c>
    </row>
    <row r="3598">
      <c r="T3598" s="258">
        <f>IF(R3598="","",IFERROR(TODAY()+VLOOKUP(R3598,REGRAS!$B$2:$C$13,2,0),""))</f>
        <v/>
      </c>
    </row>
    <row r="3599">
      <c r="T3599" s="258">
        <f>IF(R3599="","",IFERROR(TODAY()+VLOOKUP(R3599,REGRAS!$B$2:$C$13,2,0),""))</f>
        <v/>
      </c>
    </row>
    <row r="3600">
      <c r="T3600" s="258">
        <f>IF(R3600="","",IFERROR(TODAY()+VLOOKUP(R3600,REGRAS!$B$2:$C$13,2,0),""))</f>
        <v/>
      </c>
    </row>
    <row r="3601">
      <c r="T3601" s="258">
        <f>IF(R3601="","",IFERROR(TODAY()+VLOOKUP(R3601,REGRAS!$B$2:$C$13,2,0),""))</f>
        <v/>
      </c>
    </row>
    <row r="3602">
      <c r="T3602" s="258">
        <f>IF(R3602="","",IFERROR(TODAY()+VLOOKUP(R3602,REGRAS!$B$2:$C$13,2,0),""))</f>
        <v/>
      </c>
    </row>
    <row r="3603">
      <c r="T3603" s="258">
        <f>IF(R3603="","",IFERROR(TODAY()+VLOOKUP(R3603,REGRAS!$B$2:$C$13,2,0),""))</f>
        <v/>
      </c>
    </row>
    <row r="3604">
      <c r="T3604" s="258">
        <f>IF(R3604="","",IFERROR(TODAY()+VLOOKUP(R3604,REGRAS!$B$2:$C$13,2,0),""))</f>
        <v/>
      </c>
    </row>
    <row r="3605">
      <c r="T3605" s="258">
        <f>IF(R3605="","",IFERROR(TODAY()+VLOOKUP(R3605,REGRAS!$B$2:$C$13,2,0),""))</f>
        <v/>
      </c>
    </row>
    <row r="3606">
      <c r="T3606" s="258">
        <f>IF(R3606="","",IFERROR(TODAY()+VLOOKUP(R3606,REGRAS!$B$2:$C$13,2,0),""))</f>
        <v/>
      </c>
    </row>
    <row r="3607">
      <c r="T3607" s="258">
        <f>IF(R3607="","",IFERROR(TODAY()+VLOOKUP(R3607,REGRAS!$B$2:$C$13,2,0),""))</f>
        <v/>
      </c>
    </row>
    <row r="3608">
      <c r="T3608" s="258">
        <f>IF(R3608="","",IFERROR(TODAY()+VLOOKUP(R3608,REGRAS!$B$2:$C$13,2,0),""))</f>
        <v/>
      </c>
    </row>
    <row r="3609">
      <c r="T3609" s="258">
        <f>IF(R3609="","",IFERROR(TODAY()+VLOOKUP(R3609,REGRAS!$B$2:$C$13,2,0),""))</f>
        <v/>
      </c>
    </row>
    <row r="3610">
      <c r="T3610" s="258">
        <f>IF(R3610="","",IFERROR(TODAY()+VLOOKUP(R3610,REGRAS!$B$2:$C$13,2,0),""))</f>
        <v/>
      </c>
    </row>
    <row r="3611">
      <c r="T3611" s="258">
        <f>IF(R3611="","",IFERROR(TODAY()+VLOOKUP(R3611,REGRAS!$B$2:$C$13,2,0),""))</f>
        <v/>
      </c>
    </row>
    <row r="3612">
      <c r="T3612" s="258">
        <f>IF(R3612="","",IFERROR(TODAY()+VLOOKUP(R3612,REGRAS!$B$2:$C$13,2,0),""))</f>
        <v/>
      </c>
    </row>
    <row r="3613">
      <c r="T3613" s="258">
        <f>IF(R3613="","",IFERROR(TODAY()+VLOOKUP(R3613,REGRAS!$B$2:$C$13,2,0),""))</f>
        <v/>
      </c>
    </row>
    <row r="3614">
      <c r="T3614" s="258">
        <f>IF(R3614="","",IFERROR(TODAY()+VLOOKUP(R3614,REGRAS!$B$2:$C$13,2,0),""))</f>
        <v/>
      </c>
    </row>
    <row r="3615">
      <c r="T3615" s="258">
        <f>IF(R3615="","",IFERROR(TODAY()+VLOOKUP(R3615,REGRAS!$B$2:$C$13,2,0),""))</f>
        <v/>
      </c>
    </row>
    <row r="3616">
      <c r="T3616" s="258">
        <f>IF(R3616="","",IFERROR(TODAY()+VLOOKUP(R3616,REGRAS!$B$2:$C$13,2,0),""))</f>
        <v/>
      </c>
    </row>
    <row r="3617">
      <c r="T3617" s="258">
        <f>IF(R3617="","",IFERROR(TODAY()+VLOOKUP(R3617,REGRAS!$B$2:$C$13,2,0),""))</f>
        <v/>
      </c>
    </row>
    <row r="3618">
      <c r="T3618" s="258">
        <f>IF(R3618="","",IFERROR(TODAY()+VLOOKUP(R3618,REGRAS!$B$2:$C$13,2,0),""))</f>
        <v/>
      </c>
    </row>
    <row r="3619">
      <c r="T3619" s="258">
        <f>IF(R3619="","",IFERROR(TODAY()+VLOOKUP(R3619,REGRAS!$B$2:$C$13,2,0),""))</f>
        <v/>
      </c>
    </row>
    <row r="3620">
      <c r="T3620" s="258">
        <f>IF(R3620="","",IFERROR(TODAY()+VLOOKUP(R3620,REGRAS!$B$2:$C$13,2,0),""))</f>
        <v/>
      </c>
    </row>
    <row r="3621">
      <c r="T3621" s="258">
        <f>IF(R3621="","",IFERROR(TODAY()+VLOOKUP(R3621,REGRAS!$B$2:$C$13,2,0),""))</f>
        <v/>
      </c>
    </row>
    <row r="3622">
      <c r="T3622" s="258">
        <f>IF(R3622="","",IFERROR(TODAY()+VLOOKUP(R3622,REGRAS!$B$2:$C$13,2,0),""))</f>
        <v/>
      </c>
    </row>
    <row r="3623">
      <c r="T3623" s="258">
        <f>IF(R3623="","",IFERROR(TODAY()+VLOOKUP(R3623,REGRAS!$B$2:$C$13,2,0),""))</f>
        <v/>
      </c>
    </row>
    <row r="3624">
      <c r="T3624" s="258">
        <f>IF(R3624="","",IFERROR(TODAY()+VLOOKUP(R3624,REGRAS!$B$2:$C$13,2,0),""))</f>
        <v/>
      </c>
    </row>
    <row r="3625">
      <c r="T3625" s="258">
        <f>IF(R3625="","",IFERROR(TODAY()+VLOOKUP(R3625,REGRAS!$B$2:$C$13,2,0),""))</f>
        <v/>
      </c>
    </row>
    <row r="3626">
      <c r="T3626" s="258">
        <f>IF(R3626="","",IFERROR(TODAY()+VLOOKUP(R3626,REGRAS!$B$2:$C$13,2,0),""))</f>
        <v/>
      </c>
    </row>
    <row r="3627">
      <c r="T3627" s="258">
        <f>IF(R3627="","",IFERROR(TODAY()+VLOOKUP(R3627,REGRAS!$B$2:$C$13,2,0),""))</f>
        <v/>
      </c>
    </row>
    <row r="3628">
      <c r="T3628" s="258">
        <f>IF(R3628="","",IFERROR(TODAY()+VLOOKUP(R3628,REGRAS!$B$2:$C$13,2,0),""))</f>
        <v/>
      </c>
    </row>
    <row r="3629">
      <c r="T3629" s="258">
        <f>IF(R3629="","",IFERROR(TODAY()+VLOOKUP(R3629,REGRAS!$B$2:$C$13,2,0),""))</f>
        <v/>
      </c>
    </row>
    <row r="3630">
      <c r="T3630" s="258">
        <f>IF(R3630="","",IFERROR(TODAY()+VLOOKUP(R3630,REGRAS!$B$2:$C$13,2,0),""))</f>
        <v/>
      </c>
    </row>
    <row r="3631">
      <c r="T3631" s="258">
        <f>IF(R3631="","",IFERROR(TODAY()+VLOOKUP(R3631,REGRAS!$B$2:$C$13,2,0),""))</f>
        <v/>
      </c>
    </row>
    <row r="3632">
      <c r="T3632" s="258">
        <f>IF(R3632="","",IFERROR(TODAY()+VLOOKUP(R3632,REGRAS!$B$2:$C$13,2,0),""))</f>
        <v/>
      </c>
    </row>
    <row r="3633">
      <c r="T3633" s="258">
        <f>IF(R3633="","",IFERROR(TODAY()+VLOOKUP(R3633,REGRAS!$B$2:$C$13,2,0),""))</f>
        <v/>
      </c>
    </row>
    <row r="3634">
      <c r="T3634" s="258">
        <f>IF(R3634="","",IFERROR(TODAY()+VLOOKUP(R3634,REGRAS!$B$2:$C$13,2,0),""))</f>
        <v/>
      </c>
    </row>
    <row r="3635">
      <c r="T3635" s="258">
        <f>IF(R3635="","",IFERROR(TODAY()+VLOOKUP(R3635,REGRAS!$B$2:$C$13,2,0),""))</f>
        <v/>
      </c>
    </row>
    <row r="3636">
      <c r="T3636" s="258">
        <f>IF(R3636="","",IFERROR(TODAY()+VLOOKUP(R3636,REGRAS!$B$2:$C$13,2,0),""))</f>
        <v/>
      </c>
    </row>
    <row r="3637">
      <c r="T3637" s="258">
        <f>IF(R3637="","",IFERROR(TODAY()+VLOOKUP(R3637,REGRAS!$B$2:$C$13,2,0),""))</f>
        <v/>
      </c>
    </row>
    <row r="3638">
      <c r="T3638" s="258">
        <f>IF(R3638="","",IFERROR(TODAY()+VLOOKUP(R3638,REGRAS!$B$2:$C$13,2,0),""))</f>
        <v/>
      </c>
    </row>
    <row r="3639">
      <c r="T3639" s="258">
        <f>IF(R3639="","",IFERROR(TODAY()+VLOOKUP(R3639,REGRAS!$B$2:$C$13,2,0),""))</f>
        <v/>
      </c>
    </row>
    <row r="3640">
      <c r="T3640" s="258">
        <f>IF(R3640="","",IFERROR(TODAY()+VLOOKUP(R3640,REGRAS!$B$2:$C$13,2,0),""))</f>
        <v/>
      </c>
    </row>
    <row r="3641">
      <c r="T3641" s="258">
        <f>IF(R3641="","",IFERROR(TODAY()+VLOOKUP(R3641,REGRAS!$B$2:$C$13,2,0),""))</f>
        <v/>
      </c>
    </row>
    <row r="3642">
      <c r="T3642" s="258">
        <f>IF(R3642="","",IFERROR(TODAY()+VLOOKUP(R3642,REGRAS!$B$2:$C$13,2,0),""))</f>
        <v/>
      </c>
    </row>
    <row r="3643">
      <c r="T3643" s="258">
        <f>IF(R3643="","",IFERROR(TODAY()+VLOOKUP(R3643,REGRAS!$B$2:$C$13,2,0),""))</f>
        <v/>
      </c>
    </row>
    <row r="3644">
      <c r="T3644" s="258">
        <f>IF(R3644="","",IFERROR(TODAY()+VLOOKUP(R3644,REGRAS!$B$2:$C$13,2,0),""))</f>
        <v/>
      </c>
    </row>
    <row r="3645">
      <c r="T3645" s="258">
        <f>IF(R3645="","",IFERROR(TODAY()+VLOOKUP(R3645,REGRAS!$B$2:$C$13,2,0),""))</f>
        <v/>
      </c>
    </row>
    <row r="3646">
      <c r="T3646" s="258">
        <f>IF(R3646="","",IFERROR(TODAY()+VLOOKUP(R3646,REGRAS!$B$2:$C$13,2,0),""))</f>
        <v/>
      </c>
    </row>
    <row r="3647">
      <c r="T3647" s="258">
        <f>IF(R3647="","",IFERROR(TODAY()+VLOOKUP(R3647,REGRAS!$B$2:$C$13,2,0),""))</f>
        <v/>
      </c>
    </row>
    <row r="3648">
      <c r="T3648" s="258">
        <f>IF(R3648="","",IFERROR(TODAY()+VLOOKUP(R3648,REGRAS!$B$2:$C$13,2,0),""))</f>
        <v/>
      </c>
    </row>
    <row r="3649">
      <c r="T3649" s="258">
        <f>IF(R3649="","",IFERROR(TODAY()+VLOOKUP(R3649,REGRAS!$B$2:$C$13,2,0),""))</f>
        <v/>
      </c>
    </row>
    <row r="3650">
      <c r="T3650" s="258">
        <f>IF(R3650="","",IFERROR(TODAY()+VLOOKUP(R3650,REGRAS!$B$2:$C$13,2,0),""))</f>
        <v/>
      </c>
    </row>
    <row r="3651">
      <c r="T3651" s="258">
        <f>IF(R3651="","",IFERROR(TODAY()+VLOOKUP(R3651,REGRAS!$B$2:$C$13,2,0),""))</f>
        <v/>
      </c>
    </row>
    <row r="3652">
      <c r="T3652" s="258">
        <f>IF(R3652="","",IFERROR(TODAY()+VLOOKUP(R3652,REGRAS!$B$2:$C$13,2,0),""))</f>
        <v/>
      </c>
    </row>
    <row r="3653">
      <c r="T3653" s="258">
        <f>IF(R3653="","",IFERROR(TODAY()+VLOOKUP(R3653,REGRAS!$B$2:$C$13,2,0),""))</f>
        <v/>
      </c>
    </row>
    <row r="3654">
      <c r="T3654" s="258">
        <f>IF(R3654="","",IFERROR(TODAY()+VLOOKUP(R3654,REGRAS!$B$2:$C$13,2,0),""))</f>
        <v/>
      </c>
    </row>
    <row r="3655">
      <c r="T3655" s="258">
        <f>IF(R3655="","",IFERROR(TODAY()+VLOOKUP(R3655,REGRAS!$B$2:$C$13,2,0),""))</f>
        <v/>
      </c>
    </row>
    <row r="3656">
      <c r="T3656" s="258">
        <f>IF(R3656="","",IFERROR(TODAY()+VLOOKUP(R3656,REGRAS!$B$2:$C$13,2,0),""))</f>
        <v/>
      </c>
    </row>
    <row r="3657">
      <c r="T3657" s="258">
        <f>IF(R3657="","",IFERROR(TODAY()+VLOOKUP(R3657,REGRAS!$B$2:$C$13,2,0),""))</f>
        <v/>
      </c>
    </row>
    <row r="3658">
      <c r="T3658" s="258">
        <f>IF(R3658="","",IFERROR(TODAY()+VLOOKUP(R3658,REGRAS!$B$2:$C$13,2,0),""))</f>
        <v/>
      </c>
    </row>
    <row r="3659">
      <c r="T3659" s="258">
        <f>IF(R3659="","",IFERROR(TODAY()+VLOOKUP(R3659,REGRAS!$B$2:$C$13,2,0),""))</f>
        <v/>
      </c>
    </row>
    <row r="3660">
      <c r="T3660" s="258">
        <f>IF(R3660="","",IFERROR(TODAY()+VLOOKUP(R3660,REGRAS!$B$2:$C$13,2,0),""))</f>
        <v/>
      </c>
    </row>
    <row r="3661">
      <c r="T3661" s="258">
        <f>IF(R3661="","",IFERROR(TODAY()+VLOOKUP(R3661,REGRAS!$B$2:$C$13,2,0),""))</f>
        <v/>
      </c>
    </row>
    <row r="3662">
      <c r="T3662" s="258">
        <f>IF(R3662="","",IFERROR(TODAY()+VLOOKUP(R3662,REGRAS!$B$2:$C$13,2,0),""))</f>
        <v/>
      </c>
    </row>
    <row r="3663">
      <c r="T3663" s="258">
        <f>IF(R3663="","",IFERROR(TODAY()+VLOOKUP(R3663,REGRAS!$B$2:$C$13,2,0),""))</f>
        <v/>
      </c>
    </row>
    <row r="3664">
      <c r="T3664" s="258">
        <f>IF(R3664="","",IFERROR(TODAY()+VLOOKUP(R3664,REGRAS!$B$2:$C$13,2,0),""))</f>
        <v/>
      </c>
    </row>
    <row r="3665">
      <c r="T3665" s="258">
        <f>IF(R3665="","",IFERROR(TODAY()+VLOOKUP(R3665,REGRAS!$B$2:$C$13,2,0),""))</f>
        <v/>
      </c>
    </row>
    <row r="3666">
      <c r="T3666" s="258">
        <f>IF(R3666="","",IFERROR(TODAY()+VLOOKUP(R3666,REGRAS!$B$2:$C$13,2,0),""))</f>
        <v/>
      </c>
    </row>
    <row r="3667">
      <c r="T3667" s="258">
        <f>IF(R3667="","",IFERROR(TODAY()+VLOOKUP(R3667,REGRAS!$B$2:$C$13,2,0),""))</f>
        <v/>
      </c>
    </row>
    <row r="3668">
      <c r="T3668" s="258">
        <f>IF(R3668="","",IFERROR(TODAY()+VLOOKUP(R3668,REGRAS!$B$2:$C$13,2,0),""))</f>
        <v/>
      </c>
    </row>
    <row r="3669">
      <c r="T3669" s="258">
        <f>IF(R3669="","",IFERROR(TODAY()+VLOOKUP(R3669,REGRAS!$B$2:$C$13,2,0),""))</f>
        <v/>
      </c>
    </row>
    <row r="3670">
      <c r="T3670" s="258">
        <f>IF(R3670="","",IFERROR(TODAY()+VLOOKUP(R3670,REGRAS!$B$2:$C$13,2,0),""))</f>
        <v/>
      </c>
    </row>
    <row r="3671">
      <c r="T3671" s="258">
        <f>IF(R3671="","",IFERROR(TODAY()+VLOOKUP(R3671,REGRAS!$B$2:$C$13,2,0),""))</f>
        <v/>
      </c>
    </row>
    <row r="3672">
      <c r="T3672" s="258">
        <f>IF(R3672="","",IFERROR(TODAY()+VLOOKUP(R3672,REGRAS!$B$2:$C$13,2,0),""))</f>
        <v/>
      </c>
    </row>
    <row r="3673">
      <c r="T3673" s="258">
        <f>IF(R3673="","",IFERROR(TODAY()+VLOOKUP(R3673,REGRAS!$B$2:$C$13,2,0),""))</f>
        <v/>
      </c>
    </row>
    <row r="3674">
      <c r="T3674" s="258">
        <f>IF(R3674="","",IFERROR(TODAY()+VLOOKUP(R3674,REGRAS!$B$2:$C$13,2,0),""))</f>
        <v/>
      </c>
    </row>
    <row r="3675">
      <c r="T3675" s="258">
        <f>IF(R3675="","",IFERROR(TODAY()+VLOOKUP(R3675,REGRAS!$B$2:$C$13,2,0),""))</f>
        <v/>
      </c>
    </row>
    <row r="3676">
      <c r="T3676" s="258">
        <f>IF(R3676="","",IFERROR(TODAY()+VLOOKUP(R3676,REGRAS!$B$2:$C$13,2,0),""))</f>
        <v/>
      </c>
    </row>
    <row r="3677">
      <c r="T3677" s="258">
        <f>IF(R3677="","",IFERROR(TODAY()+VLOOKUP(R3677,REGRAS!$B$2:$C$13,2,0),""))</f>
        <v/>
      </c>
    </row>
    <row r="3678">
      <c r="T3678" s="258">
        <f>IF(R3678="","",IFERROR(TODAY()+VLOOKUP(R3678,REGRAS!$B$2:$C$13,2,0),""))</f>
        <v/>
      </c>
    </row>
    <row r="3679">
      <c r="T3679" s="258">
        <f>IF(R3679="","",IFERROR(TODAY()+VLOOKUP(R3679,REGRAS!$B$2:$C$13,2,0),""))</f>
        <v/>
      </c>
    </row>
    <row r="3680">
      <c r="T3680" s="258">
        <f>IF(R3680="","",IFERROR(TODAY()+VLOOKUP(R3680,REGRAS!$B$2:$C$13,2,0),""))</f>
        <v/>
      </c>
    </row>
    <row r="3681">
      <c r="T3681" s="258">
        <f>IF(R3681="","",IFERROR(TODAY()+VLOOKUP(R3681,REGRAS!$B$2:$C$13,2,0),""))</f>
        <v/>
      </c>
    </row>
    <row r="3682">
      <c r="T3682" s="258">
        <f>IF(R3682="","",IFERROR(TODAY()+VLOOKUP(R3682,REGRAS!$B$2:$C$13,2,0),""))</f>
        <v/>
      </c>
    </row>
    <row r="3683">
      <c r="T3683" s="258">
        <f>IF(R3683="","",IFERROR(TODAY()+VLOOKUP(R3683,REGRAS!$B$2:$C$13,2,0),""))</f>
        <v/>
      </c>
    </row>
    <row r="3684">
      <c r="T3684" s="258">
        <f>IF(R3684="","",IFERROR(TODAY()+VLOOKUP(R3684,REGRAS!$B$2:$C$13,2,0),""))</f>
        <v/>
      </c>
    </row>
    <row r="3685">
      <c r="T3685" s="258">
        <f>IF(R3685="","",IFERROR(TODAY()+VLOOKUP(R3685,REGRAS!$B$2:$C$13,2,0),""))</f>
        <v/>
      </c>
    </row>
    <row r="3686">
      <c r="T3686" s="258">
        <f>IF(R3686="","",IFERROR(TODAY()+VLOOKUP(R3686,REGRAS!$B$2:$C$13,2,0),""))</f>
        <v/>
      </c>
    </row>
    <row r="3687">
      <c r="T3687" s="258">
        <f>IF(R3687="","",IFERROR(TODAY()+VLOOKUP(R3687,REGRAS!$B$2:$C$13,2,0),""))</f>
        <v/>
      </c>
    </row>
    <row r="3688">
      <c r="T3688" s="258">
        <f>IF(R3688="","",IFERROR(TODAY()+VLOOKUP(R3688,REGRAS!$B$2:$C$13,2,0),""))</f>
        <v/>
      </c>
    </row>
    <row r="3689">
      <c r="T3689" s="258">
        <f>IF(R3689="","",IFERROR(TODAY()+VLOOKUP(R3689,REGRAS!$B$2:$C$13,2,0),""))</f>
        <v/>
      </c>
    </row>
    <row r="3690">
      <c r="T3690" s="258">
        <f>IF(R3690="","",IFERROR(TODAY()+VLOOKUP(R3690,REGRAS!$B$2:$C$13,2,0),""))</f>
        <v/>
      </c>
    </row>
    <row r="3691">
      <c r="T3691" s="258">
        <f>IF(R3691="","",IFERROR(TODAY()+VLOOKUP(R3691,REGRAS!$B$2:$C$13,2,0),""))</f>
        <v/>
      </c>
    </row>
    <row r="3692">
      <c r="T3692" s="258">
        <f>IF(R3692="","",IFERROR(TODAY()+VLOOKUP(R3692,REGRAS!$B$2:$C$13,2,0),""))</f>
        <v/>
      </c>
    </row>
    <row r="3693">
      <c r="T3693" s="258">
        <f>IF(R3693="","",IFERROR(TODAY()+VLOOKUP(R3693,REGRAS!$B$2:$C$13,2,0),""))</f>
        <v/>
      </c>
    </row>
    <row r="3694">
      <c r="T3694" s="258">
        <f>IF(R3694="","",IFERROR(TODAY()+VLOOKUP(R3694,REGRAS!$B$2:$C$13,2,0),""))</f>
        <v/>
      </c>
    </row>
    <row r="3695">
      <c r="T3695" s="258">
        <f>IF(R3695="","",IFERROR(TODAY()+VLOOKUP(R3695,REGRAS!$B$2:$C$13,2,0),""))</f>
        <v/>
      </c>
    </row>
    <row r="3696">
      <c r="T3696" s="258">
        <f>IF(R3696="","",IFERROR(TODAY()+VLOOKUP(R3696,REGRAS!$B$2:$C$13,2,0),""))</f>
        <v/>
      </c>
    </row>
    <row r="3697">
      <c r="T3697" s="258">
        <f>IF(R3697="","",IFERROR(TODAY()+VLOOKUP(R3697,REGRAS!$B$2:$C$13,2,0),""))</f>
        <v/>
      </c>
    </row>
    <row r="3698">
      <c r="T3698" s="258">
        <f>IF(R3698="","",IFERROR(TODAY()+VLOOKUP(R3698,REGRAS!$B$2:$C$13,2,0),""))</f>
        <v/>
      </c>
    </row>
    <row r="3699">
      <c r="T3699" s="258">
        <f>IF(R3699="","",IFERROR(TODAY()+VLOOKUP(R3699,REGRAS!$B$2:$C$13,2,0),""))</f>
        <v/>
      </c>
    </row>
    <row r="3700">
      <c r="T3700" s="258">
        <f>IF(R3700="","",IFERROR(TODAY()+VLOOKUP(R3700,REGRAS!$B$2:$C$13,2,0),""))</f>
        <v/>
      </c>
    </row>
    <row r="3701">
      <c r="T3701" s="258">
        <f>IF(R3701="","",IFERROR(TODAY()+VLOOKUP(R3701,REGRAS!$B$2:$C$13,2,0),""))</f>
        <v/>
      </c>
    </row>
    <row r="3702">
      <c r="T3702" s="258">
        <f>IF(R3702="","",IFERROR(TODAY()+VLOOKUP(R3702,REGRAS!$B$2:$C$13,2,0),""))</f>
        <v/>
      </c>
    </row>
    <row r="3703">
      <c r="T3703" s="258">
        <f>IF(R3703="","",IFERROR(TODAY()+VLOOKUP(R3703,REGRAS!$B$2:$C$13,2,0),""))</f>
        <v/>
      </c>
    </row>
    <row r="3704">
      <c r="T3704" s="258">
        <f>IF(R3704="","",IFERROR(TODAY()+VLOOKUP(R3704,REGRAS!$B$2:$C$13,2,0),""))</f>
        <v/>
      </c>
    </row>
    <row r="3705">
      <c r="T3705" s="258">
        <f>IF(R3705="","",IFERROR(TODAY()+VLOOKUP(R3705,REGRAS!$B$2:$C$13,2,0),""))</f>
        <v/>
      </c>
    </row>
    <row r="3706">
      <c r="T3706" s="258">
        <f>IF(R3706="","",IFERROR(TODAY()+VLOOKUP(R3706,REGRAS!$B$2:$C$13,2,0),""))</f>
        <v/>
      </c>
    </row>
    <row r="3707">
      <c r="T3707" s="258">
        <f>IF(R3707="","",IFERROR(TODAY()+VLOOKUP(R3707,REGRAS!$B$2:$C$13,2,0),""))</f>
        <v/>
      </c>
    </row>
    <row r="3708">
      <c r="T3708" s="258">
        <f>IF(R3708="","",IFERROR(TODAY()+VLOOKUP(R3708,REGRAS!$B$2:$C$13,2,0),""))</f>
        <v/>
      </c>
    </row>
    <row r="3709">
      <c r="T3709" s="258">
        <f>IF(R3709="","",IFERROR(TODAY()+VLOOKUP(R3709,REGRAS!$B$2:$C$13,2,0),""))</f>
        <v/>
      </c>
    </row>
    <row r="3710">
      <c r="T3710" s="258">
        <f>IF(R3710="","",IFERROR(TODAY()+VLOOKUP(R3710,REGRAS!$B$2:$C$13,2,0),""))</f>
        <v/>
      </c>
    </row>
    <row r="3711">
      <c r="T3711" s="258">
        <f>IF(R3711="","",IFERROR(TODAY()+VLOOKUP(R3711,REGRAS!$B$2:$C$13,2,0),""))</f>
        <v/>
      </c>
    </row>
    <row r="3712">
      <c r="T3712" s="258">
        <f>IF(R3712="","",IFERROR(TODAY()+VLOOKUP(R3712,REGRAS!$B$2:$C$13,2,0),""))</f>
        <v/>
      </c>
    </row>
    <row r="3713">
      <c r="T3713" s="258">
        <f>IF(R3713="","",IFERROR(TODAY()+VLOOKUP(R3713,REGRAS!$B$2:$C$13,2,0),""))</f>
        <v/>
      </c>
    </row>
    <row r="3714">
      <c r="T3714" s="258">
        <f>IF(R3714="","",IFERROR(TODAY()+VLOOKUP(R3714,REGRAS!$B$2:$C$13,2,0),""))</f>
        <v/>
      </c>
    </row>
    <row r="3715">
      <c r="T3715" s="258">
        <f>IF(R3715="","",IFERROR(TODAY()+VLOOKUP(R3715,REGRAS!$B$2:$C$13,2,0),""))</f>
        <v/>
      </c>
    </row>
    <row r="3716">
      <c r="T3716" s="258">
        <f>IF(R3716="","",IFERROR(TODAY()+VLOOKUP(R3716,REGRAS!$B$2:$C$13,2,0),""))</f>
        <v/>
      </c>
    </row>
    <row r="3717">
      <c r="T3717" s="258">
        <f>IF(R3717="","",IFERROR(TODAY()+VLOOKUP(R3717,REGRAS!$B$2:$C$13,2,0),""))</f>
        <v/>
      </c>
    </row>
    <row r="3718">
      <c r="T3718" s="258">
        <f>IF(R3718="","",IFERROR(TODAY()+VLOOKUP(R3718,REGRAS!$B$2:$C$13,2,0),""))</f>
        <v/>
      </c>
    </row>
    <row r="3719">
      <c r="T3719" s="258">
        <f>IF(R3719="","",IFERROR(TODAY()+VLOOKUP(R3719,REGRAS!$B$2:$C$13,2,0),""))</f>
        <v/>
      </c>
    </row>
    <row r="3720">
      <c r="T3720" s="258">
        <f>IF(R3720="","",IFERROR(TODAY()+VLOOKUP(R3720,REGRAS!$B$2:$C$13,2,0),""))</f>
        <v/>
      </c>
    </row>
    <row r="3721">
      <c r="T3721" s="258">
        <f>IF(R3721="","",IFERROR(TODAY()+VLOOKUP(R3721,REGRAS!$B$2:$C$13,2,0),""))</f>
        <v/>
      </c>
    </row>
    <row r="3722">
      <c r="T3722" s="258">
        <f>IF(R3722="","",IFERROR(TODAY()+VLOOKUP(R3722,REGRAS!$B$2:$C$13,2,0),""))</f>
        <v/>
      </c>
    </row>
    <row r="3723">
      <c r="T3723" s="258">
        <f>IF(R3723="","",IFERROR(TODAY()+VLOOKUP(R3723,REGRAS!$B$2:$C$13,2,0),""))</f>
        <v/>
      </c>
    </row>
    <row r="3724">
      <c r="T3724" s="258">
        <f>IF(R3724="","",IFERROR(TODAY()+VLOOKUP(R3724,REGRAS!$B$2:$C$13,2,0),""))</f>
        <v/>
      </c>
    </row>
    <row r="3725">
      <c r="T3725" s="258">
        <f>IF(R3725="","",IFERROR(TODAY()+VLOOKUP(R3725,REGRAS!$B$2:$C$13,2,0),""))</f>
        <v/>
      </c>
    </row>
    <row r="3726">
      <c r="T3726" s="258">
        <f>IF(R3726="","",IFERROR(TODAY()+VLOOKUP(R3726,REGRAS!$B$2:$C$13,2,0),""))</f>
        <v/>
      </c>
    </row>
    <row r="3727">
      <c r="T3727" s="258">
        <f>IF(R3727="","",IFERROR(TODAY()+VLOOKUP(R3727,REGRAS!$B$2:$C$13,2,0),""))</f>
        <v/>
      </c>
    </row>
    <row r="3728">
      <c r="T3728" s="258">
        <f>IF(R3728="","",IFERROR(TODAY()+VLOOKUP(R3728,REGRAS!$B$2:$C$13,2,0),""))</f>
        <v/>
      </c>
    </row>
    <row r="3729">
      <c r="T3729" s="258">
        <f>IF(R3729="","",IFERROR(TODAY()+VLOOKUP(R3729,REGRAS!$B$2:$C$13,2,0),""))</f>
        <v/>
      </c>
    </row>
    <row r="3730">
      <c r="T3730" s="258">
        <f>IF(R3730="","",IFERROR(TODAY()+VLOOKUP(R3730,REGRAS!$B$2:$C$13,2,0),""))</f>
        <v/>
      </c>
    </row>
    <row r="3731">
      <c r="T3731" s="258">
        <f>IF(R3731="","",IFERROR(TODAY()+VLOOKUP(R3731,REGRAS!$B$2:$C$13,2,0),""))</f>
        <v/>
      </c>
    </row>
    <row r="3732">
      <c r="T3732" s="258">
        <f>IF(R3732="","",IFERROR(TODAY()+VLOOKUP(R3732,REGRAS!$B$2:$C$13,2,0),""))</f>
        <v/>
      </c>
    </row>
    <row r="3733">
      <c r="T3733" s="258">
        <f>IF(R3733="","",IFERROR(TODAY()+VLOOKUP(R3733,REGRAS!$B$2:$C$13,2,0),""))</f>
        <v/>
      </c>
    </row>
    <row r="3734">
      <c r="T3734" s="258">
        <f>IF(R3734="","",IFERROR(TODAY()+VLOOKUP(R3734,REGRAS!$B$2:$C$13,2,0),""))</f>
        <v/>
      </c>
    </row>
    <row r="3735">
      <c r="T3735" s="258">
        <f>IF(R3735="","",IFERROR(TODAY()+VLOOKUP(R3735,REGRAS!$B$2:$C$13,2,0),""))</f>
        <v/>
      </c>
    </row>
    <row r="3736">
      <c r="T3736" s="258">
        <f>IF(R3736="","",IFERROR(TODAY()+VLOOKUP(R3736,REGRAS!$B$2:$C$13,2,0),""))</f>
        <v/>
      </c>
    </row>
    <row r="3737">
      <c r="T3737" s="258">
        <f>IF(R3737="","",IFERROR(TODAY()+VLOOKUP(R3737,REGRAS!$B$2:$C$13,2,0),""))</f>
        <v/>
      </c>
    </row>
    <row r="3738">
      <c r="T3738" s="258">
        <f>IF(R3738="","",IFERROR(TODAY()+VLOOKUP(R3738,REGRAS!$B$2:$C$13,2,0),""))</f>
        <v/>
      </c>
    </row>
    <row r="3739">
      <c r="T3739" s="258">
        <f>IF(R3739="","",IFERROR(TODAY()+VLOOKUP(R3739,REGRAS!$B$2:$C$13,2,0),""))</f>
        <v/>
      </c>
    </row>
    <row r="3740">
      <c r="T3740" s="258">
        <f>IF(R3740="","",IFERROR(TODAY()+VLOOKUP(R3740,REGRAS!$B$2:$C$13,2,0),""))</f>
        <v/>
      </c>
    </row>
    <row r="3741">
      <c r="T3741" s="258">
        <f>IF(R3741="","",IFERROR(TODAY()+VLOOKUP(R3741,REGRAS!$B$2:$C$13,2,0),""))</f>
        <v/>
      </c>
    </row>
    <row r="3742">
      <c r="T3742" s="258">
        <f>IF(R3742="","",IFERROR(TODAY()+VLOOKUP(R3742,REGRAS!$B$2:$C$13,2,0),""))</f>
        <v/>
      </c>
    </row>
    <row r="3743">
      <c r="T3743" s="258">
        <f>IF(R3743="","",IFERROR(TODAY()+VLOOKUP(R3743,REGRAS!$B$2:$C$13,2,0),""))</f>
        <v/>
      </c>
    </row>
    <row r="3744">
      <c r="T3744" s="258">
        <f>IF(R3744="","",IFERROR(TODAY()+VLOOKUP(R3744,REGRAS!$B$2:$C$13,2,0),""))</f>
        <v/>
      </c>
    </row>
    <row r="3745">
      <c r="T3745" s="258">
        <f>IF(R3745="","",IFERROR(TODAY()+VLOOKUP(R3745,REGRAS!$B$2:$C$13,2,0),""))</f>
        <v/>
      </c>
    </row>
    <row r="3746">
      <c r="T3746" s="258">
        <f>IF(R3746="","",IFERROR(TODAY()+VLOOKUP(R3746,REGRAS!$B$2:$C$13,2,0),""))</f>
        <v/>
      </c>
    </row>
    <row r="3747">
      <c r="T3747" s="258">
        <f>IF(R3747="","",IFERROR(TODAY()+VLOOKUP(R3747,REGRAS!$B$2:$C$13,2,0),""))</f>
        <v/>
      </c>
    </row>
    <row r="3748">
      <c r="T3748" s="258">
        <f>IF(R3748="","",IFERROR(TODAY()+VLOOKUP(R3748,REGRAS!$B$2:$C$13,2,0),""))</f>
        <v/>
      </c>
    </row>
    <row r="3749">
      <c r="T3749" s="258">
        <f>IF(R3749="","",IFERROR(TODAY()+VLOOKUP(R3749,REGRAS!$B$2:$C$13,2,0),""))</f>
        <v/>
      </c>
    </row>
    <row r="3750">
      <c r="T3750" s="258">
        <f>IF(R3750="","",IFERROR(TODAY()+VLOOKUP(R3750,REGRAS!$B$2:$C$13,2,0),""))</f>
        <v/>
      </c>
    </row>
    <row r="3751">
      <c r="T3751" s="258">
        <f>IF(R3751="","",IFERROR(TODAY()+VLOOKUP(R3751,REGRAS!$B$2:$C$13,2,0),""))</f>
        <v/>
      </c>
    </row>
    <row r="3752">
      <c r="T3752" s="258">
        <f>IF(R3752="","",IFERROR(TODAY()+VLOOKUP(R3752,REGRAS!$B$2:$C$13,2,0),""))</f>
        <v/>
      </c>
    </row>
    <row r="3753">
      <c r="T3753" s="258">
        <f>IF(R3753="","",IFERROR(TODAY()+VLOOKUP(R3753,REGRAS!$B$2:$C$13,2,0),""))</f>
        <v/>
      </c>
    </row>
    <row r="3754">
      <c r="T3754" s="258">
        <f>IF(R3754="","",IFERROR(TODAY()+VLOOKUP(R3754,REGRAS!$B$2:$C$13,2,0),""))</f>
        <v/>
      </c>
    </row>
    <row r="3755">
      <c r="T3755" s="258">
        <f>IF(R3755="","",IFERROR(TODAY()+VLOOKUP(R3755,REGRAS!$B$2:$C$13,2,0),""))</f>
        <v/>
      </c>
    </row>
    <row r="3756">
      <c r="T3756" s="258">
        <f>IF(R3756="","",IFERROR(TODAY()+VLOOKUP(R3756,REGRAS!$B$2:$C$13,2,0),""))</f>
        <v/>
      </c>
    </row>
    <row r="3757">
      <c r="T3757" s="258">
        <f>IF(R3757="","",IFERROR(TODAY()+VLOOKUP(R3757,REGRAS!$B$2:$C$13,2,0),""))</f>
        <v/>
      </c>
    </row>
    <row r="3758">
      <c r="T3758" s="258">
        <f>IF(R3758="","",IFERROR(TODAY()+VLOOKUP(R3758,REGRAS!$B$2:$C$13,2,0),""))</f>
        <v/>
      </c>
    </row>
    <row r="3759">
      <c r="T3759" s="258">
        <f>IF(R3759="","",IFERROR(TODAY()+VLOOKUP(R3759,REGRAS!$B$2:$C$13,2,0),""))</f>
        <v/>
      </c>
    </row>
    <row r="3760">
      <c r="T3760" s="258">
        <f>IF(R3760="","",IFERROR(TODAY()+VLOOKUP(R3760,REGRAS!$B$2:$C$13,2,0),""))</f>
        <v/>
      </c>
    </row>
    <row r="3761">
      <c r="T3761" s="258">
        <f>IF(R3761="","",IFERROR(TODAY()+VLOOKUP(R3761,REGRAS!$B$2:$C$13,2,0),""))</f>
        <v/>
      </c>
    </row>
    <row r="3762">
      <c r="T3762" s="258">
        <f>IF(R3762="","",IFERROR(TODAY()+VLOOKUP(R3762,REGRAS!$B$2:$C$13,2,0),""))</f>
        <v/>
      </c>
    </row>
    <row r="3763">
      <c r="T3763" s="258">
        <f>IF(R3763="","",IFERROR(TODAY()+VLOOKUP(R3763,REGRAS!$B$2:$C$13,2,0),""))</f>
        <v/>
      </c>
    </row>
    <row r="3764">
      <c r="T3764" s="258">
        <f>IF(R3764="","",IFERROR(TODAY()+VLOOKUP(R3764,REGRAS!$B$2:$C$13,2,0),""))</f>
        <v/>
      </c>
    </row>
    <row r="3765">
      <c r="T3765" s="258">
        <f>IF(R3765="","",IFERROR(TODAY()+VLOOKUP(R3765,REGRAS!$B$2:$C$13,2,0),""))</f>
        <v/>
      </c>
    </row>
    <row r="3766">
      <c r="T3766" s="258">
        <f>IF(R3766="","",IFERROR(TODAY()+VLOOKUP(R3766,REGRAS!$B$2:$C$13,2,0),""))</f>
        <v/>
      </c>
    </row>
    <row r="3767">
      <c r="T3767" s="258">
        <f>IF(R3767="","",IFERROR(TODAY()+VLOOKUP(R3767,REGRAS!$B$2:$C$13,2,0),""))</f>
        <v/>
      </c>
    </row>
    <row r="3768">
      <c r="T3768" s="258">
        <f>IF(R3768="","",IFERROR(TODAY()+VLOOKUP(R3768,REGRAS!$B$2:$C$13,2,0),""))</f>
        <v/>
      </c>
    </row>
    <row r="3769">
      <c r="T3769" s="258">
        <f>IF(R3769="","",IFERROR(TODAY()+VLOOKUP(R3769,REGRAS!$B$2:$C$13,2,0),""))</f>
        <v/>
      </c>
    </row>
    <row r="3770">
      <c r="T3770" s="258">
        <f>IF(R3770="","",IFERROR(TODAY()+VLOOKUP(R3770,REGRAS!$B$2:$C$13,2,0),""))</f>
        <v/>
      </c>
    </row>
    <row r="3771">
      <c r="T3771" s="258">
        <f>IF(R3771="","",IFERROR(TODAY()+VLOOKUP(R3771,REGRAS!$B$2:$C$13,2,0),""))</f>
        <v/>
      </c>
    </row>
    <row r="3772">
      <c r="T3772" s="258">
        <f>IF(R3772="","",IFERROR(TODAY()+VLOOKUP(R3772,REGRAS!$B$2:$C$13,2,0),""))</f>
        <v/>
      </c>
    </row>
    <row r="3773">
      <c r="T3773" s="258">
        <f>IF(R3773="","",IFERROR(TODAY()+VLOOKUP(R3773,REGRAS!$B$2:$C$13,2,0),""))</f>
        <v/>
      </c>
    </row>
    <row r="3774">
      <c r="T3774" s="258">
        <f>IF(R3774="","",IFERROR(TODAY()+VLOOKUP(R3774,REGRAS!$B$2:$C$13,2,0),""))</f>
        <v/>
      </c>
    </row>
    <row r="3775">
      <c r="T3775" s="258">
        <f>IF(R3775="","",IFERROR(TODAY()+VLOOKUP(R3775,REGRAS!$B$2:$C$13,2,0),""))</f>
        <v/>
      </c>
    </row>
    <row r="3776">
      <c r="T3776" s="258">
        <f>IF(R3776="","",IFERROR(TODAY()+VLOOKUP(R3776,REGRAS!$B$2:$C$13,2,0),""))</f>
        <v/>
      </c>
    </row>
    <row r="3777">
      <c r="T3777" s="258">
        <f>IF(R3777="","",IFERROR(TODAY()+VLOOKUP(R3777,REGRAS!$B$2:$C$13,2,0),""))</f>
        <v/>
      </c>
    </row>
    <row r="3778">
      <c r="T3778" s="258">
        <f>IF(R3778="","",IFERROR(TODAY()+VLOOKUP(R3778,REGRAS!$B$2:$C$13,2,0),""))</f>
        <v/>
      </c>
    </row>
    <row r="3779">
      <c r="T3779" s="258">
        <f>IF(R3779="","",IFERROR(TODAY()+VLOOKUP(R3779,REGRAS!$B$2:$C$13,2,0),""))</f>
        <v/>
      </c>
    </row>
    <row r="3780">
      <c r="T3780" s="258">
        <f>IF(R3780="","",IFERROR(TODAY()+VLOOKUP(R3780,REGRAS!$B$2:$C$13,2,0),""))</f>
        <v/>
      </c>
    </row>
    <row r="3781">
      <c r="T3781" s="258">
        <f>IF(R3781="","",IFERROR(TODAY()+VLOOKUP(R3781,REGRAS!$B$2:$C$13,2,0),""))</f>
        <v/>
      </c>
    </row>
    <row r="3782">
      <c r="T3782" s="258">
        <f>IF(R3782="","",IFERROR(TODAY()+VLOOKUP(R3782,REGRAS!$B$2:$C$13,2,0),""))</f>
        <v/>
      </c>
    </row>
    <row r="3783">
      <c r="T3783" s="258">
        <f>IF(R3783="","",IFERROR(TODAY()+VLOOKUP(R3783,REGRAS!$B$2:$C$13,2,0),""))</f>
        <v/>
      </c>
    </row>
    <row r="3784">
      <c r="T3784" s="258">
        <f>IF(R3784="","",IFERROR(TODAY()+VLOOKUP(R3784,REGRAS!$B$2:$C$13,2,0),""))</f>
        <v/>
      </c>
    </row>
    <row r="3785">
      <c r="T3785" s="258">
        <f>IF(R3785="","",IFERROR(TODAY()+VLOOKUP(R3785,REGRAS!$B$2:$C$13,2,0),""))</f>
        <v/>
      </c>
    </row>
    <row r="3786">
      <c r="T3786" s="258">
        <f>IF(R3786="","",IFERROR(TODAY()+VLOOKUP(R3786,REGRAS!$B$2:$C$13,2,0),""))</f>
        <v/>
      </c>
    </row>
    <row r="3787">
      <c r="T3787" s="258">
        <f>IF(R3787="","",IFERROR(TODAY()+VLOOKUP(R3787,REGRAS!$B$2:$C$13,2,0),""))</f>
        <v/>
      </c>
    </row>
    <row r="3788">
      <c r="T3788" s="258">
        <f>IF(R3788="","",IFERROR(TODAY()+VLOOKUP(R3788,REGRAS!$B$2:$C$13,2,0),""))</f>
        <v/>
      </c>
    </row>
    <row r="3789">
      <c r="T3789" s="258">
        <f>IF(R3789="","",IFERROR(TODAY()+VLOOKUP(R3789,REGRAS!$B$2:$C$13,2,0),""))</f>
        <v/>
      </c>
    </row>
    <row r="3790">
      <c r="T3790" s="258">
        <f>IF(R3790="","",IFERROR(TODAY()+VLOOKUP(R3790,REGRAS!$B$2:$C$13,2,0),""))</f>
        <v/>
      </c>
    </row>
    <row r="3791">
      <c r="T3791" s="258">
        <f>IF(R3791="","",IFERROR(TODAY()+VLOOKUP(R3791,REGRAS!$B$2:$C$13,2,0),""))</f>
        <v/>
      </c>
    </row>
    <row r="3792">
      <c r="T3792" s="258">
        <f>IF(R3792="","",IFERROR(TODAY()+VLOOKUP(R3792,REGRAS!$B$2:$C$13,2,0),""))</f>
        <v/>
      </c>
    </row>
    <row r="3793">
      <c r="T3793" s="258">
        <f>IF(R3793="","",IFERROR(TODAY()+VLOOKUP(R3793,REGRAS!$B$2:$C$13,2,0),""))</f>
        <v/>
      </c>
    </row>
    <row r="3794">
      <c r="T3794" s="258">
        <f>IF(R3794="","",IFERROR(TODAY()+VLOOKUP(R3794,REGRAS!$B$2:$C$13,2,0),""))</f>
        <v/>
      </c>
    </row>
    <row r="3795">
      <c r="T3795" s="258">
        <f>IF(R3795="","",IFERROR(TODAY()+VLOOKUP(R3795,REGRAS!$B$2:$C$13,2,0),""))</f>
        <v/>
      </c>
    </row>
    <row r="3796">
      <c r="T3796" s="258">
        <f>IF(R3796="","",IFERROR(TODAY()+VLOOKUP(R3796,REGRAS!$B$2:$C$13,2,0),""))</f>
        <v/>
      </c>
    </row>
    <row r="3797">
      <c r="T3797" s="258">
        <f>IF(R3797="","",IFERROR(TODAY()+VLOOKUP(R3797,REGRAS!$B$2:$C$13,2,0),""))</f>
        <v/>
      </c>
    </row>
    <row r="3798">
      <c r="T3798" s="258">
        <f>IF(R3798="","",IFERROR(TODAY()+VLOOKUP(R3798,REGRAS!$B$2:$C$13,2,0),""))</f>
        <v/>
      </c>
    </row>
    <row r="3799">
      <c r="T3799" s="258">
        <f>IF(R3799="","",IFERROR(TODAY()+VLOOKUP(R3799,REGRAS!$B$2:$C$13,2,0),""))</f>
        <v/>
      </c>
    </row>
    <row r="3800">
      <c r="T3800" s="258">
        <f>IF(R3800="","",IFERROR(TODAY()+VLOOKUP(R3800,REGRAS!$B$2:$C$13,2,0),""))</f>
        <v/>
      </c>
    </row>
    <row r="3801">
      <c r="T3801" s="258">
        <f>IF(R3801="","",IFERROR(TODAY()+VLOOKUP(R3801,REGRAS!$B$2:$C$13,2,0),""))</f>
        <v/>
      </c>
    </row>
    <row r="3802">
      <c r="T3802" s="258">
        <f>IF(R3802="","",IFERROR(TODAY()+VLOOKUP(R3802,REGRAS!$B$2:$C$13,2,0),""))</f>
        <v/>
      </c>
    </row>
    <row r="3803">
      <c r="T3803" s="258">
        <f>IF(R3803="","",IFERROR(TODAY()+VLOOKUP(R3803,REGRAS!$B$2:$C$13,2,0),""))</f>
        <v/>
      </c>
    </row>
    <row r="3804">
      <c r="T3804" s="258">
        <f>IF(R3804="","",IFERROR(TODAY()+VLOOKUP(R3804,REGRAS!$B$2:$C$13,2,0),""))</f>
        <v/>
      </c>
    </row>
    <row r="3805">
      <c r="T3805" s="258">
        <f>IF(R3805="","",IFERROR(TODAY()+VLOOKUP(R3805,REGRAS!$B$2:$C$13,2,0),""))</f>
        <v/>
      </c>
    </row>
    <row r="3806">
      <c r="T3806" s="258">
        <f>IF(R3806="","",IFERROR(TODAY()+VLOOKUP(R3806,REGRAS!$B$2:$C$13,2,0),""))</f>
        <v/>
      </c>
    </row>
    <row r="3807">
      <c r="T3807" s="258">
        <f>IF(R3807="","",IFERROR(TODAY()+VLOOKUP(R3807,REGRAS!$B$2:$C$13,2,0),""))</f>
        <v/>
      </c>
    </row>
    <row r="3808">
      <c r="T3808" s="258">
        <f>IF(R3808="","",IFERROR(TODAY()+VLOOKUP(R3808,REGRAS!$B$2:$C$13,2,0),""))</f>
        <v/>
      </c>
    </row>
    <row r="3809">
      <c r="T3809" s="258">
        <f>IF(R3809="","",IFERROR(TODAY()+VLOOKUP(R3809,REGRAS!$B$2:$C$13,2,0),""))</f>
        <v/>
      </c>
    </row>
    <row r="3810">
      <c r="T3810" s="258">
        <f>IF(R3810="","",IFERROR(TODAY()+VLOOKUP(R3810,REGRAS!$B$2:$C$13,2,0),""))</f>
        <v/>
      </c>
    </row>
    <row r="3811">
      <c r="T3811" s="258">
        <f>IF(R3811="","",IFERROR(TODAY()+VLOOKUP(R3811,REGRAS!$B$2:$C$13,2,0),""))</f>
        <v/>
      </c>
    </row>
    <row r="3812">
      <c r="T3812" s="258">
        <f>IF(R3812="","",IFERROR(TODAY()+VLOOKUP(R3812,REGRAS!$B$2:$C$13,2,0),""))</f>
        <v/>
      </c>
    </row>
    <row r="3813">
      <c r="T3813" s="258">
        <f>IF(R3813="","",IFERROR(TODAY()+VLOOKUP(R3813,REGRAS!$B$2:$C$13,2,0),""))</f>
        <v/>
      </c>
    </row>
    <row r="3814">
      <c r="T3814" s="258">
        <f>IF(R3814="","",IFERROR(TODAY()+VLOOKUP(R3814,REGRAS!$B$2:$C$13,2,0),""))</f>
        <v/>
      </c>
    </row>
    <row r="3815">
      <c r="T3815" s="258">
        <f>IF(R3815="","",IFERROR(TODAY()+VLOOKUP(R3815,REGRAS!$B$2:$C$13,2,0),""))</f>
        <v/>
      </c>
    </row>
    <row r="3816">
      <c r="T3816" s="258">
        <f>IF(R3816="","",IFERROR(TODAY()+VLOOKUP(R3816,REGRAS!$B$2:$C$13,2,0),""))</f>
        <v/>
      </c>
    </row>
    <row r="3817">
      <c r="T3817" s="258">
        <f>IF(R3817="","",IFERROR(TODAY()+VLOOKUP(R3817,REGRAS!$B$2:$C$13,2,0),""))</f>
        <v/>
      </c>
    </row>
    <row r="3818">
      <c r="T3818" s="258">
        <f>IF(R3818="","",IFERROR(TODAY()+VLOOKUP(R3818,REGRAS!$B$2:$C$13,2,0),""))</f>
        <v/>
      </c>
    </row>
    <row r="3819">
      <c r="T3819" s="258">
        <f>IF(R3819="","",IFERROR(TODAY()+VLOOKUP(R3819,REGRAS!$B$2:$C$13,2,0),""))</f>
        <v/>
      </c>
    </row>
    <row r="3820">
      <c r="T3820" s="258">
        <f>IF(R3820="","",IFERROR(TODAY()+VLOOKUP(R3820,REGRAS!$B$2:$C$13,2,0),""))</f>
        <v/>
      </c>
    </row>
    <row r="3821">
      <c r="T3821" s="258">
        <f>IF(R3821="","",IFERROR(TODAY()+VLOOKUP(R3821,REGRAS!$B$2:$C$13,2,0),""))</f>
        <v/>
      </c>
    </row>
    <row r="3822">
      <c r="T3822" s="258">
        <f>IF(R3822="","",IFERROR(TODAY()+VLOOKUP(R3822,REGRAS!$B$2:$C$13,2,0),""))</f>
        <v/>
      </c>
    </row>
    <row r="3823">
      <c r="T3823" s="258">
        <f>IF(R3823="","",IFERROR(TODAY()+VLOOKUP(R3823,REGRAS!$B$2:$C$13,2,0),""))</f>
        <v/>
      </c>
    </row>
    <row r="3824">
      <c r="T3824" s="258">
        <f>IF(R3824="","",IFERROR(TODAY()+VLOOKUP(R3824,REGRAS!$B$2:$C$13,2,0),""))</f>
        <v/>
      </c>
    </row>
    <row r="3825">
      <c r="T3825" s="258">
        <f>IF(R3825="","",IFERROR(TODAY()+VLOOKUP(R3825,REGRAS!$B$2:$C$13,2,0),""))</f>
        <v/>
      </c>
    </row>
    <row r="3826">
      <c r="T3826" s="258">
        <f>IF(R3826="","",IFERROR(TODAY()+VLOOKUP(R3826,REGRAS!$B$2:$C$13,2,0),""))</f>
        <v/>
      </c>
    </row>
    <row r="3827">
      <c r="T3827" s="258">
        <f>IF(R3827="","",IFERROR(TODAY()+VLOOKUP(R3827,REGRAS!$B$2:$C$13,2,0),""))</f>
        <v/>
      </c>
    </row>
    <row r="3828">
      <c r="T3828" s="258">
        <f>IF(R3828="","",IFERROR(TODAY()+VLOOKUP(R3828,REGRAS!$B$2:$C$13,2,0),""))</f>
        <v/>
      </c>
    </row>
    <row r="3829">
      <c r="T3829" s="258">
        <f>IF(R3829="","",IFERROR(TODAY()+VLOOKUP(R3829,REGRAS!$B$2:$C$13,2,0),""))</f>
        <v/>
      </c>
    </row>
    <row r="3830">
      <c r="T3830" s="258">
        <f>IF(R3830="","",IFERROR(TODAY()+VLOOKUP(R3830,REGRAS!$B$2:$C$13,2,0),""))</f>
        <v/>
      </c>
    </row>
    <row r="3831">
      <c r="T3831" s="258">
        <f>IF(R3831="","",IFERROR(TODAY()+VLOOKUP(R3831,REGRAS!$B$2:$C$13,2,0),""))</f>
        <v/>
      </c>
    </row>
    <row r="3832">
      <c r="T3832" s="258">
        <f>IF(R3832="","",IFERROR(TODAY()+VLOOKUP(R3832,REGRAS!$B$2:$C$13,2,0),""))</f>
        <v/>
      </c>
    </row>
    <row r="3833">
      <c r="T3833" s="258">
        <f>IF(R3833="","",IFERROR(TODAY()+VLOOKUP(R3833,REGRAS!$B$2:$C$13,2,0),""))</f>
        <v/>
      </c>
    </row>
    <row r="3834">
      <c r="T3834" s="258">
        <f>IF(R3834="","",IFERROR(TODAY()+VLOOKUP(R3834,REGRAS!$B$2:$C$13,2,0),""))</f>
        <v/>
      </c>
    </row>
    <row r="3835">
      <c r="T3835" s="258">
        <f>IF(R3835="","",IFERROR(TODAY()+VLOOKUP(R3835,REGRAS!$B$2:$C$13,2,0),""))</f>
        <v/>
      </c>
    </row>
    <row r="3836">
      <c r="T3836" s="258">
        <f>IF(R3836="","",IFERROR(TODAY()+VLOOKUP(R3836,REGRAS!$B$2:$C$13,2,0),""))</f>
        <v/>
      </c>
    </row>
    <row r="3837">
      <c r="T3837" s="258">
        <f>IF(R3837="","",IFERROR(TODAY()+VLOOKUP(R3837,REGRAS!$B$2:$C$13,2,0),""))</f>
        <v/>
      </c>
    </row>
    <row r="3838">
      <c r="T3838" s="258">
        <f>IF(R3838="","",IFERROR(TODAY()+VLOOKUP(R3838,REGRAS!$B$2:$C$13,2,0),""))</f>
        <v/>
      </c>
    </row>
    <row r="3839">
      <c r="T3839" s="258">
        <f>IF(R3839="","",IFERROR(TODAY()+VLOOKUP(R3839,REGRAS!$B$2:$C$13,2,0),""))</f>
        <v/>
      </c>
    </row>
    <row r="3840">
      <c r="T3840" s="258">
        <f>IF(R3840="","",IFERROR(TODAY()+VLOOKUP(R3840,REGRAS!$B$2:$C$13,2,0),""))</f>
        <v/>
      </c>
    </row>
    <row r="3841">
      <c r="T3841" s="258">
        <f>IF(R3841="","",IFERROR(TODAY()+VLOOKUP(R3841,REGRAS!$B$2:$C$13,2,0),""))</f>
        <v/>
      </c>
    </row>
    <row r="3842">
      <c r="T3842" s="258">
        <f>IF(R3842="","",IFERROR(TODAY()+VLOOKUP(R3842,REGRAS!$B$2:$C$13,2,0),""))</f>
        <v/>
      </c>
    </row>
    <row r="3843">
      <c r="T3843" s="258">
        <f>IF(R3843="","",IFERROR(TODAY()+VLOOKUP(R3843,REGRAS!$B$2:$C$13,2,0),""))</f>
        <v/>
      </c>
    </row>
    <row r="3844">
      <c r="T3844" s="258">
        <f>IF(R3844="","",IFERROR(TODAY()+VLOOKUP(R3844,REGRAS!$B$2:$C$13,2,0),""))</f>
        <v/>
      </c>
    </row>
    <row r="3845">
      <c r="T3845" s="258">
        <f>IF(R3845="","",IFERROR(TODAY()+VLOOKUP(R3845,REGRAS!$B$2:$C$13,2,0),""))</f>
        <v/>
      </c>
    </row>
    <row r="3846">
      <c r="T3846" s="258">
        <f>IF(R3846="","",IFERROR(TODAY()+VLOOKUP(R3846,REGRAS!$B$2:$C$13,2,0),""))</f>
        <v/>
      </c>
    </row>
    <row r="3847">
      <c r="T3847" s="258">
        <f>IF(R3847="","",IFERROR(TODAY()+VLOOKUP(R3847,REGRAS!$B$2:$C$13,2,0),""))</f>
        <v/>
      </c>
    </row>
    <row r="3848">
      <c r="T3848" s="258">
        <f>IF(R3848="","",IFERROR(TODAY()+VLOOKUP(R3848,REGRAS!$B$2:$C$13,2,0),""))</f>
        <v/>
      </c>
    </row>
    <row r="3849">
      <c r="T3849" s="258">
        <f>IF(R3849="","",IFERROR(TODAY()+VLOOKUP(R3849,REGRAS!$B$2:$C$13,2,0),""))</f>
        <v/>
      </c>
    </row>
    <row r="3850">
      <c r="T3850" s="258">
        <f>IF(R3850="","",IFERROR(TODAY()+VLOOKUP(R3850,REGRAS!$B$2:$C$13,2,0),""))</f>
        <v/>
      </c>
    </row>
    <row r="3851">
      <c r="T3851" s="258">
        <f>IF(R3851="","",IFERROR(TODAY()+VLOOKUP(R3851,REGRAS!$B$2:$C$13,2,0),""))</f>
        <v/>
      </c>
    </row>
    <row r="3852">
      <c r="T3852" s="258">
        <f>IF(R3852="","",IFERROR(TODAY()+VLOOKUP(R3852,REGRAS!$B$2:$C$13,2,0),""))</f>
        <v/>
      </c>
    </row>
    <row r="3853">
      <c r="T3853" s="258">
        <f>IF(R3853="","",IFERROR(TODAY()+VLOOKUP(R3853,REGRAS!$B$2:$C$13,2,0),""))</f>
        <v/>
      </c>
    </row>
    <row r="3854">
      <c r="T3854" s="258">
        <f>IF(R3854="","",IFERROR(TODAY()+VLOOKUP(R3854,REGRAS!$B$2:$C$13,2,0),""))</f>
        <v/>
      </c>
    </row>
    <row r="3855">
      <c r="T3855" s="258">
        <f>IF(R3855="","",IFERROR(TODAY()+VLOOKUP(R3855,REGRAS!$B$2:$C$13,2,0),""))</f>
        <v/>
      </c>
    </row>
    <row r="3856">
      <c r="T3856" s="258">
        <f>IF(R3856="","",IFERROR(TODAY()+VLOOKUP(R3856,REGRAS!$B$2:$C$13,2,0),""))</f>
        <v/>
      </c>
    </row>
    <row r="3857">
      <c r="T3857" s="258">
        <f>IF(R3857="","",IFERROR(TODAY()+VLOOKUP(R3857,REGRAS!$B$2:$C$13,2,0),""))</f>
        <v/>
      </c>
    </row>
    <row r="3858">
      <c r="T3858" s="258">
        <f>IF(R3858="","",IFERROR(TODAY()+VLOOKUP(R3858,REGRAS!$B$2:$C$13,2,0),""))</f>
        <v/>
      </c>
    </row>
    <row r="3859">
      <c r="T3859" s="258">
        <f>IF(R3859="","",IFERROR(TODAY()+VLOOKUP(R3859,REGRAS!$B$2:$C$13,2,0),""))</f>
        <v/>
      </c>
    </row>
    <row r="3860">
      <c r="T3860" s="258">
        <f>IF(R3860="","",IFERROR(TODAY()+VLOOKUP(R3860,REGRAS!$B$2:$C$13,2,0),""))</f>
        <v/>
      </c>
    </row>
    <row r="3861">
      <c r="T3861" s="258">
        <f>IF(R3861="","",IFERROR(TODAY()+VLOOKUP(R3861,REGRAS!$B$2:$C$13,2,0),""))</f>
        <v/>
      </c>
    </row>
    <row r="3862">
      <c r="T3862" s="258">
        <f>IF(R3862="","",IFERROR(TODAY()+VLOOKUP(R3862,REGRAS!$B$2:$C$13,2,0),""))</f>
        <v/>
      </c>
    </row>
    <row r="3863">
      <c r="T3863" s="258">
        <f>IF(R3863="","",IFERROR(TODAY()+VLOOKUP(R3863,REGRAS!$B$2:$C$13,2,0),""))</f>
        <v/>
      </c>
    </row>
    <row r="3864">
      <c r="T3864" s="258">
        <f>IF(R3864="","",IFERROR(TODAY()+VLOOKUP(R3864,REGRAS!$B$2:$C$13,2,0),""))</f>
        <v/>
      </c>
    </row>
    <row r="3865">
      <c r="T3865" s="258">
        <f>IF(R3865="","",IFERROR(TODAY()+VLOOKUP(R3865,REGRAS!$B$2:$C$13,2,0),""))</f>
        <v/>
      </c>
    </row>
    <row r="3866">
      <c r="T3866" s="258">
        <f>IF(R3866="","",IFERROR(TODAY()+VLOOKUP(R3866,REGRAS!$B$2:$C$13,2,0),""))</f>
        <v/>
      </c>
    </row>
    <row r="3867">
      <c r="T3867" s="258">
        <f>IF(R3867="","",IFERROR(TODAY()+VLOOKUP(R3867,REGRAS!$B$2:$C$13,2,0),""))</f>
        <v/>
      </c>
    </row>
    <row r="3868">
      <c r="T3868" s="258">
        <f>IF(R3868="","",IFERROR(TODAY()+VLOOKUP(R3868,REGRAS!$B$2:$C$13,2,0),""))</f>
        <v/>
      </c>
    </row>
    <row r="3869">
      <c r="T3869" s="258">
        <f>IF(R3869="","",IFERROR(TODAY()+VLOOKUP(R3869,REGRAS!$B$2:$C$13,2,0),""))</f>
        <v/>
      </c>
    </row>
    <row r="3870">
      <c r="T3870" s="258">
        <f>IF(R3870="","",IFERROR(TODAY()+VLOOKUP(R3870,REGRAS!$B$2:$C$13,2,0),""))</f>
        <v/>
      </c>
    </row>
    <row r="3871">
      <c r="T3871" s="258">
        <f>IF(R3871="","",IFERROR(TODAY()+VLOOKUP(R3871,REGRAS!$B$2:$C$13,2,0),""))</f>
        <v/>
      </c>
    </row>
    <row r="3872">
      <c r="T3872" s="258">
        <f>IF(R3872="","",IFERROR(TODAY()+VLOOKUP(R3872,REGRAS!$B$2:$C$13,2,0),""))</f>
        <v/>
      </c>
    </row>
    <row r="3873">
      <c r="T3873" s="258">
        <f>IF(R3873="","",IFERROR(TODAY()+VLOOKUP(R3873,REGRAS!$B$2:$C$13,2,0),""))</f>
        <v/>
      </c>
    </row>
    <row r="3874">
      <c r="T3874" s="258">
        <f>IF(R3874="","",IFERROR(TODAY()+VLOOKUP(R3874,REGRAS!$B$2:$C$13,2,0),""))</f>
        <v/>
      </c>
    </row>
    <row r="3875">
      <c r="T3875" s="258">
        <f>IF(R3875="","",IFERROR(TODAY()+VLOOKUP(R3875,REGRAS!$B$2:$C$13,2,0),""))</f>
        <v/>
      </c>
    </row>
    <row r="3876">
      <c r="T3876" s="258">
        <f>IF(R3876="","",IFERROR(TODAY()+VLOOKUP(R3876,REGRAS!$B$2:$C$13,2,0),""))</f>
        <v/>
      </c>
    </row>
    <row r="3877">
      <c r="T3877" s="258">
        <f>IF(R3877="","",IFERROR(TODAY()+VLOOKUP(R3877,REGRAS!$B$2:$C$13,2,0),""))</f>
        <v/>
      </c>
    </row>
    <row r="3878">
      <c r="T3878" s="258">
        <f>IF(R3878="","",IFERROR(TODAY()+VLOOKUP(R3878,REGRAS!$B$2:$C$13,2,0),""))</f>
        <v/>
      </c>
    </row>
    <row r="3879">
      <c r="T3879" s="258">
        <f>IF(R3879="","",IFERROR(TODAY()+VLOOKUP(R3879,REGRAS!$B$2:$C$13,2,0),""))</f>
        <v/>
      </c>
    </row>
    <row r="3880">
      <c r="T3880" s="258">
        <f>IF(R3880="","",IFERROR(TODAY()+VLOOKUP(R3880,REGRAS!$B$2:$C$13,2,0),""))</f>
        <v/>
      </c>
    </row>
    <row r="3881">
      <c r="T3881" s="258">
        <f>IF(R3881="","",IFERROR(TODAY()+VLOOKUP(R3881,REGRAS!$B$2:$C$13,2,0),""))</f>
        <v/>
      </c>
    </row>
    <row r="3882">
      <c r="T3882" s="258">
        <f>IF(R3882="","",IFERROR(TODAY()+VLOOKUP(R3882,REGRAS!$B$2:$C$13,2,0),""))</f>
        <v/>
      </c>
    </row>
    <row r="3883">
      <c r="T3883" s="258">
        <f>IF(R3883="","",IFERROR(TODAY()+VLOOKUP(R3883,REGRAS!$B$2:$C$13,2,0),""))</f>
        <v/>
      </c>
    </row>
    <row r="3884">
      <c r="T3884" s="258">
        <f>IF(R3884="","",IFERROR(TODAY()+VLOOKUP(R3884,REGRAS!$B$2:$C$13,2,0),""))</f>
        <v/>
      </c>
    </row>
    <row r="3885">
      <c r="T3885" s="258">
        <f>IF(R3885="","",IFERROR(TODAY()+VLOOKUP(R3885,REGRAS!$B$2:$C$13,2,0),""))</f>
        <v/>
      </c>
    </row>
    <row r="3886">
      <c r="T3886" s="258">
        <f>IF(R3886="","",IFERROR(TODAY()+VLOOKUP(R3886,REGRAS!$B$2:$C$13,2,0),""))</f>
        <v/>
      </c>
    </row>
    <row r="3887">
      <c r="T3887" s="258">
        <f>IF(R3887="","",IFERROR(TODAY()+VLOOKUP(R3887,REGRAS!$B$2:$C$13,2,0),""))</f>
        <v/>
      </c>
    </row>
    <row r="3888">
      <c r="T3888" s="258">
        <f>IF(R3888="","",IFERROR(TODAY()+VLOOKUP(R3888,REGRAS!$B$2:$C$13,2,0),""))</f>
        <v/>
      </c>
    </row>
    <row r="3889">
      <c r="T3889" s="258">
        <f>IF(R3889="","",IFERROR(TODAY()+VLOOKUP(R3889,REGRAS!$B$2:$C$13,2,0),""))</f>
        <v/>
      </c>
    </row>
    <row r="3890">
      <c r="T3890" s="258">
        <f>IF(R3890="","",IFERROR(TODAY()+VLOOKUP(R3890,REGRAS!$B$2:$C$13,2,0),""))</f>
        <v/>
      </c>
    </row>
    <row r="3891">
      <c r="T3891" s="258">
        <f>IF(R3891="","",IFERROR(TODAY()+VLOOKUP(R3891,REGRAS!$B$2:$C$13,2,0),""))</f>
        <v/>
      </c>
    </row>
    <row r="3892">
      <c r="T3892" s="258">
        <f>IF(R3892="","",IFERROR(TODAY()+VLOOKUP(R3892,REGRAS!$B$2:$C$13,2,0),""))</f>
        <v/>
      </c>
    </row>
    <row r="3893">
      <c r="T3893" s="258">
        <f>IF(R3893="","",IFERROR(TODAY()+VLOOKUP(R3893,REGRAS!$B$2:$C$13,2,0),""))</f>
        <v/>
      </c>
    </row>
    <row r="3894">
      <c r="T3894" s="258">
        <f>IF(R3894="","",IFERROR(TODAY()+VLOOKUP(R3894,REGRAS!$B$2:$C$13,2,0),""))</f>
        <v/>
      </c>
    </row>
    <row r="3895">
      <c r="T3895" s="258">
        <f>IF(R3895="","",IFERROR(TODAY()+VLOOKUP(R3895,REGRAS!$B$2:$C$13,2,0),""))</f>
        <v/>
      </c>
    </row>
    <row r="3896">
      <c r="T3896" s="258">
        <f>IF(R3896="","",IFERROR(TODAY()+VLOOKUP(R3896,REGRAS!$B$2:$C$13,2,0),""))</f>
        <v/>
      </c>
    </row>
    <row r="3897">
      <c r="T3897" s="258">
        <f>IF(R3897="","",IFERROR(TODAY()+VLOOKUP(R3897,REGRAS!$B$2:$C$13,2,0),""))</f>
        <v/>
      </c>
    </row>
    <row r="3898">
      <c r="T3898" s="258">
        <f>IF(R3898="","",IFERROR(TODAY()+VLOOKUP(R3898,REGRAS!$B$2:$C$13,2,0),""))</f>
        <v/>
      </c>
    </row>
    <row r="3899">
      <c r="T3899" s="258">
        <f>IF(R3899="","",IFERROR(TODAY()+VLOOKUP(R3899,REGRAS!$B$2:$C$13,2,0),""))</f>
        <v/>
      </c>
    </row>
    <row r="3900">
      <c r="T3900" s="258">
        <f>IF(R3900="","",IFERROR(TODAY()+VLOOKUP(R3900,REGRAS!$B$2:$C$13,2,0),""))</f>
        <v/>
      </c>
    </row>
    <row r="3901">
      <c r="T3901" s="258">
        <f>IF(R3901="","",IFERROR(TODAY()+VLOOKUP(R3901,REGRAS!$B$2:$C$13,2,0),""))</f>
        <v/>
      </c>
    </row>
    <row r="3902">
      <c r="T3902" s="258">
        <f>IF(R3902="","",IFERROR(TODAY()+VLOOKUP(R3902,REGRAS!$B$2:$C$13,2,0),""))</f>
        <v/>
      </c>
    </row>
    <row r="3903">
      <c r="T3903" s="258">
        <f>IF(R3903="","",IFERROR(TODAY()+VLOOKUP(R3903,REGRAS!$B$2:$C$13,2,0),""))</f>
        <v/>
      </c>
    </row>
    <row r="3904">
      <c r="T3904" s="258">
        <f>IF(R3904="","",IFERROR(TODAY()+VLOOKUP(R3904,REGRAS!$B$2:$C$13,2,0),""))</f>
        <v/>
      </c>
    </row>
    <row r="3905">
      <c r="T3905" s="258">
        <f>IF(R3905="","",IFERROR(TODAY()+VLOOKUP(R3905,REGRAS!$B$2:$C$13,2,0),""))</f>
        <v/>
      </c>
    </row>
    <row r="3906">
      <c r="T3906" s="258">
        <f>IF(R3906="","",IFERROR(TODAY()+VLOOKUP(R3906,REGRAS!$B$2:$C$13,2,0),""))</f>
        <v/>
      </c>
    </row>
    <row r="3907">
      <c r="T3907" s="258">
        <f>IF(R3907="","",IFERROR(TODAY()+VLOOKUP(R3907,REGRAS!$B$2:$C$13,2,0),""))</f>
        <v/>
      </c>
    </row>
    <row r="3908">
      <c r="T3908" s="258">
        <f>IF(R3908="","",IFERROR(TODAY()+VLOOKUP(R3908,REGRAS!$B$2:$C$13,2,0),""))</f>
        <v/>
      </c>
    </row>
    <row r="3909">
      <c r="T3909" s="258">
        <f>IF(R3909="","",IFERROR(TODAY()+VLOOKUP(R3909,REGRAS!$B$2:$C$13,2,0),""))</f>
        <v/>
      </c>
    </row>
    <row r="3910">
      <c r="T3910" s="258">
        <f>IF(R3910="","",IFERROR(TODAY()+VLOOKUP(R3910,REGRAS!$B$2:$C$13,2,0),""))</f>
        <v/>
      </c>
    </row>
    <row r="3911">
      <c r="T3911" s="258">
        <f>IF(R3911="","",IFERROR(TODAY()+VLOOKUP(R3911,REGRAS!$B$2:$C$13,2,0),""))</f>
        <v/>
      </c>
    </row>
    <row r="3912">
      <c r="T3912" s="258">
        <f>IF(R3912="","",IFERROR(TODAY()+VLOOKUP(R3912,REGRAS!$B$2:$C$13,2,0),""))</f>
        <v/>
      </c>
    </row>
    <row r="3913">
      <c r="T3913" s="258">
        <f>IF(R3913="","",IFERROR(TODAY()+VLOOKUP(R3913,REGRAS!$B$2:$C$13,2,0),""))</f>
        <v/>
      </c>
    </row>
    <row r="3914">
      <c r="T3914" s="258">
        <f>IF(R3914="","",IFERROR(TODAY()+VLOOKUP(R3914,REGRAS!$B$2:$C$13,2,0),""))</f>
        <v/>
      </c>
    </row>
    <row r="3915">
      <c r="T3915" s="258">
        <f>IF(R3915="","",IFERROR(TODAY()+VLOOKUP(R3915,REGRAS!$B$2:$C$13,2,0),""))</f>
        <v/>
      </c>
    </row>
    <row r="3916">
      <c r="T3916" s="258">
        <f>IF(R3916="","",IFERROR(TODAY()+VLOOKUP(R3916,REGRAS!$B$2:$C$13,2,0),""))</f>
        <v/>
      </c>
    </row>
    <row r="3917">
      <c r="T3917" s="258">
        <f>IF(R3917="","",IFERROR(TODAY()+VLOOKUP(R3917,REGRAS!$B$2:$C$13,2,0),""))</f>
        <v/>
      </c>
    </row>
    <row r="3918">
      <c r="T3918" s="258">
        <f>IF(R3918="","",IFERROR(TODAY()+VLOOKUP(R3918,REGRAS!$B$2:$C$13,2,0),""))</f>
        <v/>
      </c>
    </row>
    <row r="3919">
      <c r="T3919" s="258">
        <f>IF(R3919="","",IFERROR(TODAY()+VLOOKUP(R3919,REGRAS!$B$2:$C$13,2,0),""))</f>
        <v/>
      </c>
    </row>
    <row r="3920">
      <c r="T3920" s="258">
        <f>IF(R3920="","",IFERROR(TODAY()+VLOOKUP(R3920,REGRAS!$B$2:$C$13,2,0),""))</f>
        <v/>
      </c>
    </row>
    <row r="3921">
      <c r="T3921" s="258">
        <f>IF(R3921="","",IFERROR(TODAY()+VLOOKUP(R3921,REGRAS!$B$2:$C$13,2,0),""))</f>
        <v/>
      </c>
    </row>
    <row r="3922">
      <c r="T3922" s="258">
        <f>IF(R3922="","",IFERROR(TODAY()+VLOOKUP(R3922,REGRAS!$B$2:$C$13,2,0),""))</f>
        <v/>
      </c>
    </row>
    <row r="3923">
      <c r="T3923" s="258">
        <f>IF(R3923="","",IFERROR(TODAY()+VLOOKUP(R3923,REGRAS!$B$2:$C$13,2,0),""))</f>
        <v/>
      </c>
    </row>
    <row r="3924">
      <c r="T3924" s="258">
        <f>IF(R3924="","",IFERROR(TODAY()+VLOOKUP(R3924,REGRAS!$B$2:$C$13,2,0),""))</f>
        <v/>
      </c>
    </row>
    <row r="3925">
      <c r="T3925" s="258">
        <f>IF(R3925="","",IFERROR(TODAY()+VLOOKUP(R3925,REGRAS!$B$2:$C$13,2,0),""))</f>
        <v/>
      </c>
    </row>
    <row r="3926">
      <c r="T3926" s="258">
        <f>IF(R3926="","",IFERROR(TODAY()+VLOOKUP(R3926,REGRAS!$B$2:$C$13,2,0),""))</f>
        <v/>
      </c>
    </row>
    <row r="3927">
      <c r="T3927" s="258">
        <f>IF(R3927="","",IFERROR(TODAY()+VLOOKUP(R3927,REGRAS!$B$2:$C$13,2,0),""))</f>
        <v/>
      </c>
    </row>
    <row r="3928">
      <c r="T3928" s="258">
        <f>IF(R3928="","",IFERROR(TODAY()+VLOOKUP(R3928,REGRAS!$B$2:$C$13,2,0),""))</f>
        <v/>
      </c>
    </row>
    <row r="3929">
      <c r="T3929" s="258">
        <f>IF(R3929="","",IFERROR(TODAY()+VLOOKUP(R3929,REGRAS!$B$2:$C$13,2,0),""))</f>
        <v/>
      </c>
    </row>
    <row r="3930">
      <c r="T3930" s="258">
        <f>IF(R3930="","",IFERROR(TODAY()+VLOOKUP(R3930,REGRAS!$B$2:$C$13,2,0),""))</f>
        <v/>
      </c>
    </row>
    <row r="3931">
      <c r="T3931" s="258">
        <f>IF(R3931="","",IFERROR(TODAY()+VLOOKUP(R3931,REGRAS!$B$2:$C$13,2,0),""))</f>
        <v/>
      </c>
    </row>
    <row r="3932">
      <c r="T3932" s="258">
        <f>IF(R3932="","",IFERROR(TODAY()+VLOOKUP(R3932,REGRAS!$B$2:$C$13,2,0),""))</f>
        <v/>
      </c>
    </row>
    <row r="3933">
      <c r="T3933" s="258">
        <f>IF(R3933="","",IFERROR(TODAY()+VLOOKUP(R3933,REGRAS!$B$2:$C$13,2,0),""))</f>
        <v/>
      </c>
    </row>
    <row r="3934">
      <c r="T3934" s="258">
        <f>IF(R3934="","",IFERROR(TODAY()+VLOOKUP(R3934,REGRAS!$B$2:$C$13,2,0),""))</f>
        <v/>
      </c>
    </row>
    <row r="3935">
      <c r="T3935" s="258">
        <f>IF(R3935="","",IFERROR(TODAY()+VLOOKUP(R3935,REGRAS!$B$2:$C$13,2,0),""))</f>
        <v/>
      </c>
    </row>
    <row r="3936">
      <c r="T3936" s="258">
        <f>IF(R3936="","",IFERROR(TODAY()+VLOOKUP(R3936,REGRAS!$B$2:$C$13,2,0),""))</f>
        <v/>
      </c>
    </row>
    <row r="3937">
      <c r="T3937" s="258">
        <f>IF(R3937="","",IFERROR(TODAY()+VLOOKUP(R3937,REGRAS!$B$2:$C$13,2,0),""))</f>
        <v/>
      </c>
    </row>
    <row r="3938">
      <c r="T3938" s="258">
        <f>IF(R3938="","",IFERROR(TODAY()+VLOOKUP(R3938,REGRAS!$B$2:$C$13,2,0),""))</f>
        <v/>
      </c>
    </row>
    <row r="3939">
      <c r="T3939" s="258">
        <f>IF(R3939="","",IFERROR(TODAY()+VLOOKUP(R3939,REGRAS!$B$2:$C$13,2,0),""))</f>
        <v/>
      </c>
    </row>
    <row r="3940">
      <c r="T3940" s="258">
        <f>IF(R3940="","",IFERROR(TODAY()+VLOOKUP(R3940,REGRAS!$B$2:$C$13,2,0),""))</f>
        <v/>
      </c>
    </row>
    <row r="3941">
      <c r="T3941" s="258">
        <f>IF(R3941="","",IFERROR(TODAY()+VLOOKUP(R3941,REGRAS!$B$2:$C$13,2,0),""))</f>
        <v/>
      </c>
    </row>
    <row r="3942">
      <c r="T3942" s="258">
        <f>IF(R3942="","",IFERROR(TODAY()+VLOOKUP(R3942,REGRAS!$B$2:$C$13,2,0),""))</f>
        <v/>
      </c>
    </row>
    <row r="3943">
      <c r="T3943" s="258">
        <f>IF(R3943="","",IFERROR(TODAY()+VLOOKUP(R3943,REGRAS!$B$2:$C$13,2,0),""))</f>
        <v/>
      </c>
    </row>
    <row r="3944">
      <c r="T3944" s="258">
        <f>IF(R3944="","",IFERROR(TODAY()+VLOOKUP(R3944,REGRAS!$B$2:$C$13,2,0),""))</f>
        <v/>
      </c>
    </row>
    <row r="3945">
      <c r="T3945" s="258">
        <f>IF(R3945="","",IFERROR(TODAY()+VLOOKUP(R3945,REGRAS!$B$2:$C$13,2,0),""))</f>
        <v/>
      </c>
    </row>
    <row r="3946">
      <c r="T3946" s="258">
        <f>IF(R3946="","",IFERROR(TODAY()+VLOOKUP(R3946,REGRAS!$B$2:$C$13,2,0),""))</f>
        <v/>
      </c>
    </row>
    <row r="3947">
      <c r="T3947" s="258">
        <f>IF(R3947="","",IFERROR(TODAY()+VLOOKUP(R3947,REGRAS!$B$2:$C$13,2,0),""))</f>
        <v/>
      </c>
    </row>
    <row r="3948">
      <c r="T3948" s="258">
        <f>IF(R3948="","",IFERROR(TODAY()+VLOOKUP(R3948,REGRAS!$B$2:$C$13,2,0),""))</f>
        <v/>
      </c>
    </row>
    <row r="3949">
      <c r="T3949" s="258">
        <f>IF(R3949="","",IFERROR(TODAY()+VLOOKUP(R3949,REGRAS!$B$2:$C$13,2,0),""))</f>
        <v/>
      </c>
    </row>
    <row r="3950">
      <c r="T3950" s="258">
        <f>IF(R3950="","",IFERROR(TODAY()+VLOOKUP(R3950,REGRAS!$B$2:$C$13,2,0),""))</f>
        <v/>
      </c>
    </row>
    <row r="3951">
      <c r="T3951" s="258">
        <f>IF(R3951="","",IFERROR(TODAY()+VLOOKUP(R3951,REGRAS!$B$2:$C$13,2,0),""))</f>
        <v/>
      </c>
    </row>
    <row r="3952">
      <c r="T3952" s="258">
        <f>IF(R3952="","",IFERROR(TODAY()+VLOOKUP(R3952,REGRAS!$B$2:$C$13,2,0),""))</f>
        <v/>
      </c>
    </row>
    <row r="3953">
      <c r="T3953" s="258">
        <f>IF(R3953="","",IFERROR(TODAY()+VLOOKUP(R3953,REGRAS!$B$2:$C$13,2,0),""))</f>
        <v/>
      </c>
    </row>
    <row r="3954">
      <c r="T3954" s="258">
        <f>IF(R3954="","",IFERROR(TODAY()+VLOOKUP(R3954,REGRAS!$B$2:$C$13,2,0),""))</f>
        <v/>
      </c>
    </row>
    <row r="3955">
      <c r="T3955" s="258">
        <f>IF(R3955="","",IFERROR(TODAY()+VLOOKUP(R3955,REGRAS!$B$2:$C$13,2,0),""))</f>
        <v/>
      </c>
    </row>
    <row r="3956">
      <c r="T3956" s="258">
        <f>IF(R3956="","",IFERROR(TODAY()+VLOOKUP(R3956,REGRAS!$B$2:$C$13,2,0),""))</f>
        <v/>
      </c>
    </row>
    <row r="3957">
      <c r="T3957" s="258">
        <f>IF(R3957="","",IFERROR(TODAY()+VLOOKUP(R3957,REGRAS!$B$2:$C$13,2,0),""))</f>
        <v/>
      </c>
    </row>
    <row r="3958">
      <c r="T3958" s="258">
        <f>IF(R3958="","",IFERROR(TODAY()+VLOOKUP(R3958,REGRAS!$B$2:$C$13,2,0),""))</f>
        <v/>
      </c>
    </row>
    <row r="3959">
      <c r="T3959" s="258">
        <f>IF(R3959="","",IFERROR(TODAY()+VLOOKUP(R3959,REGRAS!$B$2:$C$13,2,0),""))</f>
        <v/>
      </c>
    </row>
    <row r="3960">
      <c r="T3960" s="258">
        <f>IF(R3960="","",IFERROR(TODAY()+VLOOKUP(R3960,REGRAS!$B$2:$C$13,2,0),""))</f>
        <v/>
      </c>
    </row>
    <row r="3961">
      <c r="T3961" s="258">
        <f>IF(R3961="","",IFERROR(TODAY()+VLOOKUP(R3961,REGRAS!$B$2:$C$13,2,0),""))</f>
        <v/>
      </c>
    </row>
    <row r="3962">
      <c r="T3962" s="258">
        <f>IF(R3962="","",IFERROR(TODAY()+VLOOKUP(R3962,REGRAS!$B$2:$C$13,2,0),""))</f>
        <v/>
      </c>
    </row>
    <row r="3963">
      <c r="T3963" s="258">
        <f>IF(R3963="","",IFERROR(TODAY()+VLOOKUP(R3963,REGRAS!$B$2:$C$13,2,0),""))</f>
        <v/>
      </c>
    </row>
    <row r="3964">
      <c r="T3964" s="258">
        <f>IF(R3964="","",IFERROR(TODAY()+VLOOKUP(R3964,REGRAS!$B$2:$C$13,2,0),""))</f>
        <v/>
      </c>
    </row>
    <row r="3965">
      <c r="T3965" s="258">
        <f>IF(R3965="","",IFERROR(TODAY()+VLOOKUP(R3965,REGRAS!$B$2:$C$13,2,0),""))</f>
        <v/>
      </c>
    </row>
    <row r="3966">
      <c r="T3966" s="258">
        <f>IF(R3966="","",IFERROR(TODAY()+VLOOKUP(R3966,REGRAS!$B$2:$C$13,2,0),""))</f>
        <v/>
      </c>
    </row>
    <row r="3967">
      <c r="T3967" s="258">
        <f>IF(R3967="","",IFERROR(TODAY()+VLOOKUP(R3967,REGRAS!$B$2:$C$13,2,0),""))</f>
        <v/>
      </c>
    </row>
    <row r="3968">
      <c r="T3968" s="258">
        <f>IF(R3968="","",IFERROR(TODAY()+VLOOKUP(R3968,REGRAS!$B$2:$C$13,2,0),""))</f>
        <v/>
      </c>
    </row>
    <row r="3969">
      <c r="T3969" s="258">
        <f>IF(R3969="","",IFERROR(TODAY()+VLOOKUP(R3969,REGRAS!$B$2:$C$13,2,0),""))</f>
        <v/>
      </c>
    </row>
    <row r="3970">
      <c r="T3970" s="258">
        <f>IF(R3970="","",IFERROR(TODAY()+VLOOKUP(R3970,REGRAS!$B$2:$C$13,2,0),""))</f>
        <v/>
      </c>
    </row>
    <row r="3971">
      <c r="T3971" s="258">
        <f>IF(R3971="","",IFERROR(TODAY()+VLOOKUP(R3971,REGRAS!$B$2:$C$13,2,0),""))</f>
        <v/>
      </c>
    </row>
    <row r="3972">
      <c r="T3972" s="258">
        <f>IF(R3972="","",IFERROR(TODAY()+VLOOKUP(R3972,REGRAS!$B$2:$C$13,2,0),""))</f>
        <v/>
      </c>
    </row>
    <row r="3973">
      <c r="T3973" s="258">
        <f>IF(R3973="","",IFERROR(TODAY()+VLOOKUP(R3973,REGRAS!$B$2:$C$13,2,0),""))</f>
        <v/>
      </c>
    </row>
    <row r="3974">
      <c r="T3974" s="258">
        <f>IF(R3974="","",IFERROR(TODAY()+VLOOKUP(R3974,REGRAS!$B$2:$C$13,2,0),""))</f>
        <v/>
      </c>
    </row>
    <row r="3975">
      <c r="T3975" s="258">
        <f>IF(R3975="","",IFERROR(TODAY()+VLOOKUP(R3975,REGRAS!$B$2:$C$13,2,0),""))</f>
        <v/>
      </c>
    </row>
    <row r="3976">
      <c r="T3976" s="258">
        <f>IF(R3976="","",IFERROR(TODAY()+VLOOKUP(R3976,REGRAS!$B$2:$C$13,2,0),""))</f>
        <v/>
      </c>
    </row>
    <row r="3977">
      <c r="T3977" s="258">
        <f>IF(R3977="","",IFERROR(TODAY()+VLOOKUP(R3977,REGRAS!$B$2:$C$13,2,0),""))</f>
        <v/>
      </c>
    </row>
    <row r="3978">
      <c r="T3978" s="258">
        <f>IF(R3978="","",IFERROR(TODAY()+VLOOKUP(R3978,REGRAS!$B$2:$C$13,2,0),""))</f>
        <v/>
      </c>
    </row>
    <row r="3979">
      <c r="T3979" s="258">
        <f>IF(R3979="","",IFERROR(TODAY()+VLOOKUP(R3979,REGRAS!$B$2:$C$13,2,0),""))</f>
        <v/>
      </c>
    </row>
    <row r="3980">
      <c r="T3980" s="258">
        <f>IF(R3980="","",IFERROR(TODAY()+VLOOKUP(R3980,REGRAS!$B$2:$C$13,2,0),""))</f>
        <v/>
      </c>
    </row>
    <row r="3981">
      <c r="T3981" s="258">
        <f>IF(R3981="","",IFERROR(TODAY()+VLOOKUP(R3981,REGRAS!$B$2:$C$13,2,0),""))</f>
        <v/>
      </c>
    </row>
    <row r="3982">
      <c r="T3982" s="258">
        <f>IF(R3982="","",IFERROR(TODAY()+VLOOKUP(R3982,REGRAS!$B$2:$C$13,2,0),""))</f>
        <v/>
      </c>
    </row>
    <row r="3983">
      <c r="T3983" s="258">
        <f>IF(R3983="","",IFERROR(TODAY()+VLOOKUP(R3983,REGRAS!$B$2:$C$13,2,0),""))</f>
        <v/>
      </c>
    </row>
    <row r="3984">
      <c r="T3984" s="258">
        <f>IF(R3984="","",IFERROR(TODAY()+VLOOKUP(R3984,REGRAS!$B$2:$C$13,2,0),""))</f>
        <v/>
      </c>
    </row>
    <row r="3985">
      <c r="T3985" s="258">
        <f>IF(R3985="","",IFERROR(TODAY()+VLOOKUP(R3985,REGRAS!$B$2:$C$13,2,0),""))</f>
        <v/>
      </c>
    </row>
    <row r="3986">
      <c r="T3986" s="258">
        <f>IF(R3986="","",IFERROR(TODAY()+VLOOKUP(R3986,REGRAS!$B$2:$C$13,2,0),""))</f>
        <v/>
      </c>
    </row>
    <row r="3987">
      <c r="T3987" s="258">
        <f>IF(R3987="","",IFERROR(TODAY()+VLOOKUP(R3987,REGRAS!$B$2:$C$13,2,0),""))</f>
        <v/>
      </c>
    </row>
    <row r="3988">
      <c r="T3988" s="258">
        <f>IF(R3988="","",IFERROR(TODAY()+VLOOKUP(R3988,REGRAS!$B$2:$C$13,2,0),""))</f>
        <v/>
      </c>
    </row>
    <row r="3989">
      <c r="T3989" s="258">
        <f>IF(R3989="","",IFERROR(TODAY()+VLOOKUP(R3989,REGRAS!$B$2:$C$13,2,0),""))</f>
        <v/>
      </c>
    </row>
    <row r="3990">
      <c r="T3990" s="258">
        <f>IF(R3990="","",IFERROR(TODAY()+VLOOKUP(R3990,REGRAS!$B$2:$C$13,2,0),""))</f>
        <v/>
      </c>
    </row>
    <row r="3991">
      <c r="T3991" s="258">
        <f>IF(R3991="","",IFERROR(TODAY()+VLOOKUP(R3991,REGRAS!$B$2:$C$13,2,0),""))</f>
        <v/>
      </c>
    </row>
    <row r="3992">
      <c r="T3992" s="258">
        <f>IF(R3992="","",IFERROR(TODAY()+VLOOKUP(R3992,REGRAS!$B$2:$C$13,2,0),""))</f>
        <v/>
      </c>
    </row>
    <row r="3993">
      <c r="T3993" s="258">
        <f>IF(R3993="","",IFERROR(TODAY()+VLOOKUP(R3993,REGRAS!$B$2:$C$13,2,0),""))</f>
        <v/>
      </c>
    </row>
    <row r="3994">
      <c r="T3994" s="258">
        <f>IF(R3994="","",IFERROR(TODAY()+VLOOKUP(R3994,REGRAS!$B$2:$C$13,2,0),""))</f>
        <v/>
      </c>
    </row>
    <row r="3995">
      <c r="T3995" s="258">
        <f>IF(R3995="","",IFERROR(TODAY()+VLOOKUP(R3995,REGRAS!$B$2:$C$13,2,0),""))</f>
        <v/>
      </c>
    </row>
    <row r="3996">
      <c r="T3996" s="258">
        <f>IF(R3996="","",IFERROR(TODAY()+VLOOKUP(R3996,REGRAS!$B$2:$C$13,2,0),""))</f>
        <v/>
      </c>
    </row>
    <row r="3997">
      <c r="T3997" s="258">
        <f>IF(R3997="","",IFERROR(TODAY()+VLOOKUP(R3997,REGRAS!$B$2:$C$13,2,0),""))</f>
        <v/>
      </c>
    </row>
    <row r="3998">
      <c r="T3998" s="258">
        <f>IF(R3998="","",IFERROR(TODAY()+VLOOKUP(R3998,REGRAS!$B$2:$C$13,2,0),""))</f>
        <v/>
      </c>
    </row>
    <row r="3999">
      <c r="T3999" s="258">
        <f>IF(R3999="","",IFERROR(TODAY()+VLOOKUP(R3999,REGRAS!$B$2:$C$13,2,0),""))</f>
        <v/>
      </c>
    </row>
    <row r="4000">
      <c r="T4000" s="258">
        <f>IF(R4000="","",IFERROR(TODAY()+VLOOKUP(R4000,REGRAS!$B$2:$C$13,2,0),""))</f>
        <v/>
      </c>
    </row>
    <row r="4001">
      <c r="T4001" s="258">
        <f>IF(R4001="","",IFERROR(TODAY()+VLOOKUP(R4001,REGRAS!$B$2:$C$13,2,0),""))</f>
        <v/>
      </c>
    </row>
    <row r="4002">
      <c r="T4002" s="258">
        <f>IF(R4002="","",IFERROR(TODAY()+VLOOKUP(R4002,REGRAS!$B$2:$C$13,2,0),""))</f>
        <v/>
      </c>
    </row>
    <row r="4003">
      <c r="T4003" s="258">
        <f>IF(R4003="","",IFERROR(TODAY()+VLOOKUP(R4003,REGRAS!$B$2:$C$13,2,0),""))</f>
        <v/>
      </c>
    </row>
    <row r="4004">
      <c r="T4004" s="258">
        <f>IF(R4004="","",IFERROR(TODAY()+VLOOKUP(R4004,REGRAS!$B$2:$C$13,2,0),""))</f>
        <v/>
      </c>
    </row>
    <row r="4005">
      <c r="T4005" s="258">
        <f>IF(R4005="","",IFERROR(TODAY()+VLOOKUP(R4005,REGRAS!$B$2:$C$13,2,0),""))</f>
        <v/>
      </c>
    </row>
    <row r="4006">
      <c r="T4006" s="258">
        <f>IF(R4006="","",IFERROR(TODAY()+VLOOKUP(R4006,REGRAS!$B$2:$C$13,2,0),""))</f>
        <v/>
      </c>
    </row>
    <row r="4007">
      <c r="T4007" s="258">
        <f>IF(R4007="","",IFERROR(TODAY()+VLOOKUP(R4007,REGRAS!$B$2:$C$13,2,0),""))</f>
        <v/>
      </c>
    </row>
    <row r="4008">
      <c r="T4008" s="258">
        <f>IF(R4008="","",IFERROR(TODAY()+VLOOKUP(R4008,REGRAS!$B$2:$C$13,2,0),""))</f>
        <v/>
      </c>
    </row>
    <row r="4009">
      <c r="T4009" s="258">
        <f>IF(R4009="","",IFERROR(TODAY()+VLOOKUP(R4009,REGRAS!$B$2:$C$13,2,0),""))</f>
        <v/>
      </c>
    </row>
    <row r="4010">
      <c r="T4010" s="258">
        <f>IF(R4010="","",IFERROR(TODAY()+VLOOKUP(R4010,REGRAS!$B$2:$C$13,2,0),""))</f>
        <v/>
      </c>
    </row>
    <row r="4011">
      <c r="T4011" s="258">
        <f>IF(R4011="","",IFERROR(TODAY()+VLOOKUP(R4011,REGRAS!$B$2:$C$13,2,0),""))</f>
        <v/>
      </c>
    </row>
    <row r="4012">
      <c r="T4012" s="258">
        <f>IF(R4012="","",IFERROR(TODAY()+VLOOKUP(R4012,REGRAS!$B$2:$C$13,2,0),""))</f>
        <v/>
      </c>
    </row>
    <row r="4013">
      <c r="T4013" s="258">
        <f>IF(R4013="","",IFERROR(TODAY()+VLOOKUP(R4013,REGRAS!$B$2:$C$13,2,0),""))</f>
        <v/>
      </c>
    </row>
    <row r="4014">
      <c r="T4014" s="258">
        <f>IF(R4014="","",IFERROR(TODAY()+VLOOKUP(R4014,REGRAS!$B$2:$C$13,2,0),""))</f>
        <v/>
      </c>
    </row>
    <row r="4015">
      <c r="T4015" s="258">
        <f>IF(R4015="","",IFERROR(TODAY()+VLOOKUP(R4015,REGRAS!$B$2:$C$13,2,0),""))</f>
        <v/>
      </c>
    </row>
    <row r="4016">
      <c r="T4016" s="258">
        <f>IF(R4016="","",IFERROR(TODAY()+VLOOKUP(R4016,REGRAS!$B$2:$C$13,2,0),""))</f>
        <v/>
      </c>
    </row>
    <row r="4017">
      <c r="T4017" s="258">
        <f>IF(R4017="","",IFERROR(TODAY()+VLOOKUP(R4017,REGRAS!$B$2:$C$13,2,0),""))</f>
        <v/>
      </c>
    </row>
    <row r="4018">
      <c r="T4018" s="258">
        <f>IF(R4018="","",IFERROR(TODAY()+VLOOKUP(R4018,REGRAS!$B$2:$C$13,2,0),""))</f>
        <v/>
      </c>
    </row>
    <row r="4019">
      <c r="T4019" s="258">
        <f>IF(R4019="","",IFERROR(TODAY()+VLOOKUP(R4019,REGRAS!$B$2:$C$13,2,0),""))</f>
        <v/>
      </c>
    </row>
    <row r="4020">
      <c r="T4020" s="258">
        <f>IF(R4020="","",IFERROR(TODAY()+VLOOKUP(R4020,REGRAS!$B$2:$C$13,2,0),""))</f>
        <v/>
      </c>
    </row>
    <row r="4021">
      <c r="T4021" s="258">
        <f>IF(R4021="","",IFERROR(TODAY()+VLOOKUP(R4021,REGRAS!$B$2:$C$13,2,0),""))</f>
        <v/>
      </c>
    </row>
    <row r="4022">
      <c r="T4022" s="258">
        <f>IF(R4022="","",IFERROR(TODAY()+VLOOKUP(R4022,REGRAS!$B$2:$C$13,2,0),""))</f>
        <v/>
      </c>
    </row>
    <row r="4023">
      <c r="T4023" s="258">
        <f>IF(R4023="","",IFERROR(TODAY()+VLOOKUP(R4023,REGRAS!$B$2:$C$13,2,0),""))</f>
        <v/>
      </c>
    </row>
    <row r="4024">
      <c r="T4024" s="258">
        <f>IF(R4024="","",IFERROR(TODAY()+VLOOKUP(R4024,REGRAS!$B$2:$C$13,2,0),""))</f>
        <v/>
      </c>
    </row>
    <row r="4025">
      <c r="T4025" s="258">
        <f>IF(R4025="","",IFERROR(TODAY()+VLOOKUP(R4025,REGRAS!$B$2:$C$13,2,0),""))</f>
        <v/>
      </c>
    </row>
    <row r="4026">
      <c r="T4026" s="258">
        <f>IF(R4026="","",IFERROR(TODAY()+VLOOKUP(R4026,REGRAS!$B$2:$C$13,2,0),""))</f>
        <v/>
      </c>
    </row>
    <row r="4027">
      <c r="T4027" s="258">
        <f>IF(R4027="","",IFERROR(TODAY()+VLOOKUP(R4027,REGRAS!$B$2:$C$13,2,0),""))</f>
        <v/>
      </c>
    </row>
    <row r="4028">
      <c r="T4028" s="258">
        <f>IF(R4028="","",IFERROR(TODAY()+VLOOKUP(R4028,REGRAS!$B$2:$C$13,2,0),""))</f>
        <v/>
      </c>
    </row>
    <row r="4029">
      <c r="T4029" s="258">
        <f>IF(R4029="","",IFERROR(TODAY()+VLOOKUP(R4029,REGRAS!$B$2:$C$13,2,0),""))</f>
        <v/>
      </c>
    </row>
    <row r="4030">
      <c r="T4030" s="258">
        <f>IF(R4030="","",IFERROR(TODAY()+VLOOKUP(R4030,REGRAS!$B$2:$C$13,2,0),""))</f>
        <v/>
      </c>
    </row>
    <row r="4031">
      <c r="T4031" s="258">
        <f>IF(R4031="","",IFERROR(TODAY()+VLOOKUP(R4031,REGRAS!$B$2:$C$13,2,0),""))</f>
        <v/>
      </c>
    </row>
    <row r="4032">
      <c r="T4032" s="258">
        <f>IF(R4032="","",IFERROR(TODAY()+VLOOKUP(R4032,REGRAS!$B$2:$C$13,2,0),""))</f>
        <v/>
      </c>
    </row>
    <row r="4033">
      <c r="T4033" s="258">
        <f>IF(R4033="","",IFERROR(TODAY()+VLOOKUP(R4033,REGRAS!$B$2:$C$13,2,0),""))</f>
        <v/>
      </c>
    </row>
    <row r="4034">
      <c r="T4034" s="258">
        <f>IF(R4034="","",IFERROR(TODAY()+VLOOKUP(R4034,REGRAS!$B$2:$C$13,2,0),""))</f>
        <v/>
      </c>
    </row>
    <row r="4035">
      <c r="T4035" s="258">
        <f>IF(R4035="","",IFERROR(TODAY()+VLOOKUP(R4035,REGRAS!$B$2:$C$13,2,0),""))</f>
        <v/>
      </c>
    </row>
    <row r="4036">
      <c r="T4036" s="258">
        <f>IF(R4036="","",IFERROR(TODAY()+VLOOKUP(R4036,REGRAS!$B$2:$C$13,2,0),""))</f>
        <v/>
      </c>
    </row>
    <row r="4037">
      <c r="T4037" s="258">
        <f>IF(R4037="","",IFERROR(TODAY()+VLOOKUP(R4037,REGRAS!$B$2:$C$13,2,0),""))</f>
        <v/>
      </c>
    </row>
    <row r="4038">
      <c r="T4038" s="258">
        <f>IF(R4038="","",IFERROR(TODAY()+VLOOKUP(R4038,REGRAS!$B$2:$C$13,2,0),""))</f>
        <v/>
      </c>
    </row>
    <row r="4039">
      <c r="T4039" s="258">
        <f>IF(R4039="","",IFERROR(TODAY()+VLOOKUP(R4039,REGRAS!$B$2:$C$13,2,0),""))</f>
        <v/>
      </c>
    </row>
    <row r="4040">
      <c r="T4040" s="258">
        <f>IF(R4040="","",IFERROR(TODAY()+VLOOKUP(R4040,REGRAS!$B$2:$C$13,2,0),""))</f>
        <v/>
      </c>
    </row>
    <row r="4041">
      <c r="T4041" s="258">
        <f>IF(R4041="","",IFERROR(TODAY()+VLOOKUP(R4041,REGRAS!$B$2:$C$13,2,0),""))</f>
        <v/>
      </c>
    </row>
    <row r="4042">
      <c r="T4042" s="258">
        <f>IF(R4042="","",IFERROR(TODAY()+VLOOKUP(R4042,REGRAS!$B$2:$C$13,2,0),""))</f>
        <v/>
      </c>
    </row>
    <row r="4043">
      <c r="T4043" s="258">
        <f>IF(R4043="","",IFERROR(TODAY()+VLOOKUP(R4043,REGRAS!$B$2:$C$13,2,0),""))</f>
        <v/>
      </c>
    </row>
    <row r="4044">
      <c r="T4044" s="258">
        <f>IF(R4044="","",IFERROR(TODAY()+VLOOKUP(R4044,REGRAS!$B$2:$C$13,2,0),""))</f>
        <v/>
      </c>
    </row>
    <row r="4045">
      <c r="T4045" s="258">
        <f>IF(R4045="","",IFERROR(TODAY()+VLOOKUP(R4045,REGRAS!$B$2:$C$13,2,0),""))</f>
        <v/>
      </c>
    </row>
    <row r="4046">
      <c r="T4046" s="258">
        <f>IF(R4046="","",IFERROR(TODAY()+VLOOKUP(R4046,REGRAS!$B$2:$C$13,2,0),""))</f>
        <v/>
      </c>
    </row>
    <row r="4047">
      <c r="T4047" s="258">
        <f>IF(R4047="","",IFERROR(TODAY()+VLOOKUP(R4047,REGRAS!$B$2:$C$13,2,0),""))</f>
        <v/>
      </c>
    </row>
    <row r="4048">
      <c r="T4048" s="258">
        <f>IF(R4048="","",IFERROR(TODAY()+VLOOKUP(R4048,REGRAS!$B$2:$C$13,2,0),""))</f>
        <v/>
      </c>
    </row>
    <row r="4049">
      <c r="T4049" s="258">
        <f>IF(R4049="","",IFERROR(TODAY()+VLOOKUP(R4049,REGRAS!$B$2:$C$13,2,0),""))</f>
        <v/>
      </c>
    </row>
    <row r="4050">
      <c r="T4050" s="258">
        <f>IF(R4050="","",IFERROR(TODAY()+VLOOKUP(R4050,REGRAS!$B$2:$C$13,2,0),""))</f>
        <v/>
      </c>
    </row>
    <row r="4051">
      <c r="T4051" s="258">
        <f>IF(R4051="","",IFERROR(TODAY()+VLOOKUP(R4051,REGRAS!$B$2:$C$13,2,0),""))</f>
        <v/>
      </c>
    </row>
    <row r="4052">
      <c r="T4052" s="258">
        <f>IF(R4052="","",IFERROR(TODAY()+VLOOKUP(R4052,REGRAS!$B$2:$C$13,2,0),""))</f>
        <v/>
      </c>
    </row>
    <row r="4053">
      <c r="T4053" s="258">
        <f>IF(R4053="","",IFERROR(TODAY()+VLOOKUP(R4053,REGRAS!$B$2:$C$13,2,0),""))</f>
        <v/>
      </c>
    </row>
    <row r="4054">
      <c r="T4054" s="258">
        <f>IF(R4054="","",IFERROR(TODAY()+VLOOKUP(R4054,REGRAS!$B$2:$C$13,2,0),""))</f>
        <v/>
      </c>
    </row>
    <row r="4055">
      <c r="T4055" s="258">
        <f>IF(R4055="","",IFERROR(TODAY()+VLOOKUP(R4055,REGRAS!$B$2:$C$13,2,0),""))</f>
        <v/>
      </c>
    </row>
    <row r="4056">
      <c r="T4056" s="258">
        <f>IF(R4056="","",IFERROR(TODAY()+VLOOKUP(R4056,REGRAS!$B$2:$C$13,2,0),""))</f>
        <v/>
      </c>
    </row>
    <row r="4057">
      <c r="T4057" s="258">
        <f>IF(R4057="","",IFERROR(TODAY()+VLOOKUP(R4057,REGRAS!$B$2:$C$13,2,0),""))</f>
        <v/>
      </c>
    </row>
    <row r="4058">
      <c r="T4058" s="258">
        <f>IF(R4058="","",IFERROR(TODAY()+VLOOKUP(R4058,REGRAS!$B$2:$C$13,2,0),""))</f>
        <v/>
      </c>
    </row>
    <row r="4059">
      <c r="T4059" s="258">
        <f>IF(R4059="","",IFERROR(TODAY()+VLOOKUP(R4059,REGRAS!$B$2:$C$13,2,0),""))</f>
        <v/>
      </c>
    </row>
    <row r="4060">
      <c r="T4060" s="258">
        <f>IF(R4060="","",IFERROR(TODAY()+VLOOKUP(R4060,REGRAS!$B$2:$C$13,2,0),""))</f>
        <v/>
      </c>
    </row>
    <row r="4061">
      <c r="T4061" s="258">
        <f>IF(R4061="","",IFERROR(TODAY()+VLOOKUP(R4061,REGRAS!$B$2:$C$13,2,0),""))</f>
        <v/>
      </c>
    </row>
    <row r="4062">
      <c r="T4062" s="258">
        <f>IF(R4062="","",IFERROR(TODAY()+VLOOKUP(R4062,REGRAS!$B$2:$C$13,2,0),""))</f>
        <v/>
      </c>
    </row>
    <row r="4063">
      <c r="T4063" s="258">
        <f>IF(R4063="","",IFERROR(TODAY()+VLOOKUP(R4063,REGRAS!$B$2:$C$13,2,0),""))</f>
        <v/>
      </c>
    </row>
    <row r="4064">
      <c r="T4064" s="258">
        <f>IF(R4064="","",IFERROR(TODAY()+VLOOKUP(R4064,REGRAS!$B$2:$C$13,2,0),""))</f>
        <v/>
      </c>
    </row>
    <row r="4065">
      <c r="T4065" s="258">
        <f>IF(R4065="","",IFERROR(TODAY()+VLOOKUP(R4065,REGRAS!$B$2:$C$13,2,0),""))</f>
        <v/>
      </c>
    </row>
    <row r="4066">
      <c r="T4066" s="258">
        <f>IF(R4066="","",IFERROR(TODAY()+VLOOKUP(R4066,REGRAS!$B$2:$C$13,2,0),""))</f>
        <v/>
      </c>
    </row>
    <row r="4067">
      <c r="T4067" s="258">
        <f>IF(R4067="","",IFERROR(TODAY()+VLOOKUP(R4067,REGRAS!$B$2:$C$13,2,0),""))</f>
        <v/>
      </c>
    </row>
    <row r="4068">
      <c r="T4068" s="258">
        <f>IF(R4068="","",IFERROR(TODAY()+VLOOKUP(R4068,REGRAS!$B$2:$C$13,2,0),""))</f>
        <v/>
      </c>
    </row>
    <row r="4069">
      <c r="T4069" s="258">
        <f>IF(R4069="","",IFERROR(TODAY()+VLOOKUP(R4069,REGRAS!$B$2:$C$13,2,0),""))</f>
        <v/>
      </c>
    </row>
    <row r="4070">
      <c r="T4070" s="258">
        <f>IF(R4070="","",IFERROR(TODAY()+VLOOKUP(R4070,REGRAS!$B$2:$C$13,2,0),""))</f>
        <v/>
      </c>
    </row>
    <row r="4071">
      <c r="T4071" s="258">
        <f>IF(R4071="","",IFERROR(TODAY()+VLOOKUP(R4071,REGRAS!$B$2:$C$13,2,0),""))</f>
        <v/>
      </c>
    </row>
    <row r="4072">
      <c r="T4072" s="258">
        <f>IF(R4072="","",IFERROR(TODAY()+VLOOKUP(R4072,REGRAS!$B$2:$C$13,2,0),""))</f>
        <v/>
      </c>
    </row>
    <row r="4073">
      <c r="T4073" s="258">
        <f>IF(R4073="","",IFERROR(TODAY()+VLOOKUP(R4073,REGRAS!$B$2:$C$13,2,0),""))</f>
        <v/>
      </c>
    </row>
    <row r="4074">
      <c r="T4074" s="258">
        <f>IF(R4074="","",IFERROR(TODAY()+VLOOKUP(R4074,REGRAS!$B$2:$C$13,2,0),""))</f>
        <v/>
      </c>
    </row>
    <row r="4075">
      <c r="T4075" s="258">
        <f>IF(R4075="","",IFERROR(TODAY()+VLOOKUP(R4075,REGRAS!$B$2:$C$13,2,0),""))</f>
        <v/>
      </c>
    </row>
    <row r="4076">
      <c r="T4076" s="258">
        <f>IF(R4076="","",IFERROR(TODAY()+VLOOKUP(R4076,REGRAS!$B$2:$C$13,2,0),""))</f>
        <v/>
      </c>
    </row>
    <row r="4077">
      <c r="T4077" s="258">
        <f>IF(R4077="","",IFERROR(TODAY()+VLOOKUP(R4077,REGRAS!$B$2:$C$13,2,0),""))</f>
        <v/>
      </c>
    </row>
    <row r="4078">
      <c r="T4078" s="258">
        <f>IF(R4078="","",IFERROR(TODAY()+VLOOKUP(R4078,REGRAS!$B$2:$C$13,2,0),""))</f>
        <v/>
      </c>
    </row>
    <row r="4079">
      <c r="T4079" s="258">
        <f>IF(R4079="","",IFERROR(TODAY()+VLOOKUP(R4079,REGRAS!$B$2:$C$13,2,0),""))</f>
        <v/>
      </c>
    </row>
    <row r="4080">
      <c r="T4080" s="258">
        <f>IF(R4080="","",IFERROR(TODAY()+VLOOKUP(R4080,REGRAS!$B$2:$C$13,2,0),""))</f>
        <v/>
      </c>
    </row>
    <row r="4081">
      <c r="T4081" s="258">
        <f>IF(R4081="","",IFERROR(TODAY()+VLOOKUP(R4081,REGRAS!$B$2:$C$13,2,0),""))</f>
        <v/>
      </c>
    </row>
    <row r="4082">
      <c r="T4082" s="258">
        <f>IF(R4082="","",IFERROR(TODAY()+VLOOKUP(R4082,REGRAS!$B$2:$C$13,2,0),""))</f>
        <v/>
      </c>
    </row>
    <row r="4083">
      <c r="T4083" s="258">
        <f>IF(R4083="","",IFERROR(TODAY()+VLOOKUP(R4083,REGRAS!$B$2:$C$13,2,0),""))</f>
        <v/>
      </c>
    </row>
    <row r="4084">
      <c r="T4084" s="258">
        <f>IF(R4084="","",IFERROR(TODAY()+VLOOKUP(R4084,REGRAS!$B$2:$C$13,2,0),""))</f>
        <v/>
      </c>
    </row>
    <row r="4085">
      <c r="T4085" s="258">
        <f>IF(R4085="","",IFERROR(TODAY()+VLOOKUP(R4085,REGRAS!$B$2:$C$13,2,0),""))</f>
        <v/>
      </c>
    </row>
    <row r="4086">
      <c r="T4086" s="258">
        <f>IF(R4086="","",IFERROR(TODAY()+VLOOKUP(R4086,REGRAS!$B$2:$C$13,2,0),""))</f>
        <v/>
      </c>
    </row>
    <row r="4087">
      <c r="T4087" s="258">
        <f>IF(R4087="","",IFERROR(TODAY()+VLOOKUP(R4087,REGRAS!$B$2:$C$13,2,0),""))</f>
        <v/>
      </c>
    </row>
    <row r="4088">
      <c r="T4088" s="258">
        <f>IF(R4088="","",IFERROR(TODAY()+VLOOKUP(R4088,REGRAS!$B$2:$C$13,2,0),""))</f>
        <v/>
      </c>
    </row>
    <row r="4089">
      <c r="T4089" s="258">
        <f>IF(R4089="","",IFERROR(TODAY()+VLOOKUP(R4089,REGRAS!$B$2:$C$13,2,0),""))</f>
        <v/>
      </c>
    </row>
    <row r="4090">
      <c r="T4090" s="258">
        <f>IF(R4090="","",IFERROR(TODAY()+VLOOKUP(R4090,REGRAS!$B$2:$C$13,2,0),""))</f>
        <v/>
      </c>
    </row>
    <row r="4091">
      <c r="T4091" s="258">
        <f>IF(R4091="","",IFERROR(TODAY()+VLOOKUP(R4091,REGRAS!$B$2:$C$13,2,0),""))</f>
        <v/>
      </c>
    </row>
    <row r="4092">
      <c r="T4092" s="258">
        <f>IF(R4092="","",IFERROR(TODAY()+VLOOKUP(R4092,REGRAS!$B$2:$C$13,2,0),""))</f>
        <v/>
      </c>
    </row>
    <row r="4093">
      <c r="T4093" s="258">
        <f>IF(R4093="","",IFERROR(TODAY()+VLOOKUP(R4093,REGRAS!$B$2:$C$13,2,0),""))</f>
        <v/>
      </c>
    </row>
    <row r="4094">
      <c r="T4094" s="258">
        <f>IF(R4094="","",IFERROR(TODAY()+VLOOKUP(R4094,REGRAS!$B$2:$C$13,2,0),""))</f>
        <v/>
      </c>
    </row>
    <row r="4095">
      <c r="T4095" s="258">
        <f>IF(R4095="","",IFERROR(TODAY()+VLOOKUP(R4095,REGRAS!$B$2:$C$13,2,0),""))</f>
        <v/>
      </c>
    </row>
    <row r="4096">
      <c r="T4096" s="258">
        <f>IF(R4096="","",IFERROR(TODAY()+VLOOKUP(R4096,REGRAS!$B$2:$C$13,2,0),""))</f>
        <v/>
      </c>
    </row>
    <row r="4097">
      <c r="T4097" s="258">
        <f>IF(R4097="","",IFERROR(TODAY()+VLOOKUP(R4097,REGRAS!$B$2:$C$13,2,0),""))</f>
        <v/>
      </c>
    </row>
    <row r="4098">
      <c r="T4098" s="258">
        <f>IF(R4098="","",IFERROR(TODAY()+VLOOKUP(R4098,REGRAS!$B$2:$C$13,2,0),""))</f>
        <v/>
      </c>
    </row>
    <row r="4099">
      <c r="T4099" s="258">
        <f>IF(R4099="","",IFERROR(TODAY()+VLOOKUP(R4099,REGRAS!$B$2:$C$13,2,0),""))</f>
        <v/>
      </c>
    </row>
    <row r="4100">
      <c r="T4100" s="258">
        <f>IF(R4100="","",IFERROR(TODAY()+VLOOKUP(R4100,REGRAS!$B$2:$C$13,2,0),""))</f>
        <v/>
      </c>
    </row>
    <row r="4101">
      <c r="T4101" s="258">
        <f>IF(R4101="","",IFERROR(TODAY()+VLOOKUP(R4101,REGRAS!$B$2:$C$13,2,0),""))</f>
        <v/>
      </c>
    </row>
    <row r="4102">
      <c r="T4102" s="258">
        <f>IF(R4102="","",IFERROR(TODAY()+VLOOKUP(R4102,REGRAS!$B$2:$C$13,2,0),""))</f>
        <v/>
      </c>
    </row>
    <row r="4103">
      <c r="T4103" s="258">
        <f>IF(R4103="","",IFERROR(TODAY()+VLOOKUP(R4103,REGRAS!$B$2:$C$13,2,0),""))</f>
        <v/>
      </c>
    </row>
    <row r="4104">
      <c r="T4104" s="258">
        <f>IF(R4104="","",IFERROR(TODAY()+VLOOKUP(R4104,REGRAS!$B$2:$C$13,2,0),""))</f>
        <v/>
      </c>
    </row>
    <row r="4105">
      <c r="T4105" s="258">
        <f>IF(R4105="","",IFERROR(TODAY()+VLOOKUP(R4105,REGRAS!$B$2:$C$13,2,0),""))</f>
        <v/>
      </c>
    </row>
    <row r="4106">
      <c r="T4106" s="258">
        <f>IF(R4106="","",IFERROR(TODAY()+VLOOKUP(R4106,REGRAS!$B$2:$C$13,2,0),""))</f>
        <v/>
      </c>
    </row>
    <row r="4107">
      <c r="T4107" s="258">
        <f>IF(R4107="","",IFERROR(TODAY()+VLOOKUP(R4107,REGRAS!$B$2:$C$13,2,0),""))</f>
        <v/>
      </c>
    </row>
    <row r="4108">
      <c r="T4108" s="258">
        <f>IF(R4108="","",IFERROR(TODAY()+VLOOKUP(R4108,REGRAS!$B$2:$C$13,2,0),""))</f>
        <v/>
      </c>
    </row>
    <row r="4109">
      <c r="T4109" s="258">
        <f>IF(R4109="","",IFERROR(TODAY()+VLOOKUP(R4109,REGRAS!$B$2:$C$13,2,0),""))</f>
        <v/>
      </c>
    </row>
    <row r="4110">
      <c r="T4110" s="258">
        <f>IF(R4110="","",IFERROR(TODAY()+VLOOKUP(R4110,REGRAS!$B$2:$C$13,2,0),""))</f>
        <v/>
      </c>
    </row>
    <row r="4111">
      <c r="T4111" s="258">
        <f>IF(R4111="","",IFERROR(TODAY()+VLOOKUP(R4111,REGRAS!$B$2:$C$13,2,0),""))</f>
        <v/>
      </c>
    </row>
    <row r="4112">
      <c r="T4112" s="258">
        <f>IF(R4112="","",IFERROR(TODAY()+VLOOKUP(R4112,REGRAS!$B$2:$C$13,2,0),""))</f>
        <v/>
      </c>
    </row>
    <row r="4113">
      <c r="T4113" s="258">
        <f>IF(R4113="","",IFERROR(TODAY()+VLOOKUP(R4113,REGRAS!$B$2:$C$13,2,0),""))</f>
        <v/>
      </c>
    </row>
    <row r="4114">
      <c r="T4114" s="258">
        <f>IF(R4114="","",IFERROR(TODAY()+VLOOKUP(R4114,REGRAS!$B$2:$C$13,2,0),""))</f>
        <v/>
      </c>
    </row>
    <row r="4115">
      <c r="T4115" s="258">
        <f>IF(R4115="","",IFERROR(TODAY()+VLOOKUP(R4115,REGRAS!$B$2:$C$13,2,0),""))</f>
        <v/>
      </c>
    </row>
    <row r="4116">
      <c r="T4116" s="258">
        <f>IF(R4116="","",IFERROR(TODAY()+VLOOKUP(R4116,REGRAS!$B$2:$C$13,2,0),""))</f>
        <v/>
      </c>
    </row>
    <row r="4117">
      <c r="T4117" s="258">
        <f>IF(R4117="","",IFERROR(TODAY()+VLOOKUP(R4117,REGRAS!$B$2:$C$13,2,0),""))</f>
        <v/>
      </c>
    </row>
    <row r="4118">
      <c r="T4118" s="258">
        <f>IF(R4118="","",IFERROR(TODAY()+VLOOKUP(R4118,REGRAS!$B$2:$C$13,2,0),""))</f>
        <v/>
      </c>
    </row>
    <row r="4119">
      <c r="T4119" s="258">
        <f>IF(R4119="","",IFERROR(TODAY()+VLOOKUP(R4119,REGRAS!$B$2:$C$13,2,0),""))</f>
        <v/>
      </c>
    </row>
    <row r="4120">
      <c r="T4120" s="258">
        <f>IF(R4120="","",IFERROR(TODAY()+VLOOKUP(R4120,REGRAS!$B$2:$C$13,2,0),""))</f>
        <v/>
      </c>
    </row>
    <row r="4121">
      <c r="T4121" s="258">
        <f>IF(R4121="","",IFERROR(TODAY()+VLOOKUP(R4121,REGRAS!$B$2:$C$13,2,0),""))</f>
        <v/>
      </c>
    </row>
    <row r="4122">
      <c r="T4122" s="258">
        <f>IF(R4122="","",IFERROR(TODAY()+VLOOKUP(R4122,REGRAS!$B$2:$C$13,2,0),""))</f>
        <v/>
      </c>
    </row>
    <row r="4123">
      <c r="T4123" s="258">
        <f>IF(R4123="","",IFERROR(TODAY()+VLOOKUP(R4123,REGRAS!$B$2:$C$13,2,0),""))</f>
        <v/>
      </c>
    </row>
    <row r="4124">
      <c r="T4124" s="258">
        <f>IF(R4124="","",IFERROR(TODAY()+VLOOKUP(R4124,REGRAS!$B$2:$C$13,2,0),""))</f>
        <v/>
      </c>
    </row>
    <row r="4125">
      <c r="T4125" s="258">
        <f>IF(R4125="","",IFERROR(TODAY()+VLOOKUP(R4125,REGRAS!$B$2:$C$13,2,0),""))</f>
        <v/>
      </c>
    </row>
    <row r="4126">
      <c r="T4126" s="258">
        <f>IF(R4126="","",IFERROR(TODAY()+VLOOKUP(R4126,REGRAS!$B$2:$C$13,2,0),""))</f>
        <v/>
      </c>
    </row>
    <row r="4127">
      <c r="T4127" s="258">
        <f>IF(R4127="","",IFERROR(TODAY()+VLOOKUP(R4127,REGRAS!$B$2:$C$13,2,0),""))</f>
        <v/>
      </c>
    </row>
    <row r="4128">
      <c r="T4128" s="258">
        <f>IF(R4128="","",IFERROR(TODAY()+VLOOKUP(R4128,REGRAS!$B$2:$C$13,2,0),""))</f>
        <v/>
      </c>
    </row>
    <row r="4129">
      <c r="T4129" s="258">
        <f>IF(R4129="","",IFERROR(TODAY()+VLOOKUP(R4129,REGRAS!$B$2:$C$13,2,0),""))</f>
        <v/>
      </c>
    </row>
    <row r="4130">
      <c r="T4130" s="258">
        <f>IF(R4130="","",IFERROR(TODAY()+VLOOKUP(R4130,REGRAS!$B$2:$C$13,2,0),""))</f>
        <v/>
      </c>
    </row>
    <row r="4131">
      <c r="T4131" s="258">
        <f>IF(R4131="","",IFERROR(TODAY()+VLOOKUP(R4131,REGRAS!$B$2:$C$13,2,0),""))</f>
        <v/>
      </c>
    </row>
    <row r="4132">
      <c r="T4132" s="258">
        <f>IF(R4132="","",IFERROR(TODAY()+VLOOKUP(R4132,REGRAS!$B$2:$C$13,2,0),""))</f>
        <v/>
      </c>
    </row>
    <row r="4133">
      <c r="T4133" s="258">
        <f>IF(R4133="","",IFERROR(TODAY()+VLOOKUP(R4133,REGRAS!$B$2:$C$13,2,0),""))</f>
        <v/>
      </c>
    </row>
    <row r="4134">
      <c r="T4134" s="258">
        <f>IF(R4134="","",IFERROR(TODAY()+VLOOKUP(R4134,REGRAS!$B$2:$C$13,2,0),""))</f>
        <v/>
      </c>
    </row>
    <row r="4135">
      <c r="T4135" s="258">
        <f>IF(R4135="","",IFERROR(TODAY()+VLOOKUP(R4135,REGRAS!$B$2:$C$13,2,0),""))</f>
        <v/>
      </c>
    </row>
    <row r="4136">
      <c r="T4136" s="258">
        <f>IF(R4136="","",IFERROR(TODAY()+VLOOKUP(R4136,REGRAS!$B$2:$C$13,2,0),""))</f>
        <v/>
      </c>
    </row>
    <row r="4137">
      <c r="T4137" s="258">
        <f>IF(R4137="","",IFERROR(TODAY()+VLOOKUP(R4137,REGRAS!$B$2:$C$13,2,0),""))</f>
        <v/>
      </c>
    </row>
    <row r="4138">
      <c r="T4138" s="258">
        <f>IF(R4138="","",IFERROR(TODAY()+VLOOKUP(R4138,REGRAS!$B$2:$C$13,2,0),""))</f>
        <v/>
      </c>
    </row>
    <row r="4139">
      <c r="T4139" s="258">
        <f>IF(R4139="","",IFERROR(TODAY()+VLOOKUP(R4139,REGRAS!$B$2:$C$13,2,0),""))</f>
        <v/>
      </c>
    </row>
    <row r="4140">
      <c r="T4140" s="258">
        <f>IF(R4140="","",IFERROR(TODAY()+VLOOKUP(R4140,REGRAS!$B$2:$C$13,2,0),""))</f>
        <v/>
      </c>
    </row>
    <row r="4141">
      <c r="T4141" s="258">
        <f>IF(R4141="","",IFERROR(TODAY()+VLOOKUP(R4141,REGRAS!$B$2:$C$13,2,0),""))</f>
        <v/>
      </c>
    </row>
    <row r="4142">
      <c r="T4142" s="258">
        <f>IF(R4142="","",IFERROR(TODAY()+VLOOKUP(R4142,REGRAS!$B$2:$C$13,2,0),""))</f>
        <v/>
      </c>
    </row>
    <row r="4143">
      <c r="T4143" s="258">
        <f>IF(R4143="","",IFERROR(TODAY()+VLOOKUP(R4143,REGRAS!$B$2:$C$13,2,0),""))</f>
        <v/>
      </c>
    </row>
    <row r="4144">
      <c r="T4144" s="258">
        <f>IF(R4144="","",IFERROR(TODAY()+VLOOKUP(R4144,REGRAS!$B$2:$C$13,2,0),""))</f>
        <v/>
      </c>
    </row>
    <row r="4145">
      <c r="T4145" s="258">
        <f>IF(R4145="","",IFERROR(TODAY()+VLOOKUP(R4145,REGRAS!$B$2:$C$13,2,0),""))</f>
        <v/>
      </c>
    </row>
    <row r="4146">
      <c r="T4146" s="258">
        <f>IF(R4146="","",IFERROR(TODAY()+VLOOKUP(R4146,REGRAS!$B$2:$C$13,2,0),""))</f>
        <v/>
      </c>
    </row>
    <row r="4147">
      <c r="T4147" s="258">
        <f>IF(R4147="","",IFERROR(TODAY()+VLOOKUP(R4147,REGRAS!$B$2:$C$13,2,0),""))</f>
        <v/>
      </c>
    </row>
    <row r="4148">
      <c r="T4148" s="258">
        <f>IF(R4148="","",IFERROR(TODAY()+VLOOKUP(R4148,REGRAS!$B$2:$C$13,2,0),""))</f>
        <v/>
      </c>
    </row>
    <row r="4149">
      <c r="T4149" s="258">
        <f>IF(R4149="","",IFERROR(TODAY()+VLOOKUP(R4149,REGRAS!$B$2:$C$13,2,0),""))</f>
        <v/>
      </c>
    </row>
    <row r="4150">
      <c r="T4150" s="258">
        <f>IF(R4150="","",IFERROR(TODAY()+VLOOKUP(R4150,REGRAS!$B$2:$C$13,2,0),""))</f>
        <v/>
      </c>
    </row>
    <row r="4151">
      <c r="T4151" s="258">
        <f>IF(R4151="","",IFERROR(TODAY()+VLOOKUP(R4151,REGRAS!$B$2:$C$13,2,0),""))</f>
        <v/>
      </c>
    </row>
    <row r="4152">
      <c r="T4152" s="258">
        <f>IF(R4152="","",IFERROR(TODAY()+VLOOKUP(R4152,REGRAS!$B$2:$C$13,2,0),""))</f>
        <v/>
      </c>
    </row>
    <row r="4153">
      <c r="T4153" s="258">
        <f>IF(R4153="","",IFERROR(TODAY()+VLOOKUP(R4153,REGRAS!$B$2:$C$13,2,0),""))</f>
        <v/>
      </c>
    </row>
    <row r="4154">
      <c r="T4154" s="258">
        <f>IF(R4154="","",IFERROR(TODAY()+VLOOKUP(R4154,REGRAS!$B$2:$C$13,2,0),""))</f>
        <v/>
      </c>
    </row>
    <row r="4155">
      <c r="T4155" s="258">
        <f>IF(R4155="","",IFERROR(TODAY()+VLOOKUP(R4155,REGRAS!$B$2:$C$13,2,0),""))</f>
        <v/>
      </c>
    </row>
    <row r="4156">
      <c r="T4156" s="258">
        <f>IF(R4156="","",IFERROR(TODAY()+VLOOKUP(R4156,REGRAS!$B$2:$C$13,2,0),""))</f>
        <v/>
      </c>
    </row>
    <row r="4157">
      <c r="T4157" s="258">
        <f>IF(R4157="","",IFERROR(TODAY()+VLOOKUP(R4157,REGRAS!$B$2:$C$13,2,0),""))</f>
        <v/>
      </c>
    </row>
    <row r="4158">
      <c r="T4158" s="258">
        <f>IF(R4158="","",IFERROR(TODAY()+VLOOKUP(R4158,REGRAS!$B$2:$C$13,2,0),""))</f>
        <v/>
      </c>
    </row>
    <row r="4159">
      <c r="T4159" s="258">
        <f>IF(R4159="","",IFERROR(TODAY()+VLOOKUP(R4159,REGRAS!$B$2:$C$13,2,0),""))</f>
        <v/>
      </c>
    </row>
    <row r="4160">
      <c r="T4160" s="258">
        <f>IF(R4160="","",IFERROR(TODAY()+VLOOKUP(R4160,REGRAS!$B$2:$C$13,2,0),""))</f>
        <v/>
      </c>
    </row>
    <row r="4161">
      <c r="T4161" s="258">
        <f>IF(R4161="","",IFERROR(TODAY()+VLOOKUP(R4161,REGRAS!$B$2:$C$13,2,0),""))</f>
        <v/>
      </c>
    </row>
    <row r="4162">
      <c r="T4162" s="258">
        <f>IF(R4162="","",IFERROR(TODAY()+VLOOKUP(R4162,REGRAS!$B$2:$C$13,2,0),""))</f>
        <v/>
      </c>
    </row>
    <row r="4163">
      <c r="T4163" s="258">
        <f>IF(R4163="","",IFERROR(TODAY()+VLOOKUP(R4163,REGRAS!$B$2:$C$13,2,0),""))</f>
        <v/>
      </c>
    </row>
    <row r="4164">
      <c r="T4164" s="258">
        <f>IF(R4164="","",IFERROR(TODAY()+VLOOKUP(R4164,REGRAS!$B$2:$C$13,2,0),""))</f>
        <v/>
      </c>
    </row>
    <row r="4165">
      <c r="T4165" s="258">
        <f>IF(R4165="","",IFERROR(TODAY()+VLOOKUP(R4165,REGRAS!$B$2:$C$13,2,0),""))</f>
        <v/>
      </c>
    </row>
    <row r="4166">
      <c r="T4166" s="258">
        <f>IF(R4166="","",IFERROR(TODAY()+VLOOKUP(R4166,REGRAS!$B$2:$C$13,2,0),""))</f>
        <v/>
      </c>
    </row>
    <row r="4167">
      <c r="T4167" s="258">
        <f>IF(R4167="","",IFERROR(TODAY()+VLOOKUP(R4167,REGRAS!$B$2:$C$13,2,0),""))</f>
        <v/>
      </c>
    </row>
    <row r="4168">
      <c r="T4168" s="258">
        <f>IF(R4168="","",IFERROR(TODAY()+VLOOKUP(R4168,REGRAS!$B$2:$C$13,2,0),""))</f>
        <v/>
      </c>
    </row>
    <row r="4169">
      <c r="T4169" s="258">
        <f>IF(R4169="","",IFERROR(TODAY()+VLOOKUP(R4169,REGRAS!$B$2:$C$13,2,0),""))</f>
        <v/>
      </c>
    </row>
    <row r="4170">
      <c r="T4170" s="258">
        <f>IF(R4170="","",IFERROR(TODAY()+VLOOKUP(R4170,REGRAS!$B$2:$C$13,2,0),""))</f>
        <v/>
      </c>
    </row>
    <row r="4171">
      <c r="T4171" s="258">
        <f>IF(R4171="","",IFERROR(TODAY()+VLOOKUP(R4171,REGRAS!$B$2:$C$13,2,0),""))</f>
        <v/>
      </c>
    </row>
    <row r="4172">
      <c r="T4172" s="258">
        <f>IF(R4172="","",IFERROR(TODAY()+VLOOKUP(R4172,REGRAS!$B$2:$C$13,2,0),""))</f>
        <v/>
      </c>
    </row>
    <row r="4173">
      <c r="T4173" s="258">
        <f>IF(R4173="","",IFERROR(TODAY()+VLOOKUP(R4173,REGRAS!$B$2:$C$13,2,0),""))</f>
        <v/>
      </c>
    </row>
    <row r="4174">
      <c r="T4174" s="258">
        <f>IF(R4174="","",IFERROR(TODAY()+VLOOKUP(R4174,REGRAS!$B$2:$C$13,2,0),""))</f>
        <v/>
      </c>
    </row>
    <row r="4175">
      <c r="T4175" s="258">
        <f>IF(R4175="","",IFERROR(TODAY()+VLOOKUP(R4175,REGRAS!$B$2:$C$13,2,0),""))</f>
        <v/>
      </c>
    </row>
    <row r="4176">
      <c r="T4176" s="258">
        <f>IF(R4176="","",IFERROR(TODAY()+VLOOKUP(R4176,REGRAS!$B$2:$C$13,2,0),""))</f>
        <v/>
      </c>
    </row>
    <row r="4177">
      <c r="T4177" s="258">
        <f>IF(R4177="","",IFERROR(TODAY()+VLOOKUP(R4177,REGRAS!$B$2:$C$13,2,0),""))</f>
        <v/>
      </c>
    </row>
    <row r="4178">
      <c r="T4178" s="258">
        <f>IF(R4178="","",IFERROR(TODAY()+VLOOKUP(R4178,REGRAS!$B$2:$C$13,2,0),""))</f>
        <v/>
      </c>
    </row>
    <row r="4179">
      <c r="T4179" s="258">
        <f>IF(R4179="","",IFERROR(TODAY()+VLOOKUP(R4179,REGRAS!$B$2:$C$13,2,0),""))</f>
        <v/>
      </c>
    </row>
    <row r="4180">
      <c r="T4180" s="258">
        <f>IF(R4180="","",IFERROR(TODAY()+VLOOKUP(R4180,REGRAS!$B$2:$C$13,2,0),""))</f>
        <v/>
      </c>
    </row>
    <row r="4181">
      <c r="T4181" s="258">
        <f>IF(R4181="","",IFERROR(TODAY()+VLOOKUP(R4181,REGRAS!$B$2:$C$13,2,0),""))</f>
        <v/>
      </c>
    </row>
    <row r="4182">
      <c r="T4182" s="258">
        <f>IF(R4182="","",IFERROR(TODAY()+VLOOKUP(R4182,REGRAS!$B$2:$C$13,2,0),""))</f>
        <v/>
      </c>
    </row>
    <row r="4183">
      <c r="T4183" s="258">
        <f>IF(R4183="","",IFERROR(TODAY()+VLOOKUP(R4183,REGRAS!$B$2:$C$13,2,0),""))</f>
        <v/>
      </c>
    </row>
    <row r="4184">
      <c r="T4184" s="258">
        <f>IF(R4184="","",IFERROR(TODAY()+VLOOKUP(R4184,REGRAS!$B$2:$C$13,2,0),""))</f>
        <v/>
      </c>
    </row>
    <row r="4185">
      <c r="T4185" s="258">
        <f>IF(R4185="","",IFERROR(TODAY()+VLOOKUP(R4185,REGRAS!$B$2:$C$13,2,0),""))</f>
        <v/>
      </c>
    </row>
    <row r="4186">
      <c r="T4186" s="258">
        <f>IF(R4186="","",IFERROR(TODAY()+VLOOKUP(R4186,REGRAS!$B$2:$C$13,2,0),""))</f>
        <v/>
      </c>
    </row>
    <row r="4187">
      <c r="T4187" s="258">
        <f>IF(R4187="","",IFERROR(TODAY()+VLOOKUP(R4187,REGRAS!$B$2:$C$13,2,0),""))</f>
        <v/>
      </c>
    </row>
    <row r="4188">
      <c r="T4188" s="258">
        <f>IF(R4188="","",IFERROR(TODAY()+VLOOKUP(R4188,REGRAS!$B$2:$C$13,2,0),""))</f>
        <v/>
      </c>
    </row>
    <row r="4189">
      <c r="T4189" s="258">
        <f>IF(R4189="","",IFERROR(TODAY()+VLOOKUP(R4189,REGRAS!$B$2:$C$13,2,0),""))</f>
        <v/>
      </c>
    </row>
    <row r="4190">
      <c r="T4190" s="258">
        <f>IF(R4190="","",IFERROR(TODAY()+VLOOKUP(R4190,REGRAS!$B$2:$C$13,2,0),""))</f>
        <v/>
      </c>
    </row>
    <row r="4191">
      <c r="T4191" s="258">
        <f>IF(R4191="","",IFERROR(TODAY()+VLOOKUP(R4191,REGRAS!$B$2:$C$13,2,0),""))</f>
        <v/>
      </c>
    </row>
    <row r="4192">
      <c r="T4192" s="258">
        <f>IF(R4192="","",IFERROR(TODAY()+VLOOKUP(R4192,REGRAS!$B$2:$C$13,2,0),""))</f>
        <v/>
      </c>
    </row>
    <row r="4193">
      <c r="T4193" s="258">
        <f>IF(R4193="","",IFERROR(TODAY()+VLOOKUP(R4193,REGRAS!$B$2:$C$13,2,0),""))</f>
        <v/>
      </c>
    </row>
    <row r="4194">
      <c r="T4194" s="258">
        <f>IF(R4194="","",IFERROR(TODAY()+VLOOKUP(R4194,REGRAS!$B$2:$C$13,2,0),""))</f>
        <v/>
      </c>
    </row>
    <row r="4195">
      <c r="T4195" s="258">
        <f>IF(R4195="","",IFERROR(TODAY()+VLOOKUP(R4195,REGRAS!$B$2:$C$13,2,0),""))</f>
        <v/>
      </c>
    </row>
    <row r="4196">
      <c r="T4196" s="258">
        <f>IF(R4196="","",IFERROR(TODAY()+VLOOKUP(R4196,REGRAS!$B$2:$C$13,2,0),""))</f>
        <v/>
      </c>
    </row>
    <row r="4197">
      <c r="T4197" s="258">
        <f>IF(R4197="","",IFERROR(TODAY()+VLOOKUP(R4197,REGRAS!$B$2:$C$13,2,0),""))</f>
        <v/>
      </c>
    </row>
    <row r="4198">
      <c r="T4198" s="258">
        <f>IF(R4198="","",IFERROR(TODAY()+VLOOKUP(R4198,REGRAS!$B$2:$C$13,2,0),""))</f>
        <v/>
      </c>
    </row>
    <row r="4199">
      <c r="T4199" s="258">
        <f>IF(R4199="","",IFERROR(TODAY()+VLOOKUP(R4199,REGRAS!$B$2:$C$13,2,0),""))</f>
        <v/>
      </c>
    </row>
    <row r="4200">
      <c r="T4200" s="258">
        <f>IF(R4200="","",IFERROR(TODAY()+VLOOKUP(R4200,REGRAS!$B$2:$C$13,2,0),""))</f>
        <v/>
      </c>
    </row>
    <row r="4201">
      <c r="T4201" s="258">
        <f>IF(R4201="","",IFERROR(TODAY()+VLOOKUP(R4201,REGRAS!$B$2:$C$13,2,0),""))</f>
        <v/>
      </c>
    </row>
    <row r="4202">
      <c r="T4202" s="258">
        <f>IF(R4202="","",IFERROR(TODAY()+VLOOKUP(R4202,REGRAS!$B$2:$C$13,2,0),""))</f>
        <v/>
      </c>
    </row>
    <row r="4203">
      <c r="T4203" s="258">
        <f>IF(R4203="","",IFERROR(TODAY()+VLOOKUP(R4203,REGRAS!$B$2:$C$13,2,0),""))</f>
        <v/>
      </c>
    </row>
    <row r="4204">
      <c r="T4204" s="258">
        <f>IF(R4204="","",IFERROR(TODAY()+VLOOKUP(R4204,REGRAS!$B$2:$C$13,2,0),""))</f>
        <v/>
      </c>
    </row>
    <row r="4205">
      <c r="T4205" s="258">
        <f>IF(R4205="","",IFERROR(TODAY()+VLOOKUP(R4205,REGRAS!$B$2:$C$13,2,0),""))</f>
        <v/>
      </c>
    </row>
    <row r="4206">
      <c r="T4206" s="258">
        <f>IF(R4206="","",IFERROR(TODAY()+VLOOKUP(R4206,REGRAS!$B$2:$C$13,2,0),""))</f>
        <v/>
      </c>
    </row>
    <row r="4207">
      <c r="T4207" s="258">
        <f>IF(R4207="","",IFERROR(TODAY()+VLOOKUP(R4207,REGRAS!$B$2:$C$13,2,0),""))</f>
        <v/>
      </c>
    </row>
    <row r="4208">
      <c r="T4208" s="258">
        <f>IF(R4208="","",IFERROR(TODAY()+VLOOKUP(R4208,REGRAS!$B$2:$C$13,2,0),""))</f>
        <v/>
      </c>
    </row>
    <row r="4209">
      <c r="T4209" s="258">
        <f>IF(R4209="","",IFERROR(TODAY()+VLOOKUP(R4209,REGRAS!$B$2:$C$13,2,0),""))</f>
        <v/>
      </c>
    </row>
    <row r="4210">
      <c r="T4210" s="258">
        <f>IF(R4210="","",IFERROR(TODAY()+VLOOKUP(R4210,REGRAS!$B$2:$C$13,2,0),""))</f>
        <v/>
      </c>
    </row>
    <row r="4211">
      <c r="T4211" s="258">
        <f>IF(R4211="","",IFERROR(TODAY()+VLOOKUP(R4211,REGRAS!$B$2:$C$13,2,0),""))</f>
        <v/>
      </c>
    </row>
    <row r="4212">
      <c r="T4212" s="258">
        <f>IF(R4212="","",IFERROR(TODAY()+VLOOKUP(R4212,REGRAS!$B$2:$C$13,2,0),""))</f>
        <v/>
      </c>
    </row>
    <row r="4213">
      <c r="T4213" s="258">
        <f>IF(R4213="","",IFERROR(TODAY()+VLOOKUP(R4213,REGRAS!$B$2:$C$13,2,0),""))</f>
        <v/>
      </c>
    </row>
    <row r="4214">
      <c r="T4214" s="258">
        <f>IF(R4214="","",IFERROR(TODAY()+VLOOKUP(R4214,REGRAS!$B$2:$C$13,2,0),""))</f>
        <v/>
      </c>
    </row>
    <row r="4215">
      <c r="T4215" s="258">
        <f>IF(R4215="","",IFERROR(TODAY()+VLOOKUP(R4215,REGRAS!$B$2:$C$13,2,0),""))</f>
        <v/>
      </c>
    </row>
    <row r="4216">
      <c r="T4216" s="258">
        <f>IF(R4216="","",IFERROR(TODAY()+VLOOKUP(R4216,REGRAS!$B$2:$C$13,2,0),""))</f>
        <v/>
      </c>
    </row>
    <row r="4217">
      <c r="T4217" s="258">
        <f>IF(R4217="","",IFERROR(TODAY()+VLOOKUP(R4217,REGRAS!$B$2:$C$13,2,0),""))</f>
        <v/>
      </c>
    </row>
    <row r="4218">
      <c r="T4218" s="258">
        <f>IF(R4218="","",IFERROR(TODAY()+VLOOKUP(R4218,REGRAS!$B$2:$C$13,2,0),""))</f>
        <v/>
      </c>
    </row>
    <row r="4219">
      <c r="T4219" s="258">
        <f>IF(R4219="","",IFERROR(TODAY()+VLOOKUP(R4219,REGRAS!$B$2:$C$13,2,0),""))</f>
        <v/>
      </c>
    </row>
    <row r="4220">
      <c r="T4220" s="258">
        <f>IF(R4220="","",IFERROR(TODAY()+VLOOKUP(R4220,REGRAS!$B$2:$C$13,2,0),""))</f>
        <v/>
      </c>
    </row>
    <row r="4221">
      <c r="T4221" s="258">
        <f>IF(R4221="","",IFERROR(TODAY()+VLOOKUP(R4221,REGRAS!$B$2:$C$13,2,0),""))</f>
        <v/>
      </c>
    </row>
    <row r="4222">
      <c r="T4222" s="258">
        <f>IF(R4222="","",IFERROR(TODAY()+VLOOKUP(R4222,REGRAS!$B$2:$C$13,2,0),""))</f>
        <v/>
      </c>
    </row>
    <row r="4223">
      <c r="T4223" s="258">
        <f>IF(R4223="","",IFERROR(TODAY()+VLOOKUP(R4223,REGRAS!$B$2:$C$13,2,0),""))</f>
        <v/>
      </c>
    </row>
    <row r="4224">
      <c r="T4224" s="258">
        <f>IF(R4224="","",IFERROR(TODAY()+VLOOKUP(R4224,REGRAS!$B$2:$C$13,2,0),""))</f>
        <v/>
      </c>
    </row>
    <row r="4225">
      <c r="T4225" s="258">
        <f>IF(R4225="","",IFERROR(TODAY()+VLOOKUP(R4225,REGRAS!$B$2:$C$13,2,0),""))</f>
        <v/>
      </c>
    </row>
    <row r="4226">
      <c r="T4226" s="258">
        <f>IF(R4226="","",IFERROR(TODAY()+VLOOKUP(R4226,REGRAS!$B$2:$C$13,2,0),""))</f>
        <v/>
      </c>
    </row>
    <row r="4227">
      <c r="T4227" s="258">
        <f>IF(R4227="","",IFERROR(TODAY()+VLOOKUP(R4227,REGRAS!$B$2:$C$13,2,0),""))</f>
        <v/>
      </c>
    </row>
    <row r="4228">
      <c r="T4228" s="258">
        <f>IF(R4228="","",IFERROR(TODAY()+VLOOKUP(R4228,REGRAS!$B$2:$C$13,2,0),""))</f>
        <v/>
      </c>
    </row>
    <row r="4229">
      <c r="T4229" s="258">
        <f>IF(R4229="","",IFERROR(TODAY()+VLOOKUP(R4229,REGRAS!$B$2:$C$13,2,0),""))</f>
        <v/>
      </c>
    </row>
    <row r="4230">
      <c r="T4230" s="258">
        <f>IF(R4230="","",IFERROR(TODAY()+VLOOKUP(R4230,REGRAS!$B$2:$C$13,2,0),""))</f>
        <v/>
      </c>
    </row>
    <row r="4231">
      <c r="T4231" s="258">
        <f>IF(R4231="","",IFERROR(TODAY()+VLOOKUP(R4231,REGRAS!$B$2:$C$13,2,0),""))</f>
        <v/>
      </c>
    </row>
    <row r="4232">
      <c r="T4232" s="258">
        <f>IF(R4232="","",IFERROR(TODAY()+VLOOKUP(R4232,REGRAS!$B$2:$C$13,2,0),""))</f>
        <v/>
      </c>
    </row>
    <row r="4233">
      <c r="T4233" s="258">
        <f>IF(R4233="","",IFERROR(TODAY()+VLOOKUP(R4233,REGRAS!$B$2:$C$13,2,0),""))</f>
        <v/>
      </c>
    </row>
    <row r="4234">
      <c r="T4234" s="258">
        <f>IF(R4234="","",IFERROR(TODAY()+VLOOKUP(R4234,REGRAS!$B$2:$C$13,2,0),""))</f>
        <v/>
      </c>
    </row>
    <row r="4235">
      <c r="T4235" s="258">
        <f>IF(R4235="","",IFERROR(TODAY()+VLOOKUP(R4235,REGRAS!$B$2:$C$13,2,0),""))</f>
        <v/>
      </c>
    </row>
    <row r="4236">
      <c r="T4236" s="258">
        <f>IF(R4236="","",IFERROR(TODAY()+VLOOKUP(R4236,REGRAS!$B$2:$C$13,2,0),""))</f>
        <v/>
      </c>
    </row>
    <row r="4237">
      <c r="T4237" s="258">
        <f>IF(R4237="","",IFERROR(TODAY()+VLOOKUP(R4237,REGRAS!$B$2:$C$13,2,0),""))</f>
        <v/>
      </c>
    </row>
    <row r="4238">
      <c r="T4238" s="258">
        <f>IF(R4238="","",IFERROR(TODAY()+VLOOKUP(R4238,REGRAS!$B$2:$C$13,2,0),""))</f>
        <v/>
      </c>
    </row>
    <row r="4239">
      <c r="T4239" s="258">
        <f>IF(R4239="","",IFERROR(TODAY()+VLOOKUP(R4239,REGRAS!$B$2:$C$13,2,0),""))</f>
        <v/>
      </c>
    </row>
    <row r="4240">
      <c r="T4240" s="258">
        <f>IF(R4240="","",IFERROR(TODAY()+VLOOKUP(R4240,REGRAS!$B$2:$C$13,2,0),""))</f>
        <v/>
      </c>
    </row>
    <row r="4241">
      <c r="T4241" s="258">
        <f>IF(R4241="","",IFERROR(TODAY()+VLOOKUP(R4241,REGRAS!$B$2:$C$13,2,0),""))</f>
        <v/>
      </c>
    </row>
    <row r="4242">
      <c r="T4242" s="258">
        <f>IF(R4242="","",IFERROR(TODAY()+VLOOKUP(R4242,REGRAS!$B$2:$C$13,2,0),""))</f>
        <v/>
      </c>
    </row>
    <row r="4243">
      <c r="T4243" s="258">
        <f>IF(R4243="","",IFERROR(TODAY()+VLOOKUP(R4243,REGRAS!$B$2:$C$13,2,0),""))</f>
        <v/>
      </c>
    </row>
    <row r="4244">
      <c r="T4244" s="258">
        <f>IF(R4244="","",IFERROR(TODAY()+VLOOKUP(R4244,REGRAS!$B$2:$C$13,2,0),""))</f>
        <v/>
      </c>
    </row>
    <row r="4245">
      <c r="T4245" s="258">
        <f>IF(R4245="","",IFERROR(TODAY()+VLOOKUP(R4245,REGRAS!$B$2:$C$13,2,0),""))</f>
        <v/>
      </c>
    </row>
    <row r="4246">
      <c r="T4246" s="258">
        <f>IF(R4246="","",IFERROR(TODAY()+VLOOKUP(R4246,REGRAS!$B$2:$C$13,2,0),""))</f>
        <v/>
      </c>
    </row>
    <row r="4247">
      <c r="T4247" s="258">
        <f>IF(R4247="","",IFERROR(TODAY()+VLOOKUP(R4247,REGRAS!$B$2:$C$13,2,0),""))</f>
        <v/>
      </c>
    </row>
    <row r="4248">
      <c r="T4248" s="258">
        <f>IF(R4248="","",IFERROR(TODAY()+VLOOKUP(R4248,REGRAS!$B$2:$C$13,2,0),""))</f>
        <v/>
      </c>
    </row>
    <row r="4249">
      <c r="T4249" s="258">
        <f>IF(R4249="","",IFERROR(TODAY()+VLOOKUP(R4249,REGRAS!$B$2:$C$13,2,0),""))</f>
        <v/>
      </c>
    </row>
    <row r="4250">
      <c r="T4250" s="258">
        <f>IF(R4250="","",IFERROR(TODAY()+VLOOKUP(R4250,REGRAS!$B$2:$C$13,2,0),""))</f>
        <v/>
      </c>
    </row>
    <row r="4251">
      <c r="T4251" s="258">
        <f>IF(R4251="","",IFERROR(TODAY()+VLOOKUP(R4251,REGRAS!$B$2:$C$13,2,0),""))</f>
        <v/>
      </c>
    </row>
    <row r="4252">
      <c r="T4252" s="258">
        <f>IF(R4252="","",IFERROR(TODAY()+VLOOKUP(R4252,REGRAS!$B$2:$C$13,2,0),""))</f>
        <v/>
      </c>
    </row>
    <row r="4253">
      <c r="T4253" s="258">
        <f>IF(R4253="","",IFERROR(TODAY()+VLOOKUP(R4253,REGRAS!$B$2:$C$13,2,0),""))</f>
        <v/>
      </c>
    </row>
    <row r="4254">
      <c r="T4254" s="258">
        <f>IF(R4254="","",IFERROR(TODAY()+VLOOKUP(R4254,REGRAS!$B$2:$C$13,2,0),""))</f>
        <v/>
      </c>
    </row>
    <row r="4255">
      <c r="T4255" s="258">
        <f>IF(R4255="","",IFERROR(TODAY()+VLOOKUP(R4255,REGRAS!$B$2:$C$13,2,0),""))</f>
        <v/>
      </c>
    </row>
    <row r="4256">
      <c r="T4256" s="258">
        <f>IF(R4256="","",IFERROR(TODAY()+VLOOKUP(R4256,REGRAS!$B$2:$C$13,2,0),""))</f>
        <v/>
      </c>
    </row>
    <row r="4257">
      <c r="T4257" s="258">
        <f>IF(R4257="","",IFERROR(TODAY()+VLOOKUP(R4257,REGRAS!$B$2:$C$13,2,0),""))</f>
        <v/>
      </c>
    </row>
    <row r="4258">
      <c r="T4258" s="258">
        <f>IF(R4258="","",IFERROR(TODAY()+VLOOKUP(R4258,REGRAS!$B$2:$C$13,2,0),""))</f>
        <v/>
      </c>
    </row>
    <row r="4259">
      <c r="T4259" s="258">
        <f>IF(R4259="","",IFERROR(TODAY()+VLOOKUP(R4259,REGRAS!$B$2:$C$13,2,0),""))</f>
        <v/>
      </c>
    </row>
    <row r="4260">
      <c r="T4260" s="258">
        <f>IF(R4260="","",IFERROR(TODAY()+VLOOKUP(R4260,REGRAS!$B$2:$C$13,2,0),""))</f>
        <v/>
      </c>
    </row>
    <row r="4261">
      <c r="T4261" s="258">
        <f>IF(R4261="","",IFERROR(TODAY()+VLOOKUP(R4261,REGRAS!$B$2:$C$13,2,0),""))</f>
        <v/>
      </c>
    </row>
    <row r="4262">
      <c r="T4262" s="258">
        <f>IF(R4262="","",IFERROR(TODAY()+VLOOKUP(R4262,REGRAS!$B$2:$C$13,2,0),""))</f>
        <v/>
      </c>
    </row>
    <row r="4263">
      <c r="T4263" s="258">
        <f>IF(R4263="","",IFERROR(TODAY()+VLOOKUP(R4263,REGRAS!$B$2:$C$13,2,0),""))</f>
        <v/>
      </c>
    </row>
    <row r="4264">
      <c r="T4264" s="258">
        <f>IF(R4264="","",IFERROR(TODAY()+VLOOKUP(R4264,REGRAS!$B$2:$C$13,2,0),""))</f>
        <v/>
      </c>
    </row>
    <row r="4265">
      <c r="T4265" s="258">
        <f>IF(R4265="","",IFERROR(TODAY()+VLOOKUP(R4265,REGRAS!$B$2:$C$13,2,0),""))</f>
        <v/>
      </c>
    </row>
    <row r="4266">
      <c r="T4266" s="258">
        <f>IF(R4266="","",IFERROR(TODAY()+VLOOKUP(R4266,REGRAS!$B$2:$C$13,2,0),""))</f>
        <v/>
      </c>
    </row>
    <row r="4267">
      <c r="T4267" s="258">
        <f>IF(R4267="","",IFERROR(TODAY()+VLOOKUP(R4267,REGRAS!$B$2:$C$13,2,0),""))</f>
        <v/>
      </c>
    </row>
    <row r="4268">
      <c r="T4268" s="258">
        <f>IF(R4268="","",IFERROR(TODAY()+VLOOKUP(R4268,REGRAS!$B$2:$C$13,2,0),""))</f>
        <v/>
      </c>
    </row>
    <row r="4269">
      <c r="T4269" s="258">
        <f>IF(R4269="","",IFERROR(TODAY()+VLOOKUP(R4269,REGRAS!$B$2:$C$13,2,0),""))</f>
        <v/>
      </c>
    </row>
    <row r="4270">
      <c r="T4270" s="258">
        <f>IF(R4270="","",IFERROR(TODAY()+VLOOKUP(R4270,REGRAS!$B$2:$C$13,2,0),""))</f>
        <v/>
      </c>
    </row>
    <row r="4271">
      <c r="T4271" s="258">
        <f>IF(R4271="","",IFERROR(TODAY()+VLOOKUP(R4271,REGRAS!$B$2:$C$13,2,0),""))</f>
        <v/>
      </c>
    </row>
    <row r="4272">
      <c r="T4272" s="258">
        <f>IF(R4272="","",IFERROR(TODAY()+VLOOKUP(R4272,REGRAS!$B$2:$C$13,2,0),""))</f>
        <v/>
      </c>
    </row>
    <row r="4273">
      <c r="T4273" s="258">
        <f>IF(R4273="","",IFERROR(TODAY()+VLOOKUP(R4273,REGRAS!$B$2:$C$13,2,0),""))</f>
        <v/>
      </c>
    </row>
    <row r="4274">
      <c r="T4274" s="258">
        <f>IF(R4274="","",IFERROR(TODAY()+VLOOKUP(R4274,REGRAS!$B$2:$C$13,2,0),""))</f>
        <v/>
      </c>
    </row>
    <row r="4275">
      <c r="T4275" s="258">
        <f>IF(R4275="","",IFERROR(TODAY()+VLOOKUP(R4275,REGRAS!$B$2:$C$13,2,0),""))</f>
        <v/>
      </c>
    </row>
    <row r="4276">
      <c r="T4276" s="258">
        <f>IF(R4276="","",IFERROR(TODAY()+VLOOKUP(R4276,REGRAS!$B$2:$C$13,2,0),""))</f>
        <v/>
      </c>
    </row>
    <row r="4277">
      <c r="T4277" s="258">
        <f>IF(R4277="","",IFERROR(TODAY()+VLOOKUP(R4277,REGRAS!$B$2:$C$13,2,0),""))</f>
        <v/>
      </c>
    </row>
    <row r="4278">
      <c r="T4278" s="258">
        <f>IF(R4278="","",IFERROR(TODAY()+VLOOKUP(R4278,REGRAS!$B$2:$C$13,2,0),""))</f>
        <v/>
      </c>
    </row>
    <row r="4279">
      <c r="T4279" s="258">
        <f>IF(R4279="","",IFERROR(TODAY()+VLOOKUP(R4279,REGRAS!$B$2:$C$13,2,0),""))</f>
        <v/>
      </c>
    </row>
    <row r="4280">
      <c r="T4280" s="258">
        <f>IF(R4280="","",IFERROR(TODAY()+VLOOKUP(R4280,REGRAS!$B$2:$C$13,2,0),""))</f>
        <v/>
      </c>
    </row>
    <row r="4281">
      <c r="T4281" s="258">
        <f>IF(R4281="","",IFERROR(TODAY()+VLOOKUP(R4281,REGRAS!$B$2:$C$13,2,0),""))</f>
        <v/>
      </c>
    </row>
    <row r="4282">
      <c r="T4282" s="258">
        <f>IF(R4282="","",IFERROR(TODAY()+VLOOKUP(R4282,REGRAS!$B$2:$C$13,2,0),""))</f>
        <v/>
      </c>
    </row>
    <row r="4283">
      <c r="T4283" s="258">
        <f>IF(R4283="","",IFERROR(TODAY()+VLOOKUP(R4283,REGRAS!$B$2:$C$13,2,0),""))</f>
        <v/>
      </c>
    </row>
    <row r="4284">
      <c r="T4284" s="258">
        <f>IF(R4284="","",IFERROR(TODAY()+VLOOKUP(R4284,REGRAS!$B$2:$C$13,2,0),""))</f>
        <v/>
      </c>
    </row>
    <row r="4285">
      <c r="T4285" s="258">
        <f>IF(R4285="","",IFERROR(TODAY()+VLOOKUP(R4285,REGRAS!$B$2:$C$13,2,0),""))</f>
        <v/>
      </c>
    </row>
    <row r="4286">
      <c r="T4286" s="258">
        <f>IF(R4286="","",IFERROR(TODAY()+VLOOKUP(R4286,REGRAS!$B$2:$C$13,2,0),""))</f>
        <v/>
      </c>
    </row>
    <row r="4287">
      <c r="T4287" s="258">
        <f>IF(R4287="","",IFERROR(TODAY()+VLOOKUP(R4287,REGRAS!$B$2:$C$13,2,0),""))</f>
        <v/>
      </c>
    </row>
    <row r="4288">
      <c r="T4288" s="258">
        <f>IF(R4288="","",IFERROR(TODAY()+VLOOKUP(R4288,REGRAS!$B$2:$C$13,2,0),""))</f>
        <v/>
      </c>
    </row>
    <row r="4289">
      <c r="T4289" s="258">
        <f>IF(R4289="","",IFERROR(TODAY()+VLOOKUP(R4289,REGRAS!$B$2:$C$13,2,0),""))</f>
        <v/>
      </c>
    </row>
    <row r="4290">
      <c r="T4290" s="258">
        <f>IF(R4290="","",IFERROR(TODAY()+VLOOKUP(R4290,REGRAS!$B$2:$C$13,2,0),""))</f>
        <v/>
      </c>
    </row>
    <row r="4291">
      <c r="T4291" s="258">
        <f>IF(R4291="","",IFERROR(TODAY()+VLOOKUP(R4291,REGRAS!$B$2:$C$13,2,0),""))</f>
        <v/>
      </c>
    </row>
    <row r="4292">
      <c r="T4292" s="258">
        <f>IF(R4292="","",IFERROR(TODAY()+VLOOKUP(R4292,REGRAS!$B$2:$C$13,2,0),""))</f>
        <v/>
      </c>
    </row>
    <row r="4293">
      <c r="T4293" s="258">
        <f>IF(R4293="","",IFERROR(TODAY()+VLOOKUP(R4293,REGRAS!$B$2:$C$13,2,0),""))</f>
        <v/>
      </c>
    </row>
    <row r="4294">
      <c r="T4294" s="258">
        <f>IF(R4294="","",IFERROR(TODAY()+VLOOKUP(R4294,REGRAS!$B$2:$C$13,2,0),""))</f>
        <v/>
      </c>
    </row>
    <row r="4295">
      <c r="T4295" s="258">
        <f>IF(R4295="","",IFERROR(TODAY()+VLOOKUP(R4295,REGRAS!$B$2:$C$13,2,0),""))</f>
        <v/>
      </c>
    </row>
    <row r="4296">
      <c r="T4296" s="258">
        <f>IF(R4296="","",IFERROR(TODAY()+VLOOKUP(R4296,REGRAS!$B$2:$C$13,2,0),""))</f>
        <v/>
      </c>
    </row>
    <row r="4297">
      <c r="T4297" s="258">
        <f>IF(R4297="","",IFERROR(TODAY()+VLOOKUP(R4297,REGRAS!$B$2:$C$13,2,0),""))</f>
        <v/>
      </c>
    </row>
    <row r="4298">
      <c r="T4298" s="258">
        <f>IF(R4298="","",IFERROR(TODAY()+VLOOKUP(R4298,REGRAS!$B$2:$C$13,2,0),""))</f>
        <v/>
      </c>
    </row>
    <row r="4299">
      <c r="T4299" s="258">
        <f>IF(R4299="","",IFERROR(TODAY()+VLOOKUP(R4299,REGRAS!$B$2:$C$13,2,0),""))</f>
        <v/>
      </c>
    </row>
    <row r="4300">
      <c r="T4300" s="258">
        <f>IF(R4300="","",IFERROR(TODAY()+VLOOKUP(R4300,REGRAS!$B$2:$C$13,2,0),""))</f>
        <v/>
      </c>
    </row>
    <row r="4301">
      <c r="T4301" s="258">
        <f>IF(R4301="","",IFERROR(TODAY()+VLOOKUP(R4301,REGRAS!$B$2:$C$13,2,0),""))</f>
        <v/>
      </c>
    </row>
    <row r="4302">
      <c r="T4302" s="258">
        <f>IF(R4302="","",IFERROR(TODAY()+VLOOKUP(R4302,REGRAS!$B$2:$C$13,2,0),""))</f>
        <v/>
      </c>
    </row>
    <row r="4303">
      <c r="T4303" s="258">
        <f>IF(R4303="","",IFERROR(TODAY()+VLOOKUP(R4303,REGRAS!$B$2:$C$13,2,0),""))</f>
        <v/>
      </c>
    </row>
    <row r="4304">
      <c r="T4304" s="258">
        <f>IF(R4304="","",IFERROR(TODAY()+VLOOKUP(R4304,REGRAS!$B$2:$C$13,2,0),""))</f>
        <v/>
      </c>
    </row>
    <row r="4305">
      <c r="T4305" s="258">
        <f>IF(R4305="","",IFERROR(TODAY()+VLOOKUP(R4305,REGRAS!$B$2:$C$13,2,0),""))</f>
        <v/>
      </c>
    </row>
    <row r="4306">
      <c r="T4306" s="258">
        <f>IF(R4306="","",IFERROR(TODAY()+VLOOKUP(R4306,REGRAS!$B$2:$C$13,2,0),""))</f>
        <v/>
      </c>
    </row>
    <row r="4307">
      <c r="T4307" s="258">
        <f>IF(R4307="","",IFERROR(TODAY()+VLOOKUP(R4307,REGRAS!$B$2:$C$13,2,0),""))</f>
        <v/>
      </c>
    </row>
    <row r="4308">
      <c r="T4308" s="258">
        <f>IF(R4308="","",IFERROR(TODAY()+VLOOKUP(R4308,REGRAS!$B$2:$C$13,2,0),""))</f>
        <v/>
      </c>
    </row>
    <row r="4309">
      <c r="T4309" s="258">
        <f>IF(R4309="","",IFERROR(TODAY()+VLOOKUP(R4309,REGRAS!$B$2:$C$13,2,0),""))</f>
        <v/>
      </c>
    </row>
    <row r="4310">
      <c r="T4310" s="258">
        <f>IF(R4310="","",IFERROR(TODAY()+VLOOKUP(R4310,REGRAS!$B$2:$C$13,2,0),""))</f>
        <v/>
      </c>
    </row>
    <row r="4311">
      <c r="T4311" s="258">
        <f>IF(R4311="","",IFERROR(TODAY()+VLOOKUP(R4311,REGRAS!$B$2:$C$13,2,0),""))</f>
        <v/>
      </c>
    </row>
    <row r="4312">
      <c r="T4312" s="258">
        <f>IF(R4312="","",IFERROR(TODAY()+VLOOKUP(R4312,REGRAS!$B$2:$C$13,2,0),""))</f>
        <v/>
      </c>
    </row>
    <row r="4313">
      <c r="T4313" s="258">
        <f>IF(R4313="","",IFERROR(TODAY()+VLOOKUP(R4313,REGRAS!$B$2:$C$13,2,0),""))</f>
        <v/>
      </c>
    </row>
    <row r="4314">
      <c r="T4314" s="258">
        <f>IF(R4314="","",IFERROR(TODAY()+VLOOKUP(R4314,REGRAS!$B$2:$C$13,2,0),""))</f>
        <v/>
      </c>
    </row>
    <row r="4315">
      <c r="T4315" s="258">
        <f>IF(R4315="","",IFERROR(TODAY()+VLOOKUP(R4315,REGRAS!$B$2:$C$13,2,0),""))</f>
        <v/>
      </c>
    </row>
    <row r="4316">
      <c r="T4316" s="258">
        <f>IF(R4316="","",IFERROR(TODAY()+VLOOKUP(R4316,REGRAS!$B$2:$C$13,2,0),""))</f>
        <v/>
      </c>
    </row>
    <row r="4317">
      <c r="T4317" s="258">
        <f>IF(R4317="","",IFERROR(TODAY()+VLOOKUP(R4317,REGRAS!$B$2:$C$13,2,0),""))</f>
        <v/>
      </c>
    </row>
    <row r="4318">
      <c r="T4318" s="258">
        <f>IF(R4318="","",IFERROR(TODAY()+VLOOKUP(R4318,REGRAS!$B$2:$C$13,2,0),""))</f>
        <v/>
      </c>
    </row>
    <row r="4319">
      <c r="T4319" s="258">
        <f>IF(R4319="","",IFERROR(TODAY()+VLOOKUP(R4319,REGRAS!$B$2:$C$13,2,0),""))</f>
        <v/>
      </c>
    </row>
    <row r="4320">
      <c r="T4320" s="258">
        <f>IF(R4320="","",IFERROR(TODAY()+VLOOKUP(R4320,REGRAS!$B$2:$C$13,2,0),""))</f>
        <v/>
      </c>
    </row>
    <row r="4321">
      <c r="T4321" s="258">
        <f>IF(R4321="","",IFERROR(TODAY()+VLOOKUP(R4321,REGRAS!$B$2:$C$13,2,0),""))</f>
        <v/>
      </c>
    </row>
    <row r="4322">
      <c r="T4322" s="258">
        <f>IF(R4322="","",IFERROR(TODAY()+VLOOKUP(R4322,REGRAS!$B$2:$C$13,2,0),""))</f>
        <v/>
      </c>
    </row>
    <row r="4323">
      <c r="T4323" s="258">
        <f>IF(R4323="","",IFERROR(TODAY()+VLOOKUP(R4323,REGRAS!$B$2:$C$13,2,0),""))</f>
        <v/>
      </c>
    </row>
    <row r="4324">
      <c r="T4324" s="258">
        <f>IF(R4324="","",IFERROR(TODAY()+VLOOKUP(R4324,REGRAS!$B$2:$C$13,2,0),""))</f>
        <v/>
      </c>
    </row>
    <row r="4325">
      <c r="T4325" s="258">
        <f>IF(R4325="","",IFERROR(TODAY()+VLOOKUP(R4325,REGRAS!$B$2:$C$13,2,0),""))</f>
        <v/>
      </c>
    </row>
    <row r="4326">
      <c r="T4326" s="258">
        <f>IF(R4326="","",IFERROR(TODAY()+VLOOKUP(R4326,REGRAS!$B$2:$C$13,2,0),""))</f>
        <v/>
      </c>
    </row>
    <row r="4327">
      <c r="T4327" s="258">
        <f>IF(R4327="","",IFERROR(TODAY()+VLOOKUP(R4327,REGRAS!$B$2:$C$13,2,0),""))</f>
        <v/>
      </c>
    </row>
    <row r="4328">
      <c r="T4328" s="258">
        <f>IF(R4328="","",IFERROR(TODAY()+VLOOKUP(R4328,REGRAS!$B$2:$C$13,2,0),""))</f>
        <v/>
      </c>
    </row>
    <row r="4329">
      <c r="T4329" s="258">
        <f>IF(R4329="","",IFERROR(TODAY()+VLOOKUP(R4329,REGRAS!$B$2:$C$13,2,0),""))</f>
        <v/>
      </c>
    </row>
    <row r="4330">
      <c r="T4330" s="258">
        <f>IF(R4330="","",IFERROR(TODAY()+VLOOKUP(R4330,REGRAS!$B$2:$C$13,2,0),""))</f>
        <v/>
      </c>
    </row>
    <row r="4331">
      <c r="T4331" s="258">
        <f>IF(R4331="","",IFERROR(TODAY()+VLOOKUP(R4331,REGRAS!$B$2:$C$13,2,0),""))</f>
        <v/>
      </c>
    </row>
    <row r="4332">
      <c r="T4332" s="258">
        <f>IF(R4332="","",IFERROR(TODAY()+VLOOKUP(R4332,REGRAS!$B$2:$C$13,2,0),""))</f>
        <v/>
      </c>
    </row>
    <row r="4333">
      <c r="T4333" s="258">
        <f>IF(R4333="","",IFERROR(TODAY()+VLOOKUP(R4333,REGRAS!$B$2:$C$13,2,0),""))</f>
        <v/>
      </c>
    </row>
    <row r="4334">
      <c r="T4334" s="258">
        <f>IF(R4334="","",IFERROR(TODAY()+VLOOKUP(R4334,REGRAS!$B$2:$C$13,2,0),""))</f>
        <v/>
      </c>
    </row>
    <row r="4335">
      <c r="T4335" s="258">
        <f>IF(R4335="","",IFERROR(TODAY()+VLOOKUP(R4335,REGRAS!$B$2:$C$13,2,0),""))</f>
        <v/>
      </c>
    </row>
    <row r="4336">
      <c r="T4336" s="258">
        <f>IF(R4336="","",IFERROR(TODAY()+VLOOKUP(R4336,REGRAS!$B$2:$C$13,2,0),""))</f>
        <v/>
      </c>
    </row>
    <row r="4337">
      <c r="T4337" s="258">
        <f>IF(R4337="","",IFERROR(TODAY()+VLOOKUP(R4337,REGRAS!$B$2:$C$13,2,0),""))</f>
        <v/>
      </c>
    </row>
    <row r="4338">
      <c r="T4338" s="258">
        <f>IF(R4338="","",IFERROR(TODAY()+VLOOKUP(R4338,REGRAS!$B$2:$C$13,2,0),""))</f>
        <v/>
      </c>
    </row>
    <row r="4339">
      <c r="T4339" s="258">
        <f>IF(R4339="","",IFERROR(TODAY()+VLOOKUP(R4339,REGRAS!$B$2:$C$13,2,0),""))</f>
        <v/>
      </c>
    </row>
    <row r="4340">
      <c r="T4340" s="258">
        <f>IF(R4340="","",IFERROR(TODAY()+VLOOKUP(R4340,REGRAS!$B$2:$C$13,2,0),""))</f>
        <v/>
      </c>
    </row>
    <row r="4341">
      <c r="T4341" s="258">
        <f>IF(R4341="","",IFERROR(TODAY()+VLOOKUP(R4341,REGRAS!$B$2:$C$13,2,0),""))</f>
        <v/>
      </c>
    </row>
    <row r="4342">
      <c r="T4342" s="258">
        <f>IF(R4342="","",IFERROR(TODAY()+VLOOKUP(R4342,REGRAS!$B$2:$C$13,2,0),""))</f>
        <v/>
      </c>
    </row>
    <row r="4343">
      <c r="T4343" s="258">
        <f>IF(R4343="","",IFERROR(TODAY()+VLOOKUP(R4343,REGRAS!$B$2:$C$13,2,0),""))</f>
        <v/>
      </c>
    </row>
    <row r="4344">
      <c r="T4344" s="258">
        <f>IF(R4344="","",IFERROR(TODAY()+VLOOKUP(R4344,REGRAS!$B$2:$C$13,2,0),""))</f>
        <v/>
      </c>
    </row>
    <row r="4345">
      <c r="T4345" s="258">
        <f>IF(R4345="","",IFERROR(TODAY()+VLOOKUP(R4345,REGRAS!$B$2:$C$13,2,0),""))</f>
        <v/>
      </c>
    </row>
    <row r="4346">
      <c r="T4346" s="258">
        <f>IF(R4346="","",IFERROR(TODAY()+VLOOKUP(R4346,REGRAS!$B$2:$C$13,2,0),""))</f>
        <v/>
      </c>
    </row>
    <row r="4347">
      <c r="T4347" s="258">
        <f>IF(R4347="","",IFERROR(TODAY()+VLOOKUP(R4347,REGRAS!$B$2:$C$13,2,0),""))</f>
        <v/>
      </c>
    </row>
    <row r="4348">
      <c r="T4348" s="258">
        <f>IF(R4348="","",IFERROR(TODAY()+VLOOKUP(R4348,REGRAS!$B$2:$C$13,2,0),""))</f>
        <v/>
      </c>
    </row>
    <row r="4349">
      <c r="T4349" s="258">
        <f>IF(R4349="","",IFERROR(TODAY()+VLOOKUP(R4349,REGRAS!$B$2:$C$13,2,0),""))</f>
        <v/>
      </c>
    </row>
    <row r="4350">
      <c r="T4350" s="258">
        <f>IF(R4350="","",IFERROR(TODAY()+VLOOKUP(R4350,REGRAS!$B$2:$C$13,2,0),""))</f>
        <v/>
      </c>
    </row>
    <row r="4351">
      <c r="T4351" s="258">
        <f>IF(R4351="","",IFERROR(TODAY()+VLOOKUP(R4351,REGRAS!$B$2:$C$13,2,0),""))</f>
        <v/>
      </c>
    </row>
    <row r="4352">
      <c r="T4352" s="258">
        <f>IF(R4352="","",IFERROR(TODAY()+VLOOKUP(R4352,REGRAS!$B$2:$C$13,2,0),""))</f>
        <v/>
      </c>
    </row>
    <row r="4353">
      <c r="T4353" s="258">
        <f>IF(R4353="","",IFERROR(TODAY()+VLOOKUP(R4353,REGRAS!$B$2:$C$13,2,0),""))</f>
        <v/>
      </c>
    </row>
    <row r="4354">
      <c r="T4354" s="258">
        <f>IF(R4354="","",IFERROR(TODAY()+VLOOKUP(R4354,REGRAS!$B$2:$C$13,2,0),""))</f>
        <v/>
      </c>
    </row>
    <row r="4355">
      <c r="T4355" s="258">
        <f>IF(R4355="","",IFERROR(TODAY()+VLOOKUP(R4355,REGRAS!$B$2:$C$13,2,0),""))</f>
        <v/>
      </c>
    </row>
    <row r="4356">
      <c r="T4356" s="258">
        <f>IF(R4356="","",IFERROR(TODAY()+VLOOKUP(R4356,REGRAS!$B$2:$C$13,2,0),""))</f>
        <v/>
      </c>
    </row>
    <row r="4357">
      <c r="T4357" s="258">
        <f>IF(R4357="","",IFERROR(TODAY()+VLOOKUP(R4357,REGRAS!$B$2:$C$13,2,0),""))</f>
        <v/>
      </c>
    </row>
    <row r="4358">
      <c r="T4358" s="258">
        <f>IF(R4358="","",IFERROR(TODAY()+VLOOKUP(R4358,REGRAS!$B$2:$C$13,2,0),""))</f>
        <v/>
      </c>
    </row>
    <row r="4359">
      <c r="T4359" s="258">
        <f>IF(R4359="","",IFERROR(TODAY()+VLOOKUP(R4359,REGRAS!$B$2:$C$13,2,0),""))</f>
        <v/>
      </c>
    </row>
    <row r="4360">
      <c r="T4360" s="258">
        <f>IF(R4360="","",IFERROR(TODAY()+VLOOKUP(R4360,REGRAS!$B$2:$C$13,2,0),""))</f>
        <v/>
      </c>
    </row>
    <row r="4361">
      <c r="T4361" s="258">
        <f>IF(R4361="","",IFERROR(TODAY()+VLOOKUP(R4361,REGRAS!$B$2:$C$13,2,0),""))</f>
        <v/>
      </c>
    </row>
    <row r="4362">
      <c r="T4362" s="258">
        <f>IF(R4362="","",IFERROR(TODAY()+VLOOKUP(R4362,REGRAS!$B$2:$C$13,2,0),""))</f>
        <v/>
      </c>
    </row>
    <row r="4363">
      <c r="T4363" s="258">
        <f>IF(R4363="","",IFERROR(TODAY()+VLOOKUP(R4363,REGRAS!$B$2:$C$13,2,0),""))</f>
        <v/>
      </c>
    </row>
    <row r="4364">
      <c r="T4364" s="258">
        <f>IF(R4364="","",IFERROR(TODAY()+VLOOKUP(R4364,REGRAS!$B$2:$C$13,2,0),""))</f>
        <v/>
      </c>
    </row>
    <row r="4365">
      <c r="T4365" s="258">
        <f>IF(R4365="","",IFERROR(TODAY()+VLOOKUP(R4365,REGRAS!$B$2:$C$13,2,0),""))</f>
        <v/>
      </c>
    </row>
    <row r="4366">
      <c r="T4366" s="258">
        <f>IF(R4366="","",IFERROR(TODAY()+VLOOKUP(R4366,REGRAS!$B$2:$C$13,2,0),""))</f>
        <v/>
      </c>
    </row>
    <row r="4367">
      <c r="T4367" s="258">
        <f>IF(R4367="","",IFERROR(TODAY()+VLOOKUP(R4367,REGRAS!$B$2:$C$13,2,0),""))</f>
        <v/>
      </c>
    </row>
    <row r="4368">
      <c r="T4368" s="258">
        <f>IF(R4368="","",IFERROR(TODAY()+VLOOKUP(R4368,REGRAS!$B$2:$C$13,2,0),""))</f>
        <v/>
      </c>
    </row>
    <row r="4369">
      <c r="T4369" s="258">
        <f>IF(R4369="","",IFERROR(TODAY()+VLOOKUP(R4369,REGRAS!$B$2:$C$13,2,0),""))</f>
        <v/>
      </c>
    </row>
    <row r="4370">
      <c r="T4370" s="258">
        <f>IF(R4370="","",IFERROR(TODAY()+VLOOKUP(R4370,REGRAS!$B$2:$C$13,2,0),""))</f>
        <v/>
      </c>
    </row>
    <row r="4371">
      <c r="T4371" s="258">
        <f>IF(R4371="","",IFERROR(TODAY()+VLOOKUP(R4371,REGRAS!$B$2:$C$13,2,0),""))</f>
        <v/>
      </c>
    </row>
    <row r="4372">
      <c r="T4372" s="258">
        <f>IF(R4372="","",IFERROR(TODAY()+VLOOKUP(R4372,REGRAS!$B$2:$C$13,2,0),""))</f>
        <v/>
      </c>
    </row>
    <row r="4373">
      <c r="T4373" s="258">
        <f>IF(R4373="","",IFERROR(TODAY()+VLOOKUP(R4373,REGRAS!$B$2:$C$13,2,0),""))</f>
        <v/>
      </c>
    </row>
    <row r="4374">
      <c r="T4374" s="258">
        <f>IF(R4374="","",IFERROR(TODAY()+VLOOKUP(R4374,REGRAS!$B$2:$C$13,2,0),""))</f>
        <v/>
      </c>
    </row>
    <row r="4375">
      <c r="T4375" s="258">
        <f>IF(R4375="","",IFERROR(TODAY()+VLOOKUP(R4375,REGRAS!$B$2:$C$13,2,0),""))</f>
        <v/>
      </c>
    </row>
    <row r="4376">
      <c r="T4376" s="258">
        <f>IF(R4376="","",IFERROR(TODAY()+VLOOKUP(R4376,REGRAS!$B$2:$C$13,2,0),""))</f>
        <v/>
      </c>
    </row>
    <row r="4377">
      <c r="T4377" s="258">
        <f>IF(R4377="","",IFERROR(TODAY()+VLOOKUP(R4377,REGRAS!$B$2:$C$13,2,0),""))</f>
        <v/>
      </c>
    </row>
    <row r="4378">
      <c r="T4378" s="258">
        <f>IF(R4378="","",IFERROR(TODAY()+VLOOKUP(R4378,REGRAS!$B$2:$C$13,2,0),""))</f>
        <v/>
      </c>
    </row>
    <row r="4379">
      <c r="T4379" s="258">
        <f>IF(R4379="","",IFERROR(TODAY()+VLOOKUP(R4379,REGRAS!$B$2:$C$13,2,0),""))</f>
        <v/>
      </c>
    </row>
    <row r="4380">
      <c r="T4380" s="258">
        <f>IF(R4380="","",IFERROR(TODAY()+VLOOKUP(R4380,REGRAS!$B$2:$C$13,2,0),""))</f>
        <v/>
      </c>
    </row>
    <row r="4381">
      <c r="T4381" s="258">
        <f>IF(R4381="","",IFERROR(TODAY()+VLOOKUP(R4381,REGRAS!$B$2:$C$13,2,0),""))</f>
        <v/>
      </c>
    </row>
    <row r="4382">
      <c r="T4382" s="258">
        <f>IF(R4382="","",IFERROR(TODAY()+VLOOKUP(R4382,REGRAS!$B$2:$C$13,2,0),""))</f>
        <v/>
      </c>
    </row>
    <row r="4383">
      <c r="T4383" s="258">
        <f>IF(R4383="","",IFERROR(TODAY()+VLOOKUP(R4383,REGRAS!$B$2:$C$13,2,0),""))</f>
        <v/>
      </c>
    </row>
    <row r="4384">
      <c r="T4384" s="258">
        <f>IF(R4384="","",IFERROR(TODAY()+VLOOKUP(R4384,REGRAS!$B$2:$C$13,2,0),""))</f>
        <v/>
      </c>
    </row>
    <row r="4385">
      <c r="T4385" s="258">
        <f>IF(R4385="","",IFERROR(TODAY()+VLOOKUP(R4385,REGRAS!$B$2:$C$13,2,0),""))</f>
        <v/>
      </c>
    </row>
    <row r="4386">
      <c r="T4386" s="258">
        <f>IF(R4386="","",IFERROR(TODAY()+VLOOKUP(R4386,REGRAS!$B$2:$C$13,2,0),""))</f>
        <v/>
      </c>
    </row>
    <row r="4387">
      <c r="T4387" s="258">
        <f>IF(R4387="","",IFERROR(TODAY()+VLOOKUP(R4387,REGRAS!$B$2:$C$13,2,0),""))</f>
        <v/>
      </c>
    </row>
    <row r="4388">
      <c r="T4388" s="258">
        <f>IF(R4388="","",IFERROR(TODAY()+VLOOKUP(R4388,REGRAS!$B$2:$C$13,2,0),""))</f>
        <v/>
      </c>
    </row>
    <row r="4389">
      <c r="T4389" s="258">
        <f>IF(R4389="","",IFERROR(TODAY()+VLOOKUP(R4389,REGRAS!$B$2:$C$13,2,0),""))</f>
        <v/>
      </c>
    </row>
    <row r="4390">
      <c r="T4390" s="258">
        <f>IF(R4390="","",IFERROR(TODAY()+VLOOKUP(R4390,REGRAS!$B$2:$C$13,2,0),""))</f>
        <v/>
      </c>
    </row>
    <row r="4391">
      <c r="T4391" s="258">
        <f>IF(R4391="","",IFERROR(TODAY()+VLOOKUP(R4391,REGRAS!$B$2:$C$13,2,0),""))</f>
        <v/>
      </c>
    </row>
    <row r="4392">
      <c r="T4392" s="258">
        <f>IF(R4392="","",IFERROR(TODAY()+VLOOKUP(R4392,REGRAS!$B$2:$C$13,2,0),""))</f>
        <v/>
      </c>
    </row>
    <row r="4393">
      <c r="T4393" s="258">
        <f>IF(R4393="","",IFERROR(TODAY()+VLOOKUP(R4393,REGRAS!$B$2:$C$13,2,0),""))</f>
        <v/>
      </c>
    </row>
    <row r="4394">
      <c r="T4394" s="258">
        <f>IF(R4394="","",IFERROR(TODAY()+VLOOKUP(R4394,REGRAS!$B$2:$C$13,2,0),""))</f>
        <v/>
      </c>
    </row>
    <row r="4395">
      <c r="T4395" s="258">
        <f>IF(R4395="","",IFERROR(TODAY()+VLOOKUP(R4395,REGRAS!$B$2:$C$13,2,0),""))</f>
        <v/>
      </c>
    </row>
    <row r="4396">
      <c r="T4396" s="258">
        <f>IF(R4396="","",IFERROR(TODAY()+VLOOKUP(R4396,REGRAS!$B$2:$C$13,2,0),""))</f>
        <v/>
      </c>
    </row>
    <row r="4397">
      <c r="T4397" s="258">
        <f>IF(R4397="","",IFERROR(TODAY()+VLOOKUP(R4397,REGRAS!$B$2:$C$13,2,0),""))</f>
        <v/>
      </c>
    </row>
    <row r="4398">
      <c r="T4398" s="258">
        <f>IF(R4398="","",IFERROR(TODAY()+VLOOKUP(R4398,REGRAS!$B$2:$C$13,2,0),""))</f>
        <v/>
      </c>
    </row>
    <row r="4399">
      <c r="T4399" s="258">
        <f>IF(R4399="","",IFERROR(TODAY()+VLOOKUP(R4399,REGRAS!$B$2:$C$13,2,0),""))</f>
        <v/>
      </c>
    </row>
    <row r="4400">
      <c r="T4400" s="258">
        <f>IF(R4400="","",IFERROR(TODAY()+VLOOKUP(R4400,REGRAS!$B$2:$C$13,2,0),""))</f>
        <v/>
      </c>
    </row>
    <row r="4401">
      <c r="T4401" s="258">
        <f>IF(R4401="","",IFERROR(TODAY()+VLOOKUP(R4401,REGRAS!$B$2:$C$13,2,0),""))</f>
        <v/>
      </c>
    </row>
    <row r="4402">
      <c r="T4402" s="258">
        <f>IF(R4402="","",IFERROR(TODAY()+VLOOKUP(R4402,REGRAS!$B$2:$C$13,2,0),""))</f>
        <v/>
      </c>
    </row>
    <row r="4403">
      <c r="T4403" s="258">
        <f>IF(R4403="","",IFERROR(TODAY()+VLOOKUP(R4403,REGRAS!$B$2:$C$13,2,0),""))</f>
        <v/>
      </c>
    </row>
    <row r="4404">
      <c r="T4404" s="258">
        <f>IF(R4404="","",IFERROR(TODAY()+VLOOKUP(R4404,REGRAS!$B$2:$C$13,2,0),""))</f>
        <v/>
      </c>
    </row>
    <row r="4405">
      <c r="T4405" s="258">
        <f>IF(R4405="","",IFERROR(TODAY()+VLOOKUP(R4405,REGRAS!$B$2:$C$13,2,0),""))</f>
        <v/>
      </c>
    </row>
    <row r="4406">
      <c r="T4406" s="258">
        <f>IF(R4406="","",IFERROR(TODAY()+VLOOKUP(R4406,REGRAS!$B$2:$C$13,2,0),""))</f>
        <v/>
      </c>
    </row>
    <row r="4407">
      <c r="T4407" s="258">
        <f>IF(R4407="","",IFERROR(TODAY()+VLOOKUP(R4407,REGRAS!$B$2:$C$13,2,0),""))</f>
        <v/>
      </c>
    </row>
    <row r="4408">
      <c r="T4408" s="258">
        <f>IF(R4408="","",IFERROR(TODAY()+VLOOKUP(R4408,REGRAS!$B$2:$C$13,2,0),""))</f>
        <v/>
      </c>
    </row>
    <row r="4409">
      <c r="T4409" s="258">
        <f>IF(R4409="","",IFERROR(TODAY()+VLOOKUP(R4409,REGRAS!$B$2:$C$13,2,0),""))</f>
        <v/>
      </c>
    </row>
    <row r="4410">
      <c r="T4410" s="258">
        <f>IF(R4410="","",IFERROR(TODAY()+VLOOKUP(R4410,REGRAS!$B$2:$C$13,2,0),""))</f>
        <v/>
      </c>
    </row>
    <row r="4411">
      <c r="T4411" s="258">
        <f>IF(R4411="","",IFERROR(TODAY()+VLOOKUP(R4411,REGRAS!$B$2:$C$13,2,0),""))</f>
        <v/>
      </c>
    </row>
    <row r="4412">
      <c r="T4412" s="258">
        <f>IF(R4412="","",IFERROR(TODAY()+VLOOKUP(R4412,REGRAS!$B$2:$C$13,2,0),""))</f>
        <v/>
      </c>
    </row>
    <row r="4413">
      <c r="T4413" s="258">
        <f>IF(R4413="","",IFERROR(TODAY()+VLOOKUP(R4413,REGRAS!$B$2:$C$13,2,0),""))</f>
        <v/>
      </c>
    </row>
    <row r="4414">
      <c r="T4414" s="258">
        <f>IF(R4414="","",IFERROR(TODAY()+VLOOKUP(R4414,REGRAS!$B$2:$C$13,2,0),""))</f>
        <v/>
      </c>
    </row>
    <row r="4415">
      <c r="T4415" s="258">
        <f>IF(R4415="","",IFERROR(TODAY()+VLOOKUP(R4415,REGRAS!$B$2:$C$13,2,0),""))</f>
        <v/>
      </c>
    </row>
    <row r="4416">
      <c r="T4416" s="258">
        <f>IF(R4416="","",IFERROR(TODAY()+VLOOKUP(R4416,REGRAS!$B$2:$C$13,2,0),""))</f>
        <v/>
      </c>
    </row>
    <row r="4417">
      <c r="T4417" s="258">
        <f>IF(R4417="","",IFERROR(TODAY()+VLOOKUP(R4417,REGRAS!$B$2:$C$13,2,0),""))</f>
        <v/>
      </c>
    </row>
    <row r="4418">
      <c r="T4418" s="258">
        <f>IF(R4418="","",IFERROR(TODAY()+VLOOKUP(R4418,REGRAS!$B$2:$C$13,2,0),""))</f>
        <v/>
      </c>
    </row>
    <row r="4419">
      <c r="T4419" s="258">
        <f>IF(R4419="","",IFERROR(TODAY()+VLOOKUP(R4419,REGRAS!$B$2:$C$13,2,0),""))</f>
        <v/>
      </c>
    </row>
    <row r="4420">
      <c r="T4420" s="258">
        <f>IF(R4420="","",IFERROR(TODAY()+VLOOKUP(R4420,REGRAS!$B$2:$C$13,2,0),""))</f>
        <v/>
      </c>
    </row>
    <row r="4421">
      <c r="T4421" s="258">
        <f>IF(R4421="","",IFERROR(TODAY()+VLOOKUP(R4421,REGRAS!$B$2:$C$13,2,0),""))</f>
        <v/>
      </c>
    </row>
    <row r="4422">
      <c r="T4422" s="258">
        <f>IF(R4422="","",IFERROR(TODAY()+VLOOKUP(R4422,REGRAS!$B$2:$C$13,2,0),""))</f>
        <v/>
      </c>
    </row>
    <row r="4423">
      <c r="T4423" s="258">
        <f>IF(R4423="","",IFERROR(TODAY()+VLOOKUP(R4423,REGRAS!$B$2:$C$13,2,0),""))</f>
        <v/>
      </c>
    </row>
    <row r="4424">
      <c r="T4424" s="258">
        <f>IF(R4424="","",IFERROR(TODAY()+VLOOKUP(R4424,REGRAS!$B$2:$C$13,2,0),""))</f>
        <v/>
      </c>
    </row>
    <row r="4425">
      <c r="T4425" s="258">
        <f>IF(R4425="","",IFERROR(TODAY()+VLOOKUP(R4425,REGRAS!$B$2:$C$13,2,0),""))</f>
        <v/>
      </c>
    </row>
    <row r="4426">
      <c r="T4426" s="258">
        <f>IF(R4426="","",IFERROR(TODAY()+VLOOKUP(R4426,REGRAS!$B$2:$C$13,2,0),""))</f>
        <v/>
      </c>
    </row>
    <row r="4427">
      <c r="T4427" s="258">
        <f>IF(R4427="","",IFERROR(TODAY()+VLOOKUP(R4427,REGRAS!$B$2:$C$13,2,0),""))</f>
        <v/>
      </c>
    </row>
    <row r="4428">
      <c r="T4428" s="258">
        <f>IF(R4428="","",IFERROR(TODAY()+VLOOKUP(R4428,REGRAS!$B$2:$C$13,2,0),""))</f>
        <v/>
      </c>
    </row>
    <row r="4429">
      <c r="T4429" s="258">
        <f>IF(R4429="","",IFERROR(TODAY()+VLOOKUP(R4429,REGRAS!$B$2:$C$13,2,0),""))</f>
        <v/>
      </c>
    </row>
    <row r="4430">
      <c r="T4430" s="258">
        <f>IF(R4430="","",IFERROR(TODAY()+VLOOKUP(R4430,REGRAS!$B$2:$C$13,2,0),""))</f>
        <v/>
      </c>
    </row>
    <row r="4431">
      <c r="T4431" s="258">
        <f>IF(R4431="","",IFERROR(TODAY()+VLOOKUP(R4431,REGRAS!$B$2:$C$13,2,0),""))</f>
        <v/>
      </c>
    </row>
    <row r="4432">
      <c r="T4432" s="258">
        <f>IF(R4432="","",IFERROR(TODAY()+VLOOKUP(R4432,REGRAS!$B$2:$C$13,2,0),""))</f>
        <v/>
      </c>
    </row>
    <row r="4433">
      <c r="T4433" s="258">
        <f>IF(R4433="","",IFERROR(TODAY()+VLOOKUP(R4433,REGRAS!$B$2:$C$13,2,0),""))</f>
        <v/>
      </c>
    </row>
    <row r="4434">
      <c r="T4434" s="258">
        <f>IF(R4434="","",IFERROR(TODAY()+VLOOKUP(R4434,REGRAS!$B$2:$C$13,2,0),""))</f>
        <v/>
      </c>
    </row>
    <row r="4435">
      <c r="T4435" s="258">
        <f>IF(R4435="","",IFERROR(TODAY()+VLOOKUP(R4435,REGRAS!$B$2:$C$13,2,0),""))</f>
        <v/>
      </c>
    </row>
    <row r="4436">
      <c r="T4436" s="258">
        <f>IF(R4436="","",IFERROR(TODAY()+VLOOKUP(R4436,REGRAS!$B$2:$C$13,2,0),""))</f>
        <v/>
      </c>
    </row>
    <row r="4437">
      <c r="T4437" s="258">
        <f>IF(R4437="","",IFERROR(TODAY()+VLOOKUP(R4437,REGRAS!$B$2:$C$13,2,0),""))</f>
        <v/>
      </c>
    </row>
    <row r="4438">
      <c r="T4438" s="258">
        <f>IF(R4438="","",IFERROR(TODAY()+VLOOKUP(R4438,REGRAS!$B$2:$C$13,2,0),""))</f>
        <v/>
      </c>
    </row>
    <row r="4439">
      <c r="T4439" s="258">
        <f>IF(R4439="","",IFERROR(TODAY()+VLOOKUP(R4439,REGRAS!$B$2:$C$13,2,0),""))</f>
        <v/>
      </c>
    </row>
    <row r="4440">
      <c r="T4440" s="258">
        <f>IF(R4440="","",IFERROR(TODAY()+VLOOKUP(R4440,REGRAS!$B$2:$C$13,2,0),""))</f>
        <v/>
      </c>
    </row>
    <row r="4441">
      <c r="T4441" s="258">
        <f>IF(R4441="","",IFERROR(TODAY()+VLOOKUP(R4441,REGRAS!$B$2:$C$13,2,0),""))</f>
        <v/>
      </c>
    </row>
    <row r="4442">
      <c r="T4442" s="258">
        <f>IF(R4442="","",IFERROR(TODAY()+VLOOKUP(R4442,REGRAS!$B$2:$C$13,2,0),""))</f>
        <v/>
      </c>
    </row>
    <row r="4443">
      <c r="T4443" s="258">
        <f>IF(R4443="","",IFERROR(TODAY()+VLOOKUP(R4443,REGRAS!$B$2:$C$13,2,0),""))</f>
        <v/>
      </c>
    </row>
    <row r="4444">
      <c r="T4444" s="258">
        <f>IF(R4444="","",IFERROR(TODAY()+VLOOKUP(R4444,REGRAS!$B$2:$C$13,2,0),""))</f>
        <v/>
      </c>
    </row>
    <row r="4445">
      <c r="T4445" s="258">
        <f>IF(R4445="","",IFERROR(TODAY()+VLOOKUP(R4445,REGRAS!$B$2:$C$13,2,0),""))</f>
        <v/>
      </c>
    </row>
    <row r="4446">
      <c r="T4446" s="258">
        <f>IF(R4446="","",IFERROR(TODAY()+VLOOKUP(R4446,REGRAS!$B$2:$C$13,2,0),""))</f>
        <v/>
      </c>
    </row>
    <row r="4447">
      <c r="T4447" s="258">
        <f>IF(R4447="","",IFERROR(TODAY()+VLOOKUP(R4447,REGRAS!$B$2:$C$13,2,0),""))</f>
        <v/>
      </c>
    </row>
    <row r="4448">
      <c r="T4448" s="258">
        <f>IF(R4448="","",IFERROR(TODAY()+VLOOKUP(R4448,REGRAS!$B$2:$C$13,2,0),""))</f>
        <v/>
      </c>
    </row>
    <row r="4449">
      <c r="T4449" s="258">
        <f>IF(R4449="","",IFERROR(TODAY()+VLOOKUP(R4449,REGRAS!$B$2:$C$13,2,0),""))</f>
        <v/>
      </c>
    </row>
    <row r="4450">
      <c r="T4450" s="258">
        <f>IF(R4450="","",IFERROR(TODAY()+VLOOKUP(R4450,REGRAS!$B$2:$C$13,2,0),""))</f>
        <v/>
      </c>
    </row>
    <row r="4451">
      <c r="T4451" s="258">
        <f>IF(R4451="","",IFERROR(TODAY()+VLOOKUP(R4451,REGRAS!$B$2:$C$13,2,0),""))</f>
        <v/>
      </c>
    </row>
    <row r="4452">
      <c r="T4452" s="258">
        <f>IF(R4452="","",IFERROR(TODAY()+VLOOKUP(R4452,REGRAS!$B$2:$C$13,2,0),""))</f>
        <v/>
      </c>
    </row>
    <row r="4453">
      <c r="T4453" s="258">
        <f>IF(R4453="","",IFERROR(TODAY()+VLOOKUP(R4453,REGRAS!$B$2:$C$13,2,0),""))</f>
        <v/>
      </c>
    </row>
    <row r="4454">
      <c r="T4454" s="258">
        <f>IF(R4454="","",IFERROR(TODAY()+VLOOKUP(R4454,REGRAS!$B$2:$C$13,2,0),""))</f>
        <v/>
      </c>
    </row>
    <row r="4455">
      <c r="T4455" s="258">
        <f>IF(R4455="","",IFERROR(TODAY()+VLOOKUP(R4455,REGRAS!$B$2:$C$13,2,0),""))</f>
        <v/>
      </c>
    </row>
    <row r="4456">
      <c r="T4456" s="258">
        <f>IF(R4456="","",IFERROR(TODAY()+VLOOKUP(R4456,REGRAS!$B$2:$C$13,2,0),""))</f>
        <v/>
      </c>
    </row>
    <row r="4457">
      <c r="T4457" s="258">
        <f>IF(R4457="","",IFERROR(TODAY()+VLOOKUP(R4457,REGRAS!$B$2:$C$13,2,0),""))</f>
        <v/>
      </c>
    </row>
    <row r="4458">
      <c r="T4458" s="258">
        <f>IF(R4458="","",IFERROR(TODAY()+VLOOKUP(R4458,REGRAS!$B$2:$C$13,2,0),""))</f>
        <v/>
      </c>
    </row>
    <row r="4459">
      <c r="T4459" s="258">
        <f>IF(R4459="","",IFERROR(TODAY()+VLOOKUP(R4459,REGRAS!$B$2:$C$13,2,0),""))</f>
        <v/>
      </c>
    </row>
    <row r="4460">
      <c r="T4460" s="258">
        <f>IF(R4460="","",IFERROR(TODAY()+VLOOKUP(R4460,REGRAS!$B$2:$C$13,2,0),""))</f>
        <v/>
      </c>
    </row>
    <row r="4461">
      <c r="T4461" s="258">
        <f>IF(R4461="","",IFERROR(TODAY()+VLOOKUP(R4461,REGRAS!$B$2:$C$13,2,0),""))</f>
        <v/>
      </c>
    </row>
    <row r="4462">
      <c r="T4462" s="258">
        <f>IF(R4462="","",IFERROR(TODAY()+VLOOKUP(R4462,REGRAS!$B$2:$C$13,2,0),""))</f>
        <v/>
      </c>
    </row>
    <row r="4463">
      <c r="T4463" s="258">
        <f>IF(R4463="","",IFERROR(TODAY()+VLOOKUP(R4463,REGRAS!$B$2:$C$13,2,0),""))</f>
        <v/>
      </c>
    </row>
    <row r="4464">
      <c r="T4464" s="258">
        <f>IF(R4464="","",IFERROR(TODAY()+VLOOKUP(R4464,REGRAS!$B$2:$C$13,2,0),""))</f>
        <v/>
      </c>
    </row>
    <row r="4465">
      <c r="T4465" s="258">
        <f>IF(R4465="","",IFERROR(TODAY()+VLOOKUP(R4465,REGRAS!$B$2:$C$13,2,0),""))</f>
        <v/>
      </c>
    </row>
    <row r="4466">
      <c r="T4466" s="258">
        <f>IF(R4466="","",IFERROR(TODAY()+VLOOKUP(R4466,REGRAS!$B$2:$C$13,2,0),""))</f>
        <v/>
      </c>
    </row>
    <row r="4467">
      <c r="T4467" s="258">
        <f>IF(R4467="","",IFERROR(TODAY()+VLOOKUP(R4467,REGRAS!$B$2:$C$13,2,0),""))</f>
        <v/>
      </c>
    </row>
    <row r="4468">
      <c r="T4468" s="258">
        <f>IF(R4468="","",IFERROR(TODAY()+VLOOKUP(R4468,REGRAS!$B$2:$C$13,2,0),""))</f>
        <v/>
      </c>
    </row>
    <row r="4469">
      <c r="T4469" s="258">
        <f>IF(R4469="","",IFERROR(TODAY()+VLOOKUP(R4469,REGRAS!$B$2:$C$13,2,0),""))</f>
        <v/>
      </c>
    </row>
    <row r="4470">
      <c r="T4470" s="258">
        <f>IF(R4470="","",IFERROR(TODAY()+VLOOKUP(R4470,REGRAS!$B$2:$C$13,2,0),""))</f>
        <v/>
      </c>
    </row>
    <row r="4471">
      <c r="T4471" s="258">
        <f>IF(R4471="","",IFERROR(TODAY()+VLOOKUP(R4471,REGRAS!$B$2:$C$13,2,0),""))</f>
        <v/>
      </c>
    </row>
    <row r="4472">
      <c r="T4472" s="258">
        <f>IF(R4472="","",IFERROR(TODAY()+VLOOKUP(R4472,REGRAS!$B$2:$C$13,2,0),""))</f>
        <v/>
      </c>
    </row>
    <row r="4473">
      <c r="T4473" s="258">
        <f>IF(R4473="","",IFERROR(TODAY()+VLOOKUP(R4473,REGRAS!$B$2:$C$13,2,0),""))</f>
        <v/>
      </c>
    </row>
    <row r="4474">
      <c r="T4474" s="258">
        <f>IF(R4474="","",IFERROR(TODAY()+VLOOKUP(R4474,REGRAS!$B$2:$C$13,2,0),""))</f>
        <v/>
      </c>
    </row>
    <row r="4475">
      <c r="T4475" s="258">
        <f>IF(R4475="","",IFERROR(TODAY()+VLOOKUP(R4475,REGRAS!$B$2:$C$13,2,0),""))</f>
        <v/>
      </c>
    </row>
    <row r="4476">
      <c r="T4476" s="258">
        <f>IF(R4476="","",IFERROR(TODAY()+VLOOKUP(R4476,REGRAS!$B$2:$C$13,2,0),""))</f>
        <v/>
      </c>
    </row>
    <row r="4477">
      <c r="T4477" s="258">
        <f>IF(R4477="","",IFERROR(TODAY()+VLOOKUP(R4477,REGRAS!$B$2:$C$13,2,0),""))</f>
        <v/>
      </c>
    </row>
    <row r="4478">
      <c r="T4478" s="258">
        <f>IF(R4478="","",IFERROR(TODAY()+VLOOKUP(R4478,REGRAS!$B$2:$C$13,2,0),""))</f>
        <v/>
      </c>
    </row>
    <row r="4479">
      <c r="T4479" s="258">
        <f>IF(R4479="","",IFERROR(TODAY()+VLOOKUP(R4479,REGRAS!$B$2:$C$13,2,0),""))</f>
        <v/>
      </c>
    </row>
    <row r="4480">
      <c r="T4480" s="258">
        <f>IF(R4480="","",IFERROR(TODAY()+VLOOKUP(R4480,REGRAS!$B$2:$C$13,2,0),""))</f>
        <v/>
      </c>
    </row>
    <row r="4481">
      <c r="T4481" s="258">
        <f>IF(R4481="","",IFERROR(TODAY()+VLOOKUP(R4481,REGRAS!$B$2:$C$13,2,0),""))</f>
        <v/>
      </c>
    </row>
    <row r="4482">
      <c r="T4482" s="258">
        <f>IF(R4482="","",IFERROR(TODAY()+VLOOKUP(R4482,REGRAS!$B$2:$C$13,2,0),""))</f>
        <v/>
      </c>
    </row>
    <row r="4483">
      <c r="T4483" s="258">
        <f>IF(R4483="","",IFERROR(TODAY()+VLOOKUP(R4483,REGRAS!$B$2:$C$13,2,0),""))</f>
        <v/>
      </c>
    </row>
    <row r="4484">
      <c r="T4484" s="258">
        <f>IF(R4484="","",IFERROR(TODAY()+VLOOKUP(R4484,REGRAS!$B$2:$C$13,2,0),""))</f>
        <v/>
      </c>
    </row>
    <row r="4485">
      <c r="T4485" s="258">
        <f>IF(R4485="","",IFERROR(TODAY()+VLOOKUP(R4485,REGRAS!$B$2:$C$13,2,0),""))</f>
        <v/>
      </c>
    </row>
    <row r="4486">
      <c r="T4486" s="258">
        <f>IF(R4486="","",IFERROR(TODAY()+VLOOKUP(R4486,REGRAS!$B$2:$C$13,2,0),""))</f>
        <v/>
      </c>
    </row>
    <row r="4487">
      <c r="T4487" s="258">
        <f>IF(R4487="","",IFERROR(TODAY()+VLOOKUP(R4487,REGRAS!$B$2:$C$13,2,0),""))</f>
        <v/>
      </c>
    </row>
    <row r="4488">
      <c r="T4488" s="258">
        <f>IF(R4488="","",IFERROR(TODAY()+VLOOKUP(R4488,REGRAS!$B$2:$C$13,2,0),""))</f>
        <v/>
      </c>
    </row>
    <row r="4489">
      <c r="T4489" s="258">
        <f>IF(R4489="","",IFERROR(TODAY()+VLOOKUP(R4489,REGRAS!$B$2:$C$13,2,0),""))</f>
        <v/>
      </c>
    </row>
    <row r="4490">
      <c r="T4490" s="258">
        <f>IF(R4490="","",IFERROR(TODAY()+VLOOKUP(R4490,REGRAS!$B$2:$C$13,2,0),""))</f>
        <v/>
      </c>
    </row>
    <row r="4491">
      <c r="T4491" s="258">
        <f>IF(R4491="","",IFERROR(TODAY()+VLOOKUP(R4491,REGRAS!$B$2:$C$13,2,0),""))</f>
        <v/>
      </c>
    </row>
    <row r="4492">
      <c r="T4492" s="258">
        <f>IF(R4492="","",IFERROR(TODAY()+VLOOKUP(R4492,REGRAS!$B$2:$C$13,2,0),""))</f>
        <v/>
      </c>
    </row>
    <row r="4493">
      <c r="T4493" s="258">
        <f>IF(R4493="","",IFERROR(TODAY()+VLOOKUP(R4493,REGRAS!$B$2:$C$13,2,0),""))</f>
        <v/>
      </c>
    </row>
    <row r="4494">
      <c r="T4494" s="258">
        <f>IF(R4494="","",IFERROR(TODAY()+VLOOKUP(R4494,REGRAS!$B$2:$C$13,2,0),""))</f>
        <v/>
      </c>
    </row>
    <row r="4495">
      <c r="T4495" s="258">
        <f>IF(R4495="","",IFERROR(TODAY()+VLOOKUP(R4495,REGRAS!$B$2:$C$13,2,0),""))</f>
        <v/>
      </c>
    </row>
    <row r="4496">
      <c r="T4496" s="258">
        <f>IF(R4496="","",IFERROR(TODAY()+VLOOKUP(R4496,REGRAS!$B$2:$C$13,2,0),""))</f>
        <v/>
      </c>
    </row>
    <row r="4497">
      <c r="T4497" s="258">
        <f>IF(R4497="","",IFERROR(TODAY()+VLOOKUP(R4497,REGRAS!$B$2:$C$13,2,0),""))</f>
        <v/>
      </c>
    </row>
    <row r="4498">
      <c r="T4498" s="258">
        <f>IF(R4498="","",IFERROR(TODAY()+VLOOKUP(R4498,REGRAS!$B$2:$C$13,2,0),""))</f>
        <v/>
      </c>
    </row>
    <row r="4499">
      <c r="T4499" s="258">
        <f>IF(R4499="","",IFERROR(TODAY()+VLOOKUP(R4499,REGRAS!$B$2:$C$13,2,0),""))</f>
        <v/>
      </c>
    </row>
    <row r="4500">
      <c r="T4500" s="258">
        <f>IF(R4500="","",IFERROR(TODAY()+VLOOKUP(R4500,REGRAS!$B$2:$C$13,2,0),""))</f>
        <v/>
      </c>
    </row>
    <row r="4501">
      <c r="T4501" s="258">
        <f>IF(R4501="","",IFERROR(TODAY()+VLOOKUP(R4501,REGRAS!$B$2:$C$13,2,0),""))</f>
        <v/>
      </c>
    </row>
    <row r="4502">
      <c r="T4502" s="258">
        <f>IF(R4502="","",IFERROR(TODAY()+VLOOKUP(R4502,REGRAS!$B$2:$C$13,2,0),""))</f>
        <v/>
      </c>
    </row>
    <row r="4503">
      <c r="T4503" s="258">
        <f>IF(R4503="","",IFERROR(TODAY()+VLOOKUP(R4503,REGRAS!$B$2:$C$13,2,0),""))</f>
        <v/>
      </c>
    </row>
    <row r="4504">
      <c r="T4504" s="258">
        <f>IF(R4504="","",IFERROR(TODAY()+VLOOKUP(R4504,REGRAS!$B$2:$C$13,2,0),""))</f>
        <v/>
      </c>
    </row>
    <row r="4505">
      <c r="T4505" s="258">
        <f>IF(R4505="","",IFERROR(TODAY()+VLOOKUP(R4505,REGRAS!$B$2:$C$13,2,0),""))</f>
        <v/>
      </c>
    </row>
    <row r="4506">
      <c r="T4506" s="258">
        <f>IF(R4506="","",IFERROR(TODAY()+VLOOKUP(R4506,REGRAS!$B$2:$C$13,2,0),""))</f>
        <v/>
      </c>
    </row>
    <row r="4507">
      <c r="T4507" s="258">
        <f>IF(R4507="","",IFERROR(TODAY()+VLOOKUP(R4507,REGRAS!$B$2:$C$13,2,0),""))</f>
        <v/>
      </c>
    </row>
    <row r="4508">
      <c r="T4508" s="258">
        <f>IF(R4508="","",IFERROR(TODAY()+VLOOKUP(R4508,REGRAS!$B$2:$C$13,2,0),""))</f>
        <v/>
      </c>
    </row>
    <row r="4509">
      <c r="T4509" s="258">
        <f>IF(R4509="","",IFERROR(TODAY()+VLOOKUP(R4509,REGRAS!$B$2:$C$13,2,0),""))</f>
        <v/>
      </c>
    </row>
    <row r="4510">
      <c r="T4510" s="258">
        <f>IF(R4510="","",IFERROR(TODAY()+VLOOKUP(R4510,REGRAS!$B$2:$C$13,2,0),""))</f>
        <v/>
      </c>
    </row>
    <row r="4511">
      <c r="T4511" s="258">
        <f>IF(R4511="","",IFERROR(TODAY()+VLOOKUP(R4511,REGRAS!$B$2:$C$13,2,0),""))</f>
        <v/>
      </c>
    </row>
    <row r="4512">
      <c r="T4512" s="258">
        <f>IF(R4512="","",IFERROR(TODAY()+VLOOKUP(R4512,REGRAS!$B$2:$C$13,2,0),""))</f>
        <v/>
      </c>
    </row>
    <row r="4513">
      <c r="T4513" s="258">
        <f>IF(R4513="","",IFERROR(TODAY()+VLOOKUP(R4513,REGRAS!$B$2:$C$13,2,0),""))</f>
        <v/>
      </c>
    </row>
    <row r="4514">
      <c r="T4514" s="258">
        <f>IF(R4514="","",IFERROR(TODAY()+VLOOKUP(R4514,REGRAS!$B$2:$C$13,2,0),""))</f>
        <v/>
      </c>
    </row>
    <row r="4515">
      <c r="T4515" s="258">
        <f>IF(R4515="","",IFERROR(TODAY()+VLOOKUP(R4515,REGRAS!$B$2:$C$13,2,0),""))</f>
        <v/>
      </c>
    </row>
    <row r="4516">
      <c r="T4516" s="258">
        <f>IF(R4516="","",IFERROR(TODAY()+VLOOKUP(R4516,REGRAS!$B$2:$C$13,2,0),""))</f>
        <v/>
      </c>
    </row>
    <row r="4517">
      <c r="T4517" s="258">
        <f>IF(R4517="","",IFERROR(TODAY()+VLOOKUP(R4517,REGRAS!$B$2:$C$13,2,0),""))</f>
        <v/>
      </c>
    </row>
    <row r="4518">
      <c r="T4518" s="258">
        <f>IF(R4518="","",IFERROR(TODAY()+VLOOKUP(R4518,REGRAS!$B$2:$C$13,2,0),""))</f>
        <v/>
      </c>
    </row>
    <row r="4519">
      <c r="T4519" s="258">
        <f>IF(R4519="","",IFERROR(TODAY()+VLOOKUP(R4519,REGRAS!$B$2:$C$13,2,0),""))</f>
        <v/>
      </c>
    </row>
    <row r="4520">
      <c r="T4520" s="258">
        <f>IF(R4520="","",IFERROR(TODAY()+VLOOKUP(R4520,REGRAS!$B$2:$C$13,2,0),""))</f>
        <v/>
      </c>
    </row>
    <row r="4521">
      <c r="T4521" s="258">
        <f>IF(R4521="","",IFERROR(TODAY()+VLOOKUP(R4521,REGRAS!$B$2:$C$13,2,0),""))</f>
        <v/>
      </c>
    </row>
    <row r="4522">
      <c r="T4522" s="258">
        <f>IF(R4522="","",IFERROR(TODAY()+VLOOKUP(R4522,REGRAS!$B$2:$C$13,2,0),""))</f>
        <v/>
      </c>
    </row>
    <row r="4523">
      <c r="T4523" s="258">
        <f>IF(R4523="","",IFERROR(TODAY()+VLOOKUP(R4523,REGRAS!$B$2:$C$13,2,0),""))</f>
        <v/>
      </c>
    </row>
    <row r="4524">
      <c r="T4524" s="258">
        <f>IF(R4524="","",IFERROR(TODAY()+VLOOKUP(R4524,REGRAS!$B$2:$C$13,2,0),""))</f>
        <v/>
      </c>
    </row>
    <row r="4525">
      <c r="T4525" s="258">
        <f>IF(R4525="","",IFERROR(TODAY()+VLOOKUP(R4525,REGRAS!$B$2:$C$13,2,0),""))</f>
        <v/>
      </c>
    </row>
    <row r="4526">
      <c r="T4526" s="258">
        <f>IF(R4526="","",IFERROR(TODAY()+VLOOKUP(R4526,REGRAS!$B$2:$C$13,2,0),""))</f>
        <v/>
      </c>
    </row>
    <row r="4527">
      <c r="T4527" s="258">
        <f>IF(R4527="","",IFERROR(TODAY()+VLOOKUP(R4527,REGRAS!$B$2:$C$13,2,0),""))</f>
        <v/>
      </c>
    </row>
    <row r="4528">
      <c r="T4528" s="258">
        <f>IF(R4528="","",IFERROR(TODAY()+VLOOKUP(R4528,REGRAS!$B$2:$C$13,2,0),""))</f>
        <v/>
      </c>
    </row>
    <row r="4529">
      <c r="T4529" s="258">
        <f>IF(R4529="","",IFERROR(TODAY()+VLOOKUP(R4529,REGRAS!$B$2:$C$13,2,0),""))</f>
        <v/>
      </c>
    </row>
    <row r="4530">
      <c r="T4530" s="258">
        <f>IF(R4530="","",IFERROR(TODAY()+VLOOKUP(R4530,REGRAS!$B$2:$C$13,2,0),""))</f>
        <v/>
      </c>
    </row>
    <row r="4531">
      <c r="T4531" s="258">
        <f>IF(R4531="","",IFERROR(TODAY()+VLOOKUP(R4531,REGRAS!$B$2:$C$13,2,0),""))</f>
        <v/>
      </c>
    </row>
    <row r="4532">
      <c r="T4532" s="258">
        <f>IF(R4532="","",IFERROR(TODAY()+VLOOKUP(R4532,REGRAS!$B$2:$C$13,2,0),""))</f>
        <v/>
      </c>
    </row>
    <row r="4533">
      <c r="T4533" s="258">
        <f>IF(R4533="","",IFERROR(TODAY()+VLOOKUP(R4533,REGRAS!$B$2:$C$13,2,0),""))</f>
        <v/>
      </c>
    </row>
    <row r="4534">
      <c r="T4534" s="258">
        <f>IF(R4534="","",IFERROR(TODAY()+VLOOKUP(R4534,REGRAS!$B$2:$C$13,2,0),""))</f>
        <v/>
      </c>
    </row>
    <row r="4535">
      <c r="T4535" s="258">
        <f>IF(R4535="","",IFERROR(TODAY()+VLOOKUP(R4535,REGRAS!$B$2:$C$13,2,0),""))</f>
        <v/>
      </c>
    </row>
    <row r="4536">
      <c r="T4536" s="258">
        <f>IF(R4536="","",IFERROR(TODAY()+VLOOKUP(R4536,REGRAS!$B$2:$C$13,2,0),""))</f>
        <v/>
      </c>
    </row>
    <row r="4537">
      <c r="T4537" s="258">
        <f>IF(R4537="","",IFERROR(TODAY()+VLOOKUP(R4537,REGRAS!$B$2:$C$13,2,0),""))</f>
        <v/>
      </c>
    </row>
    <row r="4538">
      <c r="T4538" s="258">
        <f>IF(R4538="","",IFERROR(TODAY()+VLOOKUP(R4538,REGRAS!$B$2:$C$13,2,0),""))</f>
        <v/>
      </c>
    </row>
    <row r="4539">
      <c r="T4539" s="258">
        <f>IF(R4539="","",IFERROR(TODAY()+VLOOKUP(R4539,REGRAS!$B$2:$C$13,2,0),""))</f>
        <v/>
      </c>
    </row>
    <row r="4540">
      <c r="T4540" s="258">
        <f>IF(R4540="","",IFERROR(TODAY()+VLOOKUP(R4540,REGRAS!$B$2:$C$13,2,0),""))</f>
        <v/>
      </c>
    </row>
    <row r="4541">
      <c r="T4541" s="258">
        <f>IF(R4541="","",IFERROR(TODAY()+VLOOKUP(R4541,REGRAS!$B$2:$C$13,2,0),""))</f>
        <v/>
      </c>
    </row>
    <row r="4542">
      <c r="T4542" s="258">
        <f>IF(R4542="","",IFERROR(TODAY()+VLOOKUP(R4542,REGRAS!$B$2:$C$13,2,0),""))</f>
        <v/>
      </c>
    </row>
    <row r="4543">
      <c r="T4543" s="258">
        <f>IF(R4543="","",IFERROR(TODAY()+VLOOKUP(R4543,REGRAS!$B$2:$C$13,2,0),""))</f>
        <v/>
      </c>
    </row>
    <row r="4544">
      <c r="T4544" s="258">
        <f>IF(R4544="","",IFERROR(TODAY()+VLOOKUP(R4544,REGRAS!$B$2:$C$13,2,0),""))</f>
        <v/>
      </c>
    </row>
    <row r="4545">
      <c r="T4545" s="258">
        <f>IF(R4545="","",IFERROR(TODAY()+VLOOKUP(R4545,REGRAS!$B$2:$C$13,2,0),""))</f>
        <v/>
      </c>
    </row>
    <row r="4546">
      <c r="T4546" s="258">
        <f>IF(R4546="","",IFERROR(TODAY()+VLOOKUP(R4546,REGRAS!$B$2:$C$13,2,0),""))</f>
        <v/>
      </c>
    </row>
    <row r="4547">
      <c r="T4547" s="258">
        <f>IF(R4547="","",IFERROR(TODAY()+VLOOKUP(R4547,REGRAS!$B$2:$C$13,2,0),""))</f>
        <v/>
      </c>
    </row>
    <row r="4548">
      <c r="T4548" s="258">
        <f>IF(R4548="","",IFERROR(TODAY()+VLOOKUP(R4548,REGRAS!$B$2:$C$13,2,0),""))</f>
        <v/>
      </c>
    </row>
    <row r="4549">
      <c r="T4549" s="258">
        <f>IF(R4549="","",IFERROR(TODAY()+VLOOKUP(R4549,REGRAS!$B$2:$C$13,2,0),""))</f>
        <v/>
      </c>
    </row>
    <row r="4550">
      <c r="T4550" s="258">
        <f>IF(R4550="","",IFERROR(TODAY()+VLOOKUP(R4550,REGRAS!$B$2:$C$13,2,0),""))</f>
        <v/>
      </c>
    </row>
    <row r="4551">
      <c r="T4551" s="258">
        <f>IF(R4551="","",IFERROR(TODAY()+VLOOKUP(R4551,REGRAS!$B$2:$C$13,2,0),""))</f>
        <v/>
      </c>
    </row>
    <row r="4552">
      <c r="T4552" s="258">
        <f>IF(R4552="","",IFERROR(TODAY()+VLOOKUP(R4552,REGRAS!$B$2:$C$13,2,0),""))</f>
        <v/>
      </c>
    </row>
    <row r="4553">
      <c r="T4553" s="258">
        <f>IF(R4553="","",IFERROR(TODAY()+VLOOKUP(R4553,REGRAS!$B$2:$C$13,2,0),""))</f>
        <v/>
      </c>
    </row>
    <row r="4554">
      <c r="T4554" s="258">
        <f>IF(R4554="","",IFERROR(TODAY()+VLOOKUP(R4554,REGRAS!$B$2:$C$13,2,0),""))</f>
        <v/>
      </c>
    </row>
    <row r="4555">
      <c r="T4555" s="258">
        <f>IF(R4555="","",IFERROR(TODAY()+VLOOKUP(R4555,REGRAS!$B$2:$C$13,2,0),""))</f>
        <v/>
      </c>
    </row>
    <row r="4556">
      <c r="T4556" s="258">
        <f>IF(R4556="","",IFERROR(TODAY()+VLOOKUP(R4556,REGRAS!$B$2:$C$13,2,0),""))</f>
        <v/>
      </c>
    </row>
    <row r="4557">
      <c r="T4557" s="258">
        <f>IF(R4557="","",IFERROR(TODAY()+VLOOKUP(R4557,REGRAS!$B$2:$C$13,2,0),""))</f>
        <v/>
      </c>
    </row>
    <row r="4558">
      <c r="T4558" s="258">
        <f>IF(R4558="","",IFERROR(TODAY()+VLOOKUP(R4558,REGRAS!$B$2:$C$13,2,0),""))</f>
        <v/>
      </c>
    </row>
    <row r="4559">
      <c r="T4559" s="258">
        <f>IF(R4559="","",IFERROR(TODAY()+VLOOKUP(R4559,REGRAS!$B$2:$C$13,2,0),""))</f>
        <v/>
      </c>
    </row>
    <row r="4560">
      <c r="T4560" s="258">
        <f>IF(R4560="","",IFERROR(TODAY()+VLOOKUP(R4560,REGRAS!$B$2:$C$13,2,0),""))</f>
        <v/>
      </c>
    </row>
    <row r="4561">
      <c r="T4561" s="258">
        <f>IF(R4561="","",IFERROR(TODAY()+VLOOKUP(R4561,REGRAS!$B$2:$C$13,2,0),""))</f>
        <v/>
      </c>
    </row>
    <row r="4562">
      <c r="T4562" s="258">
        <f>IF(R4562="","",IFERROR(TODAY()+VLOOKUP(R4562,REGRAS!$B$2:$C$13,2,0),""))</f>
        <v/>
      </c>
    </row>
    <row r="4563">
      <c r="T4563" s="258">
        <f>IF(R4563="","",IFERROR(TODAY()+VLOOKUP(R4563,REGRAS!$B$2:$C$13,2,0),""))</f>
        <v/>
      </c>
    </row>
    <row r="4564">
      <c r="T4564" s="258">
        <f>IF(R4564="","",IFERROR(TODAY()+VLOOKUP(R4564,REGRAS!$B$2:$C$13,2,0),""))</f>
        <v/>
      </c>
    </row>
    <row r="4565">
      <c r="T4565" s="258">
        <f>IF(R4565="","",IFERROR(TODAY()+VLOOKUP(R4565,REGRAS!$B$2:$C$13,2,0),""))</f>
        <v/>
      </c>
    </row>
    <row r="4566">
      <c r="T4566" s="258">
        <f>IF(R4566="","",IFERROR(TODAY()+VLOOKUP(R4566,REGRAS!$B$2:$C$13,2,0),""))</f>
        <v/>
      </c>
    </row>
    <row r="4567">
      <c r="T4567" s="258">
        <f>IF(R4567="","",IFERROR(TODAY()+VLOOKUP(R4567,REGRAS!$B$2:$C$13,2,0),""))</f>
        <v/>
      </c>
    </row>
    <row r="4568">
      <c r="T4568" s="258">
        <f>IF(R4568="","",IFERROR(TODAY()+VLOOKUP(R4568,REGRAS!$B$2:$C$13,2,0),""))</f>
        <v/>
      </c>
    </row>
    <row r="4569">
      <c r="T4569" s="258">
        <f>IF(R4569="","",IFERROR(TODAY()+VLOOKUP(R4569,REGRAS!$B$2:$C$13,2,0),""))</f>
        <v/>
      </c>
    </row>
    <row r="4570">
      <c r="T4570" s="258">
        <f>IF(R4570="","",IFERROR(TODAY()+VLOOKUP(R4570,REGRAS!$B$2:$C$13,2,0),""))</f>
        <v/>
      </c>
    </row>
    <row r="4571">
      <c r="T4571" s="258">
        <f>IF(R4571="","",IFERROR(TODAY()+VLOOKUP(R4571,REGRAS!$B$2:$C$13,2,0),""))</f>
        <v/>
      </c>
    </row>
    <row r="4572">
      <c r="T4572" s="258">
        <f>IF(R4572="","",IFERROR(TODAY()+VLOOKUP(R4572,REGRAS!$B$2:$C$13,2,0),""))</f>
        <v/>
      </c>
    </row>
    <row r="4573">
      <c r="T4573" s="258">
        <f>IF(R4573="","",IFERROR(TODAY()+VLOOKUP(R4573,REGRAS!$B$2:$C$13,2,0),""))</f>
        <v/>
      </c>
    </row>
    <row r="4574">
      <c r="T4574" s="258">
        <f>IF(R4574="","",IFERROR(TODAY()+VLOOKUP(R4574,REGRAS!$B$2:$C$13,2,0),""))</f>
        <v/>
      </c>
    </row>
    <row r="4575">
      <c r="T4575" s="258">
        <f>IF(R4575="","",IFERROR(TODAY()+VLOOKUP(R4575,REGRAS!$B$2:$C$13,2,0),""))</f>
        <v/>
      </c>
    </row>
    <row r="4576">
      <c r="T4576" s="258">
        <f>IF(R4576="","",IFERROR(TODAY()+VLOOKUP(R4576,REGRAS!$B$2:$C$13,2,0),""))</f>
        <v/>
      </c>
    </row>
    <row r="4577">
      <c r="T4577" s="258">
        <f>IF(R4577="","",IFERROR(TODAY()+VLOOKUP(R4577,REGRAS!$B$2:$C$13,2,0),""))</f>
        <v/>
      </c>
    </row>
    <row r="4578">
      <c r="T4578" s="258">
        <f>IF(R4578="","",IFERROR(TODAY()+VLOOKUP(R4578,REGRAS!$B$2:$C$13,2,0),""))</f>
        <v/>
      </c>
    </row>
    <row r="4579">
      <c r="T4579" s="258">
        <f>IF(R4579="","",IFERROR(TODAY()+VLOOKUP(R4579,REGRAS!$B$2:$C$13,2,0),""))</f>
        <v/>
      </c>
    </row>
    <row r="4580">
      <c r="T4580" s="258">
        <f>IF(R4580="","",IFERROR(TODAY()+VLOOKUP(R4580,REGRAS!$B$2:$C$13,2,0),""))</f>
        <v/>
      </c>
    </row>
    <row r="4581">
      <c r="T4581" s="258">
        <f>IF(R4581="","",IFERROR(TODAY()+VLOOKUP(R4581,REGRAS!$B$2:$C$13,2,0),""))</f>
        <v/>
      </c>
    </row>
    <row r="4582">
      <c r="T4582" s="258">
        <f>IF(R4582="","",IFERROR(TODAY()+VLOOKUP(R4582,REGRAS!$B$2:$C$13,2,0),""))</f>
        <v/>
      </c>
    </row>
    <row r="4583">
      <c r="T4583" s="258">
        <f>IF(R4583="","",IFERROR(TODAY()+VLOOKUP(R4583,REGRAS!$B$2:$C$13,2,0),""))</f>
        <v/>
      </c>
    </row>
    <row r="4584">
      <c r="T4584" s="258">
        <f>IF(R4584="","",IFERROR(TODAY()+VLOOKUP(R4584,REGRAS!$B$2:$C$13,2,0),""))</f>
        <v/>
      </c>
    </row>
    <row r="4585">
      <c r="T4585" s="258">
        <f>IF(R4585="","",IFERROR(TODAY()+VLOOKUP(R4585,REGRAS!$B$2:$C$13,2,0),""))</f>
        <v/>
      </c>
    </row>
    <row r="4586">
      <c r="T4586" s="258">
        <f>IF(R4586="","",IFERROR(TODAY()+VLOOKUP(R4586,REGRAS!$B$2:$C$13,2,0),""))</f>
        <v/>
      </c>
    </row>
    <row r="4587">
      <c r="T4587" s="258">
        <f>IF(R4587="","",IFERROR(TODAY()+VLOOKUP(R4587,REGRAS!$B$2:$C$13,2,0),""))</f>
        <v/>
      </c>
    </row>
    <row r="4588">
      <c r="T4588" s="258">
        <f>IF(R4588="","",IFERROR(TODAY()+VLOOKUP(R4588,REGRAS!$B$2:$C$13,2,0),""))</f>
        <v/>
      </c>
    </row>
    <row r="4589">
      <c r="T4589" s="258">
        <f>IF(R4589="","",IFERROR(TODAY()+VLOOKUP(R4589,REGRAS!$B$2:$C$13,2,0),""))</f>
        <v/>
      </c>
    </row>
    <row r="4590">
      <c r="T4590" s="258">
        <f>IF(R4590="","",IFERROR(TODAY()+VLOOKUP(R4590,REGRAS!$B$2:$C$13,2,0),""))</f>
        <v/>
      </c>
    </row>
    <row r="4591">
      <c r="T4591" s="258">
        <f>IF(R4591="","",IFERROR(TODAY()+VLOOKUP(R4591,REGRAS!$B$2:$C$13,2,0),""))</f>
        <v/>
      </c>
    </row>
    <row r="4592">
      <c r="T4592" s="258">
        <f>IF(R4592="","",IFERROR(TODAY()+VLOOKUP(R4592,REGRAS!$B$2:$C$13,2,0),""))</f>
        <v/>
      </c>
    </row>
    <row r="4593">
      <c r="T4593" s="258">
        <f>IF(R4593="","",IFERROR(TODAY()+VLOOKUP(R4593,REGRAS!$B$2:$C$13,2,0),""))</f>
        <v/>
      </c>
    </row>
    <row r="4594">
      <c r="T4594" s="258">
        <f>IF(R4594="","",IFERROR(TODAY()+VLOOKUP(R4594,REGRAS!$B$2:$C$13,2,0),""))</f>
        <v/>
      </c>
    </row>
    <row r="4595">
      <c r="T4595" s="258">
        <f>IF(R4595="","",IFERROR(TODAY()+VLOOKUP(R4595,REGRAS!$B$2:$C$13,2,0),""))</f>
        <v/>
      </c>
    </row>
    <row r="4596">
      <c r="T4596" s="258">
        <f>IF(R4596="","",IFERROR(TODAY()+VLOOKUP(R4596,REGRAS!$B$2:$C$13,2,0),""))</f>
        <v/>
      </c>
    </row>
    <row r="4597">
      <c r="T4597" s="258">
        <f>IF(R4597="","",IFERROR(TODAY()+VLOOKUP(R4597,REGRAS!$B$2:$C$13,2,0),""))</f>
        <v/>
      </c>
    </row>
    <row r="4598">
      <c r="T4598" s="258">
        <f>IF(R4598="","",IFERROR(TODAY()+VLOOKUP(R4598,REGRAS!$B$2:$C$13,2,0),""))</f>
        <v/>
      </c>
    </row>
    <row r="4599">
      <c r="T4599" s="258">
        <f>IF(R4599="","",IFERROR(TODAY()+VLOOKUP(R4599,REGRAS!$B$2:$C$13,2,0),""))</f>
        <v/>
      </c>
    </row>
    <row r="4600">
      <c r="T4600" s="258">
        <f>IF(R4600="","",IFERROR(TODAY()+VLOOKUP(R4600,REGRAS!$B$2:$C$13,2,0),""))</f>
        <v/>
      </c>
    </row>
    <row r="4601">
      <c r="T4601" s="258">
        <f>IF(R4601="","",IFERROR(TODAY()+VLOOKUP(R4601,REGRAS!$B$2:$C$13,2,0),""))</f>
        <v/>
      </c>
    </row>
    <row r="4602">
      <c r="T4602" s="258">
        <f>IF(R4602="","",IFERROR(TODAY()+VLOOKUP(R4602,REGRAS!$B$2:$C$13,2,0),""))</f>
        <v/>
      </c>
    </row>
    <row r="4603">
      <c r="T4603" s="258">
        <f>IF(R4603="","",IFERROR(TODAY()+VLOOKUP(R4603,REGRAS!$B$2:$C$13,2,0),""))</f>
        <v/>
      </c>
    </row>
    <row r="4604">
      <c r="T4604" s="258">
        <f>IF(R4604="","",IFERROR(TODAY()+VLOOKUP(R4604,REGRAS!$B$2:$C$13,2,0),""))</f>
        <v/>
      </c>
    </row>
    <row r="4605">
      <c r="T4605" s="258">
        <f>IF(R4605="","",IFERROR(TODAY()+VLOOKUP(R4605,REGRAS!$B$2:$C$13,2,0),""))</f>
        <v/>
      </c>
    </row>
    <row r="4606">
      <c r="T4606" s="258">
        <f>IF(R4606="","",IFERROR(TODAY()+VLOOKUP(R4606,REGRAS!$B$2:$C$13,2,0),""))</f>
        <v/>
      </c>
    </row>
    <row r="4607">
      <c r="T4607" s="258">
        <f>IF(R4607="","",IFERROR(TODAY()+VLOOKUP(R4607,REGRAS!$B$2:$C$13,2,0),""))</f>
        <v/>
      </c>
    </row>
    <row r="4608">
      <c r="T4608" s="258">
        <f>IF(R4608="","",IFERROR(TODAY()+VLOOKUP(R4608,REGRAS!$B$2:$C$13,2,0),""))</f>
        <v/>
      </c>
    </row>
    <row r="4609">
      <c r="T4609" s="258">
        <f>IF(R4609="","",IFERROR(TODAY()+VLOOKUP(R4609,REGRAS!$B$2:$C$13,2,0),""))</f>
        <v/>
      </c>
    </row>
    <row r="4610">
      <c r="T4610" s="258">
        <f>IF(R4610="","",IFERROR(TODAY()+VLOOKUP(R4610,REGRAS!$B$2:$C$13,2,0),""))</f>
        <v/>
      </c>
    </row>
    <row r="4611">
      <c r="T4611" s="258">
        <f>IF(R4611="","",IFERROR(TODAY()+VLOOKUP(R4611,REGRAS!$B$2:$C$13,2,0),""))</f>
        <v/>
      </c>
    </row>
    <row r="4612">
      <c r="T4612" s="258">
        <f>IF(R4612="","",IFERROR(TODAY()+VLOOKUP(R4612,REGRAS!$B$2:$C$13,2,0),""))</f>
        <v/>
      </c>
    </row>
    <row r="4613">
      <c r="T4613" s="258">
        <f>IF(R4613="","",IFERROR(TODAY()+VLOOKUP(R4613,REGRAS!$B$2:$C$13,2,0),""))</f>
        <v/>
      </c>
    </row>
    <row r="4614">
      <c r="T4614" s="258">
        <f>IF(R4614="","",IFERROR(TODAY()+VLOOKUP(R4614,REGRAS!$B$2:$C$13,2,0),""))</f>
        <v/>
      </c>
    </row>
    <row r="4615">
      <c r="T4615" s="258">
        <f>IF(R4615="","",IFERROR(TODAY()+VLOOKUP(R4615,REGRAS!$B$2:$C$13,2,0),""))</f>
        <v/>
      </c>
    </row>
    <row r="4616">
      <c r="T4616" s="258">
        <f>IF(R4616="","",IFERROR(TODAY()+VLOOKUP(R4616,REGRAS!$B$2:$C$13,2,0),""))</f>
        <v/>
      </c>
    </row>
    <row r="4617">
      <c r="T4617" s="258">
        <f>IF(R4617="","",IFERROR(TODAY()+VLOOKUP(R4617,REGRAS!$B$2:$C$13,2,0),""))</f>
        <v/>
      </c>
    </row>
    <row r="4618">
      <c r="T4618" s="258">
        <f>IF(R4618="","",IFERROR(TODAY()+VLOOKUP(R4618,REGRAS!$B$2:$C$13,2,0),""))</f>
        <v/>
      </c>
    </row>
    <row r="4619">
      <c r="T4619" s="258">
        <f>IF(R4619="","",IFERROR(TODAY()+VLOOKUP(R4619,REGRAS!$B$2:$C$13,2,0),""))</f>
        <v/>
      </c>
    </row>
    <row r="4620">
      <c r="T4620" s="258">
        <f>IF(R4620="","",IFERROR(TODAY()+VLOOKUP(R4620,REGRAS!$B$2:$C$13,2,0),""))</f>
        <v/>
      </c>
    </row>
    <row r="4621">
      <c r="T4621" s="258">
        <f>IF(R4621="","",IFERROR(TODAY()+VLOOKUP(R4621,REGRAS!$B$2:$C$13,2,0),""))</f>
        <v/>
      </c>
    </row>
    <row r="4622">
      <c r="T4622" s="258">
        <f>IF(R4622="","",IFERROR(TODAY()+VLOOKUP(R4622,REGRAS!$B$2:$C$13,2,0),""))</f>
        <v/>
      </c>
    </row>
    <row r="4623">
      <c r="T4623" s="258">
        <f>IF(R4623="","",IFERROR(TODAY()+VLOOKUP(R4623,REGRAS!$B$2:$C$13,2,0),""))</f>
        <v/>
      </c>
    </row>
    <row r="4624">
      <c r="T4624" s="258">
        <f>IF(R4624="","",IFERROR(TODAY()+VLOOKUP(R4624,REGRAS!$B$2:$C$13,2,0),""))</f>
        <v/>
      </c>
    </row>
    <row r="4625">
      <c r="T4625" s="258">
        <f>IF(R4625="","",IFERROR(TODAY()+VLOOKUP(R4625,REGRAS!$B$2:$C$13,2,0),""))</f>
        <v/>
      </c>
    </row>
    <row r="4626">
      <c r="T4626" s="258">
        <f>IF(R4626="","",IFERROR(TODAY()+VLOOKUP(R4626,REGRAS!$B$2:$C$13,2,0),""))</f>
        <v/>
      </c>
    </row>
    <row r="4627">
      <c r="T4627" s="258">
        <f>IF(R4627="","",IFERROR(TODAY()+VLOOKUP(R4627,REGRAS!$B$2:$C$13,2,0),""))</f>
        <v/>
      </c>
    </row>
    <row r="4628">
      <c r="T4628" s="258">
        <f>IF(R4628="","",IFERROR(TODAY()+VLOOKUP(R4628,REGRAS!$B$2:$C$13,2,0),""))</f>
        <v/>
      </c>
    </row>
    <row r="4629">
      <c r="T4629" s="258">
        <f>IF(R4629="","",IFERROR(TODAY()+VLOOKUP(R4629,REGRAS!$B$2:$C$13,2,0),""))</f>
        <v/>
      </c>
    </row>
    <row r="4630">
      <c r="T4630" s="258">
        <f>IF(R4630="","",IFERROR(TODAY()+VLOOKUP(R4630,REGRAS!$B$2:$C$13,2,0),""))</f>
        <v/>
      </c>
    </row>
    <row r="4631">
      <c r="T4631" s="258">
        <f>IF(R4631="","",IFERROR(TODAY()+VLOOKUP(R4631,REGRAS!$B$2:$C$13,2,0),""))</f>
        <v/>
      </c>
    </row>
    <row r="4632">
      <c r="T4632" s="258">
        <f>IF(R4632="","",IFERROR(TODAY()+VLOOKUP(R4632,REGRAS!$B$2:$C$13,2,0),""))</f>
        <v/>
      </c>
    </row>
    <row r="4633">
      <c r="T4633" s="258">
        <f>IF(R4633="","",IFERROR(TODAY()+VLOOKUP(R4633,REGRAS!$B$2:$C$13,2,0),""))</f>
        <v/>
      </c>
    </row>
    <row r="4634">
      <c r="T4634" s="258">
        <f>IF(R4634="","",IFERROR(TODAY()+VLOOKUP(R4634,REGRAS!$B$2:$C$13,2,0),""))</f>
        <v/>
      </c>
    </row>
    <row r="4635">
      <c r="T4635" s="258">
        <f>IF(R4635="","",IFERROR(TODAY()+VLOOKUP(R4635,REGRAS!$B$2:$C$13,2,0),""))</f>
        <v/>
      </c>
    </row>
    <row r="4636">
      <c r="T4636" s="258">
        <f>IF(R4636="","",IFERROR(TODAY()+VLOOKUP(R4636,REGRAS!$B$2:$C$13,2,0),""))</f>
        <v/>
      </c>
    </row>
    <row r="4637">
      <c r="T4637" s="258">
        <f>IF(R4637="","",IFERROR(TODAY()+VLOOKUP(R4637,REGRAS!$B$2:$C$13,2,0),""))</f>
        <v/>
      </c>
    </row>
    <row r="4638">
      <c r="T4638" s="258">
        <f>IF(R4638="","",IFERROR(TODAY()+VLOOKUP(R4638,REGRAS!$B$2:$C$13,2,0),""))</f>
        <v/>
      </c>
    </row>
    <row r="4639">
      <c r="T4639" s="258">
        <f>IF(R4639="","",IFERROR(TODAY()+VLOOKUP(R4639,REGRAS!$B$2:$C$13,2,0),""))</f>
        <v/>
      </c>
    </row>
    <row r="4640">
      <c r="T4640" s="258">
        <f>IF(R4640="","",IFERROR(TODAY()+VLOOKUP(R4640,REGRAS!$B$2:$C$13,2,0),""))</f>
        <v/>
      </c>
    </row>
    <row r="4641">
      <c r="T4641" s="258">
        <f>IF(R4641="","",IFERROR(TODAY()+VLOOKUP(R4641,REGRAS!$B$2:$C$13,2,0),""))</f>
        <v/>
      </c>
    </row>
    <row r="4642">
      <c r="T4642" s="258">
        <f>IF(R4642="","",IFERROR(TODAY()+VLOOKUP(R4642,REGRAS!$B$2:$C$13,2,0),""))</f>
        <v/>
      </c>
    </row>
    <row r="4643">
      <c r="T4643" s="258">
        <f>IF(R4643="","",IFERROR(TODAY()+VLOOKUP(R4643,REGRAS!$B$2:$C$13,2,0),""))</f>
        <v/>
      </c>
    </row>
    <row r="4644">
      <c r="T4644" s="258">
        <f>IF(R4644="","",IFERROR(TODAY()+VLOOKUP(R4644,REGRAS!$B$2:$C$13,2,0),""))</f>
        <v/>
      </c>
    </row>
    <row r="4645">
      <c r="T4645" s="258">
        <f>IF(R4645="","",IFERROR(TODAY()+VLOOKUP(R4645,REGRAS!$B$2:$C$13,2,0),""))</f>
        <v/>
      </c>
    </row>
    <row r="4646">
      <c r="T4646" s="258">
        <f>IF(R4646="","",IFERROR(TODAY()+VLOOKUP(R4646,REGRAS!$B$2:$C$13,2,0),""))</f>
        <v/>
      </c>
    </row>
    <row r="4647">
      <c r="T4647" s="258">
        <f>IF(R4647="","",IFERROR(TODAY()+VLOOKUP(R4647,REGRAS!$B$2:$C$13,2,0),""))</f>
        <v/>
      </c>
    </row>
    <row r="4648">
      <c r="T4648" s="258">
        <f>IF(R4648="","",IFERROR(TODAY()+VLOOKUP(R4648,REGRAS!$B$2:$C$13,2,0),""))</f>
        <v/>
      </c>
    </row>
    <row r="4649">
      <c r="T4649" s="258">
        <f>IF(R4649="","",IFERROR(TODAY()+VLOOKUP(R4649,REGRAS!$B$2:$C$13,2,0),""))</f>
        <v/>
      </c>
    </row>
    <row r="4650">
      <c r="T4650" s="258">
        <f>IF(R4650="","",IFERROR(TODAY()+VLOOKUP(R4650,REGRAS!$B$2:$C$13,2,0),""))</f>
        <v/>
      </c>
    </row>
    <row r="4651">
      <c r="T4651" s="258">
        <f>IF(R4651="","",IFERROR(TODAY()+VLOOKUP(R4651,REGRAS!$B$2:$C$13,2,0),""))</f>
        <v/>
      </c>
    </row>
    <row r="4652">
      <c r="T4652" s="258">
        <f>IF(R4652="","",IFERROR(TODAY()+VLOOKUP(R4652,REGRAS!$B$2:$C$13,2,0),""))</f>
        <v/>
      </c>
    </row>
    <row r="4653">
      <c r="T4653" s="258">
        <f>IF(R4653="","",IFERROR(TODAY()+VLOOKUP(R4653,REGRAS!$B$2:$C$13,2,0),""))</f>
        <v/>
      </c>
    </row>
    <row r="4654">
      <c r="T4654" s="258">
        <f>IF(R4654="","",IFERROR(TODAY()+VLOOKUP(R4654,REGRAS!$B$2:$C$13,2,0),""))</f>
        <v/>
      </c>
    </row>
    <row r="4655">
      <c r="T4655" s="258">
        <f>IF(R4655="","",IFERROR(TODAY()+VLOOKUP(R4655,REGRAS!$B$2:$C$13,2,0),""))</f>
        <v/>
      </c>
    </row>
    <row r="4656">
      <c r="T4656" s="258">
        <f>IF(R4656="","",IFERROR(TODAY()+VLOOKUP(R4656,REGRAS!$B$2:$C$13,2,0),""))</f>
        <v/>
      </c>
    </row>
    <row r="4657">
      <c r="T4657" s="258">
        <f>IF(R4657="","",IFERROR(TODAY()+VLOOKUP(R4657,REGRAS!$B$2:$C$13,2,0),""))</f>
        <v/>
      </c>
    </row>
    <row r="4658">
      <c r="T4658" s="258">
        <f>IF(R4658="","",IFERROR(TODAY()+VLOOKUP(R4658,REGRAS!$B$2:$C$13,2,0),""))</f>
        <v/>
      </c>
    </row>
    <row r="4659">
      <c r="T4659" s="258">
        <f>IF(R4659="","",IFERROR(TODAY()+VLOOKUP(R4659,REGRAS!$B$2:$C$13,2,0),""))</f>
        <v/>
      </c>
    </row>
    <row r="4660">
      <c r="T4660" s="258">
        <f>IF(R4660="","",IFERROR(TODAY()+VLOOKUP(R4660,REGRAS!$B$2:$C$13,2,0),""))</f>
        <v/>
      </c>
    </row>
    <row r="4661">
      <c r="T4661" s="258">
        <f>IF(R4661="","",IFERROR(TODAY()+VLOOKUP(R4661,REGRAS!$B$2:$C$13,2,0),""))</f>
        <v/>
      </c>
    </row>
    <row r="4662">
      <c r="T4662" s="258">
        <f>IF(R4662="","",IFERROR(TODAY()+VLOOKUP(R4662,REGRAS!$B$2:$C$13,2,0),""))</f>
        <v/>
      </c>
    </row>
    <row r="4663">
      <c r="T4663" s="258">
        <f>IF(R4663="","",IFERROR(TODAY()+VLOOKUP(R4663,REGRAS!$B$2:$C$13,2,0),""))</f>
        <v/>
      </c>
    </row>
    <row r="4664">
      <c r="T4664" s="258">
        <f>IF(R4664="","",IFERROR(TODAY()+VLOOKUP(R4664,REGRAS!$B$2:$C$13,2,0),""))</f>
        <v/>
      </c>
    </row>
    <row r="4665">
      <c r="T4665" s="258">
        <f>IF(R4665="","",IFERROR(TODAY()+VLOOKUP(R4665,REGRAS!$B$2:$C$13,2,0),""))</f>
        <v/>
      </c>
    </row>
    <row r="4666">
      <c r="T4666" s="258">
        <f>IF(R4666="","",IFERROR(TODAY()+VLOOKUP(R4666,REGRAS!$B$2:$C$13,2,0),""))</f>
        <v/>
      </c>
    </row>
    <row r="4667">
      <c r="T4667" s="258">
        <f>IF(R4667="","",IFERROR(TODAY()+VLOOKUP(R4667,REGRAS!$B$2:$C$13,2,0),""))</f>
        <v/>
      </c>
    </row>
    <row r="4668">
      <c r="T4668" s="258">
        <f>IF(R4668="","",IFERROR(TODAY()+VLOOKUP(R4668,REGRAS!$B$2:$C$13,2,0),""))</f>
        <v/>
      </c>
    </row>
    <row r="4669">
      <c r="T4669" s="258">
        <f>IF(R4669="","",IFERROR(TODAY()+VLOOKUP(R4669,REGRAS!$B$2:$C$13,2,0),""))</f>
        <v/>
      </c>
    </row>
    <row r="4670">
      <c r="T4670" s="258">
        <f>IF(R4670="","",IFERROR(TODAY()+VLOOKUP(R4670,REGRAS!$B$2:$C$13,2,0),""))</f>
        <v/>
      </c>
    </row>
    <row r="4671">
      <c r="T4671" s="258">
        <f>IF(R4671="","",IFERROR(TODAY()+VLOOKUP(R4671,REGRAS!$B$2:$C$13,2,0),""))</f>
        <v/>
      </c>
    </row>
    <row r="4672">
      <c r="T4672" s="258">
        <f>IF(R4672="","",IFERROR(TODAY()+VLOOKUP(R4672,REGRAS!$B$2:$C$13,2,0),""))</f>
        <v/>
      </c>
    </row>
    <row r="4673">
      <c r="T4673" s="258">
        <f>IF(R4673="","",IFERROR(TODAY()+VLOOKUP(R4673,REGRAS!$B$2:$C$13,2,0),""))</f>
        <v/>
      </c>
    </row>
    <row r="4674">
      <c r="T4674" s="258">
        <f>IF(R4674="","",IFERROR(TODAY()+VLOOKUP(R4674,REGRAS!$B$2:$C$13,2,0),""))</f>
        <v/>
      </c>
    </row>
    <row r="4675">
      <c r="T4675" s="258">
        <f>IF(R4675="","",IFERROR(TODAY()+VLOOKUP(R4675,REGRAS!$B$2:$C$13,2,0),""))</f>
        <v/>
      </c>
    </row>
    <row r="4676">
      <c r="T4676" s="258">
        <f>IF(R4676="","",IFERROR(TODAY()+VLOOKUP(R4676,REGRAS!$B$2:$C$13,2,0),""))</f>
        <v/>
      </c>
    </row>
    <row r="4677">
      <c r="T4677" s="258">
        <f>IF(R4677="","",IFERROR(TODAY()+VLOOKUP(R4677,REGRAS!$B$2:$C$13,2,0),""))</f>
        <v/>
      </c>
    </row>
    <row r="4678">
      <c r="T4678" s="258">
        <f>IF(R4678="","",IFERROR(TODAY()+VLOOKUP(R4678,REGRAS!$B$2:$C$13,2,0),""))</f>
        <v/>
      </c>
    </row>
    <row r="4679">
      <c r="T4679" s="258">
        <f>IF(R4679="","",IFERROR(TODAY()+VLOOKUP(R4679,REGRAS!$B$2:$C$13,2,0),""))</f>
        <v/>
      </c>
    </row>
    <row r="4680">
      <c r="T4680" s="258">
        <f>IF(R4680="","",IFERROR(TODAY()+VLOOKUP(R4680,REGRAS!$B$2:$C$13,2,0),""))</f>
        <v/>
      </c>
    </row>
    <row r="4681">
      <c r="T4681" s="258">
        <f>IF(R4681="","",IFERROR(TODAY()+VLOOKUP(R4681,REGRAS!$B$2:$C$13,2,0),""))</f>
        <v/>
      </c>
    </row>
    <row r="4682">
      <c r="T4682" s="258">
        <f>IF(R4682="","",IFERROR(TODAY()+VLOOKUP(R4682,REGRAS!$B$2:$C$13,2,0),""))</f>
        <v/>
      </c>
    </row>
    <row r="4683">
      <c r="T4683" s="258">
        <f>IF(R4683="","",IFERROR(TODAY()+VLOOKUP(R4683,REGRAS!$B$2:$C$13,2,0),""))</f>
        <v/>
      </c>
    </row>
    <row r="4684">
      <c r="T4684" s="258">
        <f>IF(R4684="","",IFERROR(TODAY()+VLOOKUP(R4684,REGRAS!$B$2:$C$13,2,0),""))</f>
        <v/>
      </c>
    </row>
    <row r="4685">
      <c r="T4685" s="258">
        <f>IF(R4685="","",IFERROR(TODAY()+VLOOKUP(R4685,REGRAS!$B$2:$C$13,2,0),""))</f>
        <v/>
      </c>
    </row>
    <row r="4686">
      <c r="T4686" s="258">
        <f>IF(R4686="","",IFERROR(TODAY()+VLOOKUP(R4686,REGRAS!$B$2:$C$13,2,0),""))</f>
        <v/>
      </c>
    </row>
    <row r="4687">
      <c r="T4687" s="258">
        <f>IF(R4687="","",IFERROR(TODAY()+VLOOKUP(R4687,REGRAS!$B$2:$C$13,2,0),""))</f>
        <v/>
      </c>
    </row>
    <row r="4688">
      <c r="T4688" s="258">
        <f>IF(R4688="","",IFERROR(TODAY()+VLOOKUP(R4688,REGRAS!$B$2:$C$13,2,0),""))</f>
        <v/>
      </c>
    </row>
    <row r="4689">
      <c r="T4689" s="258">
        <f>IF(R4689="","",IFERROR(TODAY()+VLOOKUP(R4689,REGRAS!$B$2:$C$13,2,0),""))</f>
        <v/>
      </c>
    </row>
    <row r="4690">
      <c r="T4690" s="258">
        <f>IF(R4690="","",IFERROR(TODAY()+VLOOKUP(R4690,REGRAS!$B$2:$C$13,2,0),""))</f>
        <v/>
      </c>
    </row>
    <row r="4691">
      <c r="T4691" s="258">
        <f>IF(R4691="","",IFERROR(TODAY()+VLOOKUP(R4691,REGRAS!$B$2:$C$13,2,0),""))</f>
        <v/>
      </c>
    </row>
    <row r="4692">
      <c r="T4692" s="258">
        <f>IF(R4692="","",IFERROR(TODAY()+VLOOKUP(R4692,REGRAS!$B$2:$C$13,2,0),""))</f>
        <v/>
      </c>
    </row>
    <row r="4693">
      <c r="T4693" s="258">
        <f>IF(R4693="","",IFERROR(TODAY()+VLOOKUP(R4693,REGRAS!$B$2:$C$13,2,0),""))</f>
        <v/>
      </c>
    </row>
    <row r="4694">
      <c r="T4694" s="258">
        <f>IF(R4694="","",IFERROR(TODAY()+VLOOKUP(R4694,REGRAS!$B$2:$C$13,2,0),""))</f>
        <v/>
      </c>
    </row>
    <row r="4695">
      <c r="T4695" s="258">
        <f>IF(R4695="","",IFERROR(TODAY()+VLOOKUP(R4695,REGRAS!$B$2:$C$13,2,0),""))</f>
        <v/>
      </c>
    </row>
    <row r="4696">
      <c r="T4696" s="258">
        <f>IF(R4696="","",IFERROR(TODAY()+VLOOKUP(R4696,REGRAS!$B$2:$C$13,2,0),""))</f>
        <v/>
      </c>
    </row>
    <row r="4697">
      <c r="T4697" s="258">
        <f>IF(R4697="","",IFERROR(TODAY()+VLOOKUP(R4697,REGRAS!$B$2:$C$13,2,0),""))</f>
        <v/>
      </c>
    </row>
    <row r="4698">
      <c r="T4698" s="258">
        <f>IF(R4698="","",IFERROR(TODAY()+VLOOKUP(R4698,REGRAS!$B$2:$C$13,2,0),""))</f>
        <v/>
      </c>
    </row>
    <row r="4699">
      <c r="T4699" s="258">
        <f>IF(R4699="","",IFERROR(TODAY()+VLOOKUP(R4699,REGRAS!$B$2:$C$13,2,0),""))</f>
        <v/>
      </c>
    </row>
    <row r="4700">
      <c r="T4700" s="258">
        <f>IF(R4700="","",IFERROR(TODAY()+VLOOKUP(R4700,REGRAS!$B$2:$C$13,2,0),""))</f>
        <v/>
      </c>
    </row>
    <row r="4701">
      <c r="T4701" s="258">
        <f>IF(R4701="","",IFERROR(TODAY()+VLOOKUP(R4701,REGRAS!$B$2:$C$13,2,0),""))</f>
        <v/>
      </c>
    </row>
    <row r="4702">
      <c r="T4702" s="258">
        <f>IF(R4702="","",IFERROR(TODAY()+VLOOKUP(R4702,REGRAS!$B$2:$C$13,2,0),""))</f>
        <v/>
      </c>
    </row>
    <row r="4703">
      <c r="T4703" s="258">
        <f>IF(R4703="","",IFERROR(TODAY()+VLOOKUP(R4703,REGRAS!$B$2:$C$13,2,0),""))</f>
        <v/>
      </c>
    </row>
    <row r="4704">
      <c r="T4704" s="258">
        <f>IF(R4704="","",IFERROR(TODAY()+VLOOKUP(R4704,REGRAS!$B$2:$C$13,2,0),""))</f>
        <v/>
      </c>
    </row>
    <row r="4705">
      <c r="T4705" s="258">
        <f>IF(R4705="","",IFERROR(TODAY()+VLOOKUP(R4705,REGRAS!$B$2:$C$13,2,0),""))</f>
        <v/>
      </c>
    </row>
    <row r="4706">
      <c r="T4706" s="258">
        <f>IF(R4706="","",IFERROR(TODAY()+VLOOKUP(R4706,REGRAS!$B$2:$C$13,2,0),""))</f>
        <v/>
      </c>
    </row>
    <row r="4707">
      <c r="T4707" s="258">
        <f>IF(R4707="","",IFERROR(TODAY()+VLOOKUP(R4707,REGRAS!$B$2:$C$13,2,0),""))</f>
        <v/>
      </c>
    </row>
    <row r="4708">
      <c r="T4708" s="258">
        <f>IF(R4708="","",IFERROR(TODAY()+VLOOKUP(R4708,REGRAS!$B$2:$C$13,2,0),""))</f>
        <v/>
      </c>
    </row>
    <row r="4709">
      <c r="T4709" s="258">
        <f>IF(R4709="","",IFERROR(TODAY()+VLOOKUP(R4709,REGRAS!$B$2:$C$13,2,0),""))</f>
        <v/>
      </c>
    </row>
    <row r="4710">
      <c r="T4710" s="258">
        <f>IF(R4710="","",IFERROR(TODAY()+VLOOKUP(R4710,REGRAS!$B$2:$C$13,2,0),""))</f>
        <v/>
      </c>
    </row>
    <row r="4711">
      <c r="T4711" s="258">
        <f>IF(R4711="","",IFERROR(TODAY()+VLOOKUP(R4711,REGRAS!$B$2:$C$13,2,0),""))</f>
        <v/>
      </c>
    </row>
    <row r="4712">
      <c r="T4712" s="258">
        <f>IF(R4712="","",IFERROR(TODAY()+VLOOKUP(R4712,REGRAS!$B$2:$C$13,2,0),""))</f>
        <v/>
      </c>
    </row>
    <row r="4713">
      <c r="T4713" s="258">
        <f>IF(R4713="","",IFERROR(TODAY()+VLOOKUP(R4713,REGRAS!$B$2:$C$13,2,0),""))</f>
        <v/>
      </c>
    </row>
    <row r="4714">
      <c r="T4714" s="258">
        <f>IF(R4714="","",IFERROR(TODAY()+VLOOKUP(R4714,REGRAS!$B$2:$C$13,2,0),""))</f>
        <v/>
      </c>
    </row>
    <row r="4715">
      <c r="T4715" s="258">
        <f>IF(R4715="","",IFERROR(TODAY()+VLOOKUP(R4715,REGRAS!$B$2:$C$13,2,0),""))</f>
        <v/>
      </c>
    </row>
    <row r="4716">
      <c r="T4716" s="258">
        <f>IF(R4716="","",IFERROR(TODAY()+VLOOKUP(R4716,REGRAS!$B$2:$C$13,2,0),""))</f>
        <v/>
      </c>
    </row>
    <row r="4717">
      <c r="T4717" s="258">
        <f>IF(R4717="","",IFERROR(TODAY()+VLOOKUP(R4717,REGRAS!$B$2:$C$13,2,0),""))</f>
        <v/>
      </c>
    </row>
    <row r="4718">
      <c r="T4718" s="258">
        <f>IF(R4718="","",IFERROR(TODAY()+VLOOKUP(R4718,REGRAS!$B$2:$C$13,2,0),""))</f>
        <v/>
      </c>
    </row>
    <row r="4719">
      <c r="T4719" s="258">
        <f>IF(R4719="","",IFERROR(TODAY()+VLOOKUP(R4719,REGRAS!$B$2:$C$13,2,0),""))</f>
        <v/>
      </c>
    </row>
    <row r="4720">
      <c r="T4720" s="258">
        <f>IF(R4720="","",IFERROR(TODAY()+VLOOKUP(R4720,REGRAS!$B$2:$C$13,2,0),""))</f>
        <v/>
      </c>
    </row>
    <row r="4721">
      <c r="T4721" s="258">
        <f>IF(R4721="","",IFERROR(TODAY()+VLOOKUP(R4721,REGRAS!$B$2:$C$13,2,0),""))</f>
        <v/>
      </c>
    </row>
    <row r="4722">
      <c r="T4722" s="258">
        <f>IF(R4722="","",IFERROR(TODAY()+VLOOKUP(R4722,REGRAS!$B$2:$C$13,2,0),""))</f>
        <v/>
      </c>
    </row>
    <row r="4723">
      <c r="T4723" s="258">
        <f>IF(R4723="","",IFERROR(TODAY()+VLOOKUP(R4723,REGRAS!$B$2:$C$13,2,0),""))</f>
        <v/>
      </c>
    </row>
    <row r="4724">
      <c r="T4724" s="258">
        <f>IF(R4724="","",IFERROR(TODAY()+VLOOKUP(R4724,REGRAS!$B$2:$C$13,2,0),""))</f>
        <v/>
      </c>
    </row>
    <row r="4725">
      <c r="T4725" s="258">
        <f>IF(R4725="","",IFERROR(TODAY()+VLOOKUP(R4725,REGRAS!$B$2:$C$13,2,0),""))</f>
        <v/>
      </c>
    </row>
    <row r="4726">
      <c r="T4726" s="258">
        <f>IF(R4726="","",IFERROR(TODAY()+VLOOKUP(R4726,REGRAS!$B$2:$C$13,2,0),""))</f>
        <v/>
      </c>
    </row>
    <row r="4727">
      <c r="T4727" s="258">
        <f>IF(R4727="","",IFERROR(TODAY()+VLOOKUP(R4727,REGRAS!$B$2:$C$13,2,0),""))</f>
        <v/>
      </c>
    </row>
    <row r="4728">
      <c r="T4728" s="258">
        <f>IF(R4728="","",IFERROR(TODAY()+VLOOKUP(R4728,REGRAS!$B$2:$C$13,2,0),""))</f>
        <v/>
      </c>
    </row>
    <row r="4729">
      <c r="T4729" s="258">
        <f>IF(R4729="","",IFERROR(TODAY()+VLOOKUP(R4729,REGRAS!$B$2:$C$13,2,0),""))</f>
        <v/>
      </c>
    </row>
    <row r="4730">
      <c r="T4730" s="258">
        <f>IF(R4730="","",IFERROR(TODAY()+VLOOKUP(R4730,REGRAS!$B$2:$C$13,2,0),""))</f>
        <v/>
      </c>
    </row>
    <row r="4731">
      <c r="T4731" s="258">
        <f>IF(R4731="","",IFERROR(TODAY()+VLOOKUP(R4731,REGRAS!$B$2:$C$13,2,0),""))</f>
        <v/>
      </c>
    </row>
    <row r="4732">
      <c r="T4732" s="258">
        <f>IF(R4732="","",IFERROR(TODAY()+VLOOKUP(R4732,REGRAS!$B$2:$C$13,2,0),""))</f>
        <v/>
      </c>
    </row>
    <row r="4733">
      <c r="T4733" s="258">
        <f>IF(R4733="","",IFERROR(TODAY()+VLOOKUP(R4733,REGRAS!$B$2:$C$13,2,0),""))</f>
        <v/>
      </c>
    </row>
    <row r="4734">
      <c r="T4734" s="258">
        <f>IF(R4734="","",IFERROR(TODAY()+VLOOKUP(R4734,REGRAS!$B$2:$C$13,2,0),""))</f>
        <v/>
      </c>
    </row>
    <row r="4735">
      <c r="T4735" s="258">
        <f>IF(R4735="","",IFERROR(TODAY()+VLOOKUP(R4735,REGRAS!$B$2:$C$13,2,0),""))</f>
        <v/>
      </c>
    </row>
    <row r="4736">
      <c r="T4736" s="258">
        <f>IF(R4736="","",IFERROR(TODAY()+VLOOKUP(R4736,REGRAS!$B$2:$C$13,2,0),""))</f>
        <v/>
      </c>
    </row>
    <row r="4737">
      <c r="T4737" s="258">
        <f>IF(R4737="","",IFERROR(TODAY()+VLOOKUP(R4737,REGRAS!$B$2:$C$13,2,0),""))</f>
        <v/>
      </c>
    </row>
    <row r="4738">
      <c r="T4738" s="258">
        <f>IF(R4738="","",IFERROR(TODAY()+VLOOKUP(R4738,REGRAS!$B$2:$C$13,2,0),""))</f>
        <v/>
      </c>
    </row>
    <row r="4739">
      <c r="T4739" s="258">
        <f>IF(R4739="","",IFERROR(TODAY()+VLOOKUP(R4739,REGRAS!$B$2:$C$13,2,0),""))</f>
        <v/>
      </c>
    </row>
    <row r="4740">
      <c r="T4740" s="258">
        <f>IF(R4740="","",IFERROR(TODAY()+VLOOKUP(R4740,REGRAS!$B$2:$C$13,2,0),""))</f>
        <v/>
      </c>
    </row>
    <row r="4741">
      <c r="T4741" s="258">
        <f>IF(R4741="","",IFERROR(TODAY()+VLOOKUP(R4741,REGRAS!$B$2:$C$13,2,0),""))</f>
        <v/>
      </c>
    </row>
    <row r="4742">
      <c r="T4742" s="258">
        <f>IF(R4742="","",IFERROR(TODAY()+VLOOKUP(R4742,REGRAS!$B$2:$C$13,2,0),""))</f>
        <v/>
      </c>
    </row>
    <row r="4743">
      <c r="T4743" s="258">
        <f>IF(R4743="","",IFERROR(TODAY()+VLOOKUP(R4743,REGRAS!$B$2:$C$13,2,0),""))</f>
        <v/>
      </c>
    </row>
    <row r="4744">
      <c r="T4744" s="258">
        <f>IF(R4744="","",IFERROR(TODAY()+VLOOKUP(R4744,REGRAS!$B$2:$C$13,2,0),""))</f>
        <v/>
      </c>
    </row>
    <row r="4745">
      <c r="T4745" s="258">
        <f>IF(R4745="","",IFERROR(TODAY()+VLOOKUP(R4745,REGRAS!$B$2:$C$13,2,0),""))</f>
        <v/>
      </c>
    </row>
    <row r="4746">
      <c r="T4746" s="258">
        <f>IF(R4746="","",IFERROR(TODAY()+VLOOKUP(R4746,REGRAS!$B$2:$C$13,2,0),""))</f>
        <v/>
      </c>
    </row>
    <row r="4747">
      <c r="T4747" s="258">
        <f>IF(R4747="","",IFERROR(TODAY()+VLOOKUP(R4747,REGRAS!$B$2:$C$13,2,0),""))</f>
        <v/>
      </c>
    </row>
    <row r="4748">
      <c r="T4748" s="258">
        <f>IF(R4748="","",IFERROR(TODAY()+VLOOKUP(R4748,REGRAS!$B$2:$C$13,2,0),""))</f>
        <v/>
      </c>
    </row>
    <row r="4749">
      <c r="T4749" s="258">
        <f>IF(R4749="","",IFERROR(TODAY()+VLOOKUP(R4749,REGRAS!$B$2:$C$13,2,0),""))</f>
        <v/>
      </c>
    </row>
    <row r="4750">
      <c r="T4750" s="258">
        <f>IF(R4750="","",IFERROR(TODAY()+VLOOKUP(R4750,REGRAS!$B$2:$C$13,2,0),""))</f>
        <v/>
      </c>
    </row>
    <row r="4751">
      <c r="T4751" s="258">
        <f>IF(R4751="","",IFERROR(TODAY()+VLOOKUP(R4751,REGRAS!$B$2:$C$13,2,0),""))</f>
        <v/>
      </c>
    </row>
    <row r="4752">
      <c r="T4752" s="258">
        <f>IF(R4752="","",IFERROR(TODAY()+VLOOKUP(R4752,REGRAS!$B$2:$C$13,2,0),""))</f>
        <v/>
      </c>
    </row>
    <row r="4753">
      <c r="T4753" s="258">
        <f>IF(R4753="","",IFERROR(TODAY()+VLOOKUP(R4753,REGRAS!$B$2:$C$13,2,0),""))</f>
        <v/>
      </c>
    </row>
    <row r="4754">
      <c r="T4754" s="258">
        <f>IF(R4754="","",IFERROR(TODAY()+VLOOKUP(R4754,REGRAS!$B$2:$C$13,2,0),""))</f>
        <v/>
      </c>
    </row>
    <row r="4755">
      <c r="T4755" s="258">
        <f>IF(R4755="","",IFERROR(TODAY()+VLOOKUP(R4755,REGRAS!$B$2:$C$13,2,0),""))</f>
        <v/>
      </c>
    </row>
    <row r="4756">
      <c r="T4756" s="258">
        <f>IF(R4756="","",IFERROR(TODAY()+VLOOKUP(R4756,REGRAS!$B$2:$C$13,2,0),""))</f>
        <v/>
      </c>
    </row>
    <row r="4757">
      <c r="T4757" s="258">
        <f>IF(R4757="","",IFERROR(TODAY()+VLOOKUP(R4757,REGRAS!$B$2:$C$13,2,0),""))</f>
        <v/>
      </c>
    </row>
    <row r="4758">
      <c r="T4758" s="258">
        <f>IF(R4758="","",IFERROR(TODAY()+VLOOKUP(R4758,REGRAS!$B$2:$C$13,2,0),""))</f>
        <v/>
      </c>
    </row>
    <row r="4759">
      <c r="T4759" s="258">
        <f>IF(R4759="","",IFERROR(TODAY()+VLOOKUP(R4759,REGRAS!$B$2:$C$13,2,0),""))</f>
        <v/>
      </c>
    </row>
    <row r="4760">
      <c r="T4760" s="258">
        <f>IF(R4760="","",IFERROR(TODAY()+VLOOKUP(R4760,REGRAS!$B$2:$C$13,2,0),""))</f>
        <v/>
      </c>
    </row>
    <row r="4761">
      <c r="T4761" s="258">
        <f>IF(R4761="","",IFERROR(TODAY()+VLOOKUP(R4761,REGRAS!$B$2:$C$13,2,0),""))</f>
        <v/>
      </c>
    </row>
    <row r="4762">
      <c r="T4762" s="258">
        <f>IF(R4762="","",IFERROR(TODAY()+VLOOKUP(R4762,REGRAS!$B$2:$C$13,2,0),""))</f>
        <v/>
      </c>
    </row>
    <row r="4763">
      <c r="T4763" s="258">
        <f>IF(R4763="","",IFERROR(TODAY()+VLOOKUP(R4763,REGRAS!$B$2:$C$13,2,0),""))</f>
        <v/>
      </c>
    </row>
    <row r="4764">
      <c r="T4764" s="258">
        <f>IF(R4764="","",IFERROR(TODAY()+VLOOKUP(R4764,REGRAS!$B$2:$C$13,2,0),""))</f>
        <v/>
      </c>
    </row>
    <row r="4765">
      <c r="T4765" s="258">
        <f>IF(R4765="","",IFERROR(TODAY()+VLOOKUP(R4765,REGRAS!$B$2:$C$13,2,0),""))</f>
        <v/>
      </c>
    </row>
    <row r="4766">
      <c r="T4766" s="258">
        <f>IF(R4766="","",IFERROR(TODAY()+VLOOKUP(R4766,REGRAS!$B$2:$C$13,2,0),""))</f>
        <v/>
      </c>
    </row>
    <row r="4767">
      <c r="T4767" s="258">
        <f>IF(R4767="","",IFERROR(TODAY()+VLOOKUP(R4767,REGRAS!$B$2:$C$13,2,0),""))</f>
        <v/>
      </c>
    </row>
    <row r="4768">
      <c r="T4768" s="258">
        <f>IF(R4768="","",IFERROR(TODAY()+VLOOKUP(R4768,REGRAS!$B$2:$C$13,2,0),""))</f>
        <v/>
      </c>
    </row>
    <row r="4769">
      <c r="T4769" s="258">
        <f>IF(R4769="","",IFERROR(TODAY()+VLOOKUP(R4769,REGRAS!$B$2:$C$13,2,0),""))</f>
        <v/>
      </c>
    </row>
    <row r="4770">
      <c r="T4770" s="258">
        <f>IF(R4770="","",IFERROR(TODAY()+VLOOKUP(R4770,REGRAS!$B$2:$C$13,2,0),""))</f>
        <v/>
      </c>
    </row>
    <row r="4771">
      <c r="T4771" s="258">
        <f>IF(R4771="","",IFERROR(TODAY()+VLOOKUP(R4771,REGRAS!$B$2:$C$13,2,0),""))</f>
        <v/>
      </c>
    </row>
    <row r="4772">
      <c r="T4772" s="258">
        <f>IF(R4772="","",IFERROR(TODAY()+VLOOKUP(R4772,REGRAS!$B$2:$C$13,2,0),""))</f>
        <v/>
      </c>
    </row>
    <row r="4773">
      <c r="T4773" s="258">
        <f>IF(R4773="","",IFERROR(TODAY()+VLOOKUP(R4773,REGRAS!$B$2:$C$13,2,0),""))</f>
        <v/>
      </c>
    </row>
    <row r="4774">
      <c r="T4774" s="258">
        <f>IF(R4774="","",IFERROR(TODAY()+VLOOKUP(R4774,REGRAS!$B$2:$C$13,2,0),""))</f>
        <v/>
      </c>
    </row>
    <row r="4775">
      <c r="T4775" s="258">
        <f>IF(R4775="","",IFERROR(TODAY()+VLOOKUP(R4775,REGRAS!$B$2:$C$13,2,0),""))</f>
        <v/>
      </c>
    </row>
    <row r="4776">
      <c r="T4776" s="258">
        <f>IF(R4776="","",IFERROR(TODAY()+VLOOKUP(R4776,REGRAS!$B$2:$C$13,2,0),""))</f>
        <v/>
      </c>
    </row>
    <row r="4777">
      <c r="T4777" s="258">
        <f>IF(R4777="","",IFERROR(TODAY()+VLOOKUP(R4777,REGRAS!$B$2:$C$13,2,0),""))</f>
        <v/>
      </c>
    </row>
    <row r="4778">
      <c r="T4778" s="258">
        <f>IF(R4778="","",IFERROR(TODAY()+VLOOKUP(R4778,REGRAS!$B$2:$C$13,2,0),""))</f>
        <v/>
      </c>
    </row>
    <row r="4779">
      <c r="T4779" s="258">
        <f>IF(R4779="","",IFERROR(TODAY()+VLOOKUP(R4779,REGRAS!$B$2:$C$13,2,0),""))</f>
        <v/>
      </c>
    </row>
    <row r="4780">
      <c r="T4780" s="258">
        <f>IF(R4780="","",IFERROR(TODAY()+VLOOKUP(R4780,REGRAS!$B$2:$C$13,2,0),""))</f>
        <v/>
      </c>
    </row>
    <row r="4781">
      <c r="T4781" s="258">
        <f>IF(R4781="","",IFERROR(TODAY()+VLOOKUP(R4781,REGRAS!$B$2:$C$13,2,0),""))</f>
        <v/>
      </c>
    </row>
    <row r="4782">
      <c r="T4782" s="258">
        <f>IF(R4782="","",IFERROR(TODAY()+VLOOKUP(R4782,REGRAS!$B$2:$C$13,2,0),""))</f>
        <v/>
      </c>
    </row>
    <row r="4783">
      <c r="T4783" s="258">
        <f>IF(R4783="","",IFERROR(TODAY()+VLOOKUP(R4783,REGRAS!$B$2:$C$13,2,0),""))</f>
        <v/>
      </c>
    </row>
    <row r="4784">
      <c r="T4784" s="258">
        <f>IF(R4784="","",IFERROR(TODAY()+VLOOKUP(R4784,REGRAS!$B$2:$C$13,2,0),""))</f>
        <v/>
      </c>
    </row>
    <row r="4785">
      <c r="T4785" s="258">
        <f>IF(R4785="","",IFERROR(TODAY()+VLOOKUP(R4785,REGRAS!$B$2:$C$13,2,0),""))</f>
        <v/>
      </c>
    </row>
    <row r="4786">
      <c r="T4786" s="258">
        <f>IF(R4786="","",IFERROR(TODAY()+VLOOKUP(R4786,REGRAS!$B$2:$C$13,2,0),""))</f>
        <v/>
      </c>
    </row>
    <row r="4787">
      <c r="T4787" s="258">
        <f>IF(R4787="","",IFERROR(TODAY()+VLOOKUP(R4787,REGRAS!$B$2:$C$13,2,0),""))</f>
        <v/>
      </c>
    </row>
    <row r="4788">
      <c r="T4788" s="258">
        <f>IF(R4788="","",IFERROR(TODAY()+VLOOKUP(R4788,REGRAS!$B$2:$C$13,2,0),""))</f>
        <v/>
      </c>
    </row>
    <row r="4789">
      <c r="T4789" s="258">
        <f>IF(R4789="","",IFERROR(TODAY()+VLOOKUP(R4789,REGRAS!$B$2:$C$13,2,0),""))</f>
        <v/>
      </c>
    </row>
    <row r="4790">
      <c r="T4790" s="258">
        <f>IF(R4790="","",IFERROR(TODAY()+VLOOKUP(R4790,REGRAS!$B$2:$C$13,2,0),""))</f>
        <v/>
      </c>
    </row>
    <row r="4791">
      <c r="T4791" s="258">
        <f>IF(R4791="","",IFERROR(TODAY()+VLOOKUP(R4791,REGRAS!$B$2:$C$13,2,0),""))</f>
        <v/>
      </c>
    </row>
    <row r="4792">
      <c r="T4792" s="258">
        <f>IF(R4792="","",IFERROR(TODAY()+VLOOKUP(R4792,REGRAS!$B$2:$C$13,2,0),""))</f>
        <v/>
      </c>
    </row>
    <row r="4793">
      <c r="T4793" s="258">
        <f>IF(R4793="","",IFERROR(TODAY()+VLOOKUP(R4793,REGRAS!$B$2:$C$13,2,0),""))</f>
        <v/>
      </c>
    </row>
    <row r="4794">
      <c r="T4794" s="258">
        <f>IF(R4794="","",IFERROR(TODAY()+VLOOKUP(R4794,REGRAS!$B$2:$C$13,2,0),""))</f>
        <v/>
      </c>
    </row>
    <row r="4795">
      <c r="T4795" s="258">
        <f>IF(R4795="","",IFERROR(TODAY()+VLOOKUP(R4795,REGRAS!$B$2:$C$13,2,0),""))</f>
        <v/>
      </c>
    </row>
    <row r="4796">
      <c r="T4796" s="258">
        <f>IF(R4796="","",IFERROR(TODAY()+VLOOKUP(R4796,REGRAS!$B$2:$C$13,2,0),""))</f>
        <v/>
      </c>
    </row>
    <row r="4797">
      <c r="T4797" s="258">
        <f>IF(R4797="","",IFERROR(TODAY()+VLOOKUP(R4797,REGRAS!$B$2:$C$13,2,0),""))</f>
        <v/>
      </c>
    </row>
    <row r="4798">
      <c r="T4798" s="258">
        <f>IF(R4798="","",IFERROR(TODAY()+VLOOKUP(R4798,REGRAS!$B$2:$C$13,2,0),""))</f>
        <v/>
      </c>
    </row>
    <row r="4799">
      <c r="T4799" s="258">
        <f>IF(R4799="","",IFERROR(TODAY()+VLOOKUP(R4799,REGRAS!$B$2:$C$13,2,0),""))</f>
        <v/>
      </c>
    </row>
    <row r="4800">
      <c r="T4800" s="258">
        <f>IF(R4800="","",IFERROR(TODAY()+VLOOKUP(R4800,REGRAS!$B$2:$C$13,2,0),""))</f>
        <v/>
      </c>
    </row>
    <row r="4801">
      <c r="T4801" s="258">
        <f>IF(R4801="","",IFERROR(TODAY()+VLOOKUP(R4801,REGRAS!$B$2:$C$13,2,0),""))</f>
        <v/>
      </c>
    </row>
    <row r="4802">
      <c r="T4802" s="258">
        <f>IF(R4802="","",IFERROR(TODAY()+VLOOKUP(R4802,REGRAS!$B$2:$C$13,2,0),""))</f>
        <v/>
      </c>
    </row>
    <row r="4803">
      <c r="T4803" s="258">
        <f>IF(R4803="","",IFERROR(TODAY()+VLOOKUP(R4803,REGRAS!$B$2:$C$13,2,0),""))</f>
        <v/>
      </c>
    </row>
    <row r="4804">
      <c r="T4804" s="258">
        <f>IF(R4804="","",IFERROR(TODAY()+VLOOKUP(R4804,REGRAS!$B$2:$C$13,2,0),""))</f>
        <v/>
      </c>
    </row>
    <row r="4805">
      <c r="T4805" s="258">
        <f>IF(R4805="","",IFERROR(TODAY()+VLOOKUP(R4805,REGRAS!$B$2:$C$13,2,0),""))</f>
        <v/>
      </c>
    </row>
    <row r="4806">
      <c r="T4806" s="258">
        <f>IF(R4806="","",IFERROR(TODAY()+VLOOKUP(R4806,REGRAS!$B$2:$C$13,2,0),""))</f>
        <v/>
      </c>
    </row>
    <row r="4807">
      <c r="T4807" s="258">
        <f>IF(R4807="","",IFERROR(TODAY()+VLOOKUP(R4807,REGRAS!$B$2:$C$13,2,0),""))</f>
        <v/>
      </c>
    </row>
    <row r="4808">
      <c r="T4808" s="258">
        <f>IF(R4808="","",IFERROR(TODAY()+VLOOKUP(R4808,REGRAS!$B$2:$C$13,2,0),""))</f>
        <v/>
      </c>
    </row>
    <row r="4809">
      <c r="T4809" s="258">
        <f>IF(R4809="","",IFERROR(TODAY()+VLOOKUP(R4809,REGRAS!$B$2:$C$13,2,0),""))</f>
        <v/>
      </c>
    </row>
    <row r="4810">
      <c r="T4810" s="258">
        <f>IF(R4810="","",IFERROR(TODAY()+VLOOKUP(R4810,REGRAS!$B$2:$C$13,2,0),""))</f>
        <v/>
      </c>
    </row>
    <row r="4811">
      <c r="T4811" s="258">
        <f>IF(R4811="","",IFERROR(TODAY()+VLOOKUP(R4811,REGRAS!$B$2:$C$13,2,0),""))</f>
        <v/>
      </c>
    </row>
    <row r="4812">
      <c r="T4812" s="258">
        <f>IF(R4812="","",IFERROR(TODAY()+VLOOKUP(R4812,REGRAS!$B$2:$C$13,2,0),""))</f>
        <v/>
      </c>
    </row>
    <row r="4813">
      <c r="T4813" s="258">
        <f>IF(R4813="","",IFERROR(TODAY()+VLOOKUP(R4813,REGRAS!$B$2:$C$13,2,0),""))</f>
        <v/>
      </c>
    </row>
    <row r="4814">
      <c r="T4814" s="258">
        <f>IF(R4814="","",IFERROR(TODAY()+VLOOKUP(R4814,REGRAS!$B$2:$C$13,2,0),""))</f>
        <v/>
      </c>
    </row>
    <row r="4815">
      <c r="T4815" s="258">
        <f>IF(R4815="","",IFERROR(TODAY()+VLOOKUP(R4815,REGRAS!$B$2:$C$13,2,0),""))</f>
        <v/>
      </c>
    </row>
    <row r="4816">
      <c r="T4816" s="258">
        <f>IF(R4816="","",IFERROR(TODAY()+VLOOKUP(R4816,REGRAS!$B$2:$C$13,2,0),""))</f>
        <v/>
      </c>
    </row>
    <row r="4817">
      <c r="T4817" s="258">
        <f>IF(R4817="","",IFERROR(TODAY()+VLOOKUP(R4817,REGRAS!$B$2:$C$13,2,0),""))</f>
        <v/>
      </c>
    </row>
    <row r="4818">
      <c r="T4818" s="258">
        <f>IF(R4818="","",IFERROR(TODAY()+VLOOKUP(R4818,REGRAS!$B$2:$C$13,2,0),""))</f>
        <v/>
      </c>
    </row>
    <row r="4819">
      <c r="T4819" s="258">
        <f>IF(R4819="","",IFERROR(TODAY()+VLOOKUP(R4819,REGRAS!$B$2:$C$13,2,0),""))</f>
        <v/>
      </c>
    </row>
    <row r="4820">
      <c r="T4820" s="258">
        <f>IF(R4820="","",IFERROR(TODAY()+VLOOKUP(R4820,REGRAS!$B$2:$C$13,2,0),""))</f>
        <v/>
      </c>
    </row>
    <row r="4821">
      <c r="T4821" s="258">
        <f>IF(R4821="","",IFERROR(TODAY()+VLOOKUP(R4821,REGRAS!$B$2:$C$13,2,0),""))</f>
        <v/>
      </c>
    </row>
    <row r="4822">
      <c r="T4822" s="258">
        <f>IF(R4822="","",IFERROR(TODAY()+VLOOKUP(R4822,REGRAS!$B$2:$C$13,2,0),""))</f>
        <v/>
      </c>
    </row>
    <row r="4823">
      <c r="T4823" s="258">
        <f>IF(R4823="","",IFERROR(TODAY()+VLOOKUP(R4823,REGRAS!$B$2:$C$13,2,0),""))</f>
        <v/>
      </c>
    </row>
    <row r="4824">
      <c r="T4824" s="258">
        <f>IF(R4824="","",IFERROR(TODAY()+VLOOKUP(R4824,REGRAS!$B$2:$C$13,2,0),""))</f>
        <v/>
      </c>
    </row>
    <row r="4825">
      <c r="T4825" s="258">
        <f>IF(R4825="","",IFERROR(TODAY()+VLOOKUP(R4825,REGRAS!$B$2:$C$13,2,0),""))</f>
        <v/>
      </c>
    </row>
    <row r="4826">
      <c r="T4826" s="258">
        <f>IF(R4826="","",IFERROR(TODAY()+VLOOKUP(R4826,REGRAS!$B$2:$C$13,2,0),""))</f>
        <v/>
      </c>
    </row>
    <row r="4827">
      <c r="T4827" s="258">
        <f>IF(R4827="","",IFERROR(TODAY()+VLOOKUP(R4827,REGRAS!$B$2:$C$13,2,0),""))</f>
        <v/>
      </c>
    </row>
    <row r="4828">
      <c r="T4828" s="258">
        <f>IF(R4828="","",IFERROR(TODAY()+VLOOKUP(R4828,REGRAS!$B$2:$C$13,2,0),""))</f>
        <v/>
      </c>
    </row>
    <row r="4829">
      <c r="T4829" s="258">
        <f>IF(R4829="","",IFERROR(TODAY()+VLOOKUP(R4829,REGRAS!$B$2:$C$13,2,0),""))</f>
        <v/>
      </c>
    </row>
    <row r="4830">
      <c r="T4830" s="258">
        <f>IF(R4830="","",IFERROR(TODAY()+VLOOKUP(R4830,REGRAS!$B$2:$C$13,2,0),""))</f>
        <v/>
      </c>
    </row>
    <row r="4831">
      <c r="T4831" s="258">
        <f>IF(R4831="","",IFERROR(TODAY()+VLOOKUP(R4831,REGRAS!$B$2:$C$13,2,0),""))</f>
        <v/>
      </c>
    </row>
    <row r="4832">
      <c r="T4832" s="258">
        <f>IF(R4832="","",IFERROR(TODAY()+VLOOKUP(R4832,REGRAS!$B$2:$C$13,2,0),""))</f>
        <v/>
      </c>
    </row>
    <row r="4833">
      <c r="T4833" s="258">
        <f>IF(R4833="","",IFERROR(TODAY()+VLOOKUP(R4833,REGRAS!$B$2:$C$13,2,0),""))</f>
        <v/>
      </c>
    </row>
    <row r="4834">
      <c r="T4834" s="258">
        <f>IF(R4834="","",IFERROR(TODAY()+VLOOKUP(R4834,REGRAS!$B$2:$C$13,2,0),""))</f>
        <v/>
      </c>
    </row>
    <row r="4835">
      <c r="T4835" s="258">
        <f>IF(R4835="","",IFERROR(TODAY()+VLOOKUP(R4835,REGRAS!$B$2:$C$13,2,0),""))</f>
        <v/>
      </c>
    </row>
    <row r="4836">
      <c r="T4836" s="258">
        <f>IF(R4836="","",IFERROR(TODAY()+VLOOKUP(R4836,REGRAS!$B$2:$C$13,2,0),""))</f>
        <v/>
      </c>
    </row>
    <row r="4837">
      <c r="T4837" s="258">
        <f>IF(R4837="","",IFERROR(TODAY()+VLOOKUP(R4837,REGRAS!$B$2:$C$13,2,0),""))</f>
        <v/>
      </c>
    </row>
    <row r="4838">
      <c r="T4838" s="258">
        <f>IF(R4838="","",IFERROR(TODAY()+VLOOKUP(R4838,REGRAS!$B$2:$C$13,2,0),""))</f>
        <v/>
      </c>
    </row>
    <row r="4839">
      <c r="T4839" s="258">
        <f>IF(R4839="","",IFERROR(TODAY()+VLOOKUP(R4839,REGRAS!$B$2:$C$13,2,0),""))</f>
        <v/>
      </c>
    </row>
    <row r="4840">
      <c r="T4840" s="258">
        <f>IF(R4840="","",IFERROR(TODAY()+VLOOKUP(R4840,REGRAS!$B$2:$C$13,2,0),""))</f>
        <v/>
      </c>
    </row>
    <row r="4841">
      <c r="T4841" s="258">
        <f>IF(R4841="","",IFERROR(TODAY()+VLOOKUP(R4841,REGRAS!$B$2:$C$13,2,0),""))</f>
        <v/>
      </c>
    </row>
    <row r="4842">
      <c r="T4842" s="258">
        <f>IF(R4842="","",IFERROR(TODAY()+VLOOKUP(R4842,REGRAS!$B$2:$C$13,2,0),""))</f>
        <v/>
      </c>
    </row>
    <row r="4843">
      <c r="T4843" s="258">
        <f>IF(R4843="","",IFERROR(TODAY()+VLOOKUP(R4843,REGRAS!$B$2:$C$13,2,0),""))</f>
        <v/>
      </c>
    </row>
    <row r="4844">
      <c r="T4844" s="258">
        <f>IF(R4844="","",IFERROR(TODAY()+VLOOKUP(R4844,REGRAS!$B$2:$C$13,2,0),""))</f>
        <v/>
      </c>
    </row>
    <row r="4845">
      <c r="T4845" s="258">
        <f>IF(R4845="","",IFERROR(TODAY()+VLOOKUP(R4845,REGRAS!$B$2:$C$13,2,0),""))</f>
        <v/>
      </c>
    </row>
    <row r="4846">
      <c r="T4846" s="258">
        <f>IF(R4846="","",IFERROR(TODAY()+VLOOKUP(R4846,REGRAS!$B$2:$C$13,2,0),""))</f>
        <v/>
      </c>
    </row>
    <row r="4847">
      <c r="T4847" s="258">
        <f>IF(R4847="","",IFERROR(TODAY()+VLOOKUP(R4847,REGRAS!$B$2:$C$13,2,0),""))</f>
        <v/>
      </c>
    </row>
    <row r="4848">
      <c r="T4848" s="258">
        <f>IF(R4848="","",IFERROR(TODAY()+VLOOKUP(R4848,REGRAS!$B$2:$C$13,2,0),""))</f>
        <v/>
      </c>
    </row>
    <row r="4849">
      <c r="T4849" s="258">
        <f>IF(R4849="","",IFERROR(TODAY()+VLOOKUP(R4849,REGRAS!$B$2:$C$13,2,0),""))</f>
        <v/>
      </c>
    </row>
    <row r="4850">
      <c r="T4850" s="258">
        <f>IF(R4850="","",IFERROR(TODAY()+VLOOKUP(R4850,REGRAS!$B$2:$C$13,2,0),""))</f>
        <v/>
      </c>
    </row>
    <row r="4851">
      <c r="T4851" s="258">
        <f>IF(R4851="","",IFERROR(TODAY()+VLOOKUP(R4851,REGRAS!$B$2:$C$13,2,0),""))</f>
        <v/>
      </c>
    </row>
    <row r="4852">
      <c r="T4852" s="258">
        <f>IF(R4852="","",IFERROR(TODAY()+VLOOKUP(R4852,REGRAS!$B$2:$C$13,2,0),""))</f>
        <v/>
      </c>
    </row>
    <row r="4853">
      <c r="T4853" s="258">
        <f>IF(R4853="","",IFERROR(TODAY()+VLOOKUP(R4853,REGRAS!$B$2:$C$13,2,0),""))</f>
        <v/>
      </c>
    </row>
    <row r="4854">
      <c r="T4854" s="258">
        <f>IF(R4854="","",IFERROR(TODAY()+VLOOKUP(R4854,REGRAS!$B$2:$C$13,2,0),""))</f>
        <v/>
      </c>
    </row>
    <row r="4855">
      <c r="T4855" s="258">
        <f>IF(R4855="","",IFERROR(TODAY()+VLOOKUP(R4855,REGRAS!$B$2:$C$13,2,0),""))</f>
        <v/>
      </c>
    </row>
    <row r="4856">
      <c r="T4856" s="258">
        <f>IF(R4856="","",IFERROR(TODAY()+VLOOKUP(R4856,REGRAS!$B$2:$C$13,2,0),""))</f>
        <v/>
      </c>
    </row>
    <row r="4857">
      <c r="T4857" s="258">
        <f>IF(R4857="","",IFERROR(TODAY()+VLOOKUP(R4857,REGRAS!$B$2:$C$13,2,0),""))</f>
        <v/>
      </c>
    </row>
    <row r="4858">
      <c r="T4858" s="258">
        <f>IF(R4858="","",IFERROR(TODAY()+VLOOKUP(R4858,REGRAS!$B$2:$C$13,2,0),""))</f>
        <v/>
      </c>
    </row>
    <row r="4859">
      <c r="T4859" s="258">
        <f>IF(R4859="","",IFERROR(TODAY()+VLOOKUP(R4859,REGRAS!$B$2:$C$13,2,0),""))</f>
        <v/>
      </c>
    </row>
    <row r="4860">
      <c r="T4860" s="258">
        <f>IF(R4860="","",IFERROR(TODAY()+VLOOKUP(R4860,REGRAS!$B$2:$C$13,2,0),""))</f>
        <v/>
      </c>
    </row>
    <row r="4861">
      <c r="T4861" s="258">
        <f>IF(R4861="","",IFERROR(TODAY()+VLOOKUP(R4861,REGRAS!$B$2:$C$13,2,0),""))</f>
        <v/>
      </c>
    </row>
    <row r="4862">
      <c r="T4862" s="258">
        <f>IF(R4862="","",IFERROR(TODAY()+VLOOKUP(R4862,REGRAS!$B$2:$C$13,2,0),""))</f>
        <v/>
      </c>
    </row>
    <row r="4863">
      <c r="T4863" s="258">
        <f>IF(R4863="","",IFERROR(TODAY()+VLOOKUP(R4863,REGRAS!$B$2:$C$13,2,0),""))</f>
        <v/>
      </c>
    </row>
    <row r="4864">
      <c r="T4864" s="258">
        <f>IF(R4864="","",IFERROR(TODAY()+VLOOKUP(R4864,REGRAS!$B$2:$C$13,2,0),""))</f>
        <v/>
      </c>
    </row>
    <row r="4865">
      <c r="T4865" s="258">
        <f>IF(R4865="","",IFERROR(TODAY()+VLOOKUP(R4865,REGRAS!$B$2:$C$13,2,0),""))</f>
        <v/>
      </c>
    </row>
    <row r="4866">
      <c r="T4866" s="258">
        <f>IF(R4866="","",IFERROR(TODAY()+VLOOKUP(R4866,REGRAS!$B$2:$C$13,2,0),""))</f>
        <v/>
      </c>
    </row>
    <row r="4867">
      <c r="T4867" s="258">
        <f>IF(R4867="","",IFERROR(TODAY()+VLOOKUP(R4867,REGRAS!$B$2:$C$13,2,0),""))</f>
        <v/>
      </c>
    </row>
    <row r="4868">
      <c r="T4868" s="258">
        <f>IF(R4868="","",IFERROR(TODAY()+VLOOKUP(R4868,REGRAS!$B$2:$C$13,2,0),""))</f>
        <v/>
      </c>
    </row>
    <row r="4869">
      <c r="T4869" s="258">
        <f>IF(R4869="","",IFERROR(TODAY()+VLOOKUP(R4869,REGRAS!$B$2:$C$13,2,0),""))</f>
        <v/>
      </c>
    </row>
    <row r="4870">
      <c r="T4870" s="258">
        <f>IF(R4870="","",IFERROR(TODAY()+VLOOKUP(R4870,REGRAS!$B$2:$C$13,2,0),""))</f>
        <v/>
      </c>
    </row>
    <row r="4871">
      <c r="T4871" s="258">
        <f>IF(R4871="","",IFERROR(TODAY()+VLOOKUP(R4871,REGRAS!$B$2:$C$13,2,0),""))</f>
        <v/>
      </c>
    </row>
    <row r="4872">
      <c r="T4872" s="258">
        <f>IF(R4872="","",IFERROR(TODAY()+VLOOKUP(R4872,REGRAS!$B$2:$C$13,2,0),""))</f>
        <v/>
      </c>
    </row>
    <row r="4873">
      <c r="T4873" s="258">
        <f>IF(R4873="","",IFERROR(TODAY()+VLOOKUP(R4873,REGRAS!$B$2:$C$13,2,0),""))</f>
        <v/>
      </c>
    </row>
    <row r="4874">
      <c r="T4874" s="258">
        <f>IF(R4874="","",IFERROR(TODAY()+VLOOKUP(R4874,REGRAS!$B$2:$C$13,2,0),""))</f>
        <v/>
      </c>
    </row>
    <row r="4875">
      <c r="T4875" s="258">
        <f>IF(R4875="","",IFERROR(TODAY()+VLOOKUP(R4875,REGRAS!$B$2:$C$13,2,0),""))</f>
        <v/>
      </c>
    </row>
    <row r="4876">
      <c r="T4876" s="258">
        <f>IF(R4876="","",IFERROR(TODAY()+VLOOKUP(R4876,REGRAS!$B$2:$C$13,2,0),""))</f>
        <v/>
      </c>
    </row>
    <row r="4877">
      <c r="T4877" s="258">
        <f>IF(R4877="","",IFERROR(TODAY()+VLOOKUP(R4877,REGRAS!$B$2:$C$13,2,0),""))</f>
        <v/>
      </c>
    </row>
    <row r="4878">
      <c r="T4878" s="258">
        <f>IF(R4878="","",IFERROR(TODAY()+VLOOKUP(R4878,REGRAS!$B$2:$C$13,2,0),""))</f>
        <v/>
      </c>
    </row>
    <row r="4879">
      <c r="T4879" s="258">
        <f>IF(R4879="","",IFERROR(TODAY()+VLOOKUP(R4879,REGRAS!$B$2:$C$13,2,0),""))</f>
        <v/>
      </c>
    </row>
    <row r="4880">
      <c r="T4880" s="258">
        <f>IF(R4880="","",IFERROR(TODAY()+VLOOKUP(R4880,REGRAS!$B$2:$C$13,2,0),""))</f>
        <v/>
      </c>
    </row>
    <row r="4881">
      <c r="T4881" s="258">
        <f>IF(R4881="","",IFERROR(TODAY()+VLOOKUP(R4881,REGRAS!$B$2:$C$13,2,0),""))</f>
        <v/>
      </c>
    </row>
    <row r="4882">
      <c r="T4882" s="258">
        <f>IF(R4882="","",IFERROR(TODAY()+VLOOKUP(R4882,REGRAS!$B$2:$C$13,2,0),""))</f>
        <v/>
      </c>
    </row>
    <row r="4883">
      <c r="T4883" s="258">
        <f>IF(R4883="","",IFERROR(TODAY()+VLOOKUP(R4883,REGRAS!$B$2:$C$13,2,0),""))</f>
        <v/>
      </c>
    </row>
    <row r="4884">
      <c r="T4884" s="258">
        <f>IF(R4884="","",IFERROR(TODAY()+VLOOKUP(R4884,REGRAS!$B$2:$C$13,2,0),""))</f>
        <v/>
      </c>
    </row>
    <row r="4885">
      <c r="T4885" s="258">
        <f>IF(R4885="","",IFERROR(TODAY()+VLOOKUP(R4885,REGRAS!$B$2:$C$13,2,0),""))</f>
        <v/>
      </c>
    </row>
    <row r="4886">
      <c r="T4886" s="258">
        <f>IF(R4886="","",IFERROR(TODAY()+VLOOKUP(R4886,REGRAS!$B$2:$C$13,2,0),""))</f>
        <v/>
      </c>
    </row>
    <row r="4887">
      <c r="T4887" s="258">
        <f>IF(R4887="","",IFERROR(TODAY()+VLOOKUP(R4887,REGRAS!$B$2:$C$13,2,0),""))</f>
        <v/>
      </c>
    </row>
    <row r="4888">
      <c r="T4888" s="258">
        <f>IF(R4888="","",IFERROR(TODAY()+VLOOKUP(R4888,REGRAS!$B$2:$C$13,2,0),""))</f>
        <v/>
      </c>
    </row>
    <row r="4889">
      <c r="T4889" s="258">
        <f>IF(R4889="","",IFERROR(TODAY()+VLOOKUP(R4889,REGRAS!$B$2:$C$13,2,0),""))</f>
        <v/>
      </c>
    </row>
    <row r="4890">
      <c r="T4890" s="258">
        <f>IF(R4890="","",IFERROR(TODAY()+VLOOKUP(R4890,REGRAS!$B$2:$C$13,2,0),""))</f>
        <v/>
      </c>
    </row>
    <row r="4891">
      <c r="T4891" s="258">
        <f>IF(R4891="","",IFERROR(TODAY()+VLOOKUP(R4891,REGRAS!$B$2:$C$13,2,0),""))</f>
        <v/>
      </c>
    </row>
    <row r="4892">
      <c r="T4892" s="258">
        <f>IF(R4892="","",IFERROR(TODAY()+VLOOKUP(R4892,REGRAS!$B$2:$C$13,2,0),""))</f>
        <v/>
      </c>
    </row>
    <row r="4893">
      <c r="T4893" s="258">
        <f>IF(R4893="","",IFERROR(TODAY()+VLOOKUP(R4893,REGRAS!$B$2:$C$13,2,0),""))</f>
        <v/>
      </c>
    </row>
    <row r="4894">
      <c r="T4894" s="258">
        <f>IF(R4894="","",IFERROR(TODAY()+VLOOKUP(R4894,REGRAS!$B$2:$C$13,2,0),""))</f>
        <v/>
      </c>
    </row>
    <row r="4895">
      <c r="T4895" s="258">
        <f>IF(R4895="","",IFERROR(TODAY()+VLOOKUP(R4895,REGRAS!$B$2:$C$13,2,0),""))</f>
        <v/>
      </c>
    </row>
    <row r="4896">
      <c r="T4896" s="258">
        <f>IF(R4896="","",IFERROR(TODAY()+VLOOKUP(R4896,REGRAS!$B$2:$C$13,2,0),""))</f>
        <v/>
      </c>
    </row>
    <row r="4897">
      <c r="T4897" s="258">
        <f>IF(R4897="","",IFERROR(TODAY()+VLOOKUP(R4897,REGRAS!$B$2:$C$13,2,0),""))</f>
        <v/>
      </c>
    </row>
    <row r="4898">
      <c r="T4898" s="258">
        <f>IF(R4898="","",IFERROR(TODAY()+VLOOKUP(R4898,REGRAS!$B$2:$C$13,2,0),""))</f>
        <v/>
      </c>
    </row>
    <row r="4899">
      <c r="T4899" s="258">
        <f>IF(R4899="","",IFERROR(TODAY()+VLOOKUP(R4899,REGRAS!$B$2:$C$13,2,0),""))</f>
        <v/>
      </c>
    </row>
    <row r="4900">
      <c r="T4900" s="258">
        <f>IF(R4900="","",IFERROR(TODAY()+VLOOKUP(R4900,REGRAS!$B$2:$C$13,2,0),""))</f>
        <v/>
      </c>
    </row>
    <row r="4901">
      <c r="T4901" s="258">
        <f>IF(R4901="","",IFERROR(TODAY()+VLOOKUP(R4901,REGRAS!$B$2:$C$13,2,0),""))</f>
        <v/>
      </c>
    </row>
    <row r="4902">
      <c r="T4902" s="258">
        <f>IF(R4902="","",IFERROR(TODAY()+VLOOKUP(R4902,REGRAS!$B$2:$C$13,2,0),""))</f>
        <v/>
      </c>
    </row>
    <row r="4903">
      <c r="T4903" s="258">
        <f>IF(R4903="","",IFERROR(TODAY()+VLOOKUP(R4903,REGRAS!$B$2:$C$13,2,0),""))</f>
        <v/>
      </c>
    </row>
    <row r="4904">
      <c r="T4904" s="258">
        <f>IF(R4904="","",IFERROR(TODAY()+VLOOKUP(R4904,REGRAS!$B$2:$C$13,2,0),""))</f>
        <v/>
      </c>
    </row>
    <row r="4905">
      <c r="T4905" s="258">
        <f>IF(R4905="","",IFERROR(TODAY()+VLOOKUP(R4905,REGRAS!$B$2:$C$13,2,0),""))</f>
        <v/>
      </c>
    </row>
    <row r="4906">
      <c r="T4906" s="258">
        <f>IF(R4906="","",IFERROR(TODAY()+VLOOKUP(R4906,REGRAS!$B$2:$C$13,2,0),""))</f>
        <v/>
      </c>
    </row>
    <row r="4907">
      <c r="T4907" s="258">
        <f>IF(R4907="","",IFERROR(TODAY()+VLOOKUP(R4907,REGRAS!$B$2:$C$13,2,0),""))</f>
        <v/>
      </c>
    </row>
    <row r="4908">
      <c r="T4908" s="258">
        <f>IF(R4908="","",IFERROR(TODAY()+VLOOKUP(R4908,REGRAS!$B$2:$C$13,2,0),""))</f>
        <v/>
      </c>
    </row>
    <row r="4909">
      <c r="T4909" s="258">
        <f>IF(R4909="","",IFERROR(TODAY()+VLOOKUP(R4909,REGRAS!$B$2:$C$13,2,0),""))</f>
        <v/>
      </c>
    </row>
    <row r="4910">
      <c r="T4910" s="258">
        <f>IF(R4910="","",IFERROR(TODAY()+VLOOKUP(R4910,REGRAS!$B$2:$C$13,2,0),""))</f>
        <v/>
      </c>
    </row>
    <row r="4911">
      <c r="T4911" s="258">
        <f>IF(R4911="","",IFERROR(TODAY()+VLOOKUP(R4911,REGRAS!$B$2:$C$13,2,0),""))</f>
        <v/>
      </c>
    </row>
    <row r="4912">
      <c r="T4912" s="258">
        <f>IF(R4912="","",IFERROR(TODAY()+VLOOKUP(R4912,REGRAS!$B$2:$C$13,2,0),""))</f>
        <v/>
      </c>
    </row>
    <row r="4913">
      <c r="T4913" s="258">
        <f>IF(R4913="","",IFERROR(TODAY()+VLOOKUP(R4913,REGRAS!$B$2:$C$13,2,0),""))</f>
        <v/>
      </c>
    </row>
    <row r="4914">
      <c r="T4914" s="258">
        <f>IF(R4914="","",IFERROR(TODAY()+VLOOKUP(R4914,REGRAS!$B$2:$C$13,2,0),""))</f>
        <v/>
      </c>
    </row>
    <row r="4915">
      <c r="T4915" s="258">
        <f>IF(R4915="","",IFERROR(TODAY()+VLOOKUP(R4915,REGRAS!$B$2:$C$13,2,0),""))</f>
        <v/>
      </c>
    </row>
    <row r="4916">
      <c r="T4916" s="258">
        <f>IF(R4916="","",IFERROR(TODAY()+VLOOKUP(R4916,REGRAS!$B$2:$C$13,2,0),""))</f>
        <v/>
      </c>
    </row>
    <row r="4917">
      <c r="T4917" s="258">
        <f>IF(R4917="","",IFERROR(TODAY()+VLOOKUP(R4917,REGRAS!$B$2:$C$13,2,0),""))</f>
        <v/>
      </c>
    </row>
    <row r="4918">
      <c r="T4918" s="258">
        <f>IF(R4918="","",IFERROR(TODAY()+VLOOKUP(R4918,REGRAS!$B$2:$C$13,2,0),""))</f>
        <v/>
      </c>
    </row>
    <row r="4919">
      <c r="T4919" s="258">
        <f>IF(R4919="","",IFERROR(TODAY()+VLOOKUP(R4919,REGRAS!$B$2:$C$13,2,0),""))</f>
        <v/>
      </c>
    </row>
    <row r="4920">
      <c r="T4920" s="258">
        <f>IF(R4920="","",IFERROR(TODAY()+VLOOKUP(R4920,REGRAS!$B$2:$C$13,2,0),""))</f>
        <v/>
      </c>
    </row>
    <row r="4921">
      <c r="T4921" s="258">
        <f>IF(R4921="","",IFERROR(TODAY()+VLOOKUP(R4921,REGRAS!$B$2:$C$13,2,0),""))</f>
        <v/>
      </c>
    </row>
    <row r="4922">
      <c r="T4922" s="258">
        <f>IF(R4922="","",IFERROR(TODAY()+VLOOKUP(R4922,REGRAS!$B$2:$C$13,2,0),""))</f>
        <v/>
      </c>
    </row>
    <row r="4923">
      <c r="T4923" s="258">
        <f>IF(R4923="","",IFERROR(TODAY()+VLOOKUP(R4923,REGRAS!$B$2:$C$13,2,0),""))</f>
        <v/>
      </c>
    </row>
    <row r="4924">
      <c r="T4924" s="258">
        <f>IF(R4924="","",IFERROR(TODAY()+VLOOKUP(R4924,REGRAS!$B$2:$C$13,2,0),""))</f>
        <v/>
      </c>
    </row>
    <row r="4925">
      <c r="T4925" s="258">
        <f>IF(R4925="","",IFERROR(TODAY()+VLOOKUP(R4925,REGRAS!$B$2:$C$13,2,0),""))</f>
        <v/>
      </c>
    </row>
    <row r="4926">
      <c r="T4926" s="258">
        <f>IF(R4926="","",IFERROR(TODAY()+VLOOKUP(R4926,REGRAS!$B$2:$C$13,2,0),""))</f>
        <v/>
      </c>
    </row>
    <row r="4927">
      <c r="T4927" s="258">
        <f>IF(R4927="","",IFERROR(TODAY()+VLOOKUP(R4927,REGRAS!$B$2:$C$13,2,0),""))</f>
        <v/>
      </c>
    </row>
    <row r="4928">
      <c r="T4928" s="258">
        <f>IF(R4928="","",IFERROR(TODAY()+VLOOKUP(R4928,REGRAS!$B$2:$C$13,2,0),""))</f>
        <v/>
      </c>
    </row>
    <row r="4929">
      <c r="T4929" s="258">
        <f>IF(R4929="","",IFERROR(TODAY()+VLOOKUP(R4929,REGRAS!$B$2:$C$13,2,0),""))</f>
        <v/>
      </c>
    </row>
    <row r="4930">
      <c r="T4930" s="258">
        <f>IF(R4930="","",IFERROR(TODAY()+VLOOKUP(R4930,REGRAS!$B$2:$C$13,2,0),""))</f>
        <v/>
      </c>
    </row>
    <row r="4931">
      <c r="T4931" s="258">
        <f>IF(R4931="","",IFERROR(TODAY()+VLOOKUP(R4931,REGRAS!$B$2:$C$13,2,0),""))</f>
        <v/>
      </c>
    </row>
    <row r="4932">
      <c r="T4932" s="258">
        <f>IF(R4932="","",IFERROR(TODAY()+VLOOKUP(R4932,REGRAS!$B$2:$C$13,2,0),""))</f>
        <v/>
      </c>
    </row>
    <row r="4933">
      <c r="T4933" s="258">
        <f>IF(R4933="","",IFERROR(TODAY()+VLOOKUP(R4933,REGRAS!$B$2:$C$13,2,0),""))</f>
        <v/>
      </c>
    </row>
    <row r="4934">
      <c r="T4934" s="258">
        <f>IF(R4934="","",IFERROR(TODAY()+VLOOKUP(R4934,REGRAS!$B$2:$C$13,2,0),""))</f>
        <v/>
      </c>
    </row>
    <row r="4935">
      <c r="T4935" s="258">
        <f>IF(R4935="","",IFERROR(TODAY()+VLOOKUP(R4935,REGRAS!$B$2:$C$13,2,0),""))</f>
        <v/>
      </c>
    </row>
    <row r="4936">
      <c r="T4936" s="258">
        <f>IF(R4936="","",IFERROR(TODAY()+VLOOKUP(R4936,REGRAS!$B$2:$C$13,2,0),""))</f>
        <v/>
      </c>
    </row>
    <row r="4937">
      <c r="T4937" s="258">
        <f>IF(R4937="","",IFERROR(TODAY()+VLOOKUP(R4937,REGRAS!$B$2:$C$13,2,0),""))</f>
        <v/>
      </c>
    </row>
    <row r="4938">
      <c r="T4938" s="258">
        <f>IF(R4938="","",IFERROR(TODAY()+VLOOKUP(R4938,REGRAS!$B$2:$C$13,2,0),""))</f>
        <v/>
      </c>
    </row>
    <row r="4939">
      <c r="T4939" s="258">
        <f>IF(R4939="","",IFERROR(TODAY()+VLOOKUP(R4939,REGRAS!$B$2:$C$13,2,0),""))</f>
        <v/>
      </c>
    </row>
    <row r="4940">
      <c r="T4940" s="258">
        <f>IF(R4940="","",IFERROR(TODAY()+VLOOKUP(R4940,REGRAS!$B$2:$C$13,2,0),""))</f>
        <v/>
      </c>
    </row>
    <row r="4941">
      <c r="T4941" s="258">
        <f>IF(R4941="","",IFERROR(TODAY()+VLOOKUP(R4941,REGRAS!$B$2:$C$13,2,0),""))</f>
        <v/>
      </c>
    </row>
    <row r="4942">
      <c r="T4942" s="258">
        <f>IF(R4942="","",IFERROR(TODAY()+VLOOKUP(R4942,REGRAS!$B$2:$C$13,2,0),""))</f>
        <v/>
      </c>
    </row>
    <row r="4943">
      <c r="T4943" s="258">
        <f>IF(R4943="","",IFERROR(TODAY()+VLOOKUP(R4943,REGRAS!$B$2:$C$13,2,0),""))</f>
        <v/>
      </c>
    </row>
    <row r="4944">
      <c r="T4944" s="258">
        <f>IF(R4944="","",IFERROR(TODAY()+VLOOKUP(R4944,REGRAS!$B$2:$C$13,2,0),""))</f>
        <v/>
      </c>
    </row>
    <row r="4945">
      <c r="T4945" s="258">
        <f>IF(R4945="","",IFERROR(TODAY()+VLOOKUP(R4945,REGRAS!$B$2:$C$13,2,0),""))</f>
        <v/>
      </c>
    </row>
    <row r="4946">
      <c r="T4946" s="258">
        <f>IF(R4946="","",IFERROR(TODAY()+VLOOKUP(R4946,REGRAS!$B$2:$C$13,2,0),""))</f>
        <v/>
      </c>
    </row>
    <row r="4947">
      <c r="T4947" s="258">
        <f>IF(R4947="","",IFERROR(TODAY()+VLOOKUP(R4947,REGRAS!$B$2:$C$13,2,0),""))</f>
        <v/>
      </c>
    </row>
    <row r="4948">
      <c r="T4948" s="258">
        <f>IF(R4948="","",IFERROR(TODAY()+VLOOKUP(R4948,REGRAS!$B$2:$C$13,2,0),""))</f>
        <v/>
      </c>
    </row>
    <row r="4949">
      <c r="T4949" s="258">
        <f>IF(R4949="","",IFERROR(TODAY()+VLOOKUP(R4949,REGRAS!$B$2:$C$13,2,0),""))</f>
        <v/>
      </c>
    </row>
    <row r="4950">
      <c r="T4950" s="258">
        <f>IF(R4950="","",IFERROR(TODAY()+VLOOKUP(R4950,REGRAS!$B$2:$C$13,2,0),""))</f>
        <v/>
      </c>
    </row>
    <row r="4951">
      <c r="T4951" s="258">
        <f>IF(R4951="","",IFERROR(TODAY()+VLOOKUP(R4951,REGRAS!$B$2:$C$13,2,0),""))</f>
        <v/>
      </c>
    </row>
    <row r="4952">
      <c r="T4952" s="258">
        <f>IF(R4952="","",IFERROR(TODAY()+VLOOKUP(R4952,REGRAS!$B$2:$C$13,2,0),""))</f>
        <v/>
      </c>
    </row>
    <row r="4953">
      <c r="T4953" s="258">
        <f>IF(R4953="","",IFERROR(TODAY()+VLOOKUP(R4953,REGRAS!$B$2:$C$13,2,0),""))</f>
        <v/>
      </c>
    </row>
    <row r="4954">
      <c r="T4954" s="258">
        <f>IF(R4954="","",IFERROR(TODAY()+VLOOKUP(R4954,REGRAS!$B$2:$C$13,2,0),""))</f>
        <v/>
      </c>
    </row>
    <row r="4955">
      <c r="T4955" s="258">
        <f>IF(R4955="","",IFERROR(TODAY()+VLOOKUP(R4955,REGRAS!$B$2:$C$13,2,0),""))</f>
        <v/>
      </c>
    </row>
    <row r="4956">
      <c r="T4956" s="258">
        <f>IF(R4956="","",IFERROR(TODAY()+VLOOKUP(R4956,REGRAS!$B$2:$C$13,2,0),""))</f>
        <v/>
      </c>
    </row>
    <row r="4957">
      <c r="T4957" s="258">
        <f>IF(R4957="","",IFERROR(TODAY()+VLOOKUP(R4957,REGRAS!$B$2:$C$13,2,0),""))</f>
        <v/>
      </c>
    </row>
    <row r="4958">
      <c r="T4958" s="258">
        <f>IF(R4958="","",IFERROR(TODAY()+VLOOKUP(R4958,REGRAS!$B$2:$C$13,2,0),""))</f>
        <v/>
      </c>
    </row>
    <row r="4959">
      <c r="T4959" s="258">
        <f>IF(R4959="","",IFERROR(TODAY()+VLOOKUP(R4959,REGRAS!$B$2:$C$13,2,0),""))</f>
        <v/>
      </c>
    </row>
    <row r="4960">
      <c r="T4960" s="258">
        <f>IF(R4960="","",IFERROR(TODAY()+VLOOKUP(R4960,REGRAS!$B$2:$C$13,2,0),""))</f>
        <v/>
      </c>
    </row>
    <row r="4961">
      <c r="T4961" s="258">
        <f>IF(R4961="","",IFERROR(TODAY()+VLOOKUP(R4961,REGRAS!$B$2:$C$13,2,0),""))</f>
        <v/>
      </c>
    </row>
    <row r="4962">
      <c r="T4962" s="258">
        <f>IF(R4962="","",IFERROR(TODAY()+VLOOKUP(R4962,REGRAS!$B$2:$C$13,2,0),""))</f>
        <v/>
      </c>
    </row>
    <row r="4963">
      <c r="T4963" s="258">
        <f>IF(R4963="","",IFERROR(TODAY()+VLOOKUP(R4963,REGRAS!$B$2:$C$13,2,0),""))</f>
        <v/>
      </c>
    </row>
    <row r="4964">
      <c r="T4964" s="258">
        <f>IF(R4964="","",IFERROR(TODAY()+VLOOKUP(R4964,REGRAS!$B$2:$C$13,2,0),""))</f>
        <v/>
      </c>
    </row>
    <row r="4965">
      <c r="T4965" s="258">
        <f>IF(R4965="","",IFERROR(TODAY()+VLOOKUP(R4965,REGRAS!$B$2:$C$13,2,0),""))</f>
        <v/>
      </c>
    </row>
    <row r="4966">
      <c r="T4966" s="258">
        <f>IF(R4966="","",IFERROR(TODAY()+VLOOKUP(R4966,REGRAS!$B$2:$C$13,2,0),""))</f>
        <v/>
      </c>
    </row>
    <row r="4967">
      <c r="T4967" s="258">
        <f>IF(R4967="","",IFERROR(TODAY()+VLOOKUP(R4967,REGRAS!$B$2:$C$13,2,0),""))</f>
        <v/>
      </c>
    </row>
    <row r="4968">
      <c r="T4968" s="258">
        <f>IF(R4968="","",IFERROR(TODAY()+VLOOKUP(R4968,REGRAS!$B$2:$C$13,2,0),""))</f>
        <v/>
      </c>
    </row>
    <row r="4969">
      <c r="T4969" s="258">
        <f>IF(R4969="","",IFERROR(TODAY()+VLOOKUP(R4969,REGRAS!$B$2:$C$13,2,0),""))</f>
        <v/>
      </c>
    </row>
    <row r="4970">
      <c r="T4970" s="258">
        <f>IF(R4970="","",IFERROR(TODAY()+VLOOKUP(R4970,REGRAS!$B$2:$C$13,2,0),""))</f>
        <v/>
      </c>
    </row>
    <row r="4971">
      <c r="T4971" s="258">
        <f>IF(R4971="","",IFERROR(TODAY()+VLOOKUP(R4971,REGRAS!$B$2:$C$13,2,0),""))</f>
        <v/>
      </c>
    </row>
    <row r="4972">
      <c r="T4972" s="258">
        <f>IF(R4972="","",IFERROR(TODAY()+VLOOKUP(R4972,REGRAS!$B$2:$C$13,2,0),""))</f>
        <v/>
      </c>
    </row>
    <row r="4973">
      <c r="T4973" s="258">
        <f>IF(R4973="","",IFERROR(TODAY()+VLOOKUP(R4973,REGRAS!$B$2:$C$13,2,0),""))</f>
        <v/>
      </c>
    </row>
    <row r="4974">
      <c r="T4974" s="258">
        <f>IF(R4974="","",IFERROR(TODAY()+VLOOKUP(R4974,REGRAS!$B$2:$C$13,2,0),""))</f>
        <v/>
      </c>
    </row>
    <row r="4975">
      <c r="T4975" s="258">
        <f>IF(R4975="","",IFERROR(TODAY()+VLOOKUP(R4975,REGRAS!$B$2:$C$13,2,0),""))</f>
        <v/>
      </c>
    </row>
    <row r="4976">
      <c r="T4976" s="258">
        <f>IF(R4976="","",IFERROR(TODAY()+VLOOKUP(R4976,REGRAS!$B$2:$C$13,2,0),""))</f>
        <v/>
      </c>
    </row>
    <row r="4977">
      <c r="T4977" s="258">
        <f>IF(R4977="","",IFERROR(TODAY()+VLOOKUP(R4977,REGRAS!$B$2:$C$13,2,0),""))</f>
        <v/>
      </c>
    </row>
    <row r="4978">
      <c r="T4978" s="258">
        <f>IF(R4978="","",IFERROR(TODAY()+VLOOKUP(R4978,REGRAS!$B$2:$C$13,2,0),""))</f>
        <v/>
      </c>
    </row>
    <row r="4979">
      <c r="T4979" s="258">
        <f>IF(R4979="","",IFERROR(TODAY()+VLOOKUP(R4979,REGRAS!$B$2:$C$13,2,0),""))</f>
        <v/>
      </c>
    </row>
    <row r="4980">
      <c r="T4980" s="258">
        <f>IF(R4980="","",IFERROR(TODAY()+VLOOKUP(R4980,REGRAS!$B$2:$C$13,2,0),""))</f>
        <v/>
      </c>
    </row>
    <row r="4981">
      <c r="T4981" s="258">
        <f>IF(R4981="","",IFERROR(TODAY()+VLOOKUP(R4981,REGRAS!$B$2:$C$13,2,0),""))</f>
        <v/>
      </c>
    </row>
    <row r="4982">
      <c r="T4982" s="258">
        <f>IF(R4982="","",IFERROR(TODAY()+VLOOKUP(R4982,REGRAS!$B$2:$C$13,2,0),""))</f>
        <v/>
      </c>
    </row>
    <row r="4983">
      <c r="T4983" s="258">
        <f>IF(R4983="","",IFERROR(TODAY()+VLOOKUP(R4983,REGRAS!$B$2:$C$13,2,0),""))</f>
        <v/>
      </c>
    </row>
    <row r="4984">
      <c r="T4984" s="258">
        <f>IF(R4984="","",IFERROR(TODAY()+VLOOKUP(R4984,REGRAS!$B$2:$C$13,2,0),""))</f>
        <v/>
      </c>
    </row>
    <row r="4985">
      <c r="T4985" s="258">
        <f>IF(R4985="","",IFERROR(TODAY()+VLOOKUP(R4985,REGRAS!$B$2:$C$13,2,0),""))</f>
        <v/>
      </c>
    </row>
    <row r="4986">
      <c r="T4986" s="258">
        <f>IF(R4986="","",IFERROR(TODAY()+VLOOKUP(R4986,REGRAS!$B$2:$C$13,2,0),""))</f>
        <v/>
      </c>
    </row>
    <row r="4987">
      <c r="T4987" s="258">
        <f>IF(R4987="","",IFERROR(TODAY()+VLOOKUP(R4987,REGRAS!$B$2:$C$13,2,0),""))</f>
        <v/>
      </c>
    </row>
    <row r="4988">
      <c r="T4988" s="258">
        <f>IF(R4988="","",IFERROR(TODAY()+VLOOKUP(R4988,REGRAS!$B$2:$C$13,2,0),""))</f>
        <v/>
      </c>
    </row>
    <row r="4989">
      <c r="T4989" s="258">
        <f>IF(R4989="","",IFERROR(TODAY()+VLOOKUP(R4989,REGRAS!$B$2:$C$13,2,0),""))</f>
        <v/>
      </c>
    </row>
    <row r="4990">
      <c r="T4990" s="258">
        <f>IF(R4990="","",IFERROR(TODAY()+VLOOKUP(R4990,REGRAS!$B$2:$C$13,2,0),""))</f>
        <v/>
      </c>
    </row>
    <row r="4991">
      <c r="T4991" s="258">
        <f>IF(R4991="","",IFERROR(TODAY()+VLOOKUP(R4991,REGRAS!$B$2:$C$13,2,0),""))</f>
        <v/>
      </c>
    </row>
    <row r="4992">
      <c r="T4992" s="258">
        <f>IF(R4992="","",IFERROR(TODAY()+VLOOKUP(R4992,REGRAS!$B$2:$C$13,2,0),""))</f>
        <v/>
      </c>
    </row>
    <row r="4993">
      <c r="T4993" s="258">
        <f>IF(R4993="","",IFERROR(TODAY()+VLOOKUP(R4993,REGRAS!$B$2:$C$13,2,0),""))</f>
        <v/>
      </c>
    </row>
    <row r="4994">
      <c r="T4994" s="258">
        <f>IF(R4994="","",IFERROR(TODAY()+VLOOKUP(R4994,REGRAS!$B$2:$C$13,2,0),""))</f>
        <v/>
      </c>
    </row>
    <row r="4995">
      <c r="T4995" s="258">
        <f>IF(R4995="","",IFERROR(TODAY()+VLOOKUP(R4995,REGRAS!$B$2:$C$13,2,0),""))</f>
        <v/>
      </c>
    </row>
    <row r="4996">
      <c r="T4996" s="258">
        <f>IF(R4996="","",IFERROR(TODAY()+VLOOKUP(R4996,REGRAS!$B$2:$C$13,2,0),""))</f>
        <v/>
      </c>
    </row>
    <row r="4997">
      <c r="T4997" s="258">
        <f>IF(R4997="","",IFERROR(TODAY()+VLOOKUP(R4997,REGRAS!$B$2:$C$13,2,0),""))</f>
        <v/>
      </c>
    </row>
    <row r="4998">
      <c r="T4998" s="258">
        <f>IF(R4998="","",IFERROR(TODAY()+VLOOKUP(R4998,REGRAS!$B$2:$C$13,2,0),""))</f>
        <v/>
      </c>
    </row>
    <row r="4999">
      <c r="T4999" s="258">
        <f>IF(R4999="","",IFERROR(TODAY()+VLOOKUP(R4999,REGRAS!$B$2:$C$13,2,0),""))</f>
        <v/>
      </c>
    </row>
    <row r="5000">
      <c r="T5000" s="258">
        <f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9">
    <dataValidation sqref="N5:N5000" showDropDown="0" showInputMessage="0" showErrorMessage="0" allowBlank="1" type="list">
      <formula1>"SIM,NÃO"</formula1>
    </dataValidation>
    <dataValidation sqref="O5:O5000" showDropDown="0" showInputMessage="0" showErrorMessage="0" allowBlank="1" type="list">
      <formula1>"SIM,NÃO"</formula1>
    </dataValidation>
    <dataValidation sqref="P5:P5000" showDropDown="0" showInputMessage="0" showErrorMessage="0" allowBlank="1" type="list">
      <formula1>"SIM,NÃO"</formula1>
    </dataValidation>
    <dataValidation sqref="R5:R5000" showDropDown="0" showInputMessage="0" showErrorMessage="0" allowBlank="1" type="list">
      <formula1>"EM ATENDIMENTO,ORÇAMENTO,CADASTRO,VENDA / PEDIDO,RELACIONAMENTO,FOLLOW UP 7,FOLLOW UP 15,SUPORTE,NÃO ATENDE,NÃO RESPONDE,PERDA / FECHOU LOJA"</formula1>
    </dataValidation>
    <dataValidation sqref="U5:U5000" showDropDown="0" showInputMessage="0" showErrorMessage="0" allowBlank="1" type="list">
      <formula1>"LIGAR,WHATSAPP,ENVIAR ORÇAMENTO,ENVIAR CATÁLOGO,REAGENDAR,VISITAR,AGUARDAR RETORNO,NENHUMA"</formula1>
    </dataValidation>
    <dataValidation sqref="W5:W5000" showDropDown="0" showInputMessage="0" showErrorMessage="0" allowBlank="1" type="list">
      <formula1>"SIM,NÃO"</formula1>
    </dataValidation>
    <dataValidation sqref="Q5:Q5000" showDropDown="0" showInputMessage="0" showErrorMessage="0" allowBlank="1" type="list">
      <formula1>REGRAS!$B$18:$B$24</formula1>
    </dataValidation>
    <dataValidation sqref="S5:S5000" showDropDown="0" showInputMessage="0" showErrorMessage="0" allowBlank="1" type="list">
      <formula1>REGRAS!$B$28:$B$37</formula1>
    </dataValidation>
    <dataValidation sqref="R5:R5000" showDropDown="0" showInputMessage="0" showErrorMessage="0" allowBlank="1" type="list">
      <formula1>REGRAS!$B$2:$B$13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S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style="117" min="1" max="1"/>
    <col width="12" customWidth="1" style="117" min="2" max="2"/>
    <col width="12" customWidth="1" style="117" min="3" max="3"/>
    <col width="12" customWidth="1" style="117" min="4" max="4"/>
    <col width="12" customWidth="1" style="117" min="5" max="5"/>
    <col width="12" customWidth="1" style="117" min="6" max="6"/>
    <col width="12" customWidth="1" style="117" min="7" max="7"/>
    <col width="12" customWidth="1" style="117" min="8" max="8"/>
    <col width="12" customWidth="1" style="117" min="9" max="9"/>
    <col width="12" customWidth="1" style="117" min="10" max="10"/>
    <col width="12" customWidth="1" style="117" min="11" max="11"/>
    <col width="12" customWidth="1" style="117" min="12" max="12"/>
    <col width="12" customWidth="1" style="117" min="13" max="13"/>
    <col width="12" customWidth="1" style="117" min="14" max="14"/>
    <col width="12" customWidth="1" style="117" min="15" max="15"/>
    <col width="12" customWidth="1" style="117" min="16" max="16"/>
    <col width="12" customWidth="1" style="117" min="17" max="17"/>
  </cols>
  <sheetData>
    <row r="1" ht="40" customHeight="1" s="117">
      <c r="A1" s="469" t="inlineStr">
        <is>
          <t>📊 DASHBOARD JARVIS CRM</t>
        </is>
      </c>
      <c r="B1" s="393" t="n"/>
      <c r="C1" s="393" t="n"/>
      <c r="D1" s="393" t="n"/>
      <c r="E1" s="393" t="n"/>
      <c r="F1" s="470" t="inlineStr">
        <is>
          <t>VITAO ALIMENTOS</t>
        </is>
      </c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</row>
    <row r="2" ht="15" customHeight="1" s="117">
      <c r="A2" s="393" t="n"/>
      <c r="B2" s="393" t="n"/>
      <c r="C2" s="393" t="n"/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</row>
    <row r="3" ht="28" customHeight="1" s="117">
      <c r="A3" s="471" t="inlineStr">
        <is>
          <t>FILTROS:</t>
        </is>
      </c>
      <c r="B3" s="472" t="inlineStr">
        <is>
          <t>Vendedor:</t>
        </is>
      </c>
      <c r="C3" s="473" t="inlineStr">
        <is>
          <t>TODOS</t>
        </is>
      </c>
      <c r="D3" s="472" t="inlineStr">
        <is>
          <t>Período:</t>
        </is>
      </c>
      <c r="E3" s="474" t="n">
        <v>46054</v>
      </c>
      <c r="F3" s="409" t="inlineStr">
        <is>
          <t>até</t>
        </is>
      </c>
      <c r="G3" s="474" t="n">
        <v>46081</v>
      </c>
      <c r="H3" s="393" t="n"/>
      <c r="I3" s="393" t="n"/>
      <c r="J3" s="393" t="n"/>
      <c r="K3" s="393" t="n"/>
      <c r="L3" s="393" t="n"/>
      <c r="M3" s="393" t="n"/>
      <c r="N3" s="393" t="n"/>
      <c r="O3" s="393" t="n"/>
      <c r="P3" s="393" t="n"/>
      <c r="Q3" s="393" t="n"/>
      <c r="R3" s="393" t="n"/>
      <c r="S3" s="393" t="n"/>
    </row>
    <row r="4" ht="15" customHeight="1" s="117">
      <c r="A4" s="393" t="n"/>
      <c r="B4" s="393" t="n"/>
      <c r="C4" s="393" t="n"/>
      <c r="D4" s="393" t="n"/>
      <c r="E4" s="393" t="n"/>
      <c r="F4" s="393" t="n"/>
      <c r="G4" s="393" t="n"/>
      <c r="H4" s="393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S4" s="393" t="n"/>
    </row>
    <row r="5" ht="18" customHeight="1" s="117">
      <c r="A5" s="393" t="n"/>
      <c r="B5" s="475" t="inlineStr">
        <is>
          <t>CONTATOS</t>
        </is>
      </c>
      <c r="C5" s="476" t="n"/>
      <c r="D5" s="477" t="inlineStr">
        <is>
          <t>VENDAS</t>
        </is>
      </c>
      <c r="E5" s="476" t="n"/>
      <c r="F5" s="478" t="inlineStr">
        <is>
          <t>ORÇAMENTOS</t>
        </is>
      </c>
      <c r="G5" s="476" t="n"/>
      <c r="H5" s="475" t="inlineStr">
        <is>
          <t>CADASTROS</t>
        </is>
      </c>
      <c r="I5" s="476" t="n"/>
      <c r="J5" s="477" t="inlineStr">
        <is>
          <t>% CONVERSÃO</t>
        </is>
      </c>
      <c r="K5" s="476" t="n"/>
      <c r="L5" s="479" t="inlineStr">
        <is>
          <t>NÃO ATENDE</t>
        </is>
      </c>
      <c r="M5" s="476" t="n"/>
      <c r="N5" s="393" t="n"/>
      <c r="O5" s="393" t="n"/>
      <c r="P5" s="393" t="n"/>
      <c r="Q5" s="393" t="n"/>
      <c r="R5" s="393" t="n"/>
      <c r="S5" s="393" t="n"/>
    </row>
    <row r="6" ht="40" customHeight="1" s="117">
      <c r="A6" s="393" t="n"/>
      <c r="B6" s="480">
        <f>COUNTA('DRAFT 2'!$A:$A)-1</f>
        <v/>
      </c>
      <c r="C6" s="476" t="n"/>
      <c r="D6" s="481">
        <f>COUNTIFS('DRAFT 2'!$R:$R,"VENDA / PEDIDO",'DRAFT 2'!$B:$B,IF($C$3="TODOS","*",$C$3),'DRAFT 2'!$A:$A,"&gt;="&amp;$E$3,'DRAFT 2'!$A:$A,"&lt;="&amp;$G$3)</f>
        <v/>
      </c>
      <c r="E6" s="476" t="n"/>
      <c r="F6" s="482">
        <f>COUNTIFS('DRAFT 2'!$R:$R,"ORÇAMENTO",'DRAFT 2'!$B:$B,IF($C$3="TODOS","*",$C$3),'DRAFT 2'!$A:$A,"&gt;="&amp;$E$3,'DRAFT 2'!$A:$A,"&lt;="&amp;$G$3)</f>
        <v/>
      </c>
      <c r="G6" s="476" t="n"/>
      <c r="H6" s="480">
        <f>COUNTIFS('DRAFT 2'!$R:$R,"CADASTRO",'DRAFT 2'!$B:$B,IF($C$3="TODOS","*",$C$3),'DRAFT 2'!$A:$A,"&gt;="&amp;$E$3,'DRAFT 2'!$A:$A,"&lt;="&amp;$G$3)</f>
        <v/>
      </c>
      <c r="I6" s="476" t="n"/>
      <c r="J6" s="483">
        <f>IFERROR(COUNTIFS('DRAFT 2'!$R:$R,"VENDA / PEDIDO",'DRAFT 2'!$B:$B,IF($C$3="TODOS","*",$C$3),'DRAFT 2'!$A:$A,"&gt;="&amp;$E$3,'DRAFT 2'!$A:$A,"&lt;="&amp;$G$3)/(COUNTA('DRAFT 2'!$A:$A)-1),0)</f>
        <v/>
      </c>
      <c r="K6" s="476" t="n"/>
      <c r="L6" s="484">
        <f>COUNTIFS('DRAFT 2'!$R:$R,"NÃO ATENDE",'DRAFT 2'!$B:$B,IF($C$3="TODOS","*",$C$3),'DRAFT 2'!$A:$A,"&gt;="&amp;$E$3,'DRAFT 2'!$A:$A,"&lt;="&amp;$G$3)+COUNTIFS('DRAFT 2'!$R:$R,"NÃO RESPONDE",'DRAFT 2'!$B:$B,IF($C$3="TODOS","*",$C$3),'DRAFT 2'!$A:$A,"&gt;="&amp;$E$3,'DRAFT 2'!$A:$A,"&lt;="&amp;$G$3)</f>
        <v/>
      </c>
      <c r="M6" s="476" t="n"/>
      <c r="N6" s="393" t="n"/>
      <c r="O6" s="393" t="n"/>
      <c r="P6" s="393" t="n"/>
      <c r="Q6" s="393" t="n"/>
      <c r="R6" s="393" t="n"/>
      <c r="S6" s="393" t="n"/>
    </row>
    <row r="7" ht="14" customHeight="1" s="117">
      <c r="A7" s="393" t="n"/>
      <c r="B7" s="485" t="inlineStr"/>
      <c r="C7" s="476" t="n"/>
      <c r="D7" s="486" t="inlineStr"/>
      <c r="E7" s="476" t="n"/>
      <c r="F7" s="487" t="inlineStr"/>
      <c r="G7" s="476" t="n"/>
      <c r="H7" s="485" t="inlineStr"/>
      <c r="I7" s="476" t="n"/>
      <c r="J7" s="486" t="inlineStr"/>
      <c r="K7" s="476" t="n"/>
      <c r="L7" s="488" t="inlineStr"/>
      <c r="M7" s="476" t="n"/>
      <c r="N7" s="393" t="n"/>
      <c r="O7" s="393" t="n"/>
      <c r="P7" s="393" t="n"/>
      <c r="Q7" s="393" t="n"/>
      <c r="R7" s="393" t="n"/>
      <c r="S7" s="393" t="n"/>
    </row>
    <row r="8" ht="15" customHeight="1" s="117">
      <c r="A8" s="393" t="n"/>
      <c r="B8" s="393" t="n"/>
      <c r="C8" s="393" t="n"/>
      <c r="D8" s="393" t="n"/>
      <c r="E8" s="393" t="n"/>
      <c r="F8" s="393" t="n"/>
      <c r="G8" s="393" t="n"/>
      <c r="H8" s="393" t="n"/>
      <c r="I8" s="393" t="n"/>
      <c r="J8" s="393" t="n"/>
      <c r="K8" s="393" t="n"/>
      <c r="L8" s="393" t="n"/>
      <c r="M8" s="393" t="n"/>
      <c r="N8" s="393" t="n"/>
      <c r="O8" s="393" t="n"/>
      <c r="P8" s="393" t="n"/>
      <c r="Q8" s="393" t="n"/>
      <c r="R8" s="393" t="n"/>
      <c r="S8" s="393" t="n"/>
    </row>
    <row r="9" ht="30" customHeight="1" s="117">
      <c r="A9" s="489" t="inlineStr">
        <is>
          <t xml:space="preserve">  TIPO DO CONTATO × RESULTADO</t>
        </is>
      </c>
      <c r="B9" s="490" t="n"/>
      <c r="C9" s="490" t="n"/>
      <c r="D9" s="490" t="n"/>
      <c r="E9" s="490" t="n"/>
      <c r="F9" s="490" t="n"/>
      <c r="G9" s="490" t="n"/>
      <c r="H9" s="490" t="n"/>
      <c r="I9" s="490" t="n"/>
      <c r="J9" s="490" t="n"/>
      <c r="K9" s="490" t="n"/>
      <c r="L9" s="490" t="n"/>
      <c r="M9" s="490" t="n"/>
      <c r="N9" s="393" t="n"/>
      <c r="O9" s="393" t="n"/>
      <c r="P9" s="393" t="n"/>
      <c r="Q9" s="393" t="n"/>
      <c r="R9" s="393" t="n"/>
      <c r="S9" s="393" t="n"/>
    </row>
    <row r="10" ht="28" customHeight="1" s="117">
      <c r="A10" s="491" t="inlineStr">
        <is>
          <t>TIPO DO CONTATO</t>
        </is>
      </c>
      <c r="B10" s="491" t="inlineStr">
        <is>
          <t>TOTAL</t>
        </is>
      </c>
      <c r="C10" s="491" t="inlineStr">
        <is>
          <t>ORÇAM.</t>
        </is>
      </c>
      <c r="D10" s="491" t="inlineStr">
        <is>
          <t>CADAST.</t>
        </is>
      </c>
      <c r="E10" s="491" t="inlineStr">
        <is>
          <t>RELAC.</t>
        </is>
      </c>
      <c r="F10" s="491" t="inlineStr">
        <is>
          <t>EM ATEND.</t>
        </is>
      </c>
      <c r="G10" s="491" t="inlineStr">
        <is>
          <t>SUPORTE</t>
        </is>
      </c>
      <c r="H10" s="491" t="inlineStr">
        <is>
          <t>VENDA</t>
        </is>
      </c>
      <c r="I10" s="491" t="inlineStr">
        <is>
          <t>Ñ ATENDE</t>
        </is>
      </c>
      <c r="J10" s="491" t="inlineStr">
        <is>
          <t>RECUSOU</t>
        </is>
      </c>
      <c r="K10" s="491" t="inlineStr">
        <is>
          <t>Ñ RESPOND.</t>
        </is>
      </c>
      <c r="L10" s="491" t="inlineStr">
        <is>
          <t>FECH.LOJA</t>
        </is>
      </c>
      <c r="M10" s="491" t="inlineStr">
        <is>
          <t>PERDA</t>
        </is>
      </c>
      <c r="N10" s="393" t="n"/>
      <c r="O10" s="393" t="n"/>
      <c r="P10" s="393" t="n"/>
      <c r="Q10" s="393" t="n"/>
      <c r="R10" s="393" t="n"/>
      <c r="S10" s="393" t="n"/>
    </row>
    <row r="11" ht="22" customHeight="1" s="117">
      <c r="A11" s="492" t="inlineStr">
        <is>
          <t>PROSPECÇÃO</t>
        </is>
      </c>
      <c r="B11" s="493">
        <f>SUM(C11:M11)</f>
        <v/>
      </c>
      <c r="C11" s="494">
        <f>COUNTIFS('DRAFT 2'!$Q:$Q,$A11,'DRAFT 2'!$R:$R,"ORÇAMENTO",'DRAFT 2'!$B:$B,IF($C$3="TODOS","*",$C$3),'DRAFT 2'!$A:$A,"&gt;="&amp;$E$3,'DRAFT 2'!$A:$A,"&lt;="&amp;$G$3)</f>
        <v/>
      </c>
      <c r="D11" s="494">
        <f>COUNTIFS('DRAFT 2'!$Q:$Q,$A11,'DRAFT 2'!$R:$R,"CADASTRO",'DRAFT 2'!$B:$B,IF($C$3="TODOS","*",$C$3),'DRAFT 2'!$A:$A,"&gt;="&amp;$E$3,'DRAFT 2'!$A:$A,"&lt;="&amp;$G$3)</f>
        <v/>
      </c>
      <c r="E11" s="494">
        <f>COUNTIFS('DRAFT 2'!$Q:$Q,$A11,'DRAFT 2'!$R:$R,"RELACIONAMENTO",'DRAFT 2'!$B:$B,IF($C$3="TODOS","*",$C$3),'DRAFT 2'!$A:$A,"&gt;="&amp;$E$3,'DRAFT 2'!$A:$A,"&lt;="&amp;$G$3)</f>
        <v/>
      </c>
      <c r="F11" s="494">
        <f>COUNTIFS('DRAFT 2'!$Q:$Q,$A11,'DRAFT 2'!$R:$R,"EM ATENDIMENTO",'DRAFT 2'!$B:$B,IF($C$3="TODOS","*",$C$3),'DRAFT 2'!$A:$A,"&gt;="&amp;$E$3,'DRAFT 2'!$A:$A,"&lt;="&amp;$G$3)</f>
        <v/>
      </c>
      <c r="G11" s="494">
        <f>COUNTIFS('DRAFT 2'!$Q:$Q,$A11,'DRAFT 2'!$R:$R,"SUPORTE",'DRAFT 2'!$B:$B,IF($C$3="TODOS","*",$C$3),'DRAFT 2'!$A:$A,"&gt;="&amp;$E$3,'DRAFT 2'!$A:$A,"&lt;="&amp;$G$3)</f>
        <v/>
      </c>
      <c r="H11" s="495">
        <f>COUNTIFS('DRAFT 2'!$Q:$Q,$A11,'DRAFT 2'!$R:$R,"VENDA / PEDIDO",'DRAFT 2'!$B:$B,IF($C$3="TODOS","*",$C$3),'DRAFT 2'!$A:$A,"&gt;="&amp;$E$3,'DRAFT 2'!$A:$A,"&lt;="&amp;$G$3)</f>
        <v/>
      </c>
      <c r="I11" s="496">
        <f>COUNTIFS('DRAFT 2'!$Q:$Q,$A11,'DRAFT 2'!$R:$R,"NÃO ATENDE",'DRAFT 2'!$B:$B,IF($C$3="TODOS","*",$C$3),'DRAFT 2'!$A:$A,"&gt;="&amp;$E$3,'DRAFT 2'!$A:$A,"&lt;="&amp;$G$3)</f>
        <v/>
      </c>
      <c r="J11" s="496">
        <f>COUNTIFS('DRAFT 2'!$Q:$Q,$A11,'DRAFT 2'!$R:$R,"RECUSOU LIGAÇÃO",'DRAFT 2'!$B:$B,IF($C$3="TODOS","*",$C$3),'DRAFT 2'!$A:$A,"&gt;="&amp;$E$3,'DRAFT 2'!$A:$A,"&lt;="&amp;$G$3)</f>
        <v/>
      </c>
      <c r="K11" s="496">
        <f>COUNTIFS('DRAFT 2'!$Q:$Q,$A11,'DRAFT 2'!$R:$R,"NÃO RESPONDE",'DRAFT 2'!$B:$B,IF($C$3="TODOS","*",$C$3),'DRAFT 2'!$A:$A,"&gt;="&amp;$E$3,'DRAFT 2'!$A:$A,"&lt;="&amp;$G$3)</f>
        <v/>
      </c>
      <c r="L11" s="496">
        <f>COUNTIFS('DRAFT 2'!$Q:$Q,$A11,'DRAFT 2'!$R:$R,"FECHANDO LOJA",'DRAFT 2'!$B:$B,IF($C$3="TODOS","*",$C$3),'DRAFT 2'!$A:$A,"&gt;="&amp;$E$3,'DRAFT 2'!$A:$A,"&lt;="&amp;$G$3)</f>
        <v/>
      </c>
      <c r="M11" s="496">
        <f>COUNTIFS('DRAFT 2'!$Q:$Q,$A11,'DRAFT 2'!$R:$R,"PERDA / FECHOU LOJA",'DRAFT 2'!$B:$B,IF($C$3="TODOS","*",$C$3),'DRAFT 2'!$A:$A,"&gt;="&amp;$E$3,'DRAFT 2'!$A:$A,"&lt;="&amp;$G$3)</f>
        <v/>
      </c>
      <c r="N11" s="393" t="n"/>
      <c r="O11" s="393" t="n"/>
      <c r="P11" s="393" t="n"/>
      <c r="Q11" s="393" t="n"/>
      <c r="R11" s="393" t="n"/>
      <c r="S11" s="393" t="n"/>
    </row>
    <row r="12" ht="22" customHeight="1" s="117">
      <c r="A12" s="497" t="inlineStr">
        <is>
          <t>NEGOCIAÇÃO</t>
        </is>
      </c>
      <c r="B12" s="498">
        <f>SUM(C12:M12)</f>
        <v/>
      </c>
      <c r="C12" s="499">
        <f>COUNTIFS('DRAFT 2'!$Q:$Q,$A12,'DRAFT 2'!$R:$R,"ORÇAMENTO",'DRAFT 2'!$B:$B,IF($C$3="TODOS","*",$C$3),'DRAFT 2'!$A:$A,"&gt;="&amp;$E$3,'DRAFT 2'!$A:$A,"&lt;="&amp;$G$3)</f>
        <v/>
      </c>
      <c r="D12" s="499">
        <f>COUNTIFS('DRAFT 2'!$Q:$Q,$A12,'DRAFT 2'!$R:$R,"CADASTRO",'DRAFT 2'!$B:$B,IF($C$3="TODOS","*",$C$3),'DRAFT 2'!$A:$A,"&gt;="&amp;$E$3,'DRAFT 2'!$A:$A,"&lt;="&amp;$G$3)</f>
        <v/>
      </c>
      <c r="E12" s="499">
        <f>COUNTIFS('DRAFT 2'!$Q:$Q,$A12,'DRAFT 2'!$R:$R,"RELACIONAMENTO",'DRAFT 2'!$B:$B,IF($C$3="TODOS","*",$C$3),'DRAFT 2'!$A:$A,"&gt;="&amp;$E$3,'DRAFT 2'!$A:$A,"&lt;="&amp;$G$3)</f>
        <v/>
      </c>
      <c r="F12" s="499">
        <f>COUNTIFS('DRAFT 2'!$Q:$Q,$A12,'DRAFT 2'!$R:$R,"EM ATENDIMENTO",'DRAFT 2'!$B:$B,IF($C$3="TODOS","*",$C$3),'DRAFT 2'!$A:$A,"&gt;="&amp;$E$3,'DRAFT 2'!$A:$A,"&lt;="&amp;$G$3)</f>
        <v/>
      </c>
      <c r="G12" s="499">
        <f>COUNTIFS('DRAFT 2'!$Q:$Q,$A12,'DRAFT 2'!$R:$R,"SUPORTE",'DRAFT 2'!$B:$B,IF($C$3="TODOS","*",$C$3),'DRAFT 2'!$A:$A,"&gt;="&amp;$E$3,'DRAFT 2'!$A:$A,"&lt;="&amp;$G$3)</f>
        <v/>
      </c>
      <c r="H12" s="500">
        <f>COUNTIFS('DRAFT 2'!$Q:$Q,$A12,'DRAFT 2'!$R:$R,"VENDA / PEDIDO",'DRAFT 2'!$B:$B,IF($C$3="TODOS","*",$C$3),'DRAFT 2'!$A:$A,"&gt;="&amp;$E$3,'DRAFT 2'!$A:$A,"&lt;="&amp;$G$3)</f>
        <v/>
      </c>
      <c r="I12" s="501">
        <f>COUNTIFS('DRAFT 2'!$Q:$Q,$A12,'DRAFT 2'!$R:$R,"NÃO ATENDE",'DRAFT 2'!$B:$B,IF($C$3="TODOS","*",$C$3),'DRAFT 2'!$A:$A,"&gt;="&amp;$E$3,'DRAFT 2'!$A:$A,"&lt;="&amp;$G$3)</f>
        <v/>
      </c>
      <c r="J12" s="501">
        <f>COUNTIFS('DRAFT 2'!$Q:$Q,$A12,'DRAFT 2'!$R:$R,"RECUSOU LIGAÇÃO",'DRAFT 2'!$B:$B,IF($C$3="TODOS","*",$C$3),'DRAFT 2'!$A:$A,"&gt;="&amp;$E$3,'DRAFT 2'!$A:$A,"&lt;="&amp;$G$3)</f>
        <v/>
      </c>
      <c r="K12" s="501">
        <f>COUNTIFS('DRAFT 2'!$Q:$Q,$A12,'DRAFT 2'!$R:$R,"NÃO RESPONDE",'DRAFT 2'!$B:$B,IF($C$3="TODOS","*",$C$3),'DRAFT 2'!$A:$A,"&gt;="&amp;$E$3,'DRAFT 2'!$A:$A,"&lt;="&amp;$G$3)</f>
        <v/>
      </c>
      <c r="L12" s="501">
        <f>COUNTIFS('DRAFT 2'!$Q:$Q,$A12,'DRAFT 2'!$R:$R,"FECHANDO LOJA",'DRAFT 2'!$B:$B,IF($C$3="TODOS","*",$C$3),'DRAFT 2'!$A:$A,"&gt;="&amp;$E$3,'DRAFT 2'!$A:$A,"&lt;="&amp;$G$3)</f>
        <v/>
      </c>
      <c r="M12" s="501">
        <f>COUNTIFS('DRAFT 2'!$Q:$Q,$A12,'DRAFT 2'!$R:$R,"PERDA / FECHOU LOJA",'DRAFT 2'!$B:$B,IF($C$3="TODOS","*",$C$3),'DRAFT 2'!$A:$A,"&gt;="&amp;$E$3,'DRAFT 2'!$A:$A,"&lt;="&amp;$G$3)</f>
        <v/>
      </c>
      <c r="N12" s="393" t="n"/>
      <c r="O12" s="393" t="n"/>
      <c r="P12" s="393" t="n"/>
      <c r="Q12" s="393" t="n"/>
      <c r="R12" s="393" t="n"/>
      <c r="S12" s="393" t="n"/>
    </row>
    <row r="13" ht="22" customHeight="1" s="117">
      <c r="A13" s="502" t="inlineStr">
        <is>
          <t>FOLLOW UP</t>
        </is>
      </c>
      <c r="B13" s="493">
        <f>SUM(C13:M13)</f>
        <v/>
      </c>
      <c r="C13" s="494">
        <f>COUNTIFS('DRAFT 2'!$Q:$Q,$A13,'DRAFT 2'!$R:$R,"ORÇAMENTO",'DRAFT 2'!$B:$B,IF($C$3="TODOS","*",$C$3),'DRAFT 2'!$A:$A,"&gt;="&amp;$E$3,'DRAFT 2'!$A:$A,"&lt;="&amp;$G$3)</f>
        <v/>
      </c>
      <c r="D13" s="494">
        <f>COUNTIFS('DRAFT 2'!$Q:$Q,$A13,'DRAFT 2'!$R:$R,"CADASTRO",'DRAFT 2'!$B:$B,IF($C$3="TODOS","*",$C$3),'DRAFT 2'!$A:$A,"&gt;="&amp;$E$3,'DRAFT 2'!$A:$A,"&lt;="&amp;$G$3)</f>
        <v/>
      </c>
      <c r="E13" s="494">
        <f>COUNTIFS('DRAFT 2'!$Q:$Q,$A13,'DRAFT 2'!$R:$R,"RELACIONAMENTO",'DRAFT 2'!$B:$B,IF($C$3="TODOS","*",$C$3),'DRAFT 2'!$A:$A,"&gt;="&amp;$E$3,'DRAFT 2'!$A:$A,"&lt;="&amp;$G$3)</f>
        <v/>
      </c>
      <c r="F13" s="494">
        <f>COUNTIFS('DRAFT 2'!$Q:$Q,$A13,'DRAFT 2'!$R:$R,"EM ATENDIMENTO",'DRAFT 2'!$B:$B,IF($C$3="TODOS","*",$C$3),'DRAFT 2'!$A:$A,"&gt;="&amp;$E$3,'DRAFT 2'!$A:$A,"&lt;="&amp;$G$3)</f>
        <v/>
      </c>
      <c r="G13" s="494">
        <f>COUNTIFS('DRAFT 2'!$Q:$Q,$A13,'DRAFT 2'!$R:$R,"SUPORTE",'DRAFT 2'!$B:$B,IF($C$3="TODOS","*",$C$3),'DRAFT 2'!$A:$A,"&gt;="&amp;$E$3,'DRAFT 2'!$A:$A,"&lt;="&amp;$G$3)</f>
        <v/>
      </c>
      <c r="H13" s="495">
        <f>COUNTIFS('DRAFT 2'!$Q:$Q,$A13,'DRAFT 2'!$R:$R,"VENDA / PEDIDO",'DRAFT 2'!$B:$B,IF($C$3="TODOS","*",$C$3),'DRAFT 2'!$A:$A,"&gt;="&amp;$E$3,'DRAFT 2'!$A:$A,"&lt;="&amp;$G$3)</f>
        <v/>
      </c>
      <c r="I13" s="496">
        <f>COUNTIFS('DRAFT 2'!$Q:$Q,$A13,'DRAFT 2'!$R:$R,"NÃO ATENDE",'DRAFT 2'!$B:$B,IF($C$3="TODOS","*",$C$3),'DRAFT 2'!$A:$A,"&gt;="&amp;$E$3,'DRAFT 2'!$A:$A,"&lt;="&amp;$G$3)</f>
        <v/>
      </c>
      <c r="J13" s="496">
        <f>COUNTIFS('DRAFT 2'!$Q:$Q,$A13,'DRAFT 2'!$R:$R,"RECUSOU LIGAÇÃO",'DRAFT 2'!$B:$B,IF($C$3="TODOS","*",$C$3),'DRAFT 2'!$A:$A,"&gt;="&amp;$E$3,'DRAFT 2'!$A:$A,"&lt;="&amp;$G$3)</f>
        <v/>
      </c>
      <c r="K13" s="496">
        <f>COUNTIFS('DRAFT 2'!$Q:$Q,$A13,'DRAFT 2'!$R:$R,"NÃO RESPONDE",'DRAFT 2'!$B:$B,IF($C$3="TODOS","*",$C$3),'DRAFT 2'!$A:$A,"&gt;="&amp;$E$3,'DRAFT 2'!$A:$A,"&lt;="&amp;$G$3)</f>
        <v/>
      </c>
      <c r="L13" s="496">
        <f>COUNTIFS('DRAFT 2'!$Q:$Q,$A13,'DRAFT 2'!$R:$R,"FECHANDO LOJA",'DRAFT 2'!$B:$B,IF($C$3="TODOS","*",$C$3),'DRAFT 2'!$A:$A,"&gt;="&amp;$E$3,'DRAFT 2'!$A:$A,"&lt;="&amp;$G$3)</f>
        <v/>
      </c>
      <c r="M13" s="496">
        <f>COUNTIFS('DRAFT 2'!$Q:$Q,$A13,'DRAFT 2'!$R:$R,"PERDA / FECHOU LOJA",'DRAFT 2'!$B:$B,IF($C$3="TODOS","*",$C$3),'DRAFT 2'!$A:$A,"&gt;="&amp;$E$3,'DRAFT 2'!$A:$A,"&lt;="&amp;$G$3)</f>
        <v/>
      </c>
      <c r="N13" s="393" t="n"/>
      <c r="O13" s="393" t="n"/>
      <c r="P13" s="393" t="n"/>
      <c r="Q13" s="393" t="n"/>
      <c r="R13" s="393" t="n"/>
      <c r="S13" s="393" t="n"/>
    </row>
    <row r="14" ht="22" customHeight="1" s="117">
      <c r="A14" s="503" t="inlineStr">
        <is>
          <t>ATEND. CLIENTES ATIVOS</t>
        </is>
      </c>
      <c r="B14" s="498">
        <f>SUM(C14:M14)</f>
        <v/>
      </c>
      <c r="C14" s="499">
        <f>COUNTIFS('DRAFT 2'!$Q:$Q,$A14,'DRAFT 2'!$R:$R,"ORÇAMENTO",'DRAFT 2'!$B:$B,IF($C$3="TODOS","*",$C$3),'DRAFT 2'!$A:$A,"&gt;="&amp;$E$3,'DRAFT 2'!$A:$A,"&lt;="&amp;$G$3)</f>
        <v/>
      </c>
      <c r="D14" s="499">
        <f>COUNTIFS('DRAFT 2'!$Q:$Q,$A14,'DRAFT 2'!$R:$R,"CADASTRO",'DRAFT 2'!$B:$B,IF($C$3="TODOS","*",$C$3),'DRAFT 2'!$A:$A,"&gt;="&amp;$E$3,'DRAFT 2'!$A:$A,"&lt;="&amp;$G$3)</f>
        <v/>
      </c>
      <c r="E14" s="499">
        <f>COUNTIFS('DRAFT 2'!$Q:$Q,$A14,'DRAFT 2'!$R:$R,"RELACIONAMENTO",'DRAFT 2'!$B:$B,IF($C$3="TODOS","*",$C$3),'DRAFT 2'!$A:$A,"&gt;="&amp;$E$3,'DRAFT 2'!$A:$A,"&lt;="&amp;$G$3)</f>
        <v/>
      </c>
      <c r="F14" s="499">
        <f>COUNTIFS('DRAFT 2'!$Q:$Q,$A14,'DRAFT 2'!$R:$R,"EM ATENDIMENTO",'DRAFT 2'!$B:$B,IF($C$3="TODOS","*",$C$3),'DRAFT 2'!$A:$A,"&gt;="&amp;$E$3,'DRAFT 2'!$A:$A,"&lt;="&amp;$G$3)</f>
        <v/>
      </c>
      <c r="G14" s="499">
        <f>COUNTIFS('DRAFT 2'!$Q:$Q,$A14,'DRAFT 2'!$R:$R,"SUPORTE",'DRAFT 2'!$B:$B,IF($C$3="TODOS","*",$C$3),'DRAFT 2'!$A:$A,"&gt;="&amp;$E$3,'DRAFT 2'!$A:$A,"&lt;="&amp;$G$3)</f>
        <v/>
      </c>
      <c r="H14" s="500">
        <f>COUNTIFS('DRAFT 2'!$Q:$Q,$A14,'DRAFT 2'!$R:$R,"VENDA / PEDIDO",'DRAFT 2'!$B:$B,IF($C$3="TODOS","*",$C$3),'DRAFT 2'!$A:$A,"&gt;="&amp;$E$3,'DRAFT 2'!$A:$A,"&lt;="&amp;$G$3)</f>
        <v/>
      </c>
      <c r="I14" s="501">
        <f>COUNTIFS('DRAFT 2'!$Q:$Q,$A14,'DRAFT 2'!$R:$R,"NÃO ATENDE",'DRAFT 2'!$B:$B,IF($C$3="TODOS","*",$C$3),'DRAFT 2'!$A:$A,"&gt;="&amp;$E$3,'DRAFT 2'!$A:$A,"&lt;="&amp;$G$3)</f>
        <v/>
      </c>
      <c r="J14" s="501">
        <f>COUNTIFS('DRAFT 2'!$Q:$Q,$A14,'DRAFT 2'!$R:$R,"RECUSOU LIGAÇÃO",'DRAFT 2'!$B:$B,IF($C$3="TODOS","*",$C$3),'DRAFT 2'!$A:$A,"&gt;="&amp;$E$3,'DRAFT 2'!$A:$A,"&lt;="&amp;$G$3)</f>
        <v/>
      </c>
      <c r="K14" s="501">
        <f>COUNTIFS('DRAFT 2'!$Q:$Q,$A14,'DRAFT 2'!$R:$R,"NÃO RESPONDE",'DRAFT 2'!$B:$B,IF($C$3="TODOS","*",$C$3),'DRAFT 2'!$A:$A,"&gt;="&amp;$E$3,'DRAFT 2'!$A:$A,"&lt;="&amp;$G$3)</f>
        <v/>
      </c>
      <c r="L14" s="501">
        <f>COUNTIFS('DRAFT 2'!$Q:$Q,$A14,'DRAFT 2'!$R:$R,"FECHANDO LOJA",'DRAFT 2'!$B:$B,IF($C$3="TODOS","*",$C$3),'DRAFT 2'!$A:$A,"&gt;="&amp;$E$3,'DRAFT 2'!$A:$A,"&lt;="&amp;$G$3)</f>
        <v/>
      </c>
      <c r="M14" s="501">
        <f>COUNTIFS('DRAFT 2'!$Q:$Q,$A14,'DRAFT 2'!$R:$R,"PERDA / FECHOU LOJA",'DRAFT 2'!$B:$B,IF($C$3="TODOS","*",$C$3),'DRAFT 2'!$A:$A,"&gt;="&amp;$E$3,'DRAFT 2'!$A:$A,"&lt;="&amp;$G$3)</f>
        <v/>
      </c>
      <c r="N14" s="393" t="n"/>
      <c r="O14" s="393" t="n"/>
      <c r="P14" s="393" t="n"/>
      <c r="Q14" s="393" t="n"/>
      <c r="R14" s="393" t="n"/>
      <c r="S14" s="393" t="n"/>
    </row>
    <row r="15" ht="22" customHeight="1" s="117">
      <c r="A15" s="504" t="inlineStr">
        <is>
          <t>ATEND. CLIENTES INATIVOS</t>
        </is>
      </c>
      <c r="B15" s="493">
        <f>SUM(C15:M15)</f>
        <v/>
      </c>
      <c r="C15" s="494">
        <f>COUNTIFS('DRAFT 2'!$Q:$Q,$A15,'DRAFT 2'!$R:$R,"ORÇAMENTO",'DRAFT 2'!$B:$B,IF($C$3="TODOS","*",$C$3),'DRAFT 2'!$A:$A,"&gt;="&amp;$E$3,'DRAFT 2'!$A:$A,"&lt;="&amp;$G$3)</f>
        <v/>
      </c>
      <c r="D15" s="494">
        <f>COUNTIFS('DRAFT 2'!$Q:$Q,$A15,'DRAFT 2'!$R:$R,"CADASTRO",'DRAFT 2'!$B:$B,IF($C$3="TODOS","*",$C$3),'DRAFT 2'!$A:$A,"&gt;="&amp;$E$3,'DRAFT 2'!$A:$A,"&lt;="&amp;$G$3)</f>
        <v/>
      </c>
      <c r="E15" s="494">
        <f>COUNTIFS('DRAFT 2'!$Q:$Q,$A15,'DRAFT 2'!$R:$R,"RELACIONAMENTO",'DRAFT 2'!$B:$B,IF($C$3="TODOS","*",$C$3),'DRAFT 2'!$A:$A,"&gt;="&amp;$E$3,'DRAFT 2'!$A:$A,"&lt;="&amp;$G$3)</f>
        <v/>
      </c>
      <c r="F15" s="494">
        <f>COUNTIFS('DRAFT 2'!$Q:$Q,$A15,'DRAFT 2'!$R:$R,"EM ATENDIMENTO",'DRAFT 2'!$B:$B,IF($C$3="TODOS","*",$C$3),'DRAFT 2'!$A:$A,"&gt;="&amp;$E$3,'DRAFT 2'!$A:$A,"&lt;="&amp;$G$3)</f>
        <v/>
      </c>
      <c r="G15" s="494">
        <f>COUNTIFS('DRAFT 2'!$Q:$Q,$A15,'DRAFT 2'!$R:$R,"SUPORTE",'DRAFT 2'!$B:$B,IF($C$3="TODOS","*",$C$3),'DRAFT 2'!$A:$A,"&gt;="&amp;$E$3,'DRAFT 2'!$A:$A,"&lt;="&amp;$G$3)</f>
        <v/>
      </c>
      <c r="H15" s="495">
        <f>COUNTIFS('DRAFT 2'!$Q:$Q,$A15,'DRAFT 2'!$R:$R,"VENDA / PEDIDO",'DRAFT 2'!$B:$B,IF($C$3="TODOS","*",$C$3),'DRAFT 2'!$A:$A,"&gt;="&amp;$E$3,'DRAFT 2'!$A:$A,"&lt;="&amp;$G$3)</f>
        <v/>
      </c>
      <c r="I15" s="496">
        <f>COUNTIFS('DRAFT 2'!$Q:$Q,$A15,'DRAFT 2'!$R:$R,"NÃO ATENDE",'DRAFT 2'!$B:$B,IF($C$3="TODOS","*",$C$3),'DRAFT 2'!$A:$A,"&gt;="&amp;$E$3,'DRAFT 2'!$A:$A,"&lt;="&amp;$G$3)</f>
        <v/>
      </c>
      <c r="J15" s="496">
        <f>COUNTIFS('DRAFT 2'!$Q:$Q,$A15,'DRAFT 2'!$R:$R,"RECUSOU LIGAÇÃO",'DRAFT 2'!$B:$B,IF($C$3="TODOS","*",$C$3),'DRAFT 2'!$A:$A,"&gt;="&amp;$E$3,'DRAFT 2'!$A:$A,"&lt;="&amp;$G$3)</f>
        <v/>
      </c>
      <c r="K15" s="496">
        <f>COUNTIFS('DRAFT 2'!$Q:$Q,$A15,'DRAFT 2'!$R:$R,"NÃO RESPONDE",'DRAFT 2'!$B:$B,IF($C$3="TODOS","*",$C$3),'DRAFT 2'!$A:$A,"&gt;="&amp;$E$3,'DRAFT 2'!$A:$A,"&lt;="&amp;$G$3)</f>
        <v/>
      </c>
      <c r="L15" s="496">
        <f>COUNTIFS('DRAFT 2'!$Q:$Q,$A15,'DRAFT 2'!$R:$R,"FECHANDO LOJA",'DRAFT 2'!$B:$B,IF($C$3="TODOS","*",$C$3),'DRAFT 2'!$A:$A,"&gt;="&amp;$E$3,'DRAFT 2'!$A:$A,"&lt;="&amp;$G$3)</f>
        <v/>
      </c>
      <c r="M15" s="496">
        <f>COUNTIFS('DRAFT 2'!$Q:$Q,$A15,'DRAFT 2'!$R:$R,"PERDA / FECHOU LOJA",'DRAFT 2'!$B:$B,IF($C$3="TODOS","*",$C$3),'DRAFT 2'!$A:$A,"&gt;="&amp;$E$3,'DRAFT 2'!$A:$A,"&lt;="&amp;$G$3)</f>
        <v/>
      </c>
      <c r="N15" s="393" t="n"/>
      <c r="O15" s="393" t="n"/>
      <c r="P15" s="393" t="n"/>
      <c r="Q15" s="393" t="n"/>
      <c r="R15" s="393" t="n"/>
      <c r="S15" s="393" t="n"/>
    </row>
    <row r="16" ht="22" customHeight="1" s="117">
      <c r="A16" s="503" t="inlineStr">
        <is>
          <t>PÓS-VENDA / RELACIONAMENTO</t>
        </is>
      </c>
      <c r="B16" s="498">
        <f>SUM(C16:M16)</f>
        <v/>
      </c>
      <c r="C16" s="499">
        <f>COUNTIFS('DRAFT 2'!$Q:$Q,$A16,'DRAFT 2'!$R:$R,"ORÇAMENTO",'DRAFT 2'!$B:$B,IF($C$3="TODOS","*",$C$3),'DRAFT 2'!$A:$A,"&gt;="&amp;$E$3,'DRAFT 2'!$A:$A,"&lt;="&amp;$G$3)</f>
        <v/>
      </c>
      <c r="D16" s="499">
        <f>COUNTIFS('DRAFT 2'!$Q:$Q,$A16,'DRAFT 2'!$R:$R,"CADASTRO",'DRAFT 2'!$B:$B,IF($C$3="TODOS","*",$C$3),'DRAFT 2'!$A:$A,"&gt;="&amp;$E$3,'DRAFT 2'!$A:$A,"&lt;="&amp;$G$3)</f>
        <v/>
      </c>
      <c r="E16" s="499">
        <f>COUNTIFS('DRAFT 2'!$Q:$Q,$A16,'DRAFT 2'!$R:$R,"RELACIONAMENTO",'DRAFT 2'!$B:$B,IF($C$3="TODOS","*",$C$3),'DRAFT 2'!$A:$A,"&gt;="&amp;$E$3,'DRAFT 2'!$A:$A,"&lt;="&amp;$G$3)</f>
        <v/>
      </c>
      <c r="F16" s="499">
        <f>COUNTIFS('DRAFT 2'!$Q:$Q,$A16,'DRAFT 2'!$R:$R,"EM ATENDIMENTO",'DRAFT 2'!$B:$B,IF($C$3="TODOS","*",$C$3),'DRAFT 2'!$A:$A,"&gt;="&amp;$E$3,'DRAFT 2'!$A:$A,"&lt;="&amp;$G$3)</f>
        <v/>
      </c>
      <c r="G16" s="499">
        <f>COUNTIFS('DRAFT 2'!$Q:$Q,$A16,'DRAFT 2'!$R:$R,"SUPORTE",'DRAFT 2'!$B:$B,IF($C$3="TODOS","*",$C$3),'DRAFT 2'!$A:$A,"&gt;="&amp;$E$3,'DRAFT 2'!$A:$A,"&lt;="&amp;$G$3)</f>
        <v/>
      </c>
      <c r="H16" s="500">
        <f>COUNTIFS('DRAFT 2'!$Q:$Q,$A16,'DRAFT 2'!$R:$R,"VENDA / PEDIDO",'DRAFT 2'!$B:$B,IF($C$3="TODOS","*",$C$3),'DRAFT 2'!$A:$A,"&gt;="&amp;$E$3,'DRAFT 2'!$A:$A,"&lt;="&amp;$G$3)</f>
        <v/>
      </c>
      <c r="I16" s="501">
        <f>COUNTIFS('DRAFT 2'!$Q:$Q,$A16,'DRAFT 2'!$R:$R,"NÃO ATENDE",'DRAFT 2'!$B:$B,IF($C$3="TODOS","*",$C$3),'DRAFT 2'!$A:$A,"&gt;="&amp;$E$3,'DRAFT 2'!$A:$A,"&lt;="&amp;$G$3)</f>
        <v/>
      </c>
      <c r="J16" s="501">
        <f>COUNTIFS('DRAFT 2'!$Q:$Q,$A16,'DRAFT 2'!$R:$R,"RECUSOU LIGAÇÃO",'DRAFT 2'!$B:$B,IF($C$3="TODOS","*",$C$3),'DRAFT 2'!$A:$A,"&gt;="&amp;$E$3,'DRAFT 2'!$A:$A,"&lt;="&amp;$G$3)</f>
        <v/>
      </c>
      <c r="K16" s="501">
        <f>COUNTIFS('DRAFT 2'!$Q:$Q,$A16,'DRAFT 2'!$R:$R,"NÃO RESPONDE",'DRAFT 2'!$B:$B,IF($C$3="TODOS","*",$C$3),'DRAFT 2'!$A:$A,"&gt;="&amp;$E$3,'DRAFT 2'!$A:$A,"&lt;="&amp;$G$3)</f>
        <v/>
      </c>
      <c r="L16" s="501">
        <f>COUNTIFS('DRAFT 2'!$Q:$Q,$A16,'DRAFT 2'!$R:$R,"FECHANDO LOJA",'DRAFT 2'!$B:$B,IF($C$3="TODOS","*",$C$3),'DRAFT 2'!$A:$A,"&gt;="&amp;$E$3,'DRAFT 2'!$A:$A,"&lt;="&amp;$G$3)</f>
        <v/>
      </c>
      <c r="M16" s="501">
        <f>COUNTIFS('DRAFT 2'!$Q:$Q,$A16,'DRAFT 2'!$R:$R,"PERDA / FECHOU LOJA",'DRAFT 2'!$B:$B,IF($C$3="TODOS","*",$C$3),'DRAFT 2'!$A:$A,"&gt;="&amp;$E$3,'DRAFT 2'!$A:$A,"&lt;="&amp;$G$3)</f>
        <v/>
      </c>
      <c r="N16" s="393" t="n"/>
      <c r="O16" s="393" t="n"/>
      <c r="P16" s="393" t="n"/>
      <c r="Q16" s="393" t="n"/>
      <c r="R16" s="393" t="n"/>
      <c r="S16" s="393" t="n"/>
    </row>
    <row r="17" ht="22" customHeight="1" s="117">
      <c r="A17" s="505" t="inlineStr">
        <is>
          <t>PERDA / NUTRIÇÃO</t>
        </is>
      </c>
      <c r="B17" s="493">
        <f>SUM(C17:M17)</f>
        <v/>
      </c>
      <c r="C17" s="494">
        <f>COUNTIFS('DRAFT 2'!$Q:$Q,$A17,'DRAFT 2'!$R:$R,"ORÇAMENTO",'DRAFT 2'!$B:$B,IF($C$3="TODOS","*",$C$3),'DRAFT 2'!$A:$A,"&gt;="&amp;$E$3,'DRAFT 2'!$A:$A,"&lt;="&amp;$G$3)</f>
        <v/>
      </c>
      <c r="D17" s="494">
        <f>COUNTIFS('DRAFT 2'!$Q:$Q,$A17,'DRAFT 2'!$R:$R,"CADASTRO",'DRAFT 2'!$B:$B,IF($C$3="TODOS","*",$C$3),'DRAFT 2'!$A:$A,"&gt;="&amp;$E$3,'DRAFT 2'!$A:$A,"&lt;="&amp;$G$3)</f>
        <v/>
      </c>
      <c r="E17" s="494">
        <f>COUNTIFS('DRAFT 2'!$Q:$Q,$A17,'DRAFT 2'!$R:$R,"RELACIONAMENTO",'DRAFT 2'!$B:$B,IF($C$3="TODOS","*",$C$3),'DRAFT 2'!$A:$A,"&gt;="&amp;$E$3,'DRAFT 2'!$A:$A,"&lt;="&amp;$G$3)</f>
        <v/>
      </c>
      <c r="F17" s="494">
        <f>COUNTIFS('DRAFT 2'!$Q:$Q,$A17,'DRAFT 2'!$R:$R,"EM ATENDIMENTO",'DRAFT 2'!$B:$B,IF($C$3="TODOS","*",$C$3),'DRAFT 2'!$A:$A,"&gt;="&amp;$E$3,'DRAFT 2'!$A:$A,"&lt;="&amp;$G$3)</f>
        <v/>
      </c>
      <c r="G17" s="494">
        <f>COUNTIFS('DRAFT 2'!$Q:$Q,$A17,'DRAFT 2'!$R:$R,"SUPORTE",'DRAFT 2'!$B:$B,IF($C$3="TODOS","*",$C$3),'DRAFT 2'!$A:$A,"&gt;="&amp;$E$3,'DRAFT 2'!$A:$A,"&lt;="&amp;$G$3)</f>
        <v/>
      </c>
      <c r="H17" s="495">
        <f>COUNTIFS('DRAFT 2'!$Q:$Q,$A17,'DRAFT 2'!$R:$R,"VENDA / PEDIDO",'DRAFT 2'!$B:$B,IF($C$3="TODOS","*",$C$3),'DRAFT 2'!$A:$A,"&gt;="&amp;$E$3,'DRAFT 2'!$A:$A,"&lt;="&amp;$G$3)</f>
        <v/>
      </c>
      <c r="I17" s="496">
        <f>COUNTIFS('DRAFT 2'!$Q:$Q,$A17,'DRAFT 2'!$R:$R,"NÃO ATENDE",'DRAFT 2'!$B:$B,IF($C$3="TODOS","*",$C$3),'DRAFT 2'!$A:$A,"&gt;="&amp;$E$3,'DRAFT 2'!$A:$A,"&lt;="&amp;$G$3)</f>
        <v/>
      </c>
      <c r="J17" s="496">
        <f>COUNTIFS('DRAFT 2'!$Q:$Q,$A17,'DRAFT 2'!$R:$R,"RECUSOU LIGAÇÃO",'DRAFT 2'!$B:$B,IF($C$3="TODOS","*",$C$3),'DRAFT 2'!$A:$A,"&gt;="&amp;$E$3,'DRAFT 2'!$A:$A,"&lt;="&amp;$G$3)</f>
        <v/>
      </c>
      <c r="K17" s="496">
        <f>COUNTIFS('DRAFT 2'!$Q:$Q,$A17,'DRAFT 2'!$R:$R,"NÃO RESPONDE",'DRAFT 2'!$B:$B,IF($C$3="TODOS","*",$C$3),'DRAFT 2'!$A:$A,"&gt;="&amp;$E$3,'DRAFT 2'!$A:$A,"&lt;="&amp;$G$3)</f>
        <v/>
      </c>
      <c r="L17" s="496">
        <f>COUNTIFS('DRAFT 2'!$Q:$Q,$A17,'DRAFT 2'!$R:$R,"FECHANDO LOJA",'DRAFT 2'!$B:$B,IF($C$3="TODOS","*",$C$3),'DRAFT 2'!$A:$A,"&gt;="&amp;$E$3,'DRAFT 2'!$A:$A,"&lt;="&amp;$G$3)</f>
        <v/>
      </c>
      <c r="M17" s="496">
        <f>COUNTIFS('DRAFT 2'!$Q:$Q,$A17,'DRAFT 2'!$R:$R,"PERDA / FECHOU LOJA",'DRAFT 2'!$B:$B,IF($C$3="TODOS","*",$C$3),'DRAFT 2'!$A:$A,"&gt;="&amp;$E$3,'DRAFT 2'!$A:$A,"&lt;="&amp;$G$3)</f>
        <v/>
      </c>
      <c r="N17" s="393" t="n"/>
      <c r="O17" s="393" t="n"/>
      <c r="P17" s="393" t="n"/>
      <c r="Q17" s="393" t="n"/>
      <c r="R17" s="393" t="n"/>
      <c r="S17" s="393" t="n"/>
    </row>
    <row r="18" ht="24" customHeight="1" s="117">
      <c r="A18" s="506" t="inlineStr">
        <is>
          <t>TOTAL</t>
        </is>
      </c>
      <c r="B18" s="507">
        <f>SUM(B11:B17)</f>
        <v/>
      </c>
      <c r="C18" s="507">
        <f>SUM(C11:C17)</f>
        <v/>
      </c>
      <c r="D18" s="507">
        <f>SUM(D11:D17)</f>
        <v/>
      </c>
      <c r="E18" s="507">
        <f>SUM(E11:E17)</f>
        <v/>
      </c>
      <c r="F18" s="507">
        <f>SUM(F11:F17)</f>
        <v/>
      </c>
      <c r="G18" s="507">
        <f>SUM(G11:G17)</f>
        <v/>
      </c>
      <c r="H18" s="507">
        <f>SUM(H11:H17)</f>
        <v/>
      </c>
      <c r="I18" s="507">
        <f>SUM(I11:I17)</f>
        <v/>
      </c>
      <c r="J18" s="507">
        <f>SUM(J11:J17)</f>
        <v/>
      </c>
      <c r="K18" s="507">
        <f>SUM(K11:K17)</f>
        <v/>
      </c>
      <c r="L18" s="507">
        <f>SUM(L11:L17)</f>
        <v/>
      </c>
      <c r="M18" s="507">
        <f>SUM(M11:M17)</f>
        <v/>
      </c>
      <c r="N18" s="393" t="n"/>
      <c r="O18" s="393" t="n"/>
      <c r="P18" s="393" t="n"/>
      <c r="Q18" s="393" t="n"/>
      <c r="R18" s="393" t="n"/>
      <c r="S18" s="393" t="n"/>
    </row>
    <row r="19" ht="15" customHeight="1" s="117">
      <c r="A19" s="393" t="n"/>
      <c r="B19" s="393" t="n"/>
      <c r="C19" s="393" t="n"/>
      <c r="D19" s="393" t="n"/>
      <c r="E19" s="393" t="n"/>
      <c r="F19" s="393" t="n"/>
      <c r="G19" s="393" t="n"/>
      <c r="H19" s="393" t="n"/>
      <c r="I19" s="393" t="n"/>
      <c r="J19" s="393" t="n"/>
      <c r="K19" s="393" t="n"/>
      <c r="L19" s="393" t="n"/>
      <c r="M19" s="393" t="n"/>
      <c r="N19" s="393" t="n"/>
      <c r="O19" s="393" t="n"/>
      <c r="P19" s="393" t="n"/>
      <c r="Q19" s="393" t="n"/>
      <c r="R19" s="393" t="n"/>
      <c r="S19" s="393" t="n"/>
    </row>
    <row r="20" ht="15" customHeight="1" s="117">
      <c r="A20" s="410" t="inlineStr">
        <is>
          <t>ORÇAM</t>
        </is>
      </c>
      <c r="B20" s="409">
        <f>C18</f>
        <v/>
      </c>
      <c r="C20" s="393" t="n"/>
      <c r="D20" s="393" t="n"/>
      <c r="E20" s="393" t="n"/>
      <c r="F20" s="393" t="n"/>
      <c r="G20" s="393" t="n"/>
      <c r="H20" s="393" t="n"/>
      <c r="I20" s="393" t="n"/>
      <c r="J20" s="393" t="n"/>
      <c r="K20" s="393" t="n"/>
      <c r="L20" s="393" t="n"/>
      <c r="M20" s="393" t="n"/>
      <c r="N20" s="393" t="n"/>
      <c r="O20" s="393" t="n"/>
      <c r="P20" s="393" t="n"/>
      <c r="Q20" s="393" t="n"/>
      <c r="R20" s="393" t="n"/>
      <c r="S20" s="393" t="n"/>
    </row>
    <row r="21" ht="15" customHeight="1" s="117">
      <c r="A21" s="410" t="inlineStr">
        <is>
          <t>CADAST</t>
        </is>
      </c>
      <c r="B21" s="409">
        <f>D18</f>
        <v/>
      </c>
      <c r="C21" s="393" t="n"/>
      <c r="D21" s="393" t="n"/>
      <c r="E21" s="393" t="n"/>
      <c r="F21" s="393" t="n"/>
      <c r="G21" s="393" t="n"/>
      <c r="H21" s="393" t="n"/>
      <c r="I21" s="393" t="n"/>
      <c r="J21" s="393" t="n"/>
      <c r="K21" s="393" t="n"/>
      <c r="L21" s="393" t="n"/>
      <c r="M21" s="393" t="n"/>
      <c r="N21" s="393" t="n"/>
      <c r="O21" s="393" t="n"/>
      <c r="P21" s="393" t="n"/>
      <c r="Q21" s="393" t="n"/>
      <c r="R21" s="393" t="n"/>
      <c r="S21" s="393" t="n"/>
    </row>
    <row r="22" ht="15" customHeight="1" s="117">
      <c r="A22" s="410" t="inlineStr">
        <is>
          <t>RELAC</t>
        </is>
      </c>
      <c r="B22" s="409">
        <f>E18</f>
        <v/>
      </c>
      <c r="C22" s="393" t="n"/>
      <c r="D22" s="393" t="n"/>
      <c r="E22" s="393" t="n"/>
      <c r="F22" s="393" t="n"/>
      <c r="G22" s="393" t="n"/>
      <c r="H22" s="393" t="n"/>
      <c r="I22" s="393" t="n"/>
      <c r="J22" s="393" t="n"/>
      <c r="K22" s="393" t="n"/>
      <c r="L22" s="393" t="n"/>
      <c r="M22" s="393" t="n"/>
      <c r="N22" s="393" t="n"/>
      <c r="O22" s="393" t="n"/>
      <c r="P22" s="393" t="n"/>
      <c r="Q22" s="393" t="n"/>
      <c r="R22" s="393" t="n"/>
      <c r="S22" s="393" t="n"/>
    </row>
    <row r="23" ht="15" customHeight="1" s="117">
      <c r="A23" s="410" t="inlineStr">
        <is>
          <t>ATEND</t>
        </is>
      </c>
      <c r="B23" s="409">
        <f>F18</f>
        <v/>
      </c>
      <c r="C23" s="393" t="n"/>
      <c r="D23" s="393" t="n"/>
      <c r="E23" s="393" t="n"/>
      <c r="F23" s="393" t="n"/>
      <c r="G23" s="393" t="n"/>
      <c r="H23" s="393" t="n"/>
      <c r="I23" s="393" t="n"/>
      <c r="J23" s="393" t="n"/>
      <c r="K23" s="393" t="n"/>
      <c r="L23" s="393" t="n"/>
      <c r="M23" s="393" t="n"/>
      <c r="N23" s="393" t="n"/>
      <c r="O23" s="393" t="n"/>
      <c r="P23" s="393" t="n"/>
      <c r="Q23" s="393" t="n"/>
      <c r="R23" s="393" t="n"/>
      <c r="S23" s="393" t="n"/>
    </row>
    <row r="24" ht="15" customHeight="1" s="117">
      <c r="A24" s="410" t="inlineStr">
        <is>
          <t>SUPORTE</t>
        </is>
      </c>
      <c r="B24" s="409">
        <f>G18</f>
        <v/>
      </c>
      <c r="C24" s="393" t="n"/>
      <c r="D24" s="393" t="n"/>
      <c r="E24" s="393" t="n"/>
      <c r="F24" s="393" t="n"/>
      <c r="G24" s="393" t="n"/>
      <c r="H24" s="393" t="n"/>
      <c r="I24" s="393" t="n"/>
      <c r="J24" s="393" t="n"/>
      <c r="K24" s="393" t="n"/>
      <c r="L24" s="393" t="n"/>
      <c r="M24" s="393" t="n"/>
      <c r="N24" s="393" t="n"/>
      <c r="O24" s="393" t="n"/>
      <c r="P24" s="393" t="n"/>
      <c r="Q24" s="393" t="n"/>
      <c r="R24" s="393" t="n"/>
      <c r="S24" s="393" t="n"/>
    </row>
    <row r="25" ht="15" customHeight="1" s="117">
      <c r="A25" s="410" t="inlineStr">
        <is>
          <t>VENDA</t>
        </is>
      </c>
      <c r="B25" s="409">
        <f>H18</f>
        <v/>
      </c>
      <c r="C25" s="393" t="n"/>
      <c r="D25" s="393" t="n"/>
      <c r="E25" s="393" t="n"/>
      <c r="F25" s="393" t="n"/>
      <c r="G25" s="393" t="n"/>
      <c r="H25" s="393" t="n"/>
      <c r="I25" s="393" t="n"/>
      <c r="J25" s="393" t="n"/>
      <c r="K25" s="393" t="n"/>
      <c r="L25" s="393" t="n"/>
      <c r="M25" s="393" t="n"/>
      <c r="N25" s="393" t="n"/>
      <c r="O25" s="393" t="n"/>
      <c r="P25" s="393" t="n"/>
      <c r="Q25" s="393" t="n"/>
      <c r="R25" s="393" t="n"/>
      <c r="S25" s="393" t="n"/>
    </row>
    <row r="26" ht="15" customHeight="1" s="117">
      <c r="A26" s="410" t="inlineStr">
        <is>
          <t>Ñ ATENDE</t>
        </is>
      </c>
      <c r="B26" s="409">
        <f>I18</f>
        <v/>
      </c>
      <c r="C26" s="393" t="n"/>
      <c r="D26" s="393" t="n"/>
      <c r="E26" s="393" t="n"/>
      <c r="F26" s="393" t="n"/>
      <c r="G26" s="393" t="n"/>
      <c r="H26" s="393" t="n"/>
      <c r="I26" s="393" t="n"/>
      <c r="J26" s="393" t="n"/>
      <c r="K26" s="393" t="n"/>
      <c r="L26" s="393" t="n"/>
      <c r="M26" s="393" t="n"/>
      <c r="N26" s="393" t="n"/>
      <c r="O26" s="393" t="n"/>
      <c r="P26" s="393" t="n"/>
      <c r="Q26" s="393" t="n"/>
      <c r="R26" s="393" t="n"/>
      <c r="S26" s="393" t="n"/>
    </row>
    <row r="27" ht="15" customHeight="1" s="117">
      <c r="A27" s="410" t="inlineStr">
        <is>
          <t>RECUSOU</t>
        </is>
      </c>
      <c r="B27" s="409">
        <f>J18</f>
        <v/>
      </c>
      <c r="C27" s="393" t="n"/>
      <c r="D27" s="393" t="n"/>
      <c r="E27" s="393" t="n"/>
      <c r="F27" s="393" t="n"/>
      <c r="G27" s="393" t="n"/>
      <c r="H27" s="393" t="n"/>
      <c r="I27" s="393" t="n"/>
      <c r="J27" s="393" t="n"/>
      <c r="K27" s="393" t="n"/>
      <c r="L27" s="393" t="n"/>
      <c r="M27" s="393" t="n"/>
      <c r="N27" s="393" t="n"/>
      <c r="O27" s="393" t="n"/>
      <c r="P27" s="393" t="n"/>
      <c r="Q27" s="393" t="n"/>
      <c r="R27" s="393" t="n"/>
      <c r="S27" s="393" t="n"/>
    </row>
    <row r="28" ht="15" customHeight="1" s="117">
      <c r="A28" s="410" t="inlineStr">
        <is>
          <t>Ñ RESP</t>
        </is>
      </c>
      <c r="B28" s="409">
        <f>K18</f>
        <v/>
      </c>
      <c r="C28" s="393" t="n"/>
      <c r="D28" s="393" t="n"/>
      <c r="E28" s="393" t="n"/>
      <c r="F28" s="393" t="n"/>
      <c r="G28" s="393" t="n"/>
      <c r="H28" s="393" t="n"/>
      <c r="I28" s="393" t="n"/>
      <c r="J28" s="393" t="n"/>
      <c r="K28" s="393" t="n"/>
      <c r="L28" s="393" t="n"/>
      <c r="M28" s="393" t="n"/>
      <c r="N28" s="393" t="n"/>
      <c r="O28" s="393" t="n"/>
      <c r="P28" s="393" t="n"/>
      <c r="Q28" s="393" t="n"/>
      <c r="R28" s="393" t="n"/>
      <c r="S28" s="393" t="n"/>
    </row>
    <row r="29" ht="15" customHeight="1" s="117">
      <c r="A29" s="410" t="inlineStr">
        <is>
          <t>FECH.LOJA</t>
        </is>
      </c>
      <c r="B29" s="409">
        <f>L18</f>
        <v/>
      </c>
      <c r="C29" s="393" t="n"/>
      <c r="D29" s="393" t="n"/>
      <c r="E29" s="393" t="n"/>
      <c r="F29" s="393" t="n"/>
      <c r="G29" s="393" t="n"/>
      <c r="H29" s="393" t="n"/>
      <c r="I29" s="393" t="n"/>
      <c r="J29" s="393" t="n"/>
      <c r="K29" s="393" t="n"/>
      <c r="L29" s="393" t="n"/>
      <c r="M29" s="393" t="n"/>
      <c r="N29" s="393" t="n"/>
      <c r="O29" s="393" t="n"/>
      <c r="P29" s="393" t="n"/>
      <c r="Q29" s="393" t="n"/>
      <c r="R29" s="393" t="n"/>
      <c r="S29" s="393" t="n"/>
    </row>
    <row r="30" ht="15" customHeight="1" s="117">
      <c r="A30" s="410" t="inlineStr">
        <is>
          <t>PERDA</t>
        </is>
      </c>
      <c r="B30" s="409">
        <f>M18</f>
        <v/>
      </c>
      <c r="C30" s="393" t="n"/>
      <c r="D30" s="393" t="n"/>
      <c r="E30" s="393" t="n"/>
      <c r="F30" s="393" t="n"/>
      <c r="G30" s="393" t="n"/>
      <c r="H30" s="393" t="n"/>
      <c r="I30" s="393" t="n"/>
      <c r="J30" s="393" t="n"/>
      <c r="K30" s="393" t="n"/>
      <c r="L30" s="393" t="n"/>
      <c r="M30" s="393" t="n"/>
      <c r="N30" s="393" t="n"/>
      <c r="O30" s="393" t="n"/>
      <c r="P30" s="393" t="n"/>
      <c r="Q30" s="393" t="n"/>
      <c r="R30" s="393" t="n"/>
      <c r="S30" s="393" t="n"/>
    </row>
    <row r="31" ht="15" customHeight="1" s="117">
      <c r="A31" s="393" t="n"/>
      <c r="B31" s="393" t="n"/>
      <c r="C31" s="393" t="n"/>
      <c r="D31" s="393" t="n"/>
      <c r="E31" s="393" t="n"/>
      <c r="F31" s="393" t="n"/>
      <c r="G31" s="393" t="n"/>
      <c r="H31" s="393" t="n"/>
      <c r="I31" s="393" t="n"/>
      <c r="J31" s="393" t="n"/>
      <c r="K31" s="393" t="n"/>
      <c r="L31" s="393" t="n"/>
      <c r="M31" s="393" t="n"/>
      <c r="N31" s="393" t="n"/>
      <c r="O31" s="393" t="n"/>
      <c r="P31" s="393" t="n"/>
      <c r="Q31" s="393" t="n"/>
      <c r="R31" s="393" t="n"/>
      <c r="S31" s="393" t="n"/>
    </row>
    <row r="32" ht="15" customHeight="1" s="117">
      <c r="A32" s="393" t="n"/>
      <c r="B32" s="393" t="n"/>
      <c r="C32" s="393" t="n"/>
      <c r="D32" s="393" t="n"/>
      <c r="E32" s="393" t="n"/>
      <c r="F32" s="393" t="n"/>
      <c r="G32" s="393" t="n"/>
      <c r="H32" s="393" t="n"/>
      <c r="I32" s="393" t="n"/>
      <c r="J32" s="393" t="n"/>
      <c r="K32" s="393" t="n"/>
      <c r="L32" s="393" t="n"/>
      <c r="M32" s="393" t="n"/>
      <c r="N32" s="393" t="n"/>
      <c r="O32" s="393" t="n"/>
      <c r="P32" s="393" t="n"/>
      <c r="Q32" s="393" t="n"/>
      <c r="R32" s="393" t="n"/>
      <c r="S32" s="393" t="n"/>
    </row>
    <row r="33" ht="15" customHeight="1" s="117">
      <c r="A33" s="393" t="n"/>
      <c r="B33" s="393" t="n"/>
      <c r="C33" s="393" t="n"/>
      <c r="D33" s="393" t="n"/>
      <c r="E33" s="393" t="n"/>
      <c r="F33" s="393" t="n"/>
      <c r="G33" s="393" t="n"/>
      <c r="H33" s="393" t="n"/>
      <c r="I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393" t="n"/>
      <c r="S33" s="393" t="n"/>
    </row>
    <row r="34" ht="15" customHeight="1" s="117">
      <c r="A34" s="393" t="n"/>
      <c r="B34" s="393" t="n"/>
      <c r="C34" s="393" t="n"/>
      <c r="D34" s="393" t="n"/>
      <c r="E34" s="393" t="n"/>
      <c r="F34" s="393" t="n"/>
      <c r="G34" s="393" t="n"/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393" t="n"/>
      <c r="R34" s="393" t="n"/>
      <c r="S34" s="393" t="n"/>
    </row>
    <row r="35" ht="15" customHeight="1" s="117">
      <c r="A35" s="393" t="n"/>
      <c r="B35" s="393" t="n"/>
      <c r="C35" s="393" t="n"/>
      <c r="D35" s="393" t="n"/>
      <c r="E35" s="393" t="n"/>
      <c r="F35" s="393" t="n"/>
      <c r="G35" s="393" t="n"/>
      <c r="H35" s="393" t="n"/>
      <c r="I35" s="393" t="n"/>
      <c r="J35" s="393" t="n"/>
      <c r="K35" s="393" t="n"/>
      <c r="L35" s="393" t="n"/>
      <c r="M35" s="393" t="n"/>
      <c r="N35" s="393" t="n"/>
      <c r="O35" s="393" t="n"/>
      <c r="P35" s="393" t="n"/>
      <c r="Q35" s="393" t="n"/>
      <c r="R35" s="393" t="n"/>
      <c r="S35" s="393" t="n"/>
    </row>
    <row r="36" ht="15" customHeight="1" s="117">
      <c r="A36" s="393" t="n"/>
      <c r="B36" s="393" t="n"/>
      <c r="C36" s="393" t="n"/>
      <c r="D36" s="393" t="n"/>
      <c r="E36" s="393" t="n"/>
      <c r="F36" s="393" t="n"/>
      <c r="G36" s="393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393" t="n"/>
      <c r="S36" s="393" t="n"/>
    </row>
    <row r="37" ht="15" customHeight="1" s="117">
      <c r="A37" s="393" t="n"/>
      <c r="B37" s="393" t="n"/>
      <c r="C37" s="393" t="n"/>
      <c r="D37" s="393" t="n"/>
      <c r="E37" s="393" t="n"/>
      <c r="F37" s="393" t="n"/>
      <c r="G37" s="393" t="n"/>
      <c r="H37" s="393" t="n"/>
      <c r="I37" s="393" t="n"/>
      <c r="J37" s="393" t="n"/>
      <c r="K37" s="393" t="n"/>
      <c r="L37" s="393" t="n"/>
      <c r="M37" s="393" t="n"/>
      <c r="N37" s="393" t="n"/>
      <c r="O37" s="393" t="n"/>
      <c r="P37" s="393" t="n"/>
      <c r="Q37" s="393" t="n"/>
      <c r="R37" s="393" t="n"/>
      <c r="S37" s="393" t="n"/>
    </row>
    <row r="38" ht="15" customHeight="1" s="117">
      <c r="A38" s="393" t="n"/>
      <c r="B38" s="393" t="n"/>
      <c r="C38" s="393" t="n"/>
      <c r="D38" s="393" t="n"/>
      <c r="E38" s="393" t="n"/>
      <c r="F38" s="393" t="n"/>
      <c r="G38" s="393" t="n"/>
      <c r="H38" s="393" t="n"/>
      <c r="I38" s="393" t="n"/>
      <c r="J38" s="393" t="n"/>
      <c r="K38" s="393" t="n"/>
      <c r="L38" s="393" t="n"/>
      <c r="M38" s="393" t="n"/>
      <c r="N38" s="393" t="n"/>
      <c r="O38" s="393" t="n"/>
      <c r="P38" s="393" t="n"/>
      <c r="Q38" s="393" t="n"/>
      <c r="R38" s="393" t="n"/>
      <c r="S38" s="393" t="n"/>
    </row>
    <row r="39" ht="15" customHeight="1" s="117">
      <c r="A39" s="393" t="n"/>
      <c r="B39" s="393" t="n"/>
      <c r="C39" s="393" t="n"/>
      <c r="D39" s="393" t="n"/>
      <c r="E39" s="393" t="n"/>
      <c r="F39" s="393" t="n"/>
      <c r="G39" s="393" t="n"/>
      <c r="H39" s="393" t="n"/>
      <c r="I39" s="393" t="n"/>
      <c r="J39" s="393" t="n"/>
      <c r="K39" s="393" t="n"/>
      <c r="L39" s="393" t="n"/>
      <c r="M39" s="393" t="n"/>
      <c r="N39" s="393" t="n"/>
      <c r="O39" s="393" t="n"/>
      <c r="P39" s="393" t="n"/>
      <c r="Q39" s="393" t="n"/>
      <c r="R39" s="393" t="n"/>
      <c r="S39" s="393" t="n"/>
    </row>
    <row r="40" ht="15" customHeight="1" s="117">
      <c r="A40" s="393" t="n"/>
      <c r="B40" s="393" t="n"/>
      <c r="C40" s="393" t="n"/>
      <c r="D40" s="393" t="n"/>
      <c r="E40" s="393" t="n"/>
      <c r="F40" s="393" t="n"/>
      <c r="G40" s="393" t="n"/>
      <c r="H40" s="393" t="n"/>
      <c r="I40" s="393" t="n"/>
      <c r="J40" s="393" t="n"/>
      <c r="K40" s="393" t="n"/>
      <c r="L40" s="393" t="n"/>
      <c r="M40" s="393" t="n"/>
      <c r="N40" s="393" t="n"/>
      <c r="O40" s="393" t="n"/>
      <c r="P40" s="393" t="n"/>
      <c r="Q40" s="393" t="n"/>
      <c r="R40" s="393" t="n"/>
      <c r="S40" s="393" t="n"/>
    </row>
    <row r="41" ht="15" customHeight="1" s="117">
      <c r="A41" s="393" t="n"/>
      <c r="B41" s="393" t="n"/>
      <c r="C41" s="393" t="n"/>
      <c r="D41" s="393" t="n"/>
      <c r="E41" s="393" t="n"/>
      <c r="F41" s="393" t="n"/>
      <c r="G41" s="393" t="n"/>
      <c r="H41" s="393" t="n"/>
      <c r="I41" s="393" t="n"/>
      <c r="J41" s="393" t="n"/>
      <c r="K41" s="393" t="n"/>
      <c r="L41" s="393" t="n"/>
      <c r="M41" s="393" t="n"/>
      <c r="N41" s="393" t="n"/>
      <c r="O41" s="393" t="n"/>
      <c r="P41" s="393" t="n"/>
      <c r="Q41" s="393" t="n"/>
      <c r="R41" s="393" t="n"/>
      <c r="S41" s="393" t="n"/>
    </row>
    <row r="42" ht="15" customHeight="1" s="117">
      <c r="A42" s="393" t="n"/>
      <c r="B42" s="393" t="n"/>
      <c r="C42" s="393" t="n"/>
      <c r="D42" s="393" t="n"/>
      <c r="E42" s="393" t="n"/>
      <c r="F42" s="393" t="n"/>
      <c r="G42" s="393" t="n"/>
      <c r="H42" s="393" t="n"/>
      <c r="I42" s="393" t="n"/>
      <c r="J42" s="393" t="n"/>
      <c r="K42" s="393" t="n"/>
      <c r="L42" s="393" t="n"/>
      <c r="M42" s="393" t="n"/>
      <c r="N42" s="393" t="n"/>
      <c r="O42" s="393" t="n"/>
      <c r="P42" s="393" t="n"/>
      <c r="Q42" s="393" t="n"/>
      <c r="R42" s="393" t="n"/>
      <c r="S42" s="393" t="n"/>
    </row>
    <row r="43" ht="15" customHeight="1" s="117">
      <c r="A43" s="393" t="n"/>
      <c r="B43" s="393" t="n"/>
      <c r="C43" s="393" t="n"/>
      <c r="D43" s="393" t="n"/>
      <c r="E43" s="393" t="n"/>
      <c r="F43" s="393" t="n"/>
      <c r="G43" s="393" t="n"/>
      <c r="H43" s="393" t="n"/>
      <c r="I43" s="393" t="n"/>
      <c r="J43" s="393" t="n"/>
      <c r="K43" s="393" t="n"/>
      <c r="L43" s="393" t="n"/>
      <c r="M43" s="393" t="n"/>
      <c r="N43" s="393" t="n"/>
      <c r="O43" s="393" t="n"/>
      <c r="P43" s="393" t="n"/>
      <c r="Q43" s="393" t="n"/>
      <c r="R43" s="393" t="n"/>
      <c r="S43" s="393" t="n"/>
    </row>
    <row r="44" ht="15" customHeight="1" s="117">
      <c r="A44" s="393" t="n"/>
      <c r="B44" s="393" t="n"/>
      <c r="C44" s="393" t="n"/>
      <c r="D44" s="393" t="n"/>
      <c r="E44" s="393" t="n"/>
      <c r="F44" s="393" t="n"/>
      <c r="G44" s="393" t="n"/>
      <c r="H44" s="393" t="n"/>
      <c r="I44" s="393" t="n"/>
      <c r="J44" s="393" t="n"/>
      <c r="K44" s="393" t="n"/>
      <c r="L44" s="393" t="n"/>
      <c r="M44" s="393" t="n"/>
      <c r="N44" s="393" t="n"/>
      <c r="O44" s="393" t="n"/>
      <c r="P44" s="393" t="n"/>
      <c r="Q44" s="393" t="n"/>
      <c r="R44" s="393" t="n"/>
      <c r="S44" s="393" t="n"/>
    </row>
    <row r="45" ht="15" customHeight="1" s="117">
      <c r="A45" s="393" t="n"/>
      <c r="B45" s="393" t="n"/>
      <c r="C45" s="393" t="n"/>
      <c r="D45" s="393" t="n"/>
      <c r="E45" s="393" t="n"/>
      <c r="F45" s="393" t="n"/>
      <c r="G45" s="393" t="n"/>
      <c r="H45" s="393" t="n"/>
      <c r="I45" s="393" t="n"/>
      <c r="J45" s="393" t="n"/>
      <c r="K45" s="393" t="n"/>
      <c r="L45" s="393" t="n"/>
      <c r="M45" s="393" t="n"/>
      <c r="N45" s="393" t="n"/>
      <c r="O45" s="393" t="n"/>
      <c r="P45" s="393" t="n"/>
      <c r="Q45" s="393" t="n"/>
      <c r="R45" s="393" t="n"/>
      <c r="S45" s="393" t="n"/>
    </row>
    <row r="46" ht="15" customHeight="1" s="117">
      <c r="A46" s="393" t="n"/>
      <c r="B46" s="393" t="n"/>
      <c r="C46" s="393" t="n"/>
      <c r="D46" s="393" t="n"/>
      <c r="E46" s="393" t="n"/>
      <c r="F46" s="393" t="n"/>
      <c r="G46" s="393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393" t="n"/>
      <c r="S46" s="393" t="n"/>
    </row>
    <row r="47" ht="15" customHeight="1" s="117">
      <c r="A47" s="393" t="n"/>
      <c r="B47" s="393" t="n"/>
      <c r="C47" s="393" t="n"/>
      <c r="D47" s="393" t="n"/>
      <c r="E47" s="393" t="n"/>
      <c r="F47" s="393" t="n"/>
      <c r="G47" s="393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393" t="n"/>
      <c r="S47" s="393" t="n"/>
    </row>
    <row r="48" ht="15" customHeight="1" s="117">
      <c r="A48" s="393" t="n"/>
      <c r="B48" s="393" t="n"/>
      <c r="C48" s="393" t="n"/>
      <c r="D48" s="393" t="n"/>
      <c r="E48" s="393" t="n"/>
      <c r="F48" s="393" t="n"/>
      <c r="G48" s="393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393" t="n"/>
      <c r="S48" s="393" t="n"/>
    </row>
    <row r="49" ht="15" customHeight="1" s="117">
      <c r="A49" s="393" t="n"/>
      <c r="B49" s="393" t="n"/>
      <c r="C49" s="393" t="n"/>
      <c r="D49" s="393" t="n"/>
      <c r="E49" s="393" t="n"/>
      <c r="F49" s="393" t="n"/>
      <c r="G49" s="393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393" t="n"/>
      <c r="S49" s="393" t="n"/>
    </row>
    <row r="50" ht="30" customHeight="1" s="117">
      <c r="A50" s="489" t="inlineStr">
        <is>
          <t xml:space="preserve">  CONTATOS &amp; FUNIL DE VENDA</t>
        </is>
      </c>
      <c r="B50" s="490" t="n"/>
      <c r="C50" s="490" t="n"/>
      <c r="D50" s="490" t="n"/>
      <c r="E50" s="490" t="n"/>
      <c r="F50" s="490" t="n"/>
      <c r="G50" s="490" t="n"/>
      <c r="H50" s="490" t="n"/>
      <c r="I50" s="490" t="n"/>
      <c r="J50" s="490" t="n"/>
      <c r="K50" s="490" t="n"/>
      <c r="L50" s="490" t="n"/>
      <c r="M50" s="490" t="n"/>
      <c r="N50" s="490" t="n"/>
      <c r="O50" s="393" t="n"/>
      <c r="P50" s="393" t="n"/>
      <c r="Q50" s="393" t="n"/>
      <c r="R50" s="393" t="n"/>
      <c r="S50" s="393" t="n"/>
    </row>
    <row r="51" ht="20" customHeight="1" s="117">
      <c r="A51" s="393" t="n"/>
      <c r="B51" s="393" t="n"/>
      <c r="C51" s="508" t="inlineStr">
        <is>
          <t>CANAIS</t>
        </is>
      </c>
      <c r="D51" s="512" t="n"/>
      <c r="E51" s="512" t="n"/>
      <c r="F51" s="476" t="n"/>
      <c r="G51" s="508" t="inlineStr">
        <is>
          <t>FUNIL DE VENDA</t>
        </is>
      </c>
      <c r="H51" s="512" t="n"/>
      <c r="I51" s="512" t="n"/>
      <c r="J51" s="476" t="n"/>
      <c r="K51" s="508" t="inlineStr">
        <is>
          <t>RELACIONAM.</t>
        </is>
      </c>
      <c r="L51" s="476" t="n"/>
      <c r="M51" s="508" t="inlineStr">
        <is>
          <t>NÃO VENDA</t>
        </is>
      </c>
      <c r="N51" s="476" t="n"/>
      <c r="O51" s="393" t="n"/>
      <c r="P51" s="393" t="n"/>
      <c r="Q51" s="393" t="n"/>
      <c r="R51" s="393" t="n"/>
      <c r="S51" s="393" t="n"/>
    </row>
    <row r="52" ht="32" customHeight="1" s="117">
      <c r="A52" s="491" t="inlineStr">
        <is>
          <t>TIPO DO CONTATO</t>
        </is>
      </c>
      <c r="B52" s="491" t="inlineStr">
        <is>
          <t>TOTAL</t>
        </is>
      </c>
      <c r="C52" s="491" t="inlineStr">
        <is>
          <t>1ª WHATS</t>
        </is>
      </c>
      <c r="D52" s="491" t="inlineStr">
        <is>
          <t>LIG. REALIZ.</t>
        </is>
      </c>
      <c r="E52" s="491" t="inlineStr">
        <is>
          <t>LIG. ATEND.</t>
        </is>
      </c>
      <c r="F52" s="491" t="inlineStr">
        <is>
          <t>LIG. Ñ ATEND.</t>
        </is>
      </c>
      <c r="G52" s="491" t="inlineStr">
        <is>
          <t>EM ATEND.</t>
        </is>
      </c>
      <c r="H52" s="491" t="inlineStr">
        <is>
          <t>ORÇAM.</t>
        </is>
      </c>
      <c r="I52" s="491" t="inlineStr">
        <is>
          <t>CADAST.</t>
        </is>
      </c>
      <c r="J52" s="491" t="inlineStr">
        <is>
          <t>VENDA</t>
        </is>
      </c>
      <c r="K52" s="491" t="inlineStr">
        <is>
          <t>FOLLOW UP</t>
        </is>
      </c>
      <c r="L52" s="491" t="inlineStr">
        <is>
          <t>SUPORTE</t>
        </is>
      </c>
      <c r="M52" s="491" t="inlineStr">
        <is>
          <t>CLIENTE INAT.</t>
        </is>
      </c>
      <c r="N52" s="491" t="inlineStr">
        <is>
          <t>PERDA</t>
        </is>
      </c>
      <c r="O52" s="393" t="n"/>
      <c r="P52" s="393" t="n"/>
      <c r="Q52" s="393" t="n"/>
      <c r="R52" s="393" t="n"/>
      <c r="S52" s="393" t="n"/>
    </row>
    <row r="53" ht="22" customHeight="1" s="117">
      <c r="A53" s="492" t="inlineStr">
        <is>
          <t>PROSPECÇÃO</t>
        </is>
      </c>
      <c r="B53" s="493">
        <f>SUM(C53:F53)+SUM(G53:J53)+SUM(K53:L53)+SUM(M53:N53)</f>
        <v/>
      </c>
      <c r="C53" s="494">
        <f>COUNTIFS('DRAFT 2'!$Q:$Q,$A53,'DRAFT 2'!$N:$N,"SIM",'DRAFT 2'!$B:$B,IF($C$3="TODOS","*",$C$3),'DRAFT 2'!$A:$A,"&gt;="&amp;$E$3,'DRAFT 2'!$A:$A,"&lt;="&amp;$G$3)</f>
        <v/>
      </c>
      <c r="D53" s="494">
        <f>COUNTIFS('DRAFT 2'!$Q:$Q,$A53,'DRAFT 2'!$O:$O,"SIM",'DRAFT 2'!$B:$B,IF($C$3="TODOS","*",$C$3),'DRAFT 2'!$A:$A,"&gt;="&amp;$E$3,'DRAFT 2'!$A:$A,"&lt;="&amp;$G$3)</f>
        <v/>
      </c>
      <c r="E53" s="494">
        <f>COUNTIFS('DRAFT 2'!$Q:$Q,$A53,'DRAFT 2'!$O:$O,"SIM",'DRAFT 2'!$P:$P,"SIM",'DRAFT 2'!$B:$B,IF($C$3="TODOS","*",$C$3),'DRAFT 2'!$A:$A,"&gt;="&amp;$E$3,'DRAFT 2'!$A:$A,"&lt;="&amp;$G$3)</f>
        <v/>
      </c>
      <c r="F53" s="494">
        <f>COUNTIFS('DRAFT 2'!$Q:$Q,$A53,'DRAFT 2'!$O:$O,"SIM",'DRAFT 2'!$P:$P,"NÃO",'DRAFT 2'!$B:$B,IF($C$3="TODOS","*",$C$3),'DRAFT 2'!$A:$A,"&gt;="&amp;$E$3,'DRAFT 2'!$A:$A,"&lt;="&amp;$G$3)</f>
        <v/>
      </c>
      <c r="G53" s="494">
        <f>COUNTIFS('DRAFT 2'!$Q:$Q,$A53,'DRAFT 2'!$R:$R,"EM ATENDIMENTO",'DRAFT 2'!$B:$B,IF($C$3="TODOS","*",$C$3),'DRAFT 2'!$A:$A,"&gt;="&amp;$E$3,'DRAFT 2'!$A:$A,"&lt;="&amp;$G$3)</f>
        <v/>
      </c>
      <c r="H53" s="494">
        <f>COUNTIFS('DRAFT 2'!$Q:$Q,$A53,'DRAFT 2'!$R:$R,"ORÇAMENTO",'DRAFT 2'!$B:$B,IF($C$3="TODOS","*",$C$3),'DRAFT 2'!$A:$A,"&gt;="&amp;$E$3,'DRAFT 2'!$A:$A,"&lt;="&amp;$G$3)</f>
        <v/>
      </c>
      <c r="I53" s="494">
        <f>COUNTIFS('DRAFT 2'!$Q:$Q,$A53,'DRAFT 2'!$R:$R,"CADASTRO",'DRAFT 2'!$B:$B,IF($C$3="TODOS","*",$C$3),'DRAFT 2'!$A:$A,"&gt;="&amp;$E$3,'DRAFT 2'!$A:$A,"&lt;="&amp;$G$3)</f>
        <v/>
      </c>
      <c r="J53" s="495">
        <f>COUNTIFS('DRAFT 2'!$Q:$Q,$A53,'DRAFT 2'!$R:$R,"VENDA / PEDIDO",'DRAFT 2'!$B:$B,IF($C$3="TODOS","*",$C$3),'DRAFT 2'!$A:$A,"&gt;="&amp;$E$3,'DRAFT 2'!$A:$A,"&lt;="&amp;$G$3)</f>
        <v/>
      </c>
      <c r="K53" s="494">
        <f>COUNTIFS('DRAFT 2'!$Q:$Q,$A53,'DRAFT 2'!$R:$R,"FOLLOW*",'DRAFT 2'!$B:$B,IF($C$3="TODOS","*",$C$3),'DRAFT 2'!$A:$A,"&gt;="&amp;$E$3,'DRAFT 2'!$A:$A,"&lt;="&amp;$G$3)</f>
        <v/>
      </c>
      <c r="L53" s="494">
        <f>COUNTIFS('DRAFT 2'!$Q:$Q,$A53,'DRAFT 2'!$R:$R,"SUPORTE",'DRAFT 2'!$B:$B,IF($C$3="TODOS","*",$C$3),'DRAFT 2'!$A:$A,"&gt;="&amp;$E$3,'DRAFT 2'!$A:$A,"&lt;="&amp;$G$3)</f>
        <v/>
      </c>
      <c r="M53" s="510">
        <f>COUNTIFS('DRAFT 2'!$Q:$Q,$A53,'DRAFT 2'!$R:$R,"NÃO ATENDE",'DRAFT 2'!$B:$B,IF($C$3="TODOS","*",$C$3),'DRAFT 2'!$A:$A,"&gt;="&amp;$E$3,'DRAFT 2'!$A:$A,"&lt;="&amp;$G$3)+COUNTIFS('DRAFT 2'!$Q:$Q,$A53,'DRAFT 2'!$R:$R,"NÃO RESPONDE",'DRAFT 2'!$B:$B,IF($C$3="TODOS","*",$C$3),'DRAFT 2'!$A:$A,"&gt;="&amp;$E$3,'DRAFT 2'!$A:$A,"&lt;="&amp;$G$3)+COUNTIFS('DRAFT 2'!$Q:$Q,$A53,'DRAFT 2'!$R:$R,"RECUSOU LIGAÇÃO",'DRAFT 2'!$B:$B,IF($C$3="TODOS","*",$C$3),'DRAFT 2'!$A:$A,"&gt;="&amp;$E$3,'DRAFT 2'!$A:$A,"&lt;="&amp;$G$3)</f>
        <v/>
      </c>
      <c r="N53" s="496">
        <f>COUNTIFS('DRAFT 2'!$Q:$Q,$A53,'DRAFT 2'!$R:$R,"PERDA / FECHOU LOJA",'DRAFT 2'!$B:$B,IF($C$3="TODOS","*",$C$3),'DRAFT 2'!$A:$A,"&gt;="&amp;$E$3,'DRAFT 2'!$A:$A,"&lt;="&amp;$G$3)</f>
        <v/>
      </c>
      <c r="O53" s="393" t="n"/>
      <c r="P53" s="393" t="n"/>
      <c r="Q53" s="393" t="n"/>
      <c r="R53" s="393" t="n"/>
      <c r="S53" s="393" t="n"/>
    </row>
    <row r="54" ht="22" customHeight="1" s="117">
      <c r="A54" s="497" t="inlineStr">
        <is>
          <t>NEGOCIAÇÃO</t>
        </is>
      </c>
      <c r="B54" s="498">
        <f>SUM(C54:F54)+SUM(G54:J54)+SUM(K54:L54)+SUM(M54:N54)</f>
        <v/>
      </c>
      <c r="C54" s="499">
        <f>COUNTIFS('DRAFT 2'!$Q:$Q,$A54,'DRAFT 2'!$N:$N,"SIM",'DRAFT 2'!$B:$B,IF($C$3="TODOS","*",$C$3),'DRAFT 2'!$A:$A,"&gt;="&amp;$E$3,'DRAFT 2'!$A:$A,"&lt;="&amp;$G$3)</f>
        <v/>
      </c>
      <c r="D54" s="499">
        <f>COUNTIFS('DRAFT 2'!$Q:$Q,$A54,'DRAFT 2'!$O:$O,"SIM",'DRAFT 2'!$B:$B,IF($C$3="TODOS","*",$C$3),'DRAFT 2'!$A:$A,"&gt;="&amp;$E$3,'DRAFT 2'!$A:$A,"&lt;="&amp;$G$3)</f>
        <v/>
      </c>
      <c r="E54" s="499">
        <f>COUNTIFS('DRAFT 2'!$Q:$Q,$A54,'DRAFT 2'!$O:$O,"SIM",'DRAFT 2'!$P:$P,"SIM",'DRAFT 2'!$B:$B,IF($C$3="TODOS","*",$C$3),'DRAFT 2'!$A:$A,"&gt;="&amp;$E$3,'DRAFT 2'!$A:$A,"&lt;="&amp;$G$3)</f>
        <v/>
      </c>
      <c r="F54" s="499">
        <f>COUNTIFS('DRAFT 2'!$Q:$Q,$A54,'DRAFT 2'!$O:$O,"SIM",'DRAFT 2'!$P:$P,"NÃO",'DRAFT 2'!$B:$B,IF($C$3="TODOS","*",$C$3),'DRAFT 2'!$A:$A,"&gt;="&amp;$E$3,'DRAFT 2'!$A:$A,"&lt;="&amp;$G$3)</f>
        <v/>
      </c>
      <c r="G54" s="499">
        <f>COUNTIFS('DRAFT 2'!$Q:$Q,$A54,'DRAFT 2'!$R:$R,"EM ATENDIMENTO",'DRAFT 2'!$B:$B,IF($C$3="TODOS","*",$C$3),'DRAFT 2'!$A:$A,"&gt;="&amp;$E$3,'DRAFT 2'!$A:$A,"&lt;="&amp;$G$3)</f>
        <v/>
      </c>
      <c r="H54" s="499">
        <f>COUNTIFS('DRAFT 2'!$Q:$Q,$A54,'DRAFT 2'!$R:$R,"ORÇAMENTO",'DRAFT 2'!$B:$B,IF($C$3="TODOS","*",$C$3),'DRAFT 2'!$A:$A,"&gt;="&amp;$E$3,'DRAFT 2'!$A:$A,"&lt;="&amp;$G$3)</f>
        <v/>
      </c>
      <c r="I54" s="499">
        <f>COUNTIFS('DRAFT 2'!$Q:$Q,$A54,'DRAFT 2'!$R:$R,"CADASTRO",'DRAFT 2'!$B:$B,IF($C$3="TODOS","*",$C$3),'DRAFT 2'!$A:$A,"&gt;="&amp;$E$3,'DRAFT 2'!$A:$A,"&lt;="&amp;$G$3)</f>
        <v/>
      </c>
      <c r="J54" s="500">
        <f>COUNTIFS('DRAFT 2'!$Q:$Q,$A54,'DRAFT 2'!$R:$R,"VENDA / PEDIDO",'DRAFT 2'!$B:$B,IF($C$3="TODOS","*",$C$3),'DRAFT 2'!$A:$A,"&gt;="&amp;$E$3,'DRAFT 2'!$A:$A,"&lt;="&amp;$G$3)</f>
        <v/>
      </c>
      <c r="K54" s="499">
        <f>COUNTIFS('DRAFT 2'!$Q:$Q,$A54,'DRAFT 2'!$R:$R,"FOLLOW*",'DRAFT 2'!$B:$B,IF($C$3="TODOS","*",$C$3),'DRAFT 2'!$A:$A,"&gt;="&amp;$E$3,'DRAFT 2'!$A:$A,"&lt;="&amp;$G$3)</f>
        <v/>
      </c>
      <c r="L54" s="499">
        <f>COUNTIFS('DRAFT 2'!$Q:$Q,$A54,'DRAFT 2'!$R:$R,"SUPORTE",'DRAFT 2'!$B:$B,IF($C$3="TODOS","*",$C$3),'DRAFT 2'!$A:$A,"&gt;="&amp;$E$3,'DRAFT 2'!$A:$A,"&lt;="&amp;$G$3)</f>
        <v/>
      </c>
      <c r="M54" s="511">
        <f>COUNTIFS('DRAFT 2'!$Q:$Q,$A54,'DRAFT 2'!$R:$R,"NÃO ATENDE",'DRAFT 2'!$B:$B,IF($C$3="TODOS","*",$C$3),'DRAFT 2'!$A:$A,"&gt;="&amp;$E$3,'DRAFT 2'!$A:$A,"&lt;="&amp;$G$3)+COUNTIFS('DRAFT 2'!$Q:$Q,$A54,'DRAFT 2'!$R:$R,"NÃO RESPONDE",'DRAFT 2'!$B:$B,IF($C$3="TODOS","*",$C$3),'DRAFT 2'!$A:$A,"&gt;="&amp;$E$3,'DRAFT 2'!$A:$A,"&lt;="&amp;$G$3)+COUNTIFS('DRAFT 2'!$Q:$Q,$A54,'DRAFT 2'!$R:$R,"RECUSOU LIGAÇÃO",'DRAFT 2'!$B:$B,IF($C$3="TODOS","*",$C$3),'DRAFT 2'!$A:$A,"&gt;="&amp;$E$3,'DRAFT 2'!$A:$A,"&lt;="&amp;$G$3)</f>
        <v/>
      </c>
      <c r="N54" s="501">
        <f>COUNTIFS('DRAFT 2'!$Q:$Q,$A54,'DRAFT 2'!$R:$R,"PERDA / FECHOU LOJA",'DRAFT 2'!$B:$B,IF($C$3="TODOS","*",$C$3),'DRAFT 2'!$A:$A,"&gt;="&amp;$E$3,'DRAFT 2'!$A:$A,"&lt;="&amp;$G$3)</f>
        <v/>
      </c>
      <c r="O54" s="393" t="n"/>
      <c r="P54" s="393" t="n"/>
      <c r="Q54" s="393" t="n"/>
      <c r="R54" s="393" t="n"/>
      <c r="S54" s="393" t="n"/>
    </row>
    <row r="55" ht="22" customHeight="1" s="117">
      <c r="A55" s="502" t="inlineStr">
        <is>
          <t>FOLLOW UP</t>
        </is>
      </c>
      <c r="B55" s="493">
        <f>SUM(C55:F55)+SUM(G55:J55)+SUM(K55:L55)+SUM(M55:N55)</f>
        <v/>
      </c>
      <c r="C55" s="494">
        <f>COUNTIFS('DRAFT 2'!$Q:$Q,$A55,'DRAFT 2'!$N:$N,"SIM",'DRAFT 2'!$B:$B,IF($C$3="TODOS","*",$C$3),'DRAFT 2'!$A:$A,"&gt;="&amp;$E$3,'DRAFT 2'!$A:$A,"&lt;="&amp;$G$3)</f>
        <v/>
      </c>
      <c r="D55" s="494">
        <f>COUNTIFS('DRAFT 2'!$Q:$Q,$A55,'DRAFT 2'!$O:$O,"SIM",'DRAFT 2'!$B:$B,IF($C$3="TODOS","*",$C$3),'DRAFT 2'!$A:$A,"&gt;="&amp;$E$3,'DRAFT 2'!$A:$A,"&lt;="&amp;$G$3)</f>
        <v/>
      </c>
      <c r="E55" s="494">
        <f>COUNTIFS('DRAFT 2'!$Q:$Q,$A55,'DRAFT 2'!$O:$O,"SIM",'DRAFT 2'!$P:$P,"SIM",'DRAFT 2'!$B:$B,IF($C$3="TODOS","*",$C$3),'DRAFT 2'!$A:$A,"&gt;="&amp;$E$3,'DRAFT 2'!$A:$A,"&lt;="&amp;$G$3)</f>
        <v/>
      </c>
      <c r="F55" s="494">
        <f>COUNTIFS('DRAFT 2'!$Q:$Q,$A55,'DRAFT 2'!$O:$O,"SIM",'DRAFT 2'!$P:$P,"NÃO",'DRAFT 2'!$B:$B,IF($C$3="TODOS","*",$C$3),'DRAFT 2'!$A:$A,"&gt;="&amp;$E$3,'DRAFT 2'!$A:$A,"&lt;="&amp;$G$3)</f>
        <v/>
      </c>
      <c r="G55" s="494">
        <f>COUNTIFS('DRAFT 2'!$Q:$Q,$A55,'DRAFT 2'!$R:$R,"EM ATENDIMENTO",'DRAFT 2'!$B:$B,IF($C$3="TODOS","*",$C$3),'DRAFT 2'!$A:$A,"&gt;="&amp;$E$3,'DRAFT 2'!$A:$A,"&lt;="&amp;$G$3)</f>
        <v/>
      </c>
      <c r="H55" s="494">
        <f>COUNTIFS('DRAFT 2'!$Q:$Q,$A55,'DRAFT 2'!$R:$R,"ORÇAMENTO",'DRAFT 2'!$B:$B,IF($C$3="TODOS","*",$C$3),'DRAFT 2'!$A:$A,"&gt;="&amp;$E$3,'DRAFT 2'!$A:$A,"&lt;="&amp;$G$3)</f>
        <v/>
      </c>
      <c r="I55" s="494">
        <f>COUNTIFS('DRAFT 2'!$Q:$Q,$A55,'DRAFT 2'!$R:$R,"CADASTRO",'DRAFT 2'!$B:$B,IF($C$3="TODOS","*",$C$3),'DRAFT 2'!$A:$A,"&gt;="&amp;$E$3,'DRAFT 2'!$A:$A,"&lt;="&amp;$G$3)</f>
        <v/>
      </c>
      <c r="J55" s="495">
        <f>COUNTIFS('DRAFT 2'!$Q:$Q,$A55,'DRAFT 2'!$R:$R,"VENDA / PEDIDO",'DRAFT 2'!$B:$B,IF($C$3="TODOS","*",$C$3),'DRAFT 2'!$A:$A,"&gt;="&amp;$E$3,'DRAFT 2'!$A:$A,"&lt;="&amp;$G$3)</f>
        <v/>
      </c>
      <c r="K55" s="494">
        <f>COUNTIFS('DRAFT 2'!$Q:$Q,$A55,'DRAFT 2'!$R:$R,"FOLLOW*",'DRAFT 2'!$B:$B,IF($C$3="TODOS","*",$C$3),'DRAFT 2'!$A:$A,"&gt;="&amp;$E$3,'DRAFT 2'!$A:$A,"&lt;="&amp;$G$3)</f>
        <v/>
      </c>
      <c r="L55" s="494">
        <f>COUNTIFS('DRAFT 2'!$Q:$Q,$A55,'DRAFT 2'!$R:$R,"SUPORTE",'DRAFT 2'!$B:$B,IF($C$3="TODOS","*",$C$3),'DRAFT 2'!$A:$A,"&gt;="&amp;$E$3,'DRAFT 2'!$A:$A,"&lt;="&amp;$G$3)</f>
        <v/>
      </c>
      <c r="M55" s="510">
        <f>COUNTIFS('DRAFT 2'!$Q:$Q,$A55,'DRAFT 2'!$R:$R,"NÃO ATENDE",'DRAFT 2'!$B:$B,IF($C$3="TODOS","*",$C$3),'DRAFT 2'!$A:$A,"&gt;="&amp;$E$3,'DRAFT 2'!$A:$A,"&lt;="&amp;$G$3)+COUNTIFS('DRAFT 2'!$Q:$Q,$A55,'DRAFT 2'!$R:$R,"NÃO RESPONDE",'DRAFT 2'!$B:$B,IF($C$3="TODOS","*",$C$3),'DRAFT 2'!$A:$A,"&gt;="&amp;$E$3,'DRAFT 2'!$A:$A,"&lt;="&amp;$G$3)+COUNTIFS('DRAFT 2'!$Q:$Q,$A55,'DRAFT 2'!$R:$R,"RECUSOU LIGAÇÃO",'DRAFT 2'!$B:$B,IF($C$3="TODOS","*",$C$3),'DRAFT 2'!$A:$A,"&gt;="&amp;$E$3,'DRAFT 2'!$A:$A,"&lt;="&amp;$G$3)</f>
        <v/>
      </c>
      <c r="N55" s="496">
        <f>COUNTIFS('DRAFT 2'!$Q:$Q,$A55,'DRAFT 2'!$R:$R,"PERDA / FECHOU LOJA",'DRAFT 2'!$B:$B,IF($C$3="TODOS","*",$C$3),'DRAFT 2'!$A:$A,"&gt;="&amp;$E$3,'DRAFT 2'!$A:$A,"&lt;="&amp;$G$3)</f>
        <v/>
      </c>
      <c r="O55" s="393" t="n"/>
      <c r="P55" s="393" t="n"/>
      <c r="Q55" s="393" t="n"/>
      <c r="R55" s="393" t="n"/>
      <c r="S55" s="393" t="n"/>
    </row>
    <row r="56" ht="22" customHeight="1" s="117">
      <c r="A56" s="503" t="inlineStr">
        <is>
          <t>ATEND. CLIENTES ATIVOS</t>
        </is>
      </c>
      <c r="B56" s="498">
        <f>SUM(C56:F56)+SUM(G56:J56)+SUM(K56:L56)+SUM(M56:N56)</f>
        <v/>
      </c>
      <c r="C56" s="499">
        <f>COUNTIFS('DRAFT 2'!$Q:$Q,$A56,'DRAFT 2'!$N:$N,"SIM",'DRAFT 2'!$B:$B,IF($C$3="TODOS","*",$C$3),'DRAFT 2'!$A:$A,"&gt;="&amp;$E$3,'DRAFT 2'!$A:$A,"&lt;="&amp;$G$3)</f>
        <v/>
      </c>
      <c r="D56" s="499">
        <f>COUNTIFS('DRAFT 2'!$Q:$Q,$A56,'DRAFT 2'!$O:$O,"SIM",'DRAFT 2'!$B:$B,IF($C$3="TODOS","*",$C$3),'DRAFT 2'!$A:$A,"&gt;="&amp;$E$3,'DRAFT 2'!$A:$A,"&lt;="&amp;$G$3)</f>
        <v/>
      </c>
      <c r="E56" s="499">
        <f>COUNTIFS('DRAFT 2'!$Q:$Q,$A56,'DRAFT 2'!$O:$O,"SIM",'DRAFT 2'!$P:$P,"SIM",'DRAFT 2'!$B:$B,IF($C$3="TODOS","*",$C$3),'DRAFT 2'!$A:$A,"&gt;="&amp;$E$3,'DRAFT 2'!$A:$A,"&lt;="&amp;$G$3)</f>
        <v/>
      </c>
      <c r="F56" s="499">
        <f>COUNTIFS('DRAFT 2'!$Q:$Q,$A56,'DRAFT 2'!$O:$O,"SIM",'DRAFT 2'!$P:$P,"NÃO",'DRAFT 2'!$B:$B,IF($C$3="TODOS","*",$C$3),'DRAFT 2'!$A:$A,"&gt;="&amp;$E$3,'DRAFT 2'!$A:$A,"&lt;="&amp;$G$3)</f>
        <v/>
      </c>
      <c r="G56" s="499">
        <f>COUNTIFS('DRAFT 2'!$Q:$Q,$A56,'DRAFT 2'!$R:$R,"EM ATENDIMENTO",'DRAFT 2'!$B:$B,IF($C$3="TODOS","*",$C$3),'DRAFT 2'!$A:$A,"&gt;="&amp;$E$3,'DRAFT 2'!$A:$A,"&lt;="&amp;$G$3)</f>
        <v/>
      </c>
      <c r="H56" s="499">
        <f>COUNTIFS('DRAFT 2'!$Q:$Q,$A56,'DRAFT 2'!$R:$R,"ORÇAMENTO",'DRAFT 2'!$B:$B,IF($C$3="TODOS","*",$C$3),'DRAFT 2'!$A:$A,"&gt;="&amp;$E$3,'DRAFT 2'!$A:$A,"&lt;="&amp;$G$3)</f>
        <v/>
      </c>
      <c r="I56" s="499">
        <f>COUNTIFS('DRAFT 2'!$Q:$Q,$A56,'DRAFT 2'!$R:$R,"CADASTRO",'DRAFT 2'!$B:$B,IF($C$3="TODOS","*",$C$3),'DRAFT 2'!$A:$A,"&gt;="&amp;$E$3,'DRAFT 2'!$A:$A,"&lt;="&amp;$G$3)</f>
        <v/>
      </c>
      <c r="J56" s="500">
        <f>COUNTIFS('DRAFT 2'!$Q:$Q,$A56,'DRAFT 2'!$R:$R,"VENDA / PEDIDO",'DRAFT 2'!$B:$B,IF($C$3="TODOS","*",$C$3),'DRAFT 2'!$A:$A,"&gt;="&amp;$E$3,'DRAFT 2'!$A:$A,"&lt;="&amp;$G$3)</f>
        <v/>
      </c>
      <c r="K56" s="499">
        <f>COUNTIFS('DRAFT 2'!$Q:$Q,$A56,'DRAFT 2'!$R:$R,"FOLLOW*",'DRAFT 2'!$B:$B,IF($C$3="TODOS","*",$C$3),'DRAFT 2'!$A:$A,"&gt;="&amp;$E$3,'DRAFT 2'!$A:$A,"&lt;="&amp;$G$3)</f>
        <v/>
      </c>
      <c r="L56" s="499">
        <f>COUNTIFS('DRAFT 2'!$Q:$Q,$A56,'DRAFT 2'!$R:$R,"SUPORTE",'DRAFT 2'!$B:$B,IF($C$3="TODOS","*",$C$3),'DRAFT 2'!$A:$A,"&gt;="&amp;$E$3,'DRAFT 2'!$A:$A,"&lt;="&amp;$G$3)</f>
        <v/>
      </c>
      <c r="M56" s="511">
        <f>COUNTIFS('DRAFT 2'!$Q:$Q,$A56,'DRAFT 2'!$R:$R,"NÃO ATENDE",'DRAFT 2'!$B:$B,IF($C$3="TODOS","*",$C$3),'DRAFT 2'!$A:$A,"&gt;="&amp;$E$3,'DRAFT 2'!$A:$A,"&lt;="&amp;$G$3)+COUNTIFS('DRAFT 2'!$Q:$Q,$A56,'DRAFT 2'!$R:$R,"NÃO RESPONDE",'DRAFT 2'!$B:$B,IF($C$3="TODOS","*",$C$3),'DRAFT 2'!$A:$A,"&gt;="&amp;$E$3,'DRAFT 2'!$A:$A,"&lt;="&amp;$G$3)+COUNTIFS('DRAFT 2'!$Q:$Q,$A56,'DRAFT 2'!$R:$R,"RECUSOU LIGAÇÃO",'DRAFT 2'!$B:$B,IF($C$3="TODOS","*",$C$3),'DRAFT 2'!$A:$A,"&gt;="&amp;$E$3,'DRAFT 2'!$A:$A,"&lt;="&amp;$G$3)</f>
        <v/>
      </c>
      <c r="N56" s="501">
        <f>COUNTIFS('DRAFT 2'!$Q:$Q,$A56,'DRAFT 2'!$R:$R,"PERDA / FECHOU LOJA",'DRAFT 2'!$B:$B,IF($C$3="TODOS","*",$C$3),'DRAFT 2'!$A:$A,"&gt;="&amp;$E$3,'DRAFT 2'!$A:$A,"&lt;="&amp;$G$3)</f>
        <v/>
      </c>
      <c r="O56" s="393" t="n"/>
      <c r="P56" s="393" t="n"/>
      <c r="Q56" s="393" t="n"/>
      <c r="R56" s="393" t="n"/>
      <c r="S56" s="393" t="n"/>
    </row>
    <row r="57" ht="22" customHeight="1" s="117">
      <c r="A57" s="504" t="inlineStr">
        <is>
          <t>ATEND. CLIENTES INATIVOS</t>
        </is>
      </c>
      <c r="B57" s="493">
        <f>SUM(C57:F57)+SUM(G57:J57)+SUM(K57:L57)+SUM(M57:N57)</f>
        <v/>
      </c>
      <c r="C57" s="494">
        <f>COUNTIFS('DRAFT 2'!$Q:$Q,$A57,'DRAFT 2'!$N:$N,"SIM",'DRAFT 2'!$B:$B,IF($C$3="TODOS","*",$C$3),'DRAFT 2'!$A:$A,"&gt;="&amp;$E$3,'DRAFT 2'!$A:$A,"&lt;="&amp;$G$3)</f>
        <v/>
      </c>
      <c r="D57" s="494">
        <f>COUNTIFS('DRAFT 2'!$Q:$Q,$A57,'DRAFT 2'!$O:$O,"SIM",'DRAFT 2'!$B:$B,IF($C$3="TODOS","*",$C$3),'DRAFT 2'!$A:$A,"&gt;="&amp;$E$3,'DRAFT 2'!$A:$A,"&lt;="&amp;$G$3)</f>
        <v/>
      </c>
      <c r="E57" s="494">
        <f>COUNTIFS('DRAFT 2'!$Q:$Q,$A57,'DRAFT 2'!$O:$O,"SIM",'DRAFT 2'!$P:$P,"SIM",'DRAFT 2'!$B:$B,IF($C$3="TODOS","*",$C$3),'DRAFT 2'!$A:$A,"&gt;="&amp;$E$3,'DRAFT 2'!$A:$A,"&lt;="&amp;$G$3)</f>
        <v/>
      </c>
      <c r="F57" s="494">
        <f>COUNTIFS('DRAFT 2'!$Q:$Q,$A57,'DRAFT 2'!$O:$O,"SIM",'DRAFT 2'!$P:$P,"NÃO",'DRAFT 2'!$B:$B,IF($C$3="TODOS","*",$C$3),'DRAFT 2'!$A:$A,"&gt;="&amp;$E$3,'DRAFT 2'!$A:$A,"&lt;="&amp;$G$3)</f>
        <v/>
      </c>
      <c r="G57" s="494">
        <f>COUNTIFS('DRAFT 2'!$Q:$Q,$A57,'DRAFT 2'!$R:$R,"EM ATENDIMENTO",'DRAFT 2'!$B:$B,IF($C$3="TODOS","*",$C$3),'DRAFT 2'!$A:$A,"&gt;="&amp;$E$3,'DRAFT 2'!$A:$A,"&lt;="&amp;$G$3)</f>
        <v/>
      </c>
      <c r="H57" s="494">
        <f>COUNTIFS('DRAFT 2'!$Q:$Q,$A57,'DRAFT 2'!$R:$R,"ORÇAMENTO",'DRAFT 2'!$B:$B,IF($C$3="TODOS","*",$C$3),'DRAFT 2'!$A:$A,"&gt;="&amp;$E$3,'DRAFT 2'!$A:$A,"&lt;="&amp;$G$3)</f>
        <v/>
      </c>
      <c r="I57" s="494">
        <f>COUNTIFS('DRAFT 2'!$Q:$Q,$A57,'DRAFT 2'!$R:$R,"CADASTRO",'DRAFT 2'!$B:$B,IF($C$3="TODOS","*",$C$3),'DRAFT 2'!$A:$A,"&gt;="&amp;$E$3,'DRAFT 2'!$A:$A,"&lt;="&amp;$G$3)</f>
        <v/>
      </c>
      <c r="J57" s="495">
        <f>COUNTIFS('DRAFT 2'!$Q:$Q,$A57,'DRAFT 2'!$R:$R,"VENDA / PEDIDO",'DRAFT 2'!$B:$B,IF($C$3="TODOS","*",$C$3),'DRAFT 2'!$A:$A,"&gt;="&amp;$E$3,'DRAFT 2'!$A:$A,"&lt;="&amp;$G$3)</f>
        <v/>
      </c>
      <c r="K57" s="494">
        <f>COUNTIFS('DRAFT 2'!$Q:$Q,$A57,'DRAFT 2'!$R:$R,"FOLLOW*",'DRAFT 2'!$B:$B,IF($C$3="TODOS","*",$C$3),'DRAFT 2'!$A:$A,"&gt;="&amp;$E$3,'DRAFT 2'!$A:$A,"&lt;="&amp;$G$3)</f>
        <v/>
      </c>
      <c r="L57" s="494">
        <f>COUNTIFS('DRAFT 2'!$Q:$Q,$A57,'DRAFT 2'!$R:$R,"SUPORTE",'DRAFT 2'!$B:$B,IF($C$3="TODOS","*",$C$3),'DRAFT 2'!$A:$A,"&gt;="&amp;$E$3,'DRAFT 2'!$A:$A,"&lt;="&amp;$G$3)</f>
        <v/>
      </c>
      <c r="M57" s="510">
        <f>COUNTIFS('DRAFT 2'!$Q:$Q,$A57,'DRAFT 2'!$R:$R,"NÃO ATENDE",'DRAFT 2'!$B:$B,IF($C$3="TODOS","*",$C$3),'DRAFT 2'!$A:$A,"&gt;="&amp;$E$3,'DRAFT 2'!$A:$A,"&lt;="&amp;$G$3)+COUNTIFS('DRAFT 2'!$Q:$Q,$A57,'DRAFT 2'!$R:$R,"NÃO RESPONDE",'DRAFT 2'!$B:$B,IF($C$3="TODOS","*",$C$3),'DRAFT 2'!$A:$A,"&gt;="&amp;$E$3,'DRAFT 2'!$A:$A,"&lt;="&amp;$G$3)+COUNTIFS('DRAFT 2'!$Q:$Q,$A57,'DRAFT 2'!$R:$R,"RECUSOU LIGAÇÃO",'DRAFT 2'!$B:$B,IF($C$3="TODOS","*",$C$3),'DRAFT 2'!$A:$A,"&gt;="&amp;$E$3,'DRAFT 2'!$A:$A,"&lt;="&amp;$G$3)</f>
        <v/>
      </c>
      <c r="N57" s="496">
        <f>COUNTIFS('DRAFT 2'!$Q:$Q,$A57,'DRAFT 2'!$R:$R,"PERDA / FECHOU LOJA",'DRAFT 2'!$B:$B,IF($C$3="TODOS","*",$C$3),'DRAFT 2'!$A:$A,"&gt;="&amp;$E$3,'DRAFT 2'!$A:$A,"&lt;="&amp;$G$3)</f>
        <v/>
      </c>
      <c r="O57" s="393" t="n"/>
      <c r="P57" s="393" t="n"/>
      <c r="Q57" s="393" t="n"/>
      <c r="R57" s="393" t="n"/>
      <c r="S57" s="393" t="n"/>
    </row>
    <row r="58" ht="22" customHeight="1" s="117">
      <c r="A58" s="503" t="inlineStr">
        <is>
          <t>PÓS-VENDA / RELACIONAMENTO</t>
        </is>
      </c>
      <c r="B58" s="498">
        <f>SUM(C58:F58)+SUM(G58:J58)+SUM(K58:L58)+SUM(M58:N58)</f>
        <v/>
      </c>
      <c r="C58" s="499">
        <f>COUNTIFS('DRAFT 2'!$Q:$Q,$A58,'DRAFT 2'!$N:$N,"SIM",'DRAFT 2'!$B:$B,IF($C$3="TODOS","*",$C$3),'DRAFT 2'!$A:$A,"&gt;="&amp;$E$3,'DRAFT 2'!$A:$A,"&lt;="&amp;$G$3)</f>
        <v/>
      </c>
      <c r="D58" s="499">
        <f>COUNTIFS('DRAFT 2'!$Q:$Q,$A58,'DRAFT 2'!$O:$O,"SIM",'DRAFT 2'!$B:$B,IF($C$3="TODOS","*",$C$3),'DRAFT 2'!$A:$A,"&gt;="&amp;$E$3,'DRAFT 2'!$A:$A,"&lt;="&amp;$G$3)</f>
        <v/>
      </c>
      <c r="E58" s="499">
        <f>COUNTIFS('DRAFT 2'!$Q:$Q,$A58,'DRAFT 2'!$O:$O,"SIM",'DRAFT 2'!$P:$P,"SIM",'DRAFT 2'!$B:$B,IF($C$3="TODOS","*",$C$3),'DRAFT 2'!$A:$A,"&gt;="&amp;$E$3,'DRAFT 2'!$A:$A,"&lt;="&amp;$G$3)</f>
        <v/>
      </c>
      <c r="F58" s="499">
        <f>COUNTIFS('DRAFT 2'!$Q:$Q,$A58,'DRAFT 2'!$O:$O,"SIM",'DRAFT 2'!$P:$P,"NÃO",'DRAFT 2'!$B:$B,IF($C$3="TODOS","*",$C$3),'DRAFT 2'!$A:$A,"&gt;="&amp;$E$3,'DRAFT 2'!$A:$A,"&lt;="&amp;$G$3)</f>
        <v/>
      </c>
      <c r="G58" s="499">
        <f>COUNTIFS('DRAFT 2'!$Q:$Q,$A58,'DRAFT 2'!$R:$R,"EM ATENDIMENTO",'DRAFT 2'!$B:$B,IF($C$3="TODOS","*",$C$3),'DRAFT 2'!$A:$A,"&gt;="&amp;$E$3,'DRAFT 2'!$A:$A,"&lt;="&amp;$G$3)</f>
        <v/>
      </c>
      <c r="H58" s="499">
        <f>COUNTIFS('DRAFT 2'!$Q:$Q,$A58,'DRAFT 2'!$R:$R,"ORÇAMENTO",'DRAFT 2'!$B:$B,IF($C$3="TODOS","*",$C$3),'DRAFT 2'!$A:$A,"&gt;="&amp;$E$3,'DRAFT 2'!$A:$A,"&lt;="&amp;$G$3)</f>
        <v/>
      </c>
      <c r="I58" s="499">
        <f>COUNTIFS('DRAFT 2'!$Q:$Q,$A58,'DRAFT 2'!$R:$R,"CADASTRO",'DRAFT 2'!$B:$B,IF($C$3="TODOS","*",$C$3),'DRAFT 2'!$A:$A,"&gt;="&amp;$E$3,'DRAFT 2'!$A:$A,"&lt;="&amp;$G$3)</f>
        <v/>
      </c>
      <c r="J58" s="500">
        <f>COUNTIFS('DRAFT 2'!$Q:$Q,$A58,'DRAFT 2'!$R:$R,"VENDA / PEDIDO",'DRAFT 2'!$B:$B,IF($C$3="TODOS","*",$C$3),'DRAFT 2'!$A:$A,"&gt;="&amp;$E$3,'DRAFT 2'!$A:$A,"&lt;="&amp;$G$3)</f>
        <v/>
      </c>
      <c r="K58" s="499">
        <f>COUNTIFS('DRAFT 2'!$Q:$Q,$A58,'DRAFT 2'!$R:$R,"FOLLOW*",'DRAFT 2'!$B:$B,IF($C$3="TODOS","*",$C$3),'DRAFT 2'!$A:$A,"&gt;="&amp;$E$3,'DRAFT 2'!$A:$A,"&lt;="&amp;$G$3)</f>
        <v/>
      </c>
      <c r="L58" s="499">
        <f>COUNTIFS('DRAFT 2'!$Q:$Q,$A58,'DRAFT 2'!$R:$R,"SUPORTE",'DRAFT 2'!$B:$B,IF($C$3="TODOS","*",$C$3),'DRAFT 2'!$A:$A,"&gt;="&amp;$E$3,'DRAFT 2'!$A:$A,"&lt;="&amp;$G$3)</f>
        <v/>
      </c>
      <c r="M58" s="511">
        <f>COUNTIFS('DRAFT 2'!$Q:$Q,$A58,'DRAFT 2'!$R:$R,"NÃO ATENDE",'DRAFT 2'!$B:$B,IF($C$3="TODOS","*",$C$3),'DRAFT 2'!$A:$A,"&gt;="&amp;$E$3,'DRAFT 2'!$A:$A,"&lt;="&amp;$G$3)+COUNTIFS('DRAFT 2'!$Q:$Q,$A58,'DRAFT 2'!$R:$R,"NÃO RESPONDE",'DRAFT 2'!$B:$B,IF($C$3="TODOS","*",$C$3),'DRAFT 2'!$A:$A,"&gt;="&amp;$E$3,'DRAFT 2'!$A:$A,"&lt;="&amp;$G$3)+COUNTIFS('DRAFT 2'!$Q:$Q,$A58,'DRAFT 2'!$R:$R,"RECUSOU LIGAÇÃO",'DRAFT 2'!$B:$B,IF($C$3="TODOS","*",$C$3),'DRAFT 2'!$A:$A,"&gt;="&amp;$E$3,'DRAFT 2'!$A:$A,"&lt;="&amp;$G$3)</f>
        <v/>
      </c>
      <c r="N58" s="501">
        <f>COUNTIFS('DRAFT 2'!$Q:$Q,$A58,'DRAFT 2'!$R:$R,"PERDA / FECHOU LOJA",'DRAFT 2'!$B:$B,IF($C$3="TODOS","*",$C$3),'DRAFT 2'!$A:$A,"&gt;="&amp;$E$3,'DRAFT 2'!$A:$A,"&lt;="&amp;$G$3)</f>
        <v/>
      </c>
      <c r="O58" s="393" t="n"/>
      <c r="P58" s="393" t="n"/>
      <c r="Q58" s="393" t="n"/>
      <c r="R58" s="393" t="n"/>
      <c r="S58" s="393" t="n"/>
    </row>
    <row r="59" ht="22" customHeight="1" s="117">
      <c r="A59" s="505" t="inlineStr">
        <is>
          <t>PERDA / NUTRIÇÃO</t>
        </is>
      </c>
      <c r="B59" s="493">
        <f>SUM(C59:F59)+SUM(G59:J59)+SUM(K59:L59)+SUM(M59:N59)</f>
        <v/>
      </c>
      <c r="C59" s="494">
        <f>COUNTIFS('DRAFT 2'!$Q:$Q,$A59,'DRAFT 2'!$N:$N,"SIM",'DRAFT 2'!$B:$B,IF($C$3="TODOS","*",$C$3),'DRAFT 2'!$A:$A,"&gt;="&amp;$E$3,'DRAFT 2'!$A:$A,"&lt;="&amp;$G$3)</f>
        <v/>
      </c>
      <c r="D59" s="494">
        <f>COUNTIFS('DRAFT 2'!$Q:$Q,$A59,'DRAFT 2'!$O:$O,"SIM",'DRAFT 2'!$B:$B,IF($C$3="TODOS","*",$C$3),'DRAFT 2'!$A:$A,"&gt;="&amp;$E$3,'DRAFT 2'!$A:$A,"&lt;="&amp;$G$3)</f>
        <v/>
      </c>
      <c r="E59" s="494">
        <f>COUNTIFS('DRAFT 2'!$Q:$Q,$A59,'DRAFT 2'!$O:$O,"SIM",'DRAFT 2'!$P:$P,"SIM",'DRAFT 2'!$B:$B,IF($C$3="TODOS","*",$C$3),'DRAFT 2'!$A:$A,"&gt;="&amp;$E$3,'DRAFT 2'!$A:$A,"&lt;="&amp;$G$3)</f>
        <v/>
      </c>
      <c r="F59" s="494">
        <f>COUNTIFS('DRAFT 2'!$Q:$Q,$A59,'DRAFT 2'!$O:$O,"SIM",'DRAFT 2'!$P:$P,"NÃO",'DRAFT 2'!$B:$B,IF($C$3="TODOS","*",$C$3),'DRAFT 2'!$A:$A,"&gt;="&amp;$E$3,'DRAFT 2'!$A:$A,"&lt;="&amp;$G$3)</f>
        <v/>
      </c>
      <c r="G59" s="494">
        <f>COUNTIFS('DRAFT 2'!$Q:$Q,$A59,'DRAFT 2'!$R:$R,"EM ATENDIMENTO",'DRAFT 2'!$B:$B,IF($C$3="TODOS","*",$C$3),'DRAFT 2'!$A:$A,"&gt;="&amp;$E$3,'DRAFT 2'!$A:$A,"&lt;="&amp;$G$3)</f>
        <v/>
      </c>
      <c r="H59" s="494">
        <f>COUNTIFS('DRAFT 2'!$Q:$Q,$A59,'DRAFT 2'!$R:$R,"ORÇAMENTO",'DRAFT 2'!$B:$B,IF($C$3="TODOS","*",$C$3),'DRAFT 2'!$A:$A,"&gt;="&amp;$E$3,'DRAFT 2'!$A:$A,"&lt;="&amp;$G$3)</f>
        <v/>
      </c>
      <c r="I59" s="494">
        <f>COUNTIFS('DRAFT 2'!$Q:$Q,$A59,'DRAFT 2'!$R:$R,"CADASTRO",'DRAFT 2'!$B:$B,IF($C$3="TODOS","*",$C$3),'DRAFT 2'!$A:$A,"&gt;="&amp;$E$3,'DRAFT 2'!$A:$A,"&lt;="&amp;$G$3)</f>
        <v/>
      </c>
      <c r="J59" s="495">
        <f>COUNTIFS('DRAFT 2'!$Q:$Q,$A59,'DRAFT 2'!$R:$R,"VENDA / PEDIDO",'DRAFT 2'!$B:$B,IF($C$3="TODOS","*",$C$3),'DRAFT 2'!$A:$A,"&gt;="&amp;$E$3,'DRAFT 2'!$A:$A,"&lt;="&amp;$G$3)</f>
        <v/>
      </c>
      <c r="K59" s="494">
        <f>COUNTIFS('DRAFT 2'!$Q:$Q,$A59,'DRAFT 2'!$R:$R,"FOLLOW*",'DRAFT 2'!$B:$B,IF($C$3="TODOS","*",$C$3),'DRAFT 2'!$A:$A,"&gt;="&amp;$E$3,'DRAFT 2'!$A:$A,"&lt;="&amp;$G$3)</f>
        <v/>
      </c>
      <c r="L59" s="494">
        <f>COUNTIFS('DRAFT 2'!$Q:$Q,$A59,'DRAFT 2'!$R:$R,"SUPORTE",'DRAFT 2'!$B:$B,IF($C$3="TODOS","*",$C$3),'DRAFT 2'!$A:$A,"&gt;="&amp;$E$3,'DRAFT 2'!$A:$A,"&lt;="&amp;$G$3)</f>
        <v/>
      </c>
      <c r="M59" s="510">
        <f>COUNTIFS('DRAFT 2'!$Q:$Q,$A59,'DRAFT 2'!$R:$R,"NÃO ATENDE",'DRAFT 2'!$B:$B,IF($C$3="TODOS","*",$C$3),'DRAFT 2'!$A:$A,"&gt;="&amp;$E$3,'DRAFT 2'!$A:$A,"&lt;="&amp;$G$3)+COUNTIFS('DRAFT 2'!$Q:$Q,$A59,'DRAFT 2'!$R:$R,"NÃO RESPONDE",'DRAFT 2'!$B:$B,IF($C$3="TODOS","*",$C$3),'DRAFT 2'!$A:$A,"&gt;="&amp;$E$3,'DRAFT 2'!$A:$A,"&lt;="&amp;$G$3)+COUNTIFS('DRAFT 2'!$Q:$Q,$A59,'DRAFT 2'!$R:$R,"RECUSOU LIGAÇÃO",'DRAFT 2'!$B:$B,IF($C$3="TODOS","*",$C$3),'DRAFT 2'!$A:$A,"&gt;="&amp;$E$3,'DRAFT 2'!$A:$A,"&lt;="&amp;$G$3)</f>
        <v/>
      </c>
      <c r="N59" s="496">
        <f>COUNTIFS('DRAFT 2'!$Q:$Q,$A59,'DRAFT 2'!$R:$R,"PERDA / FECHOU LOJA",'DRAFT 2'!$B:$B,IF($C$3="TODOS","*",$C$3),'DRAFT 2'!$A:$A,"&gt;="&amp;$E$3,'DRAFT 2'!$A:$A,"&lt;="&amp;$G$3)</f>
        <v/>
      </c>
      <c r="O59" s="393" t="n"/>
      <c r="P59" s="393" t="n"/>
      <c r="Q59" s="393" t="n"/>
      <c r="R59" s="393" t="n"/>
      <c r="S59" s="393" t="n"/>
    </row>
    <row r="60" ht="24" customHeight="1" s="117">
      <c r="A60" s="506" t="inlineStr">
        <is>
          <t>TOTAL</t>
        </is>
      </c>
      <c r="B60" s="507">
        <f>SUM(B53:B59)</f>
        <v/>
      </c>
      <c r="C60" s="507">
        <f>SUM(C53:C59)</f>
        <v/>
      </c>
      <c r="D60" s="507">
        <f>SUM(D53:D59)</f>
        <v/>
      </c>
      <c r="E60" s="507">
        <f>SUM(E53:E59)</f>
        <v/>
      </c>
      <c r="F60" s="507">
        <f>SUM(F53:F59)</f>
        <v/>
      </c>
      <c r="G60" s="507">
        <f>SUM(G53:G59)</f>
        <v/>
      </c>
      <c r="H60" s="507">
        <f>SUM(H53:H59)</f>
        <v/>
      </c>
      <c r="I60" s="507">
        <f>SUM(I53:I59)</f>
        <v/>
      </c>
      <c r="J60" s="507">
        <f>SUM(J53:J59)</f>
        <v/>
      </c>
      <c r="K60" s="507">
        <f>SUM(K53:K59)</f>
        <v/>
      </c>
      <c r="L60" s="507">
        <f>SUM(L53:L59)</f>
        <v/>
      </c>
      <c r="M60" s="507">
        <f>SUM(M53:M59)</f>
        <v/>
      </c>
      <c r="N60" s="507">
        <f>SUM(N53:N59)</f>
        <v/>
      </c>
      <c r="O60" s="393" t="n"/>
      <c r="P60" s="393" t="n"/>
      <c r="Q60" s="393" t="n"/>
      <c r="R60" s="393" t="n"/>
      <c r="S60" s="393" t="n"/>
    </row>
    <row r="61" ht="15" customHeight="1" s="117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  <c r="J61" s="393" t="n"/>
      <c r="K61" s="393" t="n"/>
      <c r="L61" s="393" t="n"/>
      <c r="M61" s="393" t="n"/>
      <c r="N61" s="393" t="n"/>
      <c r="O61" s="393" t="n"/>
      <c r="P61" s="393" t="n"/>
      <c r="Q61" s="393" t="n"/>
      <c r="R61" s="393" t="n"/>
      <c r="S61" s="393" t="n"/>
    </row>
    <row r="62" ht="15" customHeight="1" s="117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  <c r="J62" s="393" t="n"/>
      <c r="K62" s="393" t="n"/>
      <c r="L62" s="393" t="n"/>
      <c r="M62" s="393" t="n"/>
      <c r="N62" s="393" t="n"/>
      <c r="O62" s="393" t="n"/>
      <c r="P62" s="393" t="n"/>
      <c r="Q62" s="393" t="n"/>
      <c r="R62" s="393" t="n"/>
      <c r="S62" s="393" t="n"/>
    </row>
    <row r="63" ht="15" customHeight="1" s="117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  <c r="J63" s="393" t="n"/>
      <c r="K63" s="393" t="n"/>
      <c r="L63" s="393" t="n"/>
      <c r="M63" s="393" t="n"/>
      <c r="N63" s="393" t="n"/>
      <c r="O63" s="393" t="n"/>
      <c r="P63" s="393" t="n"/>
      <c r="Q63" s="393" t="n"/>
      <c r="R63" s="393" t="n"/>
      <c r="S63" s="393" t="n"/>
    </row>
    <row r="64" ht="15" customHeight="1" s="117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  <c r="J64" s="393" t="n"/>
      <c r="K64" s="393" t="n"/>
      <c r="L64" s="393" t="n"/>
      <c r="M64" s="393" t="n"/>
      <c r="N64" s="393" t="n"/>
      <c r="O64" s="393" t="n"/>
      <c r="P64" s="393" t="n"/>
      <c r="Q64" s="393" t="n"/>
      <c r="R64" s="393" t="n"/>
      <c r="S64" s="393" t="n"/>
    </row>
    <row r="65" ht="15" customHeight="1" s="117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  <c r="J65" s="393" t="n"/>
      <c r="K65" s="393" t="n"/>
      <c r="L65" s="393" t="n"/>
      <c r="M65" s="393" t="n"/>
      <c r="N65" s="393" t="n"/>
      <c r="O65" s="393" t="n"/>
      <c r="P65" s="393" t="n"/>
      <c r="Q65" s="393" t="n"/>
      <c r="R65" s="393" t="n"/>
      <c r="S65" s="393" t="n"/>
    </row>
    <row r="66" ht="15" customHeight="1" s="117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  <c r="J66" s="393" t="n"/>
      <c r="K66" s="393" t="n"/>
      <c r="L66" s="393" t="n"/>
      <c r="M66" s="393" t="n"/>
      <c r="N66" s="393" t="n"/>
      <c r="O66" s="393" t="n"/>
      <c r="P66" s="393" t="n"/>
      <c r="Q66" s="393" t="n"/>
      <c r="R66" s="393" t="n"/>
      <c r="S66" s="393" t="n"/>
    </row>
    <row r="67" ht="15" customHeight="1" s="117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  <c r="J67" s="393" t="n"/>
      <c r="K67" s="393" t="n"/>
      <c r="L67" s="393" t="n"/>
      <c r="M67" s="393" t="n"/>
      <c r="N67" s="393" t="n"/>
      <c r="O67" s="393" t="n"/>
      <c r="P67" s="393" t="n"/>
      <c r="Q67" s="393" t="n"/>
      <c r="R67" s="393" t="n"/>
      <c r="S67" s="393" t="n"/>
    </row>
    <row r="68" ht="15" customHeight="1" s="117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  <c r="J68" s="393" t="n"/>
      <c r="K68" s="393" t="n"/>
      <c r="L68" s="393" t="n"/>
      <c r="M68" s="393" t="n"/>
      <c r="N68" s="393" t="n"/>
      <c r="O68" s="393" t="n"/>
      <c r="P68" s="393" t="n"/>
      <c r="Q68" s="393" t="n"/>
      <c r="R68" s="393" t="n"/>
      <c r="S68" s="393" t="n"/>
    </row>
    <row r="69" ht="15" customHeight="1" s="117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  <c r="J69" s="393" t="n"/>
      <c r="K69" s="393" t="n"/>
      <c r="L69" s="393" t="n"/>
      <c r="M69" s="393" t="n"/>
      <c r="N69" s="393" t="n"/>
      <c r="O69" s="393" t="n"/>
      <c r="P69" s="393" t="n"/>
      <c r="Q69" s="393" t="n"/>
      <c r="R69" s="393" t="n"/>
      <c r="S69" s="393" t="n"/>
    </row>
    <row r="70" ht="15" customHeight="1" s="117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  <c r="J70" s="393" t="n"/>
      <c r="K70" s="393" t="n"/>
      <c r="L70" s="393" t="n"/>
      <c r="M70" s="393" t="n"/>
      <c r="N70" s="393" t="n"/>
      <c r="O70" s="393" t="n"/>
      <c r="P70" s="393" t="n"/>
      <c r="Q70" s="393" t="n"/>
      <c r="R70" s="393" t="n"/>
      <c r="S70" s="393" t="n"/>
    </row>
    <row r="71" ht="15" customHeight="1" s="117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  <c r="J71" s="393" t="n"/>
      <c r="K71" s="393" t="n"/>
      <c r="L71" s="393" t="n"/>
      <c r="M71" s="393" t="n"/>
      <c r="N71" s="393" t="n"/>
      <c r="O71" s="393" t="n"/>
      <c r="P71" s="393" t="n"/>
      <c r="Q71" s="393" t="n"/>
      <c r="R71" s="393" t="n"/>
      <c r="S71" s="393" t="n"/>
    </row>
    <row r="72" ht="15" customHeight="1" s="117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  <c r="J72" s="393" t="n"/>
      <c r="K72" s="393" t="n"/>
      <c r="L72" s="393" t="n"/>
      <c r="M72" s="393" t="n"/>
      <c r="N72" s="393" t="n"/>
      <c r="O72" s="393" t="n"/>
      <c r="P72" s="393" t="n"/>
      <c r="Q72" s="393" t="n"/>
      <c r="R72" s="393" t="n"/>
      <c r="S72" s="393" t="n"/>
    </row>
    <row r="73" ht="15" customHeight="1" s="117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  <c r="J73" s="393" t="n"/>
      <c r="K73" s="393" t="n"/>
      <c r="L73" s="393" t="n"/>
      <c r="M73" s="393" t="n"/>
      <c r="N73" s="393" t="n"/>
      <c r="O73" s="393" t="n"/>
      <c r="P73" s="393" t="n"/>
      <c r="Q73" s="393" t="n"/>
      <c r="R73" s="393" t="n"/>
      <c r="S73" s="393" t="n"/>
    </row>
    <row r="74" ht="15" customHeight="1" s="117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  <c r="J74" s="393" t="n"/>
      <c r="K74" s="393" t="n"/>
      <c r="L74" s="393" t="n"/>
      <c r="M74" s="393" t="n"/>
      <c r="N74" s="393" t="n"/>
      <c r="O74" s="393" t="n"/>
      <c r="P74" s="393" t="n"/>
      <c r="Q74" s="393" t="n"/>
      <c r="R74" s="393" t="n"/>
      <c r="S74" s="393" t="n"/>
    </row>
    <row r="75" ht="15" customHeight="1" s="117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  <c r="J75" s="393" t="n"/>
      <c r="K75" s="393" t="n"/>
      <c r="L75" s="393" t="n"/>
      <c r="M75" s="393" t="n"/>
      <c r="N75" s="393" t="n"/>
      <c r="O75" s="393" t="n"/>
      <c r="P75" s="393" t="n"/>
      <c r="Q75" s="393" t="n"/>
      <c r="R75" s="393" t="n"/>
      <c r="S75" s="393" t="n"/>
    </row>
    <row r="76" ht="15" customHeight="1" s="117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  <c r="J76" s="393" t="n"/>
      <c r="K76" s="393" t="n"/>
      <c r="L76" s="393" t="n"/>
      <c r="M76" s="393" t="n"/>
      <c r="N76" s="393" t="n"/>
      <c r="O76" s="393" t="n"/>
      <c r="P76" s="393" t="n"/>
      <c r="Q76" s="393" t="n"/>
      <c r="R76" s="393" t="n"/>
      <c r="S76" s="393" t="n"/>
    </row>
    <row r="77" ht="15" customHeight="1" s="117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  <c r="J77" s="393" t="n"/>
      <c r="K77" s="393" t="n"/>
      <c r="L77" s="393" t="n"/>
      <c r="M77" s="393" t="n"/>
      <c r="N77" s="393" t="n"/>
      <c r="O77" s="393" t="n"/>
      <c r="P77" s="393" t="n"/>
      <c r="Q77" s="393" t="n"/>
      <c r="R77" s="393" t="n"/>
      <c r="S77" s="393" t="n"/>
    </row>
    <row r="78" ht="15" customHeight="1" s="117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  <c r="J78" s="393" t="n"/>
      <c r="K78" s="393" t="n"/>
      <c r="L78" s="393" t="n"/>
      <c r="M78" s="393" t="n"/>
      <c r="N78" s="393" t="n"/>
      <c r="O78" s="393" t="n"/>
      <c r="P78" s="393" t="n"/>
      <c r="Q78" s="393" t="n"/>
      <c r="R78" s="393" t="n"/>
      <c r="S78" s="393" t="n"/>
    </row>
    <row r="79" ht="15" customHeight="1" s="117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  <c r="J79" s="393" t="n"/>
      <c r="K79" s="393" t="n"/>
      <c r="L79" s="393" t="n"/>
      <c r="M79" s="393" t="n"/>
      <c r="N79" s="393" t="n"/>
      <c r="O79" s="393" t="n"/>
      <c r="P79" s="393" t="n"/>
      <c r="Q79" s="393" t="n"/>
      <c r="R79" s="393" t="n"/>
      <c r="S79" s="393" t="n"/>
    </row>
    <row r="80" ht="30" customHeight="1" s="117">
      <c r="A80" s="489" t="inlineStr">
        <is>
          <t xml:space="preserve">  MOTIVOS — POR QUE NÃO COMPRAM</t>
        </is>
      </c>
      <c r="B80" s="490" t="n"/>
      <c r="C80" s="490" t="n"/>
      <c r="D80" s="490" t="n"/>
      <c r="E80" s="490" t="n"/>
      <c r="F80" s="490" t="n"/>
      <c r="G80" s="490" t="n"/>
      <c r="H80" s="393" t="n"/>
      <c r="I80" s="489" t="inlineStr">
        <is>
          <t xml:space="preserve">  PRODUTIVIDADE POR CONSULTOR</t>
        </is>
      </c>
      <c r="J80" s="490" t="n"/>
      <c r="K80" s="490" t="n"/>
      <c r="L80" s="490" t="n"/>
      <c r="M80" s="490" t="n"/>
      <c r="N80" s="490" t="n"/>
      <c r="O80" s="393" t="n"/>
      <c r="P80" s="393" t="n"/>
      <c r="Q80" s="393" t="n"/>
      <c r="R80" s="393" t="n"/>
      <c r="S80" s="393" t="n"/>
    </row>
    <row r="81" ht="22" customHeight="1" s="117">
      <c r="A81" s="491" t="inlineStr">
        <is>
          <t>MOTIVO</t>
        </is>
      </c>
      <c r="B81" s="491" t="inlineStr">
        <is>
          <t>QTD</t>
        </is>
      </c>
      <c r="C81" s="491" t="inlineStr">
        <is>
          <t>%</t>
        </is>
      </c>
      <c r="D81" s="491" t="inlineStr">
        <is>
          <t>PROSP.</t>
        </is>
      </c>
      <c r="E81" s="491" t="inlineStr">
        <is>
          <t>ATIVOS</t>
        </is>
      </c>
      <c r="F81" s="491" t="inlineStr">
        <is>
          <t>INAT.</t>
        </is>
      </c>
      <c r="G81" s="491" t="inlineStr">
        <is>
          <t>PÓS-V.</t>
        </is>
      </c>
      <c r="H81" s="393" t="n"/>
      <c r="I81" s="491" t="inlineStr">
        <is>
          <t>CONSULTOR</t>
        </is>
      </c>
      <c r="J81" s="491" t="inlineStr">
        <is>
          <t>CONTATOS</t>
        </is>
      </c>
      <c r="K81" s="491" t="inlineStr">
        <is>
          <t>VENDAS</t>
        </is>
      </c>
      <c r="L81" s="491" t="inlineStr">
        <is>
          <t>ORÇAM.</t>
        </is>
      </c>
      <c r="M81" s="491" t="inlineStr">
        <is>
          <t>% CONV.</t>
        </is>
      </c>
      <c r="N81" s="491" t="inlineStr">
        <is>
          <t>Ñ ATENDE</t>
        </is>
      </c>
      <c r="O81" s="393" t="n"/>
      <c r="P81" s="393" t="n"/>
      <c r="Q81" s="393" t="n"/>
      <c r="R81" s="393" t="n"/>
      <c r="S81" s="393" t="n"/>
    </row>
    <row r="82" ht="18" customHeight="1" s="117">
      <c r="A82" s="513" t="inlineStr">
        <is>
          <t>AINDA TEM ESTOQUE</t>
        </is>
      </c>
      <c r="B82" s="514">
        <f>COUNTIFS('DRAFT 2'!$S:$S,"AINDA TEM ESTOQUE",'DRAFT 2'!$B:$B,IF($C$3="TODOS","*",$C$3),'DRAFT 2'!$A:$A,"&gt;="&amp;$E$3,'DRAFT 2'!$A:$A,"&lt;="&amp;$G$3)</f>
        <v/>
      </c>
      <c r="C82" s="515">
        <f>IF(SUM($B$82:$B$91)&gt;0,B82/SUM($B$82:$B$91),0)</f>
        <v/>
      </c>
      <c r="D82" s="499">
        <f>COUNTIFS('DRAFT 2'!$S:$S,"AINDA TEM ESTOQUE",'DRAFT 2'!$Q:$Q,"PROSPECÇÃO",'DRAFT 2'!$B:$B,IF($C$3="TODOS","*",$C$3),'DRAFT 2'!$A:$A,"&gt;="&amp;$E$3,'DRAFT 2'!$A:$A,"&lt;="&amp;$G$3)</f>
        <v/>
      </c>
      <c r="E82" s="499">
        <f>COUNTIFS('DRAFT 2'!$S:$S,"AINDA TEM ESTOQUE",'DRAFT 2'!$Q:$Q,"ATEND. CLIENTES ATIVOS",'DRAFT 2'!$B:$B,IF($C$3="TODOS","*",$C$3),'DRAFT 2'!$A:$A,"&gt;="&amp;$E$3,'DRAFT 2'!$A:$A,"&lt;="&amp;$G$3)</f>
        <v/>
      </c>
      <c r="F82" s="499">
        <f>COUNTIFS('DRAFT 2'!$S:$S,"AINDA TEM ESTOQUE",'DRAFT 2'!$Q:$Q,"ATEND. CLIENTES INATIVOS",'DRAFT 2'!$B:$B,IF($C$3="TODOS","*",$C$3),'DRAFT 2'!$A:$A,"&gt;="&amp;$E$3,'DRAFT 2'!$A:$A,"&lt;="&amp;$G$3)</f>
        <v/>
      </c>
      <c r="G82" s="499">
        <f>COUNTIFS('DRAFT 2'!$S:$S,"AINDA TEM ESTOQUE",'DRAFT 2'!$Q:$Q,"PÓS-VENDA / RELACIONAMENTO",'DRAFT 2'!$B:$B,IF($C$3="TODOS","*",$C$3),'DRAFT 2'!$A:$A,"&gt;="&amp;$E$3,'DRAFT 2'!$A:$A,"&lt;="&amp;$G$3)</f>
        <v/>
      </c>
      <c r="H82" s="393" t="n"/>
      <c r="I82" s="516" t="inlineStr">
        <is>
          <t>MANU DITZEL</t>
        </is>
      </c>
      <c r="J82" s="517">
        <f>COUNTIFS('DRAFT 2'!$B:$B,$I82,'DRAFT 2'!$A:$A,"&gt;="&amp;$E$3,'DRAFT 2'!$A:$A,"&lt;="&amp;$G$3)</f>
        <v/>
      </c>
      <c r="K82" s="518">
        <f>COUNTIFS('DRAFT 2'!$B:$B,$I82,'DRAFT 2'!$R:$R,"VENDA / PEDIDO",'DRAFT 2'!$A:$A,"&gt;="&amp;$E$3,'DRAFT 2'!$A:$A,"&lt;="&amp;$G$3)</f>
        <v/>
      </c>
      <c r="L82" s="519">
        <f>COUNTIFS('DRAFT 2'!$B:$B,$I82,'DRAFT 2'!$R:$R,"ORÇAMENTO",'DRAFT 2'!$A:$A,"&gt;="&amp;$E$3,'DRAFT 2'!$A:$A,"&lt;="&amp;$G$3)</f>
        <v/>
      </c>
      <c r="M82" s="520">
        <f>IFERROR(K82/J82,0)</f>
        <v/>
      </c>
      <c r="N82" s="521">
        <f>COUNTIFS('DRAFT 2'!$B:$B,$I82,'DRAFT 2'!$R:$R,"NÃO ATENDE",'DRAFT 2'!$A:$A,"&gt;="&amp;$E$3,'DRAFT 2'!$A:$A,"&lt;="&amp;$G$3)</f>
        <v/>
      </c>
      <c r="O82" s="393" t="n"/>
      <c r="P82" s="393" t="n"/>
      <c r="Q82" s="393" t="n"/>
      <c r="R82" s="393" t="n"/>
      <c r="S82" s="393" t="n"/>
    </row>
    <row r="83" ht="18" customHeight="1" s="117">
      <c r="A83" s="522" t="inlineStr">
        <is>
          <t>PROD. Ñ VENDEU/SEM GIRO</t>
        </is>
      </c>
      <c r="B83" s="523">
        <f>COUNTIFS('DRAFT 2'!$S:$S,"PRODUTO NÃO VENDEU / SEM GIRO",'DRAFT 2'!$B:$B,IF($C$3="TODOS","*",$C$3),'DRAFT 2'!$A:$A,"&gt;="&amp;$E$3,'DRAFT 2'!$A:$A,"&lt;="&amp;$G$3)</f>
        <v/>
      </c>
      <c r="C83" s="524">
        <f>IF(SUM($B$82:$B$91)&gt;0,B83/SUM($B$82:$B$91),0)</f>
        <v/>
      </c>
      <c r="D83" s="494">
        <f>COUNTIFS('DRAFT 2'!$S:$S,"PRODUTO NÃO VENDEU / SEM GIRO",'DRAFT 2'!$Q:$Q,"PROSPECÇÃO",'DRAFT 2'!$B:$B,IF($C$3="TODOS","*",$C$3),'DRAFT 2'!$A:$A,"&gt;="&amp;$E$3,'DRAFT 2'!$A:$A,"&lt;="&amp;$G$3)</f>
        <v/>
      </c>
      <c r="E83" s="494">
        <f>COUNTIFS('DRAFT 2'!$S:$S,"PRODUTO NÃO VENDEU / SEM GIRO",'DRAFT 2'!$Q:$Q,"ATEND. CLIENTES ATIVOS",'DRAFT 2'!$B:$B,IF($C$3="TODOS","*",$C$3),'DRAFT 2'!$A:$A,"&gt;="&amp;$E$3,'DRAFT 2'!$A:$A,"&lt;="&amp;$G$3)</f>
        <v/>
      </c>
      <c r="F83" s="494">
        <f>COUNTIFS('DRAFT 2'!$S:$S,"PRODUTO NÃO VENDEU / SEM GIRO",'DRAFT 2'!$Q:$Q,"ATEND. CLIENTES INATIVOS",'DRAFT 2'!$B:$B,IF($C$3="TODOS","*",$C$3),'DRAFT 2'!$A:$A,"&gt;="&amp;$E$3,'DRAFT 2'!$A:$A,"&lt;="&amp;$G$3)</f>
        <v/>
      </c>
      <c r="G83" s="494">
        <f>COUNTIFS('DRAFT 2'!$S:$S,"PRODUTO NÃO VENDEU / SEM GIRO",'DRAFT 2'!$Q:$Q,"PÓS-VENDA / RELACIONAMENTO",'DRAFT 2'!$B:$B,IF($C$3="TODOS","*",$C$3),'DRAFT 2'!$A:$A,"&gt;="&amp;$E$3,'DRAFT 2'!$A:$A,"&lt;="&amp;$G$3)</f>
        <v/>
      </c>
      <c r="H83" s="393" t="n"/>
      <c r="I83" s="525" t="inlineStr">
        <is>
          <t>LARISSA PADILHA</t>
        </is>
      </c>
      <c r="J83" s="526">
        <f>COUNTIFS('DRAFT 2'!$B:$B,$I83,'DRAFT 2'!$A:$A,"&gt;="&amp;$E$3,'DRAFT 2'!$A:$A,"&lt;="&amp;$G$3)</f>
        <v/>
      </c>
      <c r="K83" s="527">
        <f>COUNTIFS('DRAFT 2'!$B:$B,$I83,'DRAFT 2'!$R:$R,"VENDA / PEDIDO",'DRAFT 2'!$A:$A,"&gt;="&amp;$E$3,'DRAFT 2'!$A:$A,"&lt;="&amp;$G$3)</f>
        <v/>
      </c>
      <c r="L83" s="528">
        <f>COUNTIFS('DRAFT 2'!$B:$B,$I83,'DRAFT 2'!$R:$R,"ORÇAMENTO",'DRAFT 2'!$A:$A,"&gt;="&amp;$E$3,'DRAFT 2'!$A:$A,"&lt;="&amp;$G$3)</f>
        <v/>
      </c>
      <c r="M83" s="529">
        <f>IFERROR(K83/J83,0)</f>
        <v/>
      </c>
      <c r="N83" s="530">
        <f>COUNTIFS('DRAFT 2'!$B:$B,$I83,'DRAFT 2'!$R:$R,"NÃO ATENDE",'DRAFT 2'!$A:$A,"&gt;="&amp;$E$3,'DRAFT 2'!$A:$A,"&lt;="&amp;$G$3)</f>
        <v/>
      </c>
      <c r="O83" s="393" t="n"/>
      <c r="P83" s="393" t="n"/>
      <c r="Q83" s="393" t="n"/>
      <c r="R83" s="393" t="n"/>
      <c r="S83" s="393" t="n"/>
    </row>
    <row r="84" ht="18" customHeight="1" s="117">
      <c r="A84" s="513" t="inlineStr">
        <is>
          <t>LOJA ANEXO/PROXIMO</t>
        </is>
      </c>
      <c r="B84" s="514">
        <f>COUNTIFS('DRAFT 2'!$S:$S,"LOJA ANEXO/PROXIMO - SM",'DRAFT 2'!$B:$B,IF($C$3="TODOS","*",$C$3),'DRAFT 2'!$A:$A,"&gt;="&amp;$E$3,'DRAFT 2'!$A:$A,"&lt;="&amp;$G$3)</f>
        <v/>
      </c>
      <c r="C84" s="515">
        <f>IF(SUM($B$82:$B$91)&gt;0,B84/SUM($B$82:$B$91),0)</f>
        <v/>
      </c>
      <c r="D84" s="499">
        <f>COUNTIFS('DRAFT 2'!$S:$S,"LOJA ANEXO/PROXIMO - SM",'DRAFT 2'!$Q:$Q,"PROSPECÇÃO",'DRAFT 2'!$B:$B,IF($C$3="TODOS","*",$C$3),'DRAFT 2'!$A:$A,"&gt;="&amp;$E$3,'DRAFT 2'!$A:$A,"&lt;="&amp;$G$3)</f>
        <v/>
      </c>
      <c r="E84" s="499">
        <f>COUNTIFS('DRAFT 2'!$S:$S,"LOJA ANEXO/PROXIMO - SM",'DRAFT 2'!$Q:$Q,"ATEND. CLIENTES ATIVOS",'DRAFT 2'!$B:$B,IF($C$3="TODOS","*",$C$3),'DRAFT 2'!$A:$A,"&gt;="&amp;$E$3,'DRAFT 2'!$A:$A,"&lt;="&amp;$G$3)</f>
        <v/>
      </c>
      <c r="F84" s="499">
        <f>COUNTIFS('DRAFT 2'!$S:$S,"LOJA ANEXO/PROXIMO - SM",'DRAFT 2'!$Q:$Q,"ATEND. CLIENTES INATIVOS",'DRAFT 2'!$B:$B,IF($C$3="TODOS","*",$C$3),'DRAFT 2'!$A:$A,"&gt;="&amp;$E$3,'DRAFT 2'!$A:$A,"&lt;="&amp;$G$3)</f>
        <v/>
      </c>
      <c r="G84" s="499">
        <f>COUNTIFS('DRAFT 2'!$S:$S,"LOJA ANEXO/PROXIMO - SM",'DRAFT 2'!$Q:$Q,"PÓS-VENDA / RELACIONAMENTO",'DRAFT 2'!$B:$B,IF($C$3="TODOS","*",$C$3),'DRAFT 2'!$A:$A,"&gt;="&amp;$E$3,'DRAFT 2'!$A:$A,"&lt;="&amp;$G$3)</f>
        <v/>
      </c>
      <c r="H84" s="393" t="n"/>
      <c r="I84" s="516" t="inlineStr">
        <is>
          <t>JULIO GADRET</t>
        </is>
      </c>
      <c r="J84" s="517">
        <f>COUNTIFS('DRAFT 2'!$B:$B,$I84,'DRAFT 2'!$A:$A,"&gt;="&amp;$E$3,'DRAFT 2'!$A:$A,"&lt;="&amp;$G$3)</f>
        <v/>
      </c>
      <c r="K84" s="518">
        <f>COUNTIFS('DRAFT 2'!$B:$B,$I84,'DRAFT 2'!$R:$R,"VENDA / PEDIDO",'DRAFT 2'!$A:$A,"&gt;="&amp;$E$3,'DRAFT 2'!$A:$A,"&lt;="&amp;$G$3)</f>
        <v/>
      </c>
      <c r="L84" s="519">
        <f>COUNTIFS('DRAFT 2'!$B:$B,$I84,'DRAFT 2'!$R:$R,"ORÇAMENTO",'DRAFT 2'!$A:$A,"&gt;="&amp;$E$3,'DRAFT 2'!$A:$A,"&lt;="&amp;$G$3)</f>
        <v/>
      </c>
      <c r="M84" s="520">
        <f>IFERROR(K84/J84,0)</f>
        <v/>
      </c>
      <c r="N84" s="521">
        <f>COUNTIFS('DRAFT 2'!$B:$B,$I84,'DRAFT 2'!$R:$R,"NÃO ATENDE",'DRAFT 2'!$A:$A,"&gt;="&amp;$E$3,'DRAFT 2'!$A:$A,"&lt;="&amp;$G$3)</f>
        <v/>
      </c>
      <c r="O84" s="393" t="n"/>
      <c r="P84" s="393" t="n"/>
      <c r="Q84" s="393" t="n"/>
      <c r="R84" s="393" t="n"/>
      <c r="S84" s="393" t="n"/>
    </row>
    <row r="85" ht="18" customHeight="1" s="117">
      <c r="A85" s="522" t="inlineStr">
        <is>
          <t>SÓ QUER GRANEL</t>
        </is>
      </c>
      <c r="B85" s="523">
        <f>COUNTIFS('DRAFT 2'!$S:$S,"SÓ QUER COMPRAR GRANEL",'DRAFT 2'!$B:$B,IF($C$3="TODOS","*",$C$3),'DRAFT 2'!$A:$A,"&gt;="&amp;$E$3,'DRAFT 2'!$A:$A,"&lt;="&amp;$G$3)</f>
        <v/>
      </c>
      <c r="C85" s="524">
        <f>IF(SUM($B$82:$B$91)&gt;0,B85/SUM($B$82:$B$91),0)</f>
        <v/>
      </c>
      <c r="D85" s="494">
        <f>COUNTIFS('DRAFT 2'!$S:$S,"SÓ QUER COMPRAR GRANEL",'DRAFT 2'!$Q:$Q,"PROSPECÇÃO",'DRAFT 2'!$B:$B,IF($C$3="TODOS","*",$C$3),'DRAFT 2'!$A:$A,"&gt;="&amp;$E$3,'DRAFT 2'!$A:$A,"&lt;="&amp;$G$3)</f>
        <v/>
      </c>
      <c r="E85" s="494">
        <f>COUNTIFS('DRAFT 2'!$S:$S,"SÓ QUER COMPRAR GRANEL",'DRAFT 2'!$Q:$Q,"ATEND. CLIENTES ATIVOS",'DRAFT 2'!$B:$B,IF($C$3="TODOS","*",$C$3),'DRAFT 2'!$A:$A,"&gt;="&amp;$E$3,'DRAFT 2'!$A:$A,"&lt;="&amp;$G$3)</f>
        <v/>
      </c>
      <c r="F85" s="494">
        <f>COUNTIFS('DRAFT 2'!$S:$S,"SÓ QUER COMPRAR GRANEL",'DRAFT 2'!$Q:$Q,"ATEND. CLIENTES INATIVOS",'DRAFT 2'!$B:$B,IF($C$3="TODOS","*",$C$3),'DRAFT 2'!$A:$A,"&gt;="&amp;$E$3,'DRAFT 2'!$A:$A,"&lt;="&amp;$G$3)</f>
        <v/>
      </c>
      <c r="G85" s="494">
        <f>COUNTIFS('DRAFT 2'!$S:$S,"SÓ QUER COMPRAR GRANEL",'DRAFT 2'!$Q:$Q,"PÓS-VENDA / RELACIONAMENTO",'DRAFT 2'!$B:$B,IF($C$3="TODOS","*",$C$3),'DRAFT 2'!$A:$A,"&gt;="&amp;$E$3,'DRAFT 2'!$A:$A,"&lt;="&amp;$G$3)</f>
        <v/>
      </c>
      <c r="H85" s="393" t="n"/>
      <c r="I85" s="525" t="inlineStr">
        <is>
          <t>DAIANE STAVICKI</t>
        </is>
      </c>
      <c r="J85" s="526">
        <f>COUNTIFS('DRAFT 2'!$B:$B,$I85,'DRAFT 2'!$A:$A,"&gt;="&amp;$E$3,'DRAFT 2'!$A:$A,"&lt;="&amp;$G$3)</f>
        <v/>
      </c>
      <c r="K85" s="527">
        <f>COUNTIFS('DRAFT 2'!$B:$B,$I85,'DRAFT 2'!$R:$R,"VENDA / PEDIDO",'DRAFT 2'!$A:$A,"&gt;="&amp;$E$3,'DRAFT 2'!$A:$A,"&lt;="&amp;$G$3)</f>
        <v/>
      </c>
      <c r="L85" s="528">
        <f>COUNTIFS('DRAFT 2'!$B:$B,$I85,'DRAFT 2'!$R:$R,"ORÇAMENTO",'DRAFT 2'!$A:$A,"&gt;="&amp;$E$3,'DRAFT 2'!$A:$A,"&lt;="&amp;$G$3)</f>
        <v/>
      </c>
      <c r="M85" s="529">
        <f>IFERROR(K85/J85,0)</f>
        <v/>
      </c>
      <c r="N85" s="530">
        <f>COUNTIFS('DRAFT 2'!$B:$B,$I85,'DRAFT 2'!$R:$R,"NÃO ATENDE",'DRAFT 2'!$A:$A,"&gt;="&amp;$E$3,'DRAFT 2'!$A:$A,"&lt;="&amp;$G$3)</f>
        <v/>
      </c>
      <c r="O85" s="393" t="n"/>
      <c r="P85" s="393" t="n"/>
      <c r="Q85" s="393" t="n"/>
      <c r="R85" s="393" t="n"/>
      <c r="S85" s="393" t="n"/>
    </row>
    <row r="86" ht="18" customHeight="1" s="117">
      <c r="A86" s="513" t="inlineStr">
        <is>
          <t>PROB. LOGÍSTICO</t>
        </is>
      </c>
      <c r="B86" s="514">
        <f>COUNTIFS('DRAFT 2'!$S:$S,"PROBLEMA LOGÍSTICO / ENTREGA",'DRAFT 2'!$B:$B,IF($C$3="TODOS","*",$C$3),'DRAFT 2'!$A:$A,"&gt;="&amp;$E$3,'DRAFT 2'!$A:$A,"&lt;="&amp;$G$3)</f>
        <v/>
      </c>
      <c r="C86" s="515">
        <f>IF(SUM($B$82:$B$91)&gt;0,B86/SUM($B$82:$B$91),0)</f>
        <v/>
      </c>
      <c r="D86" s="499">
        <f>COUNTIFS('DRAFT 2'!$S:$S,"PROBLEMA LOGÍSTICO / ENTREGA",'DRAFT 2'!$Q:$Q,"PROSPECÇÃO",'DRAFT 2'!$B:$B,IF($C$3="TODOS","*",$C$3),'DRAFT 2'!$A:$A,"&gt;="&amp;$E$3,'DRAFT 2'!$A:$A,"&lt;="&amp;$G$3)</f>
        <v/>
      </c>
      <c r="E86" s="499">
        <f>COUNTIFS('DRAFT 2'!$S:$S,"PROBLEMA LOGÍSTICO / ENTREGA",'DRAFT 2'!$Q:$Q,"ATEND. CLIENTES ATIVOS",'DRAFT 2'!$B:$B,IF($C$3="TODOS","*",$C$3),'DRAFT 2'!$A:$A,"&gt;="&amp;$E$3,'DRAFT 2'!$A:$A,"&lt;="&amp;$G$3)</f>
        <v/>
      </c>
      <c r="F86" s="499">
        <f>COUNTIFS('DRAFT 2'!$S:$S,"PROBLEMA LOGÍSTICO / ENTREGA",'DRAFT 2'!$Q:$Q,"ATEND. CLIENTES INATIVOS",'DRAFT 2'!$B:$B,IF($C$3="TODOS","*",$C$3),'DRAFT 2'!$A:$A,"&gt;="&amp;$E$3,'DRAFT 2'!$A:$A,"&lt;="&amp;$G$3)</f>
        <v/>
      </c>
      <c r="G86" s="499">
        <f>COUNTIFS('DRAFT 2'!$S:$S,"PROBLEMA LOGÍSTICO / ENTREGA",'DRAFT 2'!$Q:$Q,"PÓS-VENDA / RELACIONAMENTO",'DRAFT 2'!$B:$B,IF($C$3="TODOS","*",$C$3),'DRAFT 2'!$A:$A,"&gt;="&amp;$E$3,'DRAFT 2'!$A:$A,"&lt;="&amp;$G$3)</f>
        <v/>
      </c>
      <c r="H86" s="393" t="n"/>
      <c r="I86" s="506" t="inlineStr">
        <is>
          <t>TOTAL</t>
        </is>
      </c>
      <c r="J86" s="507">
        <f>SUM(J82:J85)</f>
        <v/>
      </c>
      <c r="K86" s="507">
        <f>SUM(K82:K85)</f>
        <v/>
      </c>
      <c r="L86" s="507">
        <f>SUM(L82:L85)</f>
        <v/>
      </c>
      <c r="M86" s="531">
        <f>IFERROR(K86/J86,0)</f>
        <v/>
      </c>
      <c r="N86" s="507">
        <f>SUM(N82:N85)</f>
        <v/>
      </c>
      <c r="O86" s="393" t="n"/>
      <c r="P86" s="393" t="n"/>
      <c r="Q86" s="393" t="n"/>
      <c r="R86" s="393" t="n"/>
      <c r="S86" s="393" t="n"/>
    </row>
    <row r="87" ht="18" customHeight="1" s="117">
      <c r="A87" s="522" t="inlineStr">
        <is>
          <t>PROB. FINANCEIRO</t>
        </is>
      </c>
      <c r="B87" s="523">
        <f>COUNTIFS('DRAFT 2'!$S:$S,"PROBLEMA FINANCEIRO / CRÉDITO",'DRAFT 2'!$B:$B,IF($C$3="TODOS","*",$C$3),'DRAFT 2'!$A:$A,"&gt;="&amp;$E$3,'DRAFT 2'!$A:$A,"&lt;="&amp;$G$3)</f>
        <v/>
      </c>
      <c r="C87" s="524">
        <f>IF(SUM($B$82:$B$91)&gt;0,B87/SUM($B$82:$B$91),0)</f>
        <v/>
      </c>
      <c r="D87" s="494">
        <f>COUNTIFS('DRAFT 2'!$S:$S,"PROBLEMA FINANCEIRO / CRÉDITO",'DRAFT 2'!$Q:$Q,"PROSPECÇÃO",'DRAFT 2'!$B:$B,IF($C$3="TODOS","*",$C$3),'DRAFT 2'!$A:$A,"&gt;="&amp;$E$3,'DRAFT 2'!$A:$A,"&lt;="&amp;$G$3)</f>
        <v/>
      </c>
      <c r="E87" s="494">
        <f>COUNTIFS('DRAFT 2'!$S:$S,"PROBLEMA FINANCEIRO / CRÉDITO",'DRAFT 2'!$Q:$Q,"ATEND. CLIENTES ATIVOS",'DRAFT 2'!$B:$B,IF($C$3="TODOS","*",$C$3),'DRAFT 2'!$A:$A,"&gt;="&amp;$E$3,'DRAFT 2'!$A:$A,"&lt;="&amp;$G$3)</f>
        <v/>
      </c>
      <c r="F87" s="494">
        <f>COUNTIFS('DRAFT 2'!$S:$S,"PROBLEMA FINANCEIRO / CRÉDITO",'DRAFT 2'!$Q:$Q,"ATEND. CLIENTES INATIVOS",'DRAFT 2'!$B:$B,IF($C$3="TODOS","*",$C$3),'DRAFT 2'!$A:$A,"&gt;="&amp;$E$3,'DRAFT 2'!$A:$A,"&lt;="&amp;$G$3)</f>
        <v/>
      </c>
      <c r="G87" s="494">
        <f>COUNTIFS('DRAFT 2'!$S:$S,"PROBLEMA FINANCEIRO / CRÉDITO",'DRAFT 2'!$Q:$Q,"PÓS-VENDA / RELACIONAMENTO",'DRAFT 2'!$B:$B,IF($C$3="TODOS","*",$C$3),'DRAFT 2'!$A:$A,"&gt;="&amp;$E$3,'DRAFT 2'!$A:$A,"&lt;="&amp;$G$3)</f>
        <v/>
      </c>
      <c r="H87" s="393" t="n"/>
      <c r="I87" s="393" t="n"/>
      <c r="J87" s="393" t="n"/>
      <c r="K87" s="393" t="n"/>
      <c r="L87" s="393" t="n"/>
      <c r="M87" s="393" t="n"/>
      <c r="N87" s="393" t="n"/>
      <c r="O87" s="393" t="n"/>
      <c r="P87" s="393" t="n"/>
      <c r="Q87" s="393" t="n"/>
      <c r="R87" s="393" t="n"/>
      <c r="S87" s="393" t="n"/>
    </row>
    <row r="88" ht="18" customHeight="1" s="117">
      <c r="A88" s="513" t="inlineStr">
        <is>
          <t>PROPRIETÁRIO INDISPON.</t>
        </is>
      </c>
      <c r="B88" s="514">
        <f>COUNTIFS('DRAFT 2'!$S:$S,"PROPRIETARIO / INDISPONÍVEL",'DRAFT 2'!$B:$B,IF($C$3="TODOS","*",$C$3),'DRAFT 2'!$A:$A,"&gt;="&amp;$E$3,'DRAFT 2'!$A:$A,"&lt;="&amp;$G$3)</f>
        <v/>
      </c>
      <c r="C88" s="515">
        <f>IF(SUM($B$82:$B$91)&gt;0,B88/SUM($B$82:$B$91),0)</f>
        <v/>
      </c>
      <c r="D88" s="499">
        <f>COUNTIFS('DRAFT 2'!$S:$S,"PROPRIETARIO / INDISPONÍVEL",'DRAFT 2'!$Q:$Q,"PROSPECÇÃO",'DRAFT 2'!$B:$B,IF($C$3="TODOS","*",$C$3),'DRAFT 2'!$A:$A,"&gt;="&amp;$E$3,'DRAFT 2'!$A:$A,"&lt;="&amp;$G$3)</f>
        <v/>
      </c>
      <c r="E88" s="499">
        <f>COUNTIFS('DRAFT 2'!$S:$S,"PROPRIETARIO / INDISPONÍVEL",'DRAFT 2'!$Q:$Q,"ATEND. CLIENTES ATIVOS",'DRAFT 2'!$B:$B,IF($C$3="TODOS","*",$C$3),'DRAFT 2'!$A:$A,"&gt;="&amp;$E$3,'DRAFT 2'!$A:$A,"&lt;="&amp;$G$3)</f>
        <v/>
      </c>
      <c r="F88" s="499">
        <f>COUNTIFS('DRAFT 2'!$S:$S,"PROPRIETARIO / INDISPONÍVEL",'DRAFT 2'!$Q:$Q,"ATEND. CLIENTES INATIVOS",'DRAFT 2'!$B:$B,IF($C$3="TODOS","*",$C$3),'DRAFT 2'!$A:$A,"&gt;="&amp;$E$3,'DRAFT 2'!$A:$A,"&lt;="&amp;$G$3)</f>
        <v/>
      </c>
      <c r="G88" s="499">
        <f>COUNTIFS('DRAFT 2'!$S:$S,"PROPRIETARIO / INDISPONÍVEL",'DRAFT 2'!$Q:$Q,"PÓS-VENDA / RELACIONAMENTO",'DRAFT 2'!$B:$B,IF($C$3="TODOS","*",$C$3),'DRAFT 2'!$A:$A,"&gt;="&amp;$E$3,'DRAFT 2'!$A:$A,"&lt;="&amp;$G$3)</f>
        <v/>
      </c>
      <c r="H88" s="393" t="n"/>
      <c r="I88" s="393" t="n"/>
      <c r="J88" s="393" t="n"/>
      <c r="K88" s="393" t="n"/>
      <c r="L88" s="393" t="n"/>
      <c r="M88" s="393" t="n"/>
      <c r="N88" s="393" t="n"/>
      <c r="O88" s="393" t="n"/>
      <c r="P88" s="393" t="n"/>
      <c r="Q88" s="393" t="n"/>
      <c r="R88" s="393" t="n"/>
      <c r="S88" s="393" t="n"/>
    </row>
    <row r="89" ht="18" customHeight="1" s="117">
      <c r="A89" s="522" t="inlineStr">
        <is>
          <t>FECHANDO/FECHOU LOJA</t>
        </is>
      </c>
      <c r="B89" s="523">
        <f>COUNTIFS('DRAFT 2'!$S:$S,"FECHANDO / FECHOU LOJA",'DRAFT 2'!$B:$B,IF($C$3="TODOS","*",$C$3),'DRAFT 2'!$A:$A,"&gt;="&amp;$E$3,'DRAFT 2'!$A:$A,"&lt;="&amp;$G$3)</f>
        <v/>
      </c>
      <c r="C89" s="524">
        <f>IF(SUM($B$82:$B$91)&gt;0,B89/SUM($B$82:$B$91),0)</f>
        <v/>
      </c>
      <c r="D89" s="494">
        <f>COUNTIFS('DRAFT 2'!$S:$S,"FECHANDO / FECHOU LOJA",'DRAFT 2'!$Q:$Q,"PROSPECÇÃO",'DRAFT 2'!$B:$B,IF($C$3="TODOS","*",$C$3),'DRAFT 2'!$A:$A,"&gt;="&amp;$E$3,'DRAFT 2'!$A:$A,"&lt;="&amp;$G$3)</f>
        <v/>
      </c>
      <c r="E89" s="494">
        <f>COUNTIFS('DRAFT 2'!$S:$S,"FECHANDO / FECHOU LOJA",'DRAFT 2'!$Q:$Q,"ATEND. CLIENTES ATIVOS",'DRAFT 2'!$B:$B,IF($C$3="TODOS","*",$C$3),'DRAFT 2'!$A:$A,"&gt;="&amp;$E$3,'DRAFT 2'!$A:$A,"&lt;="&amp;$G$3)</f>
        <v/>
      </c>
      <c r="F89" s="494">
        <f>COUNTIFS('DRAFT 2'!$S:$S,"FECHANDO / FECHOU LOJA",'DRAFT 2'!$Q:$Q,"ATEND. CLIENTES INATIVOS",'DRAFT 2'!$B:$B,IF($C$3="TODOS","*",$C$3),'DRAFT 2'!$A:$A,"&gt;="&amp;$E$3,'DRAFT 2'!$A:$A,"&lt;="&amp;$G$3)</f>
        <v/>
      </c>
      <c r="G89" s="494">
        <f>COUNTIFS('DRAFT 2'!$S:$S,"FECHANDO / FECHOU LOJA",'DRAFT 2'!$Q:$Q,"PÓS-VENDA / RELACIONAMENTO",'DRAFT 2'!$B:$B,IF($C$3="TODOS","*",$C$3),'DRAFT 2'!$A:$A,"&gt;="&amp;$E$3,'DRAFT 2'!$A:$A,"&lt;="&amp;$G$3)</f>
        <v/>
      </c>
      <c r="H89" s="393" t="n"/>
      <c r="I89" s="393" t="n"/>
      <c r="J89" s="393" t="n"/>
      <c r="K89" s="393" t="n"/>
      <c r="L89" s="393" t="n"/>
      <c r="M89" s="393" t="n"/>
      <c r="N89" s="393" t="n"/>
      <c r="O89" s="393" t="n"/>
      <c r="P89" s="393" t="n"/>
      <c r="Q89" s="393" t="n"/>
      <c r="R89" s="393" t="n"/>
      <c r="S89" s="393" t="n"/>
    </row>
    <row r="90" ht="18" customHeight="1" s="117">
      <c r="A90" s="513" t="inlineStr">
        <is>
          <t>SEM INTERESSE</t>
        </is>
      </c>
      <c r="B90" s="514">
        <f>COUNTIFS('DRAFT 2'!$S:$S,"SEM INTERESSE NO MOMENTO",'DRAFT 2'!$B:$B,IF($C$3="TODOS","*",$C$3),'DRAFT 2'!$A:$A,"&gt;="&amp;$E$3,'DRAFT 2'!$A:$A,"&lt;="&amp;$G$3)</f>
        <v/>
      </c>
      <c r="C90" s="515">
        <f>IF(SUM($B$82:$B$91)&gt;0,B90/SUM($B$82:$B$91),0)</f>
        <v/>
      </c>
      <c r="D90" s="499">
        <f>COUNTIFS('DRAFT 2'!$S:$S,"SEM INTERESSE NO MOMENTO",'DRAFT 2'!$Q:$Q,"PROSPECÇÃO",'DRAFT 2'!$B:$B,IF($C$3="TODOS","*",$C$3),'DRAFT 2'!$A:$A,"&gt;="&amp;$E$3,'DRAFT 2'!$A:$A,"&lt;="&amp;$G$3)</f>
        <v/>
      </c>
      <c r="E90" s="499">
        <f>COUNTIFS('DRAFT 2'!$S:$S,"SEM INTERESSE NO MOMENTO",'DRAFT 2'!$Q:$Q,"ATEND. CLIENTES ATIVOS",'DRAFT 2'!$B:$B,IF($C$3="TODOS","*",$C$3),'DRAFT 2'!$A:$A,"&gt;="&amp;$E$3,'DRAFT 2'!$A:$A,"&lt;="&amp;$G$3)</f>
        <v/>
      </c>
      <c r="F90" s="499">
        <f>COUNTIFS('DRAFT 2'!$S:$S,"SEM INTERESSE NO MOMENTO",'DRAFT 2'!$Q:$Q,"ATEND. CLIENTES INATIVOS",'DRAFT 2'!$B:$B,IF($C$3="TODOS","*",$C$3),'DRAFT 2'!$A:$A,"&gt;="&amp;$E$3,'DRAFT 2'!$A:$A,"&lt;="&amp;$G$3)</f>
        <v/>
      </c>
      <c r="G90" s="499">
        <f>COUNTIFS('DRAFT 2'!$S:$S,"SEM INTERESSE NO MOMENTO",'DRAFT 2'!$Q:$Q,"PÓS-VENDA / RELACIONAMENTO",'DRAFT 2'!$B:$B,IF($C$3="TODOS","*",$C$3),'DRAFT 2'!$A:$A,"&gt;="&amp;$E$3,'DRAFT 2'!$A:$A,"&lt;="&amp;$G$3)</f>
        <v/>
      </c>
      <c r="H90" s="393" t="n"/>
      <c r="I90" s="393" t="n"/>
      <c r="J90" s="393" t="n"/>
      <c r="K90" s="393" t="n"/>
      <c r="L90" s="393" t="n"/>
      <c r="M90" s="393" t="n"/>
      <c r="N90" s="393" t="n"/>
      <c r="O90" s="393" t="n"/>
      <c r="P90" s="393" t="n"/>
      <c r="Q90" s="393" t="n"/>
      <c r="R90" s="393" t="n"/>
      <c r="S90" s="393" t="n"/>
    </row>
    <row r="91" ht="18" customHeight="1" s="117">
      <c r="A91" s="522" t="inlineStr">
        <is>
          <t>1º CONTATO/S/ RESPOSTA</t>
        </is>
      </c>
      <c r="B91" s="523">
        <f>COUNTIFS('DRAFT 2'!$S:$S,"PRIMEIRO CONTATO / SEM RESPOSTA",'DRAFT 2'!$B:$B,IF($C$3="TODOS","*",$C$3),'DRAFT 2'!$A:$A,"&gt;="&amp;$E$3,'DRAFT 2'!$A:$A,"&lt;="&amp;$G$3)</f>
        <v/>
      </c>
      <c r="C91" s="524">
        <f>IF(SUM($B$82:$B$91)&gt;0,B91/SUM($B$82:$B$91),0)</f>
        <v/>
      </c>
      <c r="D91" s="494">
        <f>COUNTIFS('DRAFT 2'!$S:$S,"PRIMEIRO CONTATO / SEM RESPOSTA",'DRAFT 2'!$Q:$Q,"PROSPECÇÃO",'DRAFT 2'!$B:$B,IF($C$3="TODOS","*",$C$3),'DRAFT 2'!$A:$A,"&gt;="&amp;$E$3,'DRAFT 2'!$A:$A,"&lt;="&amp;$G$3)</f>
        <v/>
      </c>
      <c r="E91" s="494">
        <f>COUNTIFS('DRAFT 2'!$S:$S,"PRIMEIRO CONTATO / SEM RESPOSTA",'DRAFT 2'!$Q:$Q,"ATEND. CLIENTES ATIVOS",'DRAFT 2'!$B:$B,IF($C$3="TODOS","*",$C$3),'DRAFT 2'!$A:$A,"&gt;="&amp;$E$3,'DRAFT 2'!$A:$A,"&lt;="&amp;$G$3)</f>
        <v/>
      </c>
      <c r="F91" s="494">
        <f>COUNTIFS('DRAFT 2'!$S:$S,"PRIMEIRO CONTATO / SEM RESPOSTA",'DRAFT 2'!$Q:$Q,"ATEND. CLIENTES INATIVOS",'DRAFT 2'!$B:$B,IF($C$3="TODOS","*",$C$3),'DRAFT 2'!$A:$A,"&gt;="&amp;$E$3,'DRAFT 2'!$A:$A,"&lt;="&amp;$G$3)</f>
        <v/>
      </c>
      <c r="G91" s="494">
        <f>COUNTIFS('DRAFT 2'!$S:$S,"PRIMEIRO CONTATO / SEM RESPOSTA",'DRAFT 2'!$Q:$Q,"PÓS-VENDA / RELACIONAMENTO",'DRAFT 2'!$B:$B,IF($C$3="TODOS","*",$C$3),'DRAFT 2'!$A:$A,"&gt;="&amp;$E$3,'DRAFT 2'!$A:$A,"&lt;="&amp;$G$3)</f>
        <v/>
      </c>
      <c r="H91" s="393" t="n"/>
      <c r="I91" s="393" t="n"/>
      <c r="J91" s="393" t="n"/>
      <c r="K91" s="393" t="n"/>
      <c r="L91" s="393" t="n"/>
      <c r="M91" s="393" t="n"/>
      <c r="N91" s="393" t="n"/>
      <c r="O91" s="393" t="n"/>
      <c r="P91" s="393" t="n"/>
      <c r="Q91" s="393" t="n"/>
      <c r="R91" s="393" t="n"/>
      <c r="S91" s="393" t="n"/>
    </row>
    <row r="92" ht="15" customHeight="1" s="117">
      <c r="A92" s="506" t="inlineStr">
        <is>
          <t>TOTAL</t>
        </is>
      </c>
      <c r="B92" s="507">
        <f>SUM(B82:B91)</f>
        <v/>
      </c>
      <c r="C92" s="531">
        <f>SUM(C82:C91)</f>
        <v/>
      </c>
      <c r="D92" s="507">
        <f>SUM(D82:D91)</f>
        <v/>
      </c>
      <c r="E92" s="507">
        <f>SUM(E82:E91)</f>
        <v/>
      </c>
      <c r="F92" s="507">
        <f>SUM(F82:F91)</f>
        <v/>
      </c>
      <c r="G92" s="507">
        <f>SUM(G82:G91)</f>
        <v/>
      </c>
      <c r="H92" s="393" t="n"/>
      <c r="I92" s="393" t="n"/>
      <c r="J92" s="393" t="n"/>
      <c r="K92" s="393" t="n"/>
      <c r="L92" s="393" t="n"/>
      <c r="M92" s="393" t="n"/>
      <c r="N92" s="393" t="n"/>
      <c r="O92" s="393" t="n"/>
      <c r="P92" s="393" t="n"/>
      <c r="Q92" s="393" t="n"/>
      <c r="R92" s="393" t="n"/>
      <c r="S92" s="393" t="n"/>
    </row>
    <row r="93" ht="15" customHeight="1" s="117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  <c r="J93" s="393" t="n"/>
      <c r="K93" s="393" t="n"/>
      <c r="L93" s="393" t="n"/>
      <c r="M93" s="393" t="n"/>
      <c r="N93" s="393" t="n"/>
      <c r="O93" s="393" t="n"/>
      <c r="P93" s="393" t="n"/>
      <c r="Q93" s="393" t="n"/>
      <c r="R93" s="393" t="n"/>
      <c r="S93" s="393" t="n"/>
    </row>
    <row r="94" ht="15" customHeight="1" s="117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  <c r="J94" s="393" t="n"/>
      <c r="K94" s="393" t="n"/>
      <c r="L94" s="393" t="n"/>
      <c r="M94" s="393" t="n"/>
      <c r="N94" s="393" t="n"/>
      <c r="O94" s="393" t="n"/>
      <c r="P94" s="393" t="n"/>
      <c r="Q94" s="393" t="n"/>
      <c r="R94" s="393" t="n"/>
      <c r="S94" s="393" t="n"/>
    </row>
    <row r="95" ht="15" customHeight="1" s="117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  <c r="J95" s="393" t="n"/>
      <c r="K95" s="393" t="n"/>
      <c r="L95" s="393" t="n"/>
      <c r="M95" s="393" t="n"/>
      <c r="N95" s="393" t="n"/>
      <c r="O95" s="393" t="n"/>
      <c r="P95" s="393" t="n"/>
      <c r="Q95" s="393" t="n"/>
      <c r="R95" s="393" t="n"/>
      <c r="S95" s="393" t="n"/>
    </row>
    <row r="96" ht="15" customHeight="1" s="117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  <c r="J96" s="393" t="n"/>
      <c r="K96" s="393" t="n"/>
      <c r="L96" s="393" t="n"/>
      <c r="M96" s="393" t="n"/>
      <c r="N96" s="393" t="n"/>
      <c r="O96" s="393" t="n"/>
      <c r="P96" s="393" t="n"/>
      <c r="Q96" s="393" t="n"/>
      <c r="R96" s="393" t="n"/>
      <c r="S96" s="393" t="n"/>
    </row>
    <row r="97" ht="15" customHeight="1" s="117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3" t="n"/>
      <c r="M97" s="393" t="n"/>
      <c r="N97" s="393" t="n"/>
      <c r="O97" s="393" t="n"/>
      <c r="P97" s="393" t="n"/>
      <c r="Q97" s="393" t="n"/>
      <c r="R97" s="393" t="n"/>
      <c r="S97" s="393" t="n"/>
    </row>
    <row r="98" ht="15" customHeight="1" s="117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3" t="n"/>
      <c r="M98" s="393" t="n"/>
      <c r="N98" s="393" t="n"/>
      <c r="O98" s="393" t="n"/>
      <c r="P98" s="393" t="n"/>
      <c r="Q98" s="393" t="n"/>
      <c r="R98" s="393" t="n"/>
      <c r="S98" s="393" t="n"/>
    </row>
    <row r="99" ht="15" customHeight="1" s="117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3" t="n"/>
      <c r="M99" s="393" t="n"/>
      <c r="N99" s="393" t="n"/>
      <c r="O99" s="393" t="n"/>
      <c r="P99" s="393" t="n"/>
      <c r="Q99" s="393" t="n"/>
      <c r="R99" s="393" t="n"/>
      <c r="S99" s="393" t="n"/>
    </row>
    <row r="100" ht="15" customHeight="1" s="117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3" t="n"/>
      <c r="M100" s="393" t="n"/>
      <c r="N100" s="393" t="n"/>
      <c r="O100" s="393" t="n"/>
      <c r="P100" s="393" t="n"/>
      <c r="Q100" s="393" t="n"/>
      <c r="R100" s="393" t="n"/>
      <c r="S100" s="393" t="n"/>
    </row>
    <row r="101" ht="15" customHeight="1" s="117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3" t="n"/>
      <c r="M101" s="393" t="n"/>
      <c r="N101" s="393" t="n"/>
      <c r="O101" s="393" t="n"/>
      <c r="P101" s="393" t="n"/>
      <c r="Q101" s="393" t="n"/>
      <c r="R101" s="393" t="n"/>
      <c r="S101" s="393" t="n"/>
    </row>
    <row r="102" ht="15" customHeight="1" s="117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  <c r="J102" s="393" t="n"/>
      <c r="K102" s="393" t="n"/>
      <c r="L102" s="393" t="n"/>
      <c r="M102" s="393" t="n"/>
      <c r="N102" s="393" t="n"/>
      <c r="O102" s="393" t="n"/>
      <c r="P102" s="393" t="n"/>
      <c r="Q102" s="393" t="n"/>
      <c r="R102" s="393" t="n"/>
      <c r="S102" s="393" t="n"/>
    </row>
    <row r="103" ht="15" customHeight="1" s="117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  <c r="J103" s="393" t="n"/>
      <c r="K103" s="393" t="n"/>
      <c r="L103" s="393" t="n"/>
      <c r="M103" s="393" t="n"/>
      <c r="N103" s="393" t="n"/>
      <c r="O103" s="393" t="n"/>
      <c r="P103" s="393" t="n"/>
      <c r="Q103" s="393" t="n"/>
      <c r="R103" s="393" t="n"/>
      <c r="S103" s="393" t="n"/>
    </row>
    <row r="104" ht="15" customHeight="1" s="117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  <c r="J104" s="393" t="n"/>
      <c r="K104" s="393" t="n"/>
      <c r="L104" s="393" t="n"/>
      <c r="M104" s="393" t="n"/>
      <c r="N104" s="393" t="n"/>
      <c r="O104" s="393" t="n"/>
      <c r="P104" s="393" t="n"/>
      <c r="Q104" s="393" t="n"/>
      <c r="R104" s="393" t="n"/>
      <c r="S104" s="393" t="n"/>
    </row>
    <row r="105" ht="15" customHeight="1" s="117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  <c r="J105" s="393" t="n"/>
      <c r="K105" s="393" t="n"/>
      <c r="L105" s="393" t="n"/>
      <c r="M105" s="393" t="n"/>
      <c r="N105" s="393" t="n"/>
      <c r="O105" s="393" t="n"/>
      <c r="P105" s="393" t="n"/>
      <c r="Q105" s="393" t="n"/>
      <c r="R105" s="393" t="n"/>
      <c r="S105" s="393" t="n"/>
    </row>
    <row r="106" ht="15" customHeight="1" s="117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  <c r="J106" s="393" t="n"/>
      <c r="K106" s="393" t="n"/>
      <c r="L106" s="393" t="n"/>
      <c r="M106" s="393" t="n"/>
      <c r="N106" s="393" t="n"/>
      <c r="O106" s="393" t="n"/>
      <c r="P106" s="393" t="n"/>
      <c r="Q106" s="393" t="n"/>
      <c r="R106" s="393" t="n"/>
      <c r="S106" s="393" t="n"/>
    </row>
    <row r="107" ht="15" customHeight="1" s="117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  <c r="J107" s="393" t="n"/>
      <c r="K107" s="393" t="n"/>
      <c r="L107" s="393" t="n"/>
      <c r="M107" s="393" t="n"/>
      <c r="N107" s="393" t="n"/>
      <c r="O107" s="393" t="n"/>
      <c r="P107" s="393" t="n"/>
      <c r="Q107" s="393" t="n"/>
      <c r="R107" s="393" t="n"/>
      <c r="S107" s="393" t="n"/>
    </row>
    <row r="108" ht="15" customHeight="1" s="117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  <c r="J108" s="393" t="n"/>
      <c r="K108" s="393" t="n"/>
      <c r="L108" s="393" t="n"/>
      <c r="M108" s="393" t="n"/>
      <c r="N108" s="393" t="n"/>
      <c r="O108" s="393" t="n"/>
      <c r="P108" s="393" t="n"/>
      <c r="Q108" s="393" t="n"/>
      <c r="R108" s="393" t="n"/>
      <c r="S108" s="393" t="n"/>
    </row>
    <row r="109" ht="15" customHeight="1" s="117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3" t="n"/>
    </row>
    <row r="110" ht="15" customHeight="1" s="117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3" t="n"/>
    </row>
    <row r="111" ht="15" customHeight="1" s="117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  <c r="J111" s="393" t="n"/>
      <c r="K111" s="393" t="n"/>
      <c r="L111" s="393" t="n"/>
      <c r="M111" s="393" t="n"/>
      <c r="N111" s="393" t="n"/>
      <c r="O111" s="393" t="n"/>
      <c r="P111" s="393" t="n"/>
      <c r="Q111" s="393" t="n"/>
      <c r="R111" s="393" t="n"/>
      <c r="S111" s="393" t="n"/>
    </row>
    <row r="112" ht="30" customHeight="1" s="117">
      <c r="A112" s="489" t="inlineStr">
        <is>
          <t xml:space="preserve">  SITUAÇÃO CRM (CARTEIRA)</t>
        </is>
      </c>
      <c r="B112" s="490" t="n"/>
      <c r="C112" s="490" t="n"/>
      <c r="D112" s="490" t="n"/>
      <c r="E112" s="393" t="n"/>
      <c r="F112" s="489" t="inlineStr">
        <is>
          <t xml:space="preserve">  FASES DO FUNIL (CARTEIRA)</t>
        </is>
      </c>
      <c r="G112" s="490" t="n"/>
      <c r="H112" s="490" t="n"/>
      <c r="I112" s="393" t="n"/>
      <c r="J112" s="489" t="inlineStr">
        <is>
          <t xml:space="preserve">  TIPO CLIENTE (CARTEIRA)</t>
        </is>
      </c>
      <c r="K112" s="490" t="n"/>
      <c r="L112" s="490" t="n"/>
      <c r="M112" s="490" t="n"/>
      <c r="N112" s="393" t="n"/>
      <c r="O112" s="393" t="n"/>
      <c r="P112" s="393" t="n"/>
      <c r="Q112" s="393" t="n"/>
      <c r="R112" s="393" t="n"/>
      <c r="S112" s="393" t="n"/>
    </row>
    <row r="113" ht="22" customHeight="1" s="117">
      <c r="A113" s="491" t="inlineStr">
        <is>
          <t>SITUAÇÃO</t>
        </is>
      </c>
      <c r="B113" s="491" t="inlineStr">
        <is>
          <t>QTD</t>
        </is>
      </c>
      <c r="C113" s="491" t="inlineStr">
        <is>
          <t>%</t>
        </is>
      </c>
      <c r="D113" s="491" t="inlineStr"/>
      <c r="E113" s="393" t="n"/>
      <c r="F113" s="491" t="inlineStr">
        <is>
          <t>FASE</t>
        </is>
      </c>
      <c r="G113" s="491" t="inlineStr">
        <is>
          <t>QTD</t>
        </is>
      </c>
      <c r="H113" s="491" t="inlineStr">
        <is>
          <t>%</t>
        </is>
      </c>
      <c r="I113" s="393" t="n"/>
      <c r="J113" s="491" t="inlineStr">
        <is>
          <t>TIPO</t>
        </is>
      </c>
      <c r="K113" s="491" t="inlineStr">
        <is>
          <t>QTD</t>
        </is>
      </c>
      <c r="L113" s="491" t="inlineStr">
        <is>
          <t>%</t>
        </is>
      </c>
      <c r="M113" s="491" t="inlineStr"/>
      <c r="N113" s="393" t="n"/>
      <c r="O113" s="393" t="n"/>
      <c r="P113" s="393" t="n"/>
      <c r="Q113" s="393" t="n"/>
      <c r="R113" s="393" t="n"/>
      <c r="S113" s="393" t="n"/>
    </row>
    <row r="114" ht="28" customHeight="1" s="117">
      <c r="A114" s="532" t="inlineStr">
        <is>
          <t>ATIVO</t>
        </is>
      </c>
      <c r="B114" s="533">
        <f>COUNTIF(CARTEIRA!$N$4:$N$200,A114)</f>
        <v/>
      </c>
      <c r="C114" s="534">
        <f>IF(SUM($B$114:$B$120)&gt;0,B114/SUM($B$114:$B$120),0)</f>
        <v/>
      </c>
      <c r="D114" s="535" t="inlineStr"/>
      <c r="E114" s="393" t="n"/>
      <c r="F114" s="516" t="inlineStr">
        <is>
          <t>PÓS-VENDA</t>
        </is>
      </c>
      <c r="G114" s="536">
        <f>COUNTIF(CARTEIRA!$AR$4:$AR$200,F114)</f>
        <v/>
      </c>
      <c r="H114" s="537">
        <f>IF(SUM($G$114:$G$122)&gt;0,G114/SUM($G$114:$G$122),0)</f>
        <v/>
      </c>
      <c r="I114" s="393" t="n"/>
      <c r="J114" s="538" t="inlineStr">
        <is>
          <t>FIDELIZADO</t>
        </is>
      </c>
      <c r="K114" s="518">
        <f>COUNTIF(CARTEIRA!$AW$4:$AW$200,J114)</f>
        <v/>
      </c>
      <c r="L114" s="537">
        <f>IF(SUM($K$114:$K$119)&gt;0,K114/SUM($K$114:$K$119),0)</f>
        <v/>
      </c>
      <c r="M114" s="393" t="n"/>
      <c r="N114" s="393" t="n"/>
      <c r="O114" s="393" t="n"/>
      <c r="P114" s="393" t="n"/>
      <c r="Q114" s="393" t="n"/>
      <c r="R114" s="393" t="n"/>
      <c r="S114" s="393" t="n"/>
    </row>
    <row r="115" ht="28" customHeight="1" s="117">
      <c r="A115" s="539" t="inlineStr">
        <is>
          <t>EM RISCO</t>
        </is>
      </c>
      <c r="B115" s="540">
        <f>COUNTIF(CARTEIRA!$N$4:$N$200,A115)</f>
        <v/>
      </c>
      <c r="C115" s="534">
        <f>IF(SUM($B$114:$B$120)&gt;0,B115/SUM($B$114:$B$120),0)</f>
        <v/>
      </c>
      <c r="D115" s="541" t="inlineStr"/>
      <c r="E115" s="393" t="n"/>
      <c r="F115" s="525" t="inlineStr">
        <is>
          <t>CS</t>
        </is>
      </c>
      <c r="G115" s="542">
        <f>COUNTIF(CARTEIRA!$AR$4:$AR$200,F115)</f>
        <v/>
      </c>
      <c r="H115" s="543">
        <f>IF(SUM($G$114:$G$122)&gt;0,G115/SUM($G$114:$G$122),0)</f>
        <v/>
      </c>
      <c r="I115" s="393" t="n"/>
      <c r="J115" s="544" t="inlineStr">
        <is>
          <t>RECORRENTE</t>
        </is>
      </c>
      <c r="K115" s="545">
        <f>COUNTIF(CARTEIRA!$AW$4:$AW$200,J115)</f>
        <v/>
      </c>
      <c r="L115" s="543">
        <f>IF(SUM($K$114:$K$119)&gt;0,K115/SUM($K$114:$K$119),0)</f>
        <v/>
      </c>
      <c r="M115" s="393" t="n"/>
      <c r="N115" s="393" t="n"/>
      <c r="O115" s="393" t="n"/>
      <c r="P115" s="393" t="n"/>
      <c r="Q115" s="393" t="n"/>
      <c r="R115" s="393" t="n"/>
      <c r="S115" s="393" t="n"/>
    </row>
    <row r="116" ht="28" customHeight="1" s="117">
      <c r="A116" s="546" t="inlineStr">
        <is>
          <t>INAT.REC</t>
        </is>
      </c>
      <c r="B116" s="547">
        <f>COUNTIF(CARTEIRA!$N$4:$N$200,A116)</f>
        <v/>
      </c>
      <c r="C116" s="534">
        <f>IF(SUM($B$114:$B$120)&gt;0,B116/SUM($B$114:$B$120),0)</f>
        <v/>
      </c>
      <c r="D116" s="548" t="inlineStr"/>
      <c r="E116" s="393" t="n"/>
      <c r="F116" s="516" t="inlineStr">
        <is>
          <t>RECOMPRA</t>
        </is>
      </c>
      <c r="G116" s="536">
        <f>COUNTIF(CARTEIRA!$AR$4:$AR$200,F116)</f>
        <v/>
      </c>
      <c r="H116" s="537">
        <f>IF(SUM($G$114:$G$122)&gt;0,G116/SUM($G$114:$G$122),0)</f>
        <v/>
      </c>
      <c r="I116" s="393" t="n"/>
      <c r="J116" s="549" t="inlineStr">
        <is>
          <t>EM DESENVOLVIMENTO</t>
        </is>
      </c>
      <c r="K116" s="550">
        <f>COUNTIF(CARTEIRA!$AW$4:$AW$200,J116)</f>
        <v/>
      </c>
      <c r="L116" s="537">
        <f>IF(SUM($K$114:$K$119)&gt;0,K116/SUM($K$114:$K$119),0)</f>
        <v/>
      </c>
      <c r="M116" s="393" t="n"/>
      <c r="N116" s="393" t="n"/>
      <c r="O116" s="393" t="n"/>
      <c r="P116" s="393" t="n"/>
      <c r="Q116" s="393" t="n"/>
      <c r="R116" s="393" t="n"/>
      <c r="S116" s="393" t="n"/>
    </row>
    <row r="117" ht="28" customHeight="1" s="117">
      <c r="A117" s="551" t="inlineStr">
        <is>
          <t>INAT.ANT</t>
        </is>
      </c>
      <c r="B117" s="552">
        <f>COUNTIF(CARTEIRA!$N$4:$N$200,A117)</f>
        <v/>
      </c>
      <c r="C117" s="534">
        <f>IF(SUM($B$114:$B$120)&gt;0,B117/SUM($B$114:$B$120),0)</f>
        <v/>
      </c>
      <c r="D117" s="553" t="inlineStr"/>
      <c r="E117" s="393" t="n"/>
      <c r="F117" s="525" t="inlineStr">
        <is>
          <t>SALVAMENTO</t>
        </is>
      </c>
      <c r="G117" s="542">
        <f>COUNTIF(CARTEIRA!$AR$4:$AR$200,F117)</f>
        <v/>
      </c>
      <c r="H117" s="543">
        <f>IF(SUM($G$114:$G$122)&gt;0,G117/SUM($G$114:$G$122),0)</f>
        <v/>
      </c>
      <c r="I117" s="393" t="n"/>
      <c r="J117" s="554" t="inlineStr">
        <is>
          <t>NOVO</t>
        </is>
      </c>
      <c r="K117" s="555">
        <f>COUNTIF(CARTEIRA!$AW$4:$AW$200,J117)</f>
        <v/>
      </c>
      <c r="L117" s="543">
        <f>IF(SUM($K$114:$K$119)&gt;0,K117/SUM($K$114:$K$119),0)</f>
        <v/>
      </c>
      <c r="M117" s="393" t="n"/>
      <c r="N117" s="393" t="n"/>
      <c r="O117" s="393" t="n"/>
      <c r="P117" s="393" t="n"/>
      <c r="Q117" s="393" t="n"/>
      <c r="R117" s="393" t="n"/>
      <c r="S117" s="393" t="n"/>
    </row>
    <row r="118" ht="28" customHeight="1" s="117">
      <c r="A118" s="556" t="inlineStr">
        <is>
          <t>NOVO</t>
        </is>
      </c>
      <c r="B118" s="557">
        <f>COUNTIF(CARTEIRA!$N$4:$N$200,A118)</f>
        <v/>
      </c>
      <c r="C118" s="534">
        <f>IF(SUM($B$114:$B$120)&gt;0,B118/SUM($B$114:$B$120),0)</f>
        <v/>
      </c>
      <c r="D118" s="558" t="inlineStr"/>
      <c r="E118" s="393" t="n"/>
      <c r="F118" s="516" t="inlineStr">
        <is>
          <t>RECUPERAÇÃO</t>
        </is>
      </c>
      <c r="G118" s="536">
        <f>COUNTIF(CARTEIRA!$AR$4:$AR$200,F118)</f>
        <v/>
      </c>
      <c r="H118" s="537">
        <f>IF(SUM($G$114:$G$122)&gt;0,G118/SUM($G$114:$G$122),0)</f>
        <v/>
      </c>
      <c r="I118" s="393" t="n"/>
      <c r="J118" s="559" t="inlineStr">
        <is>
          <t>PROSPECT</t>
        </is>
      </c>
      <c r="K118" s="560">
        <f>COUNTIF(CARTEIRA!$AW$4:$AW$200,J118)</f>
        <v/>
      </c>
      <c r="L118" s="537">
        <f>IF(SUM($K$114:$K$119)&gt;0,K118/SUM($K$114:$K$119),0)</f>
        <v/>
      </c>
      <c r="M118" s="393" t="n"/>
      <c r="N118" s="393" t="n"/>
      <c r="O118" s="393" t="n"/>
      <c r="P118" s="393" t="n"/>
      <c r="Q118" s="393" t="n"/>
      <c r="R118" s="393" t="n"/>
      <c r="S118" s="393" t="n"/>
    </row>
    <row r="119" ht="28" customHeight="1" s="117">
      <c r="A119" s="561" t="inlineStr">
        <is>
          <t>PROSPECT</t>
        </is>
      </c>
      <c r="B119" s="562">
        <f>COUNTIF(CARTEIRA!$N$4:$N$200,A119)</f>
        <v/>
      </c>
      <c r="C119" s="534">
        <f>IF(SUM($B$114:$B$120)&gt;0,B119/SUM($B$114:$B$120),0)</f>
        <v/>
      </c>
      <c r="D119" s="563" t="inlineStr"/>
      <c r="E119" s="393" t="n"/>
      <c r="F119" s="525" t="inlineStr">
        <is>
          <t>PROSPECÇÃO</t>
        </is>
      </c>
      <c r="G119" s="542">
        <f>COUNTIF(CARTEIRA!$AR$4:$AR$200,F119)</f>
        <v/>
      </c>
      <c r="H119" s="543">
        <f>IF(SUM($G$114:$G$122)&gt;0,G119/SUM($G$114:$G$122),0)</f>
        <v/>
      </c>
      <c r="I119" s="393" t="n"/>
      <c r="J119" s="564" t="inlineStr">
        <is>
          <t>LEAD</t>
        </is>
      </c>
      <c r="K119" s="565">
        <f>COUNTIF(CARTEIRA!$AW$4:$AW$200,J119)</f>
        <v/>
      </c>
      <c r="L119" s="543">
        <f>IF(SUM($K$114:$K$119)&gt;0,K119/SUM($K$114:$K$119),0)</f>
        <v/>
      </c>
      <c r="M119" s="393" t="n"/>
      <c r="N119" s="393" t="n"/>
      <c r="O119" s="393" t="n"/>
      <c r="P119" s="393" t="n"/>
      <c r="Q119" s="393" t="n"/>
      <c r="R119" s="393" t="n"/>
      <c r="S119" s="393" t="n"/>
    </row>
    <row r="120" ht="28" customHeight="1" s="117">
      <c r="A120" s="561" t="inlineStr">
        <is>
          <t>LEAD</t>
        </is>
      </c>
      <c r="B120" s="562">
        <f>COUNTIF(CARTEIRA!$N$4:$N$200,A120)</f>
        <v/>
      </c>
      <c r="C120" s="534">
        <f>IF(SUM($B$114:$B$120)&gt;0,B120/SUM($B$114:$B$120),0)</f>
        <v/>
      </c>
      <c r="D120" s="563" t="inlineStr"/>
      <c r="E120" s="393" t="n"/>
      <c r="F120" s="516" t="inlineStr">
        <is>
          <t>NUTRIÇÃO</t>
        </is>
      </c>
      <c r="G120" s="536">
        <f>COUNTIF(CARTEIRA!$AR$4:$AR$200,F120)</f>
        <v/>
      </c>
      <c r="H120" s="537">
        <f>IF(SUM($G$114:$G$122)&gt;0,G120/SUM($G$114:$G$122),0)</f>
        <v/>
      </c>
      <c r="I120" s="393" t="n"/>
      <c r="J120" s="506" t="inlineStr">
        <is>
          <t>TOTAL</t>
        </is>
      </c>
      <c r="K120" s="507">
        <f>SUM(K114:K119)</f>
        <v/>
      </c>
      <c r="L120" s="393" t="n"/>
      <c r="M120" s="393" t="n"/>
      <c r="N120" s="393" t="n"/>
      <c r="O120" s="393" t="n"/>
      <c r="P120" s="393" t="n"/>
      <c r="Q120" s="393" t="n"/>
      <c r="R120" s="393" t="n"/>
      <c r="S120" s="393" t="n"/>
    </row>
    <row r="121" ht="15" customHeight="1" s="117">
      <c r="A121" s="506" t="inlineStr">
        <is>
          <t>TOTAL</t>
        </is>
      </c>
      <c r="B121" s="507">
        <f>SUM(B114:B120)</f>
        <v/>
      </c>
      <c r="C121" s="393" t="n"/>
      <c r="D121" s="393" t="n"/>
      <c r="E121" s="393" t="n"/>
      <c r="F121" s="525" t="inlineStr">
        <is>
          <t>EM ATENDIMENTO</t>
        </is>
      </c>
      <c r="G121" s="542">
        <f>COUNTIF(CARTEIRA!$AR$4:$AR$200,F121)</f>
        <v/>
      </c>
      <c r="H121" s="543">
        <f>IF(SUM($G$114:$G$122)&gt;0,G121/SUM($G$114:$G$122),0)</f>
        <v/>
      </c>
      <c r="I121" s="393" t="n"/>
      <c r="J121" s="393" t="n"/>
      <c r="K121" s="393" t="n"/>
      <c r="L121" s="393" t="n"/>
      <c r="M121" s="393" t="n"/>
      <c r="N121" s="393" t="n"/>
      <c r="O121" s="393" t="n"/>
      <c r="P121" s="393" t="n"/>
      <c r="Q121" s="393" t="n"/>
      <c r="R121" s="393" t="n"/>
      <c r="S121" s="393" t="n"/>
    </row>
    <row r="122" ht="15" customHeight="1" s="117">
      <c r="A122" s="393" t="n"/>
      <c r="B122" s="393" t="n"/>
      <c r="C122" s="393" t="n"/>
      <c r="D122" s="393" t="n"/>
      <c r="E122" s="393" t="n"/>
      <c r="F122" s="516" t="inlineStr">
        <is>
          <t>ORÇAMENTO</t>
        </is>
      </c>
      <c r="G122" s="536">
        <f>COUNTIF(CARTEIRA!$AR$4:$AR$200,F122)</f>
        <v/>
      </c>
      <c r="H122" s="537">
        <f>IF(SUM($G$114:$G$122)&gt;0,G122/SUM($G$114:$G$122),0)</f>
        <v/>
      </c>
      <c r="I122" s="393" t="n"/>
      <c r="J122" s="393" t="n"/>
      <c r="K122" s="393" t="n"/>
      <c r="L122" s="393" t="n"/>
      <c r="M122" s="393" t="n"/>
      <c r="N122" s="393" t="n"/>
      <c r="O122" s="393" t="n"/>
      <c r="P122" s="393" t="n"/>
      <c r="Q122" s="393" t="n"/>
      <c r="R122" s="393" t="n"/>
      <c r="S122" s="393" t="n"/>
    </row>
    <row r="123" ht="15" customHeight="1" s="117">
      <c r="A123" s="393" t="n"/>
      <c r="B123" s="393" t="n"/>
      <c r="C123" s="393" t="n"/>
      <c r="D123" s="393" t="n"/>
      <c r="E123" s="393" t="n"/>
      <c r="F123" s="506" t="inlineStr">
        <is>
          <t>TOTAL</t>
        </is>
      </c>
      <c r="G123" s="507">
        <f>SUM(G114:G122)</f>
        <v/>
      </c>
      <c r="H123" s="393" t="n"/>
      <c r="I123" s="393" t="n"/>
      <c r="J123" s="393" t="n"/>
      <c r="K123" s="393" t="n"/>
      <c r="L123" s="393" t="n"/>
      <c r="M123" s="393" t="n"/>
      <c r="N123" s="393" t="n"/>
      <c r="O123" s="393" t="n"/>
      <c r="P123" s="393" t="n"/>
      <c r="Q123" s="393" t="n"/>
      <c r="R123" s="393" t="n"/>
      <c r="S123" s="393" t="n"/>
    </row>
    <row r="124" ht="15" customHeight="1" s="117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  <c r="J124" s="393" t="n"/>
      <c r="K124" s="393" t="n"/>
      <c r="L124" s="393" t="n"/>
      <c r="M124" s="393" t="n"/>
      <c r="N124" s="393" t="n"/>
      <c r="O124" s="393" t="n"/>
      <c r="P124" s="393" t="n"/>
      <c r="Q124" s="393" t="n"/>
      <c r="R124" s="393" t="n"/>
      <c r="S124" s="393" t="n"/>
    </row>
    <row r="125" ht="15" customHeight="1" s="117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  <c r="J125" s="393" t="n"/>
      <c r="K125" s="393" t="n"/>
      <c r="L125" s="393" t="n"/>
      <c r="M125" s="393" t="n"/>
      <c r="N125" s="393" t="n"/>
      <c r="O125" s="393" t="n"/>
      <c r="P125" s="393" t="n"/>
      <c r="Q125" s="393" t="n"/>
      <c r="R125" s="393" t="n"/>
      <c r="S125" s="393" t="n"/>
    </row>
    <row r="126" ht="30" customHeight="1" s="117">
      <c r="A126" s="489" t="inlineStr">
        <is>
          <t xml:space="preserve">  SITUAÇÃO POR REDE DE FRANQUIA</t>
        </is>
      </c>
      <c r="B126" s="490" t="n"/>
      <c r="C126" s="490" t="n"/>
      <c r="D126" s="490" t="n"/>
      <c r="E126" s="490" t="n"/>
      <c r="F126" s="490" t="n"/>
      <c r="G126" s="490" t="n"/>
      <c r="H126" s="490" t="n"/>
      <c r="I126" s="393" t="n"/>
      <c r="J126" s="393" t="n"/>
      <c r="K126" s="393" t="n"/>
      <c r="L126" s="393" t="n"/>
      <c r="M126" s="393" t="n"/>
      <c r="N126" s="393" t="n"/>
      <c r="O126" s="393" t="n"/>
      <c r="P126" s="393" t="n"/>
      <c r="Q126" s="393" t="n"/>
      <c r="R126" s="393" t="n"/>
      <c r="S126" s="393" t="n"/>
    </row>
    <row r="127" ht="22" customHeight="1" s="117">
      <c r="A127" s="491" t="inlineStr">
        <is>
          <t>REDE</t>
        </is>
      </c>
      <c r="B127" s="491" t="inlineStr">
        <is>
          <t>TOTAL</t>
        </is>
      </c>
      <c r="C127" s="491" t="inlineStr">
        <is>
          <t>ATIVOS</t>
        </is>
      </c>
      <c r="D127" s="491" t="inlineStr">
        <is>
          <t>EM RISCO</t>
        </is>
      </c>
      <c r="E127" s="491" t="inlineStr">
        <is>
          <t>INAT.REC</t>
        </is>
      </c>
      <c r="F127" s="491" t="inlineStr">
        <is>
          <t>INAT.ANT</t>
        </is>
      </c>
      <c r="G127" s="491" t="inlineStr">
        <is>
          <t>PROSPECT</t>
        </is>
      </c>
      <c r="H127" s="491" t="inlineStr">
        <is>
          <t>LEAD</t>
        </is>
      </c>
      <c r="I127" s="393" t="n"/>
      <c r="J127" s="393" t="n"/>
      <c r="K127" s="393" t="n"/>
      <c r="L127" s="393" t="n"/>
      <c r="M127" s="393" t="n"/>
      <c r="N127" s="393" t="n"/>
      <c r="O127" s="393" t="n"/>
      <c r="P127" s="393" t="n"/>
      <c r="Q127" s="393" t="n"/>
      <c r="R127" s="393" t="n"/>
      <c r="S127" s="393" t="n"/>
    </row>
    <row r="128" ht="22" customHeight="1" s="117">
      <c r="A128" s="516" t="inlineStr">
        <is>
          <t>MUNDO VERDE</t>
        </is>
      </c>
      <c r="B128" s="498">
        <f>SUM(C128:H128)</f>
        <v/>
      </c>
      <c r="C128" s="566">
        <f>COUNTIFS(CARTEIRA!$I$4:$I$200,A128,CARTEIRA!$N$4:$N$200,"ATIVO")</f>
        <v/>
      </c>
      <c r="D128" s="567">
        <f>COUNTIFS(CARTEIRA!$I$4:$I$200,A128,CARTEIRA!$N$4:$N$200,"EM RISCO")</f>
        <v/>
      </c>
      <c r="E128" s="568">
        <f>COUNTIFS(CARTEIRA!$I$4:$I$200,A128,CARTEIRA!$N$4:$N$200,"INAT.REC")</f>
        <v/>
      </c>
      <c r="F128" s="521">
        <f>COUNTIFS(CARTEIRA!$I$4:$I$200,A128,CARTEIRA!$N$4:$N$200,"INAT.ANT")</f>
        <v/>
      </c>
      <c r="G128" s="569">
        <f>COUNTIFS(CARTEIRA!$I$4:$I$200,A128,CARTEIRA!$N$4:$N$200,"PROSPECT")</f>
        <v/>
      </c>
      <c r="H128" s="569">
        <f>COUNTIFS(CARTEIRA!$I$4:$I$200,A128,CARTEIRA!$N$4:$N$200,"LEAD")</f>
        <v/>
      </c>
      <c r="I128" s="393" t="n"/>
      <c r="J128" s="393" t="n"/>
      <c r="K128" s="393" t="n"/>
      <c r="L128" s="393" t="n"/>
      <c r="M128" s="393" t="n"/>
      <c r="N128" s="393" t="n"/>
      <c r="O128" s="393" t="n"/>
      <c r="P128" s="393" t="n"/>
      <c r="Q128" s="393" t="n"/>
      <c r="R128" s="393" t="n"/>
      <c r="S128" s="393" t="n"/>
    </row>
    <row r="129" ht="22" customHeight="1" s="117">
      <c r="A129" s="525" t="inlineStr">
        <is>
          <t>BIOMUNDO</t>
        </is>
      </c>
      <c r="B129" s="493">
        <f>SUM(C129:H129)</f>
        <v/>
      </c>
      <c r="C129" s="570">
        <f>COUNTIFS(CARTEIRA!$I$4:$I$200,A129,CARTEIRA!$N$4:$N$200,"ATIVO")</f>
        <v/>
      </c>
      <c r="D129" s="571">
        <f>COUNTIFS(CARTEIRA!$I$4:$I$200,A129,CARTEIRA!$N$4:$N$200,"EM RISCO")</f>
        <v/>
      </c>
      <c r="E129" s="572">
        <f>COUNTIFS(CARTEIRA!$I$4:$I$200,A129,CARTEIRA!$N$4:$N$200,"INAT.REC")</f>
        <v/>
      </c>
      <c r="F129" s="530">
        <f>COUNTIFS(CARTEIRA!$I$4:$I$200,A129,CARTEIRA!$N$4:$N$200,"INAT.ANT")</f>
        <v/>
      </c>
      <c r="G129" s="573">
        <f>COUNTIFS(CARTEIRA!$I$4:$I$200,A129,CARTEIRA!$N$4:$N$200,"PROSPECT")</f>
        <v/>
      </c>
      <c r="H129" s="573">
        <f>COUNTIFS(CARTEIRA!$I$4:$I$200,A129,CARTEIRA!$N$4:$N$200,"LEAD")</f>
        <v/>
      </c>
      <c r="I129" s="393" t="n"/>
      <c r="J129" s="393" t="n"/>
      <c r="K129" s="393" t="n"/>
      <c r="L129" s="393" t="n"/>
      <c r="M129" s="393" t="n"/>
      <c r="N129" s="393" t="n"/>
      <c r="O129" s="393" t="n"/>
      <c r="P129" s="393" t="n"/>
      <c r="Q129" s="393" t="n"/>
      <c r="R129" s="393" t="n"/>
      <c r="S129" s="393" t="n"/>
    </row>
    <row r="130" ht="22" customHeight="1" s="117">
      <c r="A130" s="516" t="inlineStr">
        <is>
          <t>CIA DA SAUDE</t>
        </is>
      </c>
      <c r="B130" s="498">
        <f>SUM(C130:H130)</f>
        <v/>
      </c>
      <c r="C130" s="566">
        <f>COUNTIFS(CARTEIRA!$I$4:$I$200,A130,CARTEIRA!$N$4:$N$200,"ATIVO")</f>
        <v/>
      </c>
      <c r="D130" s="567">
        <f>COUNTIFS(CARTEIRA!$I$4:$I$200,A130,CARTEIRA!$N$4:$N$200,"EM RISCO")</f>
        <v/>
      </c>
      <c r="E130" s="568">
        <f>COUNTIFS(CARTEIRA!$I$4:$I$200,A130,CARTEIRA!$N$4:$N$200,"INAT.REC")</f>
        <v/>
      </c>
      <c r="F130" s="521">
        <f>COUNTIFS(CARTEIRA!$I$4:$I$200,A130,CARTEIRA!$N$4:$N$200,"INAT.ANT")</f>
        <v/>
      </c>
      <c r="G130" s="569">
        <f>COUNTIFS(CARTEIRA!$I$4:$I$200,A130,CARTEIRA!$N$4:$N$200,"PROSPECT")</f>
        <v/>
      </c>
      <c r="H130" s="569">
        <f>COUNTIFS(CARTEIRA!$I$4:$I$200,A130,CARTEIRA!$N$4:$N$200,"LEAD")</f>
        <v/>
      </c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3" t="n"/>
    </row>
    <row r="131" ht="22" customHeight="1" s="117">
      <c r="A131" s="525" t="inlineStr">
        <is>
          <t>FIT LAND</t>
        </is>
      </c>
      <c r="B131" s="493">
        <f>SUM(C131:H131)</f>
        <v/>
      </c>
      <c r="C131" s="570">
        <f>COUNTIFS(CARTEIRA!$I$4:$I$200,A131,CARTEIRA!$N$4:$N$200,"ATIVO")</f>
        <v/>
      </c>
      <c r="D131" s="571">
        <f>COUNTIFS(CARTEIRA!$I$4:$I$200,A131,CARTEIRA!$N$4:$N$200,"EM RISCO")</f>
        <v/>
      </c>
      <c r="E131" s="572">
        <f>COUNTIFS(CARTEIRA!$I$4:$I$200,A131,CARTEIRA!$N$4:$N$200,"INAT.REC")</f>
        <v/>
      </c>
      <c r="F131" s="530">
        <f>COUNTIFS(CARTEIRA!$I$4:$I$200,A131,CARTEIRA!$N$4:$N$200,"INAT.ANT")</f>
        <v/>
      </c>
      <c r="G131" s="573">
        <f>COUNTIFS(CARTEIRA!$I$4:$I$200,A131,CARTEIRA!$N$4:$N$200,"PROSPECT")</f>
        <v/>
      </c>
      <c r="H131" s="573">
        <f>COUNTIFS(CARTEIRA!$I$4:$I$200,A131,CARTEIRA!$N$4:$N$200,"LEAD")</f>
        <v/>
      </c>
      <c r="I131" s="393" t="n"/>
      <c r="J131" s="393" t="n"/>
      <c r="K131" s="393" t="n"/>
      <c r="L131" s="393" t="n"/>
      <c r="M131" s="393" t="n"/>
      <c r="N131" s="393" t="n"/>
      <c r="O131" s="393" t="n"/>
      <c r="P131" s="393" t="n"/>
      <c r="Q131" s="393" t="n"/>
      <c r="R131" s="393" t="n"/>
      <c r="S131" s="393" t="n"/>
    </row>
    <row r="132" ht="22" customHeight="1" s="117">
      <c r="A132" s="516" t="inlineStr">
        <is>
          <t>DIVINA TERRA</t>
        </is>
      </c>
      <c r="B132" s="498">
        <f>SUM(C132:H132)</f>
        <v/>
      </c>
      <c r="C132" s="566">
        <f>COUNTIFS(CARTEIRA!$I$4:$I$200,A132,CARTEIRA!$N$4:$N$200,"ATIVO")</f>
        <v/>
      </c>
      <c r="D132" s="567">
        <f>COUNTIFS(CARTEIRA!$I$4:$I$200,A132,CARTEIRA!$N$4:$N$200,"EM RISCO")</f>
        <v/>
      </c>
      <c r="E132" s="568">
        <f>COUNTIFS(CARTEIRA!$I$4:$I$200,A132,CARTEIRA!$N$4:$N$200,"INAT.REC")</f>
        <v/>
      </c>
      <c r="F132" s="521">
        <f>COUNTIFS(CARTEIRA!$I$4:$I$200,A132,CARTEIRA!$N$4:$N$200,"INAT.ANT")</f>
        <v/>
      </c>
      <c r="G132" s="569">
        <f>COUNTIFS(CARTEIRA!$I$4:$I$200,A132,CARTEIRA!$N$4:$N$200,"PROSPECT")</f>
        <v/>
      </c>
      <c r="H132" s="569">
        <f>COUNTIFS(CARTEIRA!$I$4:$I$200,A132,CARTEIRA!$N$4:$N$200,"LEAD")</f>
        <v/>
      </c>
      <c r="I132" s="393" t="n"/>
      <c r="J132" s="393" t="n"/>
      <c r="K132" s="393" t="n"/>
      <c r="L132" s="393" t="n"/>
      <c r="M132" s="393" t="n"/>
      <c r="N132" s="393" t="n"/>
      <c r="O132" s="393" t="n"/>
      <c r="P132" s="393" t="n"/>
      <c r="Q132" s="393" t="n"/>
      <c r="R132" s="393" t="n"/>
      <c r="S132" s="393" t="n"/>
    </row>
    <row r="133" ht="22" customHeight="1" s="117">
      <c r="A133" s="525" t="inlineStr">
        <is>
          <t>VIDA LEVE</t>
        </is>
      </c>
      <c r="B133" s="493">
        <f>SUM(C133:H133)</f>
        <v/>
      </c>
      <c r="C133" s="570">
        <f>COUNTIFS(CARTEIRA!$I$4:$I$200,A133,CARTEIRA!$N$4:$N$200,"ATIVO")</f>
        <v/>
      </c>
      <c r="D133" s="571">
        <f>COUNTIFS(CARTEIRA!$I$4:$I$200,A133,CARTEIRA!$N$4:$N$200,"EM RISCO")</f>
        <v/>
      </c>
      <c r="E133" s="572">
        <f>COUNTIFS(CARTEIRA!$I$4:$I$200,A133,CARTEIRA!$N$4:$N$200,"INAT.REC")</f>
        <v/>
      </c>
      <c r="F133" s="530">
        <f>COUNTIFS(CARTEIRA!$I$4:$I$200,A133,CARTEIRA!$N$4:$N$200,"INAT.ANT")</f>
        <v/>
      </c>
      <c r="G133" s="573">
        <f>COUNTIFS(CARTEIRA!$I$4:$I$200,A133,CARTEIRA!$N$4:$N$200,"PROSPECT")</f>
        <v/>
      </c>
      <c r="H133" s="573">
        <f>COUNTIFS(CARTEIRA!$I$4:$I$200,A133,CARTEIRA!$N$4:$N$200,"LEAD")</f>
        <v/>
      </c>
      <c r="I133" s="393" t="n"/>
      <c r="J133" s="393" t="n"/>
      <c r="K133" s="393" t="n"/>
      <c r="L133" s="393" t="n"/>
      <c r="M133" s="393" t="n"/>
      <c r="N133" s="393" t="n"/>
      <c r="O133" s="393" t="n"/>
      <c r="P133" s="393" t="n"/>
      <c r="Q133" s="393" t="n"/>
      <c r="R133" s="393" t="n"/>
      <c r="S133" s="393" t="n"/>
    </row>
    <row r="134" ht="22" customHeight="1" s="117">
      <c r="A134" s="516" t="inlineStr">
        <is>
          <t>TUDO EM GRAOS</t>
        </is>
      </c>
      <c r="B134" s="498">
        <f>SUM(C134:H134)</f>
        <v/>
      </c>
      <c r="C134" s="566">
        <f>COUNTIFS(CARTEIRA!$I$4:$I$200,A134,CARTEIRA!$N$4:$N$200,"ATIVO")</f>
        <v/>
      </c>
      <c r="D134" s="567">
        <f>COUNTIFS(CARTEIRA!$I$4:$I$200,A134,CARTEIRA!$N$4:$N$200,"EM RISCO")</f>
        <v/>
      </c>
      <c r="E134" s="568">
        <f>COUNTIFS(CARTEIRA!$I$4:$I$200,A134,CARTEIRA!$N$4:$N$200,"INAT.REC")</f>
        <v/>
      </c>
      <c r="F134" s="521">
        <f>COUNTIFS(CARTEIRA!$I$4:$I$200,A134,CARTEIRA!$N$4:$N$200,"INAT.ANT")</f>
        <v/>
      </c>
      <c r="G134" s="569">
        <f>COUNTIFS(CARTEIRA!$I$4:$I$200,A134,CARTEIRA!$N$4:$N$200,"PROSPECT")</f>
        <v/>
      </c>
      <c r="H134" s="569">
        <f>COUNTIFS(CARTEIRA!$I$4:$I$200,A134,CARTEIRA!$N$4:$N$200,"LEAD")</f>
        <v/>
      </c>
      <c r="I134" s="393" t="n"/>
      <c r="J134" s="393" t="n"/>
      <c r="K134" s="393" t="n"/>
      <c r="L134" s="393" t="n"/>
      <c r="M134" s="393" t="n"/>
      <c r="N134" s="393" t="n"/>
      <c r="O134" s="393" t="n"/>
      <c r="P134" s="393" t="n"/>
      <c r="Q134" s="393" t="n"/>
      <c r="R134" s="393" t="n"/>
      <c r="S134" s="393" t="n"/>
    </row>
    <row r="135" ht="22" customHeight="1" s="117">
      <c r="A135" s="525" t="inlineStr">
        <is>
          <t>DEMAIS CLIENTES</t>
        </is>
      </c>
      <c r="B135" s="493">
        <f>SUM(C135:H135)</f>
        <v/>
      </c>
      <c r="C135" s="570">
        <f>COUNTIFS(CARTEIRA!$I$4:$I$200,A135,CARTEIRA!$N$4:$N$200,"ATIVO")</f>
        <v/>
      </c>
      <c r="D135" s="571">
        <f>COUNTIFS(CARTEIRA!$I$4:$I$200,A135,CARTEIRA!$N$4:$N$200,"EM RISCO")</f>
        <v/>
      </c>
      <c r="E135" s="572">
        <f>COUNTIFS(CARTEIRA!$I$4:$I$200,A135,CARTEIRA!$N$4:$N$200,"INAT.REC")</f>
        <v/>
      </c>
      <c r="F135" s="530">
        <f>COUNTIFS(CARTEIRA!$I$4:$I$200,A135,CARTEIRA!$N$4:$N$200,"INAT.ANT")</f>
        <v/>
      </c>
      <c r="G135" s="573">
        <f>COUNTIFS(CARTEIRA!$I$4:$I$200,A135,CARTEIRA!$N$4:$N$200,"PROSPECT")</f>
        <v/>
      </c>
      <c r="H135" s="573">
        <f>COUNTIFS(CARTEIRA!$I$4:$I$200,A135,CARTEIRA!$N$4:$N$200,"LEAD")</f>
        <v/>
      </c>
      <c r="I135" s="393" t="n"/>
      <c r="J135" s="393" t="n"/>
      <c r="K135" s="393" t="n"/>
      <c r="L135" s="393" t="n"/>
      <c r="M135" s="393" t="n"/>
      <c r="N135" s="393" t="n"/>
      <c r="O135" s="393" t="n"/>
      <c r="P135" s="393" t="n"/>
      <c r="Q135" s="393" t="n"/>
      <c r="R135" s="393" t="n"/>
      <c r="S135" s="393" t="n"/>
    </row>
    <row r="136" ht="15" customHeight="1" s="117">
      <c r="A136" s="506" t="inlineStr">
        <is>
          <t>TOTAL</t>
        </is>
      </c>
      <c r="B136" s="507">
        <f>SUM(B128:B135)</f>
        <v/>
      </c>
      <c r="C136" s="507">
        <f>SUM(C128:C135)</f>
        <v/>
      </c>
      <c r="D136" s="507">
        <f>SUM(D128:D135)</f>
        <v/>
      </c>
      <c r="E136" s="507">
        <f>SUM(E128:E135)</f>
        <v/>
      </c>
      <c r="F136" s="507">
        <f>SUM(F128:F135)</f>
        <v/>
      </c>
      <c r="G136" s="507">
        <f>SUM(G128:G135)</f>
        <v/>
      </c>
      <c r="H136" s="507">
        <f>SUM(H128:H135)</f>
        <v/>
      </c>
      <c r="I136" s="393" t="n"/>
      <c r="J136" s="393" t="n"/>
      <c r="K136" s="393" t="n"/>
      <c r="L136" s="393" t="n"/>
      <c r="M136" s="393" t="n"/>
      <c r="N136" s="393" t="n"/>
      <c r="O136" s="393" t="n"/>
      <c r="P136" s="393" t="n"/>
      <c r="Q136" s="393" t="n"/>
      <c r="R136" s="393" t="n"/>
      <c r="S136" s="393" t="n"/>
    </row>
    <row r="137" ht="15" customHeight="1" s="117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  <c r="J137" s="393" t="n"/>
      <c r="K137" s="393" t="n"/>
      <c r="L137" s="393" t="n"/>
      <c r="M137" s="393" t="n"/>
      <c r="N137" s="393" t="n"/>
      <c r="O137" s="393" t="n"/>
      <c r="P137" s="393" t="n"/>
      <c r="Q137" s="393" t="n"/>
      <c r="R137" s="393" t="n"/>
      <c r="S137" s="393" t="n"/>
    </row>
    <row r="138" ht="15" customHeight="1" s="117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  <c r="J138" s="393" t="n"/>
      <c r="K138" s="393" t="n"/>
      <c r="L138" s="393" t="n"/>
      <c r="M138" s="393" t="n"/>
      <c r="N138" s="393" t="n"/>
      <c r="O138" s="393" t="n"/>
      <c r="P138" s="393" t="n"/>
      <c r="Q138" s="393" t="n"/>
      <c r="R138" s="393" t="n"/>
      <c r="S138" s="393" t="n"/>
    </row>
    <row r="139" ht="15" customHeight="1" s="117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  <c r="J139" s="393" t="n"/>
      <c r="K139" s="393" t="n"/>
      <c r="L139" s="393" t="n"/>
      <c r="M139" s="393" t="n"/>
      <c r="N139" s="393" t="n"/>
      <c r="O139" s="393" t="n"/>
      <c r="P139" s="393" t="n"/>
      <c r="Q139" s="393" t="n"/>
      <c r="R139" s="393" t="n"/>
      <c r="S139" s="393" t="n"/>
    </row>
    <row r="140" ht="15" customHeight="1" s="117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  <c r="J140" s="393" t="n"/>
      <c r="K140" s="393" t="n"/>
      <c r="L140" s="393" t="n"/>
      <c r="M140" s="393" t="n"/>
      <c r="N140" s="393" t="n"/>
      <c r="O140" s="393" t="n"/>
      <c r="P140" s="393" t="n"/>
      <c r="Q140" s="393" t="n"/>
      <c r="R140" s="393" t="n"/>
      <c r="S140" s="393" t="n"/>
    </row>
    <row r="141" ht="15" customHeight="1" s="117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  <c r="J141" s="393" t="n"/>
      <c r="K141" s="393" t="n"/>
      <c r="L141" s="393" t="n"/>
      <c r="M141" s="393" t="n"/>
      <c r="N141" s="393" t="n"/>
      <c r="O141" s="393" t="n"/>
      <c r="P141" s="393" t="n"/>
      <c r="Q141" s="393" t="n"/>
      <c r="R141" s="393" t="n"/>
      <c r="S141" s="393" t="n"/>
    </row>
    <row r="142" ht="15" customHeight="1" s="117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  <c r="J142" s="393" t="n"/>
      <c r="K142" s="393" t="n"/>
      <c r="L142" s="393" t="n"/>
      <c r="M142" s="393" t="n"/>
      <c r="N142" s="393" t="n"/>
      <c r="O142" s="393" t="n"/>
      <c r="P142" s="393" t="n"/>
      <c r="Q142" s="393" t="n"/>
      <c r="R142" s="393" t="n"/>
      <c r="S142" s="393" t="n"/>
    </row>
    <row r="143" ht="15" customHeight="1" s="117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  <c r="J143" s="393" t="n"/>
      <c r="K143" s="393" t="n"/>
      <c r="L143" s="393" t="n"/>
      <c r="M143" s="393" t="n"/>
      <c r="N143" s="393" t="n"/>
      <c r="O143" s="393" t="n"/>
      <c r="P143" s="393" t="n"/>
      <c r="Q143" s="393" t="n"/>
      <c r="R143" s="393" t="n"/>
      <c r="S143" s="393" t="n"/>
    </row>
    <row r="144" ht="15" customHeight="1" s="117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  <c r="J144" s="393" t="n"/>
      <c r="K144" s="393" t="n"/>
      <c r="L144" s="393" t="n"/>
      <c r="M144" s="393" t="n"/>
      <c r="N144" s="393" t="n"/>
      <c r="O144" s="393" t="n"/>
      <c r="P144" s="393" t="n"/>
      <c r="Q144" s="393" t="n"/>
      <c r="R144" s="393" t="n"/>
      <c r="S144" s="393" t="n"/>
    </row>
    <row r="145" ht="15" customHeight="1" s="117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  <c r="J145" s="393" t="n"/>
      <c r="K145" s="393" t="n"/>
      <c r="L145" s="393" t="n"/>
      <c r="M145" s="393" t="n"/>
      <c r="N145" s="393" t="n"/>
      <c r="O145" s="393" t="n"/>
      <c r="P145" s="393" t="n"/>
      <c r="Q145" s="393" t="n"/>
      <c r="R145" s="393" t="n"/>
      <c r="S145" s="393" t="n"/>
    </row>
    <row r="146" ht="15" customHeight="1" s="117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  <c r="J146" s="393" t="n"/>
      <c r="K146" s="393" t="n"/>
      <c r="L146" s="393" t="n"/>
      <c r="M146" s="393" t="n"/>
      <c r="N146" s="393" t="n"/>
      <c r="O146" s="393" t="n"/>
      <c r="P146" s="393" t="n"/>
      <c r="Q146" s="393" t="n"/>
      <c r="R146" s="393" t="n"/>
      <c r="S146" s="393" t="n"/>
    </row>
    <row r="147" ht="15" customHeight="1" s="117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3" t="n"/>
    </row>
    <row r="148" ht="15" customHeight="1" s="117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  <c r="J148" s="393" t="n"/>
      <c r="K148" s="393" t="n"/>
      <c r="L148" s="393" t="n"/>
      <c r="M148" s="393" t="n"/>
      <c r="N148" s="393" t="n"/>
      <c r="O148" s="393" t="n"/>
      <c r="P148" s="393" t="n"/>
      <c r="Q148" s="393" t="n"/>
      <c r="R148" s="393" t="n"/>
      <c r="S148" s="393" t="n"/>
    </row>
    <row r="149" ht="15" customHeight="1" s="117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  <c r="J149" s="393" t="n"/>
      <c r="K149" s="393" t="n"/>
      <c r="L149" s="393" t="n"/>
      <c r="M149" s="393" t="n"/>
      <c r="N149" s="393" t="n"/>
      <c r="O149" s="393" t="n"/>
      <c r="P149" s="393" t="n"/>
      <c r="Q149" s="393" t="n"/>
      <c r="R149" s="393" t="n"/>
      <c r="S149" s="393" t="n"/>
    </row>
    <row r="150" ht="15" customHeight="1" s="117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  <c r="J150" s="393" t="n"/>
      <c r="K150" s="393" t="n"/>
      <c r="L150" s="393" t="n"/>
      <c r="M150" s="393" t="n"/>
      <c r="N150" s="393" t="n"/>
      <c r="O150" s="393" t="n"/>
      <c r="P150" s="393" t="n"/>
      <c r="Q150" s="393" t="n"/>
      <c r="R150" s="393" t="n"/>
      <c r="S150" s="393" t="n"/>
    </row>
    <row r="151" ht="15" customHeight="1" s="117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  <c r="J151" s="393" t="n"/>
      <c r="K151" s="393" t="n"/>
      <c r="L151" s="393" t="n"/>
      <c r="M151" s="393" t="n"/>
      <c r="N151" s="393" t="n"/>
      <c r="O151" s="393" t="n"/>
      <c r="P151" s="393" t="n"/>
      <c r="Q151" s="393" t="n"/>
      <c r="R151" s="393" t="n"/>
      <c r="S151" s="393" t="n"/>
    </row>
    <row r="152" ht="15" customHeight="1" s="117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  <c r="J152" s="393" t="n"/>
      <c r="K152" s="393" t="n"/>
      <c r="L152" s="393" t="n"/>
      <c r="M152" s="393" t="n"/>
      <c r="N152" s="393" t="n"/>
      <c r="O152" s="393" t="n"/>
      <c r="P152" s="393" t="n"/>
      <c r="Q152" s="393" t="n"/>
      <c r="R152" s="393" t="n"/>
      <c r="S152" s="393" t="n"/>
    </row>
    <row r="153" ht="15" customHeight="1" s="117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  <c r="J153" s="393" t="n"/>
      <c r="K153" s="393" t="n"/>
      <c r="L153" s="393" t="n"/>
      <c r="M153" s="393" t="n"/>
      <c r="N153" s="393" t="n"/>
      <c r="O153" s="393" t="n"/>
      <c r="P153" s="393" t="n"/>
      <c r="Q153" s="393" t="n"/>
      <c r="R153" s="393" t="n"/>
      <c r="S153" s="393" t="n"/>
    </row>
    <row r="154" ht="15" customHeight="1" s="117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  <c r="J154" s="393" t="n"/>
      <c r="K154" s="393" t="n"/>
      <c r="L154" s="393" t="n"/>
      <c r="M154" s="393" t="n"/>
      <c r="N154" s="393" t="n"/>
      <c r="O154" s="393" t="n"/>
      <c r="P154" s="393" t="n"/>
      <c r="Q154" s="393" t="n"/>
      <c r="R154" s="393" t="n"/>
      <c r="S154" s="393" t="n"/>
    </row>
    <row r="155" ht="15" customHeight="1" s="117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  <c r="J155" s="393" t="n"/>
      <c r="K155" s="393" t="n"/>
      <c r="L155" s="393" t="n"/>
      <c r="M155" s="393" t="n"/>
      <c r="N155" s="393" t="n"/>
      <c r="O155" s="393" t="n"/>
      <c r="P155" s="393" t="n"/>
      <c r="Q155" s="393" t="n"/>
      <c r="R155" s="393" t="n"/>
      <c r="S155" s="393" t="n"/>
    </row>
    <row r="156" ht="15" customHeight="1" s="117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  <c r="J156" s="393" t="n"/>
      <c r="K156" s="393" t="n"/>
      <c r="L156" s="393" t="n"/>
      <c r="M156" s="393" t="n"/>
      <c r="N156" s="393" t="n"/>
      <c r="O156" s="393" t="n"/>
      <c r="P156" s="393" t="n"/>
      <c r="Q156" s="393" t="n"/>
      <c r="R156" s="393" t="n"/>
      <c r="S156" s="393" t="n"/>
    </row>
    <row r="157" ht="15" customHeight="1" s="117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  <c r="J157" s="393" t="n"/>
      <c r="K157" s="393" t="n"/>
      <c r="L157" s="393" t="n"/>
      <c r="M157" s="393" t="n"/>
      <c r="N157" s="393" t="n"/>
      <c r="O157" s="393" t="n"/>
      <c r="P157" s="393" t="n"/>
      <c r="Q157" s="393" t="n"/>
      <c r="R157" s="393" t="n"/>
      <c r="S157" s="393" t="n"/>
    </row>
    <row r="158" ht="15" customHeight="1" s="117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  <c r="J158" s="393" t="n"/>
      <c r="K158" s="393" t="n"/>
      <c r="L158" s="393" t="n"/>
      <c r="M158" s="393" t="n"/>
      <c r="N158" s="393" t="n"/>
      <c r="O158" s="393" t="n"/>
      <c r="P158" s="393" t="n"/>
      <c r="Q158" s="393" t="n"/>
      <c r="R158" s="393" t="n"/>
      <c r="S158" s="393" t="n"/>
    </row>
    <row r="159" ht="15" customHeight="1" s="117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  <c r="J159" s="393" t="n"/>
      <c r="K159" s="393" t="n"/>
      <c r="L159" s="393" t="n"/>
      <c r="M159" s="393" t="n"/>
      <c r="N159" s="393" t="n"/>
      <c r="O159" s="393" t="n"/>
      <c r="P159" s="393" t="n"/>
      <c r="Q159" s="393" t="n"/>
      <c r="R159" s="393" t="n"/>
      <c r="S159" s="393" t="n"/>
    </row>
    <row r="160" ht="15" customHeight="1" s="117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  <c r="J160" s="393" t="n"/>
      <c r="K160" s="393" t="n"/>
      <c r="L160" s="393" t="n"/>
      <c r="M160" s="393" t="n"/>
      <c r="N160" s="393" t="n"/>
      <c r="O160" s="393" t="n"/>
      <c r="P160" s="393" t="n"/>
      <c r="Q160" s="393" t="n"/>
      <c r="R160" s="393" t="n"/>
      <c r="S160" s="393" t="n"/>
    </row>
    <row r="161" ht="15" customHeight="1" s="117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  <c r="J161" s="393" t="n"/>
      <c r="K161" s="393" t="n"/>
      <c r="L161" s="393" t="n"/>
      <c r="M161" s="393" t="n"/>
      <c r="N161" s="393" t="n"/>
      <c r="O161" s="393" t="n"/>
      <c r="P161" s="393" t="n"/>
      <c r="Q161" s="393" t="n"/>
      <c r="R161" s="393" t="n"/>
      <c r="S161" s="393" t="n"/>
    </row>
    <row r="162" ht="15" customHeight="1" s="117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  <c r="J162" s="393" t="n"/>
      <c r="K162" s="393" t="n"/>
      <c r="L162" s="393" t="n"/>
      <c r="M162" s="393" t="n"/>
      <c r="N162" s="393" t="n"/>
      <c r="O162" s="393" t="n"/>
      <c r="P162" s="393" t="n"/>
      <c r="Q162" s="393" t="n"/>
      <c r="R162" s="393" t="n"/>
      <c r="S162" s="393" t="n"/>
    </row>
    <row r="163" ht="15" customHeight="1" s="117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  <c r="J163" s="393" t="n"/>
      <c r="K163" s="393" t="n"/>
      <c r="L163" s="393" t="n"/>
      <c r="M163" s="393" t="n"/>
      <c r="N163" s="393" t="n"/>
      <c r="O163" s="393" t="n"/>
      <c r="P163" s="393" t="n"/>
      <c r="Q163" s="393" t="n"/>
      <c r="R163" s="393" t="n"/>
      <c r="S163" s="393" t="n"/>
    </row>
    <row r="164" ht="15" customHeight="1" s="117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  <c r="J164" s="393" t="n"/>
      <c r="K164" s="393" t="n"/>
      <c r="L164" s="393" t="n"/>
      <c r="M164" s="393" t="n"/>
      <c r="N164" s="393" t="n"/>
      <c r="O164" s="393" t="n"/>
      <c r="P164" s="393" t="n"/>
      <c r="Q164" s="393" t="n"/>
      <c r="R164" s="393" t="n"/>
      <c r="S164" s="393" t="n"/>
    </row>
    <row r="165" ht="15" customHeight="1" s="117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  <c r="J165" s="393" t="n"/>
      <c r="K165" s="393" t="n"/>
      <c r="L165" s="393" t="n"/>
      <c r="M165" s="393" t="n"/>
      <c r="N165" s="393" t="n"/>
      <c r="O165" s="393" t="n"/>
      <c r="P165" s="393" t="n"/>
      <c r="Q165" s="393" t="n"/>
      <c r="R165" s="393" t="n"/>
      <c r="S165" s="393" t="n"/>
    </row>
    <row r="166" ht="15" customHeight="1" s="117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  <c r="J166" s="393" t="n"/>
      <c r="K166" s="393" t="n"/>
      <c r="L166" s="393" t="n"/>
      <c r="M166" s="393" t="n"/>
      <c r="N166" s="393" t="n"/>
      <c r="O166" s="393" t="n"/>
      <c r="P166" s="393" t="n"/>
      <c r="Q166" s="393" t="n"/>
      <c r="R166" s="393" t="n"/>
      <c r="S166" s="393" t="n"/>
    </row>
    <row r="167" ht="15" customHeight="1" s="117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  <c r="J167" s="393" t="n"/>
      <c r="K167" s="393" t="n"/>
      <c r="L167" s="393" t="n"/>
      <c r="M167" s="393" t="n"/>
      <c r="N167" s="393" t="n"/>
      <c r="O167" s="393" t="n"/>
      <c r="P167" s="393" t="n"/>
      <c r="Q167" s="393" t="n"/>
      <c r="R167" s="393" t="n"/>
      <c r="S167" s="393" t="n"/>
    </row>
    <row r="168" ht="15" customHeight="1" s="117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  <c r="J168" s="393" t="n"/>
      <c r="K168" s="393" t="n"/>
      <c r="L168" s="393" t="n"/>
      <c r="M168" s="393" t="n"/>
      <c r="N168" s="393" t="n"/>
      <c r="O168" s="393" t="n"/>
      <c r="P168" s="393" t="n"/>
      <c r="Q168" s="393" t="n"/>
      <c r="R168" s="393" t="n"/>
      <c r="S168" s="393" t="n"/>
    </row>
    <row r="169" ht="15" customHeight="1" s="117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  <c r="J169" s="393" t="n"/>
      <c r="K169" s="393" t="n"/>
      <c r="L169" s="393" t="n"/>
      <c r="M169" s="393" t="n"/>
      <c r="N169" s="393" t="n"/>
      <c r="O169" s="393" t="n"/>
      <c r="P169" s="393" t="n"/>
      <c r="Q169" s="393" t="n"/>
      <c r="R169" s="393" t="n"/>
      <c r="S169" s="393" t="n"/>
    </row>
    <row r="170" ht="15" customHeight="1" s="117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  <c r="J170" s="393" t="n"/>
      <c r="K170" s="393" t="n"/>
      <c r="L170" s="393" t="n"/>
      <c r="M170" s="393" t="n"/>
      <c r="N170" s="393" t="n"/>
      <c r="O170" s="393" t="n"/>
      <c r="P170" s="393" t="n"/>
      <c r="Q170" s="393" t="n"/>
      <c r="R170" s="393" t="n"/>
      <c r="S170" s="393" t="n"/>
    </row>
    <row r="171" ht="15" customHeight="1" s="117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  <c r="J171" s="393" t="n"/>
      <c r="K171" s="393" t="n"/>
      <c r="L171" s="393" t="n"/>
      <c r="M171" s="393" t="n"/>
      <c r="N171" s="393" t="n"/>
      <c r="O171" s="393" t="n"/>
      <c r="P171" s="393" t="n"/>
      <c r="Q171" s="393" t="n"/>
      <c r="R171" s="393" t="n"/>
      <c r="S171" s="393" t="n"/>
    </row>
    <row r="172" ht="15" customHeight="1" s="117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  <c r="J172" s="393" t="n"/>
      <c r="K172" s="393" t="n"/>
      <c r="L172" s="393" t="n"/>
      <c r="M172" s="393" t="n"/>
      <c r="N172" s="393" t="n"/>
      <c r="O172" s="393" t="n"/>
      <c r="P172" s="393" t="n"/>
      <c r="Q172" s="393" t="n"/>
      <c r="R172" s="393" t="n"/>
      <c r="S172" s="393" t="n"/>
    </row>
    <row r="173" ht="15" customHeight="1" s="117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  <c r="J173" s="393" t="n"/>
      <c r="K173" s="393" t="n"/>
      <c r="L173" s="393" t="n"/>
      <c r="M173" s="393" t="n"/>
      <c r="N173" s="393" t="n"/>
      <c r="O173" s="393" t="n"/>
      <c r="P173" s="393" t="n"/>
      <c r="Q173" s="393" t="n"/>
      <c r="R173" s="393" t="n"/>
      <c r="S173" s="393" t="n"/>
    </row>
    <row r="174" ht="15" customHeight="1" s="117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  <c r="J174" s="393" t="n"/>
      <c r="K174" s="393" t="n"/>
      <c r="L174" s="393" t="n"/>
      <c r="M174" s="393" t="n"/>
      <c r="N174" s="393" t="n"/>
      <c r="O174" s="393" t="n"/>
      <c r="P174" s="393" t="n"/>
      <c r="Q174" s="393" t="n"/>
      <c r="R174" s="393" t="n"/>
      <c r="S174" s="393" t="n"/>
    </row>
    <row r="175" ht="15" customHeight="1" s="117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  <c r="J175" s="393" t="n"/>
      <c r="K175" s="393" t="n"/>
      <c r="L175" s="393" t="n"/>
      <c r="M175" s="393" t="n"/>
      <c r="N175" s="393" t="n"/>
      <c r="O175" s="393" t="n"/>
      <c r="P175" s="393" t="n"/>
      <c r="Q175" s="393" t="n"/>
      <c r="R175" s="393" t="n"/>
      <c r="S175" s="393" t="n"/>
    </row>
    <row r="176" ht="15" customHeight="1" s="117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  <c r="J176" s="393" t="n"/>
      <c r="K176" s="393" t="n"/>
      <c r="L176" s="393" t="n"/>
      <c r="M176" s="393" t="n"/>
      <c r="N176" s="393" t="n"/>
      <c r="O176" s="393" t="n"/>
      <c r="P176" s="393" t="n"/>
      <c r="Q176" s="393" t="n"/>
      <c r="R176" s="393" t="n"/>
      <c r="S176" s="393" t="n"/>
    </row>
    <row r="177" ht="15" customHeight="1" s="117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  <c r="J177" s="393" t="n"/>
      <c r="K177" s="393" t="n"/>
      <c r="L177" s="393" t="n"/>
      <c r="M177" s="393" t="n"/>
      <c r="N177" s="393" t="n"/>
      <c r="O177" s="393" t="n"/>
      <c r="P177" s="393" t="n"/>
      <c r="Q177" s="393" t="n"/>
      <c r="R177" s="393" t="n"/>
      <c r="S177" s="393" t="n"/>
    </row>
    <row r="178" ht="15" customHeight="1" s="117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  <c r="J178" s="393" t="n"/>
      <c r="K178" s="393" t="n"/>
      <c r="L178" s="393" t="n"/>
      <c r="M178" s="393" t="n"/>
      <c r="N178" s="393" t="n"/>
      <c r="O178" s="393" t="n"/>
      <c r="P178" s="393" t="n"/>
      <c r="Q178" s="393" t="n"/>
      <c r="R178" s="393" t="n"/>
      <c r="S178" s="393" t="n"/>
    </row>
    <row r="179" ht="15" customHeight="1" s="117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  <c r="J179" s="393" t="n"/>
      <c r="K179" s="393" t="n"/>
      <c r="L179" s="393" t="n"/>
      <c r="M179" s="393" t="n"/>
      <c r="N179" s="393" t="n"/>
      <c r="O179" s="393" t="n"/>
      <c r="P179" s="393" t="n"/>
      <c r="Q179" s="393" t="n"/>
      <c r="R179" s="393" t="n"/>
      <c r="S179" s="393" t="n"/>
    </row>
    <row r="180" ht="15" customHeight="1" s="117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  <c r="J180" s="393" t="n"/>
      <c r="K180" s="393" t="n"/>
      <c r="L180" s="393" t="n"/>
      <c r="M180" s="393" t="n"/>
      <c r="N180" s="393" t="n"/>
      <c r="O180" s="393" t="n"/>
      <c r="P180" s="393" t="n"/>
      <c r="Q180" s="393" t="n"/>
      <c r="R180" s="393" t="n"/>
      <c r="S180" s="393" t="n"/>
    </row>
    <row r="181" ht="15" customHeight="1" s="117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3" t="n"/>
      <c r="S181" s="393" t="n"/>
    </row>
    <row r="182" ht="15" customHeight="1" s="117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  <c r="J182" s="393" t="n"/>
      <c r="K182" s="393" t="n"/>
      <c r="L182" s="393" t="n"/>
      <c r="M182" s="393" t="n"/>
      <c r="N182" s="393" t="n"/>
      <c r="O182" s="393" t="n"/>
      <c r="P182" s="393" t="n"/>
      <c r="Q182" s="393" t="n"/>
      <c r="R182" s="393" t="n"/>
      <c r="S182" s="393" t="n"/>
    </row>
    <row r="183" ht="15" customHeight="1" s="117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  <c r="J183" s="393" t="n"/>
      <c r="K183" s="393" t="n"/>
      <c r="L183" s="393" t="n"/>
      <c r="M183" s="393" t="n"/>
      <c r="N183" s="393" t="n"/>
      <c r="O183" s="393" t="n"/>
      <c r="P183" s="393" t="n"/>
      <c r="Q183" s="393" t="n"/>
      <c r="R183" s="393" t="n"/>
      <c r="S183" s="393" t="n"/>
    </row>
    <row r="184" ht="15" customHeight="1" s="117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  <c r="J184" s="393" t="n"/>
      <c r="K184" s="393" t="n"/>
      <c r="L184" s="393" t="n"/>
      <c r="M184" s="393" t="n"/>
      <c r="N184" s="393" t="n"/>
      <c r="O184" s="393" t="n"/>
      <c r="P184" s="393" t="n"/>
      <c r="Q184" s="393" t="n"/>
      <c r="R184" s="393" t="n"/>
      <c r="S184" s="393" t="n"/>
    </row>
    <row r="185" ht="15" customHeight="1" s="117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  <c r="J185" s="393" t="n"/>
      <c r="K185" s="393" t="n"/>
      <c r="L185" s="393" t="n"/>
      <c r="M185" s="393" t="n"/>
      <c r="N185" s="393" t="n"/>
      <c r="O185" s="393" t="n"/>
      <c r="P185" s="393" t="n"/>
      <c r="Q185" s="393" t="n"/>
      <c r="R185" s="393" t="n"/>
      <c r="S185" s="393" t="n"/>
    </row>
    <row r="186" ht="15" customHeight="1" s="117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  <c r="J186" s="393" t="n"/>
      <c r="K186" s="393" t="n"/>
      <c r="L186" s="393" t="n"/>
      <c r="M186" s="393" t="n"/>
      <c r="N186" s="393" t="n"/>
      <c r="O186" s="393" t="n"/>
      <c r="P186" s="393" t="n"/>
      <c r="Q186" s="393" t="n"/>
      <c r="R186" s="393" t="n"/>
      <c r="S186" s="393" t="n"/>
    </row>
    <row r="187" ht="15" customHeight="1" s="117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  <c r="J187" s="393" t="n"/>
      <c r="K187" s="393" t="n"/>
      <c r="L187" s="393" t="n"/>
      <c r="M187" s="393" t="n"/>
      <c r="N187" s="393" t="n"/>
      <c r="O187" s="393" t="n"/>
      <c r="P187" s="393" t="n"/>
      <c r="Q187" s="393" t="n"/>
      <c r="R187" s="393" t="n"/>
      <c r="S187" s="393" t="n"/>
    </row>
    <row r="188" ht="15" customHeight="1" s="117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  <c r="J188" s="393" t="n"/>
      <c r="K188" s="393" t="n"/>
      <c r="L188" s="393" t="n"/>
      <c r="M188" s="393" t="n"/>
      <c r="N188" s="393" t="n"/>
      <c r="O188" s="393" t="n"/>
      <c r="P188" s="393" t="n"/>
      <c r="Q188" s="393" t="n"/>
      <c r="R188" s="393" t="n"/>
      <c r="S188" s="393" t="n"/>
    </row>
    <row r="189" ht="15" customHeight="1" s="117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  <c r="J189" s="393" t="n"/>
      <c r="K189" s="393" t="n"/>
      <c r="L189" s="393" t="n"/>
      <c r="M189" s="393" t="n"/>
      <c r="N189" s="393" t="n"/>
      <c r="O189" s="393" t="n"/>
      <c r="P189" s="393" t="n"/>
      <c r="Q189" s="393" t="n"/>
      <c r="R189" s="393" t="n"/>
      <c r="S189" s="393" t="n"/>
    </row>
    <row r="190" ht="15" customHeight="1" s="117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  <c r="J190" s="393" t="n"/>
      <c r="K190" s="393" t="n"/>
      <c r="L190" s="393" t="n"/>
      <c r="M190" s="393" t="n"/>
      <c r="N190" s="393" t="n"/>
      <c r="O190" s="393" t="n"/>
      <c r="P190" s="393" t="n"/>
      <c r="Q190" s="393" t="n"/>
      <c r="R190" s="393" t="n"/>
      <c r="S190" s="393" t="n"/>
    </row>
    <row r="191" ht="15" customHeight="1" s="117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  <c r="J191" s="393" t="n"/>
      <c r="K191" s="393" t="n"/>
      <c r="L191" s="393" t="n"/>
      <c r="M191" s="393" t="n"/>
      <c r="N191" s="393" t="n"/>
      <c r="O191" s="393" t="n"/>
      <c r="P191" s="393" t="n"/>
      <c r="Q191" s="393" t="n"/>
      <c r="R191" s="393" t="n"/>
      <c r="S191" s="393" t="n"/>
    </row>
    <row r="192" ht="15" customHeight="1" s="117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  <c r="J192" s="393" t="n"/>
      <c r="K192" s="393" t="n"/>
      <c r="L192" s="393" t="n"/>
      <c r="M192" s="393" t="n"/>
      <c r="N192" s="393" t="n"/>
      <c r="O192" s="393" t="n"/>
      <c r="P192" s="393" t="n"/>
      <c r="Q192" s="393" t="n"/>
      <c r="R192" s="393" t="n"/>
      <c r="S192" s="393" t="n"/>
    </row>
    <row r="193" ht="15" customHeight="1" s="117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  <c r="J193" s="393" t="n"/>
      <c r="K193" s="393" t="n"/>
      <c r="L193" s="393" t="n"/>
      <c r="M193" s="393" t="n"/>
      <c r="N193" s="393" t="n"/>
      <c r="O193" s="393" t="n"/>
      <c r="P193" s="393" t="n"/>
      <c r="Q193" s="393" t="n"/>
      <c r="R193" s="393" t="n"/>
      <c r="S193" s="393" t="n"/>
    </row>
    <row r="194" ht="15" customHeight="1" s="117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  <c r="J194" s="393" t="n"/>
      <c r="K194" s="393" t="n"/>
      <c r="L194" s="393" t="n"/>
      <c r="M194" s="393" t="n"/>
      <c r="N194" s="393" t="n"/>
      <c r="O194" s="393" t="n"/>
      <c r="P194" s="393" t="n"/>
      <c r="Q194" s="393" t="n"/>
      <c r="R194" s="393" t="n"/>
      <c r="S194" s="393" t="n"/>
    </row>
    <row r="195" ht="15" customHeight="1" s="117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  <c r="J195" s="393" t="n"/>
      <c r="K195" s="393" t="n"/>
      <c r="L195" s="393" t="n"/>
      <c r="M195" s="393" t="n"/>
      <c r="N195" s="393" t="n"/>
      <c r="O195" s="393" t="n"/>
      <c r="P195" s="393" t="n"/>
      <c r="Q195" s="393" t="n"/>
      <c r="R195" s="393" t="n"/>
      <c r="S195" s="393" t="n"/>
    </row>
    <row r="196" ht="15" customHeight="1" s="117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  <c r="J196" s="393" t="n"/>
      <c r="K196" s="393" t="n"/>
      <c r="L196" s="393" t="n"/>
      <c r="M196" s="393" t="n"/>
      <c r="N196" s="393" t="n"/>
      <c r="O196" s="393" t="n"/>
      <c r="P196" s="393" t="n"/>
      <c r="Q196" s="393" t="n"/>
      <c r="R196" s="393" t="n"/>
      <c r="S196" s="393" t="n"/>
    </row>
    <row r="197" ht="15" customHeight="1" s="117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  <c r="J197" s="393" t="n"/>
      <c r="K197" s="393" t="n"/>
      <c r="L197" s="393" t="n"/>
      <c r="M197" s="393" t="n"/>
      <c r="N197" s="393" t="n"/>
      <c r="O197" s="393" t="n"/>
      <c r="P197" s="393" t="n"/>
      <c r="Q197" s="393" t="n"/>
      <c r="R197" s="393" t="n"/>
      <c r="S197" s="393" t="n"/>
    </row>
    <row r="198" ht="15" customHeight="1" s="117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  <c r="J198" s="393" t="n"/>
      <c r="K198" s="393" t="n"/>
      <c r="L198" s="393" t="n"/>
      <c r="M198" s="393" t="n"/>
      <c r="N198" s="393" t="n"/>
      <c r="O198" s="393" t="n"/>
      <c r="P198" s="393" t="n"/>
      <c r="Q198" s="393" t="n"/>
      <c r="R198" s="393" t="n"/>
      <c r="S198" s="393" t="n"/>
    </row>
    <row r="199" ht="15" customHeight="1" s="117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  <c r="J199" s="393" t="n"/>
      <c r="K199" s="393" t="n"/>
      <c r="L199" s="393" t="n"/>
      <c r="M199" s="393" t="n"/>
      <c r="N199" s="393" t="n"/>
      <c r="O199" s="393" t="n"/>
      <c r="P199" s="393" t="n"/>
      <c r="Q199" s="393" t="n"/>
      <c r="R199" s="393" t="n"/>
      <c r="S199" s="393" t="n"/>
    </row>
  </sheetData>
  <mergeCells count="22">
    <mergeCell ref="L7:M7"/>
    <mergeCell ref="B7:C7"/>
    <mergeCell ref="J5:K5"/>
    <mergeCell ref="G51:J51"/>
    <mergeCell ref="F6:G6"/>
    <mergeCell ref="F7:G7"/>
    <mergeCell ref="D6:E6"/>
    <mergeCell ref="K51:L51"/>
    <mergeCell ref="H6:I6"/>
    <mergeCell ref="M51:N51"/>
    <mergeCell ref="J6:K6"/>
    <mergeCell ref="F5:G5"/>
    <mergeCell ref="L5:M5"/>
    <mergeCell ref="D7:E7"/>
    <mergeCell ref="H7:I7"/>
    <mergeCell ref="J7:K7"/>
    <mergeCell ref="B6:C6"/>
    <mergeCell ref="L6:M6"/>
    <mergeCell ref="B5:C5"/>
    <mergeCell ref="D5:E5"/>
    <mergeCell ref="H5:I5"/>
    <mergeCell ref="C51:F5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2026-02-08T19:14:16Z</dcterms:created>
  <dcterms:modified xmlns:dcterms="http://purl.org/dc/terms/" xmlns:xsi="http://www.w3.org/2001/XMLSchema-instance" xsi:type="dcterms:W3CDTF">2026-02-09T02:38:05Z</dcterms:modified>
  <cp:revision>0</cp:revision>
</cp:coreProperties>
</file>